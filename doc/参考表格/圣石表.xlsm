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2" codeName="{8C4F1C90-05EB-6A55-5F09-09C24B55AC0B}"/>
  <x:workbookPr codeName="ThisWorkbook" defaultThemeVersion="124226"/>
  <x:bookViews>
    <x:workbookView xWindow="90" yWindow="90" windowWidth="18180" windowHeight="12225" activeTab="2"/>
  </x:bookViews>
  <x:sheets>
    <x:sheet name="Sheet1" sheetId="1" r:id="rId1"/>
    <x:sheet name="字段说明" sheetId="3" r:id="rId2"/>
    <x:sheet name="Sheet2" sheetId="4" r:id="rId3"/>
  </x:sheets>
  <x:functionGroups builtInGroupCount="17"/>
  <x:definedNames>
    <x:definedName name="_xlnm._FilterDatabase" localSheetId="0" hidden="1">Sheet1!$A$1:$A$4501</x:definedName>
  </x:definedNames>
  <x:calcPr calcId="145621"/>
</x:workbook>
</file>

<file path=xl/calcChain.xml><?xml version="1.0" encoding="utf-8"?>
<calcChain xmlns="http://schemas.openxmlformats.org/spreadsheetml/2006/main">
  <c r="G23" i="4" l="1"/>
  <c r="G22" i="4"/>
  <c r="I182" i="1" l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580" i="1"/>
  <c r="I3581" i="1"/>
  <c r="I3582" i="1"/>
  <c r="I3583" i="1"/>
  <c r="I3584" i="1"/>
  <c r="I3585" i="1"/>
  <c r="I3586" i="1"/>
  <c r="I3587" i="1"/>
  <c r="I3588" i="1"/>
  <c r="I3589" i="1"/>
  <c r="I3590" i="1"/>
  <c r="I3591" i="1"/>
  <c r="I3592" i="1"/>
  <c r="I3593" i="1"/>
  <c r="I3594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I3619" i="1"/>
  <c r="I3620" i="1"/>
  <c r="I3621" i="1"/>
  <c r="I3622" i="1"/>
  <c r="I362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I3648" i="1"/>
  <c r="I3649" i="1"/>
  <c r="I3650" i="1"/>
  <c r="I3651" i="1"/>
  <c r="I365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I3677" i="1"/>
  <c r="I3678" i="1"/>
  <c r="I3679" i="1"/>
  <c r="I3680" i="1"/>
  <c r="I3681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I3706" i="1"/>
  <c r="I3707" i="1"/>
  <c r="I3708" i="1"/>
  <c r="I3709" i="1"/>
  <c r="I3710" i="1"/>
  <c r="I3711" i="1"/>
  <c r="I3712" i="1"/>
  <c r="I3713" i="1"/>
  <c r="I3714" i="1"/>
  <c r="I3715" i="1"/>
  <c r="I3716" i="1"/>
  <c r="I3717" i="1"/>
  <c r="I3718" i="1"/>
  <c r="I3719" i="1"/>
  <c r="I3720" i="1"/>
  <c r="I3721" i="1"/>
  <c r="I3722" i="1"/>
  <c r="I3723" i="1"/>
  <c r="I3724" i="1"/>
  <c r="I3725" i="1"/>
  <c r="I3726" i="1"/>
  <c r="I3727" i="1"/>
  <c r="I3728" i="1"/>
  <c r="I3729" i="1"/>
  <c r="I3730" i="1"/>
  <c r="I3731" i="1"/>
  <c r="I3732" i="1"/>
  <c r="I3733" i="1"/>
  <c r="I3734" i="1"/>
  <c r="I3735" i="1"/>
  <c r="I3736" i="1"/>
  <c r="I3737" i="1"/>
  <c r="I3738" i="1"/>
  <c r="I3739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8" i="1"/>
  <c r="I3759" i="1"/>
  <c r="I3760" i="1"/>
  <c r="I3761" i="1"/>
  <c r="I3762" i="1"/>
  <c r="I3763" i="1"/>
  <c r="I3764" i="1"/>
  <c r="I3765" i="1"/>
  <c r="I3766" i="1"/>
  <c r="I3767" i="1"/>
  <c r="I3768" i="1"/>
  <c r="I3769" i="1"/>
  <c r="I3770" i="1"/>
  <c r="I3771" i="1"/>
  <c r="I3772" i="1"/>
  <c r="I3773" i="1"/>
  <c r="I3774" i="1"/>
  <c r="I3775" i="1"/>
  <c r="I3776" i="1"/>
  <c r="I3777" i="1"/>
  <c r="I3778" i="1"/>
  <c r="I3779" i="1"/>
  <c r="I3780" i="1"/>
  <c r="I3781" i="1"/>
  <c r="I3782" i="1"/>
  <c r="I3783" i="1"/>
  <c r="I3784" i="1"/>
  <c r="I3785" i="1"/>
  <c r="I3786" i="1"/>
  <c r="I3787" i="1"/>
  <c r="I3788" i="1"/>
  <c r="I3789" i="1"/>
  <c r="I3790" i="1"/>
  <c r="I3791" i="1"/>
  <c r="I3792" i="1"/>
  <c r="I3793" i="1"/>
  <c r="I3794" i="1"/>
  <c r="I3795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820" i="1"/>
  <c r="I3821" i="1"/>
  <c r="I3822" i="1"/>
  <c r="I3823" i="1"/>
  <c r="I3824" i="1"/>
  <c r="I3825" i="1"/>
  <c r="I3826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3847" i="1"/>
  <c r="I3848" i="1"/>
  <c r="I3849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I3902" i="1"/>
  <c r="I3903" i="1"/>
  <c r="I3904" i="1"/>
  <c r="I3905" i="1"/>
  <c r="I3906" i="1"/>
  <c r="I3907" i="1"/>
  <c r="I3908" i="1"/>
  <c r="I3909" i="1"/>
  <c r="I3910" i="1"/>
  <c r="I3911" i="1"/>
  <c r="I3912" i="1"/>
  <c r="I3913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I3938" i="1"/>
  <c r="I3939" i="1"/>
  <c r="I3940" i="1"/>
  <c r="I3941" i="1"/>
  <c r="I3942" i="1"/>
  <c r="I3943" i="1"/>
  <c r="I3944" i="1"/>
  <c r="I3945" i="1"/>
  <c r="I3946" i="1"/>
  <c r="I3947" i="1"/>
  <c r="I3948" i="1"/>
  <c r="I3949" i="1"/>
  <c r="I3950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I3967" i="1"/>
  <c r="I3968" i="1"/>
  <c r="I3969" i="1"/>
  <c r="I3970" i="1"/>
  <c r="I3971" i="1"/>
  <c r="I3972" i="1"/>
  <c r="I3973" i="1"/>
  <c r="I3974" i="1"/>
  <c r="I3975" i="1"/>
  <c r="I3976" i="1"/>
  <c r="I3977" i="1"/>
  <c r="I3978" i="1"/>
  <c r="I3979" i="1"/>
  <c r="I3980" i="1"/>
  <c r="I3981" i="1"/>
  <c r="I3982" i="1"/>
  <c r="I3983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I3996" i="1"/>
  <c r="I3997" i="1"/>
  <c r="I3998" i="1"/>
  <c r="I3999" i="1"/>
  <c r="I4000" i="1"/>
  <c r="I4001" i="1"/>
  <c r="I4002" i="1"/>
  <c r="I4003" i="1"/>
  <c r="I4004" i="1"/>
  <c r="I4005" i="1"/>
  <c r="I4006" i="1"/>
  <c r="I4007" i="1"/>
  <c r="I4008" i="1"/>
  <c r="I4009" i="1"/>
  <c r="I4010" i="1"/>
  <c r="I4011" i="1"/>
  <c r="I4012" i="1"/>
  <c r="I4013" i="1"/>
  <c r="I4014" i="1"/>
  <c r="I4015" i="1"/>
  <c r="I4016" i="1"/>
  <c r="I4017" i="1"/>
  <c r="I4018" i="1"/>
  <c r="I4019" i="1"/>
  <c r="I4020" i="1"/>
  <c r="I4021" i="1"/>
  <c r="I4022" i="1"/>
  <c r="I4023" i="1"/>
  <c r="I4024" i="1"/>
  <c r="I4025" i="1"/>
  <c r="I4026" i="1"/>
  <c r="I4027" i="1"/>
  <c r="I4028" i="1"/>
  <c r="I4029" i="1"/>
  <c r="I4030" i="1"/>
  <c r="I4031" i="1"/>
  <c r="I4032" i="1"/>
  <c r="I4033" i="1"/>
  <c r="I4034" i="1"/>
  <c r="I4035" i="1"/>
  <c r="I4036" i="1"/>
  <c r="I4037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4051" i="1"/>
  <c r="I4052" i="1"/>
  <c r="I4053" i="1"/>
  <c r="I4054" i="1"/>
  <c r="I4055" i="1"/>
  <c r="I4056" i="1"/>
  <c r="I4057" i="1"/>
  <c r="I4058" i="1"/>
  <c r="I4059" i="1"/>
  <c r="I4060" i="1"/>
  <c r="I4061" i="1"/>
  <c r="I4062" i="1"/>
  <c r="I4063" i="1"/>
  <c r="I4064" i="1"/>
  <c r="I4065" i="1"/>
  <c r="I4066" i="1"/>
  <c r="I4067" i="1"/>
  <c r="I4068" i="1"/>
  <c r="I4069" i="1"/>
  <c r="I4070" i="1"/>
  <c r="I4071" i="1"/>
  <c r="I4072" i="1"/>
  <c r="I4073" i="1"/>
  <c r="I4074" i="1"/>
  <c r="I4075" i="1"/>
  <c r="I4076" i="1"/>
  <c r="I4077" i="1"/>
  <c r="I4078" i="1"/>
  <c r="I4079" i="1"/>
  <c r="I4080" i="1"/>
  <c r="I4081" i="1"/>
  <c r="I4082" i="1"/>
  <c r="I4083" i="1"/>
  <c r="I4084" i="1"/>
  <c r="I4085" i="1"/>
  <c r="I4086" i="1"/>
  <c r="I4087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4101" i="1"/>
  <c r="I4102" i="1"/>
  <c r="I4103" i="1"/>
  <c r="I4104" i="1"/>
  <c r="I4105" i="1"/>
  <c r="I4106" i="1"/>
  <c r="I4107" i="1"/>
  <c r="I4108" i="1"/>
  <c r="I4109" i="1"/>
  <c r="I4110" i="1"/>
  <c r="I4111" i="1"/>
  <c r="I4112" i="1"/>
  <c r="I4113" i="1"/>
  <c r="I4114" i="1"/>
  <c r="I4115" i="1"/>
  <c r="I4116" i="1"/>
  <c r="I4117" i="1"/>
  <c r="I4118" i="1"/>
  <c r="I4119" i="1"/>
  <c r="I4120" i="1"/>
  <c r="I4121" i="1"/>
  <c r="I4122" i="1"/>
  <c r="I4123" i="1"/>
  <c r="I4124" i="1"/>
  <c r="I4125" i="1"/>
  <c r="I4126" i="1"/>
  <c r="I4127" i="1"/>
  <c r="I4128" i="1"/>
  <c r="I4129" i="1"/>
  <c r="I4130" i="1"/>
  <c r="I4131" i="1"/>
  <c r="I4132" i="1"/>
  <c r="I4133" i="1"/>
  <c r="I4134" i="1"/>
  <c r="I4135" i="1"/>
  <c r="I4136" i="1"/>
  <c r="I4137" i="1"/>
  <c r="I4138" i="1"/>
  <c r="I4139" i="1"/>
  <c r="I4140" i="1"/>
  <c r="I4141" i="1"/>
  <c r="I4142" i="1"/>
  <c r="I4143" i="1"/>
  <c r="I4144" i="1"/>
  <c r="I4145" i="1"/>
  <c r="I4146" i="1"/>
  <c r="I4147" i="1"/>
  <c r="I4148" i="1"/>
  <c r="I4149" i="1"/>
  <c r="I4150" i="1"/>
  <c r="I4151" i="1"/>
  <c r="I4152" i="1"/>
  <c r="I4153" i="1"/>
  <c r="I4154" i="1"/>
  <c r="I4155" i="1"/>
  <c r="I4156" i="1"/>
  <c r="I4157" i="1"/>
  <c r="I4158" i="1"/>
  <c r="I4159" i="1"/>
  <c r="I4160" i="1"/>
  <c r="I4161" i="1"/>
  <c r="I4162" i="1"/>
  <c r="I4163" i="1"/>
  <c r="I4164" i="1"/>
  <c r="I4165" i="1"/>
  <c r="I4166" i="1"/>
  <c r="I4167" i="1"/>
  <c r="I4168" i="1"/>
  <c r="I4169" i="1"/>
  <c r="I4170" i="1"/>
  <c r="I4171" i="1"/>
  <c r="I4172" i="1"/>
  <c r="I4173" i="1"/>
  <c r="I4174" i="1"/>
  <c r="I4175" i="1"/>
  <c r="I4176" i="1"/>
  <c r="I4177" i="1"/>
  <c r="I4178" i="1"/>
  <c r="I4179" i="1"/>
  <c r="I4180" i="1"/>
  <c r="I4181" i="1"/>
  <c r="I4182" i="1"/>
  <c r="I4183" i="1"/>
  <c r="I4184" i="1"/>
  <c r="I4185" i="1"/>
  <c r="I4186" i="1"/>
  <c r="I4187" i="1"/>
  <c r="I4188" i="1"/>
  <c r="I4189" i="1"/>
  <c r="I4190" i="1"/>
  <c r="I4191" i="1"/>
  <c r="I4192" i="1"/>
  <c r="I4193" i="1"/>
  <c r="I4194" i="1"/>
  <c r="I4195" i="1"/>
  <c r="I4196" i="1"/>
  <c r="I4197" i="1"/>
  <c r="I4198" i="1"/>
  <c r="I4199" i="1"/>
  <c r="I4200" i="1"/>
  <c r="I4201" i="1"/>
  <c r="I4202" i="1"/>
  <c r="I4203" i="1"/>
  <c r="I4204" i="1"/>
  <c r="I4205" i="1"/>
  <c r="I4206" i="1"/>
  <c r="I4207" i="1"/>
  <c r="I4208" i="1"/>
  <c r="I4209" i="1"/>
  <c r="I4210" i="1"/>
  <c r="I4211" i="1"/>
  <c r="I4212" i="1"/>
  <c r="I4213" i="1"/>
  <c r="I4214" i="1"/>
  <c r="I4215" i="1"/>
  <c r="I4216" i="1"/>
  <c r="I4217" i="1"/>
  <c r="I4218" i="1"/>
  <c r="I4219" i="1"/>
  <c r="I4220" i="1"/>
  <c r="I4221" i="1"/>
  <c r="I4222" i="1"/>
  <c r="I4223" i="1"/>
  <c r="I4224" i="1"/>
  <c r="I4225" i="1"/>
  <c r="I4226" i="1"/>
  <c r="I4227" i="1"/>
  <c r="I4228" i="1"/>
  <c r="I4229" i="1"/>
  <c r="I4230" i="1"/>
  <c r="I4231" i="1"/>
  <c r="I4232" i="1"/>
  <c r="I4233" i="1"/>
  <c r="I4234" i="1"/>
  <c r="I4235" i="1"/>
  <c r="I4236" i="1"/>
  <c r="I4237" i="1"/>
  <c r="I4238" i="1"/>
  <c r="I4239" i="1"/>
  <c r="I4240" i="1"/>
  <c r="I4241" i="1"/>
  <c r="I4242" i="1"/>
  <c r="I4243" i="1"/>
  <c r="I4244" i="1"/>
  <c r="I4245" i="1"/>
  <c r="I4246" i="1"/>
  <c r="I4247" i="1"/>
  <c r="I4248" i="1"/>
  <c r="I4249" i="1"/>
  <c r="I4250" i="1"/>
  <c r="I4251" i="1"/>
  <c r="I4252" i="1"/>
  <c r="I4253" i="1"/>
  <c r="I4254" i="1"/>
  <c r="I4255" i="1"/>
  <c r="I4256" i="1"/>
  <c r="I4257" i="1"/>
  <c r="I4258" i="1"/>
  <c r="I4259" i="1"/>
  <c r="I4260" i="1"/>
  <c r="I4261" i="1"/>
  <c r="I4262" i="1"/>
  <c r="I4263" i="1"/>
  <c r="I4264" i="1"/>
  <c r="I4265" i="1"/>
  <c r="I4266" i="1"/>
  <c r="I4267" i="1"/>
  <c r="I4268" i="1"/>
  <c r="I4269" i="1"/>
  <c r="I4270" i="1"/>
  <c r="I4271" i="1"/>
  <c r="I4272" i="1"/>
  <c r="I4273" i="1"/>
  <c r="I4274" i="1"/>
  <c r="I4275" i="1"/>
  <c r="I4276" i="1"/>
  <c r="I4277" i="1"/>
  <c r="I4278" i="1"/>
  <c r="I4279" i="1"/>
  <c r="I4280" i="1"/>
  <c r="I4281" i="1"/>
  <c r="I4282" i="1"/>
  <c r="I4283" i="1"/>
  <c r="I4284" i="1"/>
  <c r="I4285" i="1"/>
  <c r="I4286" i="1"/>
  <c r="I4287" i="1"/>
  <c r="I4288" i="1"/>
  <c r="I4289" i="1"/>
  <c r="I4290" i="1"/>
  <c r="I4291" i="1"/>
  <c r="I4292" i="1"/>
  <c r="I4293" i="1"/>
  <c r="I4294" i="1"/>
  <c r="I4295" i="1"/>
  <c r="I4296" i="1"/>
  <c r="I4297" i="1"/>
  <c r="I4298" i="1"/>
  <c r="I4299" i="1"/>
  <c r="I4300" i="1"/>
  <c r="I4301" i="1"/>
  <c r="I4302" i="1"/>
  <c r="I4303" i="1"/>
  <c r="I4304" i="1"/>
  <c r="I4305" i="1"/>
  <c r="I4306" i="1"/>
  <c r="I4307" i="1"/>
  <c r="I4308" i="1"/>
  <c r="I4309" i="1"/>
  <c r="I4310" i="1"/>
  <c r="I4311" i="1"/>
  <c r="I4312" i="1"/>
  <c r="I4313" i="1"/>
  <c r="I4314" i="1"/>
  <c r="I4315" i="1"/>
  <c r="I4316" i="1"/>
  <c r="I4317" i="1"/>
  <c r="I4318" i="1"/>
  <c r="I4319" i="1"/>
  <c r="I4320" i="1"/>
  <c r="I4321" i="1"/>
  <c r="I4322" i="1"/>
  <c r="I4323" i="1"/>
  <c r="I4324" i="1"/>
  <c r="I4325" i="1"/>
  <c r="I4326" i="1"/>
  <c r="I4327" i="1"/>
  <c r="I4328" i="1"/>
  <c r="I4329" i="1"/>
  <c r="I4330" i="1"/>
  <c r="I4331" i="1"/>
  <c r="I4332" i="1"/>
  <c r="I4333" i="1"/>
  <c r="I4334" i="1"/>
  <c r="I4335" i="1"/>
  <c r="I4336" i="1"/>
  <c r="I4337" i="1"/>
  <c r="I4338" i="1"/>
  <c r="I4339" i="1"/>
  <c r="I4340" i="1"/>
  <c r="I4341" i="1"/>
  <c r="I4342" i="1"/>
  <c r="I4343" i="1"/>
  <c r="I4344" i="1"/>
  <c r="I4345" i="1"/>
  <c r="I4346" i="1"/>
  <c r="I4347" i="1"/>
  <c r="I4348" i="1"/>
  <c r="I4349" i="1"/>
  <c r="I4350" i="1"/>
  <c r="I4351" i="1"/>
  <c r="I4352" i="1"/>
  <c r="I4353" i="1"/>
  <c r="I4354" i="1"/>
  <c r="I4355" i="1"/>
  <c r="I4356" i="1"/>
  <c r="I4357" i="1"/>
  <c r="I4358" i="1"/>
  <c r="I4359" i="1"/>
  <c r="I4360" i="1"/>
  <c r="I4361" i="1"/>
  <c r="I4362" i="1"/>
  <c r="I4363" i="1"/>
  <c r="I4364" i="1"/>
  <c r="I4365" i="1"/>
  <c r="I4366" i="1"/>
  <c r="I4367" i="1"/>
  <c r="I4368" i="1"/>
  <c r="I4369" i="1"/>
  <c r="I4370" i="1"/>
  <c r="I4371" i="1"/>
  <c r="I4372" i="1"/>
  <c r="I4373" i="1"/>
  <c r="I4374" i="1"/>
  <c r="I4375" i="1"/>
  <c r="I4376" i="1"/>
  <c r="I4377" i="1"/>
  <c r="I4378" i="1"/>
  <c r="I4379" i="1"/>
  <c r="I4380" i="1"/>
  <c r="I4381" i="1"/>
  <c r="I4382" i="1"/>
  <c r="I4383" i="1"/>
  <c r="I4384" i="1"/>
  <c r="I4385" i="1"/>
  <c r="I4386" i="1"/>
  <c r="I4387" i="1"/>
  <c r="I4388" i="1"/>
  <c r="I4389" i="1"/>
  <c r="I4390" i="1"/>
  <c r="I4391" i="1"/>
  <c r="I4392" i="1"/>
  <c r="I4393" i="1"/>
  <c r="I4394" i="1"/>
  <c r="I4395" i="1"/>
  <c r="I4396" i="1"/>
  <c r="I4397" i="1"/>
  <c r="I4398" i="1"/>
  <c r="I4399" i="1"/>
  <c r="I4400" i="1"/>
  <c r="I4401" i="1"/>
  <c r="I4402" i="1"/>
  <c r="I4403" i="1"/>
  <c r="I4404" i="1"/>
  <c r="I4405" i="1"/>
  <c r="I4406" i="1"/>
  <c r="I4407" i="1"/>
  <c r="I4408" i="1"/>
  <c r="I4409" i="1"/>
  <c r="I4410" i="1"/>
  <c r="I4411" i="1"/>
  <c r="I4412" i="1"/>
  <c r="I4413" i="1"/>
  <c r="I4414" i="1"/>
  <c r="I4415" i="1"/>
  <c r="I4416" i="1"/>
  <c r="I4417" i="1"/>
  <c r="I4418" i="1"/>
  <c r="I4419" i="1"/>
  <c r="I4420" i="1"/>
  <c r="I4421" i="1"/>
  <c r="I4422" i="1"/>
  <c r="I4423" i="1"/>
  <c r="I4424" i="1"/>
  <c r="I4425" i="1"/>
  <c r="I4426" i="1"/>
  <c r="I4427" i="1"/>
  <c r="I4428" i="1"/>
  <c r="I4429" i="1"/>
  <c r="I4430" i="1"/>
  <c r="I4431" i="1"/>
  <c r="I4432" i="1"/>
  <c r="I4433" i="1"/>
  <c r="I4434" i="1"/>
  <c r="I4435" i="1"/>
  <c r="I4436" i="1"/>
  <c r="I4437" i="1"/>
  <c r="I4438" i="1"/>
  <c r="I4439" i="1"/>
  <c r="I4440" i="1"/>
  <c r="I4441" i="1"/>
  <c r="I4442" i="1"/>
  <c r="I4443" i="1"/>
  <c r="I4444" i="1"/>
  <c r="I4445" i="1"/>
  <c r="I4446" i="1"/>
  <c r="I4447" i="1"/>
  <c r="I4448" i="1"/>
  <c r="I4449" i="1"/>
  <c r="I4450" i="1"/>
  <c r="I4451" i="1"/>
  <c r="I4452" i="1"/>
  <c r="I4453" i="1"/>
  <c r="I4454" i="1"/>
  <c r="I4455" i="1"/>
  <c r="I4456" i="1"/>
  <c r="I4457" i="1"/>
  <c r="I4458" i="1"/>
  <c r="I4459" i="1"/>
  <c r="I4460" i="1"/>
  <c r="I4461" i="1"/>
  <c r="I4462" i="1"/>
  <c r="I4463" i="1"/>
  <c r="I4464" i="1"/>
  <c r="I4465" i="1"/>
  <c r="I4466" i="1"/>
  <c r="I4467" i="1"/>
  <c r="I4468" i="1"/>
  <c r="I4469" i="1"/>
  <c r="I4470" i="1"/>
  <c r="I4471" i="1"/>
  <c r="I4472" i="1"/>
  <c r="I4473" i="1"/>
  <c r="I4474" i="1"/>
  <c r="I4475" i="1"/>
  <c r="I4476" i="1"/>
  <c r="I4477" i="1"/>
  <c r="I4478" i="1"/>
  <c r="I4479" i="1"/>
  <c r="I4480" i="1"/>
  <c r="I4481" i="1"/>
  <c r="I4482" i="1"/>
  <c r="I4483" i="1"/>
  <c r="I4484" i="1"/>
  <c r="I4485" i="1"/>
  <c r="I4486" i="1"/>
  <c r="I4487" i="1"/>
  <c r="I4488" i="1"/>
  <c r="I4489" i="1"/>
  <c r="I4490" i="1"/>
  <c r="I4491" i="1"/>
  <c r="I4492" i="1"/>
  <c r="I4493" i="1"/>
  <c r="I4494" i="1"/>
  <c r="I4495" i="1"/>
  <c r="I4496" i="1"/>
  <c r="I4497" i="1"/>
  <c r="I4498" i="1"/>
  <c r="I4499" i="1"/>
  <c r="I4500" i="1"/>
  <c r="I4501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62" i="1"/>
  <c r="D3" i="1" l="1"/>
  <c r="E3" i="1"/>
  <c r="F3" i="1"/>
  <c r="G3" i="1"/>
  <c r="H3" i="1"/>
  <c r="D4" i="1"/>
  <c r="E4" i="1"/>
  <c r="F4" i="1"/>
  <c r="G4" i="1"/>
  <c r="H4" i="1"/>
  <c r="D5" i="1"/>
  <c r="E5" i="1"/>
  <c r="F5" i="1"/>
  <c r="G5" i="1"/>
  <c r="H5" i="1"/>
  <c r="D6" i="1"/>
  <c r="E6" i="1"/>
  <c r="F6" i="1"/>
  <c r="G6" i="1"/>
  <c r="H6" i="1"/>
  <c r="D7" i="1"/>
  <c r="E7" i="1"/>
  <c r="F7" i="1"/>
  <c r="G7" i="1"/>
  <c r="H7" i="1"/>
  <c r="D8" i="1"/>
  <c r="E8" i="1"/>
  <c r="F8" i="1"/>
  <c r="G8" i="1"/>
  <c r="H8" i="1"/>
  <c r="D9" i="1"/>
  <c r="E9" i="1"/>
  <c r="F9" i="1"/>
  <c r="G9" i="1"/>
  <c r="H9" i="1"/>
  <c r="D10" i="1"/>
  <c r="E10" i="1"/>
  <c r="F10" i="1"/>
  <c r="G10" i="1"/>
  <c r="H10" i="1"/>
  <c r="D11" i="1"/>
  <c r="E11" i="1"/>
  <c r="F11" i="1"/>
  <c r="G11" i="1"/>
  <c r="H11" i="1"/>
  <c r="D12" i="1"/>
  <c r="E12" i="1"/>
  <c r="F12" i="1"/>
  <c r="G12" i="1"/>
  <c r="H12" i="1"/>
  <c r="D13" i="1"/>
  <c r="E13" i="1"/>
  <c r="F13" i="1"/>
  <c r="G13" i="1"/>
  <c r="H13" i="1"/>
  <c r="D14" i="1"/>
  <c r="E14" i="1"/>
  <c r="F14" i="1"/>
  <c r="G14" i="1"/>
  <c r="H14" i="1"/>
  <c r="D15" i="1"/>
  <c r="E15" i="1"/>
  <c r="F15" i="1"/>
  <c r="G15" i="1"/>
  <c r="H15" i="1"/>
  <c r="D16" i="1"/>
  <c r="E16" i="1"/>
  <c r="F16" i="1"/>
  <c r="G16" i="1"/>
  <c r="H16" i="1"/>
  <c r="D17" i="1"/>
  <c r="E17" i="1"/>
  <c r="F17" i="1"/>
  <c r="G17" i="1"/>
  <c r="H17" i="1"/>
  <c r="D18" i="1"/>
  <c r="E18" i="1"/>
  <c r="F18" i="1"/>
  <c r="G18" i="1"/>
  <c r="H18" i="1"/>
  <c r="D19" i="1"/>
  <c r="E19" i="1"/>
  <c r="F19" i="1"/>
  <c r="G19" i="1"/>
  <c r="H19" i="1"/>
  <c r="D20" i="1"/>
  <c r="E20" i="1"/>
  <c r="F20" i="1"/>
  <c r="G20" i="1"/>
  <c r="H20" i="1"/>
  <c r="D21" i="1"/>
  <c r="E21" i="1"/>
  <c r="F21" i="1"/>
  <c r="G21" i="1"/>
  <c r="H21" i="1"/>
  <c r="D22" i="1"/>
  <c r="E22" i="1"/>
  <c r="F22" i="1"/>
  <c r="G22" i="1"/>
  <c r="H22" i="1"/>
  <c r="D23" i="1"/>
  <c r="E23" i="1"/>
  <c r="F23" i="1"/>
  <c r="G23" i="1"/>
  <c r="H23" i="1"/>
  <c r="D24" i="1"/>
  <c r="E24" i="1"/>
  <c r="F24" i="1"/>
  <c r="G24" i="1"/>
  <c r="H24" i="1"/>
  <c r="D25" i="1"/>
  <c r="E25" i="1"/>
  <c r="F25" i="1"/>
  <c r="G25" i="1"/>
  <c r="H25" i="1"/>
  <c r="D26" i="1"/>
  <c r="E26" i="1"/>
  <c r="F26" i="1"/>
  <c r="G26" i="1"/>
  <c r="H26" i="1"/>
  <c r="D27" i="1"/>
  <c r="E27" i="1"/>
  <c r="F27" i="1"/>
  <c r="G27" i="1"/>
  <c r="H27" i="1"/>
  <c r="D28" i="1"/>
  <c r="E28" i="1"/>
  <c r="F28" i="1"/>
  <c r="G28" i="1"/>
  <c r="H28" i="1"/>
  <c r="D29" i="1"/>
  <c r="E29" i="1"/>
  <c r="F29" i="1"/>
  <c r="G29" i="1"/>
  <c r="H29" i="1"/>
  <c r="D30" i="1"/>
  <c r="E30" i="1"/>
  <c r="F30" i="1"/>
  <c r="G30" i="1"/>
  <c r="H30" i="1"/>
  <c r="D31" i="1"/>
  <c r="E31" i="1"/>
  <c r="F31" i="1"/>
  <c r="G31" i="1"/>
  <c r="H31" i="1"/>
  <c r="D32" i="1"/>
  <c r="E32" i="1"/>
  <c r="F32" i="1"/>
  <c r="G32" i="1"/>
  <c r="H32" i="1"/>
  <c r="D33" i="1"/>
  <c r="E33" i="1"/>
  <c r="F33" i="1"/>
  <c r="G33" i="1"/>
  <c r="H33" i="1"/>
  <c r="D34" i="1"/>
  <c r="E34" i="1"/>
  <c r="F34" i="1"/>
  <c r="G34" i="1"/>
  <c r="H34" i="1"/>
  <c r="D35" i="1"/>
  <c r="E35" i="1"/>
  <c r="F35" i="1"/>
  <c r="G35" i="1"/>
  <c r="H35" i="1"/>
  <c r="D36" i="1"/>
  <c r="E36" i="1"/>
  <c r="F36" i="1"/>
  <c r="G36" i="1"/>
  <c r="H36" i="1"/>
  <c r="D37" i="1"/>
  <c r="E37" i="1"/>
  <c r="F37" i="1"/>
  <c r="G37" i="1"/>
  <c r="H37" i="1"/>
  <c r="D38" i="1"/>
  <c r="E38" i="1"/>
  <c r="F38" i="1"/>
  <c r="G38" i="1"/>
  <c r="H38" i="1"/>
  <c r="D39" i="1"/>
  <c r="E39" i="1"/>
  <c r="F39" i="1"/>
  <c r="G39" i="1"/>
  <c r="H39" i="1"/>
  <c r="D40" i="1"/>
  <c r="E40" i="1"/>
  <c r="F40" i="1"/>
  <c r="G40" i="1"/>
  <c r="H40" i="1"/>
  <c r="D41" i="1"/>
  <c r="E41" i="1"/>
  <c r="F41" i="1"/>
  <c r="G41" i="1"/>
  <c r="H41" i="1"/>
  <c r="D42" i="1"/>
  <c r="E42" i="1"/>
  <c r="F42" i="1"/>
  <c r="G42" i="1"/>
  <c r="H42" i="1"/>
  <c r="D43" i="1"/>
  <c r="E43" i="1"/>
  <c r="F43" i="1"/>
  <c r="G43" i="1"/>
  <c r="H43" i="1"/>
  <c r="D44" i="1"/>
  <c r="E44" i="1"/>
  <c r="F44" i="1"/>
  <c r="G44" i="1"/>
  <c r="H44" i="1"/>
  <c r="D45" i="1"/>
  <c r="E45" i="1"/>
  <c r="F45" i="1"/>
  <c r="G45" i="1"/>
  <c r="H45" i="1"/>
  <c r="D46" i="1"/>
  <c r="E46" i="1"/>
  <c r="F46" i="1"/>
  <c r="G46" i="1"/>
  <c r="H46" i="1"/>
  <c r="D47" i="1"/>
  <c r="E47" i="1"/>
  <c r="F47" i="1"/>
  <c r="G47" i="1"/>
  <c r="H47" i="1"/>
  <c r="D48" i="1"/>
  <c r="E48" i="1"/>
  <c r="F48" i="1"/>
  <c r="G48" i="1"/>
  <c r="H48" i="1"/>
  <c r="D49" i="1"/>
  <c r="E49" i="1"/>
  <c r="F49" i="1"/>
  <c r="G49" i="1"/>
  <c r="H49" i="1"/>
  <c r="D50" i="1"/>
  <c r="E50" i="1"/>
  <c r="F50" i="1"/>
  <c r="G50" i="1"/>
  <c r="H50" i="1"/>
  <c r="D51" i="1"/>
  <c r="E51" i="1"/>
  <c r="F51" i="1"/>
  <c r="G51" i="1"/>
  <c r="H51" i="1"/>
  <c r="D52" i="1"/>
  <c r="E52" i="1"/>
  <c r="F52" i="1"/>
  <c r="G52" i="1"/>
  <c r="H52" i="1"/>
  <c r="D53" i="1"/>
  <c r="E53" i="1"/>
  <c r="F53" i="1"/>
  <c r="G53" i="1"/>
  <c r="H53" i="1"/>
  <c r="D54" i="1"/>
  <c r="E54" i="1"/>
  <c r="F54" i="1"/>
  <c r="G54" i="1"/>
  <c r="H54" i="1"/>
  <c r="D55" i="1"/>
  <c r="E55" i="1"/>
  <c r="F55" i="1"/>
  <c r="G55" i="1"/>
  <c r="H55" i="1"/>
  <c r="D56" i="1"/>
  <c r="E56" i="1"/>
  <c r="F56" i="1"/>
  <c r="G56" i="1"/>
  <c r="H56" i="1"/>
  <c r="D57" i="1"/>
  <c r="E57" i="1"/>
  <c r="F57" i="1"/>
  <c r="G57" i="1"/>
  <c r="H57" i="1"/>
  <c r="D58" i="1"/>
  <c r="E58" i="1"/>
  <c r="F58" i="1"/>
  <c r="G58" i="1"/>
  <c r="H58" i="1"/>
  <c r="D59" i="1"/>
  <c r="E59" i="1"/>
  <c r="F59" i="1"/>
  <c r="G59" i="1"/>
  <c r="H59" i="1"/>
  <c r="D60" i="1"/>
  <c r="E60" i="1"/>
  <c r="F60" i="1"/>
  <c r="G60" i="1"/>
  <c r="H60" i="1"/>
  <c r="D61" i="1"/>
  <c r="E61" i="1"/>
  <c r="F61" i="1"/>
  <c r="G61" i="1"/>
  <c r="H61" i="1"/>
  <c r="D62" i="1"/>
  <c r="E62" i="1"/>
  <c r="F62" i="1"/>
  <c r="G62" i="1"/>
  <c r="H62" i="1"/>
  <c r="D63" i="1"/>
  <c r="E63" i="1"/>
  <c r="F63" i="1"/>
  <c r="G63" i="1"/>
  <c r="H63" i="1"/>
  <c r="D64" i="1"/>
  <c r="E64" i="1"/>
  <c r="F64" i="1"/>
  <c r="G64" i="1"/>
  <c r="H64" i="1"/>
  <c r="D65" i="1"/>
  <c r="E65" i="1"/>
  <c r="F65" i="1"/>
  <c r="G65" i="1"/>
  <c r="H65" i="1"/>
  <c r="D66" i="1"/>
  <c r="E66" i="1"/>
  <c r="F66" i="1"/>
  <c r="G66" i="1"/>
  <c r="H66" i="1"/>
  <c r="D67" i="1"/>
  <c r="E67" i="1"/>
  <c r="F67" i="1"/>
  <c r="G67" i="1"/>
  <c r="H67" i="1"/>
  <c r="D68" i="1"/>
  <c r="E68" i="1"/>
  <c r="F68" i="1"/>
  <c r="G68" i="1"/>
  <c r="H68" i="1"/>
  <c r="D69" i="1"/>
  <c r="E69" i="1"/>
  <c r="F69" i="1"/>
  <c r="G69" i="1"/>
  <c r="H69" i="1"/>
  <c r="D70" i="1"/>
  <c r="E70" i="1"/>
  <c r="F70" i="1"/>
  <c r="G70" i="1"/>
  <c r="H70" i="1"/>
  <c r="D71" i="1"/>
  <c r="E71" i="1"/>
  <c r="F71" i="1"/>
  <c r="G71" i="1"/>
  <c r="H71" i="1"/>
  <c r="D72" i="1"/>
  <c r="E72" i="1"/>
  <c r="F72" i="1"/>
  <c r="G72" i="1"/>
  <c r="H72" i="1"/>
  <c r="D73" i="1"/>
  <c r="E73" i="1"/>
  <c r="F73" i="1"/>
  <c r="G73" i="1"/>
  <c r="H73" i="1"/>
  <c r="D74" i="1"/>
  <c r="E74" i="1"/>
  <c r="F74" i="1"/>
  <c r="G74" i="1"/>
  <c r="H74" i="1"/>
  <c r="D75" i="1"/>
  <c r="E75" i="1"/>
  <c r="F75" i="1"/>
  <c r="G75" i="1"/>
  <c r="H75" i="1"/>
  <c r="D76" i="1"/>
  <c r="E76" i="1"/>
  <c r="F76" i="1"/>
  <c r="G76" i="1"/>
  <c r="H76" i="1"/>
  <c r="D77" i="1"/>
  <c r="E77" i="1"/>
  <c r="F77" i="1"/>
  <c r="G77" i="1"/>
  <c r="H77" i="1"/>
  <c r="D78" i="1"/>
  <c r="E78" i="1"/>
  <c r="F78" i="1"/>
  <c r="G78" i="1"/>
  <c r="H78" i="1"/>
  <c r="D79" i="1"/>
  <c r="E79" i="1"/>
  <c r="F79" i="1"/>
  <c r="G79" i="1"/>
  <c r="H79" i="1"/>
  <c r="D80" i="1"/>
  <c r="E80" i="1"/>
  <c r="F80" i="1"/>
  <c r="G80" i="1"/>
  <c r="H80" i="1"/>
  <c r="D81" i="1"/>
  <c r="E81" i="1"/>
  <c r="F81" i="1"/>
  <c r="G81" i="1"/>
  <c r="H81" i="1"/>
  <c r="D82" i="1"/>
  <c r="E82" i="1"/>
  <c r="F82" i="1"/>
  <c r="G82" i="1"/>
  <c r="H82" i="1"/>
  <c r="D83" i="1"/>
  <c r="E83" i="1"/>
  <c r="F83" i="1"/>
  <c r="G83" i="1"/>
  <c r="H83" i="1"/>
  <c r="D84" i="1"/>
  <c r="E84" i="1"/>
  <c r="F84" i="1"/>
  <c r="G84" i="1"/>
  <c r="H84" i="1"/>
  <c r="D85" i="1"/>
  <c r="E85" i="1"/>
  <c r="F85" i="1"/>
  <c r="G85" i="1"/>
  <c r="H85" i="1"/>
  <c r="D86" i="1"/>
  <c r="E86" i="1"/>
  <c r="F86" i="1"/>
  <c r="G86" i="1"/>
  <c r="H86" i="1"/>
  <c r="D87" i="1"/>
  <c r="E87" i="1"/>
  <c r="F87" i="1"/>
  <c r="G87" i="1"/>
  <c r="H87" i="1"/>
  <c r="D88" i="1"/>
  <c r="E88" i="1"/>
  <c r="F88" i="1"/>
  <c r="G88" i="1"/>
  <c r="H88" i="1"/>
  <c r="D89" i="1"/>
  <c r="E89" i="1"/>
  <c r="F89" i="1"/>
  <c r="G89" i="1"/>
  <c r="H89" i="1"/>
  <c r="D90" i="1"/>
  <c r="E90" i="1"/>
  <c r="F90" i="1"/>
  <c r="G90" i="1"/>
  <c r="H90" i="1"/>
  <c r="D91" i="1"/>
  <c r="E91" i="1"/>
  <c r="F91" i="1"/>
  <c r="G91" i="1"/>
  <c r="H91" i="1"/>
  <c r="D92" i="1"/>
  <c r="E92" i="1"/>
  <c r="F92" i="1"/>
  <c r="G92" i="1"/>
  <c r="H92" i="1"/>
  <c r="D93" i="1"/>
  <c r="E93" i="1"/>
  <c r="F93" i="1"/>
  <c r="G93" i="1"/>
  <c r="H93" i="1"/>
  <c r="D94" i="1"/>
  <c r="E94" i="1"/>
  <c r="F94" i="1"/>
  <c r="G94" i="1"/>
  <c r="H94" i="1"/>
  <c r="D95" i="1"/>
  <c r="E95" i="1"/>
  <c r="F95" i="1"/>
  <c r="G95" i="1"/>
  <c r="H95" i="1"/>
  <c r="D96" i="1"/>
  <c r="E96" i="1"/>
  <c r="F96" i="1"/>
  <c r="G96" i="1"/>
  <c r="H96" i="1"/>
  <c r="D97" i="1"/>
  <c r="E97" i="1"/>
  <c r="F97" i="1"/>
  <c r="G97" i="1"/>
  <c r="H97" i="1"/>
  <c r="D98" i="1"/>
  <c r="E98" i="1"/>
  <c r="F98" i="1"/>
  <c r="G98" i="1"/>
  <c r="H98" i="1"/>
  <c r="D99" i="1"/>
  <c r="E99" i="1"/>
  <c r="F99" i="1"/>
  <c r="G99" i="1"/>
  <c r="H99" i="1"/>
  <c r="D100" i="1"/>
  <c r="E100" i="1"/>
  <c r="F100" i="1"/>
  <c r="G100" i="1"/>
  <c r="H100" i="1"/>
  <c r="D101" i="1"/>
  <c r="E101" i="1"/>
  <c r="F101" i="1"/>
  <c r="G101" i="1"/>
  <c r="H101" i="1"/>
  <c r="D102" i="1"/>
  <c r="E102" i="1"/>
  <c r="F102" i="1"/>
  <c r="G102" i="1"/>
  <c r="H102" i="1"/>
  <c r="D103" i="1"/>
  <c r="E103" i="1"/>
  <c r="F103" i="1"/>
  <c r="G103" i="1"/>
  <c r="H103" i="1"/>
  <c r="D104" i="1"/>
  <c r="E104" i="1"/>
  <c r="F104" i="1"/>
  <c r="G104" i="1"/>
  <c r="H104" i="1"/>
  <c r="D105" i="1"/>
  <c r="E105" i="1"/>
  <c r="F105" i="1"/>
  <c r="G105" i="1"/>
  <c r="H105" i="1"/>
  <c r="D106" i="1"/>
  <c r="E106" i="1"/>
  <c r="F106" i="1"/>
  <c r="G106" i="1"/>
  <c r="H106" i="1"/>
  <c r="D107" i="1"/>
  <c r="E107" i="1"/>
  <c r="F107" i="1"/>
  <c r="G107" i="1"/>
  <c r="H107" i="1"/>
  <c r="D108" i="1"/>
  <c r="E108" i="1"/>
  <c r="F108" i="1"/>
  <c r="G108" i="1"/>
  <c r="H108" i="1"/>
  <c r="D109" i="1"/>
  <c r="E109" i="1"/>
  <c r="F109" i="1"/>
  <c r="G109" i="1"/>
  <c r="H109" i="1"/>
  <c r="D110" i="1"/>
  <c r="E110" i="1"/>
  <c r="F110" i="1"/>
  <c r="G110" i="1"/>
  <c r="H110" i="1"/>
  <c r="D111" i="1"/>
  <c r="E111" i="1"/>
  <c r="F111" i="1"/>
  <c r="G111" i="1"/>
  <c r="H111" i="1"/>
  <c r="D112" i="1"/>
  <c r="E112" i="1"/>
  <c r="F112" i="1"/>
  <c r="G112" i="1"/>
  <c r="H112" i="1"/>
  <c r="D113" i="1"/>
  <c r="E113" i="1"/>
  <c r="F113" i="1"/>
  <c r="G113" i="1"/>
  <c r="H113" i="1"/>
  <c r="D114" i="1"/>
  <c r="E114" i="1"/>
  <c r="F114" i="1"/>
  <c r="G114" i="1"/>
  <c r="H114" i="1"/>
  <c r="D115" i="1"/>
  <c r="E115" i="1"/>
  <c r="F115" i="1"/>
  <c r="G115" i="1"/>
  <c r="H115" i="1"/>
  <c r="D116" i="1"/>
  <c r="E116" i="1"/>
  <c r="F116" i="1"/>
  <c r="G116" i="1"/>
  <c r="H116" i="1"/>
  <c r="D117" i="1"/>
  <c r="E117" i="1"/>
  <c r="F117" i="1"/>
  <c r="G117" i="1"/>
  <c r="H117" i="1"/>
  <c r="D118" i="1"/>
  <c r="E118" i="1"/>
  <c r="F118" i="1"/>
  <c r="G118" i="1"/>
  <c r="H118" i="1"/>
  <c r="D119" i="1"/>
  <c r="E119" i="1"/>
  <c r="F119" i="1"/>
  <c r="G119" i="1"/>
  <c r="H119" i="1"/>
  <c r="D120" i="1"/>
  <c r="E120" i="1"/>
  <c r="F120" i="1"/>
  <c r="G120" i="1"/>
  <c r="H120" i="1"/>
  <c r="D121" i="1"/>
  <c r="E121" i="1"/>
  <c r="F121" i="1"/>
  <c r="G121" i="1"/>
  <c r="H121" i="1"/>
  <c r="D122" i="1"/>
  <c r="E122" i="1"/>
  <c r="F122" i="1"/>
  <c r="G122" i="1"/>
  <c r="H122" i="1"/>
  <c r="D123" i="1"/>
  <c r="E123" i="1"/>
  <c r="F123" i="1"/>
  <c r="G123" i="1"/>
  <c r="H123" i="1"/>
  <c r="D124" i="1"/>
  <c r="E124" i="1"/>
  <c r="F124" i="1"/>
  <c r="G124" i="1"/>
  <c r="H124" i="1"/>
  <c r="D125" i="1"/>
  <c r="E125" i="1"/>
  <c r="F125" i="1"/>
  <c r="G125" i="1"/>
  <c r="H125" i="1"/>
  <c r="D126" i="1"/>
  <c r="E126" i="1"/>
  <c r="F126" i="1"/>
  <c r="G126" i="1"/>
  <c r="H126" i="1"/>
  <c r="D127" i="1"/>
  <c r="E127" i="1"/>
  <c r="F127" i="1"/>
  <c r="G127" i="1"/>
  <c r="H127" i="1"/>
  <c r="D128" i="1"/>
  <c r="E128" i="1"/>
  <c r="F128" i="1"/>
  <c r="G128" i="1"/>
  <c r="H128" i="1"/>
  <c r="D129" i="1"/>
  <c r="E129" i="1"/>
  <c r="F129" i="1"/>
  <c r="G129" i="1"/>
  <c r="H129" i="1"/>
  <c r="D130" i="1"/>
  <c r="E130" i="1"/>
  <c r="F130" i="1"/>
  <c r="G130" i="1"/>
  <c r="H130" i="1"/>
  <c r="D131" i="1"/>
  <c r="E131" i="1"/>
  <c r="F131" i="1"/>
  <c r="G131" i="1"/>
  <c r="H131" i="1"/>
  <c r="D132" i="1"/>
  <c r="E132" i="1"/>
  <c r="F132" i="1"/>
  <c r="G132" i="1"/>
  <c r="H132" i="1"/>
  <c r="D133" i="1"/>
  <c r="E133" i="1"/>
  <c r="F133" i="1"/>
  <c r="G133" i="1"/>
  <c r="H133" i="1"/>
  <c r="D134" i="1"/>
  <c r="E134" i="1"/>
  <c r="F134" i="1"/>
  <c r="G134" i="1"/>
  <c r="H134" i="1"/>
  <c r="D135" i="1"/>
  <c r="E135" i="1"/>
  <c r="F135" i="1"/>
  <c r="G135" i="1"/>
  <c r="H135" i="1"/>
  <c r="D136" i="1"/>
  <c r="E136" i="1"/>
  <c r="F136" i="1"/>
  <c r="G136" i="1"/>
  <c r="H136" i="1"/>
  <c r="D137" i="1"/>
  <c r="E137" i="1"/>
  <c r="F137" i="1"/>
  <c r="G137" i="1"/>
  <c r="H137" i="1"/>
  <c r="D138" i="1"/>
  <c r="E138" i="1"/>
  <c r="F138" i="1"/>
  <c r="G138" i="1"/>
  <c r="H138" i="1"/>
  <c r="D139" i="1"/>
  <c r="E139" i="1"/>
  <c r="F139" i="1"/>
  <c r="G139" i="1"/>
  <c r="H139" i="1"/>
  <c r="D140" i="1"/>
  <c r="E140" i="1"/>
  <c r="F140" i="1"/>
  <c r="G140" i="1"/>
  <c r="H140" i="1"/>
  <c r="D141" i="1"/>
  <c r="E141" i="1"/>
  <c r="F141" i="1"/>
  <c r="G141" i="1"/>
  <c r="H141" i="1"/>
  <c r="D142" i="1"/>
  <c r="E142" i="1"/>
  <c r="F142" i="1"/>
  <c r="G142" i="1"/>
  <c r="H142" i="1"/>
  <c r="D143" i="1"/>
  <c r="E143" i="1"/>
  <c r="F143" i="1"/>
  <c r="G143" i="1"/>
  <c r="H143" i="1"/>
  <c r="D144" i="1"/>
  <c r="E144" i="1"/>
  <c r="F144" i="1"/>
  <c r="G144" i="1"/>
  <c r="H144" i="1"/>
  <c r="D145" i="1"/>
  <c r="E145" i="1"/>
  <c r="F145" i="1"/>
  <c r="G145" i="1"/>
  <c r="H145" i="1"/>
  <c r="D146" i="1"/>
  <c r="E146" i="1"/>
  <c r="F146" i="1"/>
  <c r="G146" i="1"/>
  <c r="H146" i="1"/>
  <c r="D147" i="1"/>
  <c r="E147" i="1"/>
  <c r="F147" i="1"/>
  <c r="G147" i="1"/>
  <c r="H147" i="1"/>
  <c r="D148" i="1"/>
  <c r="E148" i="1"/>
  <c r="F148" i="1"/>
  <c r="G148" i="1"/>
  <c r="H148" i="1"/>
  <c r="D149" i="1"/>
  <c r="E149" i="1"/>
  <c r="F149" i="1"/>
  <c r="G149" i="1"/>
  <c r="H149" i="1"/>
  <c r="D150" i="1"/>
  <c r="E150" i="1"/>
  <c r="F150" i="1"/>
  <c r="G150" i="1"/>
  <c r="H150" i="1"/>
  <c r="D151" i="1"/>
  <c r="E151" i="1"/>
  <c r="F151" i="1"/>
  <c r="G151" i="1"/>
  <c r="H151" i="1"/>
  <c r="D152" i="1"/>
  <c r="E152" i="1"/>
  <c r="F152" i="1"/>
  <c r="G152" i="1"/>
  <c r="H152" i="1"/>
  <c r="D153" i="1"/>
  <c r="E153" i="1"/>
  <c r="F153" i="1"/>
  <c r="G153" i="1"/>
  <c r="H153" i="1"/>
  <c r="D154" i="1"/>
  <c r="E154" i="1"/>
  <c r="F154" i="1"/>
  <c r="G154" i="1"/>
  <c r="H154" i="1"/>
  <c r="D155" i="1"/>
  <c r="E155" i="1"/>
  <c r="F155" i="1"/>
  <c r="G155" i="1"/>
  <c r="H155" i="1"/>
  <c r="D156" i="1"/>
  <c r="E156" i="1"/>
  <c r="F156" i="1"/>
  <c r="G156" i="1"/>
  <c r="H156" i="1"/>
  <c r="D157" i="1"/>
  <c r="E157" i="1"/>
  <c r="F157" i="1"/>
  <c r="G157" i="1"/>
  <c r="H157" i="1"/>
  <c r="D158" i="1"/>
  <c r="E158" i="1"/>
  <c r="F158" i="1"/>
  <c r="G158" i="1"/>
  <c r="H158" i="1"/>
  <c r="D159" i="1"/>
  <c r="E159" i="1"/>
  <c r="F159" i="1"/>
  <c r="G159" i="1"/>
  <c r="H159" i="1"/>
  <c r="D160" i="1"/>
  <c r="E160" i="1"/>
  <c r="F160" i="1"/>
  <c r="G160" i="1"/>
  <c r="H160" i="1"/>
  <c r="D161" i="1"/>
  <c r="E161" i="1"/>
  <c r="F161" i="1"/>
  <c r="G161" i="1"/>
  <c r="H161" i="1"/>
  <c r="D162" i="1"/>
  <c r="E162" i="1"/>
  <c r="F162" i="1"/>
  <c r="G162" i="1"/>
  <c r="H162" i="1"/>
  <c r="D163" i="1"/>
  <c r="E163" i="1"/>
  <c r="F163" i="1"/>
  <c r="G163" i="1"/>
  <c r="H163" i="1"/>
  <c r="D164" i="1"/>
  <c r="E164" i="1"/>
  <c r="F164" i="1"/>
  <c r="G164" i="1"/>
  <c r="H164" i="1"/>
  <c r="D165" i="1"/>
  <c r="E165" i="1"/>
  <c r="F165" i="1"/>
  <c r="G165" i="1"/>
  <c r="H165" i="1"/>
  <c r="D166" i="1"/>
  <c r="E166" i="1"/>
  <c r="F166" i="1"/>
  <c r="G166" i="1"/>
  <c r="H166" i="1"/>
  <c r="D167" i="1"/>
  <c r="E167" i="1"/>
  <c r="F167" i="1"/>
  <c r="G167" i="1"/>
  <c r="H167" i="1"/>
  <c r="D168" i="1"/>
  <c r="E168" i="1"/>
  <c r="F168" i="1"/>
  <c r="G168" i="1"/>
  <c r="H168" i="1"/>
  <c r="D169" i="1"/>
  <c r="E169" i="1"/>
  <c r="F169" i="1"/>
  <c r="G169" i="1"/>
  <c r="H169" i="1"/>
  <c r="D170" i="1"/>
  <c r="E170" i="1"/>
  <c r="F170" i="1"/>
  <c r="G170" i="1"/>
  <c r="H170" i="1"/>
  <c r="D171" i="1"/>
  <c r="E171" i="1"/>
  <c r="F171" i="1"/>
  <c r="G171" i="1"/>
  <c r="H171" i="1"/>
  <c r="D172" i="1"/>
  <c r="E172" i="1"/>
  <c r="F172" i="1"/>
  <c r="G172" i="1"/>
  <c r="H172" i="1"/>
  <c r="D173" i="1"/>
  <c r="E173" i="1"/>
  <c r="F173" i="1"/>
  <c r="G173" i="1"/>
  <c r="H173" i="1"/>
  <c r="D174" i="1"/>
  <c r="E174" i="1"/>
  <c r="F174" i="1"/>
  <c r="G174" i="1"/>
  <c r="H174" i="1"/>
  <c r="D175" i="1"/>
  <c r="E175" i="1"/>
  <c r="F175" i="1"/>
  <c r="G175" i="1"/>
  <c r="H175" i="1"/>
  <c r="D176" i="1"/>
  <c r="E176" i="1"/>
  <c r="F176" i="1"/>
  <c r="G176" i="1"/>
  <c r="H176" i="1"/>
  <c r="D177" i="1"/>
  <c r="E177" i="1"/>
  <c r="F177" i="1"/>
  <c r="G177" i="1"/>
  <c r="H177" i="1"/>
  <c r="D178" i="1"/>
  <c r="E178" i="1"/>
  <c r="F178" i="1"/>
  <c r="G178" i="1"/>
  <c r="H178" i="1"/>
  <c r="D179" i="1"/>
  <c r="E179" i="1"/>
  <c r="F179" i="1"/>
  <c r="G179" i="1"/>
  <c r="H179" i="1"/>
  <c r="D180" i="1"/>
  <c r="E180" i="1"/>
  <c r="F180" i="1"/>
  <c r="G180" i="1"/>
  <c r="H180" i="1"/>
  <c r="D181" i="1"/>
  <c r="E181" i="1"/>
  <c r="F181" i="1"/>
  <c r="G181" i="1"/>
  <c r="H181" i="1"/>
  <c r="D182" i="1"/>
  <c r="E182" i="1"/>
  <c r="F182" i="1"/>
  <c r="G182" i="1"/>
  <c r="H182" i="1"/>
  <c r="D183" i="1"/>
  <c r="E183" i="1"/>
  <c r="F183" i="1"/>
  <c r="G183" i="1"/>
  <c r="H183" i="1"/>
  <c r="D184" i="1"/>
  <c r="E184" i="1"/>
  <c r="F184" i="1"/>
  <c r="G184" i="1"/>
  <c r="H184" i="1"/>
  <c r="D185" i="1"/>
  <c r="E185" i="1"/>
  <c r="F185" i="1"/>
  <c r="G185" i="1"/>
  <c r="H185" i="1"/>
  <c r="D186" i="1"/>
  <c r="E186" i="1"/>
  <c r="F186" i="1"/>
  <c r="G186" i="1"/>
  <c r="H186" i="1"/>
  <c r="D187" i="1"/>
  <c r="E187" i="1"/>
  <c r="F187" i="1"/>
  <c r="G187" i="1"/>
  <c r="H187" i="1"/>
  <c r="D188" i="1"/>
  <c r="E188" i="1"/>
  <c r="F188" i="1"/>
  <c r="G188" i="1"/>
  <c r="H188" i="1"/>
  <c r="D189" i="1"/>
  <c r="E189" i="1"/>
  <c r="F189" i="1"/>
  <c r="G189" i="1"/>
  <c r="H189" i="1"/>
  <c r="D190" i="1"/>
  <c r="E190" i="1"/>
  <c r="F190" i="1"/>
  <c r="G190" i="1"/>
  <c r="H190" i="1"/>
  <c r="D191" i="1"/>
  <c r="E191" i="1"/>
  <c r="F191" i="1"/>
  <c r="G191" i="1"/>
  <c r="H191" i="1"/>
  <c r="D192" i="1"/>
  <c r="E192" i="1"/>
  <c r="F192" i="1"/>
  <c r="G192" i="1"/>
  <c r="H192" i="1"/>
  <c r="D193" i="1"/>
  <c r="E193" i="1"/>
  <c r="F193" i="1"/>
  <c r="G193" i="1"/>
  <c r="H193" i="1"/>
  <c r="D194" i="1"/>
  <c r="E194" i="1"/>
  <c r="F194" i="1"/>
  <c r="G194" i="1"/>
  <c r="H194" i="1"/>
  <c r="D195" i="1"/>
  <c r="E195" i="1"/>
  <c r="F195" i="1"/>
  <c r="G195" i="1"/>
  <c r="H195" i="1"/>
  <c r="D196" i="1"/>
  <c r="E196" i="1"/>
  <c r="F196" i="1"/>
  <c r="G196" i="1"/>
  <c r="H196" i="1"/>
  <c r="D197" i="1"/>
  <c r="E197" i="1"/>
  <c r="F197" i="1"/>
  <c r="G197" i="1"/>
  <c r="H197" i="1"/>
  <c r="D198" i="1"/>
  <c r="E198" i="1"/>
  <c r="F198" i="1"/>
  <c r="G198" i="1"/>
  <c r="H198" i="1"/>
  <c r="D199" i="1"/>
  <c r="E199" i="1"/>
  <c r="F199" i="1"/>
  <c r="G199" i="1"/>
  <c r="H199" i="1"/>
  <c r="D200" i="1"/>
  <c r="E200" i="1"/>
  <c r="F200" i="1"/>
  <c r="G200" i="1"/>
  <c r="H200" i="1"/>
  <c r="D201" i="1"/>
  <c r="E201" i="1"/>
  <c r="F201" i="1"/>
  <c r="G201" i="1"/>
  <c r="H201" i="1"/>
  <c r="D202" i="1"/>
  <c r="E202" i="1"/>
  <c r="F202" i="1"/>
  <c r="G202" i="1"/>
  <c r="H202" i="1"/>
  <c r="D203" i="1"/>
  <c r="E203" i="1"/>
  <c r="F203" i="1"/>
  <c r="G203" i="1"/>
  <c r="H203" i="1"/>
  <c r="D204" i="1"/>
  <c r="E204" i="1"/>
  <c r="F204" i="1"/>
  <c r="G204" i="1"/>
  <c r="H204" i="1"/>
  <c r="D205" i="1"/>
  <c r="E205" i="1"/>
  <c r="F205" i="1"/>
  <c r="G205" i="1"/>
  <c r="H205" i="1"/>
  <c r="D206" i="1"/>
  <c r="E206" i="1"/>
  <c r="F206" i="1"/>
  <c r="G206" i="1"/>
  <c r="H206" i="1"/>
  <c r="D207" i="1"/>
  <c r="E207" i="1"/>
  <c r="F207" i="1"/>
  <c r="G207" i="1"/>
  <c r="H207" i="1"/>
  <c r="D208" i="1"/>
  <c r="E208" i="1"/>
  <c r="F208" i="1"/>
  <c r="G208" i="1"/>
  <c r="H208" i="1"/>
  <c r="D209" i="1"/>
  <c r="E209" i="1"/>
  <c r="F209" i="1"/>
  <c r="G209" i="1"/>
  <c r="H209" i="1"/>
  <c r="D210" i="1"/>
  <c r="E210" i="1"/>
  <c r="F210" i="1"/>
  <c r="G210" i="1"/>
  <c r="H210" i="1"/>
  <c r="D211" i="1"/>
  <c r="E211" i="1"/>
  <c r="F211" i="1"/>
  <c r="G211" i="1"/>
  <c r="H211" i="1"/>
  <c r="D212" i="1"/>
  <c r="E212" i="1"/>
  <c r="F212" i="1"/>
  <c r="G212" i="1"/>
  <c r="H212" i="1"/>
  <c r="D213" i="1"/>
  <c r="E213" i="1"/>
  <c r="F213" i="1"/>
  <c r="G213" i="1"/>
  <c r="H213" i="1"/>
  <c r="D214" i="1"/>
  <c r="E214" i="1"/>
  <c r="F214" i="1"/>
  <c r="G214" i="1"/>
  <c r="H214" i="1"/>
  <c r="D215" i="1"/>
  <c r="E215" i="1"/>
  <c r="F215" i="1"/>
  <c r="G215" i="1"/>
  <c r="H215" i="1"/>
  <c r="D216" i="1"/>
  <c r="E216" i="1"/>
  <c r="F216" i="1"/>
  <c r="G216" i="1"/>
  <c r="H216" i="1"/>
  <c r="D217" i="1"/>
  <c r="E217" i="1"/>
  <c r="F217" i="1"/>
  <c r="G217" i="1"/>
  <c r="H217" i="1"/>
  <c r="D218" i="1"/>
  <c r="E218" i="1"/>
  <c r="F218" i="1"/>
  <c r="G218" i="1"/>
  <c r="H218" i="1"/>
  <c r="D219" i="1"/>
  <c r="E219" i="1"/>
  <c r="F219" i="1"/>
  <c r="G219" i="1"/>
  <c r="H219" i="1"/>
  <c r="D220" i="1"/>
  <c r="E220" i="1"/>
  <c r="F220" i="1"/>
  <c r="G220" i="1"/>
  <c r="H220" i="1"/>
  <c r="D221" i="1"/>
  <c r="E221" i="1"/>
  <c r="F221" i="1"/>
  <c r="G221" i="1"/>
  <c r="H221" i="1"/>
  <c r="D222" i="1"/>
  <c r="E222" i="1"/>
  <c r="F222" i="1"/>
  <c r="G222" i="1"/>
  <c r="H222" i="1"/>
  <c r="D223" i="1"/>
  <c r="E223" i="1"/>
  <c r="F223" i="1"/>
  <c r="G223" i="1"/>
  <c r="H223" i="1"/>
  <c r="D224" i="1"/>
  <c r="E224" i="1"/>
  <c r="F224" i="1"/>
  <c r="G224" i="1"/>
  <c r="H224" i="1"/>
  <c r="D225" i="1"/>
  <c r="E225" i="1"/>
  <c r="F225" i="1"/>
  <c r="G225" i="1"/>
  <c r="H225" i="1"/>
  <c r="D226" i="1"/>
  <c r="E226" i="1"/>
  <c r="F226" i="1"/>
  <c r="G226" i="1"/>
  <c r="H226" i="1"/>
  <c r="D227" i="1"/>
  <c r="E227" i="1"/>
  <c r="F227" i="1"/>
  <c r="G227" i="1"/>
  <c r="H227" i="1"/>
  <c r="D228" i="1"/>
  <c r="E228" i="1"/>
  <c r="F228" i="1"/>
  <c r="G228" i="1"/>
  <c r="H228" i="1"/>
  <c r="D229" i="1"/>
  <c r="E229" i="1"/>
  <c r="F229" i="1"/>
  <c r="G229" i="1"/>
  <c r="H229" i="1"/>
  <c r="D230" i="1"/>
  <c r="E230" i="1"/>
  <c r="F230" i="1"/>
  <c r="G230" i="1"/>
  <c r="H230" i="1"/>
  <c r="D231" i="1"/>
  <c r="E231" i="1"/>
  <c r="F231" i="1"/>
  <c r="G231" i="1"/>
  <c r="H231" i="1"/>
  <c r="D232" i="1"/>
  <c r="E232" i="1"/>
  <c r="F232" i="1"/>
  <c r="G232" i="1"/>
  <c r="H232" i="1"/>
  <c r="D233" i="1"/>
  <c r="E233" i="1"/>
  <c r="F233" i="1"/>
  <c r="G233" i="1"/>
  <c r="H233" i="1"/>
  <c r="D234" i="1"/>
  <c r="E234" i="1"/>
  <c r="F234" i="1"/>
  <c r="G234" i="1"/>
  <c r="H234" i="1"/>
  <c r="D235" i="1"/>
  <c r="E235" i="1"/>
  <c r="F235" i="1"/>
  <c r="G235" i="1"/>
  <c r="H235" i="1"/>
  <c r="D236" i="1"/>
  <c r="E236" i="1"/>
  <c r="F236" i="1"/>
  <c r="G236" i="1"/>
  <c r="H236" i="1"/>
  <c r="D237" i="1"/>
  <c r="E237" i="1"/>
  <c r="F237" i="1"/>
  <c r="G237" i="1"/>
  <c r="H237" i="1"/>
  <c r="D238" i="1"/>
  <c r="E238" i="1"/>
  <c r="F238" i="1"/>
  <c r="G238" i="1"/>
  <c r="H238" i="1"/>
  <c r="D239" i="1"/>
  <c r="E239" i="1"/>
  <c r="F239" i="1"/>
  <c r="G239" i="1"/>
  <c r="H239" i="1"/>
  <c r="D240" i="1"/>
  <c r="E240" i="1"/>
  <c r="F240" i="1"/>
  <c r="G240" i="1"/>
  <c r="H240" i="1"/>
  <c r="D241" i="1"/>
  <c r="E241" i="1"/>
  <c r="F241" i="1"/>
  <c r="G241" i="1"/>
  <c r="H241" i="1"/>
  <c r="D242" i="1"/>
  <c r="E242" i="1"/>
  <c r="F242" i="1"/>
  <c r="G242" i="1"/>
  <c r="H242" i="1"/>
  <c r="D243" i="1"/>
  <c r="E243" i="1"/>
  <c r="F243" i="1"/>
  <c r="G243" i="1"/>
  <c r="H243" i="1"/>
  <c r="D244" i="1"/>
  <c r="E244" i="1"/>
  <c r="F244" i="1"/>
  <c r="G244" i="1"/>
  <c r="H244" i="1"/>
  <c r="D245" i="1"/>
  <c r="E245" i="1"/>
  <c r="F245" i="1"/>
  <c r="G245" i="1"/>
  <c r="H245" i="1"/>
  <c r="D246" i="1"/>
  <c r="E246" i="1"/>
  <c r="F246" i="1"/>
  <c r="G246" i="1"/>
  <c r="H246" i="1"/>
  <c r="D247" i="1"/>
  <c r="E247" i="1"/>
  <c r="F247" i="1"/>
  <c r="G247" i="1"/>
  <c r="H247" i="1"/>
  <c r="D248" i="1"/>
  <c r="E248" i="1"/>
  <c r="F248" i="1"/>
  <c r="G248" i="1"/>
  <c r="H248" i="1"/>
  <c r="D249" i="1"/>
  <c r="E249" i="1"/>
  <c r="F249" i="1"/>
  <c r="G249" i="1"/>
  <c r="H249" i="1"/>
  <c r="D250" i="1"/>
  <c r="E250" i="1"/>
  <c r="F250" i="1"/>
  <c r="G250" i="1"/>
  <c r="H250" i="1"/>
  <c r="D251" i="1"/>
  <c r="E251" i="1"/>
  <c r="F251" i="1"/>
  <c r="G251" i="1"/>
  <c r="H251" i="1"/>
  <c r="D252" i="1"/>
  <c r="E252" i="1"/>
  <c r="F252" i="1"/>
  <c r="G252" i="1"/>
  <c r="H252" i="1"/>
  <c r="D253" i="1"/>
  <c r="E253" i="1"/>
  <c r="F253" i="1"/>
  <c r="G253" i="1"/>
  <c r="H253" i="1"/>
  <c r="D254" i="1"/>
  <c r="E254" i="1"/>
  <c r="F254" i="1"/>
  <c r="G254" i="1"/>
  <c r="H254" i="1"/>
  <c r="D255" i="1"/>
  <c r="E255" i="1"/>
  <c r="F255" i="1"/>
  <c r="G255" i="1"/>
  <c r="H255" i="1"/>
  <c r="D256" i="1"/>
  <c r="E256" i="1"/>
  <c r="F256" i="1"/>
  <c r="G256" i="1"/>
  <c r="H256" i="1"/>
  <c r="D257" i="1"/>
  <c r="E257" i="1"/>
  <c r="F257" i="1"/>
  <c r="G257" i="1"/>
  <c r="H257" i="1"/>
  <c r="D258" i="1"/>
  <c r="E258" i="1"/>
  <c r="F258" i="1"/>
  <c r="G258" i="1"/>
  <c r="H258" i="1"/>
  <c r="D259" i="1"/>
  <c r="E259" i="1"/>
  <c r="F259" i="1"/>
  <c r="G259" i="1"/>
  <c r="H259" i="1"/>
  <c r="D260" i="1"/>
  <c r="E260" i="1"/>
  <c r="F260" i="1"/>
  <c r="G260" i="1"/>
  <c r="H260" i="1"/>
  <c r="D261" i="1"/>
  <c r="E261" i="1"/>
  <c r="F261" i="1"/>
  <c r="G261" i="1"/>
  <c r="H261" i="1"/>
  <c r="D262" i="1"/>
  <c r="E262" i="1"/>
  <c r="F262" i="1"/>
  <c r="G262" i="1"/>
  <c r="H262" i="1"/>
  <c r="D263" i="1"/>
  <c r="E263" i="1"/>
  <c r="F263" i="1"/>
  <c r="G263" i="1"/>
  <c r="H263" i="1"/>
  <c r="D264" i="1"/>
  <c r="E264" i="1"/>
  <c r="F264" i="1"/>
  <c r="G264" i="1"/>
  <c r="H264" i="1"/>
  <c r="D265" i="1"/>
  <c r="E265" i="1"/>
  <c r="F265" i="1"/>
  <c r="G265" i="1"/>
  <c r="H265" i="1"/>
  <c r="D266" i="1"/>
  <c r="E266" i="1"/>
  <c r="F266" i="1"/>
  <c r="G266" i="1"/>
  <c r="H266" i="1"/>
  <c r="D267" i="1"/>
  <c r="E267" i="1"/>
  <c r="F267" i="1"/>
  <c r="G267" i="1"/>
  <c r="H267" i="1"/>
  <c r="D268" i="1"/>
  <c r="E268" i="1"/>
  <c r="F268" i="1"/>
  <c r="G268" i="1"/>
  <c r="H268" i="1"/>
  <c r="D269" i="1"/>
  <c r="E269" i="1"/>
  <c r="F269" i="1"/>
  <c r="G269" i="1"/>
  <c r="H269" i="1"/>
  <c r="D270" i="1"/>
  <c r="E270" i="1"/>
  <c r="F270" i="1"/>
  <c r="G270" i="1"/>
  <c r="H270" i="1"/>
  <c r="D271" i="1"/>
  <c r="E271" i="1"/>
  <c r="F271" i="1"/>
  <c r="G271" i="1"/>
  <c r="H271" i="1"/>
  <c r="D272" i="1"/>
  <c r="E272" i="1"/>
  <c r="F272" i="1"/>
  <c r="G272" i="1"/>
  <c r="H272" i="1"/>
  <c r="D273" i="1"/>
  <c r="E273" i="1"/>
  <c r="F273" i="1"/>
  <c r="G273" i="1"/>
  <c r="H273" i="1"/>
  <c r="D274" i="1"/>
  <c r="E274" i="1"/>
  <c r="F274" i="1"/>
  <c r="G274" i="1"/>
  <c r="H274" i="1"/>
  <c r="D275" i="1"/>
  <c r="E275" i="1"/>
  <c r="F275" i="1"/>
  <c r="G275" i="1"/>
  <c r="H275" i="1"/>
  <c r="D276" i="1"/>
  <c r="E276" i="1"/>
  <c r="F276" i="1"/>
  <c r="G276" i="1"/>
  <c r="H276" i="1"/>
  <c r="D277" i="1"/>
  <c r="E277" i="1"/>
  <c r="F277" i="1"/>
  <c r="G277" i="1"/>
  <c r="H277" i="1"/>
  <c r="D278" i="1"/>
  <c r="E278" i="1"/>
  <c r="F278" i="1"/>
  <c r="G278" i="1"/>
  <c r="H278" i="1"/>
  <c r="D279" i="1"/>
  <c r="E279" i="1"/>
  <c r="F279" i="1"/>
  <c r="G279" i="1"/>
  <c r="H279" i="1"/>
  <c r="D280" i="1"/>
  <c r="E280" i="1"/>
  <c r="F280" i="1"/>
  <c r="G280" i="1"/>
  <c r="H280" i="1"/>
  <c r="D281" i="1"/>
  <c r="E281" i="1"/>
  <c r="F281" i="1"/>
  <c r="G281" i="1"/>
  <c r="H281" i="1"/>
  <c r="D282" i="1"/>
  <c r="E282" i="1"/>
  <c r="F282" i="1"/>
  <c r="G282" i="1"/>
  <c r="H282" i="1"/>
  <c r="D283" i="1"/>
  <c r="E283" i="1"/>
  <c r="F283" i="1"/>
  <c r="G283" i="1"/>
  <c r="H283" i="1"/>
  <c r="D284" i="1"/>
  <c r="E284" i="1"/>
  <c r="F284" i="1"/>
  <c r="G284" i="1"/>
  <c r="H284" i="1"/>
  <c r="D285" i="1"/>
  <c r="E285" i="1"/>
  <c r="F285" i="1"/>
  <c r="G285" i="1"/>
  <c r="H285" i="1"/>
  <c r="D286" i="1"/>
  <c r="E286" i="1"/>
  <c r="F286" i="1"/>
  <c r="G286" i="1"/>
  <c r="H286" i="1"/>
  <c r="D287" i="1"/>
  <c r="E287" i="1"/>
  <c r="F287" i="1"/>
  <c r="G287" i="1"/>
  <c r="H287" i="1"/>
  <c r="D288" i="1"/>
  <c r="E288" i="1"/>
  <c r="F288" i="1"/>
  <c r="G288" i="1"/>
  <c r="H288" i="1"/>
  <c r="D289" i="1"/>
  <c r="E289" i="1"/>
  <c r="F289" i="1"/>
  <c r="G289" i="1"/>
  <c r="H289" i="1"/>
  <c r="D290" i="1"/>
  <c r="E290" i="1"/>
  <c r="F290" i="1"/>
  <c r="G290" i="1"/>
  <c r="H290" i="1"/>
  <c r="D291" i="1"/>
  <c r="E291" i="1"/>
  <c r="F291" i="1"/>
  <c r="G291" i="1"/>
  <c r="H291" i="1"/>
  <c r="D292" i="1"/>
  <c r="E292" i="1"/>
  <c r="F292" i="1"/>
  <c r="G292" i="1"/>
  <c r="H292" i="1"/>
  <c r="D293" i="1"/>
  <c r="E293" i="1"/>
  <c r="F293" i="1"/>
  <c r="G293" i="1"/>
  <c r="H293" i="1"/>
  <c r="D294" i="1"/>
  <c r="E294" i="1"/>
  <c r="F294" i="1"/>
  <c r="G294" i="1"/>
  <c r="H294" i="1"/>
  <c r="D295" i="1"/>
  <c r="E295" i="1"/>
  <c r="F295" i="1"/>
  <c r="G295" i="1"/>
  <c r="H295" i="1"/>
  <c r="D296" i="1"/>
  <c r="E296" i="1"/>
  <c r="F296" i="1"/>
  <c r="G296" i="1"/>
  <c r="H296" i="1"/>
  <c r="D297" i="1"/>
  <c r="E297" i="1"/>
  <c r="F297" i="1"/>
  <c r="G297" i="1"/>
  <c r="H297" i="1"/>
  <c r="D298" i="1"/>
  <c r="E298" i="1"/>
  <c r="F298" i="1"/>
  <c r="G298" i="1"/>
  <c r="H298" i="1"/>
  <c r="D299" i="1"/>
  <c r="E299" i="1"/>
  <c r="F299" i="1"/>
  <c r="G299" i="1"/>
  <c r="H299" i="1"/>
  <c r="D300" i="1"/>
  <c r="E300" i="1"/>
  <c r="F300" i="1"/>
  <c r="G300" i="1"/>
  <c r="H300" i="1"/>
  <c r="D301" i="1"/>
  <c r="E301" i="1"/>
  <c r="F301" i="1"/>
  <c r="G301" i="1"/>
  <c r="H301" i="1"/>
  <c r="D302" i="1"/>
  <c r="E302" i="1"/>
  <c r="F302" i="1"/>
  <c r="G302" i="1"/>
  <c r="H302" i="1"/>
  <c r="D303" i="1"/>
  <c r="E303" i="1"/>
  <c r="F303" i="1"/>
  <c r="G303" i="1"/>
  <c r="H303" i="1"/>
  <c r="D304" i="1"/>
  <c r="E304" i="1"/>
  <c r="F304" i="1"/>
  <c r="G304" i="1"/>
  <c r="H304" i="1"/>
  <c r="D305" i="1"/>
  <c r="E305" i="1"/>
  <c r="F305" i="1"/>
  <c r="G305" i="1"/>
  <c r="H305" i="1"/>
  <c r="D306" i="1"/>
  <c r="E306" i="1"/>
  <c r="F306" i="1"/>
  <c r="G306" i="1"/>
  <c r="H306" i="1"/>
  <c r="D307" i="1"/>
  <c r="E307" i="1"/>
  <c r="F307" i="1"/>
  <c r="G307" i="1"/>
  <c r="H307" i="1"/>
  <c r="D308" i="1"/>
  <c r="E308" i="1"/>
  <c r="F308" i="1"/>
  <c r="G308" i="1"/>
  <c r="H308" i="1"/>
  <c r="D309" i="1"/>
  <c r="E309" i="1"/>
  <c r="F309" i="1"/>
  <c r="G309" i="1"/>
  <c r="H309" i="1"/>
  <c r="D310" i="1"/>
  <c r="E310" i="1"/>
  <c r="F310" i="1"/>
  <c r="G310" i="1"/>
  <c r="H310" i="1"/>
  <c r="D311" i="1"/>
  <c r="E311" i="1"/>
  <c r="F311" i="1"/>
  <c r="G311" i="1"/>
  <c r="H311" i="1"/>
  <c r="D312" i="1"/>
  <c r="E312" i="1"/>
  <c r="F312" i="1"/>
  <c r="G312" i="1"/>
  <c r="H312" i="1"/>
  <c r="D313" i="1"/>
  <c r="E313" i="1"/>
  <c r="F313" i="1"/>
  <c r="G313" i="1"/>
  <c r="H313" i="1"/>
  <c r="D314" i="1"/>
  <c r="E314" i="1"/>
  <c r="F314" i="1"/>
  <c r="G314" i="1"/>
  <c r="H314" i="1"/>
  <c r="D315" i="1"/>
  <c r="E315" i="1"/>
  <c r="F315" i="1"/>
  <c r="G315" i="1"/>
  <c r="H315" i="1"/>
  <c r="D316" i="1"/>
  <c r="E316" i="1"/>
  <c r="F316" i="1"/>
  <c r="G316" i="1"/>
  <c r="H316" i="1"/>
  <c r="D317" i="1"/>
  <c r="E317" i="1"/>
  <c r="F317" i="1"/>
  <c r="G317" i="1"/>
  <c r="H317" i="1"/>
  <c r="D318" i="1"/>
  <c r="E318" i="1"/>
  <c r="F318" i="1"/>
  <c r="G318" i="1"/>
  <c r="H318" i="1"/>
  <c r="D319" i="1"/>
  <c r="E319" i="1"/>
  <c r="F319" i="1"/>
  <c r="G319" i="1"/>
  <c r="H319" i="1"/>
  <c r="D320" i="1"/>
  <c r="E320" i="1"/>
  <c r="F320" i="1"/>
  <c r="G320" i="1"/>
  <c r="H320" i="1"/>
  <c r="D321" i="1"/>
  <c r="E321" i="1"/>
  <c r="F321" i="1"/>
  <c r="G321" i="1"/>
  <c r="H321" i="1"/>
  <c r="D322" i="1"/>
  <c r="E322" i="1"/>
  <c r="F322" i="1"/>
  <c r="G322" i="1"/>
  <c r="H322" i="1"/>
  <c r="D323" i="1"/>
  <c r="E323" i="1"/>
  <c r="F323" i="1"/>
  <c r="G323" i="1"/>
  <c r="H323" i="1"/>
  <c r="D324" i="1"/>
  <c r="E324" i="1"/>
  <c r="F324" i="1"/>
  <c r="G324" i="1"/>
  <c r="H324" i="1"/>
  <c r="D325" i="1"/>
  <c r="E325" i="1"/>
  <c r="F325" i="1"/>
  <c r="G325" i="1"/>
  <c r="H325" i="1"/>
  <c r="D326" i="1"/>
  <c r="E326" i="1"/>
  <c r="F326" i="1"/>
  <c r="G326" i="1"/>
  <c r="H326" i="1"/>
  <c r="D327" i="1"/>
  <c r="E327" i="1"/>
  <c r="F327" i="1"/>
  <c r="G327" i="1"/>
  <c r="H327" i="1"/>
  <c r="D328" i="1"/>
  <c r="E328" i="1"/>
  <c r="F328" i="1"/>
  <c r="G328" i="1"/>
  <c r="H328" i="1"/>
  <c r="D329" i="1"/>
  <c r="E329" i="1"/>
  <c r="F329" i="1"/>
  <c r="G329" i="1"/>
  <c r="H329" i="1"/>
  <c r="D330" i="1"/>
  <c r="E330" i="1"/>
  <c r="F330" i="1"/>
  <c r="G330" i="1"/>
  <c r="H330" i="1"/>
  <c r="D331" i="1"/>
  <c r="E331" i="1"/>
  <c r="F331" i="1"/>
  <c r="G331" i="1"/>
  <c r="H331" i="1"/>
  <c r="D332" i="1"/>
  <c r="E332" i="1"/>
  <c r="F332" i="1"/>
  <c r="G332" i="1"/>
  <c r="H332" i="1"/>
  <c r="D333" i="1"/>
  <c r="E333" i="1"/>
  <c r="F333" i="1"/>
  <c r="G333" i="1"/>
  <c r="H333" i="1"/>
  <c r="D334" i="1"/>
  <c r="E334" i="1"/>
  <c r="F334" i="1"/>
  <c r="G334" i="1"/>
  <c r="H334" i="1"/>
  <c r="D335" i="1"/>
  <c r="E335" i="1"/>
  <c r="F335" i="1"/>
  <c r="G335" i="1"/>
  <c r="H335" i="1"/>
  <c r="D336" i="1"/>
  <c r="E336" i="1"/>
  <c r="F336" i="1"/>
  <c r="G336" i="1"/>
  <c r="H336" i="1"/>
  <c r="D337" i="1"/>
  <c r="E337" i="1"/>
  <c r="F337" i="1"/>
  <c r="G337" i="1"/>
  <c r="H337" i="1"/>
  <c r="D338" i="1"/>
  <c r="E338" i="1"/>
  <c r="F338" i="1"/>
  <c r="G338" i="1"/>
  <c r="H338" i="1"/>
  <c r="D339" i="1"/>
  <c r="E339" i="1"/>
  <c r="F339" i="1"/>
  <c r="G339" i="1"/>
  <c r="H339" i="1"/>
  <c r="D340" i="1"/>
  <c r="E340" i="1"/>
  <c r="F340" i="1"/>
  <c r="G340" i="1"/>
  <c r="H340" i="1"/>
  <c r="D341" i="1"/>
  <c r="E341" i="1"/>
  <c r="F341" i="1"/>
  <c r="G341" i="1"/>
  <c r="H341" i="1"/>
  <c r="D342" i="1"/>
  <c r="E342" i="1"/>
  <c r="F342" i="1"/>
  <c r="G342" i="1"/>
  <c r="H342" i="1"/>
  <c r="D343" i="1"/>
  <c r="E343" i="1"/>
  <c r="F343" i="1"/>
  <c r="G343" i="1"/>
  <c r="H343" i="1"/>
  <c r="D344" i="1"/>
  <c r="E344" i="1"/>
  <c r="F344" i="1"/>
  <c r="G344" i="1"/>
  <c r="H344" i="1"/>
  <c r="D345" i="1"/>
  <c r="E345" i="1"/>
  <c r="F345" i="1"/>
  <c r="G345" i="1"/>
  <c r="H345" i="1"/>
  <c r="D346" i="1"/>
  <c r="E346" i="1"/>
  <c r="F346" i="1"/>
  <c r="G346" i="1"/>
  <c r="H346" i="1"/>
  <c r="D347" i="1"/>
  <c r="E347" i="1"/>
  <c r="F347" i="1"/>
  <c r="G347" i="1"/>
  <c r="H347" i="1"/>
  <c r="D348" i="1"/>
  <c r="E348" i="1"/>
  <c r="F348" i="1"/>
  <c r="G348" i="1"/>
  <c r="H348" i="1"/>
  <c r="D349" i="1"/>
  <c r="E349" i="1"/>
  <c r="F349" i="1"/>
  <c r="G349" i="1"/>
  <c r="H349" i="1"/>
  <c r="D350" i="1"/>
  <c r="E350" i="1"/>
  <c r="F350" i="1"/>
  <c r="G350" i="1"/>
  <c r="H350" i="1"/>
  <c r="D351" i="1"/>
  <c r="E351" i="1"/>
  <c r="F351" i="1"/>
  <c r="G351" i="1"/>
  <c r="H351" i="1"/>
  <c r="D352" i="1"/>
  <c r="E352" i="1"/>
  <c r="F352" i="1"/>
  <c r="G352" i="1"/>
  <c r="H352" i="1"/>
  <c r="D353" i="1"/>
  <c r="E353" i="1"/>
  <c r="F353" i="1"/>
  <c r="G353" i="1"/>
  <c r="H353" i="1"/>
  <c r="D354" i="1"/>
  <c r="E354" i="1"/>
  <c r="F354" i="1"/>
  <c r="G354" i="1"/>
  <c r="H354" i="1"/>
  <c r="D355" i="1"/>
  <c r="E355" i="1"/>
  <c r="F355" i="1"/>
  <c r="G355" i="1"/>
  <c r="H355" i="1"/>
  <c r="D356" i="1"/>
  <c r="E356" i="1"/>
  <c r="F356" i="1"/>
  <c r="G356" i="1"/>
  <c r="H356" i="1"/>
  <c r="D357" i="1"/>
  <c r="E357" i="1"/>
  <c r="F357" i="1"/>
  <c r="G357" i="1"/>
  <c r="H357" i="1"/>
  <c r="D358" i="1"/>
  <c r="E358" i="1"/>
  <c r="F358" i="1"/>
  <c r="G358" i="1"/>
  <c r="H358" i="1"/>
  <c r="D359" i="1"/>
  <c r="E359" i="1"/>
  <c r="F359" i="1"/>
  <c r="G359" i="1"/>
  <c r="H359" i="1"/>
  <c r="D360" i="1"/>
  <c r="E360" i="1"/>
  <c r="F360" i="1"/>
  <c r="G360" i="1"/>
  <c r="H360" i="1"/>
  <c r="D361" i="1"/>
  <c r="E361" i="1"/>
  <c r="F361" i="1"/>
  <c r="G361" i="1"/>
  <c r="H361" i="1"/>
  <c r="D362" i="1"/>
  <c r="E362" i="1"/>
  <c r="F362" i="1"/>
  <c r="G362" i="1"/>
  <c r="H362" i="1"/>
  <c r="D363" i="1"/>
  <c r="E363" i="1"/>
  <c r="F363" i="1"/>
  <c r="G363" i="1"/>
  <c r="H363" i="1"/>
  <c r="D364" i="1"/>
  <c r="E364" i="1"/>
  <c r="F364" i="1"/>
  <c r="G364" i="1"/>
  <c r="H364" i="1"/>
  <c r="D365" i="1"/>
  <c r="E365" i="1"/>
  <c r="F365" i="1"/>
  <c r="G365" i="1"/>
  <c r="H365" i="1"/>
  <c r="D366" i="1"/>
  <c r="E366" i="1"/>
  <c r="F366" i="1"/>
  <c r="G366" i="1"/>
  <c r="H366" i="1"/>
  <c r="D367" i="1"/>
  <c r="E367" i="1"/>
  <c r="F367" i="1"/>
  <c r="G367" i="1"/>
  <c r="H367" i="1"/>
  <c r="D368" i="1"/>
  <c r="E368" i="1"/>
  <c r="F368" i="1"/>
  <c r="G368" i="1"/>
  <c r="H368" i="1"/>
  <c r="D369" i="1"/>
  <c r="E369" i="1"/>
  <c r="F369" i="1"/>
  <c r="G369" i="1"/>
  <c r="H369" i="1"/>
  <c r="D370" i="1"/>
  <c r="E370" i="1"/>
  <c r="F370" i="1"/>
  <c r="G370" i="1"/>
  <c r="H370" i="1"/>
  <c r="D371" i="1"/>
  <c r="E371" i="1"/>
  <c r="F371" i="1"/>
  <c r="G371" i="1"/>
  <c r="H371" i="1"/>
  <c r="D372" i="1"/>
  <c r="E372" i="1"/>
  <c r="F372" i="1"/>
  <c r="G372" i="1"/>
  <c r="H372" i="1"/>
  <c r="D373" i="1"/>
  <c r="E373" i="1"/>
  <c r="F373" i="1"/>
  <c r="G373" i="1"/>
  <c r="H373" i="1"/>
  <c r="D374" i="1"/>
  <c r="E374" i="1"/>
  <c r="F374" i="1"/>
  <c r="G374" i="1"/>
  <c r="H374" i="1"/>
  <c r="D375" i="1"/>
  <c r="E375" i="1"/>
  <c r="F375" i="1"/>
  <c r="G375" i="1"/>
  <c r="H375" i="1"/>
  <c r="D376" i="1"/>
  <c r="E376" i="1"/>
  <c r="F376" i="1"/>
  <c r="G376" i="1"/>
  <c r="H376" i="1"/>
  <c r="D377" i="1"/>
  <c r="E377" i="1"/>
  <c r="F377" i="1"/>
  <c r="G377" i="1"/>
  <c r="H377" i="1"/>
  <c r="D378" i="1"/>
  <c r="E378" i="1"/>
  <c r="F378" i="1"/>
  <c r="G378" i="1"/>
  <c r="H378" i="1"/>
  <c r="D379" i="1"/>
  <c r="E379" i="1"/>
  <c r="F379" i="1"/>
  <c r="G379" i="1"/>
  <c r="H379" i="1"/>
  <c r="D380" i="1"/>
  <c r="E380" i="1"/>
  <c r="F380" i="1"/>
  <c r="G380" i="1"/>
  <c r="H380" i="1"/>
  <c r="D381" i="1"/>
  <c r="E381" i="1"/>
  <c r="F381" i="1"/>
  <c r="G381" i="1"/>
  <c r="H381" i="1"/>
  <c r="D382" i="1"/>
  <c r="E382" i="1"/>
  <c r="F382" i="1"/>
  <c r="G382" i="1"/>
  <c r="H382" i="1"/>
  <c r="D383" i="1"/>
  <c r="E383" i="1"/>
  <c r="F383" i="1"/>
  <c r="G383" i="1"/>
  <c r="H383" i="1"/>
  <c r="D384" i="1"/>
  <c r="E384" i="1"/>
  <c r="F384" i="1"/>
  <c r="G384" i="1"/>
  <c r="H384" i="1"/>
  <c r="D385" i="1"/>
  <c r="E385" i="1"/>
  <c r="F385" i="1"/>
  <c r="G385" i="1"/>
  <c r="H385" i="1"/>
  <c r="D386" i="1"/>
  <c r="E386" i="1"/>
  <c r="F386" i="1"/>
  <c r="G386" i="1"/>
  <c r="H386" i="1"/>
  <c r="D387" i="1"/>
  <c r="E387" i="1"/>
  <c r="F387" i="1"/>
  <c r="G387" i="1"/>
  <c r="H387" i="1"/>
  <c r="D388" i="1"/>
  <c r="E388" i="1"/>
  <c r="F388" i="1"/>
  <c r="G388" i="1"/>
  <c r="H388" i="1"/>
  <c r="D389" i="1"/>
  <c r="E389" i="1"/>
  <c r="F389" i="1"/>
  <c r="G389" i="1"/>
  <c r="H389" i="1"/>
  <c r="D390" i="1"/>
  <c r="E390" i="1"/>
  <c r="F390" i="1"/>
  <c r="G390" i="1"/>
  <c r="H390" i="1"/>
  <c r="D391" i="1"/>
  <c r="E391" i="1"/>
  <c r="F391" i="1"/>
  <c r="G391" i="1"/>
  <c r="H391" i="1"/>
  <c r="D392" i="1"/>
  <c r="E392" i="1"/>
  <c r="F392" i="1"/>
  <c r="G392" i="1"/>
  <c r="H392" i="1"/>
  <c r="D393" i="1"/>
  <c r="E393" i="1"/>
  <c r="F393" i="1"/>
  <c r="G393" i="1"/>
  <c r="H393" i="1"/>
  <c r="D394" i="1"/>
  <c r="E394" i="1"/>
  <c r="F394" i="1"/>
  <c r="G394" i="1"/>
  <c r="H394" i="1"/>
  <c r="D395" i="1"/>
  <c r="E395" i="1"/>
  <c r="F395" i="1"/>
  <c r="G395" i="1"/>
  <c r="H395" i="1"/>
  <c r="D396" i="1"/>
  <c r="E396" i="1"/>
  <c r="F396" i="1"/>
  <c r="G396" i="1"/>
  <c r="H396" i="1"/>
  <c r="D397" i="1"/>
  <c r="E397" i="1"/>
  <c r="F397" i="1"/>
  <c r="G397" i="1"/>
  <c r="H397" i="1"/>
  <c r="D398" i="1"/>
  <c r="E398" i="1"/>
  <c r="F398" i="1"/>
  <c r="G398" i="1"/>
  <c r="H398" i="1"/>
  <c r="D399" i="1"/>
  <c r="E399" i="1"/>
  <c r="F399" i="1"/>
  <c r="G399" i="1"/>
  <c r="H399" i="1"/>
  <c r="D400" i="1"/>
  <c r="E400" i="1"/>
  <c r="F400" i="1"/>
  <c r="G400" i="1"/>
  <c r="H400" i="1"/>
  <c r="D401" i="1"/>
  <c r="E401" i="1"/>
  <c r="F401" i="1"/>
  <c r="G401" i="1"/>
  <c r="H401" i="1"/>
  <c r="D402" i="1"/>
  <c r="E402" i="1"/>
  <c r="F402" i="1"/>
  <c r="G402" i="1"/>
  <c r="H402" i="1"/>
  <c r="D403" i="1"/>
  <c r="E403" i="1"/>
  <c r="F403" i="1"/>
  <c r="G403" i="1"/>
  <c r="H403" i="1"/>
  <c r="D404" i="1"/>
  <c r="E404" i="1"/>
  <c r="F404" i="1"/>
  <c r="G404" i="1"/>
  <c r="H404" i="1"/>
  <c r="D405" i="1"/>
  <c r="E405" i="1"/>
  <c r="F405" i="1"/>
  <c r="G405" i="1"/>
  <c r="H405" i="1"/>
  <c r="D406" i="1"/>
  <c r="E406" i="1"/>
  <c r="F406" i="1"/>
  <c r="G406" i="1"/>
  <c r="H406" i="1"/>
  <c r="D407" i="1"/>
  <c r="E407" i="1"/>
  <c r="F407" i="1"/>
  <c r="G407" i="1"/>
  <c r="H407" i="1"/>
  <c r="D408" i="1"/>
  <c r="E408" i="1"/>
  <c r="F408" i="1"/>
  <c r="G408" i="1"/>
  <c r="H408" i="1"/>
  <c r="D409" i="1"/>
  <c r="E409" i="1"/>
  <c r="F409" i="1"/>
  <c r="G409" i="1"/>
  <c r="H409" i="1"/>
  <c r="D410" i="1"/>
  <c r="E410" i="1"/>
  <c r="F410" i="1"/>
  <c r="G410" i="1"/>
  <c r="H410" i="1"/>
  <c r="D411" i="1"/>
  <c r="E411" i="1"/>
  <c r="F411" i="1"/>
  <c r="G411" i="1"/>
  <c r="H411" i="1"/>
  <c r="D412" i="1"/>
  <c r="E412" i="1"/>
  <c r="F412" i="1"/>
  <c r="G412" i="1"/>
  <c r="H412" i="1"/>
  <c r="D413" i="1"/>
  <c r="E413" i="1"/>
  <c r="F413" i="1"/>
  <c r="G413" i="1"/>
  <c r="H413" i="1"/>
  <c r="D414" i="1"/>
  <c r="E414" i="1"/>
  <c r="F414" i="1"/>
  <c r="G414" i="1"/>
  <c r="H414" i="1"/>
  <c r="D415" i="1"/>
  <c r="E415" i="1"/>
  <c r="F415" i="1"/>
  <c r="G415" i="1"/>
  <c r="H415" i="1"/>
  <c r="D416" i="1"/>
  <c r="E416" i="1"/>
  <c r="F416" i="1"/>
  <c r="G416" i="1"/>
  <c r="H416" i="1"/>
  <c r="D417" i="1"/>
  <c r="E417" i="1"/>
  <c r="F417" i="1"/>
  <c r="G417" i="1"/>
  <c r="H417" i="1"/>
  <c r="D418" i="1"/>
  <c r="E418" i="1"/>
  <c r="F418" i="1"/>
  <c r="G418" i="1"/>
  <c r="H418" i="1"/>
  <c r="D419" i="1"/>
  <c r="E419" i="1"/>
  <c r="F419" i="1"/>
  <c r="G419" i="1"/>
  <c r="H419" i="1"/>
  <c r="D420" i="1"/>
  <c r="E420" i="1"/>
  <c r="F420" i="1"/>
  <c r="G420" i="1"/>
  <c r="H420" i="1"/>
  <c r="D421" i="1"/>
  <c r="E421" i="1"/>
  <c r="F421" i="1"/>
  <c r="G421" i="1"/>
  <c r="H421" i="1"/>
  <c r="D422" i="1"/>
  <c r="E422" i="1"/>
  <c r="F422" i="1"/>
  <c r="G422" i="1"/>
  <c r="H422" i="1"/>
  <c r="D423" i="1"/>
  <c r="E423" i="1"/>
  <c r="F423" i="1"/>
  <c r="G423" i="1"/>
  <c r="H423" i="1"/>
  <c r="D424" i="1"/>
  <c r="E424" i="1"/>
  <c r="F424" i="1"/>
  <c r="G424" i="1"/>
  <c r="H424" i="1"/>
  <c r="D425" i="1"/>
  <c r="E425" i="1"/>
  <c r="F425" i="1"/>
  <c r="G425" i="1"/>
  <c r="H425" i="1"/>
  <c r="D426" i="1"/>
  <c r="E426" i="1"/>
  <c r="F426" i="1"/>
  <c r="G426" i="1"/>
  <c r="H426" i="1"/>
  <c r="D427" i="1"/>
  <c r="E427" i="1"/>
  <c r="F427" i="1"/>
  <c r="G427" i="1"/>
  <c r="H427" i="1"/>
  <c r="D428" i="1"/>
  <c r="E428" i="1"/>
  <c r="F428" i="1"/>
  <c r="G428" i="1"/>
  <c r="H428" i="1"/>
  <c r="D429" i="1"/>
  <c r="E429" i="1"/>
  <c r="F429" i="1"/>
  <c r="G429" i="1"/>
  <c r="H429" i="1"/>
  <c r="D430" i="1"/>
  <c r="E430" i="1"/>
  <c r="F430" i="1"/>
  <c r="G430" i="1"/>
  <c r="H430" i="1"/>
  <c r="D431" i="1"/>
  <c r="E431" i="1"/>
  <c r="F431" i="1"/>
  <c r="G431" i="1"/>
  <c r="H431" i="1"/>
  <c r="D432" i="1"/>
  <c r="E432" i="1"/>
  <c r="F432" i="1"/>
  <c r="G432" i="1"/>
  <c r="H432" i="1"/>
  <c r="D433" i="1"/>
  <c r="E433" i="1"/>
  <c r="F433" i="1"/>
  <c r="G433" i="1"/>
  <c r="H433" i="1"/>
  <c r="D434" i="1"/>
  <c r="E434" i="1"/>
  <c r="F434" i="1"/>
  <c r="G434" i="1"/>
  <c r="H434" i="1"/>
  <c r="D435" i="1"/>
  <c r="E435" i="1"/>
  <c r="F435" i="1"/>
  <c r="G435" i="1"/>
  <c r="H435" i="1"/>
  <c r="D436" i="1"/>
  <c r="E436" i="1"/>
  <c r="F436" i="1"/>
  <c r="G436" i="1"/>
  <c r="H436" i="1"/>
  <c r="D437" i="1"/>
  <c r="E437" i="1"/>
  <c r="F437" i="1"/>
  <c r="G437" i="1"/>
  <c r="H437" i="1"/>
  <c r="D438" i="1"/>
  <c r="E438" i="1"/>
  <c r="F438" i="1"/>
  <c r="G438" i="1"/>
  <c r="H438" i="1"/>
  <c r="D439" i="1"/>
  <c r="E439" i="1"/>
  <c r="F439" i="1"/>
  <c r="G439" i="1"/>
  <c r="H439" i="1"/>
  <c r="D440" i="1"/>
  <c r="E440" i="1"/>
  <c r="F440" i="1"/>
  <c r="G440" i="1"/>
  <c r="H440" i="1"/>
  <c r="D441" i="1"/>
  <c r="E441" i="1"/>
  <c r="F441" i="1"/>
  <c r="G441" i="1"/>
  <c r="H441" i="1"/>
  <c r="D442" i="1"/>
  <c r="E442" i="1"/>
  <c r="F442" i="1"/>
  <c r="G442" i="1"/>
  <c r="H442" i="1"/>
  <c r="D443" i="1"/>
  <c r="E443" i="1"/>
  <c r="F443" i="1"/>
  <c r="G443" i="1"/>
  <c r="H443" i="1"/>
  <c r="D444" i="1"/>
  <c r="E444" i="1"/>
  <c r="F444" i="1"/>
  <c r="G444" i="1"/>
  <c r="H444" i="1"/>
  <c r="D445" i="1"/>
  <c r="E445" i="1"/>
  <c r="F445" i="1"/>
  <c r="G445" i="1"/>
  <c r="H445" i="1"/>
  <c r="D446" i="1"/>
  <c r="E446" i="1"/>
  <c r="F446" i="1"/>
  <c r="G446" i="1"/>
  <c r="H446" i="1"/>
  <c r="D447" i="1"/>
  <c r="E447" i="1"/>
  <c r="F447" i="1"/>
  <c r="G447" i="1"/>
  <c r="H447" i="1"/>
  <c r="D448" i="1"/>
  <c r="E448" i="1"/>
  <c r="F448" i="1"/>
  <c r="G448" i="1"/>
  <c r="H448" i="1"/>
  <c r="D449" i="1"/>
  <c r="E449" i="1"/>
  <c r="F449" i="1"/>
  <c r="G449" i="1"/>
  <c r="H449" i="1"/>
  <c r="D450" i="1"/>
  <c r="E450" i="1"/>
  <c r="F450" i="1"/>
  <c r="G450" i="1"/>
  <c r="H450" i="1"/>
  <c r="D451" i="1"/>
  <c r="E451" i="1"/>
  <c r="F451" i="1"/>
  <c r="G451" i="1"/>
  <c r="H451" i="1"/>
  <c r="D452" i="1"/>
  <c r="E452" i="1"/>
  <c r="F452" i="1"/>
  <c r="G452" i="1"/>
  <c r="H452" i="1"/>
  <c r="D453" i="1"/>
  <c r="E453" i="1"/>
  <c r="F453" i="1"/>
  <c r="G453" i="1"/>
  <c r="H453" i="1"/>
  <c r="D454" i="1"/>
  <c r="E454" i="1"/>
  <c r="F454" i="1"/>
  <c r="G454" i="1"/>
  <c r="H454" i="1"/>
  <c r="D455" i="1"/>
  <c r="E455" i="1"/>
  <c r="F455" i="1"/>
  <c r="G455" i="1"/>
  <c r="H455" i="1"/>
  <c r="D456" i="1"/>
  <c r="E456" i="1"/>
  <c r="F456" i="1"/>
  <c r="G456" i="1"/>
  <c r="H456" i="1"/>
  <c r="D457" i="1"/>
  <c r="E457" i="1"/>
  <c r="F457" i="1"/>
  <c r="G457" i="1"/>
  <c r="H457" i="1"/>
  <c r="D458" i="1"/>
  <c r="E458" i="1"/>
  <c r="F458" i="1"/>
  <c r="G458" i="1"/>
  <c r="H458" i="1"/>
  <c r="D459" i="1"/>
  <c r="E459" i="1"/>
  <c r="F459" i="1"/>
  <c r="G459" i="1"/>
  <c r="H459" i="1"/>
  <c r="D460" i="1"/>
  <c r="E460" i="1"/>
  <c r="F460" i="1"/>
  <c r="G460" i="1"/>
  <c r="H460" i="1"/>
  <c r="D461" i="1"/>
  <c r="E461" i="1"/>
  <c r="F461" i="1"/>
  <c r="G461" i="1"/>
  <c r="H461" i="1"/>
  <c r="D462" i="1"/>
  <c r="E462" i="1"/>
  <c r="F462" i="1"/>
  <c r="G462" i="1"/>
  <c r="H462" i="1"/>
  <c r="D463" i="1"/>
  <c r="E463" i="1"/>
  <c r="F463" i="1"/>
  <c r="G463" i="1"/>
  <c r="H463" i="1"/>
  <c r="D464" i="1"/>
  <c r="E464" i="1"/>
  <c r="F464" i="1"/>
  <c r="G464" i="1"/>
  <c r="H464" i="1"/>
  <c r="D465" i="1"/>
  <c r="E465" i="1"/>
  <c r="F465" i="1"/>
  <c r="G465" i="1"/>
  <c r="H465" i="1"/>
  <c r="D466" i="1"/>
  <c r="E466" i="1"/>
  <c r="F466" i="1"/>
  <c r="G466" i="1"/>
  <c r="H466" i="1"/>
  <c r="D467" i="1"/>
  <c r="E467" i="1"/>
  <c r="F467" i="1"/>
  <c r="G467" i="1"/>
  <c r="H467" i="1"/>
  <c r="D468" i="1"/>
  <c r="E468" i="1"/>
  <c r="F468" i="1"/>
  <c r="G468" i="1"/>
  <c r="H468" i="1"/>
  <c r="D469" i="1"/>
  <c r="E469" i="1"/>
  <c r="F469" i="1"/>
  <c r="G469" i="1"/>
  <c r="H469" i="1"/>
  <c r="D470" i="1"/>
  <c r="E470" i="1"/>
  <c r="F470" i="1"/>
  <c r="G470" i="1"/>
  <c r="H470" i="1"/>
  <c r="D471" i="1"/>
  <c r="E471" i="1"/>
  <c r="F471" i="1"/>
  <c r="G471" i="1"/>
  <c r="H471" i="1"/>
  <c r="D472" i="1"/>
  <c r="E472" i="1"/>
  <c r="F472" i="1"/>
  <c r="G472" i="1"/>
  <c r="H472" i="1"/>
  <c r="D473" i="1"/>
  <c r="E473" i="1"/>
  <c r="F473" i="1"/>
  <c r="G473" i="1"/>
  <c r="H473" i="1"/>
  <c r="D474" i="1"/>
  <c r="E474" i="1"/>
  <c r="F474" i="1"/>
  <c r="G474" i="1"/>
  <c r="H474" i="1"/>
  <c r="D475" i="1"/>
  <c r="E475" i="1"/>
  <c r="F475" i="1"/>
  <c r="G475" i="1"/>
  <c r="H475" i="1"/>
  <c r="D476" i="1"/>
  <c r="E476" i="1"/>
  <c r="F476" i="1"/>
  <c r="G476" i="1"/>
  <c r="H476" i="1"/>
  <c r="D477" i="1"/>
  <c r="E477" i="1"/>
  <c r="F477" i="1"/>
  <c r="G477" i="1"/>
  <c r="H477" i="1"/>
  <c r="D478" i="1"/>
  <c r="E478" i="1"/>
  <c r="F478" i="1"/>
  <c r="G478" i="1"/>
  <c r="H478" i="1"/>
  <c r="D479" i="1"/>
  <c r="E479" i="1"/>
  <c r="F479" i="1"/>
  <c r="G479" i="1"/>
  <c r="H479" i="1"/>
  <c r="D480" i="1"/>
  <c r="E480" i="1"/>
  <c r="F480" i="1"/>
  <c r="G480" i="1"/>
  <c r="H480" i="1"/>
  <c r="D481" i="1"/>
  <c r="E481" i="1"/>
  <c r="F481" i="1"/>
  <c r="G481" i="1"/>
  <c r="H481" i="1"/>
  <c r="D482" i="1"/>
  <c r="E482" i="1"/>
  <c r="F482" i="1"/>
  <c r="G482" i="1"/>
  <c r="H482" i="1"/>
  <c r="D483" i="1"/>
  <c r="E483" i="1"/>
  <c r="F483" i="1"/>
  <c r="G483" i="1"/>
  <c r="H483" i="1"/>
  <c r="D484" i="1"/>
  <c r="E484" i="1"/>
  <c r="F484" i="1"/>
  <c r="G484" i="1"/>
  <c r="H484" i="1"/>
  <c r="D485" i="1"/>
  <c r="E485" i="1"/>
  <c r="F485" i="1"/>
  <c r="G485" i="1"/>
  <c r="H485" i="1"/>
  <c r="D486" i="1"/>
  <c r="E486" i="1"/>
  <c r="F486" i="1"/>
  <c r="G486" i="1"/>
  <c r="H486" i="1"/>
  <c r="D487" i="1"/>
  <c r="E487" i="1"/>
  <c r="F487" i="1"/>
  <c r="G487" i="1"/>
  <c r="H487" i="1"/>
  <c r="D488" i="1"/>
  <c r="E488" i="1"/>
  <c r="F488" i="1"/>
  <c r="G488" i="1"/>
  <c r="H488" i="1"/>
  <c r="D489" i="1"/>
  <c r="E489" i="1"/>
  <c r="F489" i="1"/>
  <c r="G489" i="1"/>
  <c r="H489" i="1"/>
  <c r="D490" i="1"/>
  <c r="E490" i="1"/>
  <c r="F490" i="1"/>
  <c r="G490" i="1"/>
  <c r="H490" i="1"/>
  <c r="D491" i="1"/>
  <c r="E491" i="1"/>
  <c r="F491" i="1"/>
  <c r="G491" i="1"/>
  <c r="H491" i="1"/>
  <c r="D492" i="1"/>
  <c r="E492" i="1"/>
  <c r="F492" i="1"/>
  <c r="G492" i="1"/>
  <c r="H492" i="1"/>
  <c r="D493" i="1"/>
  <c r="E493" i="1"/>
  <c r="F493" i="1"/>
  <c r="G493" i="1"/>
  <c r="H493" i="1"/>
  <c r="D494" i="1"/>
  <c r="E494" i="1"/>
  <c r="F494" i="1"/>
  <c r="G494" i="1"/>
  <c r="H494" i="1"/>
  <c r="D495" i="1"/>
  <c r="E495" i="1"/>
  <c r="F495" i="1"/>
  <c r="G495" i="1"/>
  <c r="H495" i="1"/>
  <c r="D496" i="1"/>
  <c r="E496" i="1"/>
  <c r="F496" i="1"/>
  <c r="G496" i="1"/>
  <c r="H496" i="1"/>
  <c r="D497" i="1"/>
  <c r="E497" i="1"/>
  <c r="F497" i="1"/>
  <c r="G497" i="1"/>
  <c r="H497" i="1"/>
  <c r="D498" i="1"/>
  <c r="E498" i="1"/>
  <c r="F498" i="1"/>
  <c r="G498" i="1"/>
  <c r="H498" i="1"/>
  <c r="D499" i="1"/>
  <c r="E499" i="1"/>
  <c r="F499" i="1"/>
  <c r="G499" i="1"/>
  <c r="H499" i="1"/>
  <c r="D500" i="1"/>
  <c r="E500" i="1"/>
  <c r="F500" i="1"/>
  <c r="G500" i="1"/>
  <c r="H500" i="1"/>
  <c r="D501" i="1"/>
  <c r="E501" i="1"/>
  <c r="F501" i="1"/>
  <c r="G501" i="1"/>
  <c r="H501" i="1"/>
  <c r="D502" i="1"/>
  <c r="E502" i="1"/>
  <c r="F502" i="1"/>
  <c r="G502" i="1"/>
  <c r="H502" i="1"/>
  <c r="D503" i="1"/>
  <c r="E503" i="1"/>
  <c r="F503" i="1"/>
  <c r="G503" i="1"/>
  <c r="H503" i="1"/>
  <c r="D504" i="1"/>
  <c r="E504" i="1"/>
  <c r="F504" i="1"/>
  <c r="G504" i="1"/>
  <c r="H504" i="1"/>
  <c r="D505" i="1"/>
  <c r="E505" i="1"/>
  <c r="F505" i="1"/>
  <c r="G505" i="1"/>
  <c r="H505" i="1"/>
  <c r="D506" i="1"/>
  <c r="E506" i="1"/>
  <c r="F506" i="1"/>
  <c r="G506" i="1"/>
  <c r="H506" i="1"/>
  <c r="D507" i="1"/>
  <c r="E507" i="1"/>
  <c r="F507" i="1"/>
  <c r="G507" i="1"/>
  <c r="H507" i="1"/>
  <c r="D508" i="1"/>
  <c r="E508" i="1"/>
  <c r="F508" i="1"/>
  <c r="G508" i="1"/>
  <c r="H508" i="1"/>
  <c r="D509" i="1"/>
  <c r="E509" i="1"/>
  <c r="F509" i="1"/>
  <c r="G509" i="1"/>
  <c r="H509" i="1"/>
  <c r="D510" i="1"/>
  <c r="E510" i="1"/>
  <c r="F510" i="1"/>
  <c r="G510" i="1"/>
  <c r="H510" i="1"/>
  <c r="D511" i="1"/>
  <c r="E511" i="1"/>
  <c r="F511" i="1"/>
  <c r="G511" i="1"/>
  <c r="H511" i="1"/>
  <c r="D512" i="1"/>
  <c r="E512" i="1"/>
  <c r="F512" i="1"/>
  <c r="G512" i="1"/>
  <c r="H512" i="1"/>
  <c r="D513" i="1"/>
  <c r="E513" i="1"/>
  <c r="F513" i="1"/>
  <c r="G513" i="1"/>
  <c r="H513" i="1"/>
  <c r="D514" i="1"/>
  <c r="E514" i="1"/>
  <c r="F514" i="1"/>
  <c r="G514" i="1"/>
  <c r="H514" i="1"/>
  <c r="D515" i="1"/>
  <c r="E515" i="1"/>
  <c r="F515" i="1"/>
  <c r="G515" i="1"/>
  <c r="H515" i="1"/>
  <c r="D516" i="1"/>
  <c r="E516" i="1"/>
  <c r="F516" i="1"/>
  <c r="G516" i="1"/>
  <c r="H516" i="1"/>
  <c r="D517" i="1"/>
  <c r="E517" i="1"/>
  <c r="F517" i="1"/>
  <c r="G517" i="1"/>
  <c r="H517" i="1"/>
  <c r="D518" i="1"/>
  <c r="E518" i="1"/>
  <c r="F518" i="1"/>
  <c r="G518" i="1"/>
  <c r="H518" i="1"/>
  <c r="D519" i="1"/>
  <c r="E519" i="1"/>
  <c r="F519" i="1"/>
  <c r="G519" i="1"/>
  <c r="H519" i="1"/>
  <c r="D520" i="1"/>
  <c r="E520" i="1"/>
  <c r="F520" i="1"/>
  <c r="G520" i="1"/>
  <c r="H520" i="1"/>
  <c r="D521" i="1"/>
  <c r="E521" i="1"/>
  <c r="F521" i="1"/>
  <c r="G521" i="1"/>
  <c r="H521" i="1"/>
  <c r="D522" i="1"/>
  <c r="E522" i="1"/>
  <c r="F522" i="1"/>
  <c r="G522" i="1"/>
  <c r="H522" i="1"/>
  <c r="D523" i="1"/>
  <c r="E523" i="1"/>
  <c r="F523" i="1"/>
  <c r="G523" i="1"/>
  <c r="H523" i="1"/>
  <c r="D524" i="1"/>
  <c r="E524" i="1"/>
  <c r="F524" i="1"/>
  <c r="G524" i="1"/>
  <c r="H524" i="1"/>
  <c r="D525" i="1"/>
  <c r="E525" i="1"/>
  <c r="F525" i="1"/>
  <c r="G525" i="1"/>
  <c r="H525" i="1"/>
  <c r="D526" i="1"/>
  <c r="E526" i="1"/>
  <c r="F526" i="1"/>
  <c r="G526" i="1"/>
  <c r="H526" i="1"/>
  <c r="D527" i="1"/>
  <c r="E527" i="1"/>
  <c r="F527" i="1"/>
  <c r="G527" i="1"/>
  <c r="H527" i="1"/>
  <c r="D528" i="1"/>
  <c r="E528" i="1"/>
  <c r="F528" i="1"/>
  <c r="G528" i="1"/>
  <c r="H528" i="1"/>
  <c r="D529" i="1"/>
  <c r="E529" i="1"/>
  <c r="F529" i="1"/>
  <c r="G529" i="1"/>
  <c r="H529" i="1"/>
  <c r="D530" i="1"/>
  <c r="E530" i="1"/>
  <c r="F530" i="1"/>
  <c r="G530" i="1"/>
  <c r="H530" i="1"/>
  <c r="D531" i="1"/>
  <c r="E531" i="1"/>
  <c r="F531" i="1"/>
  <c r="G531" i="1"/>
  <c r="H531" i="1"/>
  <c r="D532" i="1"/>
  <c r="E532" i="1"/>
  <c r="F532" i="1"/>
  <c r="G532" i="1"/>
  <c r="H532" i="1"/>
  <c r="D533" i="1"/>
  <c r="E533" i="1"/>
  <c r="F533" i="1"/>
  <c r="G533" i="1"/>
  <c r="H533" i="1"/>
  <c r="D534" i="1"/>
  <c r="E534" i="1"/>
  <c r="F534" i="1"/>
  <c r="G534" i="1"/>
  <c r="H534" i="1"/>
  <c r="D535" i="1"/>
  <c r="E535" i="1"/>
  <c r="F535" i="1"/>
  <c r="G535" i="1"/>
  <c r="H535" i="1"/>
  <c r="D536" i="1"/>
  <c r="E536" i="1"/>
  <c r="F536" i="1"/>
  <c r="G536" i="1"/>
  <c r="H536" i="1"/>
  <c r="D537" i="1"/>
  <c r="E537" i="1"/>
  <c r="F537" i="1"/>
  <c r="G537" i="1"/>
  <c r="H537" i="1"/>
  <c r="D538" i="1"/>
  <c r="E538" i="1"/>
  <c r="F538" i="1"/>
  <c r="G538" i="1"/>
  <c r="H538" i="1"/>
  <c r="D539" i="1"/>
  <c r="E539" i="1"/>
  <c r="F539" i="1"/>
  <c r="G539" i="1"/>
  <c r="H539" i="1"/>
  <c r="D540" i="1"/>
  <c r="E540" i="1"/>
  <c r="F540" i="1"/>
  <c r="G540" i="1"/>
  <c r="H540" i="1"/>
  <c r="D541" i="1"/>
  <c r="E541" i="1"/>
  <c r="F541" i="1"/>
  <c r="G541" i="1"/>
  <c r="H541" i="1"/>
  <c r="D542" i="1"/>
  <c r="E542" i="1"/>
  <c r="F542" i="1"/>
  <c r="G542" i="1"/>
  <c r="H542" i="1"/>
  <c r="D543" i="1"/>
  <c r="E543" i="1"/>
  <c r="F543" i="1"/>
  <c r="G543" i="1"/>
  <c r="H543" i="1"/>
  <c r="D544" i="1"/>
  <c r="E544" i="1"/>
  <c r="F544" i="1"/>
  <c r="G544" i="1"/>
  <c r="H544" i="1"/>
  <c r="D545" i="1"/>
  <c r="E545" i="1"/>
  <c r="F545" i="1"/>
  <c r="G545" i="1"/>
  <c r="H545" i="1"/>
  <c r="D546" i="1"/>
  <c r="E546" i="1"/>
  <c r="F546" i="1"/>
  <c r="G546" i="1"/>
  <c r="H546" i="1"/>
  <c r="D547" i="1"/>
  <c r="E547" i="1"/>
  <c r="F547" i="1"/>
  <c r="G547" i="1"/>
  <c r="H547" i="1"/>
  <c r="D548" i="1"/>
  <c r="E548" i="1"/>
  <c r="F548" i="1"/>
  <c r="G548" i="1"/>
  <c r="H548" i="1"/>
  <c r="D549" i="1"/>
  <c r="E549" i="1"/>
  <c r="F549" i="1"/>
  <c r="G549" i="1"/>
  <c r="H549" i="1"/>
  <c r="D550" i="1"/>
  <c r="E550" i="1"/>
  <c r="F550" i="1"/>
  <c r="G550" i="1"/>
  <c r="H550" i="1"/>
  <c r="D551" i="1"/>
  <c r="E551" i="1"/>
  <c r="F551" i="1"/>
  <c r="G551" i="1"/>
  <c r="H551" i="1"/>
  <c r="D552" i="1"/>
  <c r="E552" i="1"/>
  <c r="F552" i="1"/>
  <c r="G552" i="1"/>
  <c r="H552" i="1"/>
  <c r="D553" i="1"/>
  <c r="E553" i="1"/>
  <c r="F553" i="1"/>
  <c r="G553" i="1"/>
  <c r="H553" i="1"/>
  <c r="D554" i="1"/>
  <c r="E554" i="1"/>
  <c r="F554" i="1"/>
  <c r="G554" i="1"/>
  <c r="H554" i="1"/>
  <c r="D555" i="1"/>
  <c r="E555" i="1"/>
  <c r="F555" i="1"/>
  <c r="G555" i="1"/>
  <c r="H555" i="1"/>
  <c r="D556" i="1"/>
  <c r="E556" i="1"/>
  <c r="F556" i="1"/>
  <c r="G556" i="1"/>
  <c r="H556" i="1"/>
  <c r="D557" i="1"/>
  <c r="E557" i="1"/>
  <c r="F557" i="1"/>
  <c r="G557" i="1"/>
  <c r="H557" i="1"/>
  <c r="D558" i="1"/>
  <c r="E558" i="1"/>
  <c r="F558" i="1"/>
  <c r="G558" i="1"/>
  <c r="H558" i="1"/>
  <c r="D559" i="1"/>
  <c r="E559" i="1"/>
  <c r="F559" i="1"/>
  <c r="G559" i="1"/>
  <c r="H559" i="1"/>
  <c r="D560" i="1"/>
  <c r="E560" i="1"/>
  <c r="F560" i="1"/>
  <c r="G560" i="1"/>
  <c r="H560" i="1"/>
  <c r="D561" i="1"/>
  <c r="E561" i="1"/>
  <c r="F561" i="1"/>
  <c r="G561" i="1"/>
  <c r="H561" i="1"/>
  <c r="D562" i="1"/>
  <c r="E562" i="1"/>
  <c r="F562" i="1"/>
  <c r="G562" i="1"/>
  <c r="H562" i="1"/>
  <c r="D563" i="1"/>
  <c r="E563" i="1"/>
  <c r="F563" i="1"/>
  <c r="G563" i="1"/>
  <c r="H563" i="1"/>
  <c r="D564" i="1"/>
  <c r="E564" i="1"/>
  <c r="F564" i="1"/>
  <c r="G564" i="1"/>
  <c r="H564" i="1"/>
  <c r="D565" i="1"/>
  <c r="E565" i="1"/>
  <c r="F565" i="1"/>
  <c r="G565" i="1"/>
  <c r="H565" i="1"/>
  <c r="D566" i="1"/>
  <c r="E566" i="1"/>
  <c r="F566" i="1"/>
  <c r="G566" i="1"/>
  <c r="H566" i="1"/>
  <c r="D567" i="1"/>
  <c r="E567" i="1"/>
  <c r="F567" i="1"/>
  <c r="G567" i="1"/>
  <c r="H567" i="1"/>
  <c r="D568" i="1"/>
  <c r="E568" i="1"/>
  <c r="F568" i="1"/>
  <c r="G568" i="1"/>
  <c r="H568" i="1"/>
  <c r="D569" i="1"/>
  <c r="E569" i="1"/>
  <c r="F569" i="1"/>
  <c r="G569" i="1"/>
  <c r="H569" i="1"/>
  <c r="D570" i="1"/>
  <c r="E570" i="1"/>
  <c r="F570" i="1"/>
  <c r="G570" i="1"/>
  <c r="H570" i="1"/>
  <c r="D571" i="1"/>
  <c r="E571" i="1"/>
  <c r="F571" i="1"/>
  <c r="G571" i="1"/>
  <c r="H571" i="1"/>
  <c r="D572" i="1"/>
  <c r="E572" i="1"/>
  <c r="F572" i="1"/>
  <c r="G572" i="1"/>
  <c r="H572" i="1"/>
  <c r="D573" i="1"/>
  <c r="E573" i="1"/>
  <c r="F573" i="1"/>
  <c r="G573" i="1"/>
  <c r="H573" i="1"/>
  <c r="D574" i="1"/>
  <c r="E574" i="1"/>
  <c r="F574" i="1"/>
  <c r="G574" i="1"/>
  <c r="H574" i="1"/>
  <c r="D575" i="1"/>
  <c r="E575" i="1"/>
  <c r="F575" i="1"/>
  <c r="G575" i="1"/>
  <c r="H575" i="1"/>
  <c r="D576" i="1"/>
  <c r="E576" i="1"/>
  <c r="F576" i="1"/>
  <c r="G576" i="1"/>
  <c r="H576" i="1"/>
  <c r="D577" i="1"/>
  <c r="E577" i="1"/>
  <c r="F577" i="1"/>
  <c r="G577" i="1"/>
  <c r="H577" i="1"/>
  <c r="D578" i="1"/>
  <c r="E578" i="1"/>
  <c r="F578" i="1"/>
  <c r="G578" i="1"/>
  <c r="H578" i="1"/>
  <c r="D579" i="1"/>
  <c r="E579" i="1"/>
  <c r="F579" i="1"/>
  <c r="G579" i="1"/>
  <c r="H579" i="1"/>
  <c r="D580" i="1"/>
  <c r="E580" i="1"/>
  <c r="F580" i="1"/>
  <c r="G580" i="1"/>
  <c r="H580" i="1"/>
  <c r="D581" i="1"/>
  <c r="E581" i="1"/>
  <c r="F581" i="1"/>
  <c r="G581" i="1"/>
  <c r="H581" i="1"/>
  <c r="D582" i="1"/>
  <c r="E582" i="1"/>
  <c r="F582" i="1"/>
  <c r="G582" i="1"/>
  <c r="H582" i="1"/>
  <c r="D583" i="1"/>
  <c r="E583" i="1"/>
  <c r="F583" i="1"/>
  <c r="G583" i="1"/>
  <c r="H583" i="1"/>
  <c r="D584" i="1"/>
  <c r="E584" i="1"/>
  <c r="F584" i="1"/>
  <c r="G584" i="1"/>
  <c r="H584" i="1"/>
  <c r="D585" i="1"/>
  <c r="E585" i="1"/>
  <c r="F585" i="1"/>
  <c r="G585" i="1"/>
  <c r="H585" i="1"/>
  <c r="D586" i="1"/>
  <c r="E586" i="1"/>
  <c r="F586" i="1"/>
  <c r="G586" i="1"/>
  <c r="H586" i="1"/>
  <c r="D587" i="1"/>
  <c r="E587" i="1"/>
  <c r="F587" i="1"/>
  <c r="G587" i="1"/>
  <c r="H587" i="1"/>
  <c r="D588" i="1"/>
  <c r="E588" i="1"/>
  <c r="F588" i="1"/>
  <c r="G588" i="1"/>
  <c r="H588" i="1"/>
  <c r="D589" i="1"/>
  <c r="E589" i="1"/>
  <c r="F589" i="1"/>
  <c r="G589" i="1"/>
  <c r="H589" i="1"/>
  <c r="D590" i="1"/>
  <c r="E590" i="1"/>
  <c r="F590" i="1"/>
  <c r="G590" i="1"/>
  <c r="H590" i="1"/>
  <c r="D591" i="1"/>
  <c r="E591" i="1"/>
  <c r="F591" i="1"/>
  <c r="G591" i="1"/>
  <c r="H591" i="1"/>
  <c r="D592" i="1"/>
  <c r="E592" i="1"/>
  <c r="F592" i="1"/>
  <c r="G592" i="1"/>
  <c r="H592" i="1"/>
  <c r="D593" i="1"/>
  <c r="E593" i="1"/>
  <c r="F593" i="1"/>
  <c r="G593" i="1"/>
  <c r="H593" i="1"/>
  <c r="D594" i="1"/>
  <c r="E594" i="1"/>
  <c r="F594" i="1"/>
  <c r="G594" i="1"/>
  <c r="H594" i="1"/>
  <c r="D595" i="1"/>
  <c r="E595" i="1"/>
  <c r="F595" i="1"/>
  <c r="G595" i="1"/>
  <c r="H595" i="1"/>
  <c r="D596" i="1"/>
  <c r="E596" i="1"/>
  <c r="F596" i="1"/>
  <c r="G596" i="1"/>
  <c r="H596" i="1"/>
  <c r="D597" i="1"/>
  <c r="E597" i="1"/>
  <c r="F597" i="1"/>
  <c r="G597" i="1"/>
  <c r="H597" i="1"/>
  <c r="D598" i="1"/>
  <c r="E598" i="1"/>
  <c r="F598" i="1"/>
  <c r="G598" i="1"/>
  <c r="H598" i="1"/>
  <c r="D599" i="1"/>
  <c r="E599" i="1"/>
  <c r="F599" i="1"/>
  <c r="G599" i="1"/>
  <c r="H599" i="1"/>
  <c r="D600" i="1"/>
  <c r="E600" i="1"/>
  <c r="F600" i="1"/>
  <c r="G600" i="1"/>
  <c r="H600" i="1"/>
  <c r="D601" i="1"/>
  <c r="E601" i="1"/>
  <c r="F601" i="1"/>
  <c r="G601" i="1"/>
  <c r="H601" i="1"/>
  <c r="D602" i="1"/>
  <c r="E602" i="1"/>
  <c r="F602" i="1"/>
  <c r="G602" i="1"/>
  <c r="H602" i="1"/>
  <c r="D603" i="1"/>
  <c r="E603" i="1"/>
  <c r="F603" i="1"/>
  <c r="G603" i="1"/>
  <c r="H603" i="1"/>
  <c r="D604" i="1"/>
  <c r="E604" i="1"/>
  <c r="F604" i="1"/>
  <c r="G604" i="1"/>
  <c r="H604" i="1"/>
  <c r="D605" i="1"/>
  <c r="E605" i="1"/>
  <c r="F605" i="1"/>
  <c r="G605" i="1"/>
  <c r="H605" i="1"/>
  <c r="D606" i="1"/>
  <c r="E606" i="1"/>
  <c r="F606" i="1"/>
  <c r="G606" i="1"/>
  <c r="H606" i="1"/>
  <c r="D607" i="1"/>
  <c r="E607" i="1"/>
  <c r="F607" i="1"/>
  <c r="G607" i="1"/>
  <c r="H607" i="1"/>
  <c r="D608" i="1"/>
  <c r="E608" i="1"/>
  <c r="F608" i="1"/>
  <c r="G608" i="1"/>
  <c r="H608" i="1"/>
  <c r="D609" i="1"/>
  <c r="E609" i="1"/>
  <c r="F609" i="1"/>
  <c r="G609" i="1"/>
  <c r="H609" i="1"/>
  <c r="D610" i="1"/>
  <c r="E610" i="1"/>
  <c r="F610" i="1"/>
  <c r="G610" i="1"/>
  <c r="H610" i="1"/>
  <c r="D611" i="1"/>
  <c r="E611" i="1"/>
  <c r="F611" i="1"/>
  <c r="G611" i="1"/>
  <c r="H611" i="1"/>
  <c r="D612" i="1"/>
  <c r="E612" i="1"/>
  <c r="F612" i="1"/>
  <c r="G612" i="1"/>
  <c r="H612" i="1"/>
  <c r="D613" i="1"/>
  <c r="E613" i="1"/>
  <c r="F613" i="1"/>
  <c r="G613" i="1"/>
  <c r="H613" i="1"/>
  <c r="D614" i="1"/>
  <c r="E614" i="1"/>
  <c r="F614" i="1"/>
  <c r="G614" i="1"/>
  <c r="H614" i="1"/>
  <c r="D615" i="1"/>
  <c r="E615" i="1"/>
  <c r="F615" i="1"/>
  <c r="G615" i="1"/>
  <c r="H615" i="1"/>
  <c r="D616" i="1"/>
  <c r="E616" i="1"/>
  <c r="F616" i="1"/>
  <c r="G616" i="1"/>
  <c r="H616" i="1"/>
  <c r="D617" i="1"/>
  <c r="E617" i="1"/>
  <c r="F617" i="1"/>
  <c r="G617" i="1"/>
  <c r="H617" i="1"/>
  <c r="D618" i="1"/>
  <c r="E618" i="1"/>
  <c r="F618" i="1"/>
  <c r="G618" i="1"/>
  <c r="H618" i="1"/>
  <c r="D619" i="1"/>
  <c r="E619" i="1"/>
  <c r="F619" i="1"/>
  <c r="G619" i="1"/>
  <c r="H619" i="1"/>
  <c r="D620" i="1"/>
  <c r="E620" i="1"/>
  <c r="F620" i="1"/>
  <c r="G620" i="1"/>
  <c r="H620" i="1"/>
  <c r="D621" i="1"/>
  <c r="E621" i="1"/>
  <c r="F621" i="1"/>
  <c r="G621" i="1"/>
  <c r="H621" i="1"/>
  <c r="D622" i="1"/>
  <c r="E622" i="1"/>
  <c r="F622" i="1"/>
  <c r="G622" i="1"/>
  <c r="H622" i="1"/>
  <c r="D623" i="1"/>
  <c r="E623" i="1"/>
  <c r="F623" i="1"/>
  <c r="G623" i="1"/>
  <c r="H623" i="1"/>
  <c r="D624" i="1"/>
  <c r="E624" i="1"/>
  <c r="F624" i="1"/>
  <c r="G624" i="1"/>
  <c r="H624" i="1"/>
  <c r="D625" i="1"/>
  <c r="E625" i="1"/>
  <c r="F625" i="1"/>
  <c r="G625" i="1"/>
  <c r="H625" i="1"/>
  <c r="D626" i="1"/>
  <c r="E626" i="1"/>
  <c r="F626" i="1"/>
  <c r="G626" i="1"/>
  <c r="H626" i="1"/>
  <c r="D627" i="1"/>
  <c r="E627" i="1"/>
  <c r="F627" i="1"/>
  <c r="G627" i="1"/>
  <c r="H627" i="1"/>
  <c r="D628" i="1"/>
  <c r="E628" i="1"/>
  <c r="F628" i="1"/>
  <c r="G628" i="1"/>
  <c r="H628" i="1"/>
  <c r="D629" i="1"/>
  <c r="E629" i="1"/>
  <c r="F629" i="1"/>
  <c r="G629" i="1"/>
  <c r="H629" i="1"/>
  <c r="D630" i="1"/>
  <c r="E630" i="1"/>
  <c r="F630" i="1"/>
  <c r="G630" i="1"/>
  <c r="H630" i="1"/>
  <c r="D631" i="1"/>
  <c r="E631" i="1"/>
  <c r="F631" i="1"/>
  <c r="G631" i="1"/>
  <c r="H631" i="1"/>
  <c r="D632" i="1"/>
  <c r="E632" i="1"/>
  <c r="F632" i="1"/>
  <c r="G632" i="1"/>
  <c r="H632" i="1"/>
  <c r="D633" i="1"/>
  <c r="E633" i="1"/>
  <c r="F633" i="1"/>
  <c r="G633" i="1"/>
  <c r="H633" i="1"/>
  <c r="D634" i="1"/>
  <c r="E634" i="1"/>
  <c r="F634" i="1"/>
  <c r="G634" i="1"/>
  <c r="H634" i="1"/>
  <c r="D635" i="1"/>
  <c r="E635" i="1"/>
  <c r="F635" i="1"/>
  <c r="G635" i="1"/>
  <c r="H635" i="1"/>
  <c r="D636" i="1"/>
  <c r="E636" i="1"/>
  <c r="F636" i="1"/>
  <c r="G636" i="1"/>
  <c r="H636" i="1"/>
  <c r="D637" i="1"/>
  <c r="E637" i="1"/>
  <c r="F637" i="1"/>
  <c r="G637" i="1"/>
  <c r="H637" i="1"/>
  <c r="D638" i="1"/>
  <c r="E638" i="1"/>
  <c r="F638" i="1"/>
  <c r="G638" i="1"/>
  <c r="H638" i="1"/>
  <c r="D639" i="1"/>
  <c r="E639" i="1"/>
  <c r="F639" i="1"/>
  <c r="G639" i="1"/>
  <c r="H639" i="1"/>
  <c r="D640" i="1"/>
  <c r="E640" i="1"/>
  <c r="F640" i="1"/>
  <c r="G640" i="1"/>
  <c r="H640" i="1"/>
  <c r="D641" i="1"/>
  <c r="E641" i="1"/>
  <c r="F641" i="1"/>
  <c r="G641" i="1"/>
  <c r="H641" i="1"/>
  <c r="D642" i="1"/>
  <c r="E642" i="1"/>
  <c r="F642" i="1"/>
  <c r="G642" i="1"/>
  <c r="H642" i="1"/>
  <c r="D643" i="1"/>
  <c r="E643" i="1"/>
  <c r="F643" i="1"/>
  <c r="G643" i="1"/>
  <c r="H643" i="1"/>
  <c r="D644" i="1"/>
  <c r="E644" i="1"/>
  <c r="F644" i="1"/>
  <c r="G644" i="1"/>
  <c r="H644" i="1"/>
  <c r="D645" i="1"/>
  <c r="E645" i="1"/>
  <c r="F645" i="1"/>
  <c r="G645" i="1"/>
  <c r="H645" i="1"/>
  <c r="D646" i="1"/>
  <c r="E646" i="1"/>
  <c r="F646" i="1"/>
  <c r="G646" i="1"/>
  <c r="H646" i="1"/>
  <c r="D647" i="1"/>
  <c r="E647" i="1"/>
  <c r="F647" i="1"/>
  <c r="G647" i="1"/>
  <c r="H647" i="1"/>
  <c r="D648" i="1"/>
  <c r="E648" i="1"/>
  <c r="F648" i="1"/>
  <c r="G648" i="1"/>
  <c r="H648" i="1"/>
  <c r="D649" i="1"/>
  <c r="E649" i="1"/>
  <c r="F649" i="1"/>
  <c r="G649" i="1"/>
  <c r="H649" i="1"/>
  <c r="D650" i="1"/>
  <c r="E650" i="1"/>
  <c r="F650" i="1"/>
  <c r="G650" i="1"/>
  <c r="H650" i="1"/>
  <c r="D651" i="1"/>
  <c r="E651" i="1"/>
  <c r="F651" i="1"/>
  <c r="G651" i="1"/>
  <c r="H651" i="1"/>
  <c r="D652" i="1"/>
  <c r="E652" i="1"/>
  <c r="F652" i="1"/>
  <c r="G652" i="1"/>
  <c r="H652" i="1"/>
  <c r="D653" i="1"/>
  <c r="E653" i="1"/>
  <c r="F653" i="1"/>
  <c r="G653" i="1"/>
  <c r="H653" i="1"/>
  <c r="D654" i="1"/>
  <c r="E654" i="1"/>
  <c r="F654" i="1"/>
  <c r="G654" i="1"/>
  <c r="H654" i="1"/>
  <c r="D655" i="1"/>
  <c r="E655" i="1"/>
  <c r="F655" i="1"/>
  <c r="G655" i="1"/>
  <c r="H655" i="1"/>
  <c r="D656" i="1"/>
  <c r="E656" i="1"/>
  <c r="F656" i="1"/>
  <c r="G656" i="1"/>
  <c r="H656" i="1"/>
  <c r="D657" i="1"/>
  <c r="E657" i="1"/>
  <c r="F657" i="1"/>
  <c r="G657" i="1"/>
  <c r="H657" i="1"/>
  <c r="D658" i="1"/>
  <c r="E658" i="1"/>
  <c r="F658" i="1"/>
  <c r="G658" i="1"/>
  <c r="H658" i="1"/>
  <c r="D659" i="1"/>
  <c r="E659" i="1"/>
  <c r="F659" i="1"/>
  <c r="G659" i="1"/>
  <c r="H659" i="1"/>
  <c r="D660" i="1"/>
  <c r="E660" i="1"/>
  <c r="F660" i="1"/>
  <c r="G660" i="1"/>
  <c r="H660" i="1"/>
  <c r="D661" i="1"/>
  <c r="E661" i="1"/>
  <c r="F661" i="1"/>
  <c r="G661" i="1"/>
  <c r="H661" i="1"/>
  <c r="D662" i="1"/>
  <c r="E662" i="1"/>
  <c r="F662" i="1"/>
  <c r="G662" i="1"/>
  <c r="H662" i="1"/>
  <c r="D663" i="1"/>
  <c r="E663" i="1"/>
  <c r="F663" i="1"/>
  <c r="G663" i="1"/>
  <c r="H663" i="1"/>
  <c r="D664" i="1"/>
  <c r="E664" i="1"/>
  <c r="F664" i="1"/>
  <c r="G664" i="1"/>
  <c r="H664" i="1"/>
  <c r="D665" i="1"/>
  <c r="E665" i="1"/>
  <c r="F665" i="1"/>
  <c r="G665" i="1"/>
  <c r="H665" i="1"/>
  <c r="D666" i="1"/>
  <c r="E666" i="1"/>
  <c r="F666" i="1"/>
  <c r="G666" i="1"/>
  <c r="H666" i="1"/>
  <c r="D667" i="1"/>
  <c r="E667" i="1"/>
  <c r="F667" i="1"/>
  <c r="G667" i="1"/>
  <c r="H667" i="1"/>
  <c r="D668" i="1"/>
  <c r="E668" i="1"/>
  <c r="F668" i="1"/>
  <c r="G668" i="1"/>
  <c r="H668" i="1"/>
  <c r="D669" i="1"/>
  <c r="E669" i="1"/>
  <c r="F669" i="1"/>
  <c r="G669" i="1"/>
  <c r="H669" i="1"/>
  <c r="D670" i="1"/>
  <c r="E670" i="1"/>
  <c r="F670" i="1"/>
  <c r="G670" i="1"/>
  <c r="H670" i="1"/>
  <c r="D671" i="1"/>
  <c r="E671" i="1"/>
  <c r="F671" i="1"/>
  <c r="G671" i="1"/>
  <c r="H671" i="1"/>
  <c r="D672" i="1"/>
  <c r="E672" i="1"/>
  <c r="F672" i="1"/>
  <c r="G672" i="1"/>
  <c r="H672" i="1"/>
  <c r="D673" i="1"/>
  <c r="E673" i="1"/>
  <c r="F673" i="1"/>
  <c r="G673" i="1"/>
  <c r="H673" i="1"/>
  <c r="D674" i="1"/>
  <c r="E674" i="1"/>
  <c r="F674" i="1"/>
  <c r="G674" i="1"/>
  <c r="H674" i="1"/>
  <c r="D675" i="1"/>
  <c r="E675" i="1"/>
  <c r="F675" i="1"/>
  <c r="G675" i="1"/>
  <c r="H675" i="1"/>
  <c r="D676" i="1"/>
  <c r="E676" i="1"/>
  <c r="F676" i="1"/>
  <c r="G676" i="1"/>
  <c r="H676" i="1"/>
  <c r="D677" i="1"/>
  <c r="E677" i="1"/>
  <c r="F677" i="1"/>
  <c r="G677" i="1"/>
  <c r="H677" i="1"/>
  <c r="D678" i="1"/>
  <c r="E678" i="1"/>
  <c r="F678" i="1"/>
  <c r="G678" i="1"/>
  <c r="H678" i="1"/>
  <c r="D679" i="1"/>
  <c r="E679" i="1"/>
  <c r="F679" i="1"/>
  <c r="G679" i="1"/>
  <c r="H679" i="1"/>
  <c r="D680" i="1"/>
  <c r="E680" i="1"/>
  <c r="F680" i="1"/>
  <c r="G680" i="1"/>
  <c r="H680" i="1"/>
  <c r="D681" i="1"/>
  <c r="E681" i="1"/>
  <c r="F681" i="1"/>
  <c r="G681" i="1"/>
  <c r="H681" i="1"/>
  <c r="D682" i="1"/>
  <c r="E682" i="1"/>
  <c r="F682" i="1"/>
  <c r="G682" i="1"/>
  <c r="H682" i="1"/>
  <c r="D683" i="1"/>
  <c r="E683" i="1"/>
  <c r="F683" i="1"/>
  <c r="G683" i="1"/>
  <c r="H683" i="1"/>
  <c r="D684" i="1"/>
  <c r="E684" i="1"/>
  <c r="F684" i="1"/>
  <c r="G684" i="1"/>
  <c r="H684" i="1"/>
  <c r="D685" i="1"/>
  <c r="E685" i="1"/>
  <c r="F685" i="1"/>
  <c r="G685" i="1"/>
  <c r="H685" i="1"/>
  <c r="D686" i="1"/>
  <c r="E686" i="1"/>
  <c r="F686" i="1"/>
  <c r="G686" i="1"/>
  <c r="H686" i="1"/>
  <c r="D687" i="1"/>
  <c r="E687" i="1"/>
  <c r="F687" i="1"/>
  <c r="G687" i="1"/>
  <c r="H687" i="1"/>
  <c r="D688" i="1"/>
  <c r="E688" i="1"/>
  <c r="F688" i="1"/>
  <c r="G688" i="1"/>
  <c r="H688" i="1"/>
  <c r="D689" i="1"/>
  <c r="E689" i="1"/>
  <c r="F689" i="1"/>
  <c r="G689" i="1"/>
  <c r="H689" i="1"/>
  <c r="D690" i="1"/>
  <c r="E690" i="1"/>
  <c r="F690" i="1"/>
  <c r="G690" i="1"/>
  <c r="H690" i="1"/>
  <c r="D691" i="1"/>
  <c r="E691" i="1"/>
  <c r="F691" i="1"/>
  <c r="G691" i="1"/>
  <c r="H691" i="1"/>
  <c r="D692" i="1"/>
  <c r="E692" i="1"/>
  <c r="F692" i="1"/>
  <c r="G692" i="1"/>
  <c r="H692" i="1"/>
  <c r="D693" i="1"/>
  <c r="E693" i="1"/>
  <c r="F693" i="1"/>
  <c r="G693" i="1"/>
  <c r="H693" i="1"/>
  <c r="D694" i="1"/>
  <c r="E694" i="1"/>
  <c r="F694" i="1"/>
  <c r="G694" i="1"/>
  <c r="H694" i="1"/>
  <c r="D695" i="1"/>
  <c r="E695" i="1"/>
  <c r="F695" i="1"/>
  <c r="G695" i="1"/>
  <c r="H695" i="1"/>
  <c r="D696" i="1"/>
  <c r="E696" i="1"/>
  <c r="F696" i="1"/>
  <c r="G696" i="1"/>
  <c r="H696" i="1"/>
  <c r="D697" i="1"/>
  <c r="E697" i="1"/>
  <c r="F697" i="1"/>
  <c r="G697" i="1"/>
  <c r="H697" i="1"/>
  <c r="D698" i="1"/>
  <c r="E698" i="1"/>
  <c r="F698" i="1"/>
  <c r="G698" i="1"/>
  <c r="H698" i="1"/>
  <c r="D699" i="1"/>
  <c r="E699" i="1"/>
  <c r="F699" i="1"/>
  <c r="G699" i="1"/>
  <c r="H699" i="1"/>
  <c r="D700" i="1"/>
  <c r="E700" i="1"/>
  <c r="F700" i="1"/>
  <c r="G700" i="1"/>
  <c r="H700" i="1"/>
  <c r="D701" i="1"/>
  <c r="E701" i="1"/>
  <c r="F701" i="1"/>
  <c r="G701" i="1"/>
  <c r="H701" i="1"/>
  <c r="D702" i="1"/>
  <c r="E702" i="1"/>
  <c r="F702" i="1"/>
  <c r="G702" i="1"/>
  <c r="H702" i="1"/>
  <c r="D703" i="1"/>
  <c r="E703" i="1"/>
  <c r="F703" i="1"/>
  <c r="G703" i="1"/>
  <c r="H703" i="1"/>
  <c r="D704" i="1"/>
  <c r="E704" i="1"/>
  <c r="F704" i="1"/>
  <c r="G704" i="1"/>
  <c r="H704" i="1"/>
  <c r="D705" i="1"/>
  <c r="E705" i="1"/>
  <c r="F705" i="1"/>
  <c r="G705" i="1"/>
  <c r="H705" i="1"/>
  <c r="D706" i="1"/>
  <c r="E706" i="1"/>
  <c r="F706" i="1"/>
  <c r="G706" i="1"/>
  <c r="H706" i="1"/>
  <c r="D707" i="1"/>
  <c r="E707" i="1"/>
  <c r="F707" i="1"/>
  <c r="G707" i="1"/>
  <c r="H707" i="1"/>
  <c r="D708" i="1"/>
  <c r="E708" i="1"/>
  <c r="F708" i="1"/>
  <c r="G708" i="1"/>
  <c r="H708" i="1"/>
  <c r="D709" i="1"/>
  <c r="E709" i="1"/>
  <c r="F709" i="1"/>
  <c r="G709" i="1"/>
  <c r="H709" i="1"/>
  <c r="D710" i="1"/>
  <c r="E710" i="1"/>
  <c r="F710" i="1"/>
  <c r="G710" i="1"/>
  <c r="H710" i="1"/>
  <c r="D711" i="1"/>
  <c r="E711" i="1"/>
  <c r="F711" i="1"/>
  <c r="G711" i="1"/>
  <c r="H711" i="1"/>
  <c r="D712" i="1"/>
  <c r="E712" i="1"/>
  <c r="F712" i="1"/>
  <c r="G712" i="1"/>
  <c r="H712" i="1"/>
  <c r="D713" i="1"/>
  <c r="E713" i="1"/>
  <c r="F713" i="1"/>
  <c r="G713" i="1"/>
  <c r="H713" i="1"/>
  <c r="D714" i="1"/>
  <c r="E714" i="1"/>
  <c r="F714" i="1"/>
  <c r="G714" i="1"/>
  <c r="H714" i="1"/>
  <c r="D715" i="1"/>
  <c r="E715" i="1"/>
  <c r="F715" i="1"/>
  <c r="G715" i="1"/>
  <c r="H715" i="1"/>
  <c r="D716" i="1"/>
  <c r="E716" i="1"/>
  <c r="F716" i="1"/>
  <c r="G716" i="1"/>
  <c r="H716" i="1"/>
  <c r="D717" i="1"/>
  <c r="E717" i="1"/>
  <c r="F717" i="1"/>
  <c r="G717" i="1"/>
  <c r="H717" i="1"/>
  <c r="D718" i="1"/>
  <c r="E718" i="1"/>
  <c r="F718" i="1"/>
  <c r="G718" i="1"/>
  <c r="H718" i="1"/>
  <c r="D719" i="1"/>
  <c r="E719" i="1"/>
  <c r="F719" i="1"/>
  <c r="G719" i="1"/>
  <c r="H719" i="1"/>
  <c r="D720" i="1"/>
  <c r="E720" i="1"/>
  <c r="F720" i="1"/>
  <c r="G720" i="1"/>
  <c r="H720" i="1"/>
  <c r="D721" i="1"/>
  <c r="E721" i="1"/>
  <c r="F721" i="1"/>
  <c r="G721" i="1"/>
  <c r="H721" i="1"/>
  <c r="D722" i="1"/>
  <c r="E722" i="1"/>
  <c r="F722" i="1"/>
  <c r="G722" i="1"/>
  <c r="H722" i="1"/>
  <c r="D723" i="1"/>
  <c r="E723" i="1"/>
  <c r="F723" i="1"/>
  <c r="G723" i="1"/>
  <c r="H723" i="1"/>
  <c r="D724" i="1"/>
  <c r="E724" i="1"/>
  <c r="F724" i="1"/>
  <c r="G724" i="1"/>
  <c r="H724" i="1"/>
  <c r="D725" i="1"/>
  <c r="E725" i="1"/>
  <c r="F725" i="1"/>
  <c r="G725" i="1"/>
  <c r="H725" i="1"/>
  <c r="D726" i="1"/>
  <c r="E726" i="1"/>
  <c r="F726" i="1"/>
  <c r="G726" i="1"/>
  <c r="H726" i="1"/>
  <c r="D727" i="1"/>
  <c r="E727" i="1"/>
  <c r="F727" i="1"/>
  <c r="G727" i="1"/>
  <c r="H727" i="1"/>
  <c r="D728" i="1"/>
  <c r="E728" i="1"/>
  <c r="F728" i="1"/>
  <c r="G728" i="1"/>
  <c r="H728" i="1"/>
  <c r="D729" i="1"/>
  <c r="E729" i="1"/>
  <c r="F729" i="1"/>
  <c r="G729" i="1"/>
  <c r="H729" i="1"/>
  <c r="D730" i="1"/>
  <c r="E730" i="1"/>
  <c r="F730" i="1"/>
  <c r="G730" i="1"/>
  <c r="H730" i="1"/>
  <c r="D731" i="1"/>
  <c r="E731" i="1"/>
  <c r="F731" i="1"/>
  <c r="G731" i="1"/>
  <c r="H731" i="1"/>
  <c r="D732" i="1"/>
  <c r="E732" i="1"/>
  <c r="F732" i="1"/>
  <c r="G732" i="1"/>
  <c r="H732" i="1"/>
  <c r="D733" i="1"/>
  <c r="E733" i="1"/>
  <c r="F733" i="1"/>
  <c r="G733" i="1"/>
  <c r="H733" i="1"/>
  <c r="D734" i="1"/>
  <c r="E734" i="1"/>
  <c r="F734" i="1"/>
  <c r="G734" i="1"/>
  <c r="H734" i="1"/>
  <c r="D735" i="1"/>
  <c r="E735" i="1"/>
  <c r="F735" i="1"/>
  <c r="G735" i="1"/>
  <c r="H735" i="1"/>
  <c r="D736" i="1"/>
  <c r="E736" i="1"/>
  <c r="F736" i="1"/>
  <c r="G736" i="1"/>
  <c r="H736" i="1"/>
  <c r="D737" i="1"/>
  <c r="E737" i="1"/>
  <c r="F737" i="1"/>
  <c r="G737" i="1"/>
  <c r="H737" i="1"/>
  <c r="D738" i="1"/>
  <c r="E738" i="1"/>
  <c r="F738" i="1"/>
  <c r="G738" i="1"/>
  <c r="H738" i="1"/>
  <c r="D739" i="1"/>
  <c r="E739" i="1"/>
  <c r="F739" i="1"/>
  <c r="G739" i="1"/>
  <c r="H739" i="1"/>
  <c r="D740" i="1"/>
  <c r="E740" i="1"/>
  <c r="F740" i="1"/>
  <c r="G740" i="1"/>
  <c r="H740" i="1"/>
  <c r="D741" i="1"/>
  <c r="E741" i="1"/>
  <c r="F741" i="1"/>
  <c r="G741" i="1"/>
  <c r="H741" i="1"/>
  <c r="D742" i="1"/>
  <c r="E742" i="1"/>
  <c r="F742" i="1"/>
  <c r="G742" i="1"/>
  <c r="H742" i="1"/>
  <c r="D743" i="1"/>
  <c r="E743" i="1"/>
  <c r="F743" i="1"/>
  <c r="G743" i="1"/>
  <c r="H743" i="1"/>
  <c r="D744" i="1"/>
  <c r="E744" i="1"/>
  <c r="F744" i="1"/>
  <c r="G744" i="1"/>
  <c r="H744" i="1"/>
  <c r="D745" i="1"/>
  <c r="E745" i="1"/>
  <c r="F745" i="1"/>
  <c r="G745" i="1"/>
  <c r="H745" i="1"/>
  <c r="D746" i="1"/>
  <c r="E746" i="1"/>
  <c r="F746" i="1"/>
  <c r="G746" i="1"/>
  <c r="H746" i="1"/>
  <c r="D747" i="1"/>
  <c r="E747" i="1"/>
  <c r="F747" i="1"/>
  <c r="G747" i="1"/>
  <c r="H747" i="1"/>
  <c r="D748" i="1"/>
  <c r="E748" i="1"/>
  <c r="F748" i="1"/>
  <c r="G748" i="1"/>
  <c r="H748" i="1"/>
  <c r="D749" i="1"/>
  <c r="E749" i="1"/>
  <c r="F749" i="1"/>
  <c r="G749" i="1"/>
  <c r="H749" i="1"/>
  <c r="D750" i="1"/>
  <c r="E750" i="1"/>
  <c r="F750" i="1"/>
  <c r="G750" i="1"/>
  <c r="H750" i="1"/>
  <c r="D751" i="1"/>
  <c r="E751" i="1"/>
  <c r="F751" i="1"/>
  <c r="G751" i="1"/>
  <c r="H751" i="1"/>
  <c r="D752" i="1"/>
  <c r="E752" i="1"/>
  <c r="F752" i="1"/>
  <c r="G752" i="1"/>
  <c r="H752" i="1"/>
  <c r="D753" i="1"/>
  <c r="E753" i="1"/>
  <c r="F753" i="1"/>
  <c r="G753" i="1"/>
  <c r="H753" i="1"/>
  <c r="D754" i="1"/>
  <c r="E754" i="1"/>
  <c r="F754" i="1"/>
  <c r="G754" i="1"/>
  <c r="H754" i="1"/>
  <c r="D755" i="1"/>
  <c r="E755" i="1"/>
  <c r="F755" i="1"/>
  <c r="G755" i="1"/>
  <c r="H755" i="1"/>
  <c r="D756" i="1"/>
  <c r="E756" i="1"/>
  <c r="F756" i="1"/>
  <c r="G756" i="1"/>
  <c r="H756" i="1"/>
  <c r="D757" i="1"/>
  <c r="E757" i="1"/>
  <c r="F757" i="1"/>
  <c r="G757" i="1"/>
  <c r="H757" i="1"/>
  <c r="D758" i="1"/>
  <c r="E758" i="1"/>
  <c r="F758" i="1"/>
  <c r="G758" i="1"/>
  <c r="H758" i="1"/>
  <c r="D759" i="1"/>
  <c r="E759" i="1"/>
  <c r="F759" i="1"/>
  <c r="G759" i="1"/>
  <c r="H759" i="1"/>
  <c r="D760" i="1"/>
  <c r="E760" i="1"/>
  <c r="F760" i="1"/>
  <c r="G760" i="1"/>
  <c r="H760" i="1"/>
  <c r="D761" i="1"/>
  <c r="E761" i="1"/>
  <c r="F761" i="1"/>
  <c r="G761" i="1"/>
  <c r="H761" i="1"/>
  <c r="D762" i="1"/>
  <c r="E762" i="1"/>
  <c r="F762" i="1"/>
  <c r="G762" i="1"/>
  <c r="H762" i="1"/>
  <c r="D763" i="1"/>
  <c r="E763" i="1"/>
  <c r="F763" i="1"/>
  <c r="G763" i="1"/>
  <c r="H763" i="1"/>
  <c r="D764" i="1"/>
  <c r="E764" i="1"/>
  <c r="F764" i="1"/>
  <c r="G764" i="1"/>
  <c r="H764" i="1"/>
  <c r="D765" i="1"/>
  <c r="E765" i="1"/>
  <c r="F765" i="1"/>
  <c r="G765" i="1"/>
  <c r="H765" i="1"/>
  <c r="D766" i="1"/>
  <c r="E766" i="1"/>
  <c r="F766" i="1"/>
  <c r="G766" i="1"/>
  <c r="H766" i="1"/>
  <c r="D767" i="1"/>
  <c r="E767" i="1"/>
  <c r="F767" i="1"/>
  <c r="G767" i="1"/>
  <c r="H767" i="1"/>
  <c r="D768" i="1"/>
  <c r="E768" i="1"/>
  <c r="F768" i="1"/>
  <c r="G768" i="1"/>
  <c r="H768" i="1"/>
  <c r="D769" i="1"/>
  <c r="E769" i="1"/>
  <c r="F769" i="1"/>
  <c r="G769" i="1"/>
  <c r="H769" i="1"/>
  <c r="D770" i="1"/>
  <c r="E770" i="1"/>
  <c r="F770" i="1"/>
  <c r="G770" i="1"/>
  <c r="H770" i="1"/>
  <c r="D771" i="1"/>
  <c r="E771" i="1"/>
  <c r="F771" i="1"/>
  <c r="G771" i="1"/>
  <c r="H771" i="1"/>
  <c r="D772" i="1"/>
  <c r="E772" i="1"/>
  <c r="F772" i="1"/>
  <c r="G772" i="1"/>
  <c r="H772" i="1"/>
  <c r="D773" i="1"/>
  <c r="E773" i="1"/>
  <c r="F773" i="1"/>
  <c r="G773" i="1"/>
  <c r="H773" i="1"/>
  <c r="D774" i="1"/>
  <c r="E774" i="1"/>
  <c r="F774" i="1"/>
  <c r="G774" i="1"/>
  <c r="H774" i="1"/>
  <c r="D775" i="1"/>
  <c r="E775" i="1"/>
  <c r="F775" i="1"/>
  <c r="G775" i="1"/>
  <c r="H775" i="1"/>
  <c r="D776" i="1"/>
  <c r="E776" i="1"/>
  <c r="F776" i="1"/>
  <c r="G776" i="1"/>
  <c r="H776" i="1"/>
  <c r="D777" i="1"/>
  <c r="E777" i="1"/>
  <c r="F777" i="1"/>
  <c r="G777" i="1"/>
  <c r="H777" i="1"/>
  <c r="D778" i="1"/>
  <c r="E778" i="1"/>
  <c r="F778" i="1"/>
  <c r="G778" i="1"/>
  <c r="H778" i="1"/>
  <c r="D779" i="1"/>
  <c r="E779" i="1"/>
  <c r="F779" i="1"/>
  <c r="G779" i="1"/>
  <c r="H779" i="1"/>
  <c r="D780" i="1"/>
  <c r="E780" i="1"/>
  <c r="F780" i="1"/>
  <c r="G780" i="1"/>
  <c r="H780" i="1"/>
  <c r="D781" i="1"/>
  <c r="E781" i="1"/>
  <c r="F781" i="1"/>
  <c r="G781" i="1"/>
  <c r="H781" i="1"/>
  <c r="D782" i="1"/>
  <c r="E782" i="1"/>
  <c r="F782" i="1"/>
  <c r="G782" i="1"/>
  <c r="H782" i="1"/>
  <c r="D783" i="1"/>
  <c r="E783" i="1"/>
  <c r="F783" i="1"/>
  <c r="G783" i="1"/>
  <c r="H783" i="1"/>
  <c r="D784" i="1"/>
  <c r="E784" i="1"/>
  <c r="F784" i="1"/>
  <c r="G784" i="1"/>
  <c r="H784" i="1"/>
  <c r="D785" i="1"/>
  <c r="E785" i="1"/>
  <c r="F785" i="1"/>
  <c r="G785" i="1"/>
  <c r="H785" i="1"/>
  <c r="D786" i="1"/>
  <c r="E786" i="1"/>
  <c r="F786" i="1"/>
  <c r="G786" i="1"/>
  <c r="H786" i="1"/>
  <c r="D787" i="1"/>
  <c r="E787" i="1"/>
  <c r="F787" i="1"/>
  <c r="G787" i="1"/>
  <c r="H787" i="1"/>
  <c r="D788" i="1"/>
  <c r="E788" i="1"/>
  <c r="F788" i="1"/>
  <c r="G788" i="1"/>
  <c r="H788" i="1"/>
  <c r="D789" i="1"/>
  <c r="E789" i="1"/>
  <c r="F789" i="1"/>
  <c r="G789" i="1"/>
  <c r="H789" i="1"/>
  <c r="D790" i="1"/>
  <c r="E790" i="1"/>
  <c r="F790" i="1"/>
  <c r="G790" i="1"/>
  <c r="H790" i="1"/>
  <c r="D791" i="1"/>
  <c r="E791" i="1"/>
  <c r="F791" i="1"/>
  <c r="G791" i="1"/>
  <c r="H791" i="1"/>
  <c r="D792" i="1"/>
  <c r="E792" i="1"/>
  <c r="F792" i="1"/>
  <c r="G792" i="1"/>
  <c r="H792" i="1"/>
  <c r="D793" i="1"/>
  <c r="E793" i="1"/>
  <c r="F793" i="1"/>
  <c r="G793" i="1"/>
  <c r="H793" i="1"/>
  <c r="D794" i="1"/>
  <c r="E794" i="1"/>
  <c r="F794" i="1"/>
  <c r="G794" i="1"/>
  <c r="H794" i="1"/>
  <c r="D795" i="1"/>
  <c r="E795" i="1"/>
  <c r="F795" i="1"/>
  <c r="G795" i="1"/>
  <c r="H795" i="1"/>
  <c r="D796" i="1"/>
  <c r="E796" i="1"/>
  <c r="F796" i="1"/>
  <c r="G796" i="1"/>
  <c r="H796" i="1"/>
  <c r="D797" i="1"/>
  <c r="E797" i="1"/>
  <c r="F797" i="1"/>
  <c r="G797" i="1"/>
  <c r="H797" i="1"/>
  <c r="D798" i="1"/>
  <c r="E798" i="1"/>
  <c r="F798" i="1"/>
  <c r="G798" i="1"/>
  <c r="H798" i="1"/>
  <c r="D799" i="1"/>
  <c r="E799" i="1"/>
  <c r="F799" i="1"/>
  <c r="G799" i="1"/>
  <c r="H799" i="1"/>
  <c r="D800" i="1"/>
  <c r="E800" i="1"/>
  <c r="F800" i="1"/>
  <c r="G800" i="1"/>
  <c r="H800" i="1"/>
  <c r="D801" i="1"/>
  <c r="E801" i="1"/>
  <c r="F801" i="1"/>
  <c r="G801" i="1"/>
  <c r="H801" i="1"/>
  <c r="D802" i="1"/>
  <c r="E802" i="1"/>
  <c r="F802" i="1"/>
  <c r="G802" i="1"/>
  <c r="H802" i="1"/>
  <c r="D803" i="1"/>
  <c r="E803" i="1"/>
  <c r="F803" i="1"/>
  <c r="G803" i="1"/>
  <c r="H803" i="1"/>
  <c r="D804" i="1"/>
  <c r="E804" i="1"/>
  <c r="F804" i="1"/>
  <c r="G804" i="1"/>
  <c r="H804" i="1"/>
  <c r="D805" i="1"/>
  <c r="E805" i="1"/>
  <c r="F805" i="1"/>
  <c r="G805" i="1"/>
  <c r="H805" i="1"/>
  <c r="D806" i="1"/>
  <c r="E806" i="1"/>
  <c r="F806" i="1"/>
  <c r="G806" i="1"/>
  <c r="H806" i="1"/>
  <c r="D807" i="1"/>
  <c r="E807" i="1"/>
  <c r="F807" i="1"/>
  <c r="G807" i="1"/>
  <c r="H807" i="1"/>
  <c r="D808" i="1"/>
  <c r="E808" i="1"/>
  <c r="F808" i="1"/>
  <c r="G808" i="1"/>
  <c r="H808" i="1"/>
  <c r="D809" i="1"/>
  <c r="E809" i="1"/>
  <c r="F809" i="1"/>
  <c r="G809" i="1"/>
  <c r="H809" i="1"/>
  <c r="D810" i="1"/>
  <c r="E810" i="1"/>
  <c r="F810" i="1"/>
  <c r="G810" i="1"/>
  <c r="H810" i="1"/>
  <c r="D811" i="1"/>
  <c r="E811" i="1"/>
  <c r="F811" i="1"/>
  <c r="G811" i="1"/>
  <c r="H811" i="1"/>
  <c r="D812" i="1"/>
  <c r="E812" i="1"/>
  <c r="F812" i="1"/>
  <c r="G812" i="1"/>
  <c r="H812" i="1"/>
  <c r="D813" i="1"/>
  <c r="E813" i="1"/>
  <c r="F813" i="1"/>
  <c r="G813" i="1"/>
  <c r="H813" i="1"/>
  <c r="D814" i="1"/>
  <c r="E814" i="1"/>
  <c r="F814" i="1"/>
  <c r="G814" i="1"/>
  <c r="H814" i="1"/>
  <c r="D815" i="1"/>
  <c r="E815" i="1"/>
  <c r="F815" i="1"/>
  <c r="G815" i="1"/>
  <c r="H815" i="1"/>
  <c r="D816" i="1"/>
  <c r="E816" i="1"/>
  <c r="F816" i="1"/>
  <c r="G816" i="1"/>
  <c r="H816" i="1"/>
  <c r="D817" i="1"/>
  <c r="E817" i="1"/>
  <c r="F817" i="1"/>
  <c r="G817" i="1"/>
  <c r="H817" i="1"/>
  <c r="D818" i="1"/>
  <c r="E818" i="1"/>
  <c r="F818" i="1"/>
  <c r="G818" i="1"/>
  <c r="H818" i="1"/>
  <c r="D819" i="1"/>
  <c r="E819" i="1"/>
  <c r="F819" i="1"/>
  <c r="G819" i="1"/>
  <c r="H819" i="1"/>
  <c r="D820" i="1"/>
  <c r="E820" i="1"/>
  <c r="F820" i="1"/>
  <c r="G820" i="1"/>
  <c r="H820" i="1"/>
  <c r="D821" i="1"/>
  <c r="E821" i="1"/>
  <c r="F821" i="1"/>
  <c r="G821" i="1"/>
  <c r="H821" i="1"/>
  <c r="D822" i="1"/>
  <c r="E822" i="1"/>
  <c r="F822" i="1"/>
  <c r="G822" i="1"/>
  <c r="H822" i="1"/>
  <c r="D823" i="1"/>
  <c r="E823" i="1"/>
  <c r="F823" i="1"/>
  <c r="G823" i="1"/>
  <c r="H823" i="1"/>
  <c r="D824" i="1"/>
  <c r="E824" i="1"/>
  <c r="F824" i="1"/>
  <c r="G824" i="1"/>
  <c r="H824" i="1"/>
  <c r="D825" i="1"/>
  <c r="E825" i="1"/>
  <c r="F825" i="1"/>
  <c r="G825" i="1"/>
  <c r="H825" i="1"/>
  <c r="D826" i="1"/>
  <c r="E826" i="1"/>
  <c r="F826" i="1"/>
  <c r="G826" i="1"/>
  <c r="H826" i="1"/>
  <c r="D827" i="1"/>
  <c r="E827" i="1"/>
  <c r="F827" i="1"/>
  <c r="G827" i="1"/>
  <c r="H827" i="1"/>
  <c r="D828" i="1"/>
  <c r="E828" i="1"/>
  <c r="F828" i="1"/>
  <c r="G828" i="1"/>
  <c r="H828" i="1"/>
  <c r="D829" i="1"/>
  <c r="E829" i="1"/>
  <c r="F829" i="1"/>
  <c r="G829" i="1"/>
  <c r="H829" i="1"/>
  <c r="D830" i="1"/>
  <c r="E830" i="1"/>
  <c r="F830" i="1"/>
  <c r="G830" i="1"/>
  <c r="H830" i="1"/>
  <c r="D831" i="1"/>
  <c r="E831" i="1"/>
  <c r="F831" i="1"/>
  <c r="G831" i="1"/>
  <c r="H831" i="1"/>
  <c r="D832" i="1"/>
  <c r="E832" i="1"/>
  <c r="F832" i="1"/>
  <c r="G832" i="1"/>
  <c r="H832" i="1"/>
  <c r="D833" i="1"/>
  <c r="E833" i="1"/>
  <c r="F833" i="1"/>
  <c r="G833" i="1"/>
  <c r="H833" i="1"/>
  <c r="D834" i="1"/>
  <c r="E834" i="1"/>
  <c r="F834" i="1"/>
  <c r="G834" i="1"/>
  <c r="H834" i="1"/>
  <c r="D835" i="1"/>
  <c r="E835" i="1"/>
  <c r="F835" i="1"/>
  <c r="G835" i="1"/>
  <c r="H835" i="1"/>
  <c r="D836" i="1"/>
  <c r="E836" i="1"/>
  <c r="F836" i="1"/>
  <c r="G836" i="1"/>
  <c r="H836" i="1"/>
  <c r="D837" i="1"/>
  <c r="E837" i="1"/>
  <c r="F837" i="1"/>
  <c r="G837" i="1"/>
  <c r="H837" i="1"/>
  <c r="D838" i="1"/>
  <c r="E838" i="1"/>
  <c r="F838" i="1"/>
  <c r="G838" i="1"/>
  <c r="H838" i="1"/>
  <c r="D839" i="1"/>
  <c r="E839" i="1"/>
  <c r="F839" i="1"/>
  <c r="G839" i="1"/>
  <c r="H839" i="1"/>
  <c r="D840" i="1"/>
  <c r="E840" i="1"/>
  <c r="F840" i="1"/>
  <c r="G840" i="1"/>
  <c r="H840" i="1"/>
  <c r="D841" i="1"/>
  <c r="E841" i="1"/>
  <c r="F841" i="1"/>
  <c r="G841" i="1"/>
  <c r="H841" i="1"/>
  <c r="D842" i="1"/>
  <c r="E842" i="1"/>
  <c r="F842" i="1"/>
  <c r="G842" i="1"/>
  <c r="H842" i="1"/>
  <c r="D843" i="1"/>
  <c r="E843" i="1"/>
  <c r="F843" i="1"/>
  <c r="G843" i="1"/>
  <c r="H843" i="1"/>
  <c r="D844" i="1"/>
  <c r="E844" i="1"/>
  <c r="F844" i="1"/>
  <c r="G844" i="1"/>
  <c r="H844" i="1"/>
  <c r="D845" i="1"/>
  <c r="E845" i="1"/>
  <c r="F845" i="1"/>
  <c r="G845" i="1"/>
  <c r="H845" i="1"/>
  <c r="D846" i="1"/>
  <c r="E846" i="1"/>
  <c r="F846" i="1"/>
  <c r="G846" i="1"/>
  <c r="H846" i="1"/>
  <c r="D847" i="1"/>
  <c r="E847" i="1"/>
  <c r="F847" i="1"/>
  <c r="G847" i="1"/>
  <c r="H847" i="1"/>
  <c r="D848" i="1"/>
  <c r="E848" i="1"/>
  <c r="F848" i="1"/>
  <c r="G848" i="1"/>
  <c r="H848" i="1"/>
  <c r="D849" i="1"/>
  <c r="E849" i="1"/>
  <c r="F849" i="1"/>
  <c r="G849" i="1"/>
  <c r="H849" i="1"/>
  <c r="D850" i="1"/>
  <c r="E850" i="1"/>
  <c r="F850" i="1"/>
  <c r="G850" i="1"/>
  <c r="H850" i="1"/>
  <c r="D851" i="1"/>
  <c r="E851" i="1"/>
  <c r="F851" i="1"/>
  <c r="G851" i="1"/>
  <c r="H851" i="1"/>
  <c r="D852" i="1"/>
  <c r="E852" i="1"/>
  <c r="F852" i="1"/>
  <c r="G852" i="1"/>
  <c r="H852" i="1"/>
  <c r="D853" i="1"/>
  <c r="E853" i="1"/>
  <c r="F853" i="1"/>
  <c r="G853" i="1"/>
  <c r="H853" i="1"/>
  <c r="D854" i="1"/>
  <c r="E854" i="1"/>
  <c r="F854" i="1"/>
  <c r="G854" i="1"/>
  <c r="H854" i="1"/>
  <c r="D855" i="1"/>
  <c r="E855" i="1"/>
  <c r="F855" i="1"/>
  <c r="G855" i="1"/>
  <c r="H855" i="1"/>
  <c r="D856" i="1"/>
  <c r="E856" i="1"/>
  <c r="F856" i="1"/>
  <c r="G856" i="1"/>
  <c r="H856" i="1"/>
  <c r="D857" i="1"/>
  <c r="E857" i="1"/>
  <c r="F857" i="1"/>
  <c r="G857" i="1"/>
  <c r="H857" i="1"/>
  <c r="D858" i="1"/>
  <c r="E858" i="1"/>
  <c r="F858" i="1"/>
  <c r="G858" i="1"/>
  <c r="H858" i="1"/>
  <c r="D859" i="1"/>
  <c r="E859" i="1"/>
  <c r="F859" i="1"/>
  <c r="G859" i="1"/>
  <c r="H859" i="1"/>
  <c r="D860" i="1"/>
  <c r="E860" i="1"/>
  <c r="F860" i="1"/>
  <c r="G860" i="1"/>
  <c r="H860" i="1"/>
  <c r="D861" i="1"/>
  <c r="E861" i="1"/>
  <c r="F861" i="1"/>
  <c r="G861" i="1"/>
  <c r="H861" i="1"/>
  <c r="D862" i="1"/>
  <c r="E862" i="1"/>
  <c r="F862" i="1"/>
  <c r="G862" i="1"/>
  <c r="H862" i="1"/>
  <c r="D863" i="1"/>
  <c r="E863" i="1"/>
  <c r="F863" i="1"/>
  <c r="G863" i="1"/>
  <c r="H863" i="1"/>
  <c r="D864" i="1"/>
  <c r="E864" i="1"/>
  <c r="F864" i="1"/>
  <c r="G864" i="1"/>
  <c r="H864" i="1"/>
  <c r="D865" i="1"/>
  <c r="E865" i="1"/>
  <c r="F865" i="1"/>
  <c r="G865" i="1"/>
  <c r="H865" i="1"/>
  <c r="D866" i="1"/>
  <c r="E866" i="1"/>
  <c r="F866" i="1"/>
  <c r="G866" i="1"/>
  <c r="H866" i="1"/>
  <c r="D867" i="1"/>
  <c r="E867" i="1"/>
  <c r="F867" i="1"/>
  <c r="G867" i="1"/>
  <c r="H867" i="1"/>
  <c r="D868" i="1"/>
  <c r="E868" i="1"/>
  <c r="F868" i="1"/>
  <c r="G868" i="1"/>
  <c r="H868" i="1"/>
  <c r="D869" i="1"/>
  <c r="E869" i="1"/>
  <c r="F869" i="1"/>
  <c r="G869" i="1"/>
  <c r="H869" i="1"/>
  <c r="D870" i="1"/>
  <c r="E870" i="1"/>
  <c r="F870" i="1"/>
  <c r="G870" i="1"/>
  <c r="H870" i="1"/>
  <c r="D871" i="1"/>
  <c r="E871" i="1"/>
  <c r="F871" i="1"/>
  <c r="G871" i="1"/>
  <c r="H871" i="1"/>
  <c r="D872" i="1"/>
  <c r="E872" i="1"/>
  <c r="F872" i="1"/>
  <c r="G872" i="1"/>
  <c r="H872" i="1"/>
  <c r="D873" i="1"/>
  <c r="E873" i="1"/>
  <c r="F873" i="1"/>
  <c r="G873" i="1"/>
  <c r="H873" i="1"/>
  <c r="D874" i="1"/>
  <c r="E874" i="1"/>
  <c r="F874" i="1"/>
  <c r="G874" i="1"/>
  <c r="H874" i="1"/>
  <c r="D875" i="1"/>
  <c r="E875" i="1"/>
  <c r="F875" i="1"/>
  <c r="G875" i="1"/>
  <c r="H875" i="1"/>
  <c r="D876" i="1"/>
  <c r="E876" i="1"/>
  <c r="F876" i="1"/>
  <c r="G876" i="1"/>
  <c r="H876" i="1"/>
  <c r="D877" i="1"/>
  <c r="E877" i="1"/>
  <c r="F877" i="1"/>
  <c r="G877" i="1"/>
  <c r="H877" i="1"/>
  <c r="D878" i="1"/>
  <c r="E878" i="1"/>
  <c r="F878" i="1"/>
  <c r="G878" i="1"/>
  <c r="H878" i="1"/>
  <c r="D879" i="1"/>
  <c r="E879" i="1"/>
  <c r="F879" i="1"/>
  <c r="G879" i="1"/>
  <c r="H879" i="1"/>
  <c r="D880" i="1"/>
  <c r="E880" i="1"/>
  <c r="F880" i="1"/>
  <c r="G880" i="1"/>
  <c r="H880" i="1"/>
  <c r="D881" i="1"/>
  <c r="E881" i="1"/>
  <c r="F881" i="1"/>
  <c r="G881" i="1"/>
  <c r="H881" i="1"/>
  <c r="D882" i="1"/>
  <c r="E882" i="1"/>
  <c r="F882" i="1"/>
  <c r="G882" i="1"/>
  <c r="H882" i="1"/>
  <c r="D883" i="1"/>
  <c r="E883" i="1"/>
  <c r="F883" i="1"/>
  <c r="G883" i="1"/>
  <c r="H883" i="1"/>
  <c r="D884" i="1"/>
  <c r="E884" i="1"/>
  <c r="F884" i="1"/>
  <c r="G884" i="1"/>
  <c r="H884" i="1"/>
  <c r="D885" i="1"/>
  <c r="E885" i="1"/>
  <c r="F885" i="1"/>
  <c r="G885" i="1"/>
  <c r="H885" i="1"/>
  <c r="D886" i="1"/>
  <c r="E886" i="1"/>
  <c r="F886" i="1"/>
  <c r="G886" i="1"/>
  <c r="H886" i="1"/>
  <c r="D887" i="1"/>
  <c r="E887" i="1"/>
  <c r="F887" i="1"/>
  <c r="G887" i="1"/>
  <c r="H887" i="1"/>
  <c r="D888" i="1"/>
  <c r="E888" i="1"/>
  <c r="F888" i="1"/>
  <c r="G888" i="1"/>
  <c r="H888" i="1"/>
  <c r="D889" i="1"/>
  <c r="E889" i="1"/>
  <c r="F889" i="1"/>
  <c r="G889" i="1"/>
  <c r="H889" i="1"/>
  <c r="D890" i="1"/>
  <c r="E890" i="1"/>
  <c r="F890" i="1"/>
  <c r="G890" i="1"/>
  <c r="H890" i="1"/>
  <c r="D891" i="1"/>
  <c r="E891" i="1"/>
  <c r="F891" i="1"/>
  <c r="G891" i="1"/>
  <c r="H891" i="1"/>
  <c r="D892" i="1"/>
  <c r="E892" i="1"/>
  <c r="F892" i="1"/>
  <c r="G892" i="1"/>
  <c r="H892" i="1"/>
  <c r="D893" i="1"/>
  <c r="E893" i="1"/>
  <c r="F893" i="1"/>
  <c r="G893" i="1"/>
  <c r="H893" i="1"/>
  <c r="D894" i="1"/>
  <c r="E894" i="1"/>
  <c r="F894" i="1"/>
  <c r="G894" i="1"/>
  <c r="H894" i="1"/>
  <c r="D895" i="1"/>
  <c r="E895" i="1"/>
  <c r="F895" i="1"/>
  <c r="G895" i="1"/>
  <c r="H895" i="1"/>
  <c r="D896" i="1"/>
  <c r="E896" i="1"/>
  <c r="F896" i="1"/>
  <c r="G896" i="1"/>
  <c r="H896" i="1"/>
  <c r="D897" i="1"/>
  <c r="E897" i="1"/>
  <c r="F897" i="1"/>
  <c r="G897" i="1"/>
  <c r="H897" i="1"/>
  <c r="D898" i="1"/>
  <c r="E898" i="1"/>
  <c r="F898" i="1"/>
  <c r="G898" i="1"/>
  <c r="H898" i="1"/>
  <c r="D899" i="1"/>
  <c r="E899" i="1"/>
  <c r="F899" i="1"/>
  <c r="G899" i="1"/>
  <c r="H899" i="1"/>
  <c r="D900" i="1"/>
  <c r="E900" i="1"/>
  <c r="F900" i="1"/>
  <c r="G900" i="1"/>
  <c r="H900" i="1"/>
  <c r="D901" i="1"/>
  <c r="E901" i="1"/>
  <c r="F901" i="1"/>
  <c r="G901" i="1"/>
  <c r="H901" i="1"/>
  <c r="D902" i="1"/>
  <c r="E902" i="1"/>
  <c r="F902" i="1"/>
  <c r="G902" i="1"/>
  <c r="H902" i="1"/>
  <c r="D903" i="1"/>
  <c r="E903" i="1"/>
  <c r="F903" i="1"/>
  <c r="G903" i="1"/>
  <c r="H903" i="1"/>
  <c r="D904" i="1"/>
  <c r="E904" i="1"/>
  <c r="F904" i="1"/>
  <c r="G904" i="1"/>
  <c r="H904" i="1"/>
  <c r="D905" i="1"/>
  <c r="E905" i="1"/>
  <c r="F905" i="1"/>
  <c r="G905" i="1"/>
  <c r="H905" i="1"/>
  <c r="D906" i="1"/>
  <c r="E906" i="1"/>
  <c r="F906" i="1"/>
  <c r="G906" i="1"/>
  <c r="H906" i="1"/>
  <c r="D907" i="1"/>
  <c r="E907" i="1"/>
  <c r="F907" i="1"/>
  <c r="G907" i="1"/>
  <c r="H907" i="1"/>
  <c r="D908" i="1"/>
  <c r="E908" i="1"/>
  <c r="F908" i="1"/>
  <c r="G908" i="1"/>
  <c r="H908" i="1"/>
  <c r="D909" i="1"/>
  <c r="E909" i="1"/>
  <c r="F909" i="1"/>
  <c r="G909" i="1"/>
  <c r="H909" i="1"/>
  <c r="D910" i="1"/>
  <c r="E910" i="1"/>
  <c r="F910" i="1"/>
  <c r="G910" i="1"/>
  <c r="H910" i="1"/>
  <c r="D911" i="1"/>
  <c r="E911" i="1"/>
  <c r="F911" i="1"/>
  <c r="G911" i="1"/>
  <c r="H911" i="1"/>
  <c r="D912" i="1"/>
  <c r="E912" i="1"/>
  <c r="F912" i="1"/>
  <c r="G912" i="1"/>
  <c r="H912" i="1"/>
  <c r="D913" i="1"/>
  <c r="E913" i="1"/>
  <c r="F913" i="1"/>
  <c r="G913" i="1"/>
  <c r="H913" i="1"/>
  <c r="D914" i="1"/>
  <c r="E914" i="1"/>
  <c r="F914" i="1"/>
  <c r="G914" i="1"/>
  <c r="H914" i="1"/>
  <c r="D915" i="1"/>
  <c r="E915" i="1"/>
  <c r="F915" i="1"/>
  <c r="G915" i="1"/>
  <c r="H915" i="1"/>
  <c r="D916" i="1"/>
  <c r="E916" i="1"/>
  <c r="F916" i="1"/>
  <c r="G916" i="1"/>
  <c r="H916" i="1"/>
  <c r="D917" i="1"/>
  <c r="E917" i="1"/>
  <c r="F917" i="1"/>
  <c r="G917" i="1"/>
  <c r="H917" i="1"/>
  <c r="D918" i="1"/>
  <c r="E918" i="1"/>
  <c r="F918" i="1"/>
  <c r="G918" i="1"/>
  <c r="H918" i="1"/>
  <c r="D919" i="1"/>
  <c r="E919" i="1"/>
  <c r="F919" i="1"/>
  <c r="G919" i="1"/>
  <c r="H919" i="1"/>
  <c r="D920" i="1"/>
  <c r="E920" i="1"/>
  <c r="F920" i="1"/>
  <c r="G920" i="1"/>
  <c r="H920" i="1"/>
  <c r="D921" i="1"/>
  <c r="E921" i="1"/>
  <c r="F921" i="1"/>
  <c r="G921" i="1"/>
  <c r="H921" i="1"/>
  <c r="D922" i="1"/>
  <c r="E922" i="1"/>
  <c r="F922" i="1"/>
  <c r="G922" i="1"/>
  <c r="H922" i="1"/>
  <c r="D923" i="1"/>
  <c r="E923" i="1"/>
  <c r="F923" i="1"/>
  <c r="G923" i="1"/>
  <c r="H923" i="1"/>
  <c r="D924" i="1"/>
  <c r="E924" i="1"/>
  <c r="F924" i="1"/>
  <c r="G924" i="1"/>
  <c r="H924" i="1"/>
  <c r="D925" i="1"/>
  <c r="E925" i="1"/>
  <c r="F925" i="1"/>
  <c r="G925" i="1"/>
  <c r="H925" i="1"/>
  <c r="D926" i="1"/>
  <c r="E926" i="1"/>
  <c r="F926" i="1"/>
  <c r="G926" i="1"/>
  <c r="H926" i="1"/>
  <c r="D927" i="1"/>
  <c r="E927" i="1"/>
  <c r="F927" i="1"/>
  <c r="G927" i="1"/>
  <c r="H927" i="1"/>
  <c r="D928" i="1"/>
  <c r="E928" i="1"/>
  <c r="F928" i="1"/>
  <c r="G928" i="1"/>
  <c r="H928" i="1"/>
  <c r="D929" i="1"/>
  <c r="E929" i="1"/>
  <c r="F929" i="1"/>
  <c r="G929" i="1"/>
  <c r="H929" i="1"/>
  <c r="D930" i="1"/>
  <c r="E930" i="1"/>
  <c r="F930" i="1"/>
  <c r="G930" i="1"/>
  <c r="H930" i="1"/>
  <c r="D931" i="1"/>
  <c r="E931" i="1"/>
  <c r="F931" i="1"/>
  <c r="G931" i="1"/>
  <c r="H931" i="1"/>
  <c r="D932" i="1"/>
  <c r="E932" i="1"/>
  <c r="F932" i="1"/>
  <c r="G932" i="1"/>
  <c r="H932" i="1"/>
  <c r="D933" i="1"/>
  <c r="E933" i="1"/>
  <c r="F933" i="1"/>
  <c r="G933" i="1"/>
  <c r="H933" i="1"/>
  <c r="D934" i="1"/>
  <c r="E934" i="1"/>
  <c r="F934" i="1"/>
  <c r="G934" i="1"/>
  <c r="H934" i="1"/>
  <c r="D935" i="1"/>
  <c r="E935" i="1"/>
  <c r="F935" i="1"/>
  <c r="G935" i="1"/>
  <c r="H935" i="1"/>
  <c r="D936" i="1"/>
  <c r="E936" i="1"/>
  <c r="F936" i="1"/>
  <c r="G936" i="1"/>
  <c r="H936" i="1"/>
  <c r="D937" i="1"/>
  <c r="E937" i="1"/>
  <c r="F937" i="1"/>
  <c r="G937" i="1"/>
  <c r="H937" i="1"/>
  <c r="D938" i="1"/>
  <c r="E938" i="1"/>
  <c r="F938" i="1"/>
  <c r="G938" i="1"/>
  <c r="H938" i="1"/>
  <c r="D939" i="1"/>
  <c r="E939" i="1"/>
  <c r="F939" i="1"/>
  <c r="G939" i="1"/>
  <c r="H939" i="1"/>
  <c r="D940" i="1"/>
  <c r="E940" i="1"/>
  <c r="F940" i="1"/>
  <c r="G940" i="1"/>
  <c r="H940" i="1"/>
  <c r="D941" i="1"/>
  <c r="E941" i="1"/>
  <c r="F941" i="1"/>
  <c r="G941" i="1"/>
  <c r="H941" i="1"/>
  <c r="D942" i="1"/>
  <c r="E942" i="1"/>
  <c r="F942" i="1"/>
  <c r="G942" i="1"/>
  <c r="H942" i="1"/>
  <c r="D943" i="1"/>
  <c r="E943" i="1"/>
  <c r="F943" i="1"/>
  <c r="G943" i="1"/>
  <c r="H943" i="1"/>
  <c r="D944" i="1"/>
  <c r="E944" i="1"/>
  <c r="F944" i="1"/>
  <c r="G944" i="1"/>
  <c r="H944" i="1"/>
  <c r="D945" i="1"/>
  <c r="E945" i="1"/>
  <c r="F945" i="1"/>
  <c r="G945" i="1"/>
  <c r="H945" i="1"/>
  <c r="D946" i="1"/>
  <c r="E946" i="1"/>
  <c r="F946" i="1"/>
  <c r="G946" i="1"/>
  <c r="H946" i="1"/>
  <c r="D947" i="1"/>
  <c r="E947" i="1"/>
  <c r="F947" i="1"/>
  <c r="G947" i="1"/>
  <c r="H947" i="1"/>
  <c r="D948" i="1"/>
  <c r="E948" i="1"/>
  <c r="F948" i="1"/>
  <c r="G948" i="1"/>
  <c r="H948" i="1"/>
  <c r="D949" i="1"/>
  <c r="E949" i="1"/>
  <c r="F949" i="1"/>
  <c r="G949" i="1"/>
  <c r="H949" i="1"/>
  <c r="D950" i="1"/>
  <c r="E950" i="1"/>
  <c r="F950" i="1"/>
  <c r="G950" i="1"/>
  <c r="H950" i="1"/>
  <c r="D951" i="1"/>
  <c r="E951" i="1"/>
  <c r="F951" i="1"/>
  <c r="G951" i="1"/>
  <c r="H951" i="1"/>
  <c r="D952" i="1"/>
  <c r="E952" i="1"/>
  <c r="F952" i="1"/>
  <c r="G952" i="1"/>
  <c r="H952" i="1"/>
  <c r="D953" i="1"/>
  <c r="E953" i="1"/>
  <c r="F953" i="1"/>
  <c r="G953" i="1"/>
  <c r="H953" i="1"/>
  <c r="D954" i="1"/>
  <c r="E954" i="1"/>
  <c r="F954" i="1"/>
  <c r="G954" i="1"/>
  <c r="H954" i="1"/>
  <c r="D955" i="1"/>
  <c r="E955" i="1"/>
  <c r="F955" i="1"/>
  <c r="G955" i="1"/>
  <c r="H955" i="1"/>
  <c r="D956" i="1"/>
  <c r="E956" i="1"/>
  <c r="F956" i="1"/>
  <c r="G956" i="1"/>
  <c r="H956" i="1"/>
  <c r="D957" i="1"/>
  <c r="E957" i="1"/>
  <c r="F957" i="1"/>
  <c r="G957" i="1"/>
  <c r="H957" i="1"/>
  <c r="D958" i="1"/>
  <c r="E958" i="1"/>
  <c r="F958" i="1"/>
  <c r="G958" i="1"/>
  <c r="H958" i="1"/>
  <c r="D959" i="1"/>
  <c r="E959" i="1"/>
  <c r="F959" i="1"/>
  <c r="G959" i="1"/>
  <c r="H959" i="1"/>
  <c r="D960" i="1"/>
  <c r="E960" i="1"/>
  <c r="F960" i="1"/>
  <c r="G960" i="1"/>
  <c r="H960" i="1"/>
  <c r="D961" i="1"/>
  <c r="E961" i="1"/>
  <c r="F961" i="1"/>
  <c r="G961" i="1"/>
  <c r="H961" i="1"/>
  <c r="D962" i="1"/>
  <c r="E962" i="1"/>
  <c r="F962" i="1"/>
  <c r="G962" i="1"/>
  <c r="H962" i="1"/>
  <c r="D963" i="1"/>
  <c r="E963" i="1"/>
  <c r="F963" i="1"/>
  <c r="G963" i="1"/>
  <c r="H963" i="1"/>
  <c r="D964" i="1"/>
  <c r="E964" i="1"/>
  <c r="F964" i="1"/>
  <c r="G964" i="1"/>
  <c r="H964" i="1"/>
  <c r="D965" i="1"/>
  <c r="E965" i="1"/>
  <c r="F965" i="1"/>
  <c r="G965" i="1"/>
  <c r="H965" i="1"/>
  <c r="D966" i="1"/>
  <c r="E966" i="1"/>
  <c r="F966" i="1"/>
  <c r="G966" i="1"/>
  <c r="H966" i="1"/>
  <c r="D967" i="1"/>
  <c r="E967" i="1"/>
  <c r="F967" i="1"/>
  <c r="G967" i="1"/>
  <c r="H967" i="1"/>
  <c r="D968" i="1"/>
  <c r="E968" i="1"/>
  <c r="F968" i="1"/>
  <c r="G968" i="1"/>
  <c r="H968" i="1"/>
  <c r="D969" i="1"/>
  <c r="E969" i="1"/>
  <c r="F969" i="1"/>
  <c r="G969" i="1"/>
  <c r="H969" i="1"/>
  <c r="D970" i="1"/>
  <c r="E970" i="1"/>
  <c r="F970" i="1"/>
  <c r="G970" i="1"/>
  <c r="H970" i="1"/>
  <c r="D971" i="1"/>
  <c r="E971" i="1"/>
  <c r="F971" i="1"/>
  <c r="G971" i="1"/>
  <c r="H971" i="1"/>
  <c r="D972" i="1"/>
  <c r="E972" i="1"/>
  <c r="F972" i="1"/>
  <c r="G972" i="1"/>
  <c r="H972" i="1"/>
  <c r="D973" i="1"/>
  <c r="E973" i="1"/>
  <c r="F973" i="1"/>
  <c r="G973" i="1"/>
  <c r="H973" i="1"/>
  <c r="D974" i="1"/>
  <c r="E974" i="1"/>
  <c r="F974" i="1"/>
  <c r="G974" i="1"/>
  <c r="H974" i="1"/>
  <c r="D975" i="1"/>
  <c r="E975" i="1"/>
  <c r="F975" i="1"/>
  <c r="G975" i="1"/>
  <c r="H975" i="1"/>
  <c r="D976" i="1"/>
  <c r="E976" i="1"/>
  <c r="F976" i="1"/>
  <c r="G976" i="1"/>
  <c r="H976" i="1"/>
  <c r="D977" i="1"/>
  <c r="E977" i="1"/>
  <c r="F977" i="1"/>
  <c r="G977" i="1"/>
  <c r="H977" i="1"/>
  <c r="D978" i="1"/>
  <c r="E978" i="1"/>
  <c r="F978" i="1"/>
  <c r="G978" i="1"/>
  <c r="H978" i="1"/>
  <c r="D979" i="1"/>
  <c r="E979" i="1"/>
  <c r="F979" i="1"/>
  <c r="G979" i="1"/>
  <c r="H979" i="1"/>
  <c r="D980" i="1"/>
  <c r="E980" i="1"/>
  <c r="F980" i="1"/>
  <c r="G980" i="1"/>
  <c r="H980" i="1"/>
  <c r="D981" i="1"/>
  <c r="E981" i="1"/>
  <c r="F981" i="1"/>
  <c r="G981" i="1"/>
  <c r="H981" i="1"/>
  <c r="D982" i="1"/>
  <c r="E982" i="1"/>
  <c r="F982" i="1"/>
  <c r="G982" i="1"/>
  <c r="H982" i="1"/>
  <c r="D983" i="1"/>
  <c r="E983" i="1"/>
  <c r="F983" i="1"/>
  <c r="G983" i="1"/>
  <c r="H983" i="1"/>
  <c r="D984" i="1"/>
  <c r="E984" i="1"/>
  <c r="F984" i="1"/>
  <c r="G984" i="1"/>
  <c r="H984" i="1"/>
  <c r="D985" i="1"/>
  <c r="E985" i="1"/>
  <c r="F985" i="1"/>
  <c r="G985" i="1"/>
  <c r="H985" i="1"/>
  <c r="D986" i="1"/>
  <c r="E986" i="1"/>
  <c r="F986" i="1"/>
  <c r="G986" i="1"/>
  <c r="H986" i="1"/>
  <c r="D987" i="1"/>
  <c r="E987" i="1"/>
  <c r="F987" i="1"/>
  <c r="G987" i="1"/>
  <c r="H987" i="1"/>
  <c r="D988" i="1"/>
  <c r="E988" i="1"/>
  <c r="F988" i="1"/>
  <c r="G988" i="1"/>
  <c r="H988" i="1"/>
  <c r="D989" i="1"/>
  <c r="E989" i="1"/>
  <c r="F989" i="1"/>
  <c r="G989" i="1"/>
  <c r="H989" i="1"/>
  <c r="D990" i="1"/>
  <c r="E990" i="1"/>
  <c r="F990" i="1"/>
  <c r="G990" i="1"/>
  <c r="H990" i="1"/>
  <c r="D991" i="1"/>
  <c r="E991" i="1"/>
  <c r="F991" i="1"/>
  <c r="G991" i="1"/>
  <c r="H991" i="1"/>
  <c r="D992" i="1"/>
  <c r="E992" i="1"/>
  <c r="F992" i="1"/>
  <c r="G992" i="1"/>
  <c r="H992" i="1"/>
  <c r="D993" i="1"/>
  <c r="E993" i="1"/>
  <c r="F993" i="1"/>
  <c r="G993" i="1"/>
  <c r="H993" i="1"/>
  <c r="D994" i="1"/>
  <c r="E994" i="1"/>
  <c r="F994" i="1"/>
  <c r="G994" i="1"/>
  <c r="H994" i="1"/>
  <c r="D995" i="1"/>
  <c r="E995" i="1"/>
  <c r="F995" i="1"/>
  <c r="G995" i="1"/>
  <c r="H995" i="1"/>
  <c r="D996" i="1"/>
  <c r="E996" i="1"/>
  <c r="F996" i="1"/>
  <c r="G996" i="1"/>
  <c r="H996" i="1"/>
  <c r="D997" i="1"/>
  <c r="E997" i="1"/>
  <c r="F997" i="1"/>
  <c r="G997" i="1"/>
  <c r="H997" i="1"/>
  <c r="D998" i="1"/>
  <c r="E998" i="1"/>
  <c r="F998" i="1"/>
  <c r="G998" i="1"/>
  <c r="H998" i="1"/>
  <c r="D999" i="1"/>
  <c r="E999" i="1"/>
  <c r="F999" i="1"/>
  <c r="G999" i="1"/>
  <c r="H999" i="1"/>
  <c r="D1000" i="1"/>
  <c r="E1000" i="1"/>
  <c r="F1000" i="1"/>
  <c r="G1000" i="1"/>
  <c r="H1000" i="1"/>
  <c r="D1001" i="1"/>
  <c r="E1001" i="1"/>
  <c r="F1001" i="1"/>
  <c r="G1001" i="1"/>
  <c r="H1001" i="1"/>
  <c r="D1002" i="1"/>
  <c r="E1002" i="1"/>
  <c r="F1002" i="1"/>
  <c r="G1002" i="1"/>
  <c r="H1002" i="1"/>
  <c r="D1003" i="1"/>
  <c r="E1003" i="1"/>
  <c r="F1003" i="1"/>
  <c r="G1003" i="1"/>
  <c r="H1003" i="1"/>
  <c r="D1004" i="1"/>
  <c r="E1004" i="1"/>
  <c r="F1004" i="1"/>
  <c r="G1004" i="1"/>
  <c r="H1004" i="1"/>
  <c r="D1005" i="1"/>
  <c r="E1005" i="1"/>
  <c r="F1005" i="1"/>
  <c r="G1005" i="1"/>
  <c r="H1005" i="1"/>
  <c r="D1006" i="1"/>
  <c r="E1006" i="1"/>
  <c r="F1006" i="1"/>
  <c r="G1006" i="1"/>
  <c r="H1006" i="1"/>
  <c r="D1007" i="1"/>
  <c r="E1007" i="1"/>
  <c r="F1007" i="1"/>
  <c r="G1007" i="1"/>
  <c r="H1007" i="1"/>
  <c r="D1008" i="1"/>
  <c r="E1008" i="1"/>
  <c r="F1008" i="1"/>
  <c r="G1008" i="1"/>
  <c r="H1008" i="1"/>
  <c r="D1009" i="1"/>
  <c r="E1009" i="1"/>
  <c r="F1009" i="1"/>
  <c r="G1009" i="1"/>
  <c r="H1009" i="1"/>
  <c r="D1010" i="1"/>
  <c r="E1010" i="1"/>
  <c r="F1010" i="1"/>
  <c r="G1010" i="1"/>
  <c r="H1010" i="1"/>
  <c r="D1011" i="1"/>
  <c r="E1011" i="1"/>
  <c r="F1011" i="1"/>
  <c r="G1011" i="1"/>
  <c r="H1011" i="1"/>
  <c r="D1012" i="1"/>
  <c r="E1012" i="1"/>
  <c r="F1012" i="1"/>
  <c r="G1012" i="1"/>
  <c r="H1012" i="1"/>
  <c r="D1013" i="1"/>
  <c r="E1013" i="1"/>
  <c r="F1013" i="1"/>
  <c r="G1013" i="1"/>
  <c r="H1013" i="1"/>
  <c r="D1014" i="1"/>
  <c r="E1014" i="1"/>
  <c r="F1014" i="1"/>
  <c r="G1014" i="1"/>
  <c r="H1014" i="1"/>
  <c r="D1015" i="1"/>
  <c r="E1015" i="1"/>
  <c r="F1015" i="1"/>
  <c r="G1015" i="1"/>
  <c r="H1015" i="1"/>
  <c r="D1016" i="1"/>
  <c r="E1016" i="1"/>
  <c r="F1016" i="1"/>
  <c r="G1016" i="1"/>
  <c r="H1016" i="1"/>
  <c r="D1017" i="1"/>
  <c r="E1017" i="1"/>
  <c r="F1017" i="1"/>
  <c r="G1017" i="1"/>
  <c r="H1017" i="1"/>
  <c r="D1018" i="1"/>
  <c r="E1018" i="1"/>
  <c r="F1018" i="1"/>
  <c r="G1018" i="1"/>
  <c r="H1018" i="1"/>
  <c r="D1019" i="1"/>
  <c r="E1019" i="1"/>
  <c r="F1019" i="1"/>
  <c r="G1019" i="1"/>
  <c r="H1019" i="1"/>
  <c r="D1020" i="1"/>
  <c r="E1020" i="1"/>
  <c r="F1020" i="1"/>
  <c r="G1020" i="1"/>
  <c r="H1020" i="1"/>
  <c r="D1021" i="1"/>
  <c r="E1021" i="1"/>
  <c r="F1021" i="1"/>
  <c r="G1021" i="1"/>
  <c r="H1021" i="1"/>
  <c r="D1022" i="1"/>
  <c r="E1022" i="1"/>
  <c r="F1022" i="1"/>
  <c r="G1022" i="1"/>
  <c r="H1022" i="1"/>
  <c r="D1023" i="1"/>
  <c r="E1023" i="1"/>
  <c r="F1023" i="1"/>
  <c r="G1023" i="1"/>
  <c r="H1023" i="1"/>
  <c r="D1024" i="1"/>
  <c r="E1024" i="1"/>
  <c r="F1024" i="1"/>
  <c r="G1024" i="1"/>
  <c r="H1024" i="1"/>
  <c r="D1025" i="1"/>
  <c r="E1025" i="1"/>
  <c r="F1025" i="1"/>
  <c r="G1025" i="1"/>
  <c r="H1025" i="1"/>
  <c r="D1026" i="1"/>
  <c r="E1026" i="1"/>
  <c r="F1026" i="1"/>
  <c r="G1026" i="1"/>
  <c r="H1026" i="1"/>
  <c r="D1027" i="1"/>
  <c r="E1027" i="1"/>
  <c r="F1027" i="1"/>
  <c r="G1027" i="1"/>
  <c r="H1027" i="1"/>
  <c r="D1028" i="1"/>
  <c r="E1028" i="1"/>
  <c r="F1028" i="1"/>
  <c r="G1028" i="1"/>
  <c r="H1028" i="1"/>
  <c r="D1029" i="1"/>
  <c r="E1029" i="1"/>
  <c r="F1029" i="1"/>
  <c r="G1029" i="1"/>
  <c r="H1029" i="1"/>
  <c r="D1030" i="1"/>
  <c r="E1030" i="1"/>
  <c r="F1030" i="1"/>
  <c r="G1030" i="1"/>
  <c r="H1030" i="1"/>
  <c r="D1031" i="1"/>
  <c r="E1031" i="1"/>
  <c r="F1031" i="1"/>
  <c r="G1031" i="1"/>
  <c r="H1031" i="1"/>
  <c r="D1032" i="1"/>
  <c r="E1032" i="1"/>
  <c r="F1032" i="1"/>
  <c r="G1032" i="1"/>
  <c r="H1032" i="1"/>
  <c r="D1033" i="1"/>
  <c r="E1033" i="1"/>
  <c r="F1033" i="1"/>
  <c r="G1033" i="1"/>
  <c r="H1033" i="1"/>
  <c r="D1034" i="1"/>
  <c r="E1034" i="1"/>
  <c r="F1034" i="1"/>
  <c r="G1034" i="1"/>
  <c r="H1034" i="1"/>
  <c r="D1035" i="1"/>
  <c r="E1035" i="1"/>
  <c r="F1035" i="1"/>
  <c r="G1035" i="1"/>
  <c r="H1035" i="1"/>
  <c r="D1036" i="1"/>
  <c r="E1036" i="1"/>
  <c r="F1036" i="1"/>
  <c r="G1036" i="1"/>
  <c r="H1036" i="1"/>
  <c r="D1037" i="1"/>
  <c r="E1037" i="1"/>
  <c r="F1037" i="1"/>
  <c r="G1037" i="1"/>
  <c r="H1037" i="1"/>
  <c r="D1038" i="1"/>
  <c r="E1038" i="1"/>
  <c r="F1038" i="1"/>
  <c r="G1038" i="1"/>
  <c r="H1038" i="1"/>
  <c r="D1039" i="1"/>
  <c r="E1039" i="1"/>
  <c r="F1039" i="1"/>
  <c r="G1039" i="1"/>
  <c r="H1039" i="1"/>
  <c r="D1040" i="1"/>
  <c r="E1040" i="1"/>
  <c r="F1040" i="1"/>
  <c r="G1040" i="1"/>
  <c r="H1040" i="1"/>
  <c r="D1041" i="1"/>
  <c r="E1041" i="1"/>
  <c r="F1041" i="1"/>
  <c r="G1041" i="1"/>
  <c r="H1041" i="1"/>
  <c r="D1042" i="1"/>
  <c r="E1042" i="1"/>
  <c r="F1042" i="1"/>
  <c r="G1042" i="1"/>
  <c r="H1042" i="1"/>
  <c r="D1043" i="1"/>
  <c r="E1043" i="1"/>
  <c r="F1043" i="1"/>
  <c r="G1043" i="1"/>
  <c r="H1043" i="1"/>
  <c r="D1044" i="1"/>
  <c r="E1044" i="1"/>
  <c r="F1044" i="1"/>
  <c r="G1044" i="1"/>
  <c r="H1044" i="1"/>
  <c r="D1045" i="1"/>
  <c r="E1045" i="1"/>
  <c r="F1045" i="1"/>
  <c r="G1045" i="1"/>
  <c r="H1045" i="1"/>
  <c r="D1046" i="1"/>
  <c r="E1046" i="1"/>
  <c r="F1046" i="1"/>
  <c r="G1046" i="1"/>
  <c r="H1046" i="1"/>
  <c r="D1047" i="1"/>
  <c r="E1047" i="1"/>
  <c r="F1047" i="1"/>
  <c r="G1047" i="1"/>
  <c r="H1047" i="1"/>
  <c r="D1048" i="1"/>
  <c r="E1048" i="1"/>
  <c r="F1048" i="1"/>
  <c r="G1048" i="1"/>
  <c r="H1048" i="1"/>
  <c r="D1049" i="1"/>
  <c r="E1049" i="1"/>
  <c r="F1049" i="1"/>
  <c r="G1049" i="1"/>
  <c r="H1049" i="1"/>
  <c r="D1050" i="1"/>
  <c r="E1050" i="1"/>
  <c r="F1050" i="1"/>
  <c r="G1050" i="1"/>
  <c r="H1050" i="1"/>
  <c r="D1051" i="1"/>
  <c r="E1051" i="1"/>
  <c r="F1051" i="1"/>
  <c r="G1051" i="1"/>
  <c r="H1051" i="1"/>
  <c r="D1052" i="1"/>
  <c r="E1052" i="1"/>
  <c r="F1052" i="1"/>
  <c r="G1052" i="1"/>
  <c r="H1052" i="1"/>
  <c r="D1053" i="1"/>
  <c r="E1053" i="1"/>
  <c r="F1053" i="1"/>
  <c r="G1053" i="1"/>
  <c r="H1053" i="1"/>
  <c r="D1054" i="1"/>
  <c r="E1054" i="1"/>
  <c r="F1054" i="1"/>
  <c r="G1054" i="1"/>
  <c r="H1054" i="1"/>
  <c r="D1055" i="1"/>
  <c r="E1055" i="1"/>
  <c r="F1055" i="1"/>
  <c r="G1055" i="1"/>
  <c r="H1055" i="1"/>
  <c r="D1056" i="1"/>
  <c r="E1056" i="1"/>
  <c r="F1056" i="1"/>
  <c r="G1056" i="1"/>
  <c r="H1056" i="1"/>
  <c r="D1057" i="1"/>
  <c r="E1057" i="1"/>
  <c r="F1057" i="1"/>
  <c r="G1057" i="1"/>
  <c r="H1057" i="1"/>
  <c r="D1058" i="1"/>
  <c r="E1058" i="1"/>
  <c r="F1058" i="1"/>
  <c r="G1058" i="1"/>
  <c r="H1058" i="1"/>
  <c r="D1059" i="1"/>
  <c r="E1059" i="1"/>
  <c r="F1059" i="1"/>
  <c r="G1059" i="1"/>
  <c r="H1059" i="1"/>
  <c r="D1060" i="1"/>
  <c r="E1060" i="1"/>
  <c r="F1060" i="1"/>
  <c r="G1060" i="1"/>
  <c r="H1060" i="1"/>
  <c r="D1061" i="1"/>
  <c r="E1061" i="1"/>
  <c r="F1061" i="1"/>
  <c r="G1061" i="1"/>
  <c r="H1061" i="1"/>
  <c r="D1062" i="1"/>
  <c r="E1062" i="1"/>
  <c r="F1062" i="1"/>
  <c r="G1062" i="1"/>
  <c r="H1062" i="1"/>
  <c r="D1063" i="1"/>
  <c r="E1063" i="1"/>
  <c r="F1063" i="1"/>
  <c r="G1063" i="1"/>
  <c r="H1063" i="1"/>
  <c r="D1064" i="1"/>
  <c r="E1064" i="1"/>
  <c r="F1064" i="1"/>
  <c r="G1064" i="1"/>
  <c r="H1064" i="1"/>
  <c r="D1065" i="1"/>
  <c r="E1065" i="1"/>
  <c r="F1065" i="1"/>
  <c r="G1065" i="1"/>
  <c r="H1065" i="1"/>
  <c r="D1066" i="1"/>
  <c r="E1066" i="1"/>
  <c r="F1066" i="1"/>
  <c r="G1066" i="1"/>
  <c r="H1066" i="1"/>
  <c r="D1067" i="1"/>
  <c r="E1067" i="1"/>
  <c r="F1067" i="1"/>
  <c r="G1067" i="1"/>
  <c r="H1067" i="1"/>
  <c r="D1068" i="1"/>
  <c r="E1068" i="1"/>
  <c r="F1068" i="1"/>
  <c r="G1068" i="1"/>
  <c r="H1068" i="1"/>
  <c r="D1069" i="1"/>
  <c r="E1069" i="1"/>
  <c r="F1069" i="1"/>
  <c r="G1069" i="1"/>
  <c r="H1069" i="1"/>
  <c r="D1070" i="1"/>
  <c r="E1070" i="1"/>
  <c r="F1070" i="1"/>
  <c r="G1070" i="1"/>
  <c r="H1070" i="1"/>
  <c r="D1071" i="1"/>
  <c r="E1071" i="1"/>
  <c r="F1071" i="1"/>
  <c r="G1071" i="1"/>
  <c r="H1071" i="1"/>
  <c r="D1072" i="1"/>
  <c r="E1072" i="1"/>
  <c r="F1072" i="1"/>
  <c r="G1072" i="1"/>
  <c r="H1072" i="1"/>
  <c r="D1073" i="1"/>
  <c r="E1073" i="1"/>
  <c r="F1073" i="1"/>
  <c r="G1073" i="1"/>
  <c r="H1073" i="1"/>
  <c r="D1074" i="1"/>
  <c r="E1074" i="1"/>
  <c r="F1074" i="1"/>
  <c r="G1074" i="1"/>
  <c r="H1074" i="1"/>
  <c r="D1075" i="1"/>
  <c r="E1075" i="1"/>
  <c r="F1075" i="1"/>
  <c r="G1075" i="1"/>
  <c r="H1075" i="1"/>
  <c r="D1076" i="1"/>
  <c r="E1076" i="1"/>
  <c r="F1076" i="1"/>
  <c r="G1076" i="1"/>
  <c r="H1076" i="1"/>
  <c r="D1077" i="1"/>
  <c r="E1077" i="1"/>
  <c r="F1077" i="1"/>
  <c r="G1077" i="1"/>
  <c r="H1077" i="1"/>
  <c r="D1078" i="1"/>
  <c r="E1078" i="1"/>
  <c r="F1078" i="1"/>
  <c r="G1078" i="1"/>
  <c r="H1078" i="1"/>
  <c r="D1079" i="1"/>
  <c r="E1079" i="1"/>
  <c r="F1079" i="1"/>
  <c r="G1079" i="1"/>
  <c r="H1079" i="1"/>
  <c r="D1080" i="1"/>
  <c r="E1080" i="1"/>
  <c r="F1080" i="1"/>
  <c r="G1080" i="1"/>
  <c r="H1080" i="1"/>
  <c r="D1081" i="1"/>
  <c r="E1081" i="1"/>
  <c r="F1081" i="1"/>
  <c r="G1081" i="1"/>
  <c r="H1081" i="1"/>
  <c r="D1082" i="1"/>
  <c r="E1082" i="1"/>
  <c r="F1082" i="1"/>
  <c r="G1082" i="1"/>
  <c r="H1082" i="1"/>
  <c r="D1083" i="1"/>
  <c r="E1083" i="1"/>
  <c r="F1083" i="1"/>
  <c r="G1083" i="1"/>
  <c r="H1083" i="1"/>
  <c r="D1084" i="1"/>
  <c r="E1084" i="1"/>
  <c r="F1084" i="1"/>
  <c r="G1084" i="1"/>
  <c r="H1084" i="1"/>
  <c r="D1085" i="1"/>
  <c r="E1085" i="1"/>
  <c r="F1085" i="1"/>
  <c r="G1085" i="1"/>
  <c r="H1085" i="1"/>
  <c r="D1086" i="1"/>
  <c r="E1086" i="1"/>
  <c r="F1086" i="1"/>
  <c r="G1086" i="1"/>
  <c r="H1086" i="1"/>
  <c r="D1087" i="1"/>
  <c r="E1087" i="1"/>
  <c r="F1087" i="1"/>
  <c r="G1087" i="1"/>
  <c r="H1087" i="1"/>
  <c r="D1088" i="1"/>
  <c r="E1088" i="1"/>
  <c r="F1088" i="1"/>
  <c r="G1088" i="1"/>
  <c r="H1088" i="1"/>
  <c r="D1089" i="1"/>
  <c r="E1089" i="1"/>
  <c r="F1089" i="1"/>
  <c r="G1089" i="1"/>
  <c r="H1089" i="1"/>
  <c r="D1090" i="1"/>
  <c r="E1090" i="1"/>
  <c r="F1090" i="1"/>
  <c r="G1090" i="1"/>
  <c r="H1090" i="1"/>
  <c r="D1091" i="1"/>
  <c r="E1091" i="1"/>
  <c r="F1091" i="1"/>
  <c r="G1091" i="1"/>
  <c r="H1091" i="1"/>
  <c r="D1092" i="1"/>
  <c r="E1092" i="1"/>
  <c r="F1092" i="1"/>
  <c r="G1092" i="1"/>
  <c r="H1092" i="1"/>
  <c r="D1093" i="1"/>
  <c r="E1093" i="1"/>
  <c r="F1093" i="1"/>
  <c r="G1093" i="1"/>
  <c r="H1093" i="1"/>
  <c r="D1094" i="1"/>
  <c r="E1094" i="1"/>
  <c r="F1094" i="1"/>
  <c r="G1094" i="1"/>
  <c r="H1094" i="1"/>
  <c r="D1095" i="1"/>
  <c r="E1095" i="1"/>
  <c r="F1095" i="1"/>
  <c r="G1095" i="1"/>
  <c r="H1095" i="1"/>
  <c r="D1096" i="1"/>
  <c r="E1096" i="1"/>
  <c r="F1096" i="1"/>
  <c r="G1096" i="1"/>
  <c r="H1096" i="1"/>
  <c r="D1097" i="1"/>
  <c r="E1097" i="1"/>
  <c r="F1097" i="1"/>
  <c r="G1097" i="1"/>
  <c r="H1097" i="1"/>
  <c r="D1098" i="1"/>
  <c r="E1098" i="1"/>
  <c r="F1098" i="1"/>
  <c r="G1098" i="1"/>
  <c r="H1098" i="1"/>
  <c r="D1099" i="1"/>
  <c r="E1099" i="1"/>
  <c r="F1099" i="1"/>
  <c r="G1099" i="1"/>
  <c r="H1099" i="1"/>
  <c r="D1100" i="1"/>
  <c r="E1100" i="1"/>
  <c r="F1100" i="1"/>
  <c r="G1100" i="1"/>
  <c r="H1100" i="1"/>
  <c r="D1101" i="1"/>
  <c r="E1101" i="1"/>
  <c r="F1101" i="1"/>
  <c r="G1101" i="1"/>
  <c r="H1101" i="1"/>
  <c r="D1102" i="1"/>
  <c r="E1102" i="1"/>
  <c r="F1102" i="1"/>
  <c r="G1102" i="1"/>
  <c r="H1102" i="1"/>
  <c r="D1103" i="1"/>
  <c r="E1103" i="1"/>
  <c r="F1103" i="1"/>
  <c r="G1103" i="1"/>
  <c r="H1103" i="1"/>
  <c r="D1104" i="1"/>
  <c r="E1104" i="1"/>
  <c r="F1104" i="1"/>
  <c r="G1104" i="1"/>
  <c r="H1104" i="1"/>
  <c r="D1105" i="1"/>
  <c r="E1105" i="1"/>
  <c r="F1105" i="1"/>
  <c r="G1105" i="1"/>
  <c r="H1105" i="1"/>
  <c r="D1106" i="1"/>
  <c r="E1106" i="1"/>
  <c r="F1106" i="1"/>
  <c r="G1106" i="1"/>
  <c r="H1106" i="1"/>
  <c r="D1107" i="1"/>
  <c r="E1107" i="1"/>
  <c r="F1107" i="1"/>
  <c r="G1107" i="1"/>
  <c r="H1107" i="1"/>
  <c r="D1108" i="1"/>
  <c r="E1108" i="1"/>
  <c r="F1108" i="1"/>
  <c r="G1108" i="1"/>
  <c r="H1108" i="1"/>
  <c r="D1109" i="1"/>
  <c r="E1109" i="1"/>
  <c r="F1109" i="1"/>
  <c r="G1109" i="1"/>
  <c r="H1109" i="1"/>
  <c r="D1110" i="1"/>
  <c r="E1110" i="1"/>
  <c r="F1110" i="1"/>
  <c r="G1110" i="1"/>
  <c r="H1110" i="1"/>
  <c r="D1111" i="1"/>
  <c r="E1111" i="1"/>
  <c r="F1111" i="1"/>
  <c r="G1111" i="1"/>
  <c r="H1111" i="1"/>
  <c r="D1112" i="1"/>
  <c r="E1112" i="1"/>
  <c r="F1112" i="1"/>
  <c r="G1112" i="1"/>
  <c r="H1112" i="1"/>
  <c r="D1113" i="1"/>
  <c r="E1113" i="1"/>
  <c r="F1113" i="1"/>
  <c r="G1113" i="1"/>
  <c r="H1113" i="1"/>
  <c r="D1114" i="1"/>
  <c r="E1114" i="1"/>
  <c r="F1114" i="1"/>
  <c r="G1114" i="1"/>
  <c r="H1114" i="1"/>
  <c r="D1115" i="1"/>
  <c r="E1115" i="1"/>
  <c r="F1115" i="1"/>
  <c r="G1115" i="1"/>
  <c r="H1115" i="1"/>
  <c r="D1116" i="1"/>
  <c r="E1116" i="1"/>
  <c r="F1116" i="1"/>
  <c r="G1116" i="1"/>
  <c r="H1116" i="1"/>
  <c r="D1117" i="1"/>
  <c r="E1117" i="1"/>
  <c r="F1117" i="1"/>
  <c r="G1117" i="1"/>
  <c r="H1117" i="1"/>
  <c r="D1118" i="1"/>
  <c r="E1118" i="1"/>
  <c r="F1118" i="1"/>
  <c r="G1118" i="1"/>
  <c r="H1118" i="1"/>
  <c r="D1119" i="1"/>
  <c r="E1119" i="1"/>
  <c r="F1119" i="1"/>
  <c r="G1119" i="1"/>
  <c r="H1119" i="1"/>
  <c r="D1120" i="1"/>
  <c r="E1120" i="1"/>
  <c r="F1120" i="1"/>
  <c r="G1120" i="1"/>
  <c r="H1120" i="1"/>
  <c r="D1121" i="1"/>
  <c r="E1121" i="1"/>
  <c r="F1121" i="1"/>
  <c r="G1121" i="1"/>
  <c r="H1121" i="1"/>
  <c r="D1122" i="1"/>
  <c r="E1122" i="1"/>
  <c r="F1122" i="1"/>
  <c r="G1122" i="1"/>
  <c r="H1122" i="1"/>
  <c r="D1123" i="1"/>
  <c r="E1123" i="1"/>
  <c r="F1123" i="1"/>
  <c r="G1123" i="1"/>
  <c r="H1123" i="1"/>
  <c r="D1124" i="1"/>
  <c r="E1124" i="1"/>
  <c r="F1124" i="1"/>
  <c r="G1124" i="1"/>
  <c r="H1124" i="1"/>
  <c r="D1125" i="1"/>
  <c r="E1125" i="1"/>
  <c r="F1125" i="1"/>
  <c r="G1125" i="1"/>
  <c r="H1125" i="1"/>
  <c r="D1126" i="1"/>
  <c r="E1126" i="1"/>
  <c r="F1126" i="1"/>
  <c r="G1126" i="1"/>
  <c r="H1126" i="1"/>
  <c r="D1127" i="1"/>
  <c r="E1127" i="1"/>
  <c r="F1127" i="1"/>
  <c r="G1127" i="1"/>
  <c r="H1127" i="1"/>
  <c r="D1128" i="1"/>
  <c r="E1128" i="1"/>
  <c r="F1128" i="1"/>
  <c r="G1128" i="1"/>
  <c r="H1128" i="1"/>
  <c r="D1129" i="1"/>
  <c r="E1129" i="1"/>
  <c r="F1129" i="1"/>
  <c r="G1129" i="1"/>
  <c r="H1129" i="1"/>
  <c r="D1130" i="1"/>
  <c r="E1130" i="1"/>
  <c r="F1130" i="1"/>
  <c r="G1130" i="1"/>
  <c r="H1130" i="1"/>
  <c r="D1131" i="1"/>
  <c r="E1131" i="1"/>
  <c r="F1131" i="1"/>
  <c r="G1131" i="1"/>
  <c r="H1131" i="1"/>
  <c r="D1132" i="1"/>
  <c r="E1132" i="1"/>
  <c r="F1132" i="1"/>
  <c r="G1132" i="1"/>
  <c r="H1132" i="1"/>
  <c r="D1133" i="1"/>
  <c r="E1133" i="1"/>
  <c r="F1133" i="1"/>
  <c r="G1133" i="1"/>
  <c r="H1133" i="1"/>
  <c r="D1134" i="1"/>
  <c r="E1134" i="1"/>
  <c r="F1134" i="1"/>
  <c r="G1134" i="1"/>
  <c r="H1134" i="1"/>
  <c r="D1135" i="1"/>
  <c r="E1135" i="1"/>
  <c r="F1135" i="1"/>
  <c r="G1135" i="1"/>
  <c r="H1135" i="1"/>
  <c r="D1136" i="1"/>
  <c r="E1136" i="1"/>
  <c r="F1136" i="1"/>
  <c r="G1136" i="1"/>
  <c r="H1136" i="1"/>
  <c r="D1137" i="1"/>
  <c r="E1137" i="1"/>
  <c r="F1137" i="1"/>
  <c r="G1137" i="1"/>
  <c r="H1137" i="1"/>
  <c r="D1138" i="1"/>
  <c r="E1138" i="1"/>
  <c r="F1138" i="1"/>
  <c r="G1138" i="1"/>
  <c r="H1138" i="1"/>
  <c r="D1139" i="1"/>
  <c r="E1139" i="1"/>
  <c r="F1139" i="1"/>
  <c r="G1139" i="1"/>
  <c r="H1139" i="1"/>
  <c r="D1140" i="1"/>
  <c r="E1140" i="1"/>
  <c r="F1140" i="1"/>
  <c r="G1140" i="1"/>
  <c r="H1140" i="1"/>
  <c r="D1141" i="1"/>
  <c r="E1141" i="1"/>
  <c r="F1141" i="1"/>
  <c r="G1141" i="1"/>
  <c r="H1141" i="1"/>
  <c r="D1142" i="1"/>
  <c r="E1142" i="1"/>
  <c r="F1142" i="1"/>
  <c r="G1142" i="1"/>
  <c r="H1142" i="1"/>
  <c r="D1143" i="1"/>
  <c r="E1143" i="1"/>
  <c r="F1143" i="1"/>
  <c r="G1143" i="1"/>
  <c r="H1143" i="1"/>
  <c r="D1144" i="1"/>
  <c r="E1144" i="1"/>
  <c r="F1144" i="1"/>
  <c r="G1144" i="1"/>
  <c r="H1144" i="1"/>
  <c r="D1145" i="1"/>
  <c r="E1145" i="1"/>
  <c r="F1145" i="1"/>
  <c r="G1145" i="1"/>
  <c r="H1145" i="1"/>
  <c r="D1146" i="1"/>
  <c r="E1146" i="1"/>
  <c r="F1146" i="1"/>
  <c r="G1146" i="1"/>
  <c r="H1146" i="1"/>
  <c r="D1147" i="1"/>
  <c r="E1147" i="1"/>
  <c r="F1147" i="1"/>
  <c r="G1147" i="1"/>
  <c r="H1147" i="1"/>
  <c r="D1148" i="1"/>
  <c r="E1148" i="1"/>
  <c r="F1148" i="1"/>
  <c r="G1148" i="1"/>
  <c r="H1148" i="1"/>
  <c r="D1149" i="1"/>
  <c r="E1149" i="1"/>
  <c r="F1149" i="1"/>
  <c r="G1149" i="1"/>
  <c r="H1149" i="1"/>
  <c r="D1150" i="1"/>
  <c r="E1150" i="1"/>
  <c r="F1150" i="1"/>
  <c r="G1150" i="1"/>
  <c r="H1150" i="1"/>
  <c r="D1151" i="1"/>
  <c r="E1151" i="1"/>
  <c r="F1151" i="1"/>
  <c r="G1151" i="1"/>
  <c r="H1151" i="1"/>
  <c r="D1152" i="1"/>
  <c r="E1152" i="1"/>
  <c r="F1152" i="1"/>
  <c r="G1152" i="1"/>
  <c r="H1152" i="1"/>
  <c r="D1153" i="1"/>
  <c r="E1153" i="1"/>
  <c r="F1153" i="1"/>
  <c r="G1153" i="1"/>
  <c r="H1153" i="1"/>
  <c r="D1154" i="1"/>
  <c r="E1154" i="1"/>
  <c r="F1154" i="1"/>
  <c r="G1154" i="1"/>
  <c r="H1154" i="1"/>
  <c r="D1155" i="1"/>
  <c r="E1155" i="1"/>
  <c r="F1155" i="1"/>
  <c r="G1155" i="1"/>
  <c r="H1155" i="1"/>
  <c r="D1156" i="1"/>
  <c r="E1156" i="1"/>
  <c r="F1156" i="1"/>
  <c r="G1156" i="1"/>
  <c r="H1156" i="1"/>
  <c r="D1157" i="1"/>
  <c r="E1157" i="1"/>
  <c r="F1157" i="1"/>
  <c r="G1157" i="1"/>
  <c r="H1157" i="1"/>
  <c r="D1158" i="1"/>
  <c r="E1158" i="1"/>
  <c r="F1158" i="1"/>
  <c r="G1158" i="1"/>
  <c r="H1158" i="1"/>
  <c r="D1159" i="1"/>
  <c r="E1159" i="1"/>
  <c r="F1159" i="1"/>
  <c r="G1159" i="1"/>
  <c r="H1159" i="1"/>
  <c r="D1160" i="1"/>
  <c r="E1160" i="1"/>
  <c r="F1160" i="1"/>
  <c r="G1160" i="1"/>
  <c r="H1160" i="1"/>
  <c r="D1161" i="1"/>
  <c r="E1161" i="1"/>
  <c r="F1161" i="1"/>
  <c r="G1161" i="1"/>
  <c r="H1161" i="1"/>
  <c r="D1162" i="1"/>
  <c r="E1162" i="1"/>
  <c r="F1162" i="1"/>
  <c r="G1162" i="1"/>
  <c r="H1162" i="1"/>
  <c r="D1163" i="1"/>
  <c r="E1163" i="1"/>
  <c r="F1163" i="1"/>
  <c r="G1163" i="1"/>
  <c r="H1163" i="1"/>
  <c r="D1164" i="1"/>
  <c r="E1164" i="1"/>
  <c r="F1164" i="1"/>
  <c r="G1164" i="1"/>
  <c r="H1164" i="1"/>
  <c r="D1165" i="1"/>
  <c r="E1165" i="1"/>
  <c r="F1165" i="1"/>
  <c r="G1165" i="1"/>
  <c r="H1165" i="1"/>
  <c r="D1166" i="1"/>
  <c r="E1166" i="1"/>
  <c r="F1166" i="1"/>
  <c r="G1166" i="1"/>
  <c r="H1166" i="1"/>
  <c r="D1167" i="1"/>
  <c r="E1167" i="1"/>
  <c r="F1167" i="1"/>
  <c r="G1167" i="1"/>
  <c r="H1167" i="1"/>
  <c r="D1168" i="1"/>
  <c r="E1168" i="1"/>
  <c r="F1168" i="1"/>
  <c r="G1168" i="1"/>
  <c r="H1168" i="1"/>
  <c r="D1169" i="1"/>
  <c r="E1169" i="1"/>
  <c r="F1169" i="1"/>
  <c r="G1169" i="1"/>
  <c r="H1169" i="1"/>
  <c r="D1170" i="1"/>
  <c r="E1170" i="1"/>
  <c r="F1170" i="1"/>
  <c r="G1170" i="1"/>
  <c r="H1170" i="1"/>
  <c r="D1171" i="1"/>
  <c r="E1171" i="1"/>
  <c r="F1171" i="1"/>
  <c r="G1171" i="1"/>
  <c r="H1171" i="1"/>
  <c r="D1172" i="1"/>
  <c r="E1172" i="1"/>
  <c r="F1172" i="1"/>
  <c r="G1172" i="1"/>
  <c r="H1172" i="1"/>
  <c r="D1173" i="1"/>
  <c r="E1173" i="1"/>
  <c r="F1173" i="1"/>
  <c r="G1173" i="1"/>
  <c r="H1173" i="1"/>
  <c r="D1174" i="1"/>
  <c r="E1174" i="1"/>
  <c r="F1174" i="1"/>
  <c r="G1174" i="1"/>
  <c r="H1174" i="1"/>
  <c r="D1175" i="1"/>
  <c r="E1175" i="1"/>
  <c r="F1175" i="1"/>
  <c r="G1175" i="1"/>
  <c r="H1175" i="1"/>
  <c r="D1176" i="1"/>
  <c r="E1176" i="1"/>
  <c r="F1176" i="1"/>
  <c r="G1176" i="1"/>
  <c r="H1176" i="1"/>
  <c r="D1177" i="1"/>
  <c r="E1177" i="1"/>
  <c r="F1177" i="1"/>
  <c r="G1177" i="1"/>
  <c r="H1177" i="1"/>
  <c r="D1178" i="1"/>
  <c r="E1178" i="1"/>
  <c r="F1178" i="1"/>
  <c r="G1178" i="1"/>
  <c r="H1178" i="1"/>
  <c r="D1179" i="1"/>
  <c r="E1179" i="1"/>
  <c r="F1179" i="1"/>
  <c r="G1179" i="1"/>
  <c r="H1179" i="1"/>
  <c r="D1180" i="1"/>
  <c r="E1180" i="1"/>
  <c r="F1180" i="1"/>
  <c r="G1180" i="1"/>
  <c r="H1180" i="1"/>
  <c r="D1181" i="1"/>
  <c r="E1181" i="1"/>
  <c r="F1181" i="1"/>
  <c r="G1181" i="1"/>
  <c r="H1181" i="1"/>
  <c r="D1182" i="1"/>
  <c r="E1182" i="1"/>
  <c r="F1182" i="1"/>
  <c r="G1182" i="1"/>
  <c r="H1182" i="1"/>
  <c r="D1183" i="1"/>
  <c r="E1183" i="1"/>
  <c r="F1183" i="1"/>
  <c r="G1183" i="1"/>
  <c r="H1183" i="1"/>
  <c r="D1184" i="1"/>
  <c r="E1184" i="1"/>
  <c r="F1184" i="1"/>
  <c r="G1184" i="1"/>
  <c r="H1184" i="1"/>
  <c r="D1185" i="1"/>
  <c r="E1185" i="1"/>
  <c r="F1185" i="1"/>
  <c r="G1185" i="1"/>
  <c r="H1185" i="1"/>
  <c r="D1186" i="1"/>
  <c r="E1186" i="1"/>
  <c r="F1186" i="1"/>
  <c r="G1186" i="1"/>
  <c r="H1186" i="1"/>
  <c r="D1187" i="1"/>
  <c r="E1187" i="1"/>
  <c r="F1187" i="1"/>
  <c r="G1187" i="1"/>
  <c r="H1187" i="1"/>
  <c r="D1188" i="1"/>
  <c r="E1188" i="1"/>
  <c r="F1188" i="1"/>
  <c r="G1188" i="1"/>
  <c r="H1188" i="1"/>
  <c r="D1189" i="1"/>
  <c r="E1189" i="1"/>
  <c r="F1189" i="1"/>
  <c r="G1189" i="1"/>
  <c r="H1189" i="1"/>
  <c r="D1190" i="1"/>
  <c r="E1190" i="1"/>
  <c r="F1190" i="1"/>
  <c r="G1190" i="1"/>
  <c r="H1190" i="1"/>
  <c r="D1191" i="1"/>
  <c r="E1191" i="1"/>
  <c r="F1191" i="1"/>
  <c r="G1191" i="1"/>
  <c r="H1191" i="1"/>
  <c r="D1192" i="1"/>
  <c r="E1192" i="1"/>
  <c r="F1192" i="1"/>
  <c r="G1192" i="1"/>
  <c r="H1192" i="1"/>
  <c r="D1193" i="1"/>
  <c r="E1193" i="1"/>
  <c r="F1193" i="1"/>
  <c r="G1193" i="1"/>
  <c r="H1193" i="1"/>
  <c r="D1194" i="1"/>
  <c r="E1194" i="1"/>
  <c r="F1194" i="1"/>
  <c r="G1194" i="1"/>
  <c r="H1194" i="1"/>
  <c r="D1195" i="1"/>
  <c r="E1195" i="1"/>
  <c r="F1195" i="1"/>
  <c r="G1195" i="1"/>
  <c r="H1195" i="1"/>
  <c r="D1196" i="1"/>
  <c r="E1196" i="1"/>
  <c r="F1196" i="1"/>
  <c r="G1196" i="1"/>
  <c r="H1196" i="1"/>
  <c r="D1197" i="1"/>
  <c r="E1197" i="1"/>
  <c r="F1197" i="1"/>
  <c r="G1197" i="1"/>
  <c r="H1197" i="1"/>
  <c r="D1198" i="1"/>
  <c r="E1198" i="1"/>
  <c r="F1198" i="1"/>
  <c r="G1198" i="1"/>
  <c r="H1198" i="1"/>
  <c r="D1199" i="1"/>
  <c r="E1199" i="1"/>
  <c r="F1199" i="1"/>
  <c r="G1199" i="1"/>
  <c r="H1199" i="1"/>
  <c r="D1200" i="1"/>
  <c r="E1200" i="1"/>
  <c r="F1200" i="1"/>
  <c r="G1200" i="1"/>
  <c r="H1200" i="1"/>
  <c r="D1201" i="1"/>
  <c r="E1201" i="1"/>
  <c r="F1201" i="1"/>
  <c r="G1201" i="1"/>
  <c r="H1201" i="1"/>
  <c r="D1202" i="1"/>
  <c r="E1202" i="1"/>
  <c r="F1202" i="1"/>
  <c r="G1202" i="1"/>
  <c r="H1202" i="1"/>
  <c r="D1203" i="1"/>
  <c r="E1203" i="1"/>
  <c r="F1203" i="1"/>
  <c r="G1203" i="1"/>
  <c r="H1203" i="1"/>
  <c r="D1204" i="1"/>
  <c r="E1204" i="1"/>
  <c r="F1204" i="1"/>
  <c r="G1204" i="1"/>
  <c r="H1204" i="1"/>
  <c r="D1205" i="1"/>
  <c r="E1205" i="1"/>
  <c r="F1205" i="1"/>
  <c r="G1205" i="1"/>
  <c r="H1205" i="1"/>
  <c r="D1206" i="1"/>
  <c r="E1206" i="1"/>
  <c r="F1206" i="1"/>
  <c r="G1206" i="1"/>
  <c r="H1206" i="1"/>
  <c r="D1207" i="1"/>
  <c r="E1207" i="1"/>
  <c r="F1207" i="1"/>
  <c r="G1207" i="1"/>
  <c r="H1207" i="1"/>
  <c r="D1208" i="1"/>
  <c r="E1208" i="1"/>
  <c r="F1208" i="1"/>
  <c r="G1208" i="1"/>
  <c r="H1208" i="1"/>
  <c r="D1209" i="1"/>
  <c r="E1209" i="1"/>
  <c r="F1209" i="1"/>
  <c r="G1209" i="1"/>
  <c r="H1209" i="1"/>
  <c r="D1210" i="1"/>
  <c r="E1210" i="1"/>
  <c r="F1210" i="1"/>
  <c r="G1210" i="1"/>
  <c r="H1210" i="1"/>
  <c r="D1211" i="1"/>
  <c r="E1211" i="1"/>
  <c r="F1211" i="1"/>
  <c r="G1211" i="1"/>
  <c r="H1211" i="1"/>
  <c r="D1212" i="1"/>
  <c r="E1212" i="1"/>
  <c r="F1212" i="1"/>
  <c r="G1212" i="1"/>
  <c r="H1212" i="1"/>
  <c r="D1213" i="1"/>
  <c r="E1213" i="1"/>
  <c r="F1213" i="1"/>
  <c r="G1213" i="1"/>
  <c r="H1213" i="1"/>
  <c r="D1214" i="1"/>
  <c r="E1214" i="1"/>
  <c r="F1214" i="1"/>
  <c r="G1214" i="1"/>
  <c r="H1214" i="1"/>
  <c r="D1215" i="1"/>
  <c r="E1215" i="1"/>
  <c r="F1215" i="1"/>
  <c r="G1215" i="1"/>
  <c r="H1215" i="1"/>
  <c r="D1216" i="1"/>
  <c r="E1216" i="1"/>
  <c r="F1216" i="1"/>
  <c r="G1216" i="1"/>
  <c r="H1216" i="1"/>
  <c r="D1217" i="1"/>
  <c r="E1217" i="1"/>
  <c r="F1217" i="1"/>
  <c r="G1217" i="1"/>
  <c r="H1217" i="1"/>
  <c r="D1218" i="1"/>
  <c r="E1218" i="1"/>
  <c r="F1218" i="1"/>
  <c r="G1218" i="1"/>
  <c r="H1218" i="1"/>
  <c r="D1219" i="1"/>
  <c r="E1219" i="1"/>
  <c r="F1219" i="1"/>
  <c r="G1219" i="1"/>
  <c r="H1219" i="1"/>
  <c r="D1220" i="1"/>
  <c r="E1220" i="1"/>
  <c r="F1220" i="1"/>
  <c r="G1220" i="1"/>
  <c r="H1220" i="1"/>
  <c r="D1221" i="1"/>
  <c r="E1221" i="1"/>
  <c r="F1221" i="1"/>
  <c r="G1221" i="1"/>
  <c r="H1221" i="1"/>
  <c r="D1222" i="1"/>
  <c r="E1222" i="1"/>
  <c r="F1222" i="1"/>
  <c r="G1222" i="1"/>
  <c r="H1222" i="1"/>
  <c r="D1223" i="1"/>
  <c r="E1223" i="1"/>
  <c r="F1223" i="1"/>
  <c r="G1223" i="1"/>
  <c r="H1223" i="1"/>
  <c r="D1224" i="1"/>
  <c r="E1224" i="1"/>
  <c r="F1224" i="1"/>
  <c r="G1224" i="1"/>
  <c r="H1224" i="1"/>
  <c r="D1225" i="1"/>
  <c r="E1225" i="1"/>
  <c r="F1225" i="1"/>
  <c r="G1225" i="1"/>
  <c r="H1225" i="1"/>
  <c r="D1226" i="1"/>
  <c r="E1226" i="1"/>
  <c r="F1226" i="1"/>
  <c r="G1226" i="1"/>
  <c r="H1226" i="1"/>
  <c r="D1227" i="1"/>
  <c r="E1227" i="1"/>
  <c r="F1227" i="1"/>
  <c r="G1227" i="1"/>
  <c r="H1227" i="1"/>
  <c r="D1228" i="1"/>
  <c r="E1228" i="1"/>
  <c r="F1228" i="1"/>
  <c r="G1228" i="1"/>
  <c r="H1228" i="1"/>
  <c r="D1229" i="1"/>
  <c r="E1229" i="1"/>
  <c r="F1229" i="1"/>
  <c r="G1229" i="1"/>
  <c r="H1229" i="1"/>
  <c r="D1230" i="1"/>
  <c r="E1230" i="1"/>
  <c r="F1230" i="1"/>
  <c r="G1230" i="1"/>
  <c r="H1230" i="1"/>
  <c r="D1231" i="1"/>
  <c r="E1231" i="1"/>
  <c r="F1231" i="1"/>
  <c r="G1231" i="1"/>
  <c r="H1231" i="1"/>
  <c r="D1232" i="1"/>
  <c r="E1232" i="1"/>
  <c r="F1232" i="1"/>
  <c r="G1232" i="1"/>
  <c r="H1232" i="1"/>
  <c r="D1233" i="1"/>
  <c r="E1233" i="1"/>
  <c r="F1233" i="1"/>
  <c r="G1233" i="1"/>
  <c r="H1233" i="1"/>
  <c r="D1234" i="1"/>
  <c r="E1234" i="1"/>
  <c r="F1234" i="1"/>
  <c r="G1234" i="1"/>
  <c r="H1234" i="1"/>
  <c r="D1235" i="1"/>
  <c r="E1235" i="1"/>
  <c r="F1235" i="1"/>
  <c r="G1235" i="1"/>
  <c r="H1235" i="1"/>
  <c r="D1236" i="1"/>
  <c r="E1236" i="1"/>
  <c r="F1236" i="1"/>
  <c r="G1236" i="1"/>
  <c r="H1236" i="1"/>
  <c r="D1237" i="1"/>
  <c r="E1237" i="1"/>
  <c r="F1237" i="1"/>
  <c r="G1237" i="1"/>
  <c r="H1237" i="1"/>
  <c r="D1238" i="1"/>
  <c r="E1238" i="1"/>
  <c r="F1238" i="1"/>
  <c r="G1238" i="1"/>
  <c r="H1238" i="1"/>
  <c r="D1239" i="1"/>
  <c r="E1239" i="1"/>
  <c r="F1239" i="1"/>
  <c r="G1239" i="1"/>
  <c r="H1239" i="1"/>
  <c r="D1240" i="1"/>
  <c r="E1240" i="1"/>
  <c r="F1240" i="1"/>
  <c r="G1240" i="1"/>
  <c r="H1240" i="1"/>
  <c r="D1241" i="1"/>
  <c r="E1241" i="1"/>
  <c r="F1241" i="1"/>
  <c r="G1241" i="1"/>
  <c r="H1241" i="1"/>
  <c r="D1242" i="1"/>
  <c r="E1242" i="1"/>
  <c r="F1242" i="1"/>
  <c r="G1242" i="1"/>
  <c r="H1242" i="1"/>
  <c r="D1243" i="1"/>
  <c r="E1243" i="1"/>
  <c r="F1243" i="1"/>
  <c r="G1243" i="1"/>
  <c r="H1243" i="1"/>
  <c r="D1244" i="1"/>
  <c r="E1244" i="1"/>
  <c r="F1244" i="1"/>
  <c r="G1244" i="1"/>
  <c r="H1244" i="1"/>
  <c r="D1245" i="1"/>
  <c r="E1245" i="1"/>
  <c r="F1245" i="1"/>
  <c r="G1245" i="1"/>
  <c r="H1245" i="1"/>
  <c r="D1246" i="1"/>
  <c r="E1246" i="1"/>
  <c r="F1246" i="1"/>
  <c r="G1246" i="1"/>
  <c r="H1246" i="1"/>
  <c r="D1247" i="1"/>
  <c r="E1247" i="1"/>
  <c r="F1247" i="1"/>
  <c r="G1247" i="1"/>
  <c r="H1247" i="1"/>
  <c r="D1248" i="1"/>
  <c r="E1248" i="1"/>
  <c r="F1248" i="1"/>
  <c r="G1248" i="1"/>
  <c r="H1248" i="1"/>
  <c r="D1249" i="1"/>
  <c r="E1249" i="1"/>
  <c r="F1249" i="1"/>
  <c r="G1249" i="1"/>
  <c r="H1249" i="1"/>
  <c r="D1250" i="1"/>
  <c r="E1250" i="1"/>
  <c r="F1250" i="1"/>
  <c r="G1250" i="1"/>
  <c r="H1250" i="1"/>
  <c r="D1251" i="1"/>
  <c r="E1251" i="1"/>
  <c r="F1251" i="1"/>
  <c r="G1251" i="1"/>
  <c r="H1251" i="1"/>
  <c r="D1252" i="1"/>
  <c r="E1252" i="1"/>
  <c r="F1252" i="1"/>
  <c r="G1252" i="1"/>
  <c r="H1252" i="1"/>
  <c r="D1253" i="1"/>
  <c r="E1253" i="1"/>
  <c r="F1253" i="1"/>
  <c r="G1253" i="1"/>
  <c r="H1253" i="1"/>
  <c r="D1254" i="1"/>
  <c r="E1254" i="1"/>
  <c r="F1254" i="1"/>
  <c r="G1254" i="1"/>
  <c r="H1254" i="1"/>
  <c r="D1255" i="1"/>
  <c r="E1255" i="1"/>
  <c r="F1255" i="1"/>
  <c r="G1255" i="1"/>
  <c r="H1255" i="1"/>
  <c r="D1256" i="1"/>
  <c r="E1256" i="1"/>
  <c r="F1256" i="1"/>
  <c r="G1256" i="1"/>
  <c r="H1256" i="1"/>
  <c r="D1257" i="1"/>
  <c r="E1257" i="1"/>
  <c r="F1257" i="1"/>
  <c r="G1257" i="1"/>
  <c r="H1257" i="1"/>
  <c r="D1258" i="1"/>
  <c r="E1258" i="1"/>
  <c r="F1258" i="1"/>
  <c r="G1258" i="1"/>
  <c r="H1258" i="1"/>
  <c r="D1259" i="1"/>
  <c r="E1259" i="1"/>
  <c r="F1259" i="1"/>
  <c r="G1259" i="1"/>
  <c r="H1259" i="1"/>
  <c r="D1260" i="1"/>
  <c r="E1260" i="1"/>
  <c r="F1260" i="1"/>
  <c r="G1260" i="1"/>
  <c r="H1260" i="1"/>
  <c r="D1261" i="1"/>
  <c r="E1261" i="1"/>
  <c r="F1261" i="1"/>
  <c r="G1261" i="1"/>
  <c r="H1261" i="1"/>
  <c r="D1262" i="1"/>
  <c r="E1262" i="1"/>
  <c r="F1262" i="1"/>
  <c r="G1262" i="1"/>
  <c r="H1262" i="1"/>
  <c r="D1263" i="1"/>
  <c r="E1263" i="1"/>
  <c r="F1263" i="1"/>
  <c r="G1263" i="1"/>
  <c r="H1263" i="1"/>
  <c r="D1264" i="1"/>
  <c r="E1264" i="1"/>
  <c r="F1264" i="1"/>
  <c r="G1264" i="1"/>
  <c r="H1264" i="1"/>
  <c r="D1265" i="1"/>
  <c r="E1265" i="1"/>
  <c r="F1265" i="1"/>
  <c r="G1265" i="1"/>
  <c r="H1265" i="1"/>
  <c r="D1266" i="1"/>
  <c r="E1266" i="1"/>
  <c r="F1266" i="1"/>
  <c r="G1266" i="1"/>
  <c r="H1266" i="1"/>
  <c r="D1267" i="1"/>
  <c r="E1267" i="1"/>
  <c r="F1267" i="1"/>
  <c r="G1267" i="1"/>
  <c r="H1267" i="1"/>
  <c r="D1268" i="1"/>
  <c r="E1268" i="1"/>
  <c r="F1268" i="1"/>
  <c r="G1268" i="1"/>
  <c r="H1268" i="1"/>
  <c r="D1269" i="1"/>
  <c r="E1269" i="1"/>
  <c r="F1269" i="1"/>
  <c r="G1269" i="1"/>
  <c r="H1269" i="1"/>
  <c r="D1270" i="1"/>
  <c r="E1270" i="1"/>
  <c r="F1270" i="1"/>
  <c r="G1270" i="1"/>
  <c r="H1270" i="1"/>
  <c r="D1271" i="1"/>
  <c r="E1271" i="1"/>
  <c r="F1271" i="1"/>
  <c r="G1271" i="1"/>
  <c r="H1271" i="1"/>
  <c r="D1272" i="1"/>
  <c r="E1272" i="1"/>
  <c r="F1272" i="1"/>
  <c r="G1272" i="1"/>
  <c r="H1272" i="1"/>
  <c r="D1273" i="1"/>
  <c r="E1273" i="1"/>
  <c r="F1273" i="1"/>
  <c r="G1273" i="1"/>
  <c r="H1273" i="1"/>
  <c r="D1274" i="1"/>
  <c r="E1274" i="1"/>
  <c r="F1274" i="1"/>
  <c r="G1274" i="1"/>
  <c r="H1274" i="1"/>
  <c r="D1275" i="1"/>
  <c r="E1275" i="1"/>
  <c r="F1275" i="1"/>
  <c r="G1275" i="1"/>
  <c r="H1275" i="1"/>
  <c r="D1276" i="1"/>
  <c r="E1276" i="1"/>
  <c r="F1276" i="1"/>
  <c r="G1276" i="1"/>
  <c r="H1276" i="1"/>
  <c r="D1277" i="1"/>
  <c r="E1277" i="1"/>
  <c r="F1277" i="1"/>
  <c r="G1277" i="1"/>
  <c r="H1277" i="1"/>
  <c r="D1278" i="1"/>
  <c r="E1278" i="1"/>
  <c r="F1278" i="1"/>
  <c r="G1278" i="1"/>
  <c r="H1278" i="1"/>
  <c r="D1279" i="1"/>
  <c r="E1279" i="1"/>
  <c r="F1279" i="1"/>
  <c r="G1279" i="1"/>
  <c r="H1279" i="1"/>
  <c r="D1280" i="1"/>
  <c r="E1280" i="1"/>
  <c r="F1280" i="1"/>
  <c r="G1280" i="1"/>
  <c r="H1280" i="1"/>
  <c r="D1281" i="1"/>
  <c r="E1281" i="1"/>
  <c r="F1281" i="1"/>
  <c r="G1281" i="1"/>
  <c r="H1281" i="1"/>
  <c r="D1282" i="1"/>
  <c r="E1282" i="1"/>
  <c r="F1282" i="1"/>
  <c r="G1282" i="1"/>
  <c r="H1282" i="1"/>
  <c r="D1283" i="1"/>
  <c r="E1283" i="1"/>
  <c r="F1283" i="1"/>
  <c r="G1283" i="1"/>
  <c r="H1283" i="1"/>
  <c r="D1284" i="1"/>
  <c r="E1284" i="1"/>
  <c r="F1284" i="1"/>
  <c r="G1284" i="1"/>
  <c r="H1284" i="1"/>
  <c r="D1285" i="1"/>
  <c r="E1285" i="1"/>
  <c r="F1285" i="1"/>
  <c r="G1285" i="1"/>
  <c r="H1285" i="1"/>
  <c r="D1286" i="1"/>
  <c r="E1286" i="1"/>
  <c r="F1286" i="1"/>
  <c r="G1286" i="1"/>
  <c r="H1286" i="1"/>
  <c r="D1287" i="1"/>
  <c r="E1287" i="1"/>
  <c r="F1287" i="1"/>
  <c r="G1287" i="1"/>
  <c r="H1287" i="1"/>
  <c r="D1288" i="1"/>
  <c r="E1288" i="1"/>
  <c r="F1288" i="1"/>
  <c r="G1288" i="1"/>
  <c r="H1288" i="1"/>
  <c r="D1289" i="1"/>
  <c r="E1289" i="1"/>
  <c r="F1289" i="1"/>
  <c r="G1289" i="1"/>
  <c r="H1289" i="1"/>
  <c r="D1290" i="1"/>
  <c r="E1290" i="1"/>
  <c r="F1290" i="1"/>
  <c r="G1290" i="1"/>
  <c r="H1290" i="1"/>
  <c r="D1291" i="1"/>
  <c r="E1291" i="1"/>
  <c r="F1291" i="1"/>
  <c r="G1291" i="1"/>
  <c r="H1291" i="1"/>
  <c r="D1292" i="1"/>
  <c r="E1292" i="1"/>
  <c r="F1292" i="1"/>
  <c r="G1292" i="1"/>
  <c r="H1292" i="1"/>
  <c r="D1293" i="1"/>
  <c r="E1293" i="1"/>
  <c r="F1293" i="1"/>
  <c r="G1293" i="1"/>
  <c r="H1293" i="1"/>
  <c r="D1294" i="1"/>
  <c r="E1294" i="1"/>
  <c r="F1294" i="1"/>
  <c r="G1294" i="1"/>
  <c r="H1294" i="1"/>
  <c r="D1295" i="1"/>
  <c r="E1295" i="1"/>
  <c r="F1295" i="1"/>
  <c r="G1295" i="1"/>
  <c r="H1295" i="1"/>
  <c r="D1296" i="1"/>
  <c r="E1296" i="1"/>
  <c r="F1296" i="1"/>
  <c r="G1296" i="1"/>
  <c r="H1296" i="1"/>
  <c r="D1297" i="1"/>
  <c r="E1297" i="1"/>
  <c r="F1297" i="1"/>
  <c r="G1297" i="1"/>
  <c r="H1297" i="1"/>
  <c r="D1298" i="1"/>
  <c r="E1298" i="1"/>
  <c r="F1298" i="1"/>
  <c r="G1298" i="1"/>
  <c r="H1298" i="1"/>
  <c r="D1299" i="1"/>
  <c r="E1299" i="1"/>
  <c r="F1299" i="1"/>
  <c r="G1299" i="1"/>
  <c r="H1299" i="1"/>
  <c r="D1300" i="1"/>
  <c r="E1300" i="1"/>
  <c r="F1300" i="1"/>
  <c r="G1300" i="1"/>
  <c r="H1300" i="1"/>
  <c r="D1301" i="1"/>
  <c r="E1301" i="1"/>
  <c r="F1301" i="1"/>
  <c r="G1301" i="1"/>
  <c r="H1301" i="1"/>
  <c r="D1302" i="1"/>
  <c r="E1302" i="1"/>
  <c r="F1302" i="1"/>
  <c r="G1302" i="1"/>
  <c r="H1302" i="1"/>
  <c r="D1303" i="1"/>
  <c r="E1303" i="1"/>
  <c r="F1303" i="1"/>
  <c r="G1303" i="1"/>
  <c r="H1303" i="1"/>
  <c r="D1304" i="1"/>
  <c r="E1304" i="1"/>
  <c r="F1304" i="1"/>
  <c r="G1304" i="1"/>
  <c r="H1304" i="1"/>
  <c r="D1305" i="1"/>
  <c r="E1305" i="1"/>
  <c r="F1305" i="1"/>
  <c r="G1305" i="1"/>
  <c r="H1305" i="1"/>
  <c r="D1306" i="1"/>
  <c r="E1306" i="1"/>
  <c r="F1306" i="1"/>
  <c r="G1306" i="1"/>
  <c r="H1306" i="1"/>
  <c r="D1307" i="1"/>
  <c r="E1307" i="1"/>
  <c r="F1307" i="1"/>
  <c r="G1307" i="1"/>
  <c r="H1307" i="1"/>
  <c r="D1308" i="1"/>
  <c r="E1308" i="1"/>
  <c r="F1308" i="1"/>
  <c r="G1308" i="1"/>
  <c r="H1308" i="1"/>
  <c r="D1309" i="1"/>
  <c r="E1309" i="1"/>
  <c r="F1309" i="1"/>
  <c r="G1309" i="1"/>
  <c r="H1309" i="1"/>
  <c r="D1310" i="1"/>
  <c r="E1310" i="1"/>
  <c r="F1310" i="1"/>
  <c r="G1310" i="1"/>
  <c r="H1310" i="1"/>
  <c r="D1311" i="1"/>
  <c r="E1311" i="1"/>
  <c r="F1311" i="1"/>
  <c r="G1311" i="1"/>
  <c r="H1311" i="1"/>
  <c r="D1312" i="1"/>
  <c r="E1312" i="1"/>
  <c r="F1312" i="1"/>
  <c r="G1312" i="1"/>
  <c r="H1312" i="1"/>
  <c r="D1313" i="1"/>
  <c r="E1313" i="1"/>
  <c r="F1313" i="1"/>
  <c r="G1313" i="1"/>
  <c r="H1313" i="1"/>
  <c r="D1314" i="1"/>
  <c r="E1314" i="1"/>
  <c r="F1314" i="1"/>
  <c r="G1314" i="1"/>
  <c r="H1314" i="1"/>
  <c r="D1315" i="1"/>
  <c r="E1315" i="1"/>
  <c r="F1315" i="1"/>
  <c r="G1315" i="1"/>
  <c r="H1315" i="1"/>
  <c r="D1316" i="1"/>
  <c r="E1316" i="1"/>
  <c r="F1316" i="1"/>
  <c r="G1316" i="1"/>
  <c r="H1316" i="1"/>
  <c r="D1317" i="1"/>
  <c r="E1317" i="1"/>
  <c r="F1317" i="1"/>
  <c r="G1317" i="1"/>
  <c r="H1317" i="1"/>
  <c r="D1318" i="1"/>
  <c r="E1318" i="1"/>
  <c r="F1318" i="1"/>
  <c r="G1318" i="1"/>
  <c r="H1318" i="1"/>
  <c r="D1319" i="1"/>
  <c r="E1319" i="1"/>
  <c r="F1319" i="1"/>
  <c r="G1319" i="1"/>
  <c r="H1319" i="1"/>
  <c r="D1320" i="1"/>
  <c r="E1320" i="1"/>
  <c r="F1320" i="1"/>
  <c r="G1320" i="1"/>
  <c r="H1320" i="1"/>
  <c r="D1321" i="1"/>
  <c r="E1321" i="1"/>
  <c r="F1321" i="1"/>
  <c r="G1321" i="1"/>
  <c r="H1321" i="1"/>
  <c r="D1322" i="1"/>
  <c r="E1322" i="1"/>
  <c r="F1322" i="1"/>
  <c r="G1322" i="1"/>
  <c r="H1322" i="1"/>
  <c r="D1323" i="1"/>
  <c r="E1323" i="1"/>
  <c r="F1323" i="1"/>
  <c r="G1323" i="1"/>
  <c r="H1323" i="1"/>
  <c r="D1324" i="1"/>
  <c r="E1324" i="1"/>
  <c r="F1324" i="1"/>
  <c r="G1324" i="1"/>
  <c r="H1324" i="1"/>
  <c r="D1325" i="1"/>
  <c r="E1325" i="1"/>
  <c r="F1325" i="1"/>
  <c r="G1325" i="1"/>
  <c r="H1325" i="1"/>
  <c r="D1326" i="1"/>
  <c r="E1326" i="1"/>
  <c r="F1326" i="1"/>
  <c r="G1326" i="1"/>
  <c r="H1326" i="1"/>
  <c r="D1327" i="1"/>
  <c r="E1327" i="1"/>
  <c r="F1327" i="1"/>
  <c r="G1327" i="1"/>
  <c r="H1327" i="1"/>
  <c r="D1328" i="1"/>
  <c r="E1328" i="1"/>
  <c r="F1328" i="1"/>
  <c r="G1328" i="1"/>
  <c r="H1328" i="1"/>
  <c r="D1329" i="1"/>
  <c r="E1329" i="1"/>
  <c r="F1329" i="1"/>
  <c r="G1329" i="1"/>
  <c r="H1329" i="1"/>
  <c r="D1330" i="1"/>
  <c r="E1330" i="1"/>
  <c r="F1330" i="1"/>
  <c r="G1330" i="1"/>
  <c r="H1330" i="1"/>
  <c r="D1331" i="1"/>
  <c r="E1331" i="1"/>
  <c r="F1331" i="1"/>
  <c r="G1331" i="1"/>
  <c r="H1331" i="1"/>
  <c r="D1332" i="1"/>
  <c r="E1332" i="1"/>
  <c r="F1332" i="1"/>
  <c r="G1332" i="1"/>
  <c r="H1332" i="1"/>
  <c r="D1333" i="1"/>
  <c r="E1333" i="1"/>
  <c r="F1333" i="1"/>
  <c r="G1333" i="1"/>
  <c r="H1333" i="1"/>
  <c r="D1334" i="1"/>
  <c r="E1334" i="1"/>
  <c r="F1334" i="1"/>
  <c r="G1334" i="1"/>
  <c r="H1334" i="1"/>
  <c r="D1335" i="1"/>
  <c r="E1335" i="1"/>
  <c r="F1335" i="1"/>
  <c r="G1335" i="1"/>
  <c r="H1335" i="1"/>
  <c r="D1336" i="1"/>
  <c r="E1336" i="1"/>
  <c r="F1336" i="1"/>
  <c r="G1336" i="1"/>
  <c r="H1336" i="1"/>
  <c r="D1337" i="1"/>
  <c r="E1337" i="1"/>
  <c r="F1337" i="1"/>
  <c r="G1337" i="1"/>
  <c r="H1337" i="1"/>
  <c r="D1338" i="1"/>
  <c r="E1338" i="1"/>
  <c r="F1338" i="1"/>
  <c r="G1338" i="1"/>
  <c r="H1338" i="1"/>
  <c r="D1339" i="1"/>
  <c r="E1339" i="1"/>
  <c r="F1339" i="1"/>
  <c r="G1339" i="1"/>
  <c r="H1339" i="1"/>
  <c r="D1340" i="1"/>
  <c r="E1340" i="1"/>
  <c r="F1340" i="1"/>
  <c r="G1340" i="1"/>
  <c r="H1340" i="1"/>
  <c r="D1341" i="1"/>
  <c r="E1341" i="1"/>
  <c r="F1341" i="1"/>
  <c r="G1341" i="1"/>
  <c r="H1341" i="1"/>
  <c r="D1342" i="1"/>
  <c r="E1342" i="1"/>
  <c r="F1342" i="1"/>
  <c r="G1342" i="1"/>
  <c r="H1342" i="1"/>
  <c r="D1343" i="1"/>
  <c r="E1343" i="1"/>
  <c r="F1343" i="1"/>
  <c r="G1343" i="1"/>
  <c r="H1343" i="1"/>
  <c r="D1344" i="1"/>
  <c r="E1344" i="1"/>
  <c r="F1344" i="1"/>
  <c r="G1344" i="1"/>
  <c r="H1344" i="1"/>
  <c r="D1345" i="1"/>
  <c r="E1345" i="1"/>
  <c r="F1345" i="1"/>
  <c r="G1345" i="1"/>
  <c r="H1345" i="1"/>
  <c r="D1346" i="1"/>
  <c r="E1346" i="1"/>
  <c r="F1346" i="1"/>
  <c r="G1346" i="1"/>
  <c r="H1346" i="1"/>
  <c r="D1347" i="1"/>
  <c r="E1347" i="1"/>
  <c r="F1347" i="1"/>
  <c r="G1347" i="1"/>
  <c r="H1347" i="1"/>
  <c r="D1348" i="1"/>
  <c r="E1348" i="1"/>
  <c r="F1348" i="1"/>
  <c r="G1348" i="1"/>
  <c r="H1348" i="1"/>
  <c r="D1349" i="1"/>
  <c r="E1349" i="1"/>
  <c r="F1349" i="1"/>
  <c r="G1349" i="1"/>
  <c r="H1349" i="1"/>
  <c r="D1350" i="1"/>
  <c r="E1350" i="1"/>
  <c r="F1350" i="1"/>
  <c r="G1350" i="1"/>
  <c r="H1350" i="1"/>
  <c r="D1351" i="1"/>
  <c r="E1351" i="1"/>
  <c r="F1351" i="1"/>
  <c r="G1351" i="1"/>
  <c r="H1351" i="1"/>
  <c r="D1352" i="1"/>
  <c r="E1352" i="1"/>
  <c r="F1352" i="1"/>
  <c r="G1352" i="1"/>
  <c r="H1352" i="1"/>
  <c r="D1353" i="1"/>
  <c r="E1353" i="1"/>
  <c r="F1353" i="1"/>
  <c r="G1353" i="1"/>
  <c r="H1353" i="1"/>
  <c r="D1354" i="1"/>
  <c r="E1354" i="1"/>
  <c r="F1354" i="1"/>
  <c r="G1354" i="1"/>
  <c r="H1354" i="1"/>
  <c r="D1355" i="1"/>
  <c r="E1355" i="1"/>
  <c r="F1355" i="1"/>
  <c r="G1355" i="1"/>
  <c r="H1355" i="1"/>
  <c r="D1356" i="1"/>
  <c r="E1356" i="1"/>
  <c r="F1356" i="1"/>
  <c r="G1356" i="1"/>
  <c r="H1356" i="1"/>
  <c r="D1357" i="1"/>
  <c r="E1357" i="1"/>
  <c r="F1357" i="1"/>
  <c r="G1357" i="1"/>
  <c r="H1357" i="1"/>
  <c r="D1358" i="1"/>
  <c r="E1358" i="1"/>
  <c r="F1358" i="1"/>
  <c r="G1358" i="1"/>
  <c r="H1358" i="1"/>
  <c r="D1359" i="1"/>
  <c r="E1359" i="1"/>
  <c r="F1359" i="1"/>
  <c r="G1359" i="1"/>
  <c r="H1359" i="1"/>
  <c r="D1360" i="1"/>
  <c r="E1360" i="1"/>
  <c r="F1360" i="1"/>
  <c r="G1360" i="1"/>
  <c r="H1360" i="1"/>
  <c r="D1361" i="1"/>
  <c r="E1361" i="1"/>
  <c r="F1361" i="1"/>
  <c r="G1361" i="1"/>
  <c r="H1361" i="1"/>
  <c r="D1362" i="1"/>
  <c r="E1362" i="1"/>
  <c r="F1362" i="1"/>
  <c r="G1362" i="1"/>
  <c r="H1362" i="1"/>
  <c r="D1363" i="1"/>
  <c r="E1363" i="1"/>
  <c r="F1363" i="1"/>
  <c r="G1363" i="1"/>
  <c r="H1363" i="1"/>
  <c r="D1364" i="1"/>
  <c r="E1364" i="1"/>
  <c r="F1364" i="1"/>
  <c r="G1364" i="1"/>
  <c r="H1364" i="1"/>
  <c r="D1365" i="1"/>
  <c r="E1365" i="1"/>
  <c r="F1365" i="1"/>
  <c r="G1365" i="1"/>
  <c r="H1365" i="1"/>
  <c r="D1366" i="1"/>
  <c r="E1366" i="1"/>
  <c r="F1366" i="1"/>
  <c r="G1366" i="1"/>
  <c r="H1366" i="1"/>
  <c r="D1367" i="1"/>
  <c r="E1367" i="1"/>
  <c r="F1367" i="1"/>
  <c r="G1367" i="1"/>
  <c r="H1367" i="1"/>
  <c r="D1368" i="1"/>
  <c r="E1368" i="1"/>
  <c r="F1368" i="1"/>
  <c r="G1368" i="1"/>
  <c r="H1368" i="1"/>
  <c r="D1369" i="1"/>
  <c r="E1369" i="1"/>
  <c r="F1369" i="1"/>
  <c r="G1369" i="1"/>
  <c r="H1369" i="1"/>
  <c r="D1370" i="1"/>
  <c r="E1370" i="1"/>
  <c r="F1370" i="1"/>
  <c r="G1370" i="1"/>
  <c r="H1370" i="1"/>
  <c r="D1371" i="1"/>
  <c r="E1371" i="1"/>
  <c r="F1371" i="1"/>
  <c r="G1371" i="1"/>
  <c r="H1371" i="1"/>
  <c r="D1372" i="1"/>
  <c r="E1372" i="1"/>
  <c r="F1372" i="1"/>
  <c r="G1372" i="1"/>
  <c r="H1372" i="1"/>
  <c r="D1373" i="1"/>
  <c r="E1373" i="1"/>
  <c r="F1373" i="1"/>
  <c r="G1373" i="1"/>
  <c r="H1373" i="1"/>
  <c r="D1374" i="1"/>
  <c r="E1374" i="1"/>
  <c r="F1374" i="1"/>
  <c r="G1374" i="1"/>
  <c r="H1374" i="1"/>
  <c r="D1375" i="1"/>
  <c r="E1375" i="1"/>
  <c r="F1375" i="1"/>
  <c r="G1375" i="1"/>
  <c r="H1375" i="1"/>
  <c r="D1376" i="1"/>
  <c r="E1376" i="1"/>
  <c r="F1376" i="1"/>
  <c r="G1376" i="1"/>
  <c r="H1376" i="1"/>
  <c r="D1377" i="1"/>
  <c r="E1377" i="1"/>
  <c r="F1377" i="1"/>
  <c r="G1377" i="1"/>
  <c r="H1377" i="1"/>
  <c r="D1378" i="1"/>
  <c r="E1378" i="1"/>
  <c r="F1378" i="1"/>
  <c r="G1378" i="1"/>
  <c r="H1378" i="1"/>
  <c r="D1379" i="1"/>
  <c r="E1379" i="1"/>
  <c r="F1379" i="1"/>
  <c r="G1379" i="1"/>
  <c r="H1379" i="1"/>
  <c r="D1380" i="1"/>
  <c r="E1380" i="1"/>
  <c r="F1380" i="1"/>
  <c r="G1380" i="1"/>
  <c r="H1380" i="1"/>
  <c r="D1381" i="1"/>
  <c r="E1381" i="1"/>
  <c r="F1381" i="1"/>
  <c r="G1381" i="1"/>
  <c r="H1381" i="1"/>
  <c r="D1382" i="1"/>
  <c r="E1382" i="1"/>
  <c r="F1382" i="1"/>
  <c r="G1382" i="1"/>
  <c r="H1382" i="1"/>
  <c r="D1383" i="1"/>
  <c r="E1383" i="1"/>
  <c r="F1383" i="1"/>
  <c r="G1383" i="1"/>
  <c r="H1383" i="1"/>
  <c r="D1384" i="1"/>
  <c r="E1384" i="1"/>
  <c r="F1384" i="1"/>
  <c r="G1384" i="1"/>
  <c r="H1384" i="1"/>
  <c r="D1385" i="1"/>
  <c r="E1385" i="1"/>
  <c r="F1385" i="1"/>
  <c r="G1385" i="1"/>
  <c r="H1385" i="1"/>
  <c r="D1386" i="1"/>
  <c r="E1386" i="1"/>
  <c r="F1386" i="1"/>
  <c r="G1386" i="1"/>
  <c r="H1386" i="1"/>
  <c r="D1387" i="1"/>
  <c r="E1387" i="1"/>
  <c r="F1387" i="1"/>
  <c r="G1387" i="1"/>
  <c r="H1387" i="1"/>
  <c r="D1388" i="1"/>
  <c r="E1388" i="1"/>
  <c r="F1388" i="1"/>
  <c r="G1388" i="1"/>
  <c r="H1388" i="1"/>
  <c r="D1389" i="1"/>
  <c r="E1389" i="1"/>
  <c r="F1389" i="1"/>
  <c r="G1389" i="1"/>
  <c r="H1389" i="1"/>
  <c r="D1390" i="1"/>
  <c r="E1390" i="1"/>
  <c r="F1390" i="1"/>
  <c r="G1390" i="1"/>
  <c r="H1390" i="1"/>
  <c r="D1391" i="1"/>
  <c r="E1391" i="1"/>
  <c r="F1391" i="1"/>
  <c r="G1391" i="1"/>
  <c r="H1391" i="1"/>
  <c r="D1392" i="1"/>
  <c r="E1392" i="1"/>
  <c r="F1392" i="1"/>
  <c r="G1392" i="1"/>
  <c r="H1392" i="1"/>
  <c r="D1393" i="1"/>
  <c r="E1393" i="1"/>
  <c r="F1393" i="1"/>
  <c r="G1393" i="1"/>
  <c r="H1393" i="1"/>
  <c r="D1394" i="1"/>
  <c r="E1394" i="1"/>
  <c r="F1394" i="1"/>
  <c r="G1394" i="1"/>
  <c r="H1394" i="1"/>
  <c r="D1395" i="1"/>
  <c r="E1395" i="1"/>
  <c r="F1395" i="1"/>
  <c r="G1395" i="1"/>
  <c r="H1395" i="1"/>
  <c r="D1396" i="1"/>
  <c r="E1396" i="1"/>
  <c r="F1396" i="1"/>
  <c r="G1396" i="1"/>
  <c r="H1396" i="1"/>
  <c r="D1397" i="1"/>
  <c r="E1397" i="1"/>
  <c r="F1397" i="1"/>
  <c r="G1397" i="1"/>
  <c r="H1397" i="1"/>
  <c r="D1398" i="1"/>
  <c r="E1398" i="1"/>
  <c r="F1398" i="1"/>
  <c r="G1398" i="1"/>
  <c r="H1398" i="1"/>
  <c r="D1399" i="1"/>
  <c r="E1399" i="1"/>
  <c r="F1399" i="1"/>
  <c r="G1399" i="1"/>
  <c r="H1399" i="1"/>
  <c r="D1400" i="1"/>
  <c r="E1400" i="1"/>
  <c r="F1400" i="1"/>
  <c r="G1400" i="1"/>
  <c r="H1400" i="1"/>
  <c r="D1401" i="1"/>
  <c r="E1401" i="1"/>
  <c r="F1401" i="1"/>
  <c r="G1401" i="1"/>
  <c r="H1401" i="1"/>
  <c r="D1402" i="1"/>
  <c r="E1402" i="1"/>
  <c r="F1402" i="1"/>
  <c r="G1402" i="1"/>
  <c r="H1402" i="1"/>
  <c r="D1403" i="1"/>
  <c r="E1403" i="1"/>
  <c r="F1403" i="1"/>
  <c r="G1403" i="1"/>
  <c r="H1403" i="1"/>
  <c r="D1404" i="1"/>
  <c r="E1404" i="1"/>
  <c r="F1404" i="1"/>
  <c r="G1404" i="1"/>
  <c r="H1404" i="1"/>
  <c r="D1405" i="1"/>
  <c r="E1405" i="1"/>
  <c r="F1405" i="1"/>
  <c r="G1405" i="1"/>
  <c r="H1405" i="1"/>
  <c r="D1406" i="1"/>
  <c r="E1406" i="1"/>
  <c r="F1406" i="1"/>
  <c r="G1406" i="1"/>
  <c r="H1406" i="1"/>
  <c r="D1407" i="1"/>
  <c r="E1407" i="1"/>
  <c r="F1407" i="1"/>
  <c r="G1407" i="1"/>
  <c r="H1407" i="1"/>
  <c r="D1408" i="1"/>
  <c r="E1408" i="1"/>
  <c r="F1408" i="1"/>
  <c r="G1408" i="1"/>
  <c r="H1408" i="1"/>
  <c r="D1409" i="1"/>
  <c r="E1409" i="1"/>
  <c r="F1409" i="1"/>
  <c r="G1409" i="1"/>
  <c r="H1409" i="1"/>
  <c r="D1410" i="1"/>
  <c r="E1410" i="1"/>
  <c r="F1410" i="1"/>
  <c r="G1410" i="1"/>
  <c r="H1410" i="1"/>
  <c r="D1411" i="1"/>
  <c r="E1411" i="1"/>
  <c r="F1411" i="1"/>
  <c r="G1411" i="1"/>
  <c r="H1411" i="1"/>
  <c r="D1412" i="1"/>
  <c r="E1412" i="1"/>
  <c r="F1412" i="1"/>
  <c r="G1412" i="1"/>
  <c r="H1412" i="1"/>
  <c r="D1413" i="1"/>
  <c r="E1413" i="1"/>
  <c r="F1413" i="1"/>
  <c r="G1413" i="1"/>
  <c r="H1413" i="1"/>
  <c r="D1414" i="1"/>
  <c r="E1414" i="1"/>
  <c r="F1414" i="1"/>
  <c r="G1414" i="1"/>
  <c r="H1414" i="1"/>
  <c r="D1415" i="1"/>
  <c r="E1415" i="1"/>
  <c r="F1415" i="1"/>
  <c r="G1415" i="1"/>
  <c r="H1415" i="1"/>
  <c r="D1416" i="1"/>
  <c r="E1416" i="1"/>
  <c r="F1416" i="1"/>
  <c r="G1416" i="1"/>
  <c r="H1416" i="1"/>
  <c r="D1417" i="1"/>
  <c r="E1417" i="1"/>
  <c r="F1417" i="1"/>
  <c r="G1417" i="1"/>
  <c r="H1417" i="1"/>
  <c r="D1418" i="1"/>
  <c r="E1418" i="1"/>
  <c r="F1418" i="1"/>
  <c r="G1418" i="1"/>
  <c r="H1418" i="1"/>
  <c r="D1419" i="1"/>
  <c r="E1419" i="1"/>
  <c r="F1419" i="1"/>
  <c r="G1419" i="1"/>
  <c r="H1419" i="1"/>
  <c r="D1420" i="1"/>
  <c r="E1420" i="1"/>
  <c r="F1420" i="1"/>
  <c r="G1420" i="1"/>
  <c r="H1420" i="1"/>
  <c r="D1421" i="1"/>
  <c r="E1421" i="1"/>
  <c r="F1421" i="1"/>
  <c r="G1421" i="1"/>
  <c r="H1421" i="1"/>
  <c r="D1422" i="1"/>
  <c r="E1422" i="1"/>
  <c r="F1422" i="1"/>
  <c r="G1422" i="1"/>
  <c r="H1422" i="1"/>
  <c r="D1423" i="1"/>
  <c r="E1423" i="1"/>
  <c r="F1423" i="1"/>
  <c r="G1423" i="1"/>
  <c r="H1423" i="1"/>
  <c r="D1424" i="1"/>
  <c r="E1424" i="1"/>
  <c r="F1424" i="1"/>
  <c r="G1424" i="1"/>
  <c r="H1424" i="1"/>
  <c r="D1425" i="1"/>
  <c r="E1425" i="1"/>
  <c r="F1425" i="1"/>
  <c r="G1425" i="1"/>
  <c r="H1425" i="1"/>
  <c r="D1426" i="1"/>
  <c r="E1426" i="1"/>
  <c r="F1426" i="1"/>
  <c r="G1426" i="1"/>
  <c r="H1426" i="1"/>
  <c r="D1427" i="1"/>
  <c r="E1427" i="1"/>
  <c r="F1427" i="1"/>
  <c r="G1427" i="1"/>
  <c r="H1427" i="1"/>
  <c r="D1428" i="1"/>
  <c r="E1428" i="1"/>
  <c r="F1428" i="1"/>
  <c r="G1428" i="1"/>
  <c r="H1428" i="1"/>
  <c r="D1429" i="1"/>
  <c r="E1429" i="1"/>
  <c r="F1429" i="1"/>
  <c r="G1429" i="1"/>
  <c r="H1429" i="1"/>
  <c r="D1430" i="1"/>
  <c r="E1430" i="1"/>
  <c r="F1430" i="1"/>
  <c r="G1430" i="1"/>
  <c r="H1430" i="1"/>
  <c r="D1431" i="1"/>
  <c r="E1431" i="1"/>
  <c r="F1431" i="1"/>
  <c r="G1431" i="1"/>
  <c r="H1431" i="1"/>
  <c r="D1432" i="1"/>
  <c r="E1432" i="1"/>
  <c r="F1432" i="1"/>
  <c r="G1432" i="1"/>
  <c r="H1432" i="1"/>
  <c r="D1433" i="1"/>
  <c r="E1433" i="1"/>
  <c r="F1433" i="1"/>
  <c r="G1433" i="1"/>
  <c r="H1433" i="1"/>
  <c r="D1434" i="1"/>
  <c r="E1434" i="1"/>
  <c r="F1434" i="1"/>
  <c r="G1434" i="1"/>
  <c r="H1434" i="1"/>
  <c r="D1435" i="1"/>
  <c r="E1435" i="1"/>
  <c r="F1435" i="1"/>
  <c r="G1435" i="1"/>
  <c r="H1435" i="1"/>
  <c r="D1436" i="1"/>
  <c r="E1436" i="1"/>
  <c r="F1436" i="1"/>
  <c r="G1436" i="1"/>
  <c r="H1436" i="1"/>
  <c r="D1437" i="1"/>
  <c r="E1437" i="1"/>
  <c r="F1437" i="1"/>
  <c r="G1437" i="1"/>
  <c r="H1437" i="1"/>
  <c r="D1438" i="1"/>
  <c r="E1438" i="1"/>
  <c r="F1438" i="1"/>
  <c r="G1438" i="1"/>
  <c r="H1438" i="1"/>
  <c r="D1439" i="1"/>
  <c r="E1439" i="1"/>
  <c r="F1439" i="1"/>
  <c r="G1439" i="1"/>
  <c r="H1439" i="1"/>
  <c r="D1440" i="1"/>
  <c r="E1440" i="1"/>
  <c r="F1440" i="1"/>
  <c r="G1440" i="1"/>
  <c r="H1440" i="1"/>
  <c r="D1441" i="1"/>
  <c r="E1441" i="1"/>
  <c r="F1441" i="1"/>
  <c r="G1441" i="1"/>
  <c r="H1441" i="1"/>
  <c r="D1442" i="1"/>
  <c r="E1442" i="1"/>
  <c r="F1442" i="1"/>
  <c r="G1442" i="1"/>
  <c r="H1442" i="1"/>
  <c r="D1443" i="1"/>
  <c r="E1443" i="1"/>
  <c r="F1443" i="1"/>
  <c r="G1443" i="1"/>
  <c r="H1443" i="1"/>
  <c r="D1444" i="1"/>
  <c r="E1444" i="1"/>
  <c r="F1444" i="1"/>
  <c r="G1444" i="1"/>
  <c r="H1444" i="1"/>
  <c r="D1445" i="1"/>
  <c r="E1445" i="1"/>
  <c r="F1445" i="1"/>
  <c r="G1445" i="1"/>
  <c r="H1445" i="1"/>
  <c r="D1446" i="1"/>
  <c r="E1446" i="1"/>
  <c r="F1446" i="1"/>
  <c r="G1446" i="1"/>
  <c r="H1446" i="1"/>
  <c r="D1447" i="1"/>
  <c r="E1447" i="1"/>
  <c r="F1447" i="1"/>
  <c r="G1447" i="1"/>
  <c r="H1447" i="1"/>
  <c r="D1448" i="1"/>
  <c r="E1448" i="1"/>
  <c r="F1448" i="1"/>
  <c r="G1448" i="1"/>
  <c r="H1448" i="1"/>
  <c r="D1449" i="1"/>
  <c r="E1449" i="1"/>
  <c r="F1449" i="1"/>
  <c r="G1449" i="1"/>
  <c r="H1449" i="1"/>
  <c r="D1450" i="1"/>
  <c r="E1450" i="1"/>
  <c r="F1450" i="1"/>
  <c r="G1450" i="1"/>
  <c r="H1450" i="1"/>
  <c r="D1451" i="1"/>
  <c r="E1451" i="1"/>
  <c r="F1451" i="1"/>
  <c r="G1451" i="1"/>
  <c r="H1451" i="1"/>
  <c r="D1452" i="1"/>
  <c r="E1452" i="1"/>
  <c r="F1452" i="1"/>
  <c r="G1452" i="1"/>
  <c r="H1452" i="1"/>
  <c r="D1453" i="1"/>
  <c r="E1453" i="1"/>
  <c r="F1453" i="1"/>
  <c r="G1453" i="1"/>
  <c r="H1453" i="1"/>
  <c r="D1454" i="1"/>
  <c r="E1454" i="1"/>
  <c r="F1454" i="1"/>
  <c r="G1454" i="1"/>
  <c r="H1454" i="1"/>
  <c r="D1455" i="1"/>
  <c r="E1455" i="1"/>
  <c r="F1455" i="1"/>
  <c r="G1455" i="1"/>
  <c r="H1455" i="1"/>
  <c r="D1456" i="1"/>
  <c r="E1456" i="1"/>
  <c r="F1456" i="1"/>
  <c r="G1456" i="1"/>
  <c r="H1456" i="1"/>
  <c r="D1457" i="1"/>
  <c r="E1457" i="1"/>
  <c r="F1457" i="1"/>
  <c r="G1457" i="1"/>
  <c r="H1457" i="1"/>
  <c r="D1458" i="1"/>
  <c r="E1458" i="1"/>
  <c r="F1458" i="1"/>
  <c r="G1458" i="1"/>
  <c r="H1458" i="1"/>
  <c r="D1459" i="1"/>
  <c r="E1459" i="1"/>
  <c r="F1459" i="1"/>
  <c r="G1459" i="1"/>
  <c r="H1459" i="1"/>
  <c r="D1460" i="1"/>
  <c r="E1460" i="1"/>
  <c r="F1460" i="1"/>
  <c r="G1460" i="1"/>
  <c r="H1460" i="1"/>
  <c r="D1461" i="1"/>
  <c r="E1461" i="1"/>
  <c r="F1461" i="1"/>
  <c r="G1461" i="1"/>
  <c r="H1461" i="1"/>
  <c r="D1462" i="1"/>
  <c r="E1462" i="1"/>
  <c r="F1462" i="1"/>
  <c r="G1462" i="1"/>
  <c r="H1462" i="1"/>
  <c r="D1463" i="1"/>
  <c r="E1463" i="1"/>
  <c r="F1463" i="1"/>
  <c r="G1463" i="1"/>
  <c r="H1463" i="1"/>
  <c r="D1464" i="1"/>
  <c r="E1464" i="1"/>
  <c r="F1464" i="1"/>
  <c r="G1464" i="1"/>
  <c r="H1464" i="1"/>
  <c r="D1465" i="1"/>
  <c r="E1465" i="1"/>
  <c r="F1465" i="1"/>
  <c r="G1465" i="1"/>
  <c r="H1465" i="1"/>
  <c r="D1466" i="1"/>
  <c r="E1466" i="1"/>
  <c r="F1466" i="1"/>
  <c r="G1466" i="1"/>
  <c r="H1466" i="1"/>
  <c r="D1467" i="1"/>
  <c r="E1467" i="1"/>
  <c r="F1467" i="1"/>
  <c r="G1467" i="1"/>
  <c r="H1467" i="1"/>
  <c r="D1468" i="1"/>
  <c r="E1468" i="1"/>
  <c r="F1468" i="1"/>
  <c r="G1468" i="1"/>
  <c r="H1468" i="1"/>
  <c r="D1469" i="1"/>
  <c r="E1469" i="1"/>
  <c r="F1469" i="1"/>
  <c r="G1469" i="1"/>
  <c r="H1469" i="1"/>
  <c r="D1470" i="1"/>
  <c r="E1470" i="1"/>
  <c r="F1470" i="1"/>
  <c r="G1470" i="1"/>
  <c r="H1470" i="1"/>
  <c r="D1471" i="1"/>
  <c r="E1471" i="1"/>
  <c r="F1471" i="1"/>
  <c r="G1471" i="1"/>
  <c r="H1471" i="1"/>
  <c r="D1472" i="1"/>
  <c r="E1472" i="1"/>
  <c r="F1472" i="1"/>
  <c r="G1472" i="1"/>
  <c r="H1472" i="1"/>
  <c r="D1473" i="1"/>
  <c r="E1473" i="1"/>
  <c r="F1473" i="1"/>
  <c r="G1473" i="1"/>
  <c r="H1473" i="1"/>
  <c r="D1474" i="1"/>
  <c r="E1474" i="1"/>
  <c r="F1474" i="1"/>
  <c r="G1474" i="1"/>
  <c r="H1474" i="1"/>
  <c r="D1475" i="1"/>
  <c r="E1475" i="1"/>
  <c r="F1475" i="1"/>
  <c r="G1475" i="1"/>
  <c r="H1475" i="1"/>
  <c r="D1476" i="1"/>
  <c r="E1476" i="1"/>
  <c r="F1476" i="1"/>
  <c r="G1476" i="1"/>
  <c r="H1476" i="1"/>
  <c r="D1477" i="1"/>
  <c r="E1477" i="1"/>
  <c r="F1477" i="1"/>
  <c r="G1477" i="1"/>
  <c r="H1477" i="1"/>
  <c r="D1478" i="1"/>
  <c r="E1478" i="1"/>
  <c r="F1478" i="1"/>
  <c r="G1478" i="1"/>
  <c r="H1478" i="1"/>
  <c r="D1479" i="1"/>
  <c r="E1479" i="1"/>
  <c r="F1479" i="1"/>
  <c r="G1479" i="1"/>
  <c r="H1479" i="1"/>
  <c r="D1480" i="1"/>
  <c r="E1480" i="1"/>
  <c r="F1480" i="1"/>
  <c r="G1480" i="1"/>
  <c r="H1480" i="1"/>
  <c r="D1481" i="1"/>
  <c r="E1481" i="1"/>
  <c r="F1481" i="1"/>
  <c r="G1481" i="1"/>
  <c r="H1481" i="1"/>
  <c r="D1482" i="1"/>
  <c r="E1482" i="1"/>
  <c r="F1482" i="1"/>
  <c r="G1482" i="1"/>
  <c r="H1482" i="1"/>
  <c r="D1483" i="1"/>
  <c r="E1483" i="1"/>
  <c r="F1483" i="1"/>
  <c r="G1483" i="1"/>
  <c r="H1483" i="1"/>
  <c r="D1484" i="1"/>
  <c r="E1484" i="1"/>
  <c r="F1484" i="1"/>
  <c r="G1484" i="1"/>
  <c r="H1484" i="1"/>
  <c r="D1485" i="1"/>
  <c r="E1485" i="1"/>
  <c r="F1485" i="1"/>
  <c r="G1485" i="1"/>
  <c r="H1485" i="1"/>
  <c r="D1486" i="1"/>
  <c r="E1486" i="1"/>
  <c r="F1486" i="1"/>
  <c r="G1486" i="1"/>
  <c r="H1486" i="1"/>
  <c r="D1487" i="1"/>
  <c r="E1487" i="1"/>
  <c r="F1487" i="1"/>
  <c r="G1487" i="1"/>
  <c r="H1487" i="1"/>
  <c r="D1488" i="1"/>
  <c r="E1488" i="1"/>
  <c r="F1488" i="1"/>
  <c r="G1488" i="1"/>
  <c r="H1488" i="1"/>
  <c r="D1489" i="1"/>
  <c r="E1489" i="1"/>
  <c r="F1489" i="1"/>
  <c r="G1489" i="1"/>
  <c r="H1489" i="1"/>
  <c r="D1490" i="1"/>
  <c r="E1490" i="1"/>
  <c r="F1490" i="1"/>
  <c r="G1490" i="1"/>
  <c r="H1490" i="1"/>
  <c r="D1491" i="1"/>
  <c r="E1491" i="1"/>
  <c r="F1491" i="1"/>
  <c r="G1491" i="1"/>
  <c r="H1491" i="1"/>
  <c r="D1492" i="1"/>
  <c r="E1492" i="1"/>
  <c r="F1492" i="1"/>
  <c r="G1492" i="1"/>
  <c r="H1492" i="1"/>
  <c r="D1493" i="1"/>
  <c r="E1493" i="1"/>
  <c r="F1493" i="1"/>
  <c r="G1493" i="1"/>
  <c r="H1493" i="1"/>
  <c r="D1494" i="1"/>
  <c r="E1494" i="1"/>
  <c r="F1494" i="1"/>
  <c r="G1494" i="1"/>
  <c r="H1494" i="1"/>
  <c r="D1495" i="1"/>
  <c r="E1495" i="1"/>
  <c r="F1495" i="1"/>
  <c r="G1495" i="1"/>
  <c r="H1495" i="1"/>
  <c r="D1496" i="1"/>
  <c r="E1496" i="1"/>
  <c r="F1496" i="1"/>
  <c r="G1496" i="1"/>
  <c r="H1496" i="1"/>
  <c r="D1497" i="1"/>
  <c r="E1497" i="1"/>
  <c r="F1497" i="1"/>
  <c r="G1497" i="1"/>
  <c r="H1497" i="1"/>
  <c r="D1498" i="1"/>
  <c r="E1498" i="1"/>
  <c r="F1498" i="1"/>
  <c r="G1498" i="1"/>
  <c r="H1498" i="1"/>
  <c r="D1499" i="1"/>
  <c r="E1499" i="1"/>
  <c r="F1499" i="1"/>
  <c r="G1499" i="1"/>
  <c r="H1499" i="1"/>
  <c r="D1500" i="1"/>
  <c r="E1500" i="1"/>
  <c r="F1500" i="1"/>
  <c r="G1500" i="1"/>
  <c r="H1500" i="1"/>
  <c r="D1501" i="1"/>
  <c r="E1501" i="1"/>
  <c r="F1501" i="1"/>
  <c r="G1501" i="1"/>
  <c r="H1501" i="1"/>
  <c r="D1502" i="1"/>
  <c r="E1502" i="1"/>
  <c r="F1502" i="1"/>
  <c r="G1502" i="1"/>
  <c r="H1502" i="1"/>
  <c r="D1503" i="1"/>
  <c r="E1503" i="1"/>
  <c r="F1503" i="1"/>
  <c r="G1503" i="1"/>
  <c r="H1503" i="1"/>
  <c r="D1504" i="1"/>
  <c r="E1504" i="1"/>
  <c r="F1504" i="1"/>
  <c r="G1504" i="1"/>
  <c r="H1504" i="1"/>
  <c r="D1505" i="1"/>
  <c r="E1505" i="1"/>
  <c r="F1505" i="1"/>
  <c r="G1505" i="1"/>
  <c r="H1505" i="1"/>
  <c r="D1506" i="1"/>
  <c r="E1506" i="1"/>
  <c r="F1506" i="1"/>
  <c r="G1506" i="1"/>
  <c r="H1506" i="1"/>
  <c r="D1507" i="1"/>
  <c r="E1507" i="1"/>
  <c r="F1507" i="1"/>
  <c r="G1507" i="1"/>
  <c r="H1507" i="1"/>
  <c r="D1508" i="1"/>
  <c r="E1508" i="1"/>
  <c r="F1508" i="1"/>
  <c r="G1508" i="1"/>
  <c r="H1508" i="1"/>
  <c r="D1509" i="1"/>
  <c r="E1509" i="1"/>
  <c r="F1509" i="1"/>
  <c r="G1509" i="1"/>
  <c r="H1509" i="1"/>
  <c r="D1510" i="1"/>
  <c r="E1510" i="1"/>
  <c r="F1510" i="1"/>
  <c r="G1510" i="1"/>
  <c r="H1510" i="1"/>
  <c r="D1511" i="1"/>
  <c r="E1511" i="1"/>
  <c r="F1511" i="1"/>
  <c r="G1511" i="1"/>
  <c r="H1511" i="1"/>
  <c r="D1512" i="1"/>
  <c r="E1512" i="1"/>
  <c r="F1512" i="1"/>
  <c r="G1512" i="1"/>
  <c r="H1512" i="1"/>
  <c r="D1513" i="1"/>
  <c r="E1513" i="1"/>
  <c r="F1513" i="1"/>
  <c r="G1513" i="1"/>
  <c r="H1513" i="1"/>
  <c r="D1514" i="1"/>
  <c r="E1514" i="1"/>
  <c r="F1514" i="1"/>
  <c r="G1514" i="1"/>
  <c r="H1514" i="1"/>
  <c r="D1515" i="1"/>
  <c r="E1515" i="1"/>
  <c r="F1515" i="1"/>
  <c r="G1515" i="1"/>
  <c r="H1515" i="1"/>
  <c r="D1516" i="1"/>
  <c r="E1516" i="1"/>
  <c r="F1516" i="1"/>
  <c r="G1516" i="1"/>
  <c r="H1516" i="1"/>
  <c r="D1517" i="1"/>
  <c r="E1517" i="1"/>
  <c r="F1517" i="1"/>
  <c r="G1517" i="1"/>
  <c r="H1517" i="1"/>
  <c r="D1518" i="1"/>
  <c r="E1518" i="1"/>
  <c r="F1518" i="1"/>
  <c r="G1518" i="1"/>
  <c r="H1518" i="1"/>
  <c r="D1519" i="1"/>
  <c r="E1519" i="1"/>
  <c r="F1519" i="1"/>
  <c r="G1519" i="1"/>
  <c r="H1519" i="1"/>
  <c r="D1520" i="1"/>
  <c r="E1520" i="1"/>
  <c r="F1520" i="1"/>
  <c r="G1520" i="1"/>
  <c r="H1520" i="1"/>
  <c r="D1521" i="1"/>
  <c r="E1521" i="1"/>
  <c r="F1521" i="1"/>
  <c r="G1521" i="1"/>
  <c r="H1521" i="1"/>
  <c r="D1522" i="1"/>
  <c r="E1522" i="1"/>
  <c r="F1522" i="1"/>
  <c r="G1522" i="1"/>
  <c r="H1522" i="1"/>
  <c r="D1523" i="1"/>
  <c r="E1523" i="1"/>
  <c r="F1523" i="1"/>
  <c r="G1523" i="1"/>
  <c r="H1523" i="1"/>
  <c r="D1524" i="1"/>
  <c r="E1524" i="1"/>
  <c r="F1524" i="1"/>
  <c r="G1524" i="1"/>
  <c r="H1524" i="1"/>
  <c r="D1525" i="1"/>
  <c r="E1525" i="1"/>
  <c r="F1525" i="1"/>
  <c r="G1525" i="1"/>
  <c r="H1525" i="1"/>
  <c r="D1526" i="1"/>
  <c r="E1526" i="1"/>
  <c r="F1526" i="1"/>
  <c r="G1526" i="1"/>
  <c r="H1526" i="1"/>
  <c r="D1527" i="1"/>
  <c r="E1527" i="1"/>
  <c r="F1527" i="1"/>
  <c r="G1527" i="1"/>
  <c r="H1527" i="1"/>
  <c r="D1528" i="1"/>
  <c r="E1528" i="1"/>
  <c r="F1528" i="1"/>
  <c r="G1528" i="1"/>
  <c r="H1528" i="1"/>
  <c r="D1529" i="1"/>
  <c r="E1529" i="1"/>
  <c r="F1529" i="1"/>
  <c r="G1529" i="1"/>
  <c r="H1529" i="1"/>
  <c r="D1530" i="1"/>
  <c r="E1530" i="1"/>
  <c r="F1530" i="1"/>
  <c r="G1530" i="1"/>
  <c r="H1530" i="1"/>
  <c r="D1531" i="1"/>
  <c r="E1531" i="1"/>
  <c r="F1531" i="1"/>
  <c r="G1531" i="1"/>
  <c r="H1531" i="1"/>
  <c r="D1532" i="1"/>
  <c r="E1532" i="1"/>
  <c r="F1532" i="1"/>
  <c r="G1532" i="1"/>
  <c r="H1532" i="1"/>
  <c r="D1533" i="1"/>
  <c r="E1533" i="1"/>
  <c r="F1533" i="1"/>
  <c r="G1533" i="1"/>
  <c r="H1533" i="1"/>
  <c r="D1534" i="1"/>
  <c r="E1534" i="1"/>
  <c r="F1534" i="1"/>
  <c r="G1534" i="1"/>
  <c r="H1534" i="1"/>
  <c r="D1535" i="1"/>
  <c r="E1535" i="1"/>
  <c r="F1535" i="1"/>
  <c r="G1535" i="1"/>
  <c r="H1535" i="1"/>
  <c r="D1536" i="1"/>
  <c r="E1536" i="1"/>
  <c r="F1536" i="1"/>
  <c r="G1536" i="1"/>
  <c r="H1536" i="1"/>
  <c r="D1537" i="1"/>
  <c r="E1537" i="1"/>
  <c r="F1537" i="1"/>
  <c r="G1537" i="1"/>
  <c r="H1537" i="1"/>
  <c r="D1538" i="1"/>
  <c r="E1538" i="1"/>
  <c r="F1538" i="1"/>
  <c r="G1538" i="1"/>
  <c r="H1538" i="1"/>
  <c r="D1539" i="1"/>
  <c r="E1539" i="1"/>
  <c r="F1539" i="1"/>
  <c r="G1539" i="1"/>
  <c r="H1539" i="1"/>
  <c r="D1540" i="1"/>
  <c r="E1540" i="1"/>
  <c r="F1540" i="1"/>
  <c r="G1540" i="1"/>
  <c r="H1540" i="1"/>
  <c r="D1541" i="1"/>
  <c r="E1541" i="1"/>
  <c r="F1541" i="1"/>
  <c r="G1541" i="1"/>
  <c r="H1541" i="1"/>
  <c r="D1542" i="1"/>
  <c r="E1542" i="1"/>
  <c r="F1542" i="1"/>
  <c r="G1542" i="1"/>
  <c r="H1542" i="1"/>
  <c r="D1543" i="1"/>
  <c r="E1543" i="1"/>
  <c r="F1543" i="1"/>
  <c r="G1543" i="1"/>
  <c r="H1543" i="1"/>
  <c r="D1544" i="1"/>
  <c r="E1544" i="1"/>
  <c r="F1544" i="1"/>
  <c r="G1544" i="1"/>
  <c r="H1544" i="1"/>
  <c r="D1545" i="1"/>
  <c r="E1545" i="1"/>
  <c r="F1545" i="1"/>
  <c r="G1545" i="1"/>
  <c r="H1545" i="1"/>
  <c r="D1546" i="1"/>
  <c r="E1546" i="1"/>
  <c r="F1546" i="1"/>
  <c r="G1546" i="1"/>
  <c r="H1546" i="1"/>
  <c r="D1547" i="1"/>
  <c r="E1547" i="1"/>
  <c r="F1547" i="1"/>
  <c r="G1547" i="1"/>
  <c r="H1547" i="1"/>
  <c r="D1548" i="1"/>
  <c r="E1548" i="1"/>
  <c r="F1548" i="1"/>
  <c r="G1548" i="1"/>
  <c r="H1548" i="1"/>
  <c r="D1549" i="1"/>
  <c r="E1549" i="1"/>
  <c r="F1549" i="1"/>
  <c r="G1549" i="1"/>
  <c r="H1549" i="1"/>
  <c r="D1550" i="1"/>
  <c r="E1550" i="1"/>
  <c r="F1550" i="1"/>
  <c r="G1550" i="1"/>
  <c r="H1550" i="1"/>
  <c r="D1551" i="1"/>
  <c r="E1551" i="1"/>
  <c r="F1551" i="1"/>
  <c r="G1551" i="1"/>
  <c r="H1551" i="1"/>
  <c r="D1552" i="1"/>
  <c r="E1552" i="1"/>
  <c r="F1552" i="1"/>
  <c r="G1552" i="1"/>
  <c r="H1552" i="1"/>
  <c r="D1553" i="1"/>
  <c r="E1553" i="1"/>
  <c r="F1553" i="1"/>
  <c r="G1553" i="1"/>
  <c r="H1553" i="1"/>
  <c r="D1554" i="1"/>
  <c r="E1554" i="1"/>
  <c r="F1554" i="1"/>
  <c r="G1554" i="1"/>
  <c r="H1554" i="1"/>
  <c r="D1555" i="1"/>
  <c r="E1555" i="1"/>
  <c r="F1555" i="1"/>
  <c r="G1555" i="1"/>
  <c r="H1555" i="1"/>
  <c r="D1556" i="1"/>
  <c r="E1556" i="1"/>
  <c r="F1556" i="1"/>
  <c r="G1556" i="1"/>
  <c r="H1556" i="1"/>
  <c r="D1557" i="1"/>
  <c r="E1557" i="1"/>
  <c r="F1557" i="1"/>
  <c r="G1557" i="1"/>
  <c r="H1557" i="1"/>
  <c r="D1558" i="1"/>
  <c r="E1558" i="1"/>
  <c r="F1558" i="1"/>
  <c r="G1558" i="1"/>
  <c r="H1558" i="1"/>
  <c r="D1559" i="1"/>
  <c r="E1559" i="1"/>
  <c r="F1559" i="1"/>
  <c r="G1559" i="1"/>
  <c r="H1559" i="1"/>
  <c r="D1560" i="1"/>
  <c r="E1560" i="1"/>
  <c r="F1560" i="1"/>
  <c r="G1560" i="1"/>
  <c r="H1560" i="1"/>
  <c r="D1561" i="1"/>
  <c r="E1561" i="1"/>
  <c r="F1561" i="1"/>
  <c r="G1561" i="1"/>
  <c r="H1561" i="1"/>
  <c r="D1562" i="1"/>
  <c r="E1562" i="1"/>
  <c r="F1562" i="1"/>
  <c r="G1562" i="1"/>
  <c r="H1562" i="1"/>
  <c r="D1563" i="1"/>
  <c r="E1563" i="1"/>
  <c r="F1563" i="1"/>
  <c r="G1563" i="1"/>
  <c r="H1563" i="1"/>
  <c r="D1564" i="1"/>
  <c r="E1564" i="1"/>
  <c r="F1564" i="1"/>
  <c r="G1564" i="1"/>
  <c r="H1564" i="1"/>
  <c r="D1565" i="1"/>
  <c r="E1565" i="1"/>
  <c r="F1565" i="1"/>
  <c r="G1565" i="1"/>
  <c r="H1565" i="1"/>
  <c r="D1566" i="1"/>
  <c r="E1566" i="1"/>
  <c r="F1566" i="1"/>
  <c r="G1566" i="1"/>
  <c r="H1566" i="1"/>
  <c r="D1567" i="1"/>
  <c r="E1567" i="1"/>
  <c r="F1567" i="1"/>
  <c r="G1567" i="1"/>
  <c r="H1567" i="1"/>
  <c r="D1568" i="1"/>
  <c r="E1568" i="1"/>
  <c r="F1568" i="1"/>
  <c r="G1568" i="1"/>
  <c r="H1568" i="1"/>
  <c r="D1569" i="1"/>
  <c r="E1569" i="1"/>
  <c r="F1569" i="1"/>
  <c r="G1569" i="1"/>
  <c r="H1569" i="1"/>
  <c r="D1570" i="1"/>
  <c r="E1570" i="1"/>
  <c r="F1570" i="1"/>
  <c r="G1570" i="1"/>
  <c r="H1570" i="1"/>
  <c r="D1571" i="1"/>
  <c r="E1571" i="1"/>
  <c r="F1571" i="1"/>
  <c r="G1571" i="1"/>
  <c r="H1571" i="1"/>
  <c r="D1572" i="1"/>
  <c r="E1572" i="1"/>
  <c r="F1572" i="1"/>
  <c r="G1572" i="1"/>
  <c r="H1572" i="1"/>
  <c r="D1573" i="1"/>
  <c r="E1573" i="1"/>
  <c r="F1573" i="1"/>
  <c r="G1573" i="1"/>
  <c r="H1573" i="1"/>
  <c r="D1574" i="1"/>
  <c r="E1574" i="1"/>
  <c r="F1574" i="1"/>
  <c r="G1574" i="1"/>
  <c r="H1574" i="1"/>
  <c r="D1575" i="1"/>
  <c r="E1575" i="1"/>
  <c r="F1575" i="1"/>
  <c r="G1575" i="1"/>
  <c r="H1575" i="1"/>
  <c r="D1576" i="1"/>
  <c r="E1576" i="1"/>
  <c r="F1576" i="1"/>
  <c r="G1576" i="1"/>
  <c r="H1576" i="1"/>
  <c r="D1577" i="1"/>
  <c r="E1577" i="1"/>
  <c r="F1577" i="1"/>
  <c r="G1577" i="1"/>
  <c r="H1577" i="1"/>
  <c r="D1578" i="1"/>
  <c r="E1578" i="1"/>
  <c r="F1578" i="1"/>
  <c r="G1578" i="1"/>
  <c r="H1578" i="1"/>
  <c r="D1579" i="1"/>
  <c r="E1579" i="1"/>
  <c r="F1579" i="1"/>
  <c r="G1579" i="1"/>
  <c r="H1579" i="1"/>
  <c r="D1580" i="1"/>
  <c r="E1580" i="1"/>
  <c r="F1580" i="1"/>
  <c r="G1580" i="1"/>
  <c r="H1580" i="1"/>
  <c r="D1581" i="1"/>
  <c r="E1581" i="1"/>
  <c r="F1581" i="1"/>
  <c r="G1581" i="1"/>
  <c r="H1581" i="1"/>
  <c r="D1582" i="1"/>
  <c r="E1582" i="1"/>
  <c r="F1582" i="1"/>
  <c r="G1582" i="1"/>
  <c r="H1582" i="1"/>
  <c r="D1583" i="1"/>
  <c r="E1583" i="1"/>
  <c r="F1583" i="1"/>
  <c r="G1583" i="1"/>
  <c r="H1583" i="1"/>
  <c r="D1584" i="1"/>
  <c r="E1584" i="1"/>
  <c r="F1584" i="1"/>
  <c r="G1584" i="1"/>
  <c r="H1584" i="1"/>
  <c r="D1585" i="1"/>
  <c r="E1585" i="1"/>
  <c r="F1585" i="1"/>
  <c r="G1585" i="1"/>
  <c r="H1585" i="1"/>
  <c r="D1586" i="1"/>
  <c r="E1586" i="1"/>
  <c r="F1586" i="1"/>
  <c r="G1586" i="1"/>
  <c r="H1586" i="1"/>
  <c r="D1587" i="1"/>
  <c r="E1587" i="1"/>
  <c r="F1587" i="1"/>
  <c r="G1587" i="1"/>
  <c r="H1587" i="1"/>
  <c r="D1588" i="1"/>
  <c r="E1588" i="1"/>
  <c r="F1588" i="1"/>
  <c r="G1588" i="1"/>
  <c r="H1588" i="1"/>
  <c r="D1589" i="1"/>
  <c r="E1589" i="1"/>
  <c r="F1589" i="1"/>
  <c r="G1589" i="1"/>
  <c r="H1589" i="1"/>
  <c r="D1590" i="1"/>
  <c r="E1590" i="1"/>
  <c r="F1590" i="1"/>
  <c r="G1590" i="1"/>
  <c r="H1590" i="1"/>
  <c r="D1591" i="1"/>
  <c r="E1591" i="1"/>
  <c r="F1591" i="1"/>
  <c r="G1591" i="1"/>
  <c r="H1591" i="1"/>
  <c r="D1592" i="1"/>
  <c r="E1592" i="1"/>
  <c r="F1592" i="1"/>
  <c r="G1592" i="1"/>
  <c r="H1592" i="1"/>
  <c r="D1593" i="1"/>
  <c r="E1593" i="1"/>
  <c r="F1593" i="1"/>
  <c r="G1593" i="1"/>
  <c r="H1593" i="1"/>
  <c r="D1594" i="1"/>
  <c r="E1594" i="1"/>
  <c r="F1594" i="1"/>
  <c r="G1594" i="1"/>
  <c r="H1594" i="1"/>
  <c r="D1595" i="1"/>
  <c r="E1595" i="1"/>
  <c r="F1595" i="1"/>
  <c r="G1595" i="1"/>
  <c r="H1595" i="1"/>
  <c r="D1596" i="1"/>
  <c r="E1596" i="1"/>
  <c r="F1596" i="1"/>
  <c r="G1596" i="1"/>
  <c r="H1596" i="1"/>
  <c r="D1597" i="1"/>
  <c r="E1597" i="1"/>
  <c r="F1597" i="1"/>
  <c r="G1597" i="1"/>
  <c r="H1597" i="1"/>
  <c r="D1598" i="1"/>
  <c r="E1598" i="1"/>
  <c r="F1598" i="1"/>
  <c r="G1598" i="1"/>
  <c r="H1598" i="1"/>
  <c r="D1599" i="1"/>
  <c r="E1599" i="1"/>
  <c r="F1599" i="1"/>
  <c r="G1599" i="1"/>
  <c r="H1599" i="1"/>
  <c r="D1600" i="1"/>
  <c r="E1600" i="1"/>
  <c r="F1600" i="1"/>
  <c r="G1600" i="1"/>
  <c r="H1600" i="1"/>
  <c r="D1601" i="1"/>
  <c r="E1601" i="1"/>
  <c r="F1601" i="1"/>
  <c r="G1601" i="1"/>
  <c r="H1601" i="1"/>
  <c r="D1602" i="1"/>
  <c r="E1602" i="1"/>
  <c r="F1602" i="1"/>
  <c r="G1602" i="1"/>
  <c r="H1602" i="1"/>
  <c r="D1603" i="1"/>
  <c r="E1603" i="1"/>
  <c r="F1603" i="1"/>
  <c r="G1603" i="1"/>
  <c r="H1603" i="1"/>
  <c r="D1604" i="1"/>
  <c r="E1604" i="1"/>
  <c r="F1604" i="1"/>
  <c r="G1604" i="1"/>
  <c r="H1604" i="1"/>
  <c r="D1605" i="1"/>
  <c r="E1605" i="1"/>
  <c r="F1605" i="1"/>
  <c r="G1605" i="1"/>
  <c r="H1605" i="1"/>
  <c r="D1606" i="1"/>
  <c r="E1606" i="1"/>
  <c r="F1606" i="1"/>
  <c r="G1606" i="1"/>
  <c r="H1606" i="1"/>
  <c r="D1607" i="1"/>
  <c r="E1607" i="1"/>
  <c r="F1607" i="1"/>
  <c r="G1607" i="1"/>
  <c r="H1607" i="1"/>
  <c r="D1608" i="1"/>
  <c r="E1608" i="1"/>
  <c r="F1608" i="1"/>
  <c r="G1608" i="1"/>
  <c r="H1608" i="1"/>
  <c r="D1609" i="1"/>
  <c r="E1609" i="1"/>
  <c r="F1609" i="1"/>
  <c r="G1609" i="1"/>
  <c r="H1609" i="1"/>
  <c r="D1610" i="1"/>
  <c r="E1610" i="1"/>
  <c r="F1610" i="1"/>
  <c r="G1610" i="1"/>
  <c r="H1610" i="1"/>
  <c r="D1611" i="1"/>
  <c r="E1611" i="1"/>
  <c r="F1611" i="1"/>
  <c r="G1611" i="1"/>
  <c r="H1611" i="1"/>
  <c r="D1612" i="1"/>
  <c r="E1612" i="1"/>
  <c r="F1612" i="1"/>
  <c r="G1612" i="1"/>
  <c r="H1612" i="1"/>
  <c r="D1613" i="1"/>
  <c r="E1613" i="1"/>
  <c r="F1613" i="1"/>
  <c r="G1613" i="1"/>
  <c r="H1613" i="1"/>
  <c r="D1614" i="1"/>
  <c r="E1614" i="1"/>
  <c r="F1614" i="1"/>
  <c r="G1614" i="1"/>
  <c r="H1614" i="1"/>
  <c r="D1615" i="1"/>
  <c r="E1615" i="1"/>
  <c r="F1615" i="1"/>
  <c r="G1615" i="1"/>
  <c r="H1615" i="1"/>
  <c r="D1616" i="1"/>
  <c r="E1616" i="1"/>
  <c r="F1616" i="1"/>
  <c r="G1616" i="1"/>
  <c r="H1616" i="1"/>
  <c r="D1617" i="1"/>
  <c r="E1617" i="1"/>
  <c r="F1617" i="1"/>
  <c r="G1617" i="1"/>
  <c r="H1617" i="1"/>
  <c r="D1618" i="1"/>
  <c r="E1618" i="1"/>
  <c r="F1618" i="1"/>
  <c r="G1618" i="1"/>
  <c r="H1618" i="1"/>
  <c r="D1619" i="1"/>
  <c r="E1619" i="1"/>
  <c r="F1619" i="1"/>
  <c r="G1619" i="1"/>
  <c r="H1619" i="1"/>
  <c r="D1620" i="1"/>
  <c r="E1620" i="1"/>
  <c r="F1620" i="1"/>
  <c r="G1620" i="1"/>
  <c r="H1620" i="1"/>
  <c r="D1621" i="1"/>
  <c r="E1621" i="1"/>
  <c r="F1621" i="1"/>
  <c r="G1621" i="1"/>
  <c r="H1621" i="1"/>
  <c r="D1622" i="1"/>
  <c r="E1622" i="1"/>
  <c r="F1622" i="1"/>
  <c r="G1622" i="1"/>
  <c r="H1622" i="1"/>
  <c r="D1623" i="1"/>
  <c r="E1623" i="1"/>
  <c r="F1623" i="1"/>
  <c r="G1623" i="1"/>
  <c r="H1623" i="1"/>
  <c r="D1624" i="1"/>
  <c r="E1624" i="1"/>
  <c r="F1624" i="1"/>
  <c r="G1624" i="1"/>
  <c r="H1624" i="1"/>
  <c r="D1625" i="1"/>
  <c r="E1625" i="1"/>
  <c r="F1625" i="1"/>
  <c r="G1625" i="1"/>
  <c r="H1625" i="1"/>
  <c r="D1626" i="1"/>
  <c r="E1626" i="1"/>
  <c r="F1626" i="1"/>
  <c r="G1626" i="1"/>
  <c r="H1626" i="1"/>
  <c r="D1627" i="1"/>
  <c r="E1627" i="1"/>
  <c r="F1627" i="1"/>
  <c r="G1627" i="1"/>
  <c r="H1627" i="1"/>
  <c r="D1628" i="1"/>
  <c r="E1628" i="1"/>
  <c r="F1628" i="1"/>
  <c r="G1628" i="1"/>
  <c r="H1628" i="1"/>
  <c r="D1629" i="1"/>
  <c r="E1629" i="1"/>
  <c r="F1629" i="1"/>
  <c r="G1629" i="1"/>
  <c r="H1629" i="1"/>
  <c r="D1630" i="1"/>
  <c r="E1630" i="1"/>
  <c r="F1630" i="1"/>
  <c r="G1630" i="1"/>
  <c r="H1630" i="1"/>
  <c r="D1631" i="1"/>
  <c r="E1631" i="1"/>
  <c r="F1631" i="1"/>
  <c r="G1631" i="1"/>
  <c r="H1631" i="1"/>
  <c r="D1632" i="1"/>
  <c r="E1632" i="1"/>
  <c r="F1632" i="1"/>
  <c r="G1632" i="1"/>
  <c r="H1632" i="1"/>
  <c r="D1633" i="1"/>
  <c r="E1633" i="1"/>
  <c r="F1633" i="1"/>
  <c r="G1633" i="1"/>
  <c r="H1633" i="1"/>
  <c r="D1634" i="1"/>
  <c r="E1634" i="1"/>
  <c r="F1634" i="1"/>
  <c r="G1634" i="1"/>
  <c r="H1634" i="1"/>
  <c r="D1635" i="1"/>
  <c r="E1635" i="1"/>
  <c r="F1635" i="1"/>
  <c r="G1635" i="1"/>
  <c r="H1635" i="1"/>
  <c r="D1636" i="1"/>
  <c r="E1636" i="1"/>
  <c r="F1636" i="1"/>
  <c r="G1636" i="1"/>
  <c r="H1636" i="1"/>
  <c r="D1637" i="1"/>
  <c r="E1637" i="1"/>
  <c r="F1637" i="1"/>
  <c r="G1637" i="1"/>
  <c r="H1637" i="1"/>
  <c r="D1638" i="1"/>
  <c r="E1638" i="1"/>
  <c r="F1638" i="1"/>
  <c r="G1638" i="1"/>
  <c r="H1638" i="1"/>
  <c r="D1639" i="1"/>
  <c r="E1639" i="1"/>
  <c r="F1639" i="1"/>
  <c r="G1639" i="1"/>
  <c r="H1639" i="1"/>
  <c r="D1640" i="1"/>
  <c r="E1640" i="1"/>
  <c r="F1640" i="1"/>
  <c r="G1640" i="1"/>
  <c r="H1640" i="1"/>
  <c r="D1641" i="1"/>
  <c r="E1641" i="1"/>
  <c r="F1641" i="1"/>
  <c r="G1641" i="1"/>
  <c r="H1641" i="1"/>
  <c r="D1642" i="1"/>
  <c r="E1642" i="1"/>
  <c r="F1642" i="1"/>
  <c r="G1642" i="1"/>
  <c r="H1642" i="1"/>
  <c r="D1643" i="1"/>
  <c r="E1643" i="1"/>
  <c r="F1643" i="1"/>
  <c r="G1643" i="1"/>
  <c r="H1643" i="1"/>
  <c r="D1644" i="1"/>
  <c r="E1644" i="1"/>
  <c r="F1644" i="1"/>
  <c r="G1644" i="1"/>
  <c r="H1644" i="1"/>
  <c r="D1645" i="1"/>
  <c r="E1645" i="1"/>
  <c r="F1645" i="1"/>
  <c r="G1645" i="1"/>
  <c r="H1645" i="1"/>
  <c r="D1646" i="1"/>
  <c r="E1646" i="1"/>
  <c r="F1646" i="1"/>
  <c r="G1646" i="1"/>
  <c r="H1646" i="1"/>
  <c r="D1647" i="1"/>
  <c r="E1647" i="1"/>
  <c r="F1647" i="1"/>
  <c r="G1647" i="1"/>
  <c r="H1647" i="1"/>
  <c r="D1648" i="1"/>
  <c r="E1648" i="1"/>
  <c r="F1648" i="1"/>
  <c r="G1648" i="1"/>
  <c r="H1648" i="1"/>
  <c r="D1649" i="1"/>
  <c r="E1649" i="1"/>
  <c r="F1649" i="1"/>
  <c r="G1649" i="1"/>
  <c r="H1649" i="1"/>
  <c r="D1650" i="1"/>
  <c r="E1650" i="1"/>
  <c r="F1650" i="1"/>
  <c r="G1650" i="1"/>
  <c r="H1650" i="1"/>
  <c r="D1651" i="1"/>
  <c r="E1651" i="1"/>
  <c r="F1651" i="1"/>
  <c r="G1651" i="1"/>
  <c r="H1651" i="1"/>
  <c r="D1652" i="1"/>
  <c r="E1652" i="1"/>
  <c r="F1652" i="1"/>
  <c r="G1652" i="1"/>
  <c r="H1652" i="1"/>
  <c r="D1653" i="1"/>
  <c r="E1653" i="1"/>
  <c r="F1653" i="1"/>
  <c r="G1653" i="1"/>
  <c r="H1653" i="1"/>
  <c r="D1654" i="1"/>
  <c r="E1654" i="1"/>
  <c r="F1654" i="1"/>
  <c r="G1654" i="1"/>
  <c r="H1654" i="1"/>
  <c r="D1655" i="1"/>
  <c r="E1655" i="1"/>
  <c r="F1655" i="1"/>
  <c r="G1655" i="1"/>
  <c r="H1655" i="1"/>
  <c r="D1656" i="1"/>
  <c r="E1656" i="1"/>
  <c r="F1656" i="1"/>
  <c r="G1656" i="1"/>
  <c r="H1656" i="1"/>
  <c r="D1657" i="1"/>
  <c r="E1657" i="1"/>
  <c r="F1657" i="1"/>
  <c r="G1657" i="1"/>
  <c r="H1657" i="1"/>
  <c r="D1658" i="1"/>
  <c r="E1658" i="1"/>
  <c r="F1658" i="1"/>
  <c r="G1658" i="1"/>
  <c r="H1658" i="1"/>
  <c r="D1659" i="1"/>
  <c r="E1659" i="1"/>
  <c r="F1659" i="1"/>
  <c r="G1659" i="1"/>
  <c r="H1659" i="1"/>
  <c r="D1660" i="1"/>
  <c r="E1660" i="1"/>
  <c r="F1660" i="1"/>
  <c r="G1660" i="1"/>
  <c r="H1660" i="1"/>
  <c r="D1661" i="1"/>
  <c r="E1661" i="1"/>
  <c r="F1661" i="1"/>
  <c r="G1661" i="1"/>
  <c r="H1661" i="1"/>
  <c r="D1662" i="1"/>
  <c r="E1662" i="1"/>
  <c r="F1662" i="1"/>
  <c r="G1662" i="1"/>
  <c r="H1662" i="1"/>
  <c r="D1663" i="1"/>
  <c r="E1663" i="1"/>
  <c r="F1663" i="1"/>
  <c r="G1663" i="1"/>
  <c r="H1663" i="1"/>
  <c r="D1664" i="1"/>
  <c r="E1664" i="1"/>
  <c r="F1664" i="1"/>
  <c r="G1664" i="1"/>
  <c r="H1664" i="1"/>
  <c r="D1665" i="1"/>
  <c r="E1665" i="1"/>
  <c r="F1665" i="1"/>
  <c r="G1665" i="1"/>
  <c r="H1665" i="1"/>
  <c r="D1666" i="1"/>
  <c r="E1666" i="1"/>
  <c r="F1666" i="1"/>
  <c r="G1666" i="1"/>
  <c r="H1666" i="1"/>
  <c r="D1667" i="1"/>
  <c r="E1667" i="1"/>
  <c r="F1667" i="1"/>
  <c r="G1667" i="1"/>
  <c r="H1667" i="1"/>
  <c r="D1668" i="1"/>
  <c r="E1668" i="1"/>
  <c r="F1668" i="1"/>
  <c r="G1668" i="1"/>
  <c r="H1668" i="1"/>
  <c r="D1669" i="1"/>
  <c r="E1669" i="1"/>
  <c r="F1669" i="1"/>
  <c r="G1669" i="1"/>
  <c r="H1669" i="1"/>
  <c r="D1670" i="1"/>
  <c r="E1670" i="1"/>
  <c r="F1670" i="1"/>
  <c r="G1670" i="1"/>
  <c r="H1670" i="1"/>
  <c r="D1671" i="1"/>
  <c r="E1671" i="1"/>
  <c r="F1671" i="1"/>
  <c r="G1671" i="1"/>
  <c r="H1671" i="1"/>
  <c r="D1672" i="1"/>
  <c r="E1672" i="1"/>
  <c r="F1672" i="1"/>
  <c r="G1672" i="1"/>
  <c r="H1672" i="1"/>
  <c r="D1673" i="1"/>
  <c r="E1673" i="1"/>
  <c r="F1673" i="1"/>
  <c r="G1673" i="1"/>
  <c r="H1673" i="1"/>
  <c r="D1674" i="1"/>
  <c r="E1674" i="1"/>
  <c r="F1674" i="1"/>
  <c r="G1674" i="1"/>
  <c r="H1674" i="1"/>
  <c r="D1675" i="1"/>
  <c r="E1675" i="1"/>
  <c r="F1675" i="1"/>
  <c r="G1675" i="1"/>
  <c r="H1675" i="1"/>
  <c r="D1676" i="1"/>
  <c r="E1676" i="1"/>
  <c r="F1676" i="1"/>
  <c r="G1676" i="1"/>
  <c r="H1676" i="1"/>
  <c r="D1677" i="1"/>
  <c r="E1677" i="1"/>
  <c r="F1677" i="1"/>
  <c r="G1677" i="1"/>
  <c r="H1677" i="1"/>
  <c r="D1678" i="1"/>
  <c r="E1678" i="1"/>
  <c r="F1678" i="1"/>
  <c r="G1678" i="1"/>
  <c r="H1678" i="1"/>
  <c r="D1679" i="1"/>
  <c r="E1679" i="1"/>
  <c r="F1679" i="1"/>
  <c r="G1679" i="1"/>
  <c r="H1679" i="1"/>
  <c r="D1680" i="1"/>
  <c r="E1680" i="1"/>
  <c r="F1680" i="1"/>
  <c r="G1680" i="1"/>
  <c r="H1680" i="1"/>
  <c r="D1681" i="1"/>
  <c r="E1681" i="1"/>
  <c r="F1681" i="1"/>
  <c r="G1681" i="1"/>
  <c r="H1681" i="1"/>
  <c r="D1682" i="1"/>
  <c r="E1682" i="1"/>
  <c r="F1682" i="1"/>
  <c r="G1682" i="1"/>
  <c r="H1682" i="1"/>
  <c r="D1683" i="1"/>
  <c r="E1683" i="1"/>
  <c r="F1683" i="1"/>
  <c r="G1683" i="1"/>
  <c r="H1683" i="1"/>
  <c r="D1684" i="1"/>
  <c r="E1684" i="1"/>
  <c r="F1684" i="1"/>
  <c r="G1684" i="1"/>
  <c r="H1684" i="1"/>
  <c r="D1685" i="1"/>
  <c r="E1685" i="1"/>
  <c r="F1685" i="1"/>
  <c r="G1685" i="1"/>
  <c r="H1685" i="1"/>
  <c r="D1686" i="1"/>
  <c r="E1686" i="1"/>
  <c r="F1686" i="1"/>
  <c r="G1686" i="1"/>
  <c r="H1686" i="1"/>
  <c r="D1687" i="1"/>
  <c r="E1687" i="1"/>
  <c r="F1687" i="1"/>
  <c r="G1687" i="1"/>
  <c r="H1687" i="1"/>
  <c r="D1688" i="1"/>
  <c r="E1688" i="1"/>
  <c r="F1688" i="1"/>
  <c r="G1688" i="1"/>
  <c r="H1688" i="1"/>
  <c r="D1689" i="1"/>
  <c r="E1689" i="1"/>
  <c r="F1689" i="1"/>
  <c r="G1689" i="1"/>
  <c r="H1689" i="1"/>
  <c r="D1690" i="1"/>
  <c r="E1690" i="1"/>
  <c r="F1690" i="1"/>
  <c r="G1690" i="1"/>
  <c r="H1690" i="1"/>
  <c r="D1691" i="1"/>
  <c r="E1691" i="1"/>
  <c r="F1691" i="1"/>
  <c r="G1691" i="1"/>
  <c r="H1691" i="1"/>
  <c r="D1692" i="1"/>
  <c r="E1692" i="1"/>
  <c r="F1692" i="1"/>
  <c r="G1692" i="1"/>
  <c r="H1692" i="1"/>
  <c r="D1693" i="1"/>
  <c r="E1693" i="1"/>
  <c r="F1693" i="1"/>
  <c r="G1693" i="1"/>
  <c r="H1693" i="1"/>
  <c r="D1694" i="1"/>
  <c r="E1694" i="1"/>
  <c r="F1694" i="1"/>
  <c r="G1694" i="1"/>
  <c r="H1694" i="1"/>
  <c r="D1695" i="1"/>
  <c r="E1695" i="1"/>
  <c r="F1695" i="1"/>
  <c r="G1695" i="1"/>
  <c r="H1695" i="1"/>
  <c r="D1696" i="1"/>
  <c r="E1696" i="1"/>
  <c r="F1696" i="1"/>
  <c r="G1696" i="1"/>
  <c r="H1696" i="1"/>
  <c r="D1697" i="1"/>
  <c r="E1697" i="1"/>
  <c r="F1697" i="1"/>
  <c r="G1697" i="1"/>
  <c r="H1697" i="1"/>
  <c r="D1698" i="1"/>
  <c r="E1698" i="1"/>
  <c r="F1698" i="1"/>
  <c r="G1698" i="1"/>
  <c r="H1698" i="1"/>
  <c r="D1699" i="1"/>
  <c r="E1699" i="1"/>
  <c r="F1699" i="1"/>
  <c r="G1699" i="1"/>
  <c r="H1699" i="1"/>
  <c r="D1700" i="1"/>
  <c r="E1700" i="1"/>
  <c r="F1700" i="1"/>
  <c r="G1700" i="1"/>
  <c r="H1700" i="1"/>
  <c r="D1701" i="1"/>
  <c r="E1701" i="1"/>
  <c r="F1701" i="1"/>
  <c r="G1701" i="1"/>
  <c r="H1701" i="1"/>
  <c r="D1702" i="1"/>
  <c r="E1702" i="1"/>
  <c r="F1702" i="1"/>
  <c r="G1702" i="1"/>
  <c r="H1702" i="1"/>
  <c r="D1703" i="1"/>
  <c r="E1703" i="1"/>
  <c r="F1703" i="1"/>
  <c r="G1703" i="1"/>
  <c r="H1703" i="1"/>
  <c r="D1704" i="1"/>
  <c r="E1704" i="1"/>
  <c r="F1704" i="1"/>
  <c r="G1704" i="1"/>
  <c r="H1704" i="1"/>
  <c r="D1705" i="1"/>
  <c r="E1705" i="1"/>
  <c r="F1705" i="1"/>
  <c r="G1705" i="1"/>
  <c r="H1705" i="1"/>
  <c r="D1706" i="1"/>
  <c r="E1706" i="1"/>
  <c r="F1706" i="1"/>
  <c r="G1706" i="1"/>
  <c r="H1706" i="1"/>
  <c r="D1707" i="1"/>
  <c r="E1707" i="1"/>
  <c r="F1707" i="1"/>
  <c r="G1707" i="1"/>
  <c r="H1707" i="1"/>
  <c r="D1708" i="1"/>
  <c r="E1708" i="1"/>
  <c r="F1708" i="1"/>
  <c r="G1708" i="1"/>
  <c r="H1708" i="1"/>
  <c r="D1709" i="1"/>
  <c r="E1709" i="1"/>
  <c r="F1709" i="1"/>
  <c r="G1709" i="1"/>
  <c r="H1709" i="1"/>
  <c r="D1710" i="1"/>
  <c r="E1710" i="1"/>
  <c r="F1710" i="1"/>
  <c r="G1710" i="1"/>
  <c r="H1710" i="1"/>
  <c r="D1711" i="1"/>
  <c r="E1711" i="1"/>
  <c r="F1711" i="1"/>
  <c r="G1711" i="1"/>
  <c r="H1711" i="1"/>
  <c r="D1712" i="1"/>
  <c r="E1712" i="1"/>
  <c r="F1712" i="1"/>
  <c r="G1712" i="1"/>
  <c r="H1712" i="1"/>
  <c r="D1713" i="1"/>
  <c r="E1713" i="1"/>
  <c r="F1713" i="1"/>
  <c r="G1713" i="1"/>
  <c r="H1713" i="1"/>
  <c r="D1714" i="1"/>
  <c r="E1714" i="1"/>
  <c r="F1714" i="1"/>
  <c r="G1714" i="1"/>
  <c r="H1714" i="1"/>
  <c r="D1715" i="1"/>
  <c r="E1715" i="1"/>
  <c r="F1715" i="1"/>
  <c r="G1715" i="1"/>
  <c r="H1715" i="1"/>
  <c r="D1716" i="1"/>
  <c r="E1716" i="1"/>
  <c r="F1716" i="1"/>
  <c r="G1716" i="1"/>
  <c r="H1716" i="1"/>
  <c r="D1717" i="1"/>
  <c r="E1717" i="1"/>
  <c r="F1717" i="1"/>
  <c r="G1717" i="1"/>
  <c r="H1717" i="1"/>
  <c r="D1718" i="1"/>
  <c r="E1718" i="1"/>
  <c r="F1718" i="1"/>
  <c r="G1718" i="1"/>
  <c r="H1718" i="1"/>
  <c r="D1719" i="1"/>
  <c r="E1719" i="1"/>
  <c r="F1719" i="1"/>
  <c r="G1719" i="1"/>
  <c r="H1719" i="1"/>
  <c r="D1720" i="1"/>
  <c r="E1720" i="1"/>
  <c r="F1720" i="1"/>
  <c r="G1720" i="1"/>
  <c r="H1720" i="1"/>
  <c r="D1721" i="1"/>
  <c r="E1721" i="1"/>
  <c r="F1721" i="1"/>
  <c r="G1721" i="1"/>
  <c r="H1721" i="1"/>
  <c r="D1722" i="1"/>
  <c r="E1722" i="1"/>
  <c r="F1722" i="1"/>
  <c r="G1722" i="1"/>
  <c r="H1722" i="1"/>
  <c r="D1723" i="1"/>
  <c r="E1723" i="1"/>
  <c r="F1723" i="1"/>
  <c r="G1723" i="1"/>
  <c r="H1723" i="1"/>
  <c r="D1724" i="1"/>
  <c r="E1724" i="1"/>
  <c r="F1724" i="1"/>
  <c r="G1724" i="1"/>
  <c r="H1724" i="1"/>
  <c r="D1725" i="1"/>
  <c r="E1725" i="1"/>
  <c r="F1725" i="1"/>
  <c r="G1725" i="1"/>
  <c r="H1725" i="1"/>
  <c r="D1726" i="1"/>
  <c r="E1726" i="1"/>
  <c r="F1726" i="1"/>
  <c r="G1726" i="1"/>
  <c r="H1726" i="1"/>
  <c r="D1727" i="1"/>
  <c r="E1727" i="1"/>
  <c r="F1727" i="1"/>
  <c r="G1727" i="1"/>
  <c r="H1727" i="1"/>
  <c r="D1728" i="1"/>
  <c r="E1728" i="1"/>
  <c r="F1728" i="1"/>
  <c r="G1728" i="1"/>
  <c r="H1728" i="1"/>
  <c r="D1729" i="1"/>
  <c r="E1729" i="1"/>
  <c r="F1729" i="1"/>
  <c r="G1729" i="1"/>
  <c r="H1729" i="1"/>
  <c r="D1730" i="1"/>
  <c r="E1730" i="1"/>
  <c r="F1730" i="1"/>
  <c r="G1730" i="1"/>
  <c r="H1730" i="1"/>
  <c r="D1731" i="1"/>
  <c r="E1731" i="1"/>
  <c r="F1731" i="1"/>
  <c r="G1731" i="1"/>
  <c r="H1731" i="1"/>
  <c r="D1732" i="1"/>
  <c r="E1732" i="1"/>
  <c r="F1732" i="1"/>
  <c r="G1732" i="1"/>
  <c r="H1732" i="1"/>
  <c r="D1733" i="1"/>
  <c r="E1733" i="1"/>
  <c r="F1733" i="1"/>
  <c r="G1733" i="1"/>
  <c r="H1733" i="1"/>
  <c r="D1734" i="1"/>
  <c r="E1734" i="1"/>
  <c r="F1734" i="1"/>
  <c r="G1734" i="1"/>
  <c r="H1734" i="1"/>
  <c r="D1735" i="1"/>
  <c r="E1735" i="1"/>
  <c r="F1735" i="1"/>
  <c r="G1735" i="1"/>
  <c r="H1735" i="1"/>
  <c r="D1736" i="1"/>
  <c r="E1736" i="1"/>
  <c r="F1736" i="1"/>
  <c r="G1736" i="1"/>
  <c r="H1736" i="1"/>
  <c r="D1737" i="1"/>
  <c r="E1737" i="1"/>
  <c r="F1737" i="1"/>
  <c r="G1737" i="1"/>
  <c r="H1737" i="1"/>
  <c r="D1738" i="1"/>
  <c r="E1738" i="1"/>
  <c r="F1738" i="1"/>
  <c r="G1738" i="1"/>
  <c r="H1738" i="1"/>
  <c r="D1739" i="1"/>
  <c r="E1739" i="1"/>
  <c r="F1739" i="1"/>
  <c r="G1739" i="1"/>
  <c r="H1739" i="1"/>
  <c r="D1740" i="1"/>
  <c r="E1740" i="1"/>
  <c r="F1740" i="1"/>
  <c r="G1740" i="1"/>
  <c r="H1740" i="1"/>
  <c r="D1741" i="1"/>
  <c r="E1741" i="1"/>
  <c r="F1741" i="1"/>
  <c r="G1741" i="1"/>
  <c r="H1741" i="1"/>
  <c r="D1742" i="1"/>
  <c r="E1742" i="1"/>
  <c r="F1742" i="1"/>
  <c r="G1742" i="1"/>
  <c r="H1742" i="1"/>
  <c r="D1743" i="1"/>
  <c r="E1743" i="1"/>
  <c r="F1743" i="1"/>
  <c r="G1743" i="1"/>
  <c r="H1743" i="1"/>
  <c r="D1744" i="1"/>
  <c r="E1744" i="1"/>
  <c r="F1744" i="1"/>
  <c r="G1744" i="1"/>
  <c r="H1744" i="1"/>
  <c r="D1745" i="1"/>
  <c r="E1745" i="1"/>
  <c r="F1745" i="1"/>
  <c r="G1745" i="1"/>
  <c r="H1745" i="1"/>
  <c r="D1746" i="1"/>
  <c r="E1746" i="1"/>
  <c r="F1746" i="1"/>
  <c r="G1746" i="1"/>
  <c r="H1746" i="1"/>
  <c r="D1747" i="1"/>
  <c r="E1747" i="1"/>
  <c r="F1747" i="1"/>
  <c r="G1747" i="1"/>
  <c r="H1747" i="1"/>
  <c r="D1748" i="1"/>
  <c r="E1748" i="1"/>
  <c r="F1748" i="1"/>
  <c r="G1748" i="1"/>
  <c r="H1748" i="1"/>
  <c r="D1749" i="1"/>
  <c r="E1749" i="1"/>
  <c r="F1749" i="1"/>
  <c r="G1749" i="1"/>
  <c r="H1749" i="1"/>
  <c r="D1750" i="1"/>
  <c r="E1750" i="1"/>
  <c r="F1750" i="1"/>
  <c r="G1750" i="1"/>
  <c r="H1750" i="1"/>
  <c r="D1751" i="1"/>
  <c r="E1751" i="1"/>
  <c r="F1751" i="1"/>
  <c r="G1751" i="1"/>
  <c r="H1751" i="1"/>
  <c r="D1752" i="1"/>
  <c r="E1752" i="1"/>
  <c r="F1752" i="1"/>
  <c r="G1752" i="1"/>
  <c r="H1752" i="1"/>
  <c r="D1753" i="1"/>
  <c r="E1753" i="1"/>
  <c r="F1753" i="1"/>
  <c r="G1753" i="1"/>
  <c r="H1753" i="1"/>
  <c r="D1754" i="1"/>
  <c r="E1754" i="1"/>
  <c r="F1754" i="1"/>
  <c r="G1754" i="1"/>
  <c r="H1754" i="1"/>
  <c r="D1755" i="1"/>
  <c r="E1755" i="1"/>
  <c r="F1755" i="1"/>
  <c r="G1755" i="1"/>
  <c r="H1755" i="1"/>
  <c r="D1756" i="1"/>
  <c r="E1756" i="1"/>
  <c r="F1756" i="1"/>
  <c r="G1756" i="1"/>
  <c r="H1756" i="1"/>
  <c r="D1757" i="1"/>
  <c r="E1757" i="1"/>
  <c r="F1757" i="1"/>
  <c r="G1757" i="1"/>
  <c r="H1757" i="1"/>
  <c r="D1758" i="1"/>
  <c r="E1758" i="1"/>
  <c r="F1758" i="1"/>
  <c r="G1758" i="1"/>
  <c r="H1758" i="1"/>
  <c r="D1759" i="1"/>
  <c r="E1759" i="1"/>
  <c r="F1759" i="1"/>
  <c r="G1759" i="1"/>
  <c r="H1759" i="1"/>
  <c r="D1760" i="1"/>
  <c r="E1760" i="1"/>
  <c r="F1760" i="1"/>
  <c r="G1760" i="1"/>
  <c r="H1760" i="1"/>
  <c r="D1761" i="1"/>
  <c r="E1761" i="1"/>
  <c r="F1761" i="1"/>
  <c r="G1761" i="1"/>
  <c r="H1761" i="1"/>
  <c r="D1762" i="1"/>
  <c r="E1762" i="1"/>
  <c r="F1762" i="1"/>
  <c r="G1762" i="1"/>
  <c r="H1762" i="1"/>
  <c r="D1763" i="1"/>
  <c r="E1763" i="1"/>
  <c r="F1763" i="1"/>
  <c r="G1763" i="1"/>
  <c r="H1763" i="1"/>
  <c r="D1764" i="1"/>
  <c r="E1764" i="1"/>
  <c r="F1764" i="1"/>
  <c r="G1764" i="1"/>
  <c r="H1764" i="1"/>
  <c r="D1765" i="1"/>
  <c r="E1765" i="1"/>
  <c r="F1765" i="1"/>
  <c r="G1765" i="1"/>
  <c r="H1765" i="1"/>
  <c r="D1766" i="1"/>
  <c r="E1766" i="1"/>
  <c r="F1766" i="1"/>
  <c r="G1766" i="1"/>
  <c r="H1766" i="1"/>
  <c r="D1767" i="1"/>
  <c r="E1767" i="1"/>
  <c r="F1767" i="1"/>
  <c r="G1767" i="1"/>
  <c r="H1767" i="1"/>
  <c r="D1768" i="1"/>
  <c r="E1768" i="1"/>
  <c r="F1768" i="1"/>
  <c r="G1768" i="1"/>
  <c r="H1768" i="1"/>
  <c r="D1769" i="1"/>
  <c r="E1769" i="1"/>
  <c r="F1769" i="1"/>
  <c r="G1769" i="1"/>
  <c r="H1769" i="1"/>
  <c r="D1770" i="1"/>
  <c r="E1770" i="1"/>
  <c r="F1770" i="1"/>
  <c r="G1770" i="1"/>
  <c r="H1770" i="1"/>
  <c r="D1771" i="1"/>
  <c r="E1771" i="1"/>
  <c r="F1771" i="1"/>
  <c r="G1771" i="1"/>
  <c r="H1771" i="1"/>
  <c r="D1772" i="1"/>
  <c r="E1772" i="1"/>
  <c r="F1772" i="1"/>
  <c r="G1772" i="1"/>
  <c r="H1772" i="1"/>
  <c r="D1773" i="1"/>
  <c r="E1773" i="1"/>
  <c r="F1773" i="1"/>
  <c r="G1773" i="1"/>
  <c r="H1773" i="1"/>
  <c r="D1774" i="1"/>
  <c r="E1774" i="1"/>
  <c r="F1774" i="1"/>
  <c r="G1774" i="1"/>
  <c r="H1774" i="1"/>
  <c r="D1775" i="1"/>
  <c r="E1775" i="1"/>
  <c r="F1775" i="1"/>
  <c r="G1775" i="1"/>
  <c r="H1775" i="1"/>
  <c r="D1776" i="1"/>
  <c r="E1776" i="1"/>
  <c r="F1776" i="1"/>
  <c r="G1776" i="1"/>
  <c r="H1776" i="1"/>
  <c r="D1777" i="1"/>
  <c r="E1777" i="1"/>
  <c r="F1777" i="1"/>
  <c r="G1777" i="1"/>
  <c r="H1777" i="1"/>
  <c r="D1778" i="1"/>
  <c r="E1778" i="1"/>
  <c r="F1778" i="1"/>
  <c r="G1778" i="1"/>
  <c r="H1778" i="1"/>
  <c r="D1779" i="1"/>
  <c r="E1779" i="1"/>
  <c r="F1779" i="1"/>
  <c r="G1779" i="1"/>
  <c r="H1779" i="1"/>
  <c r="D1780" i="1"/>
  <c r="E1780" i="1"/>
  <c r="F1780" i="1"/>
  <c r="G1780" i="1"/>
  <c r="H1780" i="1"/>
  <c r="D1781" i="1"/>
  <c r="E1781" i="1"/>
  <c r="F1781" i="1"/>
  <c r="G1781" i="1"/>
  <c r="H1781" i="1"/>
  <c r="D1782" i="1"/>
  <c r="E1782" i="1"/>
  <c r="F1782" i="1"/>
  <c r="G1782" i="1"/>
  <c r="H1782" i="1"/>
  <c r="D1783" i="1"/>
  <c r="E1783" i="1"/>
  <c r="F1783" i="1"/>
  <c r="G1783" i="1"/>
  <c r="H1783" i="1"/>
  <c r="D1784" i="1"/>
  <c r="E1784" i="1"/>
  <c r="F1784" i="1"/>
  <c r="G1784" i="1"/>
  <c r="H1784" i="1"/>
  <c r="D1785" i="1"/>
  <c r="E1785" i="1"/>
  <c r="F1785" i="1"/>
  <c r="G1785" i="1"/>
  <c r="H1785" i="1"/>
  <c r="D1786" i="1"/>
  <c r="E1786" i="1"/>
  <c r="F1786" i="1"/>
  <c r="G1786" i="1"/>
  <c r="H1786" i="1"/>
  <c r="D1787" i="1"/>
  <c r="E1787" i="1"/>
  <c r="F1787" i="1"/>
  <c r="G1787" i="1"/>
  <c r="H1787" i="1"/>
  <c r="D1788" i="1"/>
  <c r="E1788" i="1"/>
  <c r="F1788" i="1"/>
  <c r="G1788" i="1"/>
  <c r="H1788" i="1"/>
  <c r="D1789" i="1"/>
  <c r="E1789" i="1"/>
  <c r="F1789" i="1"/>
  <c r="G1789" i="1"/>
  <c r="H1789" i="1"/>
  <c r="D1790" i="1"/>
  <c r="E1790" i="1"/>
  <c r="F1790" i="1"/>
  <c r="G1790" i="1"/>
  <c r="H1790" i="1"/>
  <c r="D1791" i="1"/>
  <c r="E1791" i="1"/>
  <c r="F1791" i="1"/>
  <c r="G1791" i="1"/>
  <c r="H1791" i="1"/>
  <c r="D1792" i="1"/>
  <c r="E1792" i="1"/>
  <c r="F1792" i="1"/>
  <c r="G1792" i="1"/>
  <c r="H1792" i="1"/>
  <c r="D1793" i="1"/>
  <c r="E1793" i="1"/>
  <c r="F1793" i="1"/>
  <c r="G1793" i="1"/>
  <c r="H1793" i="1"/>
  <c r="D1794" i="1"/>
  <c r="E1794" i="1"/>
  <c r="F1794" i="1"/>
  <c r="G1794" i="1"/>
  <c r="H1794" i="1"/>
  <c r="D1795" i="1"/>
  <c r="E1795" i="1"/>
  <c r="F1795" i="1"/>
  <c r="G1795" i="1"/>
  <c r="H1795" i="1"/>
  <c r="D1796" i="1"/>
  <c r="E1796" i="1"/>
  <c r="F1796" i="1"/>
  <c r="G1796" i="1"/>
  <c r="H1796" i="1"/>
  <c r="D1797" i="1"/>
  <c r="E1797" i="1"/>
  <c r="F1797" i="1"/>
  <c r="G1797" i="1"/>
  <c r="H1797" i="1"/>
  <c r="D1798" i="1"/>
  <c r="E1798" i="1"/>
  <c r="F1798" i="1"/>
  <c r="G1798" i="1"/>
  <c r="H1798" i="1"/>
  <c r="D1799" i="1"/>
  <c r="E1799" i="1"/>
  <c r="F1799" i="1"/>
  <c r="G1799" i="1"/>
  <c r="H1799" i="1"/>
  <c r="D1800" i="1"/>
  <c r="E1800" i="1"/>
  <c r="F1800" i="1"/>
  <c r="G1800" i="1"/>
  <c r="H1800" i="1"/>
  <c r="D1801" i="1"/>
  <c r="E1801" i="1"/>
  <c r="F1801" i="1"/>
  <c r="G1801" i="1"/>
  <c r="H1801" i="1"/>
  <c r="D1802" i="1"/>
  <c r="E1802" i="1"/>
  <c r="F1802" i="1"/>
  <c r="G1802" i="1"/>
  <c r="H1802" i="1"/>
  <c r="D1803" i="1"/>
  <c r="E1803" i="1"/>
  <c r="F1803" i="1"/>
  <c r="G1803" i="1"/>
  <c r="H1803" i="1"/>
  <c r="D1804" i="1"/>
  <c r="E1804" i="1"/>
  <c r="F1804" i="1"/>
  <c r="G1804" i="1"/>
  <c r="H1804" i="1"/>
  <c r="D1805" i="1"/>
  <c r="E1805" i="1"/>
  <c r="F1805" i="1"/>
  <c r="G1805" i="1"/>
  <c r="H1805" i="1"/>
  <c r="D1806" i="1"/>
  <c r="E1806" i="1"/>
  <c r="F1806" i="1"/>
  <c r="G1806" i="1"/>
  <c r="H1806" i="1"/>
  <c r="D1807" i="1"/>
  <c r="E1807" i="1"/>
  <c r="F1807" i="1"/>
  <c r="G1807" i="1"/>
  <c r="H1807" i="1"/>
  <c r="D1808" i="1"/>
  <c r="E1808" i="1"/>
  <c r="F1808" i="1"/>
  <c r="G1808" i="1"/>
  <c r="H1808" i="1"/>
  <c r="D1809" i="1"/>
  <c r="E1809" i="1"/>
  <c r="F1809" i="1"/>
  <c r="G1809" i="1"/>
  <c r="H1809" i="1"/>
  <c r="D1810" i="1"/>
  <c r="E1810" i="1"/>
  <c r="F1810" i="1"/>
  <c r="G1810" i="1"/>
  <c r="H1810" i="1"/>
  <c r="D1811" i="1"/>
  <c r="E1811" i="1"/>
  <c r="F1811" i="1"/>
  <c r="G1811" i="1"/>
  <c r="H1811" i="1"/>
  <c r="D1812" i="1"/>
  <c r="E1812" i="1"/>
  <c r="F1812" i="1"/>
  <c r="G1812" i="1"/>
  <c r="H1812" i="1"/>
  <c r="D1813" i="1"/>
  <c r="E1813" i="1"/>
  <c r="F1813" i="1"/>
  <c r="G1813" i="1"/>
  <c r="H1813" i="1"/>
  <c r="D1814" i="1"/>
  <c r="E1814" i="1"/>
  <c r="F1814" i="1"/>
  <c r="G1814" i="1"/>
  <c r="H1814" i="1"/>
  <c r="D1815" i="1"/>
  <c r="E1815" i="1"/>
  <c r="F1815" i="1"/>
  <c r="G1815" i="1"/>
  <c r="H1815" i="1"/>
  <c r="D1816" i="1"/>
  <c r="E1816" i="1"/>
  <c r="F1816" i="1"/>
  <c r="G1816" i="1"/>
  <c r="H1816" i="1"/>
  <c r="D1817" i="1"/>
  <c r="E1817" i="1"/>
  <c r="F1817" i="1"/>
  <c r="G1817" i="1"/>
  <c r="H1817" i="1"/>
  <c r="D1818" i="1"/>
  <c r="E1818" i="1"/>
  <c r="F1818" i="1"/>
  <c r="G1818" i="1"/>
  <c r="H1818" i="1"/>
  <c r="D1819" i="1"/>
  <c r="E1819" i="1"/>
  <c r="F1819" i="1"/>
  <c r="G1819" i="1"/>
  <c r="H1819" i="1"/>
  <c r="D1820" i="1"/>
  <c r="E1820" i="1"/>
  <c r="F1820" i="1"/>
  <c r="G1820" i="1"/>
  <c r="H1820" i="1"/>
  <c r="D1821" i="1"/>
  <c r="E1821" i="1"/>
  <c r="F1821" i="1"/>
  <c r="G1821" i="1"/>
  <c r="H1821" i="1"/>
  <c r="D1822" i="1"/>
  <c r="E1822" i="1"/>
  <c r="F1822" i="1"/>
  <c r="G1822" i="1"/>
  <c r="H1822" i="1"/>
  <c r="D1823" i="1"/>
  <c r="E1823" i="1"/>
  <c r="F1823" i="1"/>
  <c r="G1823" i="1"/>
  <c r="H1823" i="1"/>
  <c r="D1824" i="1"/>
  <c r="E1824" i="1"/>
  <c r="F1824" i="1"/>
  <c r="G1824" i="1"/>
  <c r="H1824" i="1"/>
  <c r="D1825" i="1"/>
  <c r="E1825" i="1"/>
  <c r="F1825" i="1"/>
  <c r="G1825" i="1"/>
  <c r="H1825" i="1"/>
  <c r="D1826" i="1"/>
  <c r="E1826" i="1"/>
  <c r="F1826" i="1"/>
  <c r="G1826" i="1"/>
  <c r="H1826" i="1"/>
  <c r="D1827" i="1"/>
  <c r="E1827" i="1"/>
  <c r="F1827" i="1"/>
  <c r="G1827" i="1"/>
  <c r="H1827" i="1"/>
  <c r="D1828" i="1"/>
  <c r="E1828" i="1"/>
  <c r="F1828" i="1"/>
  <c r="G1828" i="1"/>
  <c r="H1828" i="1"/>
  <c r="D1829" i="1"/>
  <c r="E1829" i="1"/>
  <c r="F1829" i="1"/>
  <c r="G1829" i="1"/>
  <c r="H1829" i="1"/>
  <c r="D1830" i="1"/>
  <c r="E1830" i="1"/>
  <c r="F1830" i="1"/>
  <c r="G1830" i="1"/>
  <c r="H1830" i="1"/>
  <c r="D1831" i="1"/>
  <c r="E1831" i="1"/>
  <c r="F1831" i="1"/>
  <c r="G1831" i="1"/>
  <c r="H1831" i="1"/>
  <c r="D1832" i="1"/>
  <c r="E1832" i="1"/>
  <c r="F1832" i="1"/>
  <c r="G1832" i="1"/>
  <c r="H1832" i="1"/>
  <c r="D1833" i="1"/>
  <c r="E1833" i="1"/>
  <c r="F1833" i="1"/>
  <c r="G1833" i="1"/>
  <c r="H1833" i="1"/>
  <c r="D1834" i="1"/>
  <c r="E1834" i="1"/>
  <c r="F1834" i="1"/>
  <c r="G1834" i="1"/>
  <c r="H1834" i="1"/>
  <c r="D1835" i="1"/>
  <c r="E1835" i="1"/>
  <c r="F1835" i="1"/>
  <c r="G1835" i="1"/>
  <c r="H1835" i="1"/>
  <c r="D1836" i="1"/>
  <c r="E1836" i="1"/>
  <c r="F1836" i="1"/>
  <c r="G1836" i="1"/>
  <c r="H1836" i="1"/>
  <c r="D1837" i="1"/>
  <c r="E1837" i="1"/>
  <c r="F1837" i="1"/>
  <c r="G1837" i="1"/>
  <c r="H1837" i="1"/>
  <c r="D1838" i="1"/>
  <c r="E1838" i="1"/>
  <c r="F1838" i="1"/>
  <c r="G1838" i="1"/>
  <c r="H1838" i="1"/>
  <c r="D1839" i="1"/>
  <c r="E1839" i="1"/>
  <c r="F1839" i="1"/>
  <c r="G1839" i="1"/>
  <c r="H1839" i="1"/>
  <c r="D1840" i="1"/>
  <c r="E1840" i="1"/>
  <c r="F1840" i="1"/>
  <c r="G1840" i="1"/>
  <c r="H1840" i="1"/>
  <c r="D1841" i="1"/>
  <c r="E1841" i="1"/>
  <c r="F1841" i="1"/>
  <c r="G1841" i="1"/>
  <c r="H1841" i="1"/>
  <c r="D1842" i="1"/>
  <c r="E1842" i="1"/>
  <c r="F1842" i="1"/>
  <c r="G1842" i="1"/>
  <c r="H1842" i="1"/>
  <c r="D1843" i="1"/>
  <c r="E1843" i="1"/>
  <c r="F1843" i="1"/>
  <c r="G1843" i="1"/>
  <c r="H1843" i="1"/>
  <c r="D1844" i="1"/>
  <c r="E1844" i="1"/>
  <c r="F1844" i="1"/>
  <c r="G1844" i="1"/>
  <c r="H1844" i="1"/>
  <c r="D1845" i="1"/>
  <c r="E1845" i="1"/>
  <c r="F1845" i="1"/>
  <c r="G1845" i="1"/>
  <c r="H1845" i="1"/>
  <c r="D1846" i="1"/>
  <c r="E1846" i="1"/>
  <c r="F1846" i="1"/>
  <c r="G1846" i="1"/>
  <c r="H1846" i="1"/>
  <c r="D1847" i="1"/>
  <c r="E1847" i="1"/>
  <c r="F1847" i="1"/>
  <c r="G1847" i="1"/>
  <c r="H1847" i="1"/>
  <c r="D1848" i="1"/>
  <c r="E1848" i="1"/>
  <c r="F1848" i="1"/>
  <c r="G1848" i="1"/>
  <c r="H1848" i="1"/>
  <c r="D1849" i="1"/>
  <c r="E1849" i="1"/>
  <c r="F1849" i="1"/>
  <c r="G1849" i="1"/>
  <c r="H1849" i="1"/>
  <c r="D1850" i="1"/>
  <c r="E1850" i="1"/>
  <c r="F1850" i="1"/>
  <c r="G1850" i="1"/>
  <c r="H1850" i="1"/>
  <c r="D1851" i="1"/>
  <c r="E1851" i="1"/>
  <c r="F1851" i="1"/>
  <c r="G1851" i="1"/>
  <c r="H1851" i="1"/>
  <c r="D1852" i="1"/>
  <c r="E1852" i="1"/>
  <c r="F1852" i="1"/>
  <c r="G1852" i="1"/>
  <c r="H1852" i="1"/>
  <c r="D1853" i="1"/>
  <c r="E1853" i="1"/>
  <c r="F1853" i="1"/>
  <c r="G1853" i="1"/>
  <c r="H1853" i="1"/>
  <c r="D1854" i="1"/>
  <c r="E1854" i="1"/>
  <c r="F1854" i="1"/>
  <c r="G1854" i="1"/>
  <c r="H1854" i="1"/>
  <c r="D1855" i="1"/>
  <c r="E1855" i="1"/>
  <c r="F1855" i="1"/>
  <c r="G1855" i="1"/>
  <c r="H1855" i="1"/>
  <c r="D1856" i="1"/>
  <c r="E1856" i="1"/>
  <c r="F1856" i="1"/>
  <c r="G1856" i="1"/>
  <c r="H1856" i="1"/>
  <c r="D1857" i="1"/>
  <c r="E1857" i="1"/>
  <c r="F1857" i="1"/>
  <c r="G1857" i="1"/>
  <c r="H1857" i="1"/>
  <c r="D1858" i="1"/>
  <c r="E1858" i="1"/>
  <c r="F1858" i="1"/>
  <c r="G1858" i="1"/>
  <c r="H1858" i="1"/>
  <c r="D1859" i="1"/>
  <c r="E1859" i="1"/>
  <c r="F1859" i="1"/>
  <c r="G1859" i="1"/>
  <c r="H1859" i="1"/>
  <c r="D1860" i="1"/>
  <c r="E1860" i="1"/>
  <c r="F1860" i="1"/>
  <c r="G1860" i="1"/>
  <c r="H1860" i="1"/>
  <c r="D1861" i="1"/>
  <c r="E1861" i="1"/>
  <c r="F1861" i="1"/>
  <c r="G1861" i="1"/>
  <c r="H1861" i="1"/>
  <c r="D1862" i="1"/>
  <c r="E1862" i="1"/>
  <c r="F1862" i="1"/>
  <c r="G1862" i="1"/>
  <c r="H1862" i="1"/>
  <c r="D1863" i="1"/>
  <c r="E1863" i="1"/>
  <c r="F1863" i="1"/>
  <c r="G1863" i="1"/>
  <c r="H1863" i="1"/>
  <c r="D1864" i="1"/>
  <c r="E1864" i="1"/>
  <c r="F1864" i="1"/>
  <c r="G1864" i="1"/>
  <c r="H1864" i="1"/>
  <c r="D1865" i="1"/>
  <c r="E1865" i="1"/>
  <c r="F1865" i="1"/>
  <c r="G1865" i="1"/>
  <c r="H1865" i="1"/>
  <c r="D1866" i="1"/>
  <c r="E1866" i="1"/>
  <c r="F1866" i="1"/>
  <c r="G1866" i="1"/>
  <c r="H1866" i="1"/>
  <c r="D1867" i="1"/>
  <c r="E1867" i="1"/>
  <c r="F1867" i="1"/>
  <c r="G1867" i="1"/>
  <c r="H1867" i="1"/>
  <c r="D1868" i="1"/>
  <c r="E1868" i="1"/>
  <c r="F1868" i="1"/>
  <c r="G1868" i="1"/>
  <c r="H1868" i="1"/>
  <c r="D1869" i="1"/>
  <c r="E1869" i="1"/>
  <c r="F1869" i="1"/>
  <c r="G1869" i="1"/>
  <c r="H1869" i="1"/>
  <c r="D1870" i="1"/>
  <c r="E1870" i="1"/>
  <c r="F1870" i="1"/>
  <c r="G1870" i="1"/>
  <c r="H1870" i="1"/>
  <c r="D1871" i="1"/>
  <c r="E1871" i="1"/>
  <c r="F1871" i="1"/>
  <c r="G1871" i="1"/>
  <c r="H1871" i="1"/>
  <c r="D1872" i="1"/>
  <c r="E1872" i="1"/>
  <c r="F1872" i="1"/>
  <c r="G1872" i="1"/>
  <c r="H1872" i="1"/>
  <c r="D1873" i="1"/>
  <c r="E1873" i="1"/>
  <c r="F1873" i="1"/>
  <c r="G1873" i="1"/>
  <c r="H1873" i="1"/>
  <c r="D1874" i="1"/>
  <c r="E1874" i="1"/>
  <c r="F1874" i="1"/>
  <c r="G1874" i="1"/>
  <c r="H1874" i="1"/>
  <c r="D1875" i="1"/>
  <c r="E1875" i="1"/>
  <c r="F1875" i="1"/>
  <c r="G1875" i="1"/>
  <c r="H1875" i="1"/>
  <c r="D1876" i="1"/>
  <c r="E1876" i="1"/>
  <c r="F1876" i="1"/>
  <c r="G1876" i="1"/>
  <c r="H1876" i="1"/>
  <c r="D1877" i="1"/>
  <c r="E1877" i="1"/>
  <c r="F1877" i="1"/>
  <c r="G1877" i="1"/>
  <c r="H1877" i="1"/>
  <c r="D1878" i="1"/>
  <c r="E1878" i="1"/>
  <c r="F1878" i="1"/>
  <c r="G1878" i="1"/>
  <c r="H1878" i="1"/>
  <c r="D1879" i="1"/>
  <c r="E1879" i="1"/>
  <c r="F1879" i="1"/>
  <c r="G1879" i="1"/>
  <c r="H1879" i="1"/>
  <c r="D1880" i="1"/>
  <c r="E1880" i="1"/>
  <c r="F1880" i="1"/>
  <c r="G1880" i="1"/>
  <c r="H1880" i="1"/>
  <c r="D1881" i="1"/>
  <c r="E1881" i="1"/>
  <c r="F1881" i="1"/>
  <c r="G1881" i="1"/>
  <c r="H1881" i="1"/>
  <c r="D1882" i="1"/>
  <c r="E1882" i="1"/>
  <c r="F1882" i="1"/>
  <c r="G1882" i="1"/>
  <c r="H1882" i="1"/>
  <c r="D1883" i="1"/>
  <c r="E1883" i="1"/>
  <c r="F1883" i="1"/>
  <c r="G1883" i="1"/>
  <c r="H1883" i="1"/>
  <c r="D1884" i="1"/>
  <c r="E1884" i="1"/>
  <c r="F1884" i="1"/>
  <c r="G1884" i="1"/>
  <c r="H1884" i="1"/>
  <c r="D1885" i="1"/>
  <c r="E1885" i="1"/>
  <c r="F1885" i="1"/>
  <c r="G1885" i="1"/>
  <c r="H1885" i="1"/>
  <c r="D1886" i="1"/>
  <c r="E1886" i="1"/>
  <c r="F1886" i="1"/>
  <c r="G1886" i="1"/>
  <c r="H1886" i="1"/>
  <c r="D1887" i="1"/>
  <c r="E1887" i="1"/>
  <c r="F1887" i="1"/>
  <c r="G1887" i="1"/>
  <c r="H1887" i="1"/>
  <c r="D1888" i="1"/>
  <c r="E1888" i="1"/>
  <c r="F1888" i="1"/>
  <c r="G1888" i="1"/>
  <c r="H1888" i="1"/>
  <c r="D1889" i="1"/>
  <c r="E1889" i="1"/>
  <c r="F1889" i="1"/>
  <c r="G1889" i="1"/>
  <c r="H1889" i="1"/>
  <c r="D1890" i="1"/>
  <c r="E1890" i="1"/>
  <c r="F1890" i="1"/>
  <c r="G1890" i="1"/>
  <c r="H1890" i="1"/>
  <c r="D1891" i="1"/>
  <c r="E1891" i="1"/>
  <c r="F1891" i="1"/>
  <c r="G1891" i="1"/>
  <c r="H1891" i="1"/>
  <c r="D1892" i="1"/>
  <c r="E1892" i="1"/>
  <c r="F1892" i="1"/>
  <c r="G1892" i="1"/>
  <c r="H1892" i="1"/>
  <c r="D1893" i="1"/>
  <c r="E1893" i="1"/>
  <c r="F1893" i="1"/>
  <c r="G1893" i="1"/>
  <c r="H1893" i="1"/>
  <c r="D1894" i="1"/>
  <c r="E1894" i="1"/>
  <c r="F1894" i="1"/>
  <c r="G1894" i="1"/>
  <c r="H1894" i="1"/>
  <c r="D1895" i="1"/>
  <c r="E1895" i="1"/>
  <c r="F1895" i="1"/>
  <c r="G1895" i="1"/>
  <c r="H1895" i="1"/>
  <c r="D1896" i="1"/>
  <c r="E1896" i="1"/>
  <c r="F1896" i="1"/>
  <c r="G1896" i="1"/>
  <c r="H1896" i="1"/>
  <c r="D1897" i="1"/>
  <c r="E1897" i="1"/>
  <c r="F1897" i="1"/>
  <c r="G1897" i="1"/>
  <c r="H1897" i="1"/>
  <c r="D1898" i="1"/>
  <c r="E1898" i="1"/>
  <c r="F1898" i="1"/>
  <c r="G1898" i="1"/>
  <c r="H1898" i="1"/>
  <c r="D1899" i="1"/>
  <c r="E1899" i="1"/>
  <c r="F1899" i="1"/>
  <c r="G1899" i="1"/>
  <c r="H1899" i="1"/>
  <c r="D1900" i="1"/>
  <c r="E1900" i="1"/>
  <c r="F1900" i="1"/>
  <c r="G1900" i="1"/>
  <c r="H1900" i="1"/>
  <c r="D1901" i="1"/>
  <c r="E1901" i="1"/>
  <c r="F1901" i="1"/>
  <c r="G1901" i="1"/>
  <c r="H1901" i="1"/>
  <c r="D1902" i="1"/>
  <c r="E1902" i="1"/>
  <c r="F1902" i="1"/>
  <c r="G1902" i="1"/>
  <c r="H1902" i="1"/>
  <c r="D1903" i="1"/>
  <c r="E1903" i="1"/>
  <c r="F1903" i="1"/>
  <c r="G1903" i="1"/>
  <c r="H1903" i="1"/>
  <c r="D1904" i="1"/>
  <c r="E1904" i="1"/>
  <c r="F1904" i="1"/>
  <c r="G1904" i="1"/>
  <c r="H1904" i="1"/>
  <c r="D1905" i="1"/>
  <c r="E1905" i="1"/>
  <c r="F1905" i="1"/>
  <c r="G1905" i="1"/>
  <c r="H1905" i="1"/>
  <c r="D1906" i="1"/>
  <c r="E1906" i="1"/>
  <c r="F1906" i="1"/>
  <c r="G1906" i="1"/>
  <c r="H1906" i="1"/>
  <c r="D1907" i="1"/>
  <c r="E1907" i="1"/>
  <c r="F1907" i="1"/>
  <c r="G1907" i="1"/>
  <c r="H1907" i="1"/>
  <c r="D1908" i="1"/>
  <c r="E1908" i="1"/>
  <c r="F1908" i="1"/>
  <c r="G1908" i="1"/>
  <c r="H1908" i="1"/>
  <c r="D1909" i="1"/>
  <c r="E1909" i="1"/>
  <c r="F1909" i="1"/>
  <c r="G1909" i="1"/>
  <c r="H1909" i="1"/>
  <c r="D1910" i="1"/>
  <c r="E1910" i="1"/>
  <c r="F1910" i="1"/>
  <c r="G1910" i="1"/>
  <c r="H1910" i="1"/>
  <c r="D1911" i="1"/>
  <c r="E1911" i="1"/>
  <c r="F1911" i="1"/>
  <c r="G1911" i="1"/>
  <c r="H1911" i="1"/>
  <c r="D1912" i="1"/>
  <c r="E1912" i="1"/>
  <c r="F1912" i="1"/>
  <c r="G1912" i="1"/>
  <c r="H1912" i="1"/>
  <c r="D1913" i="1"/>
  <c r="E1913" i="1"/>
  <c r="F1913" i="1"/>
  <c r="G1913" i="1"/>
  <c r="H1913" i="1"/>
  <c r="D1914" i="1"/>
  <c r="E1914" i="1"/>
  <c r="F1914" i="1"/>
  <c r="G1914" i="1"/>
  <c r="H1914" i="1"/>
  <c r="D1915" i="1"/>
  <c r="E1915" i="1"/>
  <c r="F1915" i="1"/>
  <c r="G1915" i="1"/>
  <c r="H1915" i="1"/>
  <c r="D1916" i="1"/>
  <c r="E1916" i="1"/>
  <c r="F1916" i="1"/>
  <c r="G1916" i="1"/>
  <c r="H1916" i="1"/>
  <c r="D1917" i="1"/>
  <c r="E1917" i="1"/>
  <c r="F1917" i="1"/>
  <c r="G1917" i="1"/>
  <c r="H1917" i="1"/>
  <c r="D1918" i="1"/>
  <c r="E1918" i="1"/>
  <c r="F1918" i="1"/>
  <c r="G1918" i="1"/>
  <c r="H1918" i="1"/>
  <c r="D1919" i="1"/>
  <c r="E1919" i="1"/>
  <c r="F1919" i="1"/>
  <c r="G1919" i="1"/>
  <c r="H1919" i="1"/>
  <c r="D1920" i="1"/>
  <c r="E1920" i="1"/>
  <c r="F1920" i="1"/>
  <c r="G1920" i="1"/>
  <c r="H1920" i="1"/>
  <c r="D1921" i="1"/>
  <c r="E1921" i="1"/>
  <c r="F1921" i="1"/>
  <c r="G1921" i="1"/>
  <c r="H1921" i="1"/>
  <c r="D1922" i="1"/>
  <c r="E1922" i="1"/>
  <c r="F1922" i="1"/>
  <c r="G1922" i="1"/>
  <c r="H1922" i="1"/>
  <c r="D1923" i="1"/>
  <c r="E1923" i="1"/>
  <c r="F1923" i="1"/>
  <c r="G1923" i="1"/>
  <c r="H1923" i="1"/>
  <c r="D1924" i="1"/>
  <c r="E1924" i="1"/>
  <c r="F1924" i="1"/>
  <c r="G1924" i="1"/>
  <c r="H1924" i="1"/>
  <c r="D1925" i="1"/>
  <c r="E1925" i="1"/>
  <c r="F1925" i="1"/>
  <c r="G1925" i="1"/>
  <c r="H1925" i="1"/>
  <c r="D1926" i="1"/>
  <c r="E1926" i="1"/>
  <c r="F1926" i="1"/>
  <c r="G1926" i="1"/>
  <c r="H1926" i="1"/>
  <c r="D1927" i="1"/>
  <c r="E1927" i="1"/>
  <c r="F1927" i="1"/>
  <c r="G1927" i="1"/>
  <c r="H1927" i="1"/>
  <c r="D1928" i="1"/>
  <c r="E1928" i="1"/>
  <c r="F1928" i="1"/>
  <c r="G1928" i="1"/>
  <c r="H1928" i="1"/>
  <c r="D1929" i="1"/>
  <c r="E1929" i="1"/>
  <c r="F1929" i="1"/>
  <c r="G1929" i="1"/>
  <c r="H1929" i="1"/>
  <c r="D1930" i="1"/>
  <c r="E1930" i="1"/>
  <c r="F1930" i="1"/>
  <c r="G1930" i="1"/>
  <c r="H1930" i="1"/>
  <c r="D1931" i="1"/>
  <c r="E1931" i="1"/>
  <c r="F1931" i="1"/>
  <c r="G1931" i="1"/>
  <c r="H1931" i="1"/>
  <c r="D1932" i="1"/>
  <c r="E1932" i="1"/>
  <c r="F1932" i="1"/>
  <c r="G1932" i="1"/>
  <c r="H1932" i="1"/>
  <c r="D1933" i="1"/>
  <c r="E1933" i="1"/>
  <c r="F1933" i="1"/>
  <c r="G1933" i="1"/>
  <c r="H1933" i="1"/>
  <c r="D1934" i="1"/>
  <c r="E1934" i="1"/>
  <c r="F1934" i="1"/>
  <c r="G1934" i="1"/>
  <c r="H1934" i="1"/>
  <c r="D1935" i="1"/>
  <c r="E1935" i="1"/>
  <c r="F1935" i="1"/>
  <c r="G1935" i="1"/>
  <c r="H1935" i="1"/>
  <c r="D1936" i="1"/>
  <c r="E1936" i="1"/>
  <c r="F1936" i="1"/>
  <c r="G1936" i="1"/>
  <c r="H1936" i="1"/>
  <c r="D1937" i="1"/>
  <c r="E1937" i="1"/>
  <c r="F1937" i="1"/>
  <c r="G1937" i="1"/>
  <c r="H1937" i="1"/>
  <c r="D1938" i="1"/>
  <c r="E1938" i="1"/>
  <c r="F1938" i="1"/>
  <c r="G1938" i="1"/>
  <c r="H1938" i="1"/>
  <c r="D1939" i="1"/>
  <c r="E1939" i="1"/>
  <c r="F1939" i="1"/>
  <c r="G1939" i="1"/>
  <c r="H1939" i="1"/>
  <c r="D1940" i="1"/>
  <c r="E1940" i="1"/>
  <c r="F1940" i="1"/>
  <c r="G1940" i="1"/>
  <c r="H1940" i="1"/>
  <c r="D1941" i="1"/>
  <c r="E1941" i="1"/>
  <c r="F1941" i="1"/>
  <c r="G1941" i="1"/>
  <c r="H1941" i="1"/>
  <c r="D1942" i="1"/>
  <c r="E1942" i="1"/>
  <c r="F1942" i="1"/>
  <c r="G1942" i="1"/>
  <c r="H1942" i="1"/>
  <c r="D1943" i="1"/>
  <c r="E1943" i="1"/>
  <c r="F1943" i="1"/>
  <c r="G1943" i="1"/>
  <c r="H1943" i="1"/>
  <c r="D1944" i="1"/>
  <c r="E1944" i="1"/>
  <c r="F1944" i="1"/>
  <c r="G1944" i="1"/>
  <c r="H1944" i="1"/>
  <c r="D1945" i="1"/>
  <c r="E1945" i="1"/>
  <c r="F1945" i="1"/>
  <c r="G1945" i="1"/>
  <c r="H1945" i="1"/>
  <c r="D1946" i="1"/>
  <c r="E1946" i="1"/>
  <c r="F1946" i="1"/>
  <c r="G1946" i="1"/>
  <c r="H1946" i="1"/>
  <c r="D1947" i="1"/>
  <c r="E1947" i="1"/>
  <c r="F1947" i="1"/>
  <c r="G1947" i="1"/>
  <c r="H1947" i="1"/>
  <c r="D1948" i="1"/>
  <c r="E1948" i="1"/>
  <c r="F1948" i="1"/>
  <c r="G1948" i="1"/>
  <c r="H1948" i="1"/>
  <c r="D1949" i="1"/>
  <c r="E1949" i="1"/>
  <c r="F1949" i="1"/>
  <c r="G1949" i="1"/>
  <c r="H1949" i="1"/>
  <c r="D1950" i="1"/>
  <c r="E1950" i="1"/>
  <c r="F1950" i="1"/>
  <c r="G1950" i="1"/>
  <c r="H1950" i="1"/>
  <c r="D1951" i="1"/>
  <c r="E1951" i="1"/>
  <c r="F1951" i="1"/>
  <c r="G1951" i="1"/>
  <c r="H1951" i="1"/>
  <c r="D1952" i="1"/>
  <c r="E1952" i="1"/>
  <c r="F1952" i="1"/>
  <c r="G1952" i="1"/>
  <c r="H1952" i="1"/>
  <c r="D1953" i="1"/>
  <c r="E1953" i="1"/>
  <c r="F1953" i="1"/>
  <c r="G1953" i="1"/>
  <c r="H1953" i="1"/>
  <c r="D1954" i="1"/>
  <c r="E1954" i="1"/>
  <c r="F1954" i="1"/>
  <c r="G1954" i="1"/>
  <c r="H1954" i="1"/>
  <c r="D1955" i="1"/>
  <c r="E1955" i="1"/>
  <c r="F1955" i="1"/>
  <c r="G1955" i="1"/>
  <c r="H1955" i="1"/>
  <c r="D1956" i="1"/>
  <c r="E1956" i="1"/>
  <c r="F1956" i="1"/>
  <c r="G1956" i="1"/>
  <c r="H1956" i="1"/>
  <c r="D1957" i="1"/>
  <c r="E1957" i="1"/>
  <c r="F1957" i="1"/>
  <c r="G1957" i="1"/>
  <c r="H1957" i="1"/>
  <c r="D1958" i="1"/>
  <c r="E1958" i="1"/>
  <c r="F1958" i="1"/>
  <c r="G1958" i="1"/>
  <c r="H1958" i="1"/>
  <c r="D1959" i="1"/>
  <c r="E1959" i="1"/>
  <c r="F1959" i="1"/>
  <c r="G1959" i="1"/>
  <c r="H1959" i="1"/>
  <c r="D1960" i="1"/>
  <c r="E1960" i="1"/>
  <c r="F1960" i="1"/>
  <c r="G1960" i="1"/>
  <c r="H1960" i="1"/>
  <c r="D1961" i="1"/>
  <c r="E1961" i="1"/>
  <c r="F1961" i="1"/>
  <c r="G1961" i="1"/>
  <c r="H1961" i="1"/>
  <c r="D1962" i="1"/>
  <c r="E1962" i="1"/>
  <c r="F1962" i="1"/>
  <c r="G1962" i="1"/>
  <c r="H1962" i="1"/>
  <c r="D1963" i="1"/>
  <c r="E1963" i="1"/>
  <c r="F1963" i="1"/>
  <c r="G1963" i="1"/>
  <c r="H1963" i="1"/>
  <c r="D1964" i="1"/>
  <c r="E1964" i="1"/>
  <c r="F1964" i="1"/>
  <c r="G1964" i="1"/>
  <c r="H1964" i="1"/>
  <c r="D1965" i="1"/>
  <c r="E1965" i="1"/>
  <c r="F1965" i="1"/>
  <c r="G1965" i="1"/>
  <c r="H1965" i="1"/>
  <c r="D1966" i="1"/>
  <c r="E1966" i="1"/>
  <c r="F1966" i="1"/>
  <c r="G1966" i="1"/>
  <c r="H1966" i="1"/>
  <c r="D1967" i="1"/>
  <c r="E1967" i="1"/>
  <c r="F1967" i="1"/>
  <c r="G1967" i="1"/>
  <c r="H1967" i="1"/>
  <c r="D1968" i="1"/>
  <c r="E1968" i="1"/>
  <c r="F1968" i="1"/>
  <c r="G1968" i="1"/>
  <c r="H1968" i="1"/>
  <c r="D1969" i="1"/>
  <c r="E1969" i="1"/>
  <c r="F1969" i="1"/>
  <c r="G1969" i="1"/>
  <c r="H1969" i="1"/>
  <c r="D1970" i="1"/>
  <c r="E1970" i="1"/>
  <c r="F1970" i="1"/>
  <c r="G1970" i="1"/>
  <c r="H1970" i="1"/>
  <c r="D1971" i="1"/>
  <c r="E1971" i="1"/>
  <c r="F1971" i="1"/>
  <c r="G1971" i="1"/>
  <c r="H1971" i="1"/>
  <c r="D1972" i="1"/>
  <c r="E1972" i="1"/>
  <c r="F1972" i="1"/>
  <c r="G1972" i="1"/>
  <c r="H1972" i="1"/>
  <c r="D1973" i="1"/>
  <c r="E1973" i="1"/>
  <c r="F1973" i="1"/>
  <c r="G1973" i="1"/>
  <c r="H1973" i="1"/>
  <c r="D1974" i="1"/>
  <c r="E1974" i="1"/>
  <c r="F1974" i="1"/>
  <c r="G1974" i="1"/>
  <c r="H1974" i="1"/>
  <c r="D1975" i="1"/>
  <c r="E1975" i="1"/>
  <c r="F1975" i="1"/>
  <c r="G1975" i="1"/>
  <c r="H1975" i="1"/>
  <c r="D1976" i="1"/>
  <c r="E1976" i="1"/>
  <c r="F1976" i="1"/>
  <c r="G1976" i="1"/>
  <c r="H1976" i="1"/>
  <c r="D1977" i="1"/>
  <c r="E1977" i="1"/>
  <c r="F1977" i="1"/>
  <c r="G1977" i="1"/>
  <c r="H1977" i="1"/>
  <c r="D1978" i="1"/>
  <c r="E1978" i="1"/>
  <c r="F1978" i="1"/>
  <c r="G1978" i="1"/>
  <c r="H1978" i="1"/>
  <c r="D1979" i="1"/>
  <c r="E1979" i="1"/>
  <c r="F1979" i="1"/>
  <c r="G1979" i="1"/>
  <c r="H1979" i="1"/>
  <c r="D1980" i="1"/>
  <c r="E1980" i="1"/>
  <c r="F1980" i="1"/>
  <c r="G1980" i="1"/>
  <c r="H1980" i="1"/>
  <c r="D1981" i="1"/>
  <c r="E1981" i="1"/>
  <c r="F1981" i="1"/>
  <c r="G1981" i="1"/>
  <c r="H1981" i="1"/>
  <c r="D1982" i="1"/>
  <c r="E1982" i="1"/>
  <c r="F1982" i="1"/>
  <c r="G1982" i="1"/>
  <c r="H1982" i="1"/>
  <c r="D1983" i="1"/>
  <c r="E1983" i="1"/>
  <c r="F1983" i="1"/>
  <c r="G1983" i="1"/>
  <c r="H1983" i="1"/>
  <c r="D1984" i="1"/>
  <c r="E1984" i="1"/>
  <c r="F1984" i="1"/>
  <c r="G1984" i="1"/>
  <c r="H1984" i="1"/>
  <c r="D1985" i="1"/>
  <c r="E1985" i="1"/>
  <c r="F1985" i="1"/>
  <c r="G1985" i="1"/>
  <c r="H1985" i="1"/>
  <c r="D1986" i="1"/>
  <c r="E1986" i="1"/>
  <c r="F1986" i="1"/>
  <c r="G1986" i="1"/>
  <c r="H1986" i="1"/>
  <c r="D1987" i="1"/>
  <c r="E1987" i="1"/>
  <c r="F1987" i="1"/>
  <c r="G1987" i="1"/>
  <c r="H1987" i="1"/>
  <c r="D1988" i="1"/>
  <c r="E1988" i="1"/>
  <c r="F1988" i="1"/>
  <c r="G1988" i="1"/>
  <c r="H1988" i="1"/>
  <c r="D1989" i="1"/>
  <c r="E1989" i="1"/>
  <c r="F1989" i="1"/>
  <c r="G1989" i="1"/>
  <c r="H1989" i="1"/>
  <c r="D1990" i="1"/>
  <c r="E1990" i="1"/>
  <c r="F1990" i="1"/>
  <c r="G1990" i="1"/>
  <c r="H1990" i="1"/>
  <c r="D1991" i="1"/>
  <c r="E1991" i="1"/>
  <c r="F1991" i="1"/>
  <c r="G1991" i="1"/>
  <c r="H1991" i="1"/>
  <c r="D1992" i="1"/>
  <c r="E1992" i="1"/>
  <c r="F1992" i="1"/>
  <c r="G1992" i="1"/>
  <c r="H1992" i="1"/>
  <c r="D1993" i="1"/>
  <c r="E1993" i="1"/>
  <c r="F1993" i="1"/>
  <c r="G1993" i="1"/>
  <c r="H1993" i="1"/>
  <c r="D1994" i="1"/>
  <c r="E1994" i="1"/>
  <c r="F1994" i="1"/>
  <c r="G1994" i="1"/>
  <c r="H1994" i="1"/>
  <c r="D1995" i="1"/>
  <c r="E1995" i="1"/>
  <c r="F1995" i="1"/>
  <c r="G1995" i="1"/>
  <c r="H1995" i="1"/>
  <c r="D1996" i="1"/>
  <c r="E1996" i="1"/>
  <c r="F1996" i="1"/>
  <c r="G1996" i="1"/>
  <c r="H1996" i="1"/>
  <c r="D1997" i="1"/>
  <c r="E1997" i="1"/>
  <c r="F1997" i="1"/>
  <c r="G1997" i="1"/>
  <c r="H1997" i="1"/>
  <c r="D1998" i="1"/>
  <c r="E1998" i="1"/>
  <c r="F1998" i="1"/>
  <c r="G1998" i="1"/>
  <c r="H1998" i="1"/>
  <c r="D1999" i="1"/>
  <c r="E1999" i="1"/>
  <c r="F1999" i="1"/>
  <c r="G1999" i="1"/>
  <c r="H1999" i="1"/>
  <c r="D2000" i="1"/>
  <c r="E2000" i="1"/>
  <c r="F2000" i="1"/>
  <c r="G2000" i="1"/>
  <c r="H2000" i="1"/>
  <c r="D2001" i="1"/>
  <c r="E2001" i="1"/>
  <c r="F2001" i="1"/>
  <c r="G2001" i="1"/>
  <c r="H2001" i="1"/>
  <c r="D2002" i="1"/>
  <c r="E2002" i="1"/>
  <c r="F2002" i="1"/>
  <c r="G2002" i="1"/>
  <c r="H2002" i="1"/>
  <c r="D2003" i="1"/>
  <c r="E2003" i="1"/>
  <c r="F2003" i="1"/>
  <c r="G2003" i="1"/>
  <c r="H2003" i="1"/>
  <c r="D2004" i="1"/>
  <c r="E2004" i="1"/>
  <c r="F2004" i="1"/>
  <c r="G2004" i="1"/>
  <c r="H2004" i="1"/>
  <c r="D2005" i="1"/>
  <c r="E2005" i="1"/>
  <c r="F2005" i="1"/>
  <c r="G2005" i="1"/>
  <c r="H2005" i="1"/>
  <c r="D2006" i="1"/>
  <c r="E2006" i="1"/>
  <c r="F2006" i="1"/>
  <c r="G2006" i="1"/>
  <c r="H2006" i="1"/>
  <c r="D2007" i="1"/>
  <c r="E2007" i="1"/>
  <c r="F2007" i="1"/>
  <c r="G2007" i="1"/>
  <c r="H2007" i="1"/>
  <c r="D2008" i="1"/>
  <c r="E2008" i="1"/>
  <c r="F2008" i="1"/>
  <c r="G2008" i="1"/>
  <c r="H2008" i="1"/>
  <c r="D2009" i="1"/>
  <c r="E2009" i="1"/>
  <c r="F2009" i="1"/>
  <c r="G2009" i="1"/>
  <c r="H2009" i="1"/>
  <c r="D2010" i="1"/>
  <c r="E2010" i="1"/>
  <c r="F2010" i="1"/>
  <c r="G2010" i="1"/>
  <c r="H2010" i="1"/>
  <c r="D2011" i="1"/>
  <c r="E2011" i="1"/>
  <c r="F2011" i="1"/>
  <c r="G2011" i="1"/>
  <c r="H2011" i="1"/>
  <c r="D2012" i="1"/>
  <c r="E2012" i="1"/>
  <c r="F2012" i="1"/>
  <c r="G2012" i="1"/>
  <c r="H2012" i="1"/>
  <c r="D2013" i="1"/>
  <c r="E2013" i="1"/>
  <c r="F2013" i="1"/>
  <c r="G2013" i="1"/>
  <c r="H2013" i="1"/>
  <c r="D2014" i="1"/>
  <c r="E2014" i="1"/>
  <c r="F2014" i="1"/>
  <c r="G2014" i="1"/>
  <c r="H2014" i="1"/>
  <c r="D2015" i="1"/>
  <c r="E2015" i="1"/>
  <c r="F2015" i="1"/>
  <c r="G2015" i="1"/>
  <c r="H2015" i="1"/>
  <c r="D2016" i="1"/>
  <c r="E2016" i="1"/>
  <c r="F2016" i="1"/>
  <c r="G2016" i="1"/>
  <c r="H2016" i="1"/>
  <c r="D2017" i="1"/>
  <c r="E2017" i="1"/>
  <c r="F2017" i="1"/>
  <c r="G2017" i="1"/>
  <c r="H2017" i="1"/>
  <c r="D2018" i="1"/>
  <c r="E2018" i="1"/>
  <c r="F2018" i="1"/>
  <c r="G2018" i="1"/>
  <c r="H2018" i="1"/>
  <c r="D2019" i="1"/>
  <c r="E2019" i="1"/>
  <c r="F2019" i="1"/>
  <c r="G2019" i="1"/>
  <c r="H2019" i="1"/>
  <c r="D2020" i="1"/>
  <c r="E2020" i="1"/>
  <c r="F2020" i="1"/>
  <c r="G2020" i="1"/>
  <c r="H2020" i="1"/>
  <c r="D2021" i="1"/>
  <c r="E2021" i="1"/>
  <c r="F2021" i="1"/>
  <c r="G2021" i="1"/>
  <c r="H2021" i="1"/>
  <c r="D2022" i="1"/>
  <c r="E2022" i="1"/>
  <c r="F2022" i="1"/>
  <c r="G2022" i="1"/>
  <c r="H2022" i="1"/>
  <c r="D2023" i="1"/>
  <c r="E2023" i="1"/>
  <c r="F2023" i="1"/>
  <c r="G2023" i="1"/>
  <c r="H2023" i="1"/>
  <c r="D2024" i="1"/>
  <c r="E2024" i="1"/>
  <c r="F2024" i="1"/>
  <c r="G2024" i="1"/>
  <c r="H2024" i="1"/>
  <c r="D2025" i="1"/>
  <c r="E2025" i="1"/>
  <c r="F2025" i="1"/>
  <c r="G2025" i="1"/>
  <c r="H2025" i="1"/>
  <c r="D2026" i="1"/>
  <c r="E2026" i="1"/>
  <c r="F2026" i="1"/>
  <c r="G2026" i="1"/>
  <c r="H2026" i="1"/>
  <c r="D2027" i="1"/>
  <c r="E2027" i="1"/>
  <c r="F2027" i="1"/>
  <c r="G2027" i="1"/>
  <c r="H2027" i="1"/>
  <c r="D2028" i="1"/>
  <c r="E2028" i="1"/>
  <c r="F2028" i="1"/>
  <c r="G2028" i="1"/>
  <c r="H2028" i="1"/>
  <c r="D2029" i="1"/>
  <c r="E2029" i="1"/>
  <c r="F2029" i="1"/>
  <c r="G2029" i="1"/>
  <c r="H2029" i="1"/>
  <c r="D2030" i="1"/>
  <c r="E2030" i="1"/>
  <c r="F2030" i="1"/>
  <c r="G2030" i="1"/>
  <c r="H2030" i="1"/>
  <c r="D2031" i="1"/>
  <c r="E2031" i="1"/>
  <c r="F2031" i="1"/>
  <c r="G2031" i="1"/>
  <c r="H2031" i="1"/>
  <c r="D2032" i="1"/>
  <c r="E2032" i="1"/>
  <c r="F2032" i="1"/>
  <c r="G2032" i="1"/>
  <c r="H2032" i="1"/>
  <c r="D2033" i="1"/>
  <c r="E2033" i="1"/>
  <c r="F2033" i="1"/>
  <c r="G2033" i="1"/>
  <c r="H2033" i="1"/>
  <c r="D2034" i="1"/>
  <c r="E2034" i="1"/>
  <c r="F2034" i="1"/>
  <c r="G2034" i="1"/>
  <c r="H2034" i="1"/>
  <c r="D2035" i="1"/>
  <c r="E2035" i="1"/>
  <c r="F2035" i="1"/>
  <c r="G2035" i="1"/>
  <c r="H2035" i="1"/>
  <c r="D2036" i="1"/>
  <c r="E2036" i="1"/>
  <c r="F2036" i="1"/>
  <c r="G2036" i="1"/>
  <c r="H2036" i="1"/>
  <c r="D2037" i="1"/>
  <c r="E2037" i="1"/>
  <c r="F2037" i="1"/>
  <c r="G2037" i="1"/>
  <c r="H2037" i="1"/>
  <c r="D2038" i="1"/>
  <c r="E2038" i="1"/>
  <c r="F2038" i="1"/>
  <c r="G2038" i="1"/>
  <c r="H2038" i="1"/>
  <c r="D2039" i="1"/>
  <c r="E2039" i="1"/>
  <c r="F2039" i="1"/>
  <c r="G2039" i="1"/>
  <c r="H2039" i="1"/>
  <c r="D2040" i="1"/>
  <c r="E2040" i="1"/>
  <c r="F2040" i="1"/>
  <c r="G2040" i="1"/>
  <c r="H2040" i="1"/>
  <c r="D2041" i="1"/>
  <c r="E2041" i="1"/>
  <c r="F2041" i="1"/>
  <c r="G2041" i="1"/>
  <c r="H2041" i="1"/>
  <c r="D2042" i="1"/>
  <c r="E2042" i="1"/>
  <c r="F2042" i="1"/>
  <c r="G2042" i="1"/>
  <c r="H2042" i="1"/>
  <c r="D2043" i="1"/>
  <c r="E2043" i="1"/>
  <c r="F2043" i="1"/>
  <c r="G2043" i="1"/>
  <c r="H2043" i="1"/>
  <c r="D2044" i="1"/>
  <c r="E2044" i="1"/>
  <c r="F2044" i="1"/>
  <c r="G2044" i="1"/>
  <c r="H2044" i="1"/>
  <c r="D2045" i="1"/>
  <c r="E2045" i="1"/>
  <c r="F2045" i="1"/>
  <c r="G2045" i="1"/>
  <c r="H2045" i="1"/>
  <c r="D2046" i="1"/>
  <c r="E2046" i="1"/>
  <c r="F2046" i="1"/>
  <c r="G2046" i="1"/>
  <c r="H2046" i="1"/>
  <c r="D2047" i="1"/>
  <c r="E2047" i="1"/>
  <c r="F2047" i="1"/>
  <c r="G2047" i="1"/>
  <c r="H2047" i="1"/>
  <c r="D2048" i="1"/>
  <c r="E2048" i="1"/>
  <c r="F2048" i="1"/>
  <c r="G2048" i="1"/>
  <c r="H2048" i="1"/>
  <c r="D2049" i="1"/>
  <c r="E2049" i="1"/>
  <c r="F2049" i="1"/>
  <c r="G2049" i="1"/>
  <c r="H2049" i="1"/>
  <c r="D2050" i="1"/>
  <c r="E2050" i="1"/>
  <c r="F2050" i="1"/>
  <c r="G2050" i="1"/>
  <c r="H2050" i="1"/>
  <c r="D2051" i="1"/>
  <c r="E2051" i="1"/>
  <c r="F2051" i="1"/>
  <c r="G2051" i="1"/>
  <c r="H2051" i="1"/>
  <c r="D2052" i="1"/>
  <c r="E2052" i="1"/>
  <c r="F2052" i="1"/>
  <c r="G2052" i="1"/>
  <c r="H2052" i="1"/>
  <c r="D2053" i="1"/>
  <c r="E2053" i="1"/>
  <c r="F2053" i="1"/>
  <c r="G2053" i="1"/>
  <c r="H2053" i="1"/>
  <c r="D2054" i="1"/>
  <c r="E2054" i="1"/>
  <c r="F2054" i="1"/>
  <c r="G2054" i="1"/>
  <c r="H2054" i="1"/>
  <c r="D2055" i="1"/>
  <c r="E2055" i="1"/>
  <c r="F2055" i="1"/>
  <c r="G2055" i="1"/>
  <c r="H2055" i="1"/>
  <c r="D2056" i="1"/>
  <c r="E2056" i="1"/>
  <c r="F2056" i="1"/>
  <c r="G2056" i="1"/>
  <c r="H2056" i="1"/>
  <c r="D2057" i="1"/>
  <c r="E2057" i="1"/>
  <c r="F2057" i="1"/>
  <c r="G2057" i="1"/>
  <c r="H2057" i="1"/>
  <c r="D2058" i="1"/>
  <c r="E2058" i="1"/>
  <c r="F2058" i="1"/>
  <c r="G2058" i="1"/>
  <c r="H2058" i="1"/>
  <c r="D2059" i="1"/>
  <c r="E2059" i="1"/>
  <c r="F2059" i="1"/>
  <c r="G2059" i="1"/>
  <c r="H2059" i="1"/>
  <c r="D2060" i="1"/>
  <c r="E2060" i="1"/>
  <c r="F2060" i="1"/>
  <c r="G2060" i="1"/>
  <c r="H2060" i="1"/>
  <c r="D2061" i="1"/>
  <c r="E2061" i="1"/>
  <c r="F2061" i="1"/>
  <c r="G2061" i="1"/>
  <c r="H2061" i="1"/>
  <c r="D2062" i="1"/>
  <c r="E2062" i="1"/>
  <c r="F2062" i="1"/>
  <c r="G2062" i="1"/>
  <c r="H2062" i="1"/>
  <c r="D2063" i="1"/>
  <c r="E2063" i="1"/>
  <c r="F2063" i="1"/>
  <c r="G2063" i="1"/>
  <c r="H2063" i="1"/>
  <c r="D2064" i="1"/>
  <c r="E2064" i="1"/>
  <c r="F2064" i="1"/>
  <c r="G2064" i="1"/>
  <c r="H2064" i="1"/>
  <c r="D2065" i="1"/>
  <c r="E2065" i="1"/>
  <c r="F2065" i="1"/>
  <c r="G2065" i="1"/>
  <c r="H2065" i="1"/>
  <c r="D2066" i="1"/>
  <c r="E2066" i="1"/>
  <c r="F2066" i="1"/>
  <c r="G2066" i="1"/>
  <c r="H2066" i="1"/>
  <c r="D2067" i="1"/>
  <c r="E2067" i="1"/>
  <c r="F2067" i="1"/>
  <c r="G2067" i="1"/>
  <c r="H2067" i="1"/>
  <c r="D2068" i="1"/>
  <c r="E2068" i="1"/>
  <c r="F2068" i="1"/>
  <c r="G2068" i="1"/>
  <c r="H2068" i="1"/>
  <c r="D2069" i="1"/>
  <c r="E2069" i="1"/>
  <c r="F2069" i="1"/>
  <c r="G2069" i="1"/>
  <c r="H2069" i="1"/>
  <c r="D2070" i="1"/>
  <c r="E2070" i="1"/>
  <c r="F2070" i="1"/>
  <c r="G2070" i="1"/>
  <c r="H2070" i="1"/>
  <c r="D2071" i="1"/>
  <c r="E2071" i="1"/>
  <c r="F2071" i="1"/>
  <c r="G2071" i="1"/>
  <c r="H2071" i="1"/>
  <c r="D2072" i="1"/>
  <c r="E2072" i="1"/>
  <c r="F2072" i="1"/>
  <c r="G2072" i="1"/>
  <c r="H2072" i="1"/>
  <c r="D2073" i="1"/>
  <c r="E2073" i="1"/>
  <c r="F2073" i="1"/>
  <c r="G2073" i="1"/>
  <c r="H2073" i="1"/>
  <c r="D2074" i="1"/>
  <c r="E2074" i="1"/>
  <c r="F2074" i="1"/>
  <c r="G2074" i="1"/>
  <c r="H2074" i="1"/>
  <c r="D2075" i="1"/>
  <c r="E2075" i="1"/>
  <c r="F2075" i="1"/>
  <c r="G2075" i="1"/>
  <c r="H2075" i="1"/>
  <c r="D2076" i="1"/>
  <c r="E2076" i="1"/>
  <c r="F2076" i="1"/>
  <c r="G2076" i="1"/>
  <c r="H2076" i="1"/>
  <c r="D2077" i="1"/>
  <c r="E2077" i="1"/>
  <c r="F2077" i="1"/>
  <c r="G2077" i="1"/>
  <c r="H2077" i="1"/>
  <c r="D2078" i="1"/>
  <c r="E2078" i="1"/>
  <c r="F2078" i="1"/>
  <c r="G2078" i="1"/>
  <c r="H2078" i="1"/>
  <c r="D2079" i="1"/>
  <c r="E2079" i="1"/>
  <c r="F2079" i="1"/>
  <c r="G2079" i="1"/>
  <c r="H2079" i="1"/>
  <c r="D2080" i="1"/>
  <c r="E2080" i="1"/>
  <c r="F2080" i="1"/>
  <c r="G2080" i="1"/>
  <c r="H2080" i="1"/>
  <c r="D2081" i="1"/>
  <c r="E2081" i="1"/>
  <c r="F2081" i="1"/>
  <c r="G2081" i="1"/>
  <c r="H2081" i="1"/>
  <c r="D2082" i="1"/>
  <c r="E2082" i="1"/>
  <c r="F2082" i="1"/>
  <c r="G2082" i="1"/>
  <c r="H2082" i="1"/>
  <c r="D2083" i="1"/>
  <c r="E2083" i="1"/>
  <c r="F2083" i="1"/>
  <c r="G2083" i="1"/>
  <c r="H2083" i="1"/>
  <c r="D2084" i="1"/>
  <c r="E2084" i="1"/>
  <c r="F2084" i="1"/>
  <c r="G2084" i="1"/>
  <c r="H2084" i="1"/>
  <c r="D2085" i="1"/>
  <c r="E2085" i="1"/>
  <c r="F2085" i="1"/>
  <c r="G2085" i="1"/>
  <c r="H2085" i="1"/>
  <c r="D2086" i="1"/>
  <c r="E2086" i="1"/>
  <c r="F2086" i="1"/>
  <c r="G2086" i="1"/>
  <c r="H2086" i="1"/>
  <c r="D2087" i="1"/>
  <c r="E2087" i="1"/>
  <c r="F2087" i="1"/>
  <c r="G2087" i="1"/>
  <c r="H2087" i="1"/>
  <c r="D2088" i="1"/>
  <c r="E2088" i="1"/>
  <c r="F2088" i="1"/>
  <c r="G2088" i="1"/>
  <c r="H2088" i="1"/>
  <c r="D2089" i="1"/>
  <c r="E2089" i="1"/>
  <c r="F2089" i="1"/>
  <c r="G2089" i="1"/>
  <c r="H2089" i="1"/>
  <c r="D2090" i="1"/>
  <c r="E2090" i="1"/>
  <c r="F2090" i="1"/>
  <c r="G2090" i="1"/>
  <c r="H2090" i="1"/>
  <c r="D2091" i="1"/>
  <c r="E2091" i="1"/>
  <c r="F2091" i="1"/>
  <c r="G2091" i="1"/>
  <c r="H2091" i="1"/>
  <c r="D2092" i="1"/>
  <c r="E2092" i="1"/>
  <c r="F2092" i="1"/>
  <c r="G2092" i="1"/>
  <c r="H2092" i="1"/>
  <c r="D2093" i="1"/>
  <c r="E2093" i="1"/>
  <c r="F2093" i="1"/>
  <c r="G2093" i="1"/>
  <c r="H2093" i="1"/>
  <c r="D2094" i="1"/>
  <c r="E2094" i="1"/>
  <c r="F2094" i="1"/>
  <c r="G2094" i="1"/>
  <c r="H2094" i="1"/>
  <c r="D2095" i="1"/>
  <c r="E2095" i="1"/>
  <c r="F2095" i="1"/>
  <c r="G2095" i="1"/>
  <c r="H2095" i="1"/>
  <c r="D2096" i="1"/>
  <c r="E2096" i="1"/>
  <c r="F2096" i="1"/>
  <c r="G2096" i="1"/>
  <c r="H2096" i="1"/>
  <c r="D2097" i="1"/>
  <c r="E2097" i="1"/>
  <c r="F2097" i="1"/>
  <c r="G2097" i="1"/>
  <c r="H2097" i="1"/>
  <c r="D2098" i="1"/>
  <c r="E2098" i="1"/>
  <c r="F2098" i="1"/>
  <c r="G2098" i="1"/>
  <c r="H2098" i="1"/>
  <c r="D2099" i="1"/>
  <c r="E2099" i="1"/>
  <c r="F2099" i="1"/>
  <c r="G2099" i="1"/>
  <c r="H2099" i="1"/>
  <c r="D2100" i="1"/>
  <c r="E2100" i="1"/>
  <c r="F2100" i="1"/>
  <c r="G2100" i="1"/>
  <c r="H2100" i="1"/>
  <c r="D2101" i="1"/>
  <c r="E2101" i="1"/>
  <c r="F2101" i="1"/>
  <c r="G2101" i="1"/>
  <c r="H2101" i="1"/>
  <c r="D2102" i="1"/>
  <c r="E2102" i="1"/>
  <c r="F2102" i="1"/>
  <c r="G2102" i="1"/>
  <c r="H2102" i="1"/>
  <c r="D2103" i="1"/>
  <c r="E2103" i="1"/>
  <c r="F2103" i="1"/>
  <c r="G2103" i="1"/>
  <c r="H2103" i="1"/>
  <c r="D2104" i="1"/>
  <c r="E2104" i="1"/>
  <c r="F2104" i="1"/>
  <c r="G2104" i="1"/>
  <c r="H2104" i="1"/>
  <c r="D2105" i="1"/>
  <c r="E2105" i="1"/>
  <c r="F2105" i="1"/>
  <c r="G2105" i="1"/>
  <c r="H2105" i="1"/>
  <c r="D2106" i="1"/>
  <c r="E2106" i="1"/>
  <c r="F2106" i="1"/>
  <c r="G2106" i="1"/>
  <c r="H2106" i="1"/>
  <c r="D2107" i="1"/>
  <c r="E2107" i="1"/>
  <c r="F2107" i="1"/>
  <c r="G2107" i="1"/>
  <c r="H2107" i="1"/>
  <c r="D2108" i="1"/>
  <c r="E2108" i="1"/>
  <c r="F2108" i="1"/>
  <c r="G2108" i="1"/>
  <c r="H2108" i="1"/>
  <c r="D2109" i="1"/>
  <c r="E2109" i="1"/>
  <c r="F2109" i="1"/>
  <c r="G2109" i="1"/>
  <c r="H2109" i="1"/>
  <c r="D2110" i="1"/>
  <c r="E2110" i="1"/>
  <c r="F2110" i="1"/>
  <c r="G2110" i="1"/>
  <c r="H2110" i="1"/>
  <c r="D2111" i="1"/>
  <c r="E2111" i="1"/>
  <c r="F2111" i="1"/>
  <c r="G2111" i="1"/>
  <c r="H2111" i="1"/>
  <c r="D2112" i="1"/>
  <c r="E2112" i="1"/>
  <c r="F2112" i="1"/>
  <c r="G2112" i="1"/>
  <c r="H2112" i="1"/>
  <c r="D2113" i="1"/>
  <c r="E2113" i="1"/>
  <c r="F2113" i="1"/>
  <c r="G2113" i="1"/>
  <c r="H2113" i="1"/>
  <c r="D2114" i="1"/>
  <c r="E2114" i="1"/>
  <c r="F2114" i="1"/>
  <c r="G2114" i="1"/>
  <c r="H2114" i="1"/>
  <c r="D2115" i="1"/>
  <c r="E2115" i="1"/>
  <c r="F2115" i="1"/>
  <c r="G2115" i="1"/>
  <c r="H2115" i="1"/>
  <c r="D2116" i="1"/>
  <c r="E2116" i="1"/>
  <c r="F2116" i="1"/>
  <c r="G2116" i="1"/>
  <c r="H2116" i="1"/>
  <c r="D2117" i="1"/>
  <c r="E2117" i="1"/>
  <c r="F2117" i="1"/>
  <c r="G2117" i="1"/>
  <c r="H2117" i="1"/>
  <c r="D2118" i="1"/>
  <c r="E2118" i="1"/>
  <c r="F2118" i="1"/>
  <c r="G2118" i="1"/>
  <c r="H2118" i="1"/>
  <c r="D2119" i="1"/>
  <c r="E2119" i="1"/>
  <c r="F2119" i="1"/>
  <c r="G2119" i="1"/>
  <c r="H2119" i="1"/>
  <c r="D2120" i="1"/>
  <c r="E2120" i="1"/>
  <c r="F2120" i="1"/>
  <c r="G2120" i="1"/>
  <c r="H2120" i="1"/>
  <c r="D2121" i="1"/>
  <c r="E2121" i="1"/>
  <c r="F2121" i="1"/>
  <c r="G2121" i="1"/>
  <c r="H2121" i="1"/>
  <c r="D2122" i="1"/>
  <c r="E2122" i="1"/>
  <c r="F2122" i="1"/>
  <c r="G2122" i="1"/>
  <c r="H2122" i="1"/>
  <c r="D2123" i="1"/>
  <c r="E2123" i="1"/>
  <c r="F2123" i="1"/>
  <c r="G2123" i="1"/>
  <c r="H2123" i="1"/>
  <c r="D2124" i="1"/>
  <c r="E2124" i="1"/>
  <c r="F2124" i="1"/>
  <c r="G2124" i="1"/>
  <c r="H2124" i="1"/>
  <c r="D2125" i="1"/>
  <c r="E2125" i="1"/>
  <c r="F2125" i="1"/>
  <c r="G2125" i="1"/>
  <c r="H2125" i="1"/>
  <c r="D2126" i="1"/>
  <c r="E2126" i="1"/>
  <c r="F2126" i="1"/>
  <c r="G2126" i="1"/>
  <c r="H2126" i="1"/>
  <c r="D2127" i="1"/>
  <c r="E2127" i="1"/>
  <c r="F2127" i="1"/>
  <c r="G2127" i="1"/>
  <c r="H2127" i="1"/>
  <c r="D2128" i="1"/>
  <c r="E2128" i="1"/>
  <c r="F2128" i="1"/>
  <c r="G2128" i="1"/>
  <c r="H2128" i="1"/>
  <c r="D2129" i="1"/>
  <c r="E2129" i="1"/>
  <c r="F2129" i="1"/>
  <c r="G2129" i="1"/>
  <c r="H2129" i="1"/>
  <c r="D2130" i="1"/>
  <c r="E2130" i="1"/>
  <c r="F2130" i="1"/>
  <c r="G2130" i="1"/>
  <c r="H2130" i="1"/>
  <c r="D2131" i="1"/>
  <c r="E2131" i="1"/>
  <c r="F2131" i="1"/>
  <c r="G2131" i="1"/>
  <c r="H2131" i="1"/>
  <c r="D2132" i="1"/>
  <c r="E2132" i="1"/>
  <c r="F2132" i="1"/>
  <c r="G2132" i="1"/>
  <c r="H2132" i="1"/>
  <c r="D2133" i="1"/>
  <c r="E2133" i="1"/>
  <c r="F2133" i="1"/>
  <c r="G2133" i="1"/>
  <c r="H2133" i="1"/>
  <c r="D2134" i="1"/>
  <c r="E2134" i="1"/>
  <c r="F2134" i="1"/>
  <c r="G2134" i="1"/>
  <c r="H2134" i="1"/>
  <c r="D2135" i="1"/>
  <c r="E2135" i="1"/>
  <c r="F2135" i="1"/>
  <c r="G2135" i="1"/>
  <c r="H2135" i="1"/>
  <c r="D2136" i="1"/>
  <c r="E2136" i="1"/>
  <c r="F2136" i="1"/>
  <c r="G2136" i="1"/>
  <c r="H2136" i="1"/>
  <c r="D2137" i="1"/>
  <c r="E2137" i="1"/>
  <c r="F2137" i="1"/>
  <c r="G2137" i="1"/>
  <c r="H2137" i="1"/>
  <c r="D2138" i="1"/>
  <c r="E2138" i="1"/>
  <c r="F2138" i="1"/>
  <c r="G2138" i="1"/>
  <c r="H2138" i="1"/>
  <c r="D2139" i="1"/>
  <c r="E2139" i="1"/>
  <c r="F2139" i="1"/>
  <c r="G2139" i="1"/>
  <c r="H2139" i="1"/>
  <c r="D2140" i="1"/>
  <c r="E2140" i="1"/>
  <c r="F2140" i="1"/>
  <c r="G2140" i="1"/>
  <c r="H2140" i="1"/>
  <c r="D2141" i="1"/>
  <c r="E2141" i="1"/>
  <c r="F2141" i="1"/>
  <c r="G2141" i="1"/>
  <c r="H2141" i="1"/>
  <c r="D2142" i="1"/>
  <c r="E2142" i="1"/>
  <c r="F2142" i="1"/>
  <c r="G2142" i="1"/>
  <c r="H2142" i="1"/>
  <c r="D2143" i="1"/>
  <c r="E2143" i="1"/>
  <c r="F2143" i="1"/>
  <c r="G2143" i="1"/>
  <c r="H2143" i="1"/>
  <c r="D2144" i="1"/>
  <c r="E2144" i="1"/>
  <c r="F2144" i="1"/>
  <c r="G2144" i="1"/>
  <c r="H2144" i="1"/>
  <c r="D2145" i="1"/>
  <c r="E2145" i="1"/>
  <c r="F2145" i="1"/>
  <c r="G2145" i="1"/>
  <c r="H2145" i="1"/>
  <c r="D2146" i="1"/>
  <c r="E2146" i="1"/>
  <c r="F2146" i="1"/>
  <c r="G2146" i="1"/>
  <c r="H2146" i="1"/>
  <c r="D2147" i="1"/>
  <c r="E2147" i="1"/>
  <c r="F2147" i="1"/>
  <c r="G2147" i="1"/>
  <c r="H2147" i="1"/>
  <c r="D2148" i="1"/>
  <c r="E2148" i="1"/>
  <c r="F2148" i="1"/>
  <c r="G2148" i="1"/>
  <c r="H2148" i="1"/>
  <c r="D2149" i="1"/>
  <c r="E2149" i="1"/>
  <c r="F2149" i="1"/>
  <c r="G2149" i="1"/>
  <c r="H2149" i="1"/>
  <c r="D2150" i="1"/>
  <c r="E2150" i="1"/>
  <c r="F2150" i="1"/>
  <c r="G2150" i="1"/>
  <c r="H2150" i="1"/>
  <c r="D2151" i="1"/>
  <c r="E2151" i="1"/>
  <c r="F2151" i="1"/>
  <c r="G2151" i="1"/>
  <c r="H2151" i="1"/>
  <c r="D2152" i="1"/>
  <c r="E2152" i="1"/>
  <c r="F2152" i="1"/>
  <c r="G2152" i="1"/>
  <c r="H2152" i="1"/>
  <c r="D2153" i="1"/>
  <c r="E2153" i="1"/>
  <c r="F2153" i="1"/>
  <c r="G2153" i="1"/>
  <c r="H2153" i="1"/>
  <c r="D2154" i="1"/>
  <c r="E2154" i="1"/>
  <c r="F2154" i="1"/>
  <c r="G2154" i="1"/>
  <c r="H2154" i="1"/>
  <c r="D2155" i="1"/>
  <c r="E2155" i="1"/>
  <c r="F2155" i="1"/>
  <c r="G2155" i="1"/>
  <c r="H2155" i="1"/>
  <c r="D2156" i="1"/>
  <c r="E2156" i="1"/>
  <c r="F2156" i="1"/>
  <c r="G2156" i="1"/>
  <c r="H2156" i="1"/>
  <c r="D2157" i="1"/>
  <c r="E2157" i="1"/>
  <c r="F2157" i="1"/>
  <c r="G2157" i="1"/>
  <c r="H2157" i="1"/>
  <c r="D2158" i="1"/>
  <c r="E2158" i="1"/>
  <c r="F2158" i="1"/>
  <c r="G2158" i="1"/>
  <c r="H2158" i="1"/>
  <c r="D2159" i="1"/>
  <c r="E2159" i="1"/>
  <c r="F2159" i="1"/>
  <c r="G2159" i="1"/>
  <c r="H2159" i="1"/>
  <c r="D2160" i="1"/>
  <c r="E2160" i="1"/>
  <c r="F2160" i="1"/>
  <c r="G2160" i="1"/>
  <c r="H2160" i="1"/>
  <c r="D2161" i="1"/>
  <c r="E2161" i="1"/>
  <c r="F2161" i="1"/>
  <c r="G2161" i="1"/>
  <c r="H2161" i="1"/>
  <c r="D2162" i="1"/>
  <c r="E2162" i="1"/>
  <c r="F2162" i="1"/>
  <c r="G2162" i="1"/>
  <c r="H2162" i="1"/>
  <c r="D2163" i="1"/>
  <c r="E2163" i="1"/>
  <c r="F2163" i="1"/>
  <c r="G2163" i="1"/>
  <c r="H2163" i="1"/>
  <c r="D2164" i="1"/>
  <c r="E2164" i="1"/>
  <c r="F2164" i="1"/>
  <c r="G2164" i="1"/>
  <c r="H2164" i="1"/>
  <c r="D2165" i="1"/>
  <c r="E2165" i="1"/>
  <c r="F2165" i="1"/>
  <c r="G2165" i="1"/>
  <c r="H2165" i="1"/>
  <c r="D2166" i="1"/>
  <c r="E2166" i="1"/>
  <c r="F2166" i="1"/>
  <c r="G2166" i="1"/>
  <c r="H2166" i="1"/>
  <c r="D2167" i="1"/>
  <c r="E2167" i="1"/>
  <c r="F2167" i="1"/>
  <c r="G2167" i="1"/>
  <c r="H2167" i="1"/>
  <c r="D2168" i="1"/>
  <c r="E2168" i="1"/>
  <c r="F2168" i="1"/>
  <c r="G2168" i="1"/>
  <c r="H2168" i="1"/>
  <c r="D2169" i="1"/>
  <c r="E2169" i="1"/>
  <c r="F2169" i="1"/>
  <c r="G2169" i="1"/>
  <c r="H2169" i="1"/>
  <c r="D2170" i="1"/>
  <c r="E2170" i="1"/>
  <c r="F2170" i="1"/>
  <c r="G2170" i="1"/>
  <c r="H2170" i="1"/>
  <c r="D2171" i="1"/>
  <c r="E2171" i="1"/>
  <c r="F2171" i="1"/>
  <c r="G2171" i="1"/>
  <c r="H2171" i="1"/>
  <c r="D2172" i="1"/>
  <c r="E2172" i="1"/>
  <c r="F2172" i="1"/>
  <c r="G2172" i="1"/>
  <c r="H2172" i="1"/>
  <c r="D2173" i="1"/>
  <c r="E2173" i="1"/>
  <c r="F2173" i="1"/>
  <c r="G2173" i="1"/>
  <c r="H2173" i="1"/>
  <c r="D2174" i="1"/>
  <c r="E2174" i="1"/>
  <c r="F2174" i="1"/>
  <c r="G2174" i="1"/>
  <c r="H2174" i="1"/>
  <c r="D2175" i="1"/>
  <c r="E2175" i="1"/>
  <c r="F2175" i="1"/>
  <c r="G2175" i="1"/>
  <c r="H2175" i="1"/>
  <c r="D2176" i="1"/>
  <c r="E2176" i="1"/>
  <c r="F2176" i="1"/>
  <c r="G2176" i="1"/>
  <c r="H2176" i="1"/>
  <c r="D2177" i="1"/>
  <c r="E2177" i="1"/>
  <c r="F2177" i="1"/>
  <c r="G2177" i="1"/>
  <c r="H2177" i="1"/>
  <c r="D2178" i="1"/>
  <c r="E2178" i="1"/>
  <c r="F2178" i="1"/>
  <c r="G2178" i="1"/>
  <c r="H2178" i="1"/>
  <c r="D2179" i="1"/>
  <c r="E2179" i="1"/>
  <c r="F2179" i="1"/>
  <c r="G2179" i="1"/>
  <c r="H2179" i="1"/>
  <c r="D2180" i="1"/>
  <c r="E2180" i="1"/>
  <c r="F2180" i="1"/>
  <c r="G2180" i="1"/>
  <c r="H2180" i="1"/>
  <c r="D2181" i="1"/>
  <c r="E2181" i="1"/>
  <c r="F2181" i="1"/>
  <c r="G2181" i="1"/>
  <c r="H2181" i="1"/>
  <c r="D2182" i="1"/>
  <c r="E2182" i="1"/>
  <c r="F2182" i="1"/>
  <c r="G2182" i="1"/>
  <c r="H2182" i="1"/>
  <c r="D2183" i="1"/>
  <c r="E2183" i="1"/>
  <c r="F2183" i="1"/>
  <c r="G2183" i="1"/>
  <c r="H2183" i="1"/>
  <c r="D2184" i="1"/>
  <c r="E2184" i="1"/>
  <c r="F2184" i="1"/>
  <c r="G2184" i="1"/>
  <c r="H2184" i="1"/>
  <c r="D2185" i="1"/>
  <c r="E2185" i="1"/>
  <c r="F2185" i="1"/>
  <c r="G2185" i="1"/>
  <c r="H2185" i="1"/>
  <c r="D2186" i="1"/>
  <c r="E2186" i="1"/>
  <c r="F2186" i="1"/>
  <c r="G2186" i="1"/>
  <c r="H2186" i="1"/>
  <c r="D2187" i="1"/>
  <c r="E2187" i="1"/>
  <c r="F2187" i="1"/>
  <c r="G2187" i="1"/>
  <c r="H2187" i="1"/>
  <c r="D2188" i="1"/>
  <c r="E2188" i="1"/>
  <c r="F2188" i="1"/>
  <c r="G2188" i="1"/>
  <c r="H2188" i="1"/>
  <c r="D2189" i="1"/>
  <c r="E2189" i="1"/>
  <c r="F2189" i="1"/>
  <c r="G2189" i="1"/>
  <c r="H2189" i="1"/>
  <c r="D2190" i="1"/>
  <c r="E2190" i="1"/>
  <c r="F2190" i="1"/>
  <c r="G2190" i="1"/>
  <c r="H2190" i="1"/>
  <c r="D2191" i="1"/>
  <c r="E2191" i="1"/>
  <c r="F2191" i="1"/>
  <c r="G2191" i="1"/>
  <c r="H2191" i="1"/>
  <c r="D2192" i="1"/>
  <c r="E2192" i="1"/>
  <c r="F2192" i="1"/>
  <c r="G2192" i="1"/>
  <c r="H2192" i="1"/>
  <c r="D2193" i="1"/>
  <c r="E2193" i="1"/>
  <c r="F2193" i="1"/>
  <c r="G2193" i="1"/>
  <c r="H2193" i="1"/>
  <c r="D2194" i="1"/>
  <c r="E2194" i="1"/>
  <c r="F2194" i="1"/>
  <c r="G2194" i="1"/>
  <c r="H2194" i="1"/>
  <c r="D2195" i="1"/>
  <c r="E2195" i="1"/>
  <c r="F2195" i="1"/>
  <c r="G2195" i="1"/>
  <c r="H2195" i="1"/>
  <c r="D2196" i="1"/>
  <c r="E2196" i="1"/>
  <c r="F2196" i="1"/>
  <c r="G2196" i="1"/>
  <c r="H2196" i="1"/>
  <c r="D2197" i="1"/>
  <c r="E2197" i="1"/>
  <c r="F2197" i="1"/>
  <c r="G2197" i="1"/>
  <c r="H2197" i="1"/>
  <c r="D2198" i="1"/>
  <c r="E2198" i="1"/>
  <c r="F2198" i="1"/>
  <c r="G2198" i="1"/>
  <c r="H2198" i="1"/>
  <c r="D2199" i="1"/>
  <c r="E2199" i="1"/>
  <c r="F2199" i="1"/>
  <c r="G2199" i="1"/>
  <c r="H2199" i="1"/>
  <c r="D2200" i="1"/>
  <c r="E2200" i="1"/>
  <c r="F2200" i="1"/>
  <c r="G2200" i="1"/>
  <c r="H2200" i="1"/>
  <c r="D2201" i="1"/>
  <c r="E2201" i="1"/>
  <c r="F2201" i="1"/>
  <c r="G2201" i="1"/>
  <c r="H2201" i="1"/>
  <c r="D2202" i="1"/>
  <c r="E2202" i="1"/>
  <c r="F2202" i="1"/>
  <c r="G2202" i="1"/>
  <c r="H2202" i="1"/>
  <c r="D2203" i="1"/>
  <c r="E2203" i="1"/>
  <c r="F2203" i="1"/>
  <c r="G2203" i="1"/>
  <c r="H2203" i="1"/>
  <c r="D2204" i="1"/>
  <c r="E2204" i="1"/>
  <c r="F2204" i="1"/>
  <c r="G2204" i="1"/>
  <c r="H2204" i="1"/>
  <c r="D2205" i="1"/>
  <c r="E2205" i="1"/>
  <c r="F2205" i="1"/>
  <c r="G2205" i="1"/>
  <c r="H2205" i="1"/>
  <c r="D2206" i="1"/>
  <c r="E2206" i="1"/>
  <c r="F2206" i="1"/>
  <c r="G2206" i="1"/>
  <c r="H2206" i="1"/>
  <c r="D2207" i="1"/>
  <c r="E2207" i="1"/>
  <c r="F2207" i="1"/>
  <c r="G2207" i="1"/>
  <c r="H2207" i="1"/>
  <c r="D2208" i="1"/>
  <c r="E2208" i="1"/>
  <c r="F2208" i="1"/>
  <c r="G2208" i="1"/>
  <c r="H2208" i="1"/>
  <c r="D2209" i="1"/>
  <c r="E2209" i="1"/>
  <c r="F2209" i="1"/>
  <c r="G2209" i="1"/>
  <c r="H2209" i="1"/>
  <c r="D2210" i="1"/>
  <c r="E2210" i="1"/>
  <c r="F2210" i="1"/>
  <c r="G2210" i="1"/>
  <c r="H2210" i="1"/>
  <c r="D2211" i="1"/>
  <c r="E2211" i="1"/>
  <c r="F2211" i="1"/>
  <c r="G2211" i="1"/>
  <c r="H2211" i="1"/>
  <c r="D2212" i="1"/>
  <c r="E2212" i="1"/>
  <c r="F2212" i="1"/>
  <c r="G2212" i="1"/>
  <c r="H2212" i="1"/>
  <c r="D2213" i="1"/>
  <c r="E2213" i="1"/>
  <c r="F2213" i="1"/>
  <c r="G2213" i="1"/>
  <c r="H2213" i="1"/>
  <c r="D2214" i="1"/>
  <c r="E2214" i="1"/>
  <c r="F2214" i="1"/>
  <c r="G2214" i="1"/>
  <c r="H2214" i="1"/>
  <c r="D2215" i="1"/>
  <c r="E2215" i="1"/>
  <c r="F2215" i="1"/>
  <c r="G2215" i="1"/>
  <c r="H2215" i="1"/>
  <c r="D2216" i="1"/>
  <c r="E2216" i="1"/>
  <c r="F2216" i="1"/>
  <c r="G2216" i="1"/>
  <c r="H2216" i="1"/>
  <c r="D2217" i="1"/>
  <c r="E2217" i="1"/>
  <c r="F2217" i="1"/>
  <c r="G2217" i="1"/>
  <c r="H2217" i="1"/>
  <c r="D2218" i="1"/>
  <c r="E2218" i="1"/>
  <c r="F2218" i="1"/>
  <c r="G2218" i="1"/>
  <c r="H2218" i="1"/>
  <c r="D2219" i="1"/>
  <c r="E2219" i="1"/>
  <c r="F2219" i="1"/>
  <c r="G2219" i="1"/>
  <c r="H2219" i="1"/>
  <c r="D2220" i="1"/>
  <c r="E2220" i="1"/>
  <c r="F2220" i="1"/>
  <c r="G2220" i="1"/>
  <c r="H2220" i="1"/>
  <c r="D2221" i="1"/>
  <c r="E2221" i="1"/>
  <c r="F2221" i="1"/>
  <c r="G2221" i="1"/>
  <c r="H2221" i="1"/>
  <c r="D2222" i="1"/>
  <c r="E2222" i="1"/>
  <c r="F2222" i="1"/>
  <c r="G2222" i="1"/>
  <c r="H2222" i="1"/>
  <c r="D2223" i="1"/>
  <c r="E2223" i="1"/>
  <c r="F2223" i="1"/>
  <c r="G2223" i="1"/>
  <c r="H2223" i="1"/>
  <c r="D2224" i="1"/>
  <c r="E2224" i="1"/>
  <c r="F2224" i="1"/>
  <c r="G2224" i="1"/>
  <c r="H2224" i="1"/>
  <c r="D2225" i="1"/>
  <c r="E2225" i="1"/>
  <c r="F2225" i="1"/>
  <c r="G2225" i="1"/>
  <c r="H2225" i="1"/>
  <c r="D2226" i="1"/>
  <c r="E2226" i="1"/>
  <c r="F2226" i="1"/>
  <c r="G2226" i="1"/>
  <c r="H2226" i="1"/>
  <c r="D2227" i="1"/>
  <c r="E2227" i="1"/>
  <c r="F2227" i="1"/>
  <c r="G2227" i="1"/>
  <c r="H2227" i="1"/>
  <c r="D2228" i="1"/>
  <c r="E2228" i="1"/>
  <c r="F2228" i="1"/>
  <c r="G2228" i="1"/>
  <c r="H2228" i="1"/>
  <c r="D2229" i="1"/>
  <c r="E2229" i="1"/>
  <c r="F2229" i="1"/>
  <c r="G2229" i="1"/>
  <c r="H2229" i="1"/>
  <c r="D2230" i="1"/>
  <c r="E2230" i="1"/>
  <c r="F2230" i="1"/>
  <c r="G2230" i="1"/>
  <c r="H2230" i="1"/>
  <c r="D2231" i="1"/>
  <c r="E2231" i="1"/>
  <c r="F2231" i="1"/>
  <c r="G2231" i="1"/>
  <c r="H2231" i="1"/>
  <c r="D2232" i="1"/>
  <c r="E2232" i="1"/>
  <c r="F2232" i="1"/>
  <c r="G2232" i="1"/>
  <c r="H2232" i="1"/>
  <c r="D2233" i="1"/>
  <c r="E2233" i="1"/>
  <c r="F2233" i="1"/>
  <c r="G2233" i="1"/>
  <c r="H2233" i="1"/>
  <c r="D2234" i="1"/>
  <c r="E2234" i="1"/>
  <c r="F2234" i="1"/>
  <c r="G2234" i="1"/>
  <c r="H2234" i="1"/>
  <c r="D2235" i="1"/>
  <c r="E2235" i="1"/>
  <c r="F2235" i="1"/>
  <c r="G2235" i="1"/>
  <c r="H2235" i="1"/>
  <c r="D2236" i="1"/>
  <c r="E2236" i="1"/>
  <c r="F2236" i="1"/>
  <c r="G2236" i="1"/>
  <c r="H2236" i="1"/>
  <c r="D2237" i="1"/>
  <c r="E2237" i="1"/>
  <c r="F2237" i="1"/>
  <c r="G2237" i="1"/>
  <c r="H2237" i="1"/>
  <c r="D2238" i="1"/>
  <c r="E2238" i="1"/>
  <c r="F2238" i="1"/>
  <c r="G2238" i="1"/>
  <c r="H2238" i="1"/>
  <c r="D2239" i="1"/>
  <c r="E2239" i="1"/>
  <c r="F2239" i="1"/>
  <c r="G2239" i="1"/>
  <c r="H2239" i="1"/>
  <c r="D2240" i="1"/>
  <c r="E2240" i="1"/>
  <c r="F2240" i="1"/>
  <c r="G2240" i="1"/>
  <c r="H2240" i="1"/>
  <c r="D2241" i="1"/>
  <c r="E2241" i="1"/>
  <c r="F2241" i="1"/>
  <c r="G2241" i="1"/>
  <c r="H2241" i="1"/>
  <c r="D2242" i="1"/>
  <c r="E2242" i="1"/>
  <c r="F2242" i="1"/>
  <c r="G2242" i="1"/>
  <c r="H2242" i="1"/>
  <c r="D2243" i="1"/>
  <c r="E2243" i="1"/>
  <c r="F2243" i="1"/>
  <c r="G2243" i="1"/>
  <c r="H2243" i="1"/>
  <c r="D2244" i="1"/>
  <c r="E2244" i="1"/>
  <c r="F2244" i="1"/>
  <c r="G2244" i="1"/>
  <c r="H2244" i="1"/>
  <c r="D2245" i="1"/>
  <c r="E2245" i="1"/>
  <c r="F2245" i="1"/>
  <c r="G2245" i="1"/>
  <c r="H2245" i="1"/>
  <c r="D2246" i="1"/>
  <c r="E2246" i="1"/>
  <c r="F2246" i="1"/>
  <c r="G2246" i="1"/>
  <c r="H2246" i="1"/>
  <c r="D2247" i="1"/>
  <c r="E2247" i="1"/>
  <c r="F2247" i="1"/>
  <c r="G2247" i="1"/>
  <c r="H2247" i="1"/>
  <c r="D2248" i="1"/>
  <c r="E2248" i="1"/>
  <c r="F2248" i="1"/>
  <c r="G2248" i="1"/>
  <c r="H2248" i="1"/>
  <c r="D2249" i="1"/>
  <c r="E2249" i="1"/>
  <c r="F2249" i="1"/>
  <c r="G2249" i="1"/>
  <c r="H2249" i="1"/>
  <c r="D2250" i="1"/>
  <c r="E2250" i="1"/>
  <c r="F2250" i="1"/>
  <c r="G2250" i="1"/>
  <c r="H2250" i="1"/>
  <c r="D2251" i="1"/>
  <c r="E2251" i="1"/>
  <c r="F2251" i="1"/>
  <c r="G2251" i="1"/>
  <c r="H2251" i="1"/>
  <c r="D2252" i="1"/>
  <c r="E2252" i="1"/>
  <c r="F2252" i="1"/>
  <c r="G2252" i="1"/>
  <c r="H2252" i="1"/>
  <c r="D2253" i="1"/>
  <c r="E2253" i="1"/>
  <c r="F2253" i="1"/>
  <c r="G2253" i="1"/>
  <c r="H2253" i="1"/>
  <c r="D2254" i="1"/>
  <c r="E2254" i="1"/>
  <c r="F2254" i="1"/>
  <c r="G2254" i="1"/>
  <c r="H2254" i="1"/>
  <c r="D2255" i="1"/>
  <c r="E2255" i="1"/>
  <c r="F2255" i="1"/>
  <c r="G2255" i="1"/>
  <c r="H2255" i="1"/>
  <c r="D2256" i="1"/>
  <c r="E2256" i="1"/>
  <c r="F2256" i="1"/>
  <c r="G2256" i="1"/>
  <c r="H2256" i="1"/>
  <c r="D2257" i="1"/>
  <c r="E2257" i="1"/>
  <c r="F2257" i="1"/>
  <c r="G2257" i="1"/>
  <c r="H2257" i="1"/>
  <c r="D2258" i="1"/>
  <c r="E2258" i="1"/>
  <c r="F2258" i="1"/>
  <c r="G2258" i="1"/>
  <c r="H2258" i="1"/>
  <c r="D2259" i="1"/>
  <c r="E2259" i="1"/>
  <c r="F2259" i="1"/>
  <c r="G2259" i="1"/>
  <c r="H2259" i="1"/>
  <c r="D2260" i="1"/>
  <c r="E2260" i="1"/>
  <c r="F2260" i="1"/>
  <c r="G2260" i="1"/>
  <c r="H2260" i="1"/>
  <c r="D2261" i="1"/>
  <c r="E2261" i="1"/>
  <c r="F2261" i="1"/>
  <c r="G2261" i="1"/>
  <c r="H2261" i="1"/>
  <c r="D2262" i="1"/>
  <c r="E2262" i="1"/>
  <c r="F2262" i="1"/>
  <c r="G2262" i="1"/>
  <c r="H2262" i="1"/>
  <c r="D2263" i="1"/>
  <c r="E2263" i="1"/>
  <c r="F2263" i="1"/>
  <c r="G2263" i="1"/>
  <c r="H2263" i="1"/>
  <c r="D2264" i="1"/>
  <c r="E2264" i="1"/>
  <c r="F2264" i="1"/>
  <c r="G2264" i="1"/>
  <c r="H2264" i="1"/>
  <c r="D2265" i="1"/>
  <c r="E2265" i="1"/>
  <c r="F2265" i="1"/>
  <c r="G2265" i="1"/>
  <c r="H2265" i="1"/>
  <c r="D2266" i="1"/>
  <c r="E2266" i="1"/>
  <c r="F2266" i="1"/>
  <c r="G2266" i="1"/>
  <c r="H2266" i="1"/>
  <c r="D2267" i="1"/>
  <c r="E2267" i="1"/>
  <c r="F2267" i="1"/>
  <c r="G2267" i="1"/>
  <c r="H2267" i="1"/>
  <c r="D2268" i="1"/>
  <c r="E2268" i="1"/>
  <c r="F2268" i="1"/>
  <c r="G2268" i="1"/>
  <c r="H2268" i="1"/>
  <c r="D2269" i="1"/>
  <c r="E2269" i="1"/>
  <c r="F2269" i="1"/>
  <c r="G2269" i="1"/>
  <c r="H2269" i="1"/>
  <c r="D2270" i="1"/>
  <c r="E2270" i="1"/>
  <c r="F2270" i="1"/>
  <c r="G2270" i="1"/>
  <c r="H2270" i="1"/>
  <c r="D2271" i="1"/>
  <c r="E2271" i="1"/>
  <c r="F2271" i="1"/>
  <c r="G2271" i="1"/>
  <c r="H2271" i="1"/>
  <c r="D2272" i="1"/>
  <c r="E2272" i="1"/>
  <c r="F2272" i="1"/>
  <c r="G2272" i="1"/>
  <c r="H2272" i="1"/>
  <c r="D2273" i="1"/>
  <c r="E2273" i="1"/>
  <c r="F2273" i="1"/>
  <c r="G2273" i="1"/>
  <c r="H2273" i="1"/>
  <c r="D2274" i="1"/>
  <c r="E2274" i="1"/>
  <c r="F2274" i="1"/>
  <c r="G2274" i="1"/>
  <c r="H2274" i="1"/>
  <c r="D2275" i="1"/>
  <c r="E2275" i="1"/>
  <c r="F2275" i="1"/>
  <c r="G2275" i="1"/>
  <c r="H2275" i="1"/>
  <c r="D2276" i="1"/>
  <c r="E2276" i="1"/>
  <c r="F2276" i="1"/>
  <c r="G2276" i="1"/>
  <c r="H2276" i="1"/>
  <c r="D2277" i="1"/>
  <c r="E2277" i="1"/>
  <c r="F2277" i="1"/>
  <c r="G2277" i="1"/>
  <c r="H2277" i="1"/>
  <c r="D2278" i="1"/>
  <c r="E2278" i="1"/>
  <c r="F2278" i="1"/>
  <c r="G2278" i="1"/>
  <c r="H2278" i="1"/>
  <c r="D2279" i="1"/>
  <c r="E2279" i="1"/>
  <c r="F2279" i="1"/>
  <c r="G2279" i="1"/>
  <c r="H2279" i="1"/>
  <c r="D2280" i="1"/>
  <c r="E2280" i="1"/>
  <c r="F2280" i="1"/>
  <c r="G2280" i="1"/>
  <c r="H2280" i="1"/>
  <c r="D2281" i="1"/>
  <c r="E2281" i="1"/>
  <c r="F2281" i="1"/>
  <c r="G2281" i="1"/>
  <c r="H2281" i="1"/>
  <c r="D2282" i="1"/>
  <c r="E2282" i="1"/>
  <c r="F2282" i="1"/>
  <c r="G2282" i="1"/>
  <c r="H2282" i="1"/>
  <c r="D2283" i="1"/>
  <c r="E2283" i="1"/>
  <c r="F2283" i="1"/>
  <c r="G2283" i="1"/>
  <c r="H2283" i="1"/>
  <c r="D2284" i="1"/>
  <c r="E2284" i="1"/>
  <c r="F2284" i="1"/>
  <c r="G2284" i="1"/>
  <c r="H2284" i="1"/>
  <c r="D2285" i="1"/>
  <c r="E2285" i="1"/>
  <c r="F2285" i="1"/>
  <c r="G2285" i="1"/>
  <c r="H2285" i="1"/>
  <c r="D2286" i="1"/>
  <c r="E2286" i="1"/>
  <c r="F2286" i="1"/>
  <c r="G2286" i="1"/>
  <c r="H2286" i="1"/>
  <c r="D2287" i="1"/>
  <c r="E2287" i="1"/>
  <c r="F2287" i="1"/>
  <c r="G2287" i="1"/>
  <c r="H2287" i="1"/>
  <c r="D2288" i="1"/>
  <c r="E2288" i="1"/>
  <c r="F2288" i="1"/>
  <c r="G2288" i="1"/>
  <c r="H2288" i="1"/>
  <c r="D2289" i="1"/>
  <c r="E2289" i="1"/>
  <c r="F2289" i="1"/>
  <c r="G2289" i="1"/>
  <c r="H2289" i="1"/>
  <c r="D2290" i="1"/>
  <c r="E2290" i="1"/>
  <c r="F2290" i="1"/>
  <c r="G2290" i="1"/>
  <c r="H2290" i="1"/>
  <c r="D2291" i="1"/>
  <c r="E2291" i="1"/>
  <c r="F2291" i="1"/>
  <c r="G2291" i="1"/>
  <c r="H2291" i="1"/>
  <c r="D2292" i="1"/>
  <c r="E2292" i="1"/>
  <c r="F2292" i="1"/>
  <c r="G2292" i="1"/>
  <c r="H2292" i="1"/>
  <c r="D2293" i="1"/>
  <c r="E2293" i="1"/>
  <c r="F2293" i="1"/>
  <c r="G2293" i="1"/>
  <c r="H2293" i="1"/>
  <c r="D2294" i="1"/>
  <c r="E2294" i="1"/>
  <c r="F2294" i="1"/>
  <c r="G2294" i="1"/>
  <c r="H2294" i="1"/>
  <c r="D2295" i="1"/>
  <c r="E2295" i="1"/>
  <c r="F2295" i="1"/>
  <c r="G2295" i="1"/>
  <c r="H2295" i="1"/>
  <c r="D2296" i="1"/>
  <c r="E2296" i="1"/>
  <c r="F2296" i="1"/>
  <c r="G2296" i="1"/>
  <c r="H2296" i="1"/>
  <c r="D2297" i="1"/>
  <c r="E2297" i="1"/>
  <c r="F2297" i="1"/>
  <c r="G2297" i="1"/>
  <c r="H2297" i="1"/>
  <c r="D2298" i="1"/>
  <c r="E2298" i="1"/>
  <c r="F2298" i="1"/>
  <c r="G2298" i="1"/>
  <c r="H2298" i="1"/>
  <c r="D2299" i="1"/>
  <c r="E2299" i="1"/>
  <c r="F2299" i="1"/>
  <c r="G2299" i="1"/>
  <c r="H2299" i="1"/>
  <c r="D2300" i="1"/>
  <c r="E2300" i="1"/>
  <c r="F2300" i="1"/>
  <c r="G2300" i="1"/>
  <c r="H2300" i="1"/>
  <c r="D2301" i="1"/>
  <c r="E2301" i="1"/>
  <c r="F2301" i="1"/>
  <c r="G2301" i="1"/>
  <c r="H2301" i="1"/>
  <c r="D2302" i="1"/>
  <c r="E2302" i="1"/>
  <c r="F2302" i="1"/>
  <c r="G2302" i="1"/>
  <c r="H2302" i="1"/>
  <c r="D2303" i="1"/>
  <c r="E2303" i="1"/>
  <c r="F2303" i="1"/>
  <c r="G2303" i="1"/>
  <c r="H2303" i="1"/>
  <c r="D2304" i="1"/>
  <c r="E2304" i="1"/>
  <c r="F2304" i="1"/>
  <c r="G2304" i="1"/>
  <c r="H2304" i="1"/>
  <c r="D2305" i="1"/>
  <c r="E2305" i="1"/>
  <c r="F2305" i="1"/>
  <c r="G2305" i="1"/>
  <c r="H2305" i="1"/>
  <c r="D2306" i="1"/>
  <c r="E2306" i="1"/>
  <c r="F2306" i="1"/>
  <c r="G2306" i="1"/>
  <c r="H2306" i="1"/>
  <c r="D2307" i="1"/>
  <c r="E2307" i="1"/>
  <c r="F2307" i="1"/>
  <c r="G2307" i="1"/>
  <c r="H2307" i="1"/>
  <c r="D2308" i="1"/>
  <c r="E2308" i="1"/>
  <c r="F2308" i="1"/>
  <c r="G2308" i="1"/>
  <c r="H2308" i="1"/>
  <c r="D2309" i="1"/>
  <c r="E2309" i="1"/>
  <c r="F2309" i="1"/>
  <c r="G2309" i="1"/>
  <c r="H2309" i="1"/>
  <c r="D2310" i="1"/>
  <c r="E2310" i="1"/>
  <c r="F2310" i="1"/>
  <c r="G2310" i="1"/>
  <c r="H2310" i="1"/>
  <c r="D2311" i="1"/>
  <c r="E2311" i="1"/>
  <c r="F2311" i="1"/>
  <c r="G2311" i="1"/>
  <c r="H2311" i="1"/>
  <c r="D2312" i="1"/>
  <c r="E2312" i="1"/>
  <c r="F2312" i="1"/>
  <c r="G2312" i="1"/>
  <c r="H2312" i="1"/>
  <c r="D2313" i="1"/>
  <c r="E2313" i="1"/>
  <c r="F2313" i="1"/>
  <c r="G2313" i="1"/>
  <c r="H2313" i="1"/>
  <c r="D2314" i="1"/>
  <c r="E2314" i="1"/>
  <c r="F2314" i="1"/>
  <c r="G2314" i="1"/>
  <c r="H2314" i="1"/>
  <c r="D2315" i="1"/>
  <c r="E2315" i="1"/>
  <c r="F2315" i="1"/>
  <c r="G2315" i="1"/>
  <c r="H2315" i="1"/>
  <c r="D2316" i="1"/>
  <c r="E2316" i="1"/>
  <c r="F2316" i="1"/>
  <c r="G2316" i="1"/>
  <c r="H2316" i="1"/>
  <c r="D2317" i="1"/>
  <c r="E2317" i="1"/>
  <c r="F2317" i="1"/>
  <c r="G2317" i="1"/>
  <c r="H2317" i="1"/>
  <c r="D2318" i="1"/>
  <c r="E2318" i="1"/>
  <c r="F2318" i="1"/>
  <c r="G2318" i="1"/>
  <c r="H2318" i="1"/>
  <c r="D2319" i="1"/>
  <c r="E2319" i="1"/>
  <c r="F2319" i="1"/>
  <c r="G2319" i="1"/>
  <c r="H2319" i="1"/>
  <c r="D2320" i="1"/>
  <c r="E2320" i="1"/>
  <c r="F2320" i="1"/>
  <c r="G2320" i="1"/>
  <c r="H2320" i="1"/>
  <c r="D2321" i="1"/>
  <c r="E2321" i="1"/>
  <c r="F2321" i="1"/>
  <c r="G2321" i="1"/>
  <c r="H2321" i="1"/>
  <c r="D2322" i="1"/>
  <c r="E2322" i="1"/>
  <c r="F2322" i="1"/>
  <c r="G2322" i="1"/>
  <c r="H2322" i="1"/>
  <c r="D2323" i="1"/>
  <c r="E2323" i="1"/>
  <c r="F2323" i="1"/>
  <c r="G2323" i="1"/>
  <c r="H2323" i="1"/>
  <c r="D2324" i="1"/>
  <c r="E2324" i="1"/>
  <c r="F2324" i="1"/>
  <c r="G2324" i="1"/>
  <c r="H2324" i="1"/>
  <c r="D2325" i="1"/>
  <c r="E2325" i="1"/>
  <c r="F2325" i="1"/>
  <c r="G2325" i="1"/>
  <c r="H2325" i="1"/>
  <c r="D2326" i="1"/>
  <c r="E2326" i="1"/>
  <c r="F2326" i="1"/>
  <c r="G2326" i="1"/>
  <c r="H2326" i="1"/>
  <c r="D2327" i="1"/>
  <c r="E2327" i="1"/>
  <c r="F2327" i="1"/>
  <c r="G2327" i="1"/>
  <c r="H2327" i="1"/>
  <c r="D2328" i="1"/>
  <c r="E2328" i="1"/>
  <c r="F2328" i="1"/>
  <c r="G2328" i="1"/>
  <c r="H2328" i="1"/>
  <c r="D2329" i="1"/>
  <c r="E2329" i="1"/>
  <c r="F2329" i="1"/>
  <c r="G2329" i="1"/>
  <c r="H2329" i="1"/>
  <c r="D2330" i="1"/>
  <c r="E2330" i="1"/>
  <c r="F2330" i="1"/>
  <c r="G2330" i="1"/>
  <c r="H2330" i="1"/>
  <c r="D2331" i="1"/>
  <c r="E2331" i="1"/>
  <c r="F2331" i="1"/>
  <c r="G2331" i="1"/>
  <c r="H2331" i="1"/>
  <c r="D2332" i="1"/>
  <c r="E2332" i="1"/>
  <c r="F2332" i="1"/>
  <c r="G2332" i="1"/>
  <c r="H2332" i="1"/>
  <c r="D2333" i="1"/>
  <c r="E2333" i="1"/>
  <c r="F2333" i="1"/>
  <c r="G2333" i="1"/>
  <c r="H2333" i="1"/>
  <c r="D2334" i="1"/>
  <c r="E2334" i="1"/>
  <c r="F2334" i="1"/>
  <c r="G2334" i="1"/>
  <c r="H2334" i="1"/>
  <c r="D2335" i="1"/>
  <c r="E2335" i="1"/>
  <c r="F2335" i="1"/>
  <c r="G2335" i="1"/>
  <c r="H2335" i="1"/>
  <c r="D2336" i="1"/>
  <c r="E2336" i="1"/>
  <c r="F2336" i="1"/>
  <c r="G2336" i="1"/>
  <c r="H2336" i="1"/>
  <c r="D2337" i="1"/>
  <c r="E2337" i="1"/>
  <c r="F2337" i="1"/>
  <c r="G2337" i="1"/>
  <c r="H2337" i="1"/>
  <c r="D2338" i="1"/>
  <c r="E2338" i="1"/>
  <c r="F2338" i="1"/>
  <c r="G2338" i="1"/>
  <c r="H2338" i="1"/>
  <c r="D2339" i="1"/>
  <c r="E2339" i="1"/>
  <c r="F2339" i="1"/>
  <c r="G2339" i="1"/>
  <c r="H2339" i="1"/>
  <c r="D2340" i="1"/>
  <c r="E2340" i="1"/>
  <c r="F2340" i="1"/>
  <c r="G2340" i="1"/>
  <c r="H2340" i="1"/>
  <c r="D2341" i="1"/>
  <c r="E2341" i="1"/>
  <c r="F2341" i="1"/>
  <c r="G2341" i="1"/>
  <c r="H2341" i="1"/>
  <c r="D2342" i="1"/>
  <c r="E2342" i="1"/>
  <c r="F2342" i="1"/>
  <c r="G2342" i="1"/>
  <c r="H2342" i="1"/>
  <c r="D2343" i="1"/>
  <c r="E2343" i="1"/>
  <c r="F2343" i="1"/>
  <c r="G2343" i="1"/>
  <c r="H2343" i="1"/>
  <c r="D2344" i="1"/>
  <c r="E2344" i="1"/>
  <c r="F2344" i="1"/>
  <c r="G2344" i="1"/>
  <c r="H2344" i="1"/>
  <c r="D2345" i="1"/>
  <c r="E2345" i="1"/>
  <c r="F2345" i="1"/>
  <c r="G2345" i="1"/>
  <c r="H2345" i="1"/>
  <c r="D2346" i="1"/>
  <c r="E2346" i="1"/>
  <c r="F2346" i="1"/>
  <c r="G2346" i="1"/>
  <c r="H2346" i="1"/>
  <c r="D2347" i="1"/>
  <c r="E2347" i="1"/>
  <c r="F2347" i="1"/>
  <c r="G2347" i="1"/>
  <c r="H2347" i="1"/>
  <c r="D2348" i="1"/>
  <c r="E2348" i="1"/>
  <c r="F2348" i="1"/>
  <c r="G2348" i="1"/>
  <c r="H2348" i="1"/>
  <c r="D2349" i="1"/>
  <c r="E2349" i="1"/>
  <c r="F2349" i="1"/>
  <c r="G2349" i="1"/>
  <c r="H2349" i="1"/>
  <c r="D2350" i="1"/>
  <c r="E2350" i="1"/>
  <c r="F2350" i="1"/>
  <c r="G2350" i="1"/>
  <c r="H2350" i="1"/>
  <c r="D2351" i="1"/>
  <c r="E2351" i="1"/>
  <c r="F2351" i="1"/>
  <c r="G2351" i="1"/>
  <c r="H2351" i="1"/>
  <c r="D2352" i="1"/>
  <c r="E2352" i="1"/>
  <c r="F2352" i="1"/>
  <c r="G2352" i="1"/>
  <c r="H2352" i="1"/>
  <c r="D2353" i="1"/>
  <c r="E2353" i="1"/>
  <c r="F2353" i="1"/>
  <c r="G2353" i="1"/>
  <c r="H2353" i="1"/>
  <c r="D2354" i="1"/>
  <c r="E2354" i="1"/>
  <c r="F2354" i="1"/>
  <c r="G2354" i="1"/>
  <c r="H2354" i="1"/>
  <c r="D2355" i="1"/>
  <c r="E2355" i="1"/>
  <c r="F2355" i="1"/>
  <c r="G2355" i="1"/>
  <c r="H2355" i="1"/>
  <c r="D2356" i="1"/>
  <c r="E2356" i="1"/>
  <c r="F2356" i="1"/>
  <c r="G2356" i="1"/>
  <c r="H2356" i="1"/>
  <c r="D2357" i="1"/>
  <c r="E2357" i="1"/>
  <c r="F2357" i="1"/>
  <c r="G2357" i="1"/>
  <c r="H2357" i="1"/>
  <c r="D2358" i="1"/>
  <c r="E2358" i="1"/>
  <c r="F2358" i="1"/>
  <c r="G2358" i="1"/>
  <c r="H2358" i="1"/>
  <c r="D2359" i="1"/>
  <c r="E2359" i="1"/>
  <c r="F2359" i="1"/>
  <c r="G2359" i="1"/>
  <c r="H2359" i="1"/>
  <c r="D2360" i="1"/>
  <c r="E2360" i="1"/>
  <c r="F2360" i="1"/>
  <c r="G2360" i="1"/>
  <c r="H2360" i="1"/>
  <c r="D2361" i="1"/>
  <c r="E2361" i="1"/>
  <c r="F2361" i="1"/>
  <c r="G2361" i="1"/>
  <c r="H2361" i="1"/>
  <c r="D2362" i="1"/>
  <c r="E2362" i="1"/>
  <c r="F2362" i="1"/>
  <c r="G2362" i="1"/>
  <c r="H2362" i="1"/>
  <c r="D2363" i="1"/>
  <c r="E2363" i="1"/>
  <c r="F2363" i="1"/>
  <c r="G2363" i="1"/>
  <c r="H2363" i="1"/>
  <c r="D2364" i="1"/>
  <c r="E2364" i="1"/>
  <c r="F2364" i="1"/>
  <c r="G2364" i="1"/>
  <c r="H2364" i="1"/>
  <c r="D2365" i="1"/>
  <c r="E2365" i="1"/>
  <c r="F2365" i="1"/>
  <c r="G2365" i="1"/>
  <c r="H2365" i="1"/>
  <c r="D2366" i="1"/>
  <c r="E2366" i="1"/>
  <c r="F2366" i="1"/>
  <c r="G2366" i="1"/>
  <c r="H2366" i="1"/>
  <c r="D2367" i="1"/>
  <c r="E2367" i="1"/>
  <c r="F2367" i="1"/>
  <c r="G2367" i="1"/>
  <c r="H2367" i="1"/>
  <c r="D2368" i="1"/>
  <c r="E2368" i="1"/>
  <c r="F2368" i="1"/>
  <c r="G2368" i="1"/>
  <c r="H2368" i="1"/>
  <c r="D2369" i="1"/>
  <c r="E2369" i="1"/>
  <c r="F2369" i="1"/>
  <c r="G2369" i="1"/>
  <c r="H2369" i="1"/>
  <c r="D2370" i="1"/>
  <c r="E2370" i="1"/>
  <c r="F2370" i="1"/>
  <c r="G2370" i="1"/>
  <c r="H2370" i="1"/>
  <c r="D2371" i="1"/>
  <c r="E2371" i="1"/>
  <c r="F2371" i="1"/>
  <c r="G2371" i="1"/>
  <c r="H2371" i="1"/>
  <c r="D2372" i="1"/>
  <c r="E2372" i="1"/>
  <c r="F2372" i="1"/>
  <c r="G2372" i="1"/>
  <c r="H2372" i="1"/>
  <c r="D2373" i="1"/>
  <c r="E2373" i="1"/>
  <c r="F2373" i="1"/>
  <c r="G2373" i="1"/>
  <c r="H2373" i="1"/>
  <c r="D2374" i="1"/>
  <c r="E2374" i="1"/>
  <c r="F2374" i="1"/>
  <c r="G2374" i="1"/>
  <c r="H2374" i="1"/>
  <c r="D2375" i="1"/>
  <c r="E2375" i="1"/>
  <c r="F2375" i="1"/>
  <c r="G2375" i="1"/>
  <c r="H2375" i="1"/>
  <c r="D2376" i="1"/>
  <c r="E2376" i="1"/>
  <c r="F2376" i="1"/>
  <c r="G2376" i="1"/>
  <c r="H2376" i="1"/>
  <c r="D2377" i="1"/>
  <c r="E2377" i="1"/>
  <c r="F2377" i="1"/>
  <c r="G2377" i="1"/>
  <c r="H2377" i="1"/>
  <c r="D2378" i="1"/>
  <c r="E2378" i="1"/>
  <c r="F2378" i="1"/>
  <c r="G2378" i="1"/>
  <c r="H2378" i="1"/>
  <c r="D2379" i="1"/>
  <c r="E2379" i="1"/>
  <c r="F2379" i="1"/>
  <c r="G2379" i="1"/>
  <c r="H2379" i="1"/>
  <c r="D2380" i="1"/>
  <c r="E2380" i="1"/>
  <c r="F2380" i="1"/>
  <c r="G2380" i="1"/>
  <c r="H2380" i="1"/>
  <c r="D2381" i="1"/>
  <c r="E2381" i="1"/>
  <c r="F2381" i="1"/>
  <c r="G2381" i="1"/>
  <c r="H2381" i="1"/>
  <c r="D2382" i="1"/>
  <c r="E2382" i="1"/>
  <c r="F2382" i="1"/>
  <c r="G2382" i="1"/>
  <c r="H2382" i="1"/>
  <c r="D2383" i="1"/>
  <c r="E2383" i="1"/>
  <c r="F2383" i="1"/>
  <c r="G2383" i="1"/>
  <c r="H2383" i="1"/>
  <c r="D2384" i="1"/>
  <c r="E2384" i="1"/>
  <c r="F2384" i="1"/>
  <c r="G2384" i="1"/>
  <c r="H2384" i="1"/>
  <c r="D2385" i="1"/>
  <c r="E2385" i="1"/>
  <c r="F2385" i="1"/>
  <c r="G2385" i="1"/>
  <c r="H2385" i="1"/>
  <c r="D2386" i="1"/>
  <c r="E2386" i="1"/>
  <c r="F2386" i="1"/>
  <c r="G2386" i="1"/>
  <c r="H2386" i="1"/>
  <c r="D2387" i="1"/>
  <c r="E2387" i="1"/>
  <c r="F2387" i="1"/>
  <c r="G2387" i="1"/>
  <c r="H2387" i="1"/>
  <c r="D2388" i="1"/>
  <c r="E2388" i="1"/>
  <c r="F2388" i="1"/>
  <c r="G2388" i="1"/>
  <c r="H2388" i="1"/>
  <c r="D2389" i="1"/>
  <c r="E2389" i="1"/>
  <c r="F2389" i="1"/>
  <c r="G2389" i="1"/>
  <c r="H2389" i="1"/>
  <c r="D2390" i="1"/>
  <c r="E2390" i="1"/>
  <c r="F2390" i="1"/>
  <c r="G2390" i="1"/>
  <c r="H2390" i="1"/>
  <c r="D2391" i="1"/>
  <c r="E2391" i="1"/>
  <c r="F2391" i="1"/>
  <c r="G2391" i="1"/>
  <c r="H2391" i="1"/>
  <c r="D2392" i="1"/>
  <c r="E2392" i="1"/>
  <c r="F2392" i="1"/>
  <c r="G2392" i="1"/>
  <c r="H2392" i="1"/>
  <c r="D2393" i="1"/>
  <c r="E2393" i="1"/>
  <c r="F2393" i="1"/>
  <c r="G2393" i="1"/>
  <c r="H2393" i="1"/>
  <c r="D2394" i="1"/>
  <c r="E2394" i="1"/>
  <c r="F2394" i="1"/>
  <c r="G2394" i="1"/>
  <c r="H2394" i="1"/>
  <c r="D2395" i="1"/>
  <c r="E2395" i="1"/>
  <c r="F2395" i="1"/>
  <c r="G2395" i="1"/>
  <c r="H2395" i="1"/>
  <c r="D2396" i="1"/>
  <c r="E2396" i="1"/>
  <c r="F2396" i="1"/>
  <c r="G2396" i="1"/>
  <c r="H2396" i="1"/>
  <c r="D2397" i="1"/>
  <c r="E2397" i="1"/>
  <c r="F2397" i="1"/>
  <c r="G2397" i="1"/>
  <c r="H2397" i="1"/>
  <c r="D2398" i="1"/>
  <c r="E2398" i="1"/>
  <c r="F2398" i="1"/>
  <c r="G2398" i="1"/>
  <c r="H2398" i="1"/>
  <c r="D2399" i="1"/>
  <c r="E2399" i="1"/>
  <c r="F2399" i="1"/>
  <c r="G2399" i="1"/>
  <c r="H2399" i="1"/>
  <c r="D2400" i="1"/>
  <c r="E2400" i="1"/>
  <c r="F2400" i="1"/>
  <c r="G2400" i="1"/>
  <c r="H2400" i="1"/>
  <c r="D2401" i="1"/>
  <c r="E2401" i="1"/>
  <c r="F2401" i="1"/>
  <c r="G2401" i="1"/>
  <c r="H2401" i="1"/>
  <c r="D2402" i="1"/>
  <c r="E2402" i="1"/>
  <c r="F2402" i="1"/>
  <c r="G2402" i="1"/>
  <c r="H2402" i="1"/>
  <c r="D2403" i="1"/>
  <c r="E2403" i="1"/>
  <c r="F2403" i="1"/>
  <c r="G2403" i="1"/>
  <c r="H2403" i="1"/>
  <c r="D2404" i="1"/>
  <c r="E2404" i="1"/>
  <c r="F2404" i="1"/>
  <c r="G2404" i="1"/>
  <c r="H2404" i="1"/>
  <c r="D2405" i="1"/>
  <c r="E2405" i="1"/>
  <c r="F2405" i="1"/>
  <c r="G2405" i="1"/>
  <c r="H2405" i="1"/>
  <c r="D2406" i="1"/>
  <c r="E2406" i="1"/>
  <c r="F2406" i="1"/>
  <c r="G2406" i="1"/>
  <c r="H2406" i="1"/>
  <c r="D2407" i="1"/>
  <c r="E2407" i="1"/>
  <c r="F2407" i="1"/>
  <c r="G2407" i="1"/>
  <c r="H2407" i="1"/>
  <c r="D2408" i="1"/>
  <c r="E2408" i="1"/>
  <c r="F2408" i="1"/>
  <c r="G2408" i="1"/>
  <c r="H2408" i="1"/>
  <c r="D2409" i="1"/>
  <c r="E2409" i="1"/>
  <c r="F2409" i="1"/>
  <c r="G2409" i="1"/>
  <c r="H2409" i="1"/>
  <c r="D2410" i="1"/>
  <c r="E2410" i="1"/>
  <c r="F2410" i="1"/>
  <c r="G2410" i="1"/>
  <c r="H2410" i="1"/>
  <c r="D2411" i="1"/>
  <c r="E2411" i="1"/>
  <c r="F2411" i="1"/>
  <c r="G2411" i="1"/>
  <c r="H2411" i="1"/>
  <c r="D2412" i="1"/>
  <c r="E2412" i="1"/>
  <c r="F2412" i="1"/>
  <c r="G2412" i="1"/>
  <c r="H2412" i="1"/>
  <c r="D2413" i="1"/>
  <c r="E2413" i="1"/>
  <c r="F2413" i="1"/>
  <c r="G2413" i="1"/>
  <c r="H2413" i="1"/>
  <c r="D2414" i="1"/>
  <c r="E2414" i="1"/>
  <c r="F2414" i="1"/>
  <c r="G2414" i="1"/>
  <c r="H2414" i="1"/>
  <c r="D2415" i="1"/>
  <c r="E2415" i="1"/>
  <c r="F2415" i="1"/>
  <c r="G2415" i="1"/>
  <c r="H2415" i="1"/>
  <c r="D2416" i="1"/>
  <c r="E2416" i="1"/>
  <c r="F2416" i="1"/>
  <c r="G2416" i="1"/>
  <c r="H2416" i="1"/>
  <c r="D2417" i="1"/>
  <c r="E2417" i="1"/>
  <c r="F2417" i="1"/>
  <c r="G2417" i="1"/>
  <c r="H2417" i="1"/>
  <c r="D2418" i="1"/>
  <c r="E2418" i="1"/>
  <c r="F2418" i="1"/>
  <c r="G2418" i="1"/>
  <c r="H2418" i="1"/>
  <c r="D2419" i="1"/>
  <c r="E2419" i="1"/>
  <c r="F2419" i="1"/>
  <c r="G2419" i="1"/>
  <c r="H2419" i="1"/>
  <c r="D2420" i="1"/>
  <c r="E2420" i="1"/>
  <c r="F2420" i="1"/>
  <c r="G2420" i="1"/>
  <c r="H2420" i="1"/>
  <c r="D2421" i="1"/>
  <c r="E2421" i="1"/>
  <c r="F2421" i="1"/>
  <c r="G2421" i="1"/>
  <c r="H2421" i="1"/>
  <c r="D2422" i="1"/>
  <c r="E2422" i="1"/>
  <c r="F2422" i="1"/>
  <c r="G2422" i="1"/>
  <c r="H2422" i="1"/>
  <c r="D2423" i="1"/>
  <c r="E2423" i="1"/>
  <c r="F2423" i="1"/>
  <c r="G2423" i="1"/>
  <c r="H2423" i="1"/>
  <c r="D2424" i="1"/>
  <c r="E2424" i="1"/>
  <c r="F2424" i="1"/>
  <c r="G2424" i="1"/>
  <c r="H2424" i="1"/>
  <c r="D2425" i="1"/>
  <c r="E2425" i="1"/>
  <c r="F2425" i="1"/>
  <c r="G2425" i="1"/>
  <c r="H2425" i="1"/>
  <c r="D2426" i="1"/>
  <c r="E2426" i="1"/>
  <c r="F2426" i="1"/>
  <c r="G2426" i="1"/>
  <c r="H2426" i="1"/>
  <c r="D2427" i="1"/>
  <c r="E2427" i="1"/>
  <c r="F2427" i="1"/>
  <c r="G2427" i="1"/>
  <c r="H2427" i="1"/>
  <c r="D2428" i="1"/>
  <c r="E2428" i="1"/>
  <c r="F2428" i="1"/>
  <c r="G2428" i="1"/>
  <c r="H2428" i="1"/>
  <c r="D2429" i="1"/>
  <c r="E2429" i="1"/>
  <c r="F2429" i="1"/>
  <c r="G2429" i="1"/>
  <c r="H2429" i="1"/>
  <c r="D2430" i="1"/>
  <c r="E2430" i="1"/>
  <c r="F2430" i="1"/>
  <c r="G2430" i="1"/>
  <c r="H2430" i="1"/>
  <c r="D2431" i="1"/>
  <c r="E2431" i="1"/>
  <c r="F2431" i="1"/>
  <c r="G2431" i="1"/>
  <c r="H2431" i="1"/>
  <c r="D2432" i="1"/>
  <c r="E2432" i="1"/>
  <c r="F2432" i="1"/>
  <c r="G2432" i="1"/>
  <c r="H2432" i="1"/>
  <c r="D2433" i="1"/>
  <c r="E2433" i="1"/>
  <c r="F2433" i="1"/>
  <c r="G2433" i="1"/>
  <c r="H2433" i="1"/>
  <c r="D2434" i="1"/>
  <c r="E2434" i="1"/>
  <c r="F2434" i="1"/>
  <c r="G2434" i="1"/>
  <c r="H2434" i="1"/>
  <c r="D2435" i="1"/>
  <c r="E2435" i="1"/>
  <c r="F2435" i="1"/>
  <c r="G2435" i="1"/>
  <c r="H2435" i="1"/>
  <c r="D2436" i="1"/>
  <c r="E2436" i="1"/>
  <c r="F2436" i="1"/>
  <c r="G2436" i="1"/>
  <c r="H2436" i="1"/>
  <c r="D2437" i="1"/>
  <c r="E2437" i="1"/>
  <c r="F2437" i="1"/>
  <c r="G2437" i="1"/>
  <c r="H2437" i="1"/>
  <c r="D2438" i="1"/>
  <c r="E2438" i="1"/>
  <c r="F2438" i="1"/>
  <c r="G2438" i="1"/>
  <c r="H2438" i="1"/>
  <c r="D2439" i="1"/>
  <c r="E2439" i="1"/>
  <c r="F2439" i="1"/>
  <c r="G2439" i="1"/>
  <c r="H2439" i="1"/>
  <c r="D2440" i="1"/>
  <c r="E2440" i="1"/>
  <c r="F2440" i="1"/>
  <c r="G2440" i="1"/>
  <c r="H2440" i="1"/>
  <c r="D2441" i="1"/>
  <c r="E2441" i="1"/>
  <c r="F2441" i="1"/>
  <c r="G2441" i="1"/>
  <c r="H2441" i="1"/>
  <c r="D2442" i="1"/>
  <c r="E2442" i="1"/>
  <c r="F2442" i="1"/>
  <c r="G2442" i="1"/>
  <c r="H2442" i="1"/>
  <c r="D2443" i="1"/>
  <c r="E2443" i="1"/>
  <c r="F2443" i="1"/>
  <c r="G2443" i="1"/>
  <c r="H2443" i="1"/>
  <c r="D2444" i="1"/>
  <c r="E2444" i="1"/>
  <c r="F2444" i="1"/>
  <c r="G2444" i="1"/>
  <c r="H2444" i="1"/>
  <c r="D2445" i="1"/>
  <c r="E2445" i="1"/>
  <c r="F2445" i="1"/>
  <c r="G2445" i="1"/>
  <c r="H2445" i="1"/>
  <c r="D2446" i="1"/>
  <c r="E2446" i="1"/>
  <c r="F2446" i="1"/>
  <c r="G2446" i="1"/>
  <c r="H2446" i="1"/>
  <c r="D2447" i="1"/>
  <c r="E2447" i="1"/>
  <c r="F2447" i="1"/>
  <c r="G2447" i="1"/>
  <c r="H2447" i="1"/>
  <c r="D2448" i="1"/>
  <c r="E2448" i="1"/>
  <c r="F2448" i="1"/>
  <c r="G2448" i="1"/>
  <c r="H2448" i="1"/>
  <c r="D2449" i="1"/>
  <c r="E2449" i="1"/>
  <c r="F2449" i="1"/>
  <c r="G2449" i="1"/>
  <c r="H2449" i="1"/>
  <c r="D2450" i="1"/>
  <c r="E2450" i="1"/>
  <c r="F2450" i="1"/>
  <c r="G2450" i="1"/>
  <c r="H2450" i="1"/>
  <c r="D2451" i="1"/>
  <c r="E2451" i="1"/>
  <c r="F2451" i="1"/>
  <c r="G2451" i="1"/>
  <c r="H2451" i="1"/>
  <c r="D2452" i="1"/>
  <c r="E2452" i="1"/>
  <c r="F2452" i="1"/>
  <c r="G2452" i="1"/>
  <c r="H2452" i="1"/>
  <c r="D2453" i="1"/>
  <c r="E2453" i="1"/>
  <c r="F2453" i="1"/>
  <c r="G2453" i="1"/>
  <c r="H2453" i="1"/>
  <c r="D2454" i="1"/>
  <c r="E2454" i="1"/>
  <c r="F2454" i="1"/>
  <c r="G2454" i="1"/>
  <c r="H2454" i="1"/>
  <c r="D2455" i="1"/>
  <c r="E2455" i="1"/>
  <c r="F2455" i="1"/>
  <c r="G2455" i="1"/>
  <c r="H2455" i="1"/>
  <c r="D2456" i="1"/>
  <c r="E2456" i="1"/>
  <c r="F2456" i="1"/>
  <c r="G2456" i="1"/>
  <c r="H2456" i="1"/>
  <c r="D2457" i="1"/>
  <c r="E2457" i="1"/>
  <c r="F2457" i="1"/>
  <c r="G2457" i="1"/>
  <c r="H2457" i="1"/>
  <c r="D2458" i="1"/>
  <c r="E2458" i="1"/>
  <c r="F2458" i="1"/>
  <c r="G2458" i="1"/>
  <c r="H2458" i="1"/>
  <c r="D2459" i="1"/>
  <c r="E2459" i="1"/>
  <c r="F2459" i="1"/>
  <c r="G2459" i="1"/>
  <c r="H2459" i="1"/>
  <c r="D2460" i="1"/>
  <c r="E2460" i="1"/>
  <c r="F2460" i="1"/>
  <c r="G2460" i="1"/>
  <c r="H2460" i="1"/>
  <c r="D2461" i="1"/>
  <c r="E2461" i="1"/>
  <c r="F2461" i="1"/>
  <c r="G2461" i="1"/>
  <c r="H2461" i="1"/>
  <c r="D2462" i="1"/>
  <c r="E2462" i="1"/>
  <c r="F2462" i="1"/>
  <c r="G2462" i="1"/>
  <c r="H2462" i="1"/>
  <c r="D2463" i="1"/>
  <c r="E2463" i="1"/>
  <c r="F2463" i="1"/>
  <c r="G2463" i="1"/>
  <c r="H2463" i="1"/>
  <c r="D2464" i="1"/>
  <c r="E2464" i="1"/>
  <c r="F2464" i="1"/>
  <c r="G2464" i="1"/>
  <c r="H2464" i="1"/>
  <c r="D2465" i="1"/>
  <c r="E2465" i="1"/>
  <c r="F2465" i="1"/>
  <c r="G2465" i="1"/>
  <c r="H2465" i="1"/>
  <c r="D2466" i="1"/>
  <c r="E2466" i="1"/>
  <c r="F2466" i="1"/>
  <c r="G2466" i="1"/>
  <c r="H2466" i="1"/>
  <c r="D2467" i="1"/>
  <c r="E2467" i="1"/>
  <c r="F2467" i="1"/>
  <c r="G2467" i="1"/>
  <c r="H2467" i="1"/>
  <c r="D2468" i="1"/>
  <c r="E2468" i="1"/>
  <c r="F2468" i="1"/>
  <c r="G2468" i="1"/>
  <c r="H2468" i="1"/>
  <c r="D2469" i="1"/>
  <c r="E2469" i="1"/>
  <c r="F2469" i="1"/>
  <c r="G2469" i="1"/>
  <c r="H2469" i="1"/>
  <c r="D2470" i="1"/>
  <c r="E2470" i="1"/>
  <c r="F2470" i="1"/>
  <c r="G2470" i="1"/>
  <c r="H2470" i="1"/>
  <c r="D2471" i="1"/>
  <c r="E2471" i="1"/>
  <c r="F2471" i="1"/>
  <c r="G2471" i="1"/>
  <c r="H2471" i="1"/>
  <c r="D2472" i="1"/>
  <c r="E2472" i="1"/>
  <c r="F2472" i="1"/>
  <c r="G2472" i="1"/>
  <c r="H2472" i="1"/>
  <c r="D2473" i="1"/>
  <c r="E2473" i="1"/>
  <c r="F2473" i="1"/>
  <c r="G2473" i="1"/>
  <c r="H2473" i="1"/>
  <c r="D2474" i="1"/>
  <c r="E2474" i="1"/>
  <c r="F2474" i="1"/>
  <c r="G2474" i="1"/>
  <c r="H2474" i="1"/>
  <c r="D2475" i="1"/>
  <c r="E2475" i="1"/>
  <c r="F2475" i="1"/>
  <c r="G2475" i="1"/>
  <c r="H2475" i="1"/>
  <c r="D2476" i="1"/>
  <c r="E2476" i="1"/>
  <c r="F2476" i="1"/>
  <c r="G2476" i="1"/>
  <c r="H2476" i="1"/>
  <c r="D2477" i="1"/>
  <c r="E2477" i="1"/>
  <c r="F2477" i="1"/>
  <c r="G2477" i="1"/>
  <c r="H2477" i="1"/>
  <c r="D2478" i="1"/>
  <c r="E2478" i="1"/>
  <c r="F2478" i="1"/>
  <c r="G2478" i="1"/>
  <c r="H2478" i="1"/>
  <c r="D2479" i="1"/>
  <c r="E2479" i="1"/>
  <c r="F2479" i="1"/>
  <c r="G2479" i="1"/>
  <c r="H2479" i="1"/>
  <c r="D2480" i="1"/>
  <c r="E2480" i="1"/>
  <c r="F2480" i="1"/>
  <c r="G2480" i="1"/>
  <c r="H2480" i="1"/>
  <c r="D2481" i="1"/>
  <c r="E2481" i="1"/>
  <c r="F2481" i="1"/>
  <c r="G2481" i="1"/>
  <c r="H2481" i="1"/>
  <c r="D2482" i="1"/>
  <c r="E2482" i="1"/>
  <c r="F2482" i="1"/>
  <c r="G2482" i="1"/>
  <c r="H2482" i="1"/>
  <c r="D2483" i="1"/>
  <c r="E2483" i="1"/>
  <c r="F2483" i="1"/>
  <c r="G2483" i="1"/>
  <c r="H2483" i="1"/>
  <c r="D2484" i="1"/>
  <c r="E2484" i="1"/>
  <c r="F2484" i="1"/>
  <c r="G2484" i="1"/>
  <c r="H2484" i="1"/>
  <c r="D2485" i="1"/>
  <c r="E2485" i="1"/>
  <c r="F2485" i="1"/>
  <c r="G2485" i="1"/>
  <c r="H2485" i="1"/>
  <c r="D2486" i="1"/>
  <c r="E2486" i="1"/>
  <c r="F2486" i="1"/>
  <c r="G2486" i="1"/>
  <c r="H2486" i="1"/>
  <c r="D2487" i="1"/>
  <c r="E2487" i="1"/>
  <c r="F2487" i="1"/>
  <c r="G2487" i="1"/>
  <c r="H2487" i="1"/>
  <c r="D2488" i="1"/>
  <c r="E2488" i="1"/>
  <c r="F2488" i="1"/>
  <c r="G2488" i="1"/>
  <c r="H2488" i="1"/>
  <c r="D2489" i="1"/>
  <c r="E2489" i="1"/>
  <c r="F2489" i="1"/>
  <c r="G2489" i="1"/>
  <c r="H2489" i="1"/>
  <c r="D2490" i="1"/>
  <c r="E2490" i="1"/>
  <c r="F2490" i="1"/>
  <c r="G2490" i="1"/>
  <c r="H2490" i="1"/>
  <c r="D2491" i="1"/>
  <c r="E2491" i="1"/>
  <c r="F2491" i="1"/>
  <c r="G2491" i="1"/>
  <c r="H2491" i="1"/>
  <c r="D2492" i="1"/>
  <c r="E2492" i="1"/>
  <c r="F2492" i="1"/>
  <c r="G2492" i="1"/>
  <c r="H2492" i="1"/>
  <c r="D2493" i="1"/>
  <c r="E2493" i="1"/>
  <c r="F2493" i="1"/>
  <c r="G2493" i="1"/>
  <c r="H2493" i="1"/>
  <c r="D2494" i="1"/>
  <c r="E2494" i="1"/>
  <c r="F2494" i="1"/>
  <c r="G2494" i="1"/>
  <c r="H2494" i="1"/>
  <c r="D2495" i="1"/>
  <c r="E2495" i="1"/>
  <c r="F2495" i="1"/>
  <c r="G2495" i="1"/>
  <c r="H2495" i="1"/>
  <c r="D2496" i="1"/>
  <c r="E2496" i="1"/>
  <c r="F2496" i="1"/>
  <c r="G2496" i="1"/>
  <c r="H2496" i="1"/>
  <c r="D2497" i="1"/>
  <c r="E2497" i="1"/>
  <c r="F2497" i="1"/>
  <c r="G2497" i="1"/>
  <c r="H2497" i="1"/>
  <c r="D2498" i="1"/>
  <c r="E2498" i="1"/>
  <c r="F2498" i="1"/>
  <c r="G2498" i="1"/>
  <c r="H2498" i="1"/>
  <c r="D2499" i="1"/>
  <c r="E2499" i="1"/>
  <c r="F2499" i="1"/>
  <c r="G2499" i="1"/>
  <c r="H2499" i="1"/>
  <c r="D2500" i="1"/>
  <c r="E2500" i="1"/>
  <c r="F2500" i="1"/>
  <c r="G2500" i="1"/>
  <c r="H2500" i="1"/>
  <c r="D2501" i="1"/>
  <c r="E2501" i="1"/>
  <c r="F2501" i="1"/>
  <c r="G2501" i="1"/>
  <c r="H2501" i="1"/>
  <c r="D2502" i="1"/>
  <c r="E2502" i="1"/>
  <c r="F2502" i="1"/>
  <c r="G2502" i="1"/>
  <c r="H2502" i="1"/>
  <c r="D2503" i="1"/>
  <c r="E2503" i="1"/>
  <c r="F2503" i="1"/>
  <c r="G2503" i="1"/>
  <c r="H2503" i="1"/>
  <c r="D2504" i="1"/>
  <c r="E2504" i="1"/>
  <c r="F2504" i="1"/>
  <c r="G2504" i="1"/>
  <c r="H2504" i="1"/>
  <c r="D2505" i="1"/>
  <c r="E2505" i="1"/>
  <c r="F2505" i="1"/>
  <c r="G2505" i="1"/>
  <c r="H2505" i="1"/>
  <c r="D2506" i="1"/>
  <c r="E2506" i="1"/>
  <c r="F2506" i="1"/>
  <c r="G2506" i="1"/>
  <c r="H2506" i="1"/>
  <c r="D2507" i="1"/>
  <c r="E2507" i="1"/>
  <c r="F2507" i="1"/>
  <c r="G2507" i="1"/>
  <c r="H2507" i="1"/>
  <c r="D2508" i="1"/>
  <c r="E2508" i="1"/>
  <c r="F2508" i="1"/>
  <c r="G2508" i="1"/>
  <c r="H2508" i="1"/>
  <c r="D2509" i="1"/>
  <c r="E2509" i="1"/>
  <c r="F2509" i="1"/>
  <c r="G2509" i="1"/>
  <c r="H2509" i="1"/>
  <c r="D2510" i="1"/>
  <c r="E2510" i="1"/>
  <c r="F2510" i="1"/>
  <c r="G2510" i="1"/>
  <c r="H2510" i="1"/>
  <c r="D2511" i="1"/>
  <c r="E2511" i="1"/>
  <c r="F2511" i="1"/>
  <c r="G2511" i="1"/>
  <c r="H2511" i="1"/>
  <c r="D2512" i="1"/>
  <c r="E2512" i="1"/>
  <c r="F2512" i="1"/>
  <c r="G2512" i="1"/>
  <c r="H2512" i="1"/>
  <c r="D2513" i="1"/>
  <c r="E2513" i="1"/>
  <c r="F2513" i="1"/>
  <c r="G2513" i="1"/>
  <c r="H2513" i="1"/>
  <c r="D2514" i="1"/>
  <c r="E2514" i="1"/>
  <c r="F2514" i="1"/>
  <c r="G2514" i="1"/>
  <c r="H2514" i="1"/>
  <c r="D2515" i="1"/>
  <c r="E2515" i="1"/>
  <c r="F2515" i="1"/>
  <c r="G2515" i="1"/>
  <c r="H2515" i="1"/>
  <c r="D2516" i="1"/>
  <c r="E2516" i="1"/>
  <c r="F2516" i="1"/>
  <c r="G2516" i="1"/>
  <c r="H2516" i="1"/>
  <c r="D2517" i="1"/>
  <c r="E2517" i="1"/>
  <c r="F2517" i="1"/>
  <c r="G2517" i="1"/>
  <c r="H2517" i="1"/>
  <c r="D2518" i="1"/>
  <c r="E2518" i="1"/>
  <c r="F2518" i="1"/>
  <c r="G2518" i="1"/>
  <c r="H2518" i="1"/>
  <c r="D2519" i="1"/>
  <c r="E2519" i="1"/>
  <c r="F2519" i="1"/>
  <c r="G2519" i="1"/>
  <c r="H2519" i="1"/>
  <c r="D2520" i="1"/>
  <c r="E2520" i="1"/>
  <c r="F2520" i="1"/>
  <c r="G2520" i="1"/>
  <c r="H2520" i="1"/>
  <c r="D2521" i="1"/>
  <c r="E2521" i="1"/>
  <c r="F2521" i="1"/>
  <c r="G2521" i="1"/>
  <c r="H2521" i="1"/>
  <c r="D2522" i="1"/>
  <c r="E2522" i="1"/>
  <c r="F2522" i="1"/>
  <c r="G2522" i="1"/>
  <c r="H2522" i="1"/>
  <c r="D2523" i="1"/>
  <c r="E2523" i="1"/>
  <c r="F2523" i="1"/>
  <c r="G2523" i="1"/>
  <c r="H2523" i="1"/>
  <c r="D2524" i="1"/>
  <c r="E2524" i="1"/>
  <c r="F2524" i="1"/>
  <c r="G2524" i="1"/>
  <c r="H2524" i="1"/>
  <c r="D2525" i="1"/>
  <c r="E2525" i="1"/>
  <c r="F2525" i="1"/>
  <c r="G2525" i="1"/>
  <c r="H2525" i="1"/>
  <c r="D2526" i="1"/>
  <c r="E2526" i="1"/>
  <c r="F2526" i="1"/>
  <c r="G2526" i="1"/>
  <c r="H2526" i="1"/>
  <c r="D2527" i="1"/>
  <c r="E2527" i="1"/>
  <c r="F2527" i="1"/>
  <c r="G2527" i="1"/>
  <c r="H2527" i="1"/>
  <c r="D2528" i="1"/>
  <c r="E2528" i="1"/>
  <c r="F2528" i="1"/>
  <c r="G2528" i="1"/>
  <c r="H2528" i="1"/>
  <c r="D2529" i="1"/>
  <c r="E2529" i="1"/>
  <c r="F2529" i="1"/>
  <c r="G2529" i="1"/>
  <c r="H2529" i="1"/>
  <c r="D2530" i="1"/>
  <c r="E2530" i="1"/>
  <c r="F2530" i="1"/>
  <c r="G2530" i="1"/>
  <c r="H2530" i="1"/>
  <c r="D2531" i="1"/>
  <c r="E2531" i="1"/>
  <c r="F2531" i="1"/>
  <c r="G2531" i="1"/>
  <c r="H2531" i="1"/>
  <c r="D2532" i="1"/>
  <c r="E2532" i="1"/>
  <c r="F2532" i="1"/>
  <c r="G2532" i="1"/>
  <c r="H2532" i="1"/>
  <c r="D2533" i="1"/>
  <c r="E2533" i="1"/>
  <c r="F2533" i="1"/>
  <c r="G2533" i="1"/>
  <c r="H2533" i="1"/>
  <c r="D2534" i="1"/>
  <c r="E2534" i="1"/>
  <c r="F2534" i="1"/>
  <c r="G2534" i="1"/>
  <c r="H2534" i="1"/>
  <c r="D2535" i="1"/>
  <c r="E2535" i="1"/>
  <c r="F2535" i="1"/>
  <c r="G2535" i="1"/>
  <c r="H2535" i="1"/>
  <c r="D2536" i="1"/>
  <c r="E2536" i="1"/>
  <c r="F2536" i="1"/>
  <c r="G2536" i="1"/>
  <c r="H2536" i="1"/>
  <c r="D2537" i="1"/>
  <c r="E2537" i="1"/>
  <c r="F2537" i="1"/>
  <c r="G2537" i="1"/>
  <c r="H2537" i="1"/>
  <c r="D2538" i="1"/>
  <c r="E2538" i="1"/>
  <c r="F2538" i="1"/>
  <c r="G2538" i="1"/>
  <c r="H2538" i="1"/>
  <c r="D2539" i="1"/>
  <c r="E2539" i="1"/>
  <c r="F2539" i="1"/>
  <c r="G2539" i="1"/>
  <c r="H2539" i="1"/>
  <c r="D2540" i="1"/>
  <c r="E2540" i="1"/>
  <c r="F2540" i="1"/>
  <c r="G2540" i="1"/>
  <c r="H2540" i="1"/>
  <c r="D2541" i="1"/>
  <c r="E2541" i="1"/>
  <c r="F2541" i="1"/>
  <c r="G2541" i="1"/>
  <c r="H2541" i="1"/>
  <c r="D2542" i="1"/>
  <c r="E2542" i="1"/>
  <c r="F2542" i="1"/>
  <c r="G2542" i="1"/>
  <c r="H2542" i="1"/>
  <c r="D2543" i="1"/>
  <c r="E2543" i="1"/>
  <c r="F2543" i="1"/>
  <c r="G2543" i="1"/>
  <c r="H2543" i="1"/>
  <c r="D2544" i="1"/>
  <c r="E2544" i="1"/>
  <c r="F2544" i="1"/>
  <c r="G2544" i="1"/>
  <c r="H2544" i="1"/>
  <c r="D2545" i="1"/>
  <c r="E2545" i="1"/>
  <c r="F2545" i="1"/>
  <c r="G2545" i="1"/>
  <c r="H2545" i="1"/>
  <c r="D2546" i="1"/>
  <c r="E2546" i="1"/>
  <c r="F2546" i="1"/>
  <c r="G2546" i="1"/>
  <c r="H2546" i="1"/>
  <c r="D2547" i="1"/>
  <c r="E2547" i="1"/>
  <c r="F2547" i="1"/>
  <c r="G2547" i="1"/>
  <c r="H2547" i="1"/>
  <c r="D2548" i="1"/>
  <c r="E2548" i="1"/>
  <c r="F2548" i="1"/>
  <c r="G2548" i="1"/>
  <c r="H2548" i="1"/>
  <c r="D2549" i="1"/>
  <c r="E2549" i="1"/>
  <c r="F2549" i="1"/>
  <c r="G2549" i="1"/>
  <c r="H2549" i="1"/>
  <c r="D2550" i="1"/>
  <c r="E2550" i="1"/>
  <c r="F2550" i="1"/>
  <c r="G2550" i="1"/>
  <c r="H2550" i="1"/>
  <c r="D2551" i="1"/>
  <c r="E2551" i="1"/>
  <c r="F2551" i="1"/>
  <c r="G2551" i="1"/>
  <c r="H2551" i="1"/>
  <c r="D2552" i="1"/>
  <c r="E2552" i="1"/>
  <c r="F2552" i="1"/>
  <c r="G2552" i="1"/>
  <c r="H2552" i="1"/>
  <c r="D2553" i="1"/>
  <c r="E2553" i="1"/>
  <c r="F2553" i="1"/>
  <c r="G2553" i="1"/>
  <c r="H2553" i="1"/>
  <c r="D2554" i="1"/>
  <c r="E2554" i="1"/>
  <c r="F2554" i="1"/>
  <c r="G2554" i="1"/>
  <c r="H2554" i="1"/>
  <c r="D2555" i="1"/>
  <c r="E2555" i="1"/>
  <c r="F2555" i="1"/>
  <c r="G2555" i="1"/>
  <c r="H2555" i="1"/>
  <c r="D2556" i="1"/>
  <c r="E2556" i="1"/>
  <c r="F2556" i="1"/>
  <c r="G2556" i="1"/>
  <c r="H2556" i="1"/>
  <c r="D2557" i="1"/>
  <c r="E2557" i="1"/>
  <c r="F2557" i="1"/>
  <c r="G2557" i="1"/>
  <c r="H2557" i="1"/>
  <c r="D2558" i="1"/>
  <c r="E2558" i="1"/>
  <c r="F2558" i="1"/>
  <c r="G2558" i="1"/>
  <c r="H2558" i="1"/>
  <c r="D2559" i="1"/>
  <c r="E2559" i="1"/>
  <c r="F2559" i="1"/>
  <c r="G2559" i="1"/>
  <c r="H2559" i="1"/>
  <c r="D2560" i="1"/>
  <c r="E2560" i="1"/>
  <c r="F2560" i="1"/>
  <c r="G2560" i="1"/>
  <c r="H2560" i="1"/>
  <c r="D2561" i="1"/>
  <c r="E2561" i="1"/>
  <c r="F2561" i="1"/>
  <c r="G2561" i="1"/>
  <c r="H2561" i="1"/>
  <c r="D2562" i="1"/>
  <c r="E2562" i="1"/>
  <c r="F2562" i="1"/>
  <c r="G2562" i="1"/>
  <c r="H2562" i="1"/>
  <c r="D2563" i="1"/>
  <c r="E2563" i="1"/>
  <c r="F2563" i="1"/>
  <c r="G2563" i="1"/>
  <c r="H2563" i="1"/>
  <c r="D2564" i="1"/>
  <c r="E2564" i="1"/>
  <c r="F2564" i="1"/>
  <c r="G2564" i="1"/>
  <c r="H2564" i="1"/>
  <c r="D2565" i="1"/>
  <c r="E2565" i="1"/>
  <c r="F2565" i="1"/>
  <c r="G2565" i="1"/>
  <c r="H2565" i="1"/>
  <c r="D2566" i="1"/>
  <c r="E2566" i="1"/>
  <c r="F2566" i="1"/>
  <c r="G2566" i="1"/>
  <c r="H2566" i="1"/>
  <c r="D2567" i="1"/>
  <c r="E2567" i="1"/>
  <c r="F2567" i="1"/>
  <c r="G2567" i="1"/>
  <c r="H2567" i="1"/>
  <c r="D2568" i="1"/>
  <c r="E2568" i="1"/>
  <c r="F2568" i="1"/>
  <c r="G2568" i="1"/>
  <c r="H2568" i="1"/>
  <c r="D2569" i="1"/>
  <c r="E2569" i="1"/>
  <c r="F2569" i="1"/>
  <c r="G2569" i="1"/>
  <c r="H2569" i="1"/>
  <c r="D2570" i="1"/>
  <c r="E2570" i="1"/>
  <c r="F2570" i="1"/>
  <c r="G2570" i="1"/>
  <c r="H2570" i="1"/>
  <c r="D2571" i="1"/>
  <c r="E2571" i="1"/>
  <c r="F2571" i="1"/>
  <c r="G2571" i="1"/>
  <c r="H2571" i="1"/>
  <c r="D2572" i="1"/>
  <c r="E2572" i="1"/>
  <c r="F2572" i="1"/>
  <c r="G2572" i="1"/>
  <c r="H2572" i="1"/>
  <c r="D2573" i="1"/>
  <c r="E2573" i="1"/>
  <c r="F2573" i="1"/>
  <c r="G2573" i="1"/>
  <c r="H2573" i="1"/>
  <c r="D2574" i="1"/>
  <c r="E2574" i="1"/>
  <c r="F2574" i="1"/>
  <c r="G2574" i="1"/>
  <c r="H2574" i="1"/>
  <c r="D2575" i="1"/>
  <c r="E2575" i="1"/>
  <c r="F2575" i="1"/>
  <c r="G2575" i="1"/>
  <c r="H2575" i="1"/>
  <c r="D2576" i="1"/>
  <c r="E2576" i="1"/>
  <c r="F2576" i="1"/>
  <c r="G2576" i="1"/>
  <c r="H2576" i="1"/>
  <c r="D2577" i="1"/>
  <c r="E2577" i="1"/>
  <c r="F2577" i="1"/>
  <c r="G2577" i="1"/>
  <c r="H2577" i="1"/>
  <c r="D2578" i="1"/>
  <c r="E2578" i="1"/>
  <c r="F2578" i="1"/>
  <c r="G2578" i="1"/>
  <c r="H2578" i="1"/>
  <c r="D2579" i="1"/>
  <c r="E2579" i="1"/>
  <c r="F2579" i="1"/>
  <c r="G2579" i="1"/>
  <c r="H2579" i="1"/>
  <c r="D2580" i="1"/>
  <c r="E2580" i="1"/>
  <c r="F2580" i="1"/>
  <c r="G2580" i="1"/>
  <c r="H2580" i="1"/>
  <c r="D2581" i="1"/>
  <c r="E2581" i="1"/>
  <c r="F2581" i="1"/>
  <c r="G2581" i="1"/>
  <c r="H2581" i="1"/>
  <c r="D2582" i="1"/>
  <c r="E2582" i="1"/>
  <c r="F2582" i="1"/>
  <c r="G2582" i="1"/>
  <c r="H2582" i="1"/>
  <c r="D2583" i="1"/>
  <c r="E2583" i="1"/>
  <c r="F2583" i="1"/>
  <c r="G2583" i="1"/>
  <c r="H2583" i="1"/>
  <c r="D2584" i="1"/>
  <c r="E2584" i="1"/>
  <c r="F2584" i="1"/>
  <c r="G2584" i="1"/>
  <c r="H2584" i="1"/>
  <c r="D2585" i="1"/>
  <c r="E2585" i="1"/>
  <c r="F2585" i="1"/>
  <c r="G2585" i="1"/>
  <c r="H2585" i="1"/>
  <c r="D2586" i="1"/>
  <c r="E2586" i="1"/>
  <c r="F2586" i="1"/>
  <c r="G2586" i="1"/>
  <c r="H2586" i="1"/>
  <c r="D2587" i="1"/>
  <c r="E2587" i="1"/>
  <c r="F2587" i="1"/>
  <c r="G2587" i="1"/>
  <c r="H2587" i="1"/>
  <c r="D2588" i="1"/>
  <c r="E2588" i="1"/>
  <c r="F2588" i="1"/>
  <c r="G2588" i="1"/>
  <c r="H2588" i="1"/>
  <c r="D2589" i="1"/>
  <c r="E2589" i="1"/>
  <c r="F2589" i="1"/>
  <c r="G2589" i="1"/>
  <c r="H2589" i="1"/>
  <c r="D2590" i="1"/>
  <c r="E2590" i="1"/>
  <c r="F2590" i="1"/>
  <c r="G2590" i="1"/>
  <c r="H2590" i="1"/>
  <c r="D2591" i="1"/>
  <c r="E2591" i="1"/>
  <c r="F2591" i="1"/>
  <c r="G2591" i="1"/>
  <c r="H2591" i="1"/>
  <c r="D2592" i="1"/>
  <c r="E2592" i="1"/>
  <c r="F2592" i="1"/>
  <c r="G2592" i="1"/>
  <c r="H2592" i="1"/>
  <c r="D2593" i="1"/>
  <c r="E2593" i="1"/>
  <c r="F2593" i="1"/>
  <c r="G2593" i="1"/>
  <c r="H2593" i="1"/>
  <c r="D2594" i="1"/>
  <c r="E2594" i="1"/>
  <c r="F2594" i="1"/>
  <c r="G2594" i="1"/>
  <c r="H2594" i="1"/>
  <c r="D2595" i="1"/>
  <c r="E2595" i="1"/>
  <c r="F2595" i="1"/>
  <c r="G2595" i="1"/>
  <c r="H2595" i="1"/>
  <c r="D2596" i="1"/>
  <c r="E2596" i="1"/>
  <c r="F2596" i="1"/>
  <c r="G2596" i="1"/>
  <c r="H2596" i="1"/>
  <c r="D2597" i="1"/>
  <c r="E2597" i="1"/>
  <c r="F2597" i="1"/>
  <c r="G2597" i="1"/>
  <c r="H2597" i="1"/>
  <c r="D2598" i="1"/>
  <c r="E2598" i="1"/>
  <c r="F2598" i="1"/>
  <c r="G2598" i="1"/>
  <c r="H2598" i="1"/>
  <c r="D2599" i="1"/>
  <c r="E2599" i="1"/>
  <c r="F2599" i="1"/>
  <c r="G2599" i="1"/>
  <c r="H2599" i="1"/>
  <c r="D2600" i="1"/>
  <c r="E2600" i="1"/>
  <c r="F2600" i="1"/>
  <c r="G2600" i="1"/>
  <c r="H2600" i="1"/>
  <c r="D2601" i="1"/>
  <c r="E2601" i="1"/>
  <c r="F2601" i="1"/>
  <c r="G2601" i="1"/>
  <c r="H2601" i="1"/>
  <c r="D2602" i="1"/>
  <c r="E2602" i="1"/>
  <c r="F2602" i="1"/>
  <c r="G2602" i="1"/>
  <c r="H2602" i="1"/>
  <c r="D2603" i="1"/>
  <c r="E2603" i="1"/>
  <c r="F2603" i="1"/>
  <c r="G2603" i="1"/>
  <c r="H2603" i="1"/>
  <c r="D2604" i="1"/>
  <c r="E2604" i="1"/>
  <c r="F2604" i="1"/>
  <c r="G2604" i="1"/>
  <c r="H2604" i="1"/>
  <c r="D2605" i="1"/>
  <c r="E2605" i="1"/>
  <c r="F2605" i="1"/>
  <c r="G2605" i="1"/>
  <c r="H2605" i="1"/>
  <c r="D2606" i="1"/>
  <c r="E2606" i="1"/>
  <c r="F2606" i="1"/>
  <c r="G2606" i="1"/>
  <c r="H2606" i="1"/>
  <c r="D2607" i="1"/>
  <c r="E2607" i="1"/>
  <c r="F2607" i="1"/>
  <c r="G2607" i="1"/>
  <c r="H2607" i="1"/>
  <c r="D2608" i="1"/>
  <c r="E2608" i="1"/>
  <c r="F2608" i="1"/>
  <c r="G2608" i="1"/>
  <c r="H2608" i="1"/>
  <c r="D2609" i="1"/>
  <c r="E2609" i="1"/>
  <c r="F2609" i="1"/>
  <c r="G2609" i="1"/>
  <c r="H2609" i="1"/>
  <c r="D2610" i="1"/>
  <c r="E2610" i="1"/>
  <c r="F2610" i="1"/>
  <c r="G2610" i="1"/>
  <c r="H2610" i="1"/>
  <c r="D2611" i="1"/>
  <c r="E2611" i="1"/>
  <c r="F2611" i="1"/>
  <c r="G2611" i="1"/>
  <c r="H2611" i="1"/>
  <c r="D2612" i="1"/>
  <c r="E2612" i="1"/>
  <c r="F2612" i="1"/>
  <c r="G2612" i="1"/>
  <c r="H2612" i="1"/>
  <c r="D2613" i="1"/>
  <c r="E2613" i="1"/>
  <c r="F2613" i="1"/>
  <c r="G2613" i="1"/>
  <c r="H2613" i="1"/>
  <c r="D2614" i="1"/>
  <c r="E2614" i="1"/>
  <c r="F2614" i="1"/>
  <c r="G2614" i="1"/>
  <c r="H2614" i="1"/>
  <c r="D2615" i="1"/>
  <c r="E2615" i="1"/>
  <c r="F2615" i="1"/>
  <c r="G2615" i="1"/>
  <c r="H2615" i="1"/>
  <c r="D2616" i="1"/>
  <c r="E2616" i="1"/>
  <c r="F2616" i="1"/>
  <c r="G2616" i="1"/>
  <c r="H2616" i="1"/>
  <c r="D2617" i="1"/>
  <c r="E2617" i="1"/>
  <c r="F2617" i="1"/>
  <c r="G2617" i="1"/>
  <c r="H2617" i="1"/>
  <c r="D2618" i="1"/>
  <c r="E2618" i="1"/>
  <c r="F2618" i="1"/>
  <c r="G2618" i="1"/>
  <c r="H2618" i="1"/>
  <c r="D2619" i="1"/>
  <c r="E2619" i="1"/>
  <c r="F2619" i="1"/>
  <c r="G2619" i="1"/>
  <c r="H2619" i="1"/>
  <c r="D2620" i="1"/>
  <c r="E2620" i="1"/>
  <c r="F2620" i="1"/>
  <c r="G2620" i="1"/>
  <c r="H2620" i="1"/>
  <c r="D2621" i="1"/>
  <c r="E2621" i="1"/>
  <c r="F2621" i="1"/>
  <c r="G2621" i="1"/>
  <c r="H2621" i="1"/>
  <c r="D2622" i="1"/>
  <c r="E2622" i="1"/>
  <c r="F2622" i="1"/>
  <c r="G2622" i="1"/>
  <c r="H2622" i="1"/>
  <c r="D2623" i="1"/>
  <c r="E2623" i="1"/>
  <c r="F2623" i="1"/>
  <c r="G2623" i="1"/>
  <c r="H2623" i="1"/>
  <c r="D2624" i="1"/>
  <c r="E2624" i="1"/>
  <c r="F2624" i="1"/>
  <c r="G2624" i="1"/>
  <c r="H2624" i="1"/>
  <c r="D2625" i="1"/>
  <c r="E2625" i="1"/>
  <c r="F2625" i="1"/>
  <c r="G2625" i="1"/>
  <c r="H2625" i="1"/>
  <c r="D2626" i="1"/>
  <c r="E2626" i="1"/>
  <c r="F2626" i="1"/>
  <c r="G2626" i="1"/>
  <c r="H2626" i="1"/>
  <c r="D2627" i="1"/>
  <c r="E2627" i="1"/>
  <c r="F2627" i="1"/>
  <c r="G2627" i="1"/>
  <c r="H2627" i="1"/>
  <c r="D2628" i="1"/>
  <c r="E2628" i="1"/>
  <c r="F2628" i="1"/>
  <c r="G2628" i="1"/>
  <c r="H2628" i="1"/>
  <c r="D2629" i="1"/>
  <c r="E2629" i="1"/>
  <c r="F2629" i="1"/>
  <c r="G2629" i="1"/>
  <c r="H2629" i="1"/>
  <c r="D2630" i="1"/>
  <c r="E2630" i="1"/>
  <c r="F2630" i="1"/>
  <c r="G2630" i="1"/>
  <c r="H2630" i="1"/>
  <c r="D2631" i="1"/>
  <c r="E2631" i="1"/>
  <c r="F2631" i="1"/>
  <c r="G2631" i="1"/>
  <c r="H2631" i="1"/>
  <c r="D2632" i="1"/>
  <c r="E2632" i="1"/>
  <c r="F2632" i="1"/>
  <c r="G2632" i="1"/>
  <c r="H2632" i="1"/>
  <c r="D2633" i="1"/>
  <c r="E2633" i="1"/>
  <c r="F2633" i="1"/>
  <c r="G2633" i="1"/>
  <c r="H2633" i="1"/>
  <c r="D2634" i="1"/>
  <c r="E2634" i="1"/>
  <c r="F2634" i="1"/>
  <c r="G2634" i="1"/>
  <c r="H2634" i="1"/>
  <c r="D2635" i="1"/>
  <c r="E2635" i="1"/>
  <c r="F2635" i="1"/>
  <c r="G2635" i="1"/>
  <c r="H2635" i="1"/>
  <c r="D2636" i="1"/>
  <c r="E2636" i="1"/>
  <c r="F2636" i="1"/>
  <c r="G2636" i="1"/>
  <c r="H2636" i="1"/>
  <c r="D2637" i="1"/>
  <c r="E2637" i="1"/>
  <c r="F2637" i="1"/>
  <c r="G2637" i="1"/>
  <c r="H2637" i="1"/>
  <c r="D2638" i="1"/>
  <c r="E2638" i="1"/>
  <c r="F2638" i="1"/>
  <c r="G2638" i="1"/>
  <c r="H2638" i="1"/>
  <c r="D2639" i="1"/>
  <c r="E2639" i="1"/>
  <c r="F2639" i="1"/>
  <c r="G2639" i="1"/>
  <c r="H2639" i="1"/>
  <c r="D2640" i="1"/>
  <c r="E2640" i="1"/>
  <c r="F2640" i="1"/>
  <c r="G2640" i="1"/>
  <c r="H2640" i="1"/>
  <c r="D2641" i="1"/>
  <c r="E2641" i="1"/>
  <c r="F2641" i="1"/>
  <c r="G2641" i="1"/>
  <c r="H2641" i="1"/>
  <c r="D2642" i="1"/>
  <c r="E2642" i="1"/>
  <c r="F2642" i="1"/>
  <c r="G2642" i="1"/>
  <c r="H2642" i="1"/>
  <c r="D2643" i="1"/>
  <c r="E2643" i="1"/>
  <c r="F2643" i="1"/>
  <c r="G2643" i="1"/>
  <c r="H2643" i="1"/>
  <c r="D2644" i="1"/>
  <c r="E2644" i="1"/>
  <c r="F2644" i="1"/>
  <c r="G2644" i="1"/>
  <c r="H2644" i="1"/>
  <c r="D2645" i="1"/>
  <c r="E2645" i="1"/>
  <c r="F2645" i="1"/>
  <c r="G2645" i="1"/>
  <c r="H2645" i="1"/>
  <c r="D2646" i="1"/>
  <c r="E2646" i="1"/>
  <c r="F2646" i="1"/>
  <c r="G2646" i="1"/>
  <c r="H2646" i="1"/>
  <c r="D2647" i="1"/>
  <c r="E2647" i="1"/>
  <c r="F2647" i="1"/>
  <c r="G2647" i="1"/>
  <c r="H2647" i="1"/>
  <c r="D2648" i="1"/>
  <c r="E2648" i="1"/>
  <c r="F2648" i="1"/>
  <c r="G2648" i="1"/>
  <c r="H2648" i="1"/>
  <c r="D2649" i="1"/>
  <c r="E2649" i="1"/>
  <c r="F2649" i="1"/>
  <c r="G2649" i="1"/>
  <c r="H2649" i="1"/>
  <c r="D2650" i="1"/>
  <c r="E2650" i="1"/>
  <c r="F2650" i="1"/>
  <c r="G2650" i="1"/>
  <c r="H2650" i="1"/>
  <c r="D2651" i="1"/>
  <c r="E2651" i="1"/>
  <c r="F2651" i="1"/>
  <c r="G2651" i="1"/>
  <c r="H2651" i="1"/>
  <c r="D2652" i="1"/>
  <c r="E2652" i="1"/>
  <c r="F2652" i="1"/>
  <c r="G2652" i="1"/>
  <c r="H2652" i="1"/>
  <c r="D2653" i="1"/>
  <c r="E2653" i="1"/>
  <c r="F2653" i="1"/>
  <c r="G2653" i="1"/>
  <c r="H2653" i="1"/>
  <c r="D2654" i="1"/>
  <c r="E2654" i="1"/>
  <c r="F2654" i="1"/>
  <c r="G2654" i="1"/>
  <c r="H2654" i="1"/>
  <c r="D2655" i="1"/>
  <c r="E2655" i="1"/>
  <c r="F2655" i="1"/>
  <c r="G2655" i="1"/>
  <c r="H2655" i="1"/>
  <c r="D2656" i="1"/>
  <c r="E2656" i="1"/>
  <c r="F2656" i="1"/>
  <c r="G2656" i="1"/>
  <c r="H2656" i="1"/>
  <c r="D2657" i="1"/>
  <c r="E2657" i="1"/>
  <c r="F2657" i="1"/>
  <c r="G2657" i="1"/>
  <c r="H2657" i="1"/>
  <c r="D2658" i="1"/>
  <c r="E2658" i="1"/>
  <c r="F2658" i="1"/>
  <c r="G2658" i="1"/>
  <c r="H2658" i="1"/>
  <c r="D2659" i="1"/>
  <c r="E2659" i="1"/>
  <c r="F2659" i="1"/>
  <c r="G2659" i="1"/>
  <c r="H2659" i="1"/>
  <c r="D2660" i="1"/>
  <c r="E2660" i="1"/>
  <c r="F2660" i="1"/>
  <c r="G2660" i="1"/>
  <c r="H2660" i="1"/>
  <c r="D2661" i="1"/>
  <c r="E2661" i="1"/>
  <c r="F2661" i="1"/>
  <c r="G2661" i="1"/>
  <c r="H2661" i="1"/>
  <c r="D2662" i="1"/>
  <c r="E2662" i="1"/>
  <c r="F2662" i="1"/>
  <c r="G2662" i="1"/>
  <c r="H2662" i="1"/>
  <c r="D2663" i="1"/>
  <c r="E2663" i="1"/>
  <c r="F2663" i="1"/>
  <c r="G2663" i="1"/>
  <c r="H2663" i="1"/>
  <c r="D2664" i="1"/>
  <c r="E2664" i="1"/>
  <c r="F2664" i="1"/>
  <c r="G2664" i="1"/>
  <c r="H2664" i="1"/>
  <c r="D2665" i="1"/>
  <c r="E2665" i="1"/>
  <c r="F2665" i="1"/>
  <c r="G2665" i="1"/>
  <c r="H2665" i="1"/>
  <c r="D2666" i="1"/>
  <c r="E2666" i="1"/>
  <c r="F2666" i="1"/>
  <c r="G2666" i="1"/>
  <c r="H2666" i="1"/>
  <c r="D2667" i="1"/>
  <c r="E2667" i="1"/>
  <c r="F2667" i="1"/>
  <c r="G2667" i="1"/>
  <c r="H2667" i="1"/>
  <c r="D2668" i="1"/>
  <c r="E2668" i="1"/>
  <c r="F2668" i="1"/>
  <c r="G2668" i="1"/>
  <c r="H2668" i="1"/>
  <c r="D2669" i="1"/>
  <c r="E2669" i="1"/>
  <c r="F2669" i="1"/>
  <c r="G2669" i="1"/>
  <c r="H2669" i="1"/>
  <c r="D2670" i="1"/>
  <c r="E2670" i="1"/>
  <c r="F2670" i="1"/>
  <c r="G2670" i="1"/>
  <c r="H2670" i="1"/>
  <c r="D2671" i="1"/>
  <c r="E2671" i="1"/>
  <c r="F2671" i="1"/>
  <c r="G2671" i="1"/>
  <c r="H2671" i="1"/>
  <c r="D2672" i="1"/>
  <c r="E2672" i="1"/>
  <c r="F2672" i="1"/>
  <c r="G2672" i="1"/>
  <c r="H2672" i="1"/>
  <c r="D2673" i="1"/>
  <c r="E2673" i="1"/>
  <c r="F2673" i="1"/>
  <c r="G2673" i="1"/>
  <c r="H2673" i="1"/>
  <c r="D2674" i="1"/>
  <c r="E2674" i="1"/>
  <c r="F2674" i="1"/>
  <c r="G2674" i="1"/>
  <c r="H2674" i="1"/>
  <c r="D2675" i="1"/>
  <c r="E2675" i="1"/>
  <c r="F2675" i="1"/>
  <c r="G2675" i="1"/>
  <c r="H2675" i="1"/>
  <c r="D2676" i="1"/>
  <c r="E2676" i="1"/>
  <c r="F2676" i="1"/>
  <c r="G2676" i="1"/>
  <c r="H2676" i="1"/>
  <c r="D2677" i="1"/>
  <c r="E2677" i="1"/>
  <c r="F2677" i="1"/>
  <c r="G2677" i="1"/>
  <c r="H2677" i="1"/>
  <c r="D2678" i="1"/>
  <c r="E2678" i="1"/>
  <c r="F2678" i="1"/>
  <c r="G2678" i="1"/>
  <c r="H2678" i="1"/>
  <c r="D2679" i="1"/>
  <c r="E2679" i="1"/>
  <c r="F2679" i="1"/>
  <c r="G2679" i="1"/>
  <c r="H2679" i="1"/>
  <c r="D2680" i="1"/>
  <c r="E2680" i="1"/>
  <c r="F2680" i="1"/>
  <c r="G2680" i="1"/>
  <c r="H2680" i="1"/>
  <c r="D2681" i="1"/>
  <c r="E2681" i="1"/>
  <c r="F2681" i="1"/>
  <c r="G2681" i="1"/>
  <c r="H2681" i="1"/>
  <c r="D2682" i="1"/>
  <c r="E2682" i="1"/>
  <c r="F2682" i="1"/>
  <c r="G2682" i="1"/>
  <c r="H2682" i="1"/>
  <c r="D2683" i="1"/>
  <c r="E2683" i="1"/>
  <c r="F2683" i="1"/>
  <c r="G2683" i="1"/>
  <c r="H2683" i="1"/>
  <c r="D2684" i="1"/>
  <c r="E2684" i="1"/>
  <c r="F2684" i="1"/>
  <c r="G2684" i="1"/>
  <c r="H2684" i="1"/>
  <c r="D2685" i="1"/>
  <c r="E2685" i="1"/>
  <c r="F2685" i="1"/>
  <c r="G2685" i="1"/>
  <c r="H2685" i="1"/>
  <c r="D2686" i="1"/>
  <c r="E2686" i="1"/>
  <c r="F2686" i="1"/>
  <c r="G2686" i="1"/>
  <c r="H2686" i="1"/>
  <c r="D2687" i="1"/>
  <c r="E2687" i="1"/>
  <c r="F2687" i="1"/>
  <c r="G2687" i="1"/>
  <c r="H2687" i="1"/>
  <c r="D2688" i="1"/>
  <c r="E2688" i="1"/>
  <c r="F2688" i="1"/>
  <c r="G2688" i="1"/>
  <c r="H2688" i="1"/>
  <c r="D2689" i="1"/>
  <c r="E2689" i="1"/>
  <c r="F2689" i="1"/>
  <c r="G2689" i="1"/>
  <c r="H2689" i="1"/>
  <c r="D2690" i="1"/>
  <c r="E2690" i="1"/>
  <c r="F2690" i="1"/>
  <c r="G2690" i="1"/>
  <c r="H2690" i="1"/>
  <c r="D2691" i="1"/>
  <c r="E2691" i="1"/>
  <c r="F2691" i="1"/>
  <c r="G2691" i="1"/>
  <c r="H2691" i="1"/>
  <c r="D2692" i="1"/>
  <c r="E2692" i="1"/>
  <c r="F2692" i="1"/>
  <c r="G2692" i="1"/>
  <c r="H2692" i="1"/>
  <c r="D2693" i="1"/>
  <c r="E2693" i="1"/>
  <c r="F2693" i="1"/>
  <c r="G2693" i="1"/>
  <c r="H2693" i="1"/>
  <c r="D2694" i="1"/>
  <c r="E2694" i="1"/>
  <c r="F2694" i="1"/>
  <c r="G2694" i="1"/>
  <c r="H2694" i="1"/>
  <c r="D2695" i="1"/>
  <c r="E2695" i="1"/>
  <c r="F2695" i="1"/>
  <c r="G2695" i="1"/>
  <c r="H2695" i="1"/>
  <c r="D2696" i="1"/>
  <c r="E2696" i="1"/>
  <c r="F2696" i="1"/>
  <c r="G2696" i="1"/>
  <c r="H2696" i="1"/>
  <c r="D2697" i="1"/>
  <c r="E2697" i="1"/>
  <c r="F2697" i="1"/>
  <c r="G2697" i="1"/>
  <c r="H2697" i="1"/>
  <c r="D2698" i="1"/>
  <c r="E2698" i="1"/>
  <c r="F2698" i="1"/>
  <c r="G2698" i="1"/>
  <c r="H2698" i="1"/>
  <c r="D2699" i="1"/>
  <c r="E2699" i="1"/>
  <c r="F2699" i="1"/>
  <c r="G2699" i="1"/>
  <c r="H2699" i="1"/>
  <c r="D2700" i="1"/>
  <c r="E2700" i="1"/>
  <c r="F2700" i="1"/>
  <c r="G2700" i="1"/>
  <c r="H2700" i="1"/>
  <c r="D2701" i="1"/>
  <c r="E2701" i="1"/>
  <c r="F2701" i="1"/>
  <c r="G2701" i="1"/>
  <c r="H2701" i="1"/>
  <c r="D2702" i="1"/>
  <c r="E2702" i="1"/>
  <c r="F2702" i="1"/>
  <c r="G2702" i="1"/>
  <c r="H2702" i="1"/>
  <c r="D2703" i="1"/>
  <c r="E2703" i="1"/>
  <c r="F2703" i="1"/>
  <c r="G2703" i="1"/>
  <c r="H2703" i="1"/>
  <c r="D2704" i="1"/>
  <c r="E2704" i="1"/>
  <c r="F2704" i="1"/>
  <c r="G2704" i="1"/>
  <c r="H2704" i="1"/>
  <c r="D2705" i="1"/>
  <c r="E2705" i="1"/>
  <c r="F2705" i="1"/>
  <c r="G2705" i="1"/>
  <c r="H2705" i="1"/>
  <c r="D2706" i="1"/>
  <c r="E2706" i="1"/>
  <c r="F2706" i="1"/>
  <c r="G2706" i="1"/>
  <c r="H2706" i="1"/>
  <c r="D2707" i="1"/>
  <c r="E2707" i="1"/>
  <c r="F2707" i="1"/>
  <c r="G2707" i="1"/>
  <c r="H2707" i="1"/>
  <c r="D2708" i="1"/>
  <c r="E2708" i="1"/>
  <c r="F2708" i="1"/>
  <c r="G2708" i="1"/>
  <c r="H2708" i="1"/>
  <c r="D2709" i="1"/>
  <c r="E2709" i="1"/>
  <c r="F2709" i="1"/>
  <c r="G2709" i="1"/>
  <c r="H2709" i="1"/>
  <c r="D2710" i="1"/>
  <c r="E2710" i="1"/>
  <c r="F2710" i="1"/>
  <c r="G2710" i="1"/>
  <c r="H2710" i="1"/>
  <c r="D2711" i="1"/>
  <c r="E2711" i="1"/>
  <c r="F2711" i="1"/>
  <c r="G2711" i="1"/>
  <c r="H2711" i="1"/>
  <c r="D2712" i="1"/>
  <c r="E2712" i="1"/>
  <c r="F2712" i="1"/>
  <c r="G2712" i="1"/>
  <c r="H2712" i="1"/>
  <c r="D2713" i="1"/>
  <c r="E2713" i="1"/>
  <c r="F2713" i="1"/>
  <c r="G2713" i="1"/>
  <c r="H2713" i="1"/>
  <c r="D2714" i="1"/>
  <c r="E2714" i="1"/>
  <c r="F2714" i="1"/>
  <c r="G2714" i="1"/>
  <c r="H2714" i="1"/>
  <c r="D2715" i="1"/>
  <c r="E2715" i="1"/>
  <c r="F2715" i="1"/>
  <c r="G2715" i="1"/>
  <c r="H2715" i="1"/>
  <c r="D2716" i="1"/>
  <c r="E2716" i="1"/>
  <c r="F2716" i="1"/>
  <c r="G2716" i="1"/>
  <c r="H2716" i="1"/>
  <c r="D2717" i="1"/>
  <c r="E2717" i="1"/>
  <c r="F2717" i="1"/>
  <c r="G2717" i="1"/>
  <c r="H2717" i="1"/>
  <c r="D2718" i="1"/>
  <c r="E2718" i="1"/>
  <c r="F2718" i="1"/>
  <c r="G2718" i="1"/>
  <c r="H2718" i="1"/>
  <c r="D2719" i="1"/>
  <c r="E2719" i="1"/>
  <c r="F2719" i="1"/>
  <c r="G2719" i="1"/>
  <c r="H2719" i="1"/>
  <c r="D2720" i="1"/>
  <c r="E2720" i="1"/>
  <c r="F2720" i="1"/>
  <c r="G2720" i="1"/>
  <c r="H2720" i="1"/>
  <c r="D2721" i="1"/>
  <c r="E2721" i="1"/>
  <c r="F2721" i="1"/>
  <c r="G2721" i="1"/>
  <c r="H2721" i="1"/>
  <c r="D2722" i="1"/>
  <c r="E2722" i="1"/>
  <c r="F2722" i="1"/>
  <c r="G2722" i="1"/>
  <c r="H2722" i="1"/>
  <c r="D2723" i="1"/>
  <c r="E2723" i="1"/>
  <c r="F2723" i="1"/>
  <c r="G2723" i="1"/>
  <c r="H2723" i="1"/>
  <c r="D2724" i="1"/>
  <c r="E2724" i="1"/>
  <c r="F2724" i="1"/>
  <c r="G2724" i="1"/>
  <c r="H2724" i="1"/>
  <c r="D2725" i="1"/>
  <c r="E2725" i="1"/>
  <c r="F2725" i="1"/>
  <c r="G2725" i="1"/>
  <c r="H2725" i="1"/>
  <c r="D2726" i="1"/>
  <c r="E2726" i="1"/>
  <c r="F2726" i="1"/>
  <c r="G2726" i="1"/>
  <c r="H2726" i="1"/>
  <c r="D2727" i="1"/>
  <c r="E2727" i="1"/>
  <c r="F2727" i="1"/>
  <c r="G2727" i="1"/>
  <c r="H2727" i="1"/>
  <c r="D2728" i="1"/>
  <c r="E2728" i="1"/>
  <c r="F2728" i="1"/>
  <c r="G2728" i="1"/>
  <c r="H2728" i="1"/>
  <c r="D2729" i="1"/>
  <c r="E2729" i="1"/>
  <c r="F2729" i="1"/>
  <c r="G2729" i="1"/>
  <c r="H2729" i="1"/>
  <c r="D2730" i="1"/>
  <c r="E2730" i="1"/>
  <c r="F2730" i="1"/>
  <c r="G2730" i="1"/>
  <c r="H2730" i="1"/>
  <c r="D2731" i="1"/>
  <c r="E2731" i="1"/>
  <c r="F2731" i="1"/>
  <c r="G2731" i="1"/>
  <c r="H2731" i="1"/>
  <c r="D2732" i="1"/>
  <c r="E2732" i="1"/>
  <c r="F2732" i="1"/>
  <c r="G2732" i="1"/>
  <c r="H2732" i="1"/>
  <c r="D2733" i="1"/>
  <c r="E2733" i="1"/>
  <c r="F2733" i="1"/>
  <c r="G2733" i="1"/>
  <c r="H2733" i="1"/>
  <c r="D2734" i="1"/>
  <c r="E2734" i="1"/>
  <c r="F2734" i="1"/>
  <c r="G2734" i="1"/>
  <c r="H2734" i="1"/>
  <c r="D2735" i="1"/>
  <c r="E2735" i="1"/>
  <c r="F2735" i="1"/>
  <c r="G2735" i="1"/>
  <c r="H2735" i="1"/>
  <c r="D2736" i="1"/>
  <c r="E2736" i="1"/>
  <c r="F2736" i="1"/>
  <c r="G2736" i="1"/>
  <c r="H2736" i="1"/>
  <c r="D2737" i="1"/>
  <c r="E2737" i="1"/>
  <c r="F2737" i="1"/>
  <c r="G2737" i="1"/>
  <c r="H2737" i="1"/>
  <c r="D2738" i="1"/>
  <c r="E2738" i="1"/>
  <c r="F2738" i="1"/>
  <c r="G2738" i="1"/>
  <c r="H2738" i="1"/>
  <c r="D2739" i="1"/>
  <c r="E2739" i="1"/>
  <c r="F2739" i="1"/>
  <c r="G2739" i="1"/>
  <c r="H2739" i="1"/>
  <c r="D2740" i="1"/>
  <c r="E2740" i="1"/>
  <c r="F2740" i="1"/>
  <c r="G2740" i="1"/>
  <c r="H2740" i="1"/>
  <c r="D2741" i="1"/>
  <c r="E2741" i="1"/>
  <c r="F2741" i="1"/>
  <c r="G2741" i="1"/>
  <c r="H2741" i="1"/>
  <c r="D2742" i="1"/>
  <c r="E2742" i="1"/>
  <c r="F2742" i="1"/>
  <c r="G2742" i="1"/>
  <c r="H2742" i="1"/>
  <c r="D2743" i="1"/>
  <c r="E2743" i="1"/>
  <c r="F2743" i="1"/>
  <c r="G2743" i="1"/>
  <c r="H2743" i="1"/>
  <c r="D2744" i="1"/>
  <c r="E2744" i="1"/>
  <c r="F2744" i="1"/>
  <c r="G2744" i="1"/>
  <c r="H2744" i="1"/>
  <c r="D2745" i="1"/>
  <c r="E2745" i="1"/>
  <c r="F2745" i="1"/>
  <c r="G2745" i="1"/>
  <c r="H2745" i="1"/>
  <c r="D2746" i="1"/>
  <c r="E2746" i="1"/>
  <c r="F2746" i="1"/>
  <c r="G2746" i="1"/>
  <c r="H2746" i="1"/>
  <c r="D2747" i="1"/>
  <c r="E2747" i="1"/>
  <c r="F2747" i="1"/>
  <c r="G2747" i="1"/>
  <c r="H2747" i="1"/>
  <c r="D2748" i="1"/>
  <c r="E2748" i="1"/>
  <c r="F2748" i="1"/>
  <c r="G2748" i="1"/>
  <c r="H2748" i="1"/>
  <c r="D2749" i="1"/>
  <c r="E2749" i="1"/>
  <c r="F2749" i="1"/>
  <c r="G2749" i="1"/>
  <c r="H2749" i="1"/>
  <c r="D2750" i="1"/>
  <c r="E2750" i="1"/>
  <c r="F2750" i="1"/>
  <c r="G2750" i="1"/>
  <c r="H2750" i="1"/>
  <c r="D2751" i="1"/>
  <c r="E2751" i="1"/>
  <c r="F2751" i="1"/>
  <c r="G2751" i="1"/>
  <c r="H2751" i="1"/>
  <c r="D2752" i="1"/>
  <c r="E2752" i="1"/>
  <c r="F2752" i="1"/>
  <c r="G2752" i="1"/>
  <c r="H2752" i="1"/>
  <c r="D2753" i="1"/>
  <c r="E2753" i="1"/>
  <c r="F2753" i="1"/>
  <c r="G2753" i="1"/>
  <c r="H2753" i="1"/>
  <c r="D2754" i="1"/>
  <c r="E2754" i="1"/>
  <c r="F2754" i="1"/>
  <c r="G2754" i="1"/>
  <c r="H2754" i="1"/>
  <c r="D2755" i="1"/>
  <c r="E2755" i="1"/>
  <c r="F2755" i="1"/>
  <c r="G2755" i="1"/>
  <c r="H2755" i="1"/>
  <c r="D2756" i="1"/>
  <c r="E2756" i="1"/>
  <c r="F2756" i="1"/>
  <c r="G2756" i="1"/>
  <c r="H2756" i="1"/>
  <c r="D2757" i="1"/>
  <c r="E2757" i="1"/>
  <c r="F2757" i="1"/>
  <c r="G2757" i="1"/>
  <c r="H2757" i="1"/>
  <c r="D2758" i="1"/>
  <c r="E2758" i="1"/>
  <c r="F2758" i="1"/>
  <c r="G2758" i="1"/>
  <c r="H2758" i="1"/>
  <c r="D2759" i="1"/>
  <c r="E2759" i="1"/>
  <c r="F2759" i="1"/>
  <c r="G2759" i="1"/>
  <c r="H2759" i="1"/>
  <c r="D2760" i="1"/>
  <c r="E2760" i="1"/>
  <c r="F2760" i="1"/>
  <c r="G2760" i="1"/>
  <c r="H2760" i="1"/>
  <c r="D2761" i="1"/>
  <c r="E2761" i="1"/>
  <c r="F2761" i="1"/>
  <c r="G2761" i="1"/>
  <c r="H2761" i="1"/>
  <c r="D2762" i="1"/>
  <c r="E2762" i="1"/>
  <c r="F2762" i="1"/>
  <c r="G2762" i="1"/>
  <c r="H2762" i="1"/>
  <c r="D2763" i="1"/>
  <c r="E2763" i="1"/>
  <c r="F2763" i="1"/>
  <c r="G2763" i="1"/>
  <c r="H2763" i="1"/>
  <c r="D2764" i="1"/>
  <c r="E2764" i="1"/>
  <c r="F2764" i="1"/>
  <c r="G2764" i="1"/>
  <c r="H2764" i="1"/>
  <c r="D2765" i="1"/>
  <c r="E2765" i="1"/>
  <c r="F2765" i="1"/>
  <c r="G2765" i="1"/>
  <c r="H2765" i="1"/>
  <c r="D2766" i="1"/>
  <c r="E2766" i="1"/>
  <c r="F2766" i="1"/>
  <c r="G2766" i="1"/>
  <c r="H2766" i="1"/>
  <c r="D2767" i="1"/>
  <c r="E2767" i="1"/>
  <c r="F2767" i="1"/>
  <c r="G2767" i="1"/>
  <c r="H2767" i="1"/>
  <c r="D2768" i="1"/>
  <c r="E2768" i="1"/>
  <c r="F2768" i="1"/>
  <c r="G2768" i="1"/>
  <c r="H2768" i="1"/>
  <c r="D2769" i="1"/>
  <c r="E2769" i="1"/>
  <c r="F2769" i="1"/>
  <c r="G2769" i="1"/>
  <c r="H2769" i="1"/>
  <c r="D2770" i="1"/>
  <c r="E2770" i="1"/>
  <c r="F2770" i="1"/>
  <c r="G2770" i="1"/>
  <c r="H2770" i="1"/>
  <c r="D2771" i="1"/>
  <c r="E2771" i="1"/>
  <c r="F2771" i="1"/>
  <c r="G2771" i="1"/>
  <c r="H2771" i="1"/>
  <c r="D2772" i="1"/>
  <c r="E2772" i="1"/>
  <c r="F2772" i="1"/>
  <c r="G2772" i="1"/>
  <c r="H2772" i="1"/>
  <c r="D2773" i="1"/>
  <c r="E2773" i="1"/>
  <c r="F2773" i="1"/>
  <c r="G2773" i="1"/>
  <c r="H2773" i="1"/>
  <c r="D2774" i="1"/>
  <c r="E2774" i="1"/>
  <c r="F2774" i="1"/>
  <c r="G2774" i="1"/>
  <c r="H2774" i="1"/>
  <c r="D2775" i="1"/>
  <c r="E2775" i="1"/>
  <c r="F2775" i="1"/>
  <c r="G2775" i="1"/>
  <c r="H2775" i="1"/>
  <c r="D2776" i="1"/>
  <c r="E2776" i="1"/>
  <c r="F2776" i="1"/>
  <c r="G2776" i="1"/>
  <c r="H2776" i="1"/>
  <c r="D2777" i="1"/>
  <c r="E2777" i="1"/>
  <c r="F2777" i="1"/>
  <c r="G2777" i="1"/>
  <c r="H2777" i="1"/>
  <c r="D2778" i="1"/>
  <c r="E2778" i="1"/>
  <c r="F2778" i="1"/>
  <c r="G2778" i="1"/>
  <c r="H2778" i="1"/>
  <c r="D2779" i="1"/>
  <c r="E2779" i="1"/>
  <c r="F2779" i="1"/>
  <c r="G2779" i="1"/>
  <c r="H2779" i="1"/>
  <c r="D2780" i="1"/>
  <c r="E2780" i="1"/>
  <c r="F2780" i="1"/>
  <c r="G2780" i="1"/>
  <c r="H2780" i="1"/>
  <c r="D2781" i="1"/>
  <c r="E2781" i="1"/>
  <c r="F2781" i="1"/>
  <c r="G2781" i="1"/>
  <c r="H2781" i="1"/>
  <c r="D2782" i="1"/>
  <c r="E2782" i="1"/>
  <c r="F2782" i="1"/>
  <c r="G2782" i="1"/>
  <c r="H2782" i="1"/>
  <c r="D2783" i="1"/>
  <c r="E2783" i="1"/>
  <c r="F2783" i="1"/>
  <c r="G2783" i="1"/>
  <c r="H2783" i="1"/>
  <c r="D2784" i="1"/>
  <c r="E2784" i="1"/>
  <c r="F2784" i="1"/>
  <c r="G2784" i="1"/>
  <c r="H2784" i="1"/>
  <c r="D2785" i="1"/>
  <c r="E2785" i="1"/>
  <c r="F2785" i="1"/>
  <c r="G2785" i="1"/>
  <c r="H2785" i="1"/>
  <c r="D2786" i="1"/>
  <c r="E2786" i="1"/>
  <c r="F2786" i="1"/>
  <c r="G2786" i="1"/>
  <c r="H2786" i="1"/>
  <c r="D2787" i="1"/>
  <c r="E2787" i="1"/>
  <c r="F2787" i="1"/>
  <c r="G2787" i="1"/>
  <c r="H2787" i="1"/>
  <c r="D2788" i="1"/>
  <c r="E2788" i="1"/>
  <c r="F2788" i="1"/>
  <c r="G2788" i="1"/>
  <c r="H2788" i="1"/>
  <c r="D2789" i="1"/>
  <c r="E2789" i="1"/>
  <c r="F2789" i="1"/>
  <c r="G2789" i="1"/>
  <c r="H2789" i="1"/>
  <c r="D2790" i="1"/>
  <c r="E2790" i="1"/>
  <c r="F2790" i="1"/>
  <c r="G2790" i="1"/>
  <c r="H2790" i="1"/>
  <c r="D2791" i="1"/>
  <c r="E2791" i="1"/>
  <c r="F2791" i="1"/>
  <c r="G2791" i="1"/>
  <c r="H2791" i="1"/>
  <c r="D2792" i="1"/>
  <c r="E2792" i="1"/>
  <c r="F2792" i="1"/>
  <c r="G2792" i="1"/>
  <c r="H2792" i="1"/>
  <c r="D2793" i="1"/>
  <c r="E2793" i="1"/>
  <c r="F2793" i="1"/>
  <c r="G2793" i="1"/>
  <c r="H2793" i="1"/>
  <c r="D2794" i="1"/>
  <c r="E2794" i="1"/>
  <c r="F2794" i="1"/>
  <c r="G2794" i="1"/>
  <c r="H2794" i="1"/>
  <c r="D2795" i="1"/>
  <c r="E2795" i="1"/>
  <c r="F2795" i="1"/>
  <c r="G2795" i="1"/>
  <c r="H2795" i="1"/>
  <c r="D2796" i="1"/>
  <c r="E2796" i="1"/>
  <c r="F2796" i="1"/>
  <c r="G2796" i="1"/>
  <c r="H2796" i="1"/>
  <c r="D2797" i="1"/>
  <c r="E2797" i="1"/>
  <c r="F2797" i="1"/>
  <c r="G2797" i="1"/>
  <c r="H2797" i="1"/>
  <c r="D2798" i="1"/>
  <c r="E2798" i="1"/>
  <c r="F2798" i="1"/>
  <c r="G2798" i="1"/>
  <c r="H2798" i="1"/>
  <c r="D2799" i="1"/>
  <c r="E2799" i="1"/>
  <c r="F2799" i="1"/>
  <c r="G2799" i="1"/>
  <c r="H2799" i="1"/>
  <c r="D2800" i="1"/>
  <c r="E2800" i="1"/>
  <c r="F2800" i="1"/>
  <c r="G2800" i="1"/>
  <c r="H2800" i="1"/>
  <c r="D2801" i="1"/>
  <c r="E2801" i="1"/>
  <c r="F2801" i="1"/>
  <c r="G2801" i="1"/>
  <c r="H2801" i="1"/>
  <c r="D2802" i="1"/>
  <c r="E2802" i="1"/>
  <c r="F2802" i="1"/>
  <c r="G2802" i="1"/>
  <c r="H2802" i="1"/>
  <c r="D2803" i="1"/>
  <c r="E2803" i="1"/>
  <c r="F2803" i="1"/>
  <c r="G2803" i="1"/>
  <c r="H2803" i="1"/>
  <c r="D2804" i="1"/>
  <c r="E2804" i="1"/>
  <c r="F2804" i="1"/>
  <c r="G2804" i="1"/>
  <c r="H2804" i="1"/>
  <c r="D2805" i="1"/>
  <c r="E2805" i="1"/>
  <c r="F2805" i="1"/>
  <c r="G2805" i="1"/>
  <c r="H2805" i="1"/>
  <c r="D2806" i="1"/>
  <c r="E2806" i="1"/>
  <c r="F2806" i="1"/>
  <c r="G2806" i="1"/>
  <c r="H2806" i="1"/>
  <c r="D2807" i="1"/>
  <c r="E2807" i="1"/>
  <c r="F2807" i="1"/>
  <c r="G2807" i="1"/>
  <c r="H2807" i="1"/>
  <c r="D2808" i="1"/>
  <c r="E2808" i="1"/>
  <c r="F2808" i="1"/>
  <c r="G2808" i="1"/>
  <c r="H2808" i="1"/>
  <c r="D2809" i="1"/>
  <c r="E2809" i="1"/>
  <c r="F2809" i="1"/>
  <c r="G2809" i="1"/>
  <c r="H2809" i="1"/>
  <c r="D2810" i="1"/>
  <c r="E2810" i="1"/>
  <c r="F2810" i="1"/>
  <c r="G2810" i="1"/>
  <c r="H2810" i="1"/>
  <c r="D2811" i="1"/>
  <c r="E2811" i="1"/>
  <c r="F2811" i="1"/>
  <c r="G2811" i="1"/>
  <c r="H2811" i="1"/>
  <c r="D2812" i="1"/>
  <c r="E2812" i="1"/>
  <c r="F2812" i="1"/>
  <c r="G2812" i="1"/>
  <c r="H2812" i="1"/>
  <c r="D2813" i="1"/>
  <c r="E2813" i="1"/>
  <c r="F2813" i="1"/>
  <c r="G2813" i="1"/>
  <c r="H2813" i="1"/>
  <c r="D2814" i="1"/>
  <c r="E2814" i="1"/>
  <c r="F2814" i="1"/>
  <c r="G2814" i="1"/>
  <c r="H2814" i="1"/>
  <c r="D2815" i="1"/>
  <c r="E2815" i="1"/>
  <c r="F2815" i="1"/>
  <c r="G2815" i="1"/>
  <c r="H2815" i="1"/>
  <c r="D2816" i="1"/>
  <c r="E2816" i="1"/>
  <c r="F2816" i="1"/>
  <c r="G2816" i="1"/>
  <c r="H2816" i="1"/>
  <c r="D2817" i="1"/>
  <c r="E2817" i="1"/>
  <c r="F2817" i="1"/>
  <c r="G2817" i="1"/>
  <c r="H2817" i="1"/>
  <c r="D2818" i="1"/>
  <c r="E2818" i="1"/>
  <c r="F2818" i="1"/>
  <c r="G2818" i="1"/>
  <c r="H2818" i="1"/>
  <c r="D2819" i="1"/>
  <c r="E2819" i="1"/>
  <c r="F2819" i="1"/>
  <c r="G2819" i="1"/>
  <c r="H2819" i="1"/>
  <c r="D2820" i="1"/>
  <c r="E2820" i="1"/>
  <c r="F2820" i="1"/>
  <c r="G2820" i="1"/>
  <c r="H2820" i="1"/>
  <c r="D2821" i="1"/>
  <c r="E2821" i="1"/>
  <c r="F2821" i="1"/>
  <c r="G2821" i="1"/>
  <c r="H2821" i="1"/>
  <c r="D2822" i="1"/>
  <c r="E2822" i="1"/>
  <c r="F2822" i="1"/>
  <c r="G2822" i="1"/>
  <c r="H2822" i="1"/>
  <c r="D2823" i="1"/>
  <c r="E2823" i="1"/>
  <c r="F2823" i="1"/>
  <c r="G2823" i="1"/>
  <c r="H2823" i="1"/>
  <c r="D2824" i="1"/>
  <c r="E2824" i="1"/>
  <c r="F2824" i="1"/>
  <c r="G2824" i="1"/>
  <c r="H2824" i="1"/>
  <c r="D2825" i="1"/>
  <c r="E2825" i="1"/>
  <c r="F2825" i="1"/>
  <c r="G2825" i="1"/>
  <c r="H2825" i="1"/>
  <c r="D2826" i="1"/>
  <c r="E2826" i="1"/>
  <c r="F2826" i="1"/>
  <c r="G2826" i="1"/>
  <c r="H2826" i="1"/>
  <c r="D2827" i="1"/>
  <c r="E2827" i="1"/>
  <c r="F2827" i="1"/>
  <c r="G2827" i="1"/>
  <c r="H2827" i="1"/>
  <c r="D2828" i="1"/>
  <c r="E2828" i="1"/>
  <c r="F2828" i="1"/>
  <c r="G2828" i="1"/>
  <c r="H2828" i="1"/>
  <c r="D2829" i="1"/>
  <c r="E2829" i="1"/>
  <c r="F2829" i="1"/>
  <c r="G2829" i="1"/>
  <c r="H2829" i="1"/>
  <c r="D2830" i="1"/>
  <c r="E2830" i="1"/>
  <c r="F2830" i="1"/>
  <c r="G2830" i="1"/>
  <c r="H2830" i="1"/>
  <c r="D2831" i="1"/>
  <c r="E2831" i="1"/>
  <c r="F2831" i="1"/>
  <c r="G2831" i="1"/>
  <c r="H2831" i="1"/>
  <c r="D2832" i="1"/>
  <c r="E2832" i="1"/>
  <c r="F2832" i="1"/>
  <c r="G2832" i="1"/>
  <c r="H2832" i="1"/>
  <c r="D2833" i="1"/>
  <c r="E2833" i="1"/>
  <c r="F2833" i="1"/>
  <c r="G2833" i="1"/>
  <c r="H2833" i="1"/>
  <c r="D2834" i="1"/>
  <c r="E2834" i="1"/>
  <c r="F2834" i="1"/>
  <c r="G2834" i="1"/>
  <c r="H2834" i="1"/>
  <c r="D2835" i="1"/>
  <c r="E2835" i="1"/>
  <c r="F2835" i="1"/>
  <c r="G2835" i="1"/>
  <c r="H2835" i="1"/>
  <c r="D2836" i="1"/>
  <c r="E2836" i="1"/>
  <c r="F2836" i="1"/>
  <c r="G2836" i="1"/>
  <c r="H2836" i="1"/>
  <c r="D2837" i="1"/>
  <c r="E2837" i="1"/>
  <c r="F2837" i="1"/>
  <c r="G2837" i="1"/>
  <c r="H2837" i="1"/>
  <c r="D2838" i="1"/>
  <c r="E2838" i="1"/>
  <c r="F2838" i="1"/>
  <c r="G2838" i="1"/>
  <c r="H2838" i="1"/>
  <c r="D2839" i="1"/>
  <c r="E2839" i="1"/>
  <c r="F2839" i="1"/>
  <c r="G2839" i="1"/>
  <c r="H2839" i="1"/>
  <c r="D2840" i="1"/>
  <c r="E2840" i="1"/>
  <c r="F2840" i="1"/>
  <c r="G2840" i="1"/>
  <c r="H2840" i="1"/>
  <c r="D2841" i="1"/>
  <c r="E2841" i="1"/>
  <c r="F2841" i="1"/>
  <c r="G2841" i="1"/>
  <c r="H2841" i="1"/>
  <c r="D2842" i="1"/>
  <c r="E2842" i="1"/>
  <c r="F2842" i="1"/>
  <c r="G2842" i="1"/>
  <c r="H2842" i="1"/>
  <c r="D2843" i="1"/>
  <c r="E2843" i="1"/>
  <c r="F2843" i="1"/>
  <c r="G2843" i="1"/>
  <c r="H2843" i="1"/>
  <c r="D2844" i="1"/>
  <c r="E2844" i="1"/>
  <c r="F2844" i="1"/>
  <c r="G2844" i="1"/>
  <c r="H2844" i="1"/>
  <c r="D2845" i="1"/>
  <c r="E2845" i="1"/>
  <c r="F2845" i="1"/>
  <c r="G2845" i="1"/>
  <c r="H2845" i="1"/>
  <c r="D2846" i="1"/>
  <c r="E2846" i="1"/>
  <c r="F2846" i="1"/>
  <c r="G2846" i="1"/>
  <c r="H2846" i="1"/>
  <c r="D2847" i="1"/>
  <c r="E2847" i="1"/>
  <c r="F2847" i="1"/>
  <c r="G2847" i="1"/>
  <c r="H2847" i="1"/>
  <c r="D2848" i="1"/>
  <c r="E2848" i="1"/>
  <c r="F2848" i="1"/>
  <c r="G2848" i="1"/>
  <c r="H2848" i="1"/>
  <c r="D2849" i="1"/>
  <c r="E2849" i="1"/>
  <c r="F2849" i="1"/>
  <c r="G2849" i="1"/>
  <c r="H2849" i="1"/>
  <c r="D2850" i="1"/>
  <c r="E2850" i="1"/>
  <c r="F2850" i="1"/>
  <c r="G2850" i="1"/>
  <c r="H2850" i="1"/>
  <c r="D2851" i="1"/>
  <c r="E2851" i="1"/>
  <c r="F2851" i="1"/>
  <c r="G2851" i="1"/>
  <c r="H2851" i="1"/>
  <c r="D2852" i="1"/>
  <c r="E2852" i="1"/>
  <c r="F2852" i="1"/>
  <c r="G2852" i="1"/>
  <c r="H2852" i="1"/>
  <c r="D2853" i="1"/>
  <c r="E2853" i="1"/>
  <c r="F2853" i="1"/>
  <c r="G2853" i="1"/>
  <c r="H2853" i="1"/>
  <c r="D2854" i="1"/>
  <c r="E2854" i="1"/>
  <c r="F2854" i="1"/>
  <c r="G2854" i="1"/>
  <c r="H2854" i="1"/>
  <c r="D2855" i="1"/>
  <c r="E2855" i="1"/>
  <c r="F2855" i="1"/>
  <c r="G2855" i="1"/>
  <c r="H2855" i="1"/>
  <c r="D2856" i="1"/>
  <c r="E2856" i="1"/>
  <c r="F2856" i="1"/>
  <c r="G2856" i="1"/>
  <c r="H2856" i="1"/>
  <c r="D2857" i="1"/>
  <c r="E2857" i="1"/>
  <c r="F2857" i="1"/>
  <c r="G2857" i="1"/>
  <c r="H2857" i="1"/>
  <c r="D2858" i="1"/>
  <c r="E2858" i="1"/>
  <c r="F2858" i="1"/>
  <c r="G2858" i="1"/>
  <c r="H2858" i="1"/>
  <c r="D2859" i="1"/>
  <c r="E2859" i="1"/>
  <c r="F2859" i="1"/>
  <c r="G2859" i="1"/>
  <c r="H2859" i="1"/>
  <c r="D2860" i="1"/>
  <c r="E2860" i="1"/>
  <c r="F2860" i="1"/>
  <c r="G2860" i="1"/>
  <c r="H2860" i="1"/>
  <c r="D2861" i="1"/>
  <c r="E2861" i="1"/>
  <c r="F2861" i="1"/>
  <c r="G2861" i="1"/>
  <c r="H2861" i="1"/>
  <c r="D2862" i="1"/>
  <c r="E2862" i="1"/>
  <c r="F2862" i="1"/>
  <c r="G2862" i="1"/>
  <c r="H2862" i="1"/>
  <c r="D2863" i="1"/>
  <c r="E2863" i="1"/>
  <c r="F2863" i="1"/>
  <c r="G2863" i="1"/>
  <c r="H2863" i="1"/>
  <c r="D2864" i="1"/>
  <c r="E2864" i="1"/>
  <c r="F2864" i="1"/>
  <c r="G2864" i="1"/>
  <c r="H2864" i="1"/>
  <c r="D2865" i="1"/>
  <c r="E2865" i="1"/>
  <c r="F2865" i="1"/>
  <c r="G2865" i="1"/>
  <c r="H2865" i="1"/>
  <c r="D2866" i="1"/>
  <c r="E2866" i="1"/>
  <c r="F2866" i="1"/>
  <c r="G2866" i="1"/>
  <c r="H2866" i="1"/>
  <c r="D2867" i="1"/>
  <c r="E2867" i="1"/>
  <c r="F2867" i="1"/>
  <c r="G2867" i="1"/>
  <c r="H2867" i="1"/>
  <c r="D2868" i="1"/>
  <c r="E2868" i="1"/>
  <c r="F2868" i="1"/>
  <c r="G2868" i="1"/>
  <c r="H2868" i="1"/>
  <c r="D2869" i="1"/>
  <c r="E2869" i="1"/>
  <c r="F2869" i="1"/>
  <c r="G2869" i="1"/>
  <c r="H2869" i="1"/>
  <c r="D2870" i="1"/>
  <c r="E2870" i="1"/>
  <c r="F2870" i="1"/>
  <c r="G2870" i="1"/>
  <c r="H2870" i="1"/>
  <c r="D2871" i="1"/>
  <c r="E2871" i="1"/>
  <c r="F2871" i="1"/>
  <c r="G2871" i="1"/>
  <c r="H2871" i="1"/>
  <c r="D2872" i="1"/>
  <c r="E2872" i="1"/>
  <c r="F2872" i="1"/>
  <c r="G2872" i="1"/>
  <c r="H2872" i="1"/>
  <c r="D2873" i="1"/>
  <c r="E2873" i="1"/>
  <c r="F2873" i="1"/>
  <c r="G2873" i="1"/>
  <c r="H2873" i="1"/>
  <c r="D2874" i="1"/>
  <c r="E2874" i="1"/>
  <c r="F2874" i="1"/>
  <c r="G2874" i="1"/>
  <c r="H2874" i="1"/>
  <c r="D2875" i="1"/>
  <c r="E2875" i="1"/>
  <c r="F2875" i="1"/>
  <c r="G2875" i="1"/>
  <c r="H2875" i="1"/>
  <c r="D2876" i="1"/>
  <c r="E2876" i="1"/>
  <c r="F2876" i="1"/>
  <c r="G2876" i="1"/>
  <c r="H2876" i="1"/>
  <c r="D2877" i="1"/>
  <c r="E2877" i="1"/>
  <c r="F2877" i="1"/>
  <c r="G2877" i="1"/>
  <c r="H2877" i="1"/>
  <c r="D2878" i="1"/>
  <c r="E2878" i="1"/>
  <c r="F2878" i="1"/>
  <c r="G2878" i="1"/>
  <c r="H2878" i="1"/>
  <c r="D2879" i="1"/>
  <c r="E2879" i="1"/>
  <c r="F2879" i="1"/>
  <c r="G2879" i="1"/>
  <c r="H2879" i="1"/>
  <c r="D2880" i="1"/>
  <c r="E2880" i="1"/>
  <c r="F2880" i="1"/>
  <c r="G2880" i="1"/>
  <c r="H2880" i="1"/>
  <c r="D2881" i="1"/>
  <c r="E2881" i="1"/>
  <c r="F2881" i="1"/>
  <c r="G2881" i="1"/>
  <c r="H2881" i="1"/>
  <c r="D2882" i="1"/>
  <c r="E2882" i="1"/>
  <c r="F2882" i="1"/>
  <c r="G2882" i="1"/>
  <c r="H2882" i="1"/>
  <c r="D2883" i="1"/>
  <c r="E2883" i="1"/>
  <c r="F2883" i="1"/>
  <c r="G2883" i="1"/>
  <c r="H2883" i="1"/>
  <c r="D2884" i="1"/>
  <c r="E2884" i="1"/>
  <c r="F2884" i="1"/>
  <c r="G2884" i="1"/>
  <c r="H2884" i="1"/>
  <c r="D2885" i="1"/>
  <c r="E2885" i="1"/>
  <c r="F2885" i="1"/>
  <c r="G2885" i="1"/>
  <c r="H2885" i="1"/>
  <c r="D2886" i="1"/>
  <c r="E2886" i="1"/>
  <c r="F2886" i="1"/>
  <c r="G2886" i="1"/>
  <c r="H2886" i="1"/>
  <c r="D2887" i="1"/>
  <c r="E2887" i="1"/>
  <c r="F2887" i="1"/>
  <c r="G2887" i="1"/>
  <c r="H2887" i="1"/>
  <c r="D2888" i="1"/>
  <c r="E2888" i="1"/>
  <c r="F2888" i="1"/>
  <c r="G2888" i="1"/>
  <c r="H2888" i="1"/>
  <c r="D2889" i="1"/>
  <c r="E2889" i="1"/>
  <c r="F2889" i="1"/>
  <c r="G2889" i="1"/>
  <c r="H2889" i="1"/>
  <c r="D2890" i="1"/>
  <c r="E2890" i="1"/>
  <c r="F2890" i="1"/>
  <c r="G2890" i="1"/>
  <c r="H2890" i="1"/>
  <c r="D2891" i="1"/>
  <c r="E2891" i="1"/>
  <c r="F2891" i="1"/>
  <c r="G2891" i="1"/>
  <c r="H2891" i="1"/>
  <c r="D2892" i="1"/>
  <c r="E2892" i="1"/>
  <c r="F2892" i="1"/>
  <c r="G2892" i="1"/>
  <c r="H2892" i="1"/>
  <c r="D2893" i="1"/>
  <c r="E2893" i="1"/>
  <c r="F2893" i="1"/>
  <c r="G2893" i="1"/>
  <c r="H2893" i="1"/>
  <c r="D2894" i="1"/>
  <c r="E2894" i="1"/>
  <c r="F2894" i="1"/>
  <c r="G2894" i="1"/>
  <c r="H2894" i="1"/>
  <c r="D2895" i="1"/>
  <c r="E2895" i="1"/>
  <c r="F2895" i="1"/>
  <c r="G2895" i="1"/>
  <c r="H2895" i="1"/>
  <c r="D2896" i="1"/>
  <c r="E2896" i="1"/>
  <c r="F2896" i="1"/>
  <c r="G2896" i="1"/>
  <c r="H2896" i="1"/>
  <c r="D2897" i="1"/>
  <c r="E2897" i="1"/>
  <c r="F2897" i="1"/>
  <c r="G2897" i="1"/>
  <c r="H2897" i="1"/>
  <c r="D2898" i="1"/>
  <c r="E2898" i="1"/>
  <c r="F2898" i="1"/>
  <c r="G2898" i="1"/>
  <c r="H2898" i="1"/>
  <c r="D2899" i="1"/>
  <c r="E2899" i="1"/>
  <c r="F2899" i="1"/>
  <c r="G2899" i="1"/>
  <c r="H2899" i="1"/>
  <c r="D2900" i="1"/>
  <c r="E2900" i="1"/>
  <c r="F2900" i="1"/>
  <c r="G2900" i="1"/>
  <c r="H2900" i="1"/>
  <c r="D2901" i="1"/>
  <c r="E2901" i="1"/>
  <c r="F2901" i="1"/>
  <c r="G2901" i="1"/>
  <c r="H2901" i="1"/>
  <c r="D2902" i="1"/>
  <c r="E2902" i="1"/>
  <c r="F2902" i="1"/>
  <c r="G2902" i="1"/>
  <c r="H2902" i="1"/>
  <c r="D2903" i="1"/>
  <c r="E2903" i="1"/>
  <c r="F2903" i="1"/>
  <c r="G2903" i="1"/>
  <c r="H2903" i="1"/>
  <c r="D2904" i="1"/>
  <c r="E2904" i="1"/>
  <c r="F2904" i="1"/>
  <c r="G2904" i="1"/>
  <c r="H2904" i="1"/>
  <c r="D2905" i="1"/>
  <c r="E2905" i="1"/>
  <c r="F2905" i="1"/>
  <c r="G2905" i="1"/>
  <c r="H2905" i="1"/>
  <c r="D2906" i="1"/>
  <c r="E2906" i="1"/>
  <c r="F2906" i="1"/>
  <c r="G2906" i="1"/>
  <c r="H2906" i="1"/>
  <c r="D2907" i="1"/>
  <c r="E2907" i="1"/>
  <c r="F2907" i="1"/>
  <c r="G2907" i="1"/>
  <c r="H2907" i="1"/>
  <c r="D2908" i="1"/>
  <c r="E2908" i="1"/>
  <c r="F2908" i="1"/>
  <c r="G2908" i="1"/>
  <c r="H2908" i="1"/>
  <c r="D2909" i="1"/>
  <c r="E2909" i="1"/>
  <c r="F2909" i="1"/>
  <c r="G2909" i="1"/>
  <c r="H2909" i="1"/>
  <c r="D2910" i="1"/>
  <c r="E2910" i="1"/>
  <c r="F2910" i="1"/>
  <c r="G2910" i="1"/>
  <c r="H2910" i="1"/>
  <c r="D2911" i="1"/>
  <c r="E2911" i="1"/>
  <c r="F2911" i="1"/>
  <c r="G2911" i="1"/>
  <c r="H2911" i="1"/>
  <c r="D2912" i="1"/>
  <c r="E2912" i="1"/>
  <c r="F2912" i="1"/>
  <c r="G2912" i="1"/>
  <c r="H2912" i="1"/>
  <c r="D2913" i="1"/>
  <c r="E2913" i="1"/>
  <c r="F2913" i="1"/>
  <c r="G2913" i="1"/>
  <c r="H2913" i="1"/>
  <c r="D2914" i="1"/>
  <c r="E2914" i="1"/>
  <c r="F2914" i="1"/>
  <c r="G2914" i="1"/>
  <c r="H2914" i="1"/>
  <c r="D2915" i="1"/>
  <c r="E2915" i="1"/>
  <c r="F2915" i="1"/>
  <c r="G2915" i="1"/>
  <c r="H2915" i="1"/>
  <c r="D2916" i="1"/>
  <c r="E2916" i="1"/>
  <c r="F2916" i="1"/>
  <c r="G2916" i="1"/>
  <c r="H2916" i="1"/>
  <c r="D2917" i="1"/>
  <c r="E2917" i="1"/>
  <c r="F2917" i="1"/>
  <c r="G2917" i="1"/>
  <c r="H2917" i="1"/>
  <c r="D2918" i="1"/>
  <c r="E2918" i="1"/>
  <c r="F2918" i="1"/>
  <c r="G2918" i="1"/>
  <c r="H2918" i="1"/>
  <c r="D2919" i="1"/>
  <c r="E2919" i="1"/>
  <c r="F2919" i="1"/>
  <c r="G2919" i="1"/>
  <c r="H2919" i="1"/>
  <c r="D2920" i="1"/>
  <c r="E2920" i="1"/>
  <c r="F2920" i="1"/>
  <c r="G2920" i="1"/>
  <c r="H2920" i="1"/>
  <c r="D2921" i="1"/>
  <c r="E2921" i="1"/>
  <c r="F2921" i="1"/>
  <c r="G2921" i="1"/>
  <c r="H2921" i="1"/>
  <c r="D2922" i="1"/>
  <c r="E2922" i="1"/>
  <c r="F2922" i="1"/>
  <c r="G2922" i="1"/>
  <c r="H2922" i="1"/>
  <c r="D2923" i="1"/>
  <c r="E2923" i="1"/>
  <c r="F2923" i="1"/>
  <c r="G2923" i="1"/>
  <c r="H2923" i="1"/>
  <c r="D2924" i="1"/>
  <c r="E2924" i="1"/>
  <c r="F2924" i="1"/>
  <c r="G2924" i="1"/>
  <c r="H2924" i="1"/>
  <c r="D2925" i="1"/>
  <c r="E2925" i="1"/>
  <c r="F2925" i="1"/>
  <c r="G2925" i="1"/>
  <c r="H2925" i="1"/>
  <c r="D2926" i="1"/>
  <c r="E2926" i="1"/>
  <c r="F2926" i="1"/>
  <c r="G2926" i="1"/>
  <c r="H2926" i="1"/>
  <c r="D2927" i="1"/>
  <c r="E2927" i="1"/>
  <c r="F2927" i="1"/>
  <c r="G2927" i="1"/>
  <c r="H2927" i="1"/>
  <c r="D2928" i="1"/>
  <c r="E2928" i="1"/>
  <c r="F2928" i="1"/>
  <c r="G2928" i="1"/>
  <c r="H2928" i="1"/>
  <c r="D2929" i="1"/>
  <c r="E2929" i="1"/>
  <c r="F2929" i="1"/>
  <c r="G2929" i="1"/>
  <c r="H2929" i="1"/>
  <c r="D2930" i="1"/>
  <c r="E2930" i="1"/>
  <c r="F2930" i="1"/>
  <c r="G2930" i="1"/>
  <c r="H2930" i="1"/>
  <c r="D2931" i="1"/>
  <c r="E2931" i="1"/>
  <c r="F2931" i="1"/>
  <c r="G2931" i="1"/>
  <c r="H2931" i="1"/>
  <c r="D2932" i="1"/>
  <c r="E2932" i="1"/>
  <c r="F2932" i="1"/>
  <c r="G2932" i="1"/>
  <c r="H2932" i="1"/>
  <c r="D2933" i="1"/>
  <c r="E2933" i="1"/>
  <c r="F2933" i="1"/>
  <c r="G2933" i="1"/>
  <c r="H2933" i="1"/>
  <c r="D2934" i="1"/>
  <c r="E2934" i="1"/>
  <c r="F2934" i="1"/>
  <c r="G2934" i="1"/>
  <c r="H2934" i="1"/>
  <c r="D2935" i="1"/>
  <c r="E2935" i="1"/>
  <c r="F2935" i="1"/>
  <c r="G2935" i="1"/>
  <c r="H2935" i="1"/>
  <c r="D2936" i="1"/>
  <c r="E2936" i="1"/>
  <c r="F2936" i="1"/>
  <c r="G2936" i="1"/>
  <c r="H2936" i="1"/>
  <c r="D2937" i="1"/>
  <c r="E2937" i="1"/>
  <c r="F2937" i="1"/>
  <c r="G2937" i="1"/>
  <c r="H2937" i="1"/>
  <c r="D2938" i="1"/>
  <c r="E2938" i="1"/>
  <c r="F2938" i="1"/>
  <c r="G2938" i="1"/>
  <c r="H2938" i="1"/>
  <c r="D2939" i="1"/>
  <c r="E2939" i="1"/>
  <c r="F2939" i="1"/>
  <c r="G2939" i="1"/>
  <c r="H2939" i="1"/>
  <c r="D2940" i="1"/>
  <c r="E2940" i="1"/>
  <c r="F2940" i="1"/>
  <c r="G2940" i="1"/>
  <c r="H2940" i="1"/>
  <c r="D2941" i="1"/>
  <c r="E2941" i="1"/>
  <c r="F2941" i="1"/>
  <c r="G2941" i="1"/>
  <c r="H2941" i="1"/>
  <c r="D2942" i="1"/>
  <c r="E2942" i="1"/>
  <c r="F2942" i="1"/>
  <c r="G2942" i="1"/>
  <c r="H2942" i="1"/>
  <c r="D2943" i="1"/>
  <c r="E2943" i="1"/>
  <c r="F2943" i="1"/>
  <c r="G2943" i="1"/>
  <c r="H2943" i="1"/>
  <c r="D2944" i="1"/>
  <c r="E2944" i="1"/>
  <c r="F2944" i="1"/>
  <c r="G2944" i="1"/>
  <c r="H2944" i="1"/>
  <c r="D2945" i="1"/>
  <c r="E2945" i="1"/>
  <c r="F2945" i="1"/>
  <c r="G2945" i="1"/>
  <c r="H2945" i="1"/>
  <c r="D2946" i="1"/>
  <c r="E2946" i="1"/>
  <c r="F2946" i="1"/>
  <c r="G2946" i="1"/>
  <c r="H2946" i="1"/>
  <c r="D2947" i="1"/>
  <c r="E2947" i="1"/>
  <c r="F2947" i="1"/>
  <c r="G2947" i="1"/>
  <c r="H2947" i="1"/>
  <c r="D2948" i="1"/>
  <c r="E2948" i="1"/>
  <c r="F2948" i="1"/>
  <c r="G2948" i="1"/>
  <c r="H2948" i="1"/>
  <c r="D2949" i="1"/>
  <c r="E2949" i="1"/>
  <c r="F2949" i="1"/>
  <c r="G2949" i="1"/>
  <c r="H2949" i="1"/>
  <c r="D2950" i="1"/>
  <c r="E2950" i="1"/>
  <c r="F2950" i="1"/>
  <c r="G2950" i="1"/>
  <c r="H2950" i="1"/>
  <c r="D2951" i="1"/>
  <c r="E2951" i="1"/>
  <c r="F2951" i="1"/>
  <c r="G2951" i="1"/>
  <c r="H2951" i="1"/>
  <c r="D2952" i="1"/>
  <c r="E2952" i="1"/>
  <c r="F2952" i="1"/>
  <c r="G2952" i="1"/>
  <c r="H2952" i="1"/>
  <c r="D2953" i="1"/>
  <c r="E2953" i="1"/>
  <c r="F2953" i="1"/>
  <c r="G2953" i="1"/>
  <c r="H2953" i="1"/>
  <c r="D2954" i="1"/>
  <c r="E2954" i="1"/>
  <c r="F2954" i="1"/>
  <c r="G2954" i="1"/>
  <c r="H2954" i="1"/>
  <c r="D2955" i="1"/>
  <c r="E2955" i="1"/>
  <c r="F2955" i="1"/>
  <c r="G2955" i="1"/>
  <c r="H2955" i="1"/>
  <c r="D2956" i="1"/>
  <c r="E2956" i="1"/>
  <c r="F2956" i="1"/>
  <c r="G2956" i="1"/>
  <c r="H2956" i="1"/>
  <c r="D2957" i="1"/>
  <c r="E2957" i="1"/>
  <c r="F2957" i="1"/>
  <c r="G2957" i="1"/>
  <c r="H2957" i="1"/>
  <c r="D2958" i="1"/>
  <c r="E2958" i="1"/>
  <c r="F2958" i="1"/>
  <c r="G2958" i="1"/>
  <c r="H2958" i="1"/>
  <c r="D2959" i="1"/>
  <c r="E2959" i="1"/>
  <c r="F2959" i="1"/>
  <c r="G2959" i="1"/>
  <c r="H2959" i="1"/>
  <c r="D2960" i="1"/>
  <c r="E2960" i="1"/>
  <c r="F2960" i="1"/>
  <c r="G2960" i="1"/>
  <c r="H2960" i="1"/>
  <c r="D2961" i="1"/>
  <c r="E2961" i="1"/>
  <c r="F2961" i="1"/>
  <c r="G2961" i="1"/>
  <c r="H2961" i="1"/>
  <c r="D2962" i="1"/>
  <c r="E2962" i="1"/>
  <c r="F2962" i="1"/>
  <c r="G2962" i="1"/>
  <c r="H2962" i="1"/>
  <c r="D2963" i="1"/>
  <c r="E2963" i="1"/>
  <c r="F2963" i="1"/>
  <c r="G2963" i="1"/>
  <c r="H2963" i="1"/>
  <c r="D2964" i="1"/>
  <c r="E2964" i="1"/>
  <c r="F2964" i="1"/>
  <c r="G2964" i="1"/>
  <c r="H2964" i="1"/>
  <c r="D2965" i="1"/>
  <c r="E2965" i="1"/>
  <c r="F2965" i="1"/>
  <c r="G2965" i="1"/>
  <c r="H2965" i="1"/>
  <c r="D2966" i="1"/>
  <c r="E2966" i="1"/>
  <c r="F2966" i="1"/>
  <c r="G2966" i="1"/>
  <c r="H2966" i="1"/>
  <c r="D2967" i="1"/>
  <c r="E2967" i="1"/>
  <c r="F2967" i="1"/>
  <c r="G2967" i="1"/>
  <c r="H2967" i="1"/>
  <c r="D2968" i="1"/>
  <c r="E2968" i="1"/>
  <c r="F2968" i="1"/>
  <c r="G2968" i="1"/>
  <c r="H2968" i="1"/>
  <c r="D2969" i="1"/>
  <c r="E2969" i="1"/>
  <c r="F2969" i="1"/>
  <c r="G2969" i="1"/>
  <c r="H2969" i="1"/>
  <c r="D2970" i="1"/>
  <c r="E2970" i="1"/>
  <c r="F2970" i="1"/>
  <c r="G2970" i="1"/>
  <c r="H2970" i="1"/>
  <c r="D2971" i="1"/>
  <c r="E2971" i="1"/>
  <c r="F2971" i="1"/>
  <c r="G2971" i="1"/>
  <c r="H2971" i="1"/>
  <c r="D2972" i="1"/>
  <c r="E2972" i="1"/>
  <c r="F2972" i="1"/>
  <c r="G2972" i="1"/>
  <c r="H2972" i="1"/>
  <c r="D2973" i="1"/>
  <c r="E2973" i="1"/>
  <c r="F2973" i="1"/>
  <c r="G2973" i="1"/>
  <c r="H2973" i="1"/>
  <c r="D2974" i="1"/>
  <c r="E2974" i="1"/>
  <c r="F2974" i="1"/>
  <c r="G2974" i="1"/>
  <c r="H2974" i="1"/>
  <c r="D2975" i="1"/>
  <c r="E2975" i="1"/>
  <c r="F2975" i="1"/>
  <c r="G2975" i="1"/>
  <c r="H2975" i="1"/>
  <c r="D2976" i="1"/>
  <c r="E2976" i="1"/>
  <c r="F2976" i="1"/>
  <c r="G2976" i="1"/>
  <c r="H2976" i="1"/>
  <c r="D2977" i="1"/>
  <c r="E2977" i="1"/>
  <c r="F2977" i="1"/>
  <c r="G2977" i="1"/>
  <c r="H2977" i="1"/>
  <c r="D2978" i="1"/>
  <c r="E2978" i="1"/>
  <c r="F2978" i="1"/>
  <c r="G2978" i="1"/>
  <c r="H2978" i="1"/>
  <c r="D2979" i="1"/>
  <c r="E2979" i="1"/>
  <c r="F2979" i="1"/>
  <c r="G2979" i="1"/>
  <c r="H2979" i="1"/>
  <c r="D2980" i="1"/>
  <c r="E2980" i="1"/>
  <c r="F2980" i="1"/>
  <c r="G2980" i="1"/>
  <c r="H2980" i="1"/>
  <c r="D2981" i="1"/>
  <c r="E2981" i="1"/>
  <c r="F2981" i="1"/>
  <c r="G2981" i="1"/>
  <c r="H2981" i="1"/>
  <c r="D2982" i="1"/>
  <c r="E2982" i="1"/>
  <c r="F2982" i="1"/>
  <c r="G2982" i="1"/>
  <c r="H2982" i="1"/>
  <c r="D2983" i="1"/>
  <c r="E2983" i="1"/>
  <c r="F2983" i="1"/>
  <c r="G2983" i="1"/>
  <c r="H2983" i="1"/>
  <c r="D2984" i="1"/>
  <c r="E2984" i="1"/>
  <c r="F2984" i="1"/>
  <c r="G2984" i="1"/>
  <c r="H2984" i="1"/>
  <c r="D2985" i="1"/>
  <c r="E2985" i="1"/>
  <c r="F2985" i="1"/>
  <c r="G2985" i="1"/>
  <c r="H2985" i="1"/>
  <c r="D2986" i="1"/>
  <c r="E2986" i="1"/>
  <c r="F2986" i="1"/>
  <c r="G2986" i="1"/>
  <c r="H2986" i="1"/>
  <c r="D2987" i="1"/>
  <c r="E2987" i="1"/>
  <c r="F2987" i="1"/>
  <c r="G2987" i="1"/>
  <c r="H2987" i="1"/>
  <c r="D2988" i="1"/>
  <c r="E2988" i="1"/>
  <c r="F2988" i="1"/>
  <c r="G2988" i="1"/>
  <c r="H2988" i="1"/>
  <c r="D2989" i="1"/>
  <c r="E2989" i="1"/>
  <c r="F2989" i="1"/>
  <c r="G2989" i="1"/>
  <c r="H2989" i="1"/>
  <c r="D2990" i="1"/>
  <c r="E2990" i="1"/>
  <c r="F2990" i="1"/>
  <c r="G2990" i="1"/>
  <c r="H2990" i="1"/>
  <c r="D2991" i="1"/>
  <c r="E2991" i="1"/>
  <c r="F2991" i="1"/>
  <c r="G2991" i="1"/>
  <c r="H2991" i="1"/>
  <c r="D2992" i="1"/>
  <c r="E2992" i="1"/>
  <c r="F2992" i="1"/>
  <c r="G2992" i="1"/>
  <c r="H2992" i="1"/>
  <c r="D2993" i="1"/>
  <c r="E2993" i="1"/>
  <c r="F2993" i="1"/>
  <c r="G2993" i="1"/>
  <c r="H2993" i="1"/>
  <c r="D2994" i="1"/>
  <c r="E2994" i="1"/>
  <c r="F2994" i="1"/>
  <c r="G2994" i="1"/>
  <c r="H2994" i="1"/>
  <c r="D2995" i="1"/>
  <c r="E2995" i="1"/>
  <c r="F2995" i="1"/>
  <c r="G2995" i="1"/>
  <c r="H2995" i="1"/>
  <c r="D2996" i="1"/>
  <c r="E2996" i="1"/>
  <c r="F2996" i="1"/>
  <c r="G2996" i="1"/>
  <c r="H2996" i="1"/>
  <c r="D2997" i="1"/>
  <c r="E2997" i="1"/>
  <c r="F2997" i="1"/>
  <c r="G2997" i="1"/>
  <c r="H2997" i="1"/>
  <c r="D2998" i="1"/>
  <c r="E2998" i="1"/>
  <c r="F2998" i="1"/>
  <c r="G2998" i="1"/>
  <c r="H2998" i="1"/>
  <c r="D2999" i="1"/>
  <c r="E2999" i="1"/>
  <c r="F2999" i="1"/>
  <c r="G2999" i="1"/>
  <c r="H2999" i="1"/>
  <c r="D3000" i="1"/>
  <c r="E3000" i="1"/>
  <c r="F3000" i="1"/>
  <c r="G3000" i="1"/>
  <c r="H3000" i="1"/>
  <c r="D3001" i="1"/>
  <c r="E3001" i="1"/>
  <c r="F3001" i="1"/>
  <c r="G3001" i="1"/>
  <c r="H3001" i="1"/>
  <c r="D3002" i="1"/>
  <c r="E3002" i="1"/>
  <c r="F3002" i="1"/>
  <c r="G3002" i="1"/>
  <c r="H3002" i="1"/>
  <c r="D3003" i="1"/>
  <c r="E3003" i="1"/>
  <c r="F3003" i="1"/>
  <c r="G3003" i="1"/>
  <c r="H3003" i="1"/>
  <c r="D3004" i="1"/>
  <c r="E3004" i="1"/>
  <c r="F3004" i="1"/>
  <c r="G3004" i="1"/>
  <c r="H3004" i="1"/>
  <c r="D3005" i="1"/>
  <c r="E3005" i="1"/>
  <c r="F3005" i="1"/>
  <c r="G3005" i="1"/>
  <c r="H3005" i="1"/>
  <c r="D3006" i="1"/>
  <c r="E3006" i="1"/>
  <c r="F3006" i="1"/>
  <c r="G3006" i="1"/>
  <c r="H3006" i="1"/>
  <c r="D3007" i="1"/>
  <c r="E3007" i="1"/>
  <c r="F3007" i="1"/>
  <c r="G3007" i="1"/>
  <c r="H3007" i="1"/>
  <c r="D3008" i="1"/>
  <c r="E3008" i="1"/>
  <c r="F3008" i="1"/>
  <c r="G3008" i="1"/>
  <c r="H3008" i="1"/>
  <c r="D3009" i="1"/>
  <c r="E3009" i="1"/>
  <c r="F3009" i="1"/>
  <c r="G3009" i="1"/>
  <c r="H3009" i="1"/>
  <c r="D3010" i="1"/>
  <c r="E3010" i="1"/>
  <c r="F3010" i="1"/>
  <c r="G3010" i="1"/>
  <c r="H3010" i="1"/>
  <c r="D3011" i="1"/>
  <c r="E3011" i="1"/>
  <c r="F3011" i="1"/>
  <c r="G3011" i="1"/>
  <c r="H3011" i="1"/>
  <c r="D3012" i="1"/>
  <c r="E3012" i="1"/>
  <c r="F3012" i="1"/>
  <c r="G3012" i="1"/>
  <c r="H3012" i="1"/>
  <c r="D3013" i="1"/>
  <c r="E3013" i="1"/>
  <c r="F3013" i="1"/>
  <c r="G3013" i="1"/>
  <c r="H3013" i="1"/>
  <c r="D3014" i="1"/>
  <c r="E3014" i="1"/>
  <c r="F3014" i="1"/>
  <c r="G3014" i="1"/>
  <c r="H3014" i="1"/>
  <c r="D3015" i="1"/>
  <c r="E3015" i="1"/>
  <c r="F3015" i="1"/>
  <c r="G3015" i="1"/>
  <c r="H3015" i="1"/>
  <c r="D3016" i="1"/>
  <c r="E3016" i="1"/>
  <c r="F3016" i="1"/>
  <c r="G3016" i="1"/>
  <c r="H3016" i="1"/>
  <c r="D3017" i="1"/>
  <c r="E3017" i="1"/>
  <c r="F3017" i="1"/>
  <c r="G3017" i="1"/>
  <c r="H3017" i="1"/>
  <c r="D3018" i="1"/>
  <c r="E3018" i="1"/>
  <c r="F3018" i="1"/>
  <c r="G3018" i="1"/>
  <c r="H3018" i="1"/>
  <c r="D3019" i="1"/>
  <c r="E3019" i="1"/>
  <c r="F3019" i="1"/>
  <c r="G3019" i="1"/>
  <c r="H3019" i="1"/>
  <c r="D3020" i="1"/>
  <c r="E3020" i="1"/>
  <c r="F3020" i="1"/>
  <c r="G3020" i="1"/>
  <c r="H3020" i="1"/>
  <c r="D3021" i="1"/>
  <c r="E3021" i="1"/>
  <c r="F3021" i="1"/>
  <c r="G3021" i="1"/>
  <c r="H3021" i="1"/>
  <c r="D3022" i="1"/>
  <c r="E3022" i="1"/>
  <c r="F3022" i="1"/>
  <c r="G3022" i="1"/>
  <c r="H3022" i="1"/>
  <c r="D3023" i="1"/>
  <c r="E3023" i="1"/>
  <c r="F3023" i="1"/>
  <c r="G3023" i="1"/>
  <c r="H3023" i="1"/>
  <c r="D3024" i="1"/>
  <c r="E3024" i="1"/>
  <c r="F3024" i="1"/>
  <c r="G3024" i="1"/>
  <c r="H3024" i="1"/>
  <c r="D3025" i="1"/>
  <c r="E3025" i="1"/>
  <c r="F3025" i="1"/>
  <c r="G3025" i="1"/>
  <c r="H3025" i="1"/>
  <c r="D3026" i="1"/>
  <c r="E3026" i="1"/>
  <c r="F3026" i="1"/>
  <c r="G3026" i="1"/>
  <c r="H3026" i="1"/>
  <c r="D3027" i="1"/>
  <c r="E3027" i="1"/>
  <c r="F3027" i="1"/>
  <c r="G3027" i="1"/>
  <c r="H3027" i="1"/>
  <c r="D3028" i="1"/>
  <c r="E3028" i="1"/>
  <c r="F3028" i="1"/>
  <c r="G3028" i="1"/>
  <c r="H3028" i="1"/>
  <c r="D3029" i="1"/>
  <c r="E3029" i="1"/>
  <c r="F3029" i="1"/>
  <c r="G3029" i="1"/>
  <c r="H3029" i="1"/>
  <c r="D3030" i="1"/>
  <c r="E3030" i="1"/>
  <c r="F3030" i="1"/>
  <c r="G3030" i="1"/>
  <c r="H3030" i="1"/>
  <c r="D3031" i="1"/>
  <c r="E3031" i="1"/>
  <c r="F3031" i="1"/>
  <c r="G3031" i="1"/>
  <c r="H3031" i="1"/>
  <c r="D3032" i="1"/>
  <c r="E3032" i="1"/>
  <c r="F3032" i="1"/>
  <c r="G3032" i="1"/>
  <c r="H3032" i="1"/>
  <c r="D3033" i="1"/>
  <c r="E3033" i="1"/>
  <c r="F3033" i="1"/>
  <c r="G3033" i="1"/>
  <c r="H3033" i="1"/>
  <c r="D3034" i="1"/>
  <c r="E3034" i="1"/>
  <c r="F3034" i="1"/>
  <c r="G3034" i="1"/>
  <c r="H3034" i="1"/>
  <c r="D3035" i="1"/>
  <c r="E3035" i="1"/>
  <c r="F3035" i="1"/>
  <c r="G3035" i="1"/>
  <c r="H3035" i="1"/>
  <c r="D3036" i="1"/>
  <c r="E3036" i="1"/>
  <c r="F3036" i="1"/>
  <c r="G3036" i="1"/>
  <c r="H3036" i="1"/>
  <c r="D3037" i="1"/>
  <c r="E3037" i="1"/>
  <c r="F3037" i="1"/>
  <c r="G3037" i="1"/>
  <c r="H3037" i="1"/>
  <c r="D3038" i="1"/>
  <c r="E3038" i="1"/>
  <c r="F3038" i="1"/>
  <c r="G3038" i="1"/>
  <c r="H3038" i="1"/>
  <c r="D3039" i="1"/>
  <c r="E3039" i="1"/>
  <c r="F3039" i="1"/>
  <c r="G3039" i="1"/>
  <c r="H3039" i="1"/>
  <c r="D3040" i="1"/>
  <c r="E3040" i="1"/>
  <c r="F3040" i="1"/>
  <c r="G3040" i="1"/>
  <c r="H3040" i="1"/>
  <c r="D3041" i="1"/>
  <c r="E3041" i="1"/>
  <c r="F3041" i="1"/>
  <c r="G3041" i="1"/>
  <c r="H3041" i="1"/>
  <c r="D3042" i="1"/>
  <c r="E3042" i="1"/>
  <c r="F3042" i="1"/>
  <c r="G3042" i="1"/>
  <c r="H3042" i="1"/>
  <c r="D3043" i="1"/>
  <c r="E3043" i="1"/>
  <c r="F3043" i="1"/>
  <c r="G3043" i="1"/>
  <c r="H3043" i="1"/>
  <c r="D3044" i="1"/>
  <c r="E3044" i="1"/>
  <c r="F3044" i="1"/>
  <c r="G3044" i="1"/>
  <c r="H3044" i="1"/>
  <c r="D3045" i="1"/>
  <c r="E3045" i="1"/>
  <c r="F3045" i="1"/>
  <c r="G3045" i="1"/>
  <c r="H3045" i="1"/>
  <c r="D3046" i="1"/>
  <c r="E3046" i="1"/>
  <c r="F3046" i="1"/>
  <c r="G3046" i="1"/>
  <c r="H3046" i="1"/>
  <c r="D3047" i="1"/>
  <c r="E3047" i="1"/>
  <c r="F3047" i="1"/>
  <c r="G3047" i="1"/>
  <c r="H3047" i="1"/>
  <c r="D3048" i="1"/>
  <c r="E3048" i="1"/>
  <c r="F3048" i="1"/>
  <c r="G3048" i="1"/>
  <c r="H3048" i="1"/>
  <c r="D3049" i="1"/>
  <c r="E3049" i="1"/>
  <c r="F3049" i="1"/>
  <c r="G3049" i="1"/>
  <c r="H3049" i="1"/>
  <c r="D3050" i="1"/>
  <c r="E3050" i="1"/>
  <c r="F3050" i="1"/>
  <c r="G3050" i="1"/>
  <c r="H3050" i="1"/>
  <c r="D3051" i="1"/>
  <c r="E3051" i="1"/>
  <c r="F3051" i="1"/>
  <c r="G3051" i="1"/>
  <c r="H3051" i="1"/>
  <c r="D3052" i="1"/>
  <c r="E3052" i="1"/>
  <c r="F3052" i="1"/>
  <c r="G3052" i="1"/>
  <c r="H3052" i="1"/>
  <c r="D3053" i="1"/>
  <c r="E3053" i="1"/>
  <c r="F3053" i="1"/>
  <c r="G3053" i="1"/>
  <c r="H3053" i="1"/>
  <c r="D3054" i="1"/>
  <c r="E3054" i="1"/>
  <c r="F3054" i="1"/>
  <c r="G3054" i="1"/>
  <c r="H3054" i="1"/>
  <c r="D3055" i="1"/>
  <c r="E3055" i="1"/>
  <c r="F3055" i="1"/>
  <c r="G3055" i="1"/>
  <c r="H3055" i="1"/>
  <c r="D3056" i="1"/>
  <c r="E3056" i="1"/>
  <c r="F3056" i="1"/>
  <c r="G3056" i="1"/>
  <c r="H3056" i="1"/>
  <c r="D3057" i="1"/>
  <c r="E3057" i="1"/>
  <c r="F3057" i="1"/>
  <c r="G3057" i="1"/>
  <c r="H3057" i="1"/>
  <c r="D3058" i="1"/>
  <c r="E3058" i="1"/>
  <c r="F3058" i="1"/>
  <c r="G3058" i="1"/>
  <c r="H3058" i="1"/>
  <c r="D3059" i="1"/>
  <c r="E3059" i="1"/>
  <c r="F3059" i="1"/>
  <c r="G3059" i="1"/>
  <c r="H3059" i="1"/>
  <c r="D3060" i="1"/>
  <c r="E3060" i="1"/>
  <c r="F3060" i="1"/>
  <c r="G3060" i="1"/>
  <c r="H3060" i="1"/>
  <c r="D3061" i="1"/>
  <c r="E3061" i="1"/>
  <c r="F3061" i="1"/>
  <c r="G3061" i="1"/>
  <c r="H3061" i="1"/>
  <c r="D3062" i="1"/>
  <c r="E3062" i="1"/>
  <c r="F3062" i="1"/>
  <c r="G3062" i="1"/>
  <c r="H3062" i="1"/>
  <c r="D3063" i="1"/>
  <c r="E3063" i="1"/>
  <c r="F3063" i="1"/>
  <c r="G3063" i="1"/>
  <c r="H3063" i="1"/>
  <c r="D3064" i="1"/>
  <c r="E3064" i="1"/>
  <c r="F3064" i="1"/>
  <c r="G3064" i="1"/>
  <c r="H3064" i="1"/>
  <c r="D3065" i="1"/>
  <c r="E3065" i="1"/>
  <c r="F3065" i="1"/>
  <c r="G3065" i="1"/>
  <c r="H3065" i="1"/>
  <c r="D3066" i="1"/>
  <c r="E3066" i="1"/>
  <c r="F3066" i="1"/>
  <c r="G3066" i="1"/>
  <c r="H3066" i="1"/>
  <c r="D3067" i="1"/>
  <c r="E3067" i="1"/>
  <c r="F3067" i="1"/>
  <c r="G3067" i="1"/>
  <c r="H3067" i="1"/>
  <c r="D3068" i="1"/>
  <c r="E3068" i="1"/>
  <c r="F3068" i="1"/>
  <c r="G3068" i="1"/>
  <c r="H3068" i="1"/>
  <c r="D3069" i="1"/>
  <c r="E3069" i="1"/>
  <c r="F3069" i="1"/>
  <c r="G3069" i="1"/>
  <c r="H3069" i="1"/>
  <c r="D3070" i="1"/>
  <c r="E3070" i="1"/>
  <c r="F3070" i="1"/>
  <c r="G3070" i="1"/>
  <c r="H3070" i="1"/>
  <c r="D3071" i="1"/>
  <c r="E3071" i="1"/>
  <c r="F3071" i="1"/>
  <c r="G3071" i="1"/>
  <c r="H3071" i="1"/>
  <c r="D3072" i="1"/>
  <c r="E3072" i="1"/>
  <c r="F3072" i="1"/>
  <c r="G3072" i="1"/>
  <c r="H3072" i="1"/>
  <c r="D3073" i="1"/>
  <c r="E3073" i="1"/>
  <c r="F3073" i="1"/>
  <c r="G3073" i="1"/>
  <c r="H3073" i="1"/>
  <c r="D3074" i="1"/>
  <c r="E3074" i="1"/>
  <c r="F3074" i="1"/>
  <c r="G3074" i="1"/>
  <c r="H3074" i="1"/>
  <c r="D3075" i="1"/>
  <c r="E3075" i="1"/>
  <c r="F3075" i="1"/>
  <c r="G3075" i="1"/>
  <c r="H3075" i="1"/>
  <c r="D3076" i="1"/>
  <c r="E3076" i="1"/>
  <c r="F3076" i="1"/>
  <c r="G3076" i="1"/>
  <c r="H3076" i="1"/>
  <c r="D3077" i="1"/>
  <c r="E3077" i="1"/>
  <c r="F3077" i="1"/>
  <c r="G3077" i="1"/>
  <c r="H3077" i="1"/>
  <c r="D3078" i="1"/>
  <c r="E3078" i="1"/>
  <c r="F3078" i="1"/>
  <c r="G3078" i="1"/>
  <c r="H3078" i="1"/>
  <c r="D3079" i="1"/>
  <c r="E3079" i="1"/>
  <c r="F3079" i="1"/>
  <c r="G3079" i="1"/>
  <c r="H3079" i="1"/>
  <c r="D3080" i="1"/>
  <c r="E3080" i="1"/>
  <c r="F3080" i="1"/>
  <c r="G3080" i="1"/>
  <c r="H3080" i="1"/>
  <c r="D3081" i="1"/>
  <c r="E3081" i="1"/>
  <c r="F3081" i="1"/>
  <c r="G3081" i="1"/>
  <c r="H3081" i="1"/>
  <c r="D3082" i="1"/>
  <c r="E3082" i="1"/>
  <c r="F3082" i="1"/>
  <c r="G3082" i="1"/>
  <c r="H3082" i="1"/>
  <c r="D3083" i="1"/>
  <c r="E3083" i="1"/>
  <c r="F3083" i="1"/>
  <c r="G3083" i="1"/>
  <c r="H3083" i="1"/>
  <c r="D3084" i="1"/>
  <c r="E3084" i="1"/>
  <c r="F3084" i="1"/>
  <c r="G3084" i="1"/>
  <c r="H3084" i="1"/>
  <c r="D3085" i="1"/>
  <c r="E3085" i="1"/>
  <c r="F3085" i="1"/>
  <c r="G3085" i="1"/>
  <c r="H3085" i="1"/>
  <c r="D3086" i="1"/>
  <c r="E3086" i="1"/>
  <c r="F3086" i="1"/>
  <c r="G3086" i="1"/>
  <c r="H3086" i="1"/>
  <c r="D3087" i="1"/>
  <c r="E3087" i="1"/>
  <c r="F3087" i="1"/>
  <c r="G3087" i="1"/>
  <c r="H3087" i="1"/>
  <c r="D3088" i="1"/>
  <c r="E3088" i="1"/>
  <c r="F3088" i="1"/>
  <c r="G3088" i="1"/>
  <c r="H3088" i="1"/>
  <c r="D3089" i="1"/>
  <c r="E3089" i="1"/>
  <c r="F3089" i="1"/>
  <c r="G3089" i="1"/>
  <c r="H3089" i="1"/>
  <c r="D3090" i="1"/>
  <c r="E3090" i="1"/>
  <c r="F3090" i="1"/>
  <c r="G3090" i="1"/>
  <c r="H3090" i="1"/>
  <c r="D3091" i="1"/>
  <c r="E3091" i="1"/>
  <c r="F3091" i="1"/>
  <c r="G3091" i="1"/>
  <c r="H3091" i="1"/>
  <c r="D3092" i="1"/>
  <c r="E3092" i="1"/>
  <c r="F3092" i="1"/>
  <c r="G3092" i="1"/>
  <c r="H3092" i="1"/>
  <c r="D3093" i="1"/>
  <c r="E3093" i="1"/>
  <c r="F3093" i="1"/>
  <c r="G3093" i="1"/>
  <c r="H3093" i="1"/>
  <c r="D3094" i="1"/>
  <c r="E3094" i="1"/>
  <c r="F3094" i="1"/>
  <c r="G3094" i="1"/>
  <c r="H3094" i="1"/>
  <c r="D3095" i="1"/>
  <c r="E3095" i="1"/>
  <c r="F3095" i="1"/>
  <c r="G3095" i="1"/>
  <c r="H3095" i="1"/>
  <c r="D3096" i="1"/>
  <c r="E3096" i="1"/>
  <c r="F3096" i="1"/>
  <c r="G3096" i="1"/>
  <c r="H3096" i="1"/>
  <c r="D3097" i="1"/>
  <c r="E3097" i="1"/>
  <c r="F3097" i="1"/>
  <c r="G3097" i="1"/>
  <c r="H3097" i="1"/>
  <c r="D3098" i="1"/>
  <c r="E3098" i="1"/>
  <c r="F3098" i="1"/>
  <c r="G3098" i="1"/>
  <c r="H3098" i="1"/>
  <c r="D3099" i="1"/>
  <c r="E3099" i="1"/>
  <c r="F3099" i="1"/>
  <c r="G3099" i="1"/>
  <c r="H3099" i="1"/>
  <c r="D3100" i="1"/>
  <c r="E3100" i="1"/>
  <c r="F3100" i="1"/>
  <c r="G3100" i="1"/>
  <c r="H3100" i="1"/>
  <c r="D3101" i="1"/>
  <c r="E3101" i="1"/>
  <c r="F3101" i="1"/>
  <c r="G3101" i="1"/>
  <c r="H3101" i="1"/>
  <c r="D3102" i="1"/>
  <c r="E3102" i="1"/>
  <c r="F3102" i="1"/>
  <c r="G3102" i="1"/>
  <c r="H3102" i="1"/>
  <c r="D3103" i="1"/>
  <c r="E3103" i="1"/>
  <c r="F3103" i="1"/>
  <c r="G3103" i="1"/>
  <c r="H3103" i="1"/>
  <c r="D3104" i="1"/>
  <c r="E3104" i="1"/>
  <c r="F3104" i="1"/>
  <c r="G3104" i="1"/>
  <c r="H3104" i="1"/>
  <c r="D3105" i="1"/>
  <c r="E3105" i="1"/>
  <c r="F3105" i="1"/>
  <c r="G3105" i="1"/>
  <c r="H3105" i="1"/>
  <c r="D3106" i="1"/>
  <c r="E3106" i="1"/>
  <c r="F3106" i="1"/>
  <c r="G3106" i="1"/>
  <c r="H3106" i="1"/>
  <c r="D3107" i="1"/>
  <c r="E3107" i="1"/>
  <c r="F3107" i="1"/>
  <c r="G3107" i="1"/>
  <c r="H3107" i="1"/>
  <c r="D3108" i="1"/>
  <c r="E3108" i="1"/>
  <c r="F3108" i="1"/>
  <c r="G3108" i="1"/>
  <c r="H3108" i="1"/>
  <c r="D3109" i="1"/>
  <c r="E3109" i="1"/>
  <c r="F3109" i="1"/>
  <c r="G3109" i="1"/>
  <c r="H3109" i="1"/>
  <c r="D3110" i="1"/>
  <c r="E3110" i="1"/>
  <c r="F3110" i="1"/>
  <c r="G3110" i="1"/>
  <c r="H3110" i="1"/>
  <c r="D3111" i="1"/>
  <c r="E3111" i="1"/>
  <c r="F3111" i="1"/>
  <c r="G3111" i="1"/>
  <c r="H3111" i="1"/>
  <c r="D3112" i="1"/>
  <c r="E3112" i="1"/>
  <c r="F3112" i="1"/>
  <c r="G3112" i="1"/>
  <c r="H3112" i="1"/>
  <c r="D3113" i="1"/>
  <c r="E3113" i="1"/>
  <c r="F3113" i="1"/>
  <c r="G3113" i="1"/>
  <c r="H3113" i="1"/>
  <c r="D3114" i="1"/>
  <c r="E3114" i="1"/>
  <c r="F3114" i="1"/>
  <c r="G3114" i="1"/>
  <c r="H3114" i="1"/>
  <c r="D3115" i="1"/>
  <c r="E3115" i="1"/>
  <c r="F3115" i="1"/>
  <c r="G3115" i="1"/>
  <c r="H3115" i="1"/>
  <c r="D3116" i="1"/>
  <c r="E3116" i="1"/>
  <c r="F3116" i="1"/>
  <c r="G3116" i="1"/>
  <c r="H3116" i="1"/>
  <c r="D3117" i="1"/>
  <c r="E3117" i="1"/>
  <c r="F3117" i="1"/>
  <c r="G3117" i="1"/>
  <c r="H3117" i="1"/>
  <c r="D3118" i="1"/>
  <c r="E3118" i="1"/>
  <c r="F3118" i="1"/>
  <c r="G3118" i="1"/>
  <c r="H3118" i="1"/>
  <c r="D3119" i="1"/>
  <c r="E3119" i="1"/>
  <c r="F3119" i="1"/>
  <c r="G3119" i="1"/>
  <c r="H3119" i="1"/>
  <c r="D3120" i="1"/>
  <c r="E3120" i="1"/>
  <c r="F3120" i="1"/>
  <c r="G3120" i="1"/>
  <c r="H3120" i="1"/>
  <c r="D3121" i="1"/>
  <c r="E3121" i="1"/>
  <c r="F3121" i="1"/>
  <c r="G3121" i="1"/>
  <c r="H3121" i="1"/>
  <c r="D3122" i="1"/>
  <c r="E3122" i="1"/>
  <c r="F3122" i="1"/>
  <c r="G3122" i="1"/>
  <c r="H3122" i="1"/>
  <c r="D3123" i="1"/>
  <c r="E3123" i="1"/>
  <c r="F3123" i="1"/>
  <c r="G3123" i="1"/>
  <c r="H3123" i="1"/>
  <c r="D3124" i="1"/>
  <c r="E3124" i="1"/>
  <c r="F3124" i="1"/>
  <c r="G3124" i="1"/>
  <c r="H3124" i="1"/>
  <c r="D3125" i="1"/>
  <c r="E3125" i="1"/>
  <c r="F3125" i="1"/>
  <c r="G3125" i="1"/>
  <c r="H3125" i="1"/>
  <c r="D3126" i="1"/>
  <c r="E3126" i="1"/>
  <c r="F3126" i="1"/>
  <c r="G3126" i="1"/>
  <c r="H3126" i="1"/>
  <c r="D3127" i="1"/>
  <c r="E3127" i="1"/>
  <c r="F3127" i="1"/>
  <c r="G3127" i="1"/>
  <c r="H3127" i="1"/>
  <c r="D3128" i="1"/>
  <c r="E3128" i="1"/>
  <c r="F3128" i="1"/>
  <c r="G3128" i="1"/>
  <c r="H3128" i="1"/>
  <c r="D3129" i="1"/>
  <c r="E3129" i="1"/>
  <c r="F3129" i="1"/>
  <c r="G3129" i="1"/>
  <c r="H3129" i="1"/>
  <c r="D3130" i="1"/>
  <c r="E3130" i="1"/>
  <c r="F3130" i="1"/>
  <c r="G3130" i="1"/>
  <c r="H3130" i="1"/>
  <c r="D3131" i="1"/>
  <c r="E3131" i="1"/>
  <c r="F3131" i="1"/>
  <c r="G3131" i="1"/>
  <c r="H3131" i="1"/>
  <c r="D3132" i="1"/>
  <c r="E3132" i="1"/>
  <c r="F3132" i="1"/>
  <c r="G3132" i="1"/>
  <c r="H3132" i="1"/>
  <c r="D3133" i="1"/>
  <c r="E3133" i="1"/>
  <c r="F3133" i="1"/>
  <c r="G3133" i="1"/>
  <c r="H3133" i="1"/>
  <c r="D3134" i="1"/>
  <c r="E3134" i="1"/>
  <c r="F3134" i="1"/>
  <c r="G3134" i="1"/>
  <c r="H3134" i="1"/>
  <c r="D3135" i="1"/>
  <c r="E3135" i="1"/>
  <c r="F3135" i="1"/>
  <c r="G3135" i="1"/>
  <c r="H3135" i="1"/>
  <c r="D3136" i="1"/>
  <c r="E3136" i="1"/>
  <c r="F3136" i="1"/>
  <c r="G3136" i="1"/>
  <c r="H3136" i="1"/>
  <c r="D3137" i="1"/>
  <c r="E3137" i="1"/>
  <c r="F3137" i="1"/>
  <c r="G3137" i="1"/>
  <c r="H3137" i="1"/>
  <c r="D3138" i="1"/>
  <c r="E3138" i="1"/>
  <c r="F3138" i="1"/>
  <c r="G3138" i="1"/>
  <c r="H3138" i="1"/>
  <c r="D3139" i="1"/>
  <c r="E3139" i="1"/>
  <c r="F3139" i="1"/>
  <c r="G3139" i="1"/>
  <c r="H3139" i="1"/>
  <c r="D3140" i="1"/>
  <c r="E3140" i="1"/>
  <c r="F3140" i="1"/>
  <c r="G3140" i="1"/>
  <c r="H3140" i="1"/>
  <c r="D3141" i="1"/>
  <c r="E3141" i="1"/>
  <c r="F3141" i="1"/>
  <c r="G3141" i="1"/>
  <c r="H3141" i="1"/>
  <c r="D3142" i="1"/>
  <c r="E3142" i="1"/>
  <c r="F3142" i="1"/>
  <c r="G3142" i="1"/>
  <c r="H3142" i="1"/>
  <c r="D3143" i="1"/>
  <c r="E3143" i="1"/>
  <c r="F3143" i="1"/>
  <c r="G3143" i="1"/>
  <c r="H3143" i="1"/>
  <c r="D3144" i="1"/>
  <c r="E3144" i="1"/>
  <c r="F3144" i="1"/>
  <c r="G3144" i="1"/>
  <c r="H3144" i="1"/>
  <c r="D3145" i="1"/>
  <c r="E3145" i="1"/>
  <c r="F3145" i="1"/>
  <c r="G3145" i="1"/>
  <c r="H3145" i="1"/>
  <c r="D3146" i="1"/>
  <c r="E3146" i="1"/>
  <c r="F3146" i="1"/>
  <c r="G3146" i="1"/>
  <c r="H3146" i="1"/>
  <c r="D3147" i="1"/>
  <c r="E3147" i="1"/>
  <c r="F3147" i="1"/>
  <c r="G3147" i="1"/>
  <c r="H3147" i="1"/>
  <c r="D3148" i="1"/>
  <c r="E3148" i="1"/>
  <c r="F3148" i="1"/>
  <c r="G3148" i="1"/>
  <c r="H3148" i="1"/>
  <c r="D3149" i="1"/>
  <c r="E3149" i="1"/>
  <c r="F3149" i="1"/>
  <c r="G3149" i="1"/>
  <c r="H3149" i="1"/>
  <c r="D3150" i="1"/>
  <c r="E3150" i="1"/>
  <c r="F3150" i="1"/>
  <c r="G3150" i="1"/>
  <c r="H3150" i="1"/>
  <c r="D3151" i="1"/>
  <c r="E3151" i="1"/>
  <c r="F3151" i="1"/>
  <c r="G3151" i="1"/>
  <c r="H3151" i="1"/>
  <c r="D3152" i="1"/>
  <c r="E3152" i="1"/>
  <c r="F3152" i="1"/>
  <c r="G3152" i="1"/>
  <c r="H3152" i="1"/>
  <c r="D3153" i="1"/>
  <c r="E3153" i="1"/>
  <c r="F3153" i="1"/>
  <c r="G3153" i="1"/>
  <c r="H3153" i="1"/>
  <c r="D3154" i="1"/>
  <c r="E3154" i="1"/>
  <c r="F3154" i="1"/>
  <c r="G3154" i="1"/>
  <c r="H3154" i="1"/>
  <c r="D3155" i="1"/>
  <c r="E3155" i="1"/>
  <c r="F3155" i="1"/>
  <c r="G3155" i="1"/>
  <c r="H3155" i="1"/>
  <c r="D3156" i="1"/>
  <c r="E3156" i="1"/>
  <c r="F3156" i="1"/>
  <c r="G3156" i="1"/>
  <c r="H3156" i="1"/>
  <c r="D3157" i="1"/>
  <c r="E3157" i="1"/>
  <c r="F3157" i="1"/>
  <c r="G3157" i="1"/>
  <c r="H3157" i="1"/>
  <c r="D3158" i="1"/>
  <c r="E3158" i="1"/>
  <c r="F3158" i="1"/>
  <c r="G3158" i="1"/>
  <c r="H3158" i="1"/>
  <c r="D3159" i="1"/>
  <c r="E3159" i="1"/>
  <c r="F3159" i="1"/>
  <c r="G3159" i="1"/>
  <c r="H3159" i="1"/>
  <c r="D3160" i="1"/>
  <c r="E3160" i="1"/>
  <c r="F3160" i="1"/>
  <c r="G3160" i="1"/>
  <c r="H3160" i="1"/>
  <c r="D3161" i="1"/>
  <c r="E3161" i="1"/>
  <c r="F3161" i="1"/>
  <c r="G3161" i="1"/>
  <c r="H3161" i="1"/>
  <c r="D3162" i="1"/>
  <c r="E3162" i="1"/>
  <c r="F3162" i="1"/>
  <c r="G3162" i="1"/>
  <c r="H3162" i="1"/>
  <c r="D3163" i="1"/>
  <c r="E3163" i="1"/>
  <c r="F3163" i="1"/>
  <c r="G3163" i="1"/>
  <c r="H3163" i="1"/>
  <c r="D3164" i="1"/>
  <c r="E3164" i="1"/>
  <c r="F3164" i="1"/>
  <c r="G3164" i="1"/>
  <c r="H3164" i="1"/>
  <c r="D3165" i="1"/>
  <c r="E3165" i="1"/>
  <c r="F3165" i="1"/>
  <c r="G3165" i="1"/>
  <c r="H3165" i="1"/>
  <c r="D3166" i="1"/>
  <c r="E3166" i="1"/>
  <c r="F3166" i="1"/>
  <c r="G3166" i="1"/>
  <c r="H3166" i="1"/>
  <c r="D3167" i="1"/>
  <c r="E3167" i="1"/>
  <c r="F3167" i="1"/>
  <c r="G3167" i="1"/>
  <c r="H3167" i="1"/>
  <c r="D3168" i="1"/>
  <c r="E3168" i="1"/>
  <c r="F3168" i="1"/>
  <c r="G3168" i="1"/>
  <c r="H3168" i="1"/>
  <c r="D3169" i="1"/>
  <c r="E3169" i="1"/>
  <c r="F3169" i="1"/>
  <c r="G3169" i="1"/>
  <c r="H3169" i="1"/>
  <c r="D3170" i="1"/>
  <c r="E3170" i="1"/>
  <c r="F3170" i="1"/>
  <c r="G3170" i="1"/>
  <c r="H3170" i="1"/>
  <c r="D3171" i="1"/>
  <c r="E3171" i="1"/>
  <c r="F3171" i="1"/>
  <c r="G3171" i="1"/>
  <c r="H3171" i="1"/>
  <c r="D3172" i="1"/>
  <c r="E3172" i="1"/>
  <c r="F3172" i="1"/>
  <c r="G3172" i="1"/>
  <c r="H3172" i="1"/>
  <c r="D3173" i="1"/>
  <c r="E3173" i="1"/>
  <c r="F3173" i="1"/>
  <c r="G3173" i="1"/>
  <c r="H3173" i="1"/>
  <c r="D3174" i="1"/>
  <c r="E3174" i="1"/>
  <c r="F3174" i="1"/>
  <c r="G3174" i="1"/>
  <c r="H3174" i="1"/>
  <c r="D3175" i="1"/>
  <c r="E3175" i="1"/>
  <c r="F3175" i="1"/>
  <c r="G3175" i="1"/>
  <c r="H3175" i="1"/>
  <c r="D3176" i="1"/>
  <c r="E3176" i="1"/>
  <c r="F3176" i="1"/>
  <c r="G3176" i="1"/>
  <c r="H3176" i="1"/>
  <c r="D3177" i="1"/>
  <c r="E3177" i="1"/>
  <c r="F3177" i="1"/>
  <c r="G3177" i="1"/>
  <c r="H3177" i="1"/>
  <c r="D3178" i="1"/>
  <c r="E3178" i="1"/>
  <c r="F3178" i="1"/>
  <c r="G3178" i="1"/>
  <c r="H3178" i="1"/>
  <c r="D3179" i="1"/>
  <c r="E3179" i="1"/>
  <c r="F3179" i="1"/>
  <c r="G3179" i="1"/>
  <c r="H3179" i="1"/>
  <c r="D3180" i="1"/>
  <c r="E3180" i="1"/>
  <c r="F3180" i="1"/>
  <c r="G3180" i="1"/>
  <c r="H3180" i="1"/>
  <c r="D3181" i="1"/>
  <c r="E3181" i="1"/>
  <c r="F3181" i="1"/>
  <c r="G3181" i="1"/>
  <c r="H3181" i="1"/>
  <c r="D3182" i="1"/>
  <c r="E3182" i="1"/>
  <c r="F3182" i="1"/>
  <c r="G3182" i="1"/>
  <c r="H3182" i="1"/>
  <c r="D3183" i="1"/>
  <c r="E3183" i="1"/>
  <c r="F3183" i="1"/>
  <c r="G3183" i="1"/>
  <c r="H3183" i="1"/>
  <c r="D3184" i="1"/>
  <c r="E3184" i="1"/>
  <c r="F3184" i="1"/>
  <c r="G3184" i="1"/>
  <c r="H3184" i="1"/>
  <c r="D3185" i="1"/>
  <c r="E3185" i="1"/>
  <c r="F3185" i="1"/>
  <c r="G3185" i="1"/>
  <c r="H3185" i="1"/>
  <c r="D3186" i="1"/>
  <c r="E3186" i="1"/>
  <c r="F3186" i="1"/>
  <c r="G3186" i="1"/>
  <c r="H3186" i="1"/>
  <c r="D3187" i="1"/>
  <c r="E3187" i="1"/>
  <c r="F3187" i="1"/>
  <c r="G3187" i="1"/>
  <c r="H3187" i="1"/>
  <c r="D3188" i="1"/>
  <c r="E3188" i="1"/>
  <c r="F3188" i="1"/>
  <c r="G3188" i="1"/>
  <c r="H3188" i="1"/>
  <c r="D3189" i="1"/>
  <c r="E3189" i="1"/>
  <c r="F3189" i="1"/>
  <c r="G3189" i="1"/>
  <c r="H3189" i="1"/>
  <c r="D3190" i="1"/>
  <c r="E3190" i="1"/>
  <c r="F3190" i="1"/>
  <c r="G3190" i="1"/>
  <c r="H3190" i="1"/>
  <c r="D3191" i="1"/>
  <c r="E3191" i="1"/>
  <c r="F3191" i="1"/>
  <c r="G3191" i="1"/>
  <c r="H3191" i="1"/>
  <c r="D3192" i="1"/>
  <c r="E3192" i="1"/>
  <c r="F3192" i="1"/>
  <c r="G3192" i="1"/>
  <c r="H3192" i="1"/>
  <c r="D3193" i="1"/>
  <c r="E3193" i="1"/>
  <c r="F3193" i="1"/>
  <c r="G3193" i="1"/>
  <c r="H3193" i="1"/>
  <c r="D3194" i="1"/>
  <c r="E3194" i="1"/>
  <c r="F3194" i="1"/>
  <c r="G3194" i="1"/>
  <c r="H3194" i="1"/>
  <c r="D3195" i="1"/>
  <c r="E3195" i="1"/>
  <c r="F3195" i="1"/>
  <c r="G3195" i="1"/>
  <c r="H3195" i="1"/>
  <c r="D3196" i="1"/>
  <c r="E3196" i="1"/>
  <c r="F3196" i="1"/>
  <c r="G3196" i="1"/>
  <c r="H3196" i="1"/>
  <c r="D3197" i="1"/>
  <c r="E3197" i="1"/>
  <c r="F3197" i="1"/>
  <c r="G3197" i="1"/>
  <c r="H3197" i="1"/>
  <c r="D3198" i="1"/>
  <c r="E3198" i="1"/>
  <c r="F3198" i="1"/>
  <c r="G3198" i="1"/>
  <c r="H3198" i="1"/>
  <c r="D3199" i="1"/>
  <c r="E3199" i="1"/>
  <c r="F3199" i="1"/>
  <c r="G3199" i="1"/>
  <c r="H3199" i="1"/>
  <c r="D3200" i="1"/>
  <c r="E3200" i="1"/>
  <c r="F3200" i="1"/>
  <c r="G3200" i="1"/>
  <c r="H3200" i="1"/>
  <c r="D3201" i="1"/>
  <c r="E3201" i="1"/>
  <c r="F3201" i="1"/>
  <c r="G3201" i="1"/>
  <c r="H3201" i="1"/>
  <c r="D3202" i="1"/>
  <c r="E3202" i="1"/>
  <c r="F3202" i="1"/>
  <c r="G3202" i="1"/>
  <c r="H3202" i="1"/>
  <c r="D3203" i="1"/>
  <c r="E3203" i="1"/>
  <c r="F3203" i="1"/>
  <c r="G3203" i="1"/>
  <c r="H3203" i="1"/>
  <c r="D3204" i="1"/>
  <c r="E3204" i="1"/>
  <c r="F3204" i="1"/>
  <c r="G3204" i="1"/>
  <c r="H3204" i="1"/>
  <c r="D3205" i="1"/>
  <c r="E3205" i="1"/>
  <c r="F3205" i="1"/>
  <c r="G3205" i="1"/>
  <c r="H3205" i="1"/>
  <c r="D3206" i="1"/>
  <c r="E3206" i="1"/>
  <c r="F3206" i="1"/>
  <c r="G3206" i="1"/>
  <c r="H3206" i="1"/>
  <c r="D3207" i="1"/>
  <c r="E3207" i="1"/>
  <c r="F3207" i="1"/>
  <c r="G3207" i="1"/>
  <c r="H3207" i="1"/>
  <c r="D3208" i="1"/>
  <c r="E3208" i="1"/>
  <c r="F3208" i="1"/>
  <c r="G3208" i="1"/>
  <c r="H3208" i="1"/>
  <c r="D3209" i="1"/>
  <c r="E3209" i="1"/>
  <c r="F3209" i="1"/>
  <c r="G3209" i="1"/>
  <c r="H3209" i="1"/>
  <c r="D3210" i="1"/>
  <c r="E3210" i="1"/>
  <c r="F3210" i="1"/>
  <c r="G3210" i="1"/>
  <c r="H3210" i="1"/>
  <c r="D3211" i="1"/>
  <c r="E3211" i="1"/>
  <c r="F3211" i="1"/>
  <c r="G3211" i="1"/>
  <c r="H3211" i="1"/>
  <c r="D3212" i="1"/>
  <c r="E3212" i="1"/>
  <c r="F3212" i="1"/>
  <c r="G3212" i="1"/>
  <c r="H3212" i="1"/>
  <c r="D3213" i="1"/>
  <c r="E3213" i="1"/>
  <c r="F3213" i="1"/>
  <c r="G3213" i="1"/>
  <c r="H3213" i="1"/>
  <c r="D3214" i="1"/>
  <c r="E3214" i="1"/>
  <c r="F3214" i="1"/>
  <c r="G3214" i="1"/>
  <c r="H3214" i="1"/>
  <c r="D3215" i="1"/>
  <c r="E3215" i="1"/>
  <c r="F3215" i="1"/>
  <c r="G3215" i="1"/>
  <c r="H3215" i="1"/>
  <c r="D3216" i="1"/>
  <c r="E3216" i="1"/>
  <c r="F3216" i="1"/>
  <c r="G3216" i="1"/>
  <c r="H3216" i="1"/>
  <c r="D3217" i="1"/>
  <c r="E3217" i="1"/>
  <c r="F3217" i="1"/>
  <c r="G3217" i="1"/>
  <c r="H3217" i="1"/>
  <c r="D3218" i="1"/>
  <c r="E3218" i="1"/>
  <c r="F3218" i="1"/>
  <c r="G3218" i="1"/>
  <c r="H3218" i="1"/>
  <c r="D3219" i="1"/>
  <c r="E3219" i="1"/>
  <c r="F3219" i="1"/>
  <c r="G3219" i="1"/>
  <c r="H3219" i="1"/>
  <c r="D3220" i="1"/>
  <c r="E3220" i="1"/>
  <c r="F3220" i="1"/>
  <c r="G3220" i="1"/>
  <c r="H3220" i="1"/>
  <c r="D3221" i="1"/>
  <c r="E3221" i="1"/>
  <c r="F3221" i="1"/>
  <c r="G3221" i="1"/>
  <c r="H3221" i="1"/>
  <c r="D3222" i="1"/>
  <c r="E3222" i="1"/>
  <c r="F3222" i="1"/>
  <c r="G3222" i="1"/>
  <c r="H3222" i="1"/>
  <c r="D3223" i="1"/>
  <c r="E3223" i="1"/>
  <c r="F3223" i="1"/>
  <c r="G3223" i="1"/>
  <c r="H3223" i="1"/>
  <c r="D3224" i="1"/>
  <c r="E3224" i="1"/>
  <c r="F3224" i="1"/>
  <c r="G3224" i="1"/>
  <c r="H3224" i="1"/>
  <c r="D3225" i="1"/>
  <c r="E3225" i="1"/>
  <c r="F3225" i="1"/>
  <c r="G3225" i="1"/>
  <c r="H3225" i="1"/>
  <c r="D3226" i="1"/>
  <c r="E3226" i="1"/>
  <c r="F3226" i="1"/>
  <c r="G3226" i="1"/>
  <c r="H3226" i="1"/>
  <c r="D3227" i="1"/>
  <c r="E3227" i="1"/>
  <c r="F3227" i="1"/>
  <c r="G3227" i="1"/>
  <c r="H3227" i="1"/>
  <c r="D3228" i="1"/>
  <c r="E3228" i="1"/>
  <c r="F3228" i="1"/>
  <c r="G3228" i="1"/>
  <c r="H3228" i="1"/>
  <c r="D3229" i="1"/>
  <c r="E3229" i="1"/>
  <c r="F3229" i="1"/>
  <c r="G3229" i="1"/>
  <c r="H3229" i="1"/>
  <c r="D3230" i="1"/>
  <c r="E3230" i="1"/>
  <c r="F3230" i="1"/>
  <c r="G3230" i="1"/>
  <c r="H3230" i="1"/>
  <c r="D3231" i="1"/>
  <c r="E3231" i="1"/>
  <c r="F3231" i="1"/>
  <c r="G3231" i="1"/>
  <c r="H3231" i="1"/>
  <c r="D3232" i="1"/>
  <c r="E3232" i="1"/>
  <c r="F3232" i="1"/>
  <c r="G3232" i="1"/>
  <c r="H3232" i="1"/>
  <c r="D3233" i="1"/>
  <c r="E3233" i="1"/>
  <c r="F3233" i="1"/>
  <c r="G3233" i="1"/>
  <c r="H3233" i="1"/>
  <c r="D3234" i="1"/>
  <c r="E3234" i="1"/>
  <c r="F3234" i="1"/>
  <c r="G3234" i="1"/>
  <c r="H3234" i="1"/>
  <c r="D3235" i="1"/>
  <c r="E3235" i="1"/>
  <c r="F3235" i="1"/>
  <c r="G3235" i="1"/>
  <c r="H3235" i="1"/>
  <c r="D3236" i="1"/>
  <c r="E3236" i="1"/>
  <c r="F3236" i="1"/>
  <c r="G3236" i="1"/>
  <c r="H3236" i="1"/>
  <c r="D3237" i="1"/>
  <c r="E3237" i="1"/>
  <c r="F3237" i="1"/>
  <c r="G3237" i="1"/>
  <c r="H3237" i="1"/>
  <c r="D3238" i="1"/>
  <c r="E3238" i="1"/>
  <c r="F3238" i="1"/>
  <c r="G3238" i="1"/>
  <c r="H3238" i="1"/>
  <c r="D3239" i="1"/>
  <c r="E3239" i="1"/>
  <c r="F3239" i="1"/>
  <c r="G3239" i="1"/>
  <c r="H3239" i="1"/>
  <c r="D3240" i="1"/>
  <c r="E3240" i="1"/>
  <c r="F3240" i="1"/>
  <c r="G3240" i="1"/>
  <c r="H3240" i="1"/>
  <c r="D3241" i="1"/>
  <c r="E3241" i="1"/>
  <c r="F3241" i="1"/>
  <c r="G3241" i="1"/>
  <c r="H3241" i="1"/>
  <c r="D3242" i="1"/>
  <c r="E3242" i="1"/>
  <c r="F3242" i="1"/>
  <c r="G3242" i="1"/>
  <c r="H3242" i="1"/>
  <c r="D3243" i="1"/>
  <c r="E3243" i="1"/>
  <c r="F3243" i="1"/>
  <c r="G3243" i="1"/>
  <c r="H3243" i="1"/>
  <c r="D3244" i="1"/>
  <c r="E3244" i="1"/>
  <c r="F3244" i="1"/>
  <c r="G3244" i="1"/>
  <c r="H3244" i="1"/>
  <c r="D3245" i="1"/>
  <c r="E3245" i="1"/>
  <c r="F3245" i="1"/>
  <c r="G3245" i="1"/>
  <c r="H3245" i="1"/>
  <c r="D3246" i="1"/>
  <c r="E3246" i="1"/>
  <c r="F3246" i="1"/>
  <c r="G3246" i="1"/>
  <c r="H3246" i="1"/>
  <c r="D3247" i="1"/>
  <c r="E3247" i="1"/>
  <c r="F3247" i="1"/>
  <c r="G3247" i="1"/>
  <c r="H3247" i="1"/>
  <c r="D3248" i="1"/>
  <c r="E3248" i="1"/>
  <c r="F3248" i="1"/>
  <c r="G3248" i="1"/>
  <c r="H3248" i="1"/>
  <c r="D3249" i="1"/>
  <c r="E3249" i="1"/>
  <c r="F3249" i="1"/>
  <c r="G3249" i="1"/>
  <c r="H3249" i="1"/>
  <c r="D3250" i="1"/>
  <c r="E3250" i="1"/>
  <c r="F3250" i="1"/>
  <c r="G3250" i="1"/>
  <c r="H3250" i="1"/>
  <c r="D3251" i="1"/>
  <c r="E3251" i="1"/>
  <c r="F3251" i="1"/>
  <c r="G3251" i="1"/>
  <c r="H3251" i="1"/>
  <c r="D3252" i="1"/>
  <c r="E3252" i="1"/>
  <c r="F3252" i="1"/>
  <c r="G3252" i="1"/>
  <c r="H3252" i="1"/>
  <c r="D3253" i="1"/>
  <c r="E3253" i="1"/>
  <c r="F3253" i="1"/>
  <c r="G3253" i="1"/>
  <c r="H3253" i="1"/>
  <c r="D3254" i="1"/>
  <c r="E3254" i="1"/>
  <c r="F3254" i="1"/>
  <c r="G3254" i="1"/>
  <c r="H3254" i="1"/>
  <c r="D3255" i="1"/>
  <c r="E3255" i="1"/>
  <c r="F3255" i="1"/>
  <c r="G3255" i="1"/>
  <c r="H3255" i="1"/>
  <c r="D3256" i="1"/>
  <c r="E3256" i="1"/>
  <c r="F3256" i="1"/>
  <c r="G3256" i="1"/>
  <c r="H3256" i="1"/>
  <c r="D3257" i="1"/>
  <c r="E3257" i="1"/>
  <c r="F3257" i="1"/>
  <c r="G3257" i="1"/>
  <c r="H3257" i="1"/>
  <c r="D3258" i="1"/>
  <c r="E3258" i="1"/>
  <c r="F3258" i="1"/>
  <c r="G3258" i="1"/>
  <c r="H3258" i="1"/>
  <c r="D3259" i="1"/>
  <c r="E3259" i="1"/>
  <c r="F3259" i="1"/>
  <c r="G3259" i="1"/>
  <c r="H3259" i="1"/>
  <c r="D3260" i="1"/>
  <c r="E3260" i="1"/>
  <c r="F3260" i="1"/>
  <c r="G3260" i="1"/>
  <c r="H3260" i="1"/>
  <c r="D3261" i="1"/>
  <c r="E3261" i="1"/>
  <c r="F3261" i="1"/>
  <c r="G3261" i="1"/>
  <c r="H3261" i="1"/>
  <c r="D3262" i="1"/>
  <c r="E3262" i="1"/>
  <c r="F3262" i="1"/>
  <c r="G3262" i="1"/>
  <c r="H3262" i="1"/>
  <c r="D3263" i="1"/>
  <c r="E3263" i="1"/>
  <c r="F3263" i="1"/>
  <c r="G3263" i="1"/>
  <c r="H3263" i="1"/>
  <c r="D3264" i="1"/>
  <c r="E3264" i="1"/>
  <c r="F3264" i="1"/>
  <c r="G3264" i="1"/>
  <c r="H3264" i="1"/>
  <c r="D3265" i="1"/>
  <c r="E3265" i="1"/>
  <c r="F3265" i="1"/>
  <c r="G3265" i="1"/>
  <c r="H3265" i="1"/>
  <c r="D3266" i="1"/>
  <c r="E3266" i="1"/>
  <c r="F3266" i="1"/>
  <c r="G3266" i="1"/>
  <c r="H3266" i="1"/>
  <c r="D3267" i="1"/>
  <c r="E3267" i="1"/>
  <c r="F3267" i="1"/>
  <c r="G3267" i="1"/>
  <c r="H3267" i="1"/>
  <c r="D3268" i="1"/>
  <c r="E3268" i="1"/>
  <c r="F3268" i="1"/>
  <c r="G3268" i="1"/>
  <c r="H3268" i="1"/>
  <c r="D3269" i="1"/>
  <c r="E3269" i="1"/>
  <c r="F3269" i="1"/>
  <c r="G3269" i="1"/>
  <c r="H3269" i="1"/>
  <c r="D3270" i="1"/>
  <c r="E3270" i="1"/>
  <c r="F3270" i="1"/>
  <c r="G3270" i="1"/>
  <c r="H3270" i="1"/>
  <c r="D3271" i="1"/>
  <c r="E3271" i="1"/>
  <c r="F3271" i="1"/>
  <c r="G3271" i="1"/>
  <c r="H3271" i="1"/>
  <c r="D3272" i="1"/>
  <c r="E3272" i="1"/>
  <c r="F3272" i="1"/>
  <c r="G3272" i="1"/>
  <c r="H3272" i="1"/>
  <c r="D3273" i="1"/>
  <c r="E3273" i="1"/>
  <c r="F3273" i="1"/>
  <c r="G3273" i="1"/>
  <c r="H3273" i="1"/>
  <c r="D3274" i="1"/>
  <c r="E3274" i="1"/>
  <c r="F3274" i="1"/>
  <c r="G3274" i="1"/>
  <c r="H3274" i="1"/>
  <c r="D3275" i="1"/>
  <c r="E3275" i="1"/>
  <c r="F3275" i="1"/>
  <c r="G3275" i="1"/>
  <c r="H3275" i="1"/>
  <c r="D3276" i="1"/>
  <c r="E3276" i="1"/>
  <c r="F3276" i="1"/>
  <c r="G3276" i="1"/>
  <c r="H3276" i="1"/>
  <c r="D3277" i="1"/>
  <c r="E3277" i="1"/>
  <c r="F3277" i="1"/>
  <c r="G3277" i="1"/>
  <c r="H3277" i="1"/>
  <c r="D3278" i="1"/>
  <c r="E3278" i="1"/>
  <c r="F3278" i="1"/>
  <c r="G3278" i="1"/>
  <c r="H3278" i="1"/>
  <c r="D3279" i="1"/>
  <c r="E3279" i="1"/>
  <c r="F3279" i="1"/>
  <c r="G3279" i="1"/>
  <c r="H3279" i="1"/>
  <c r="D3280" i="1"/>
  <c r="E3280" i="1"/>
  <c r="F3280" i="1"/>
  <c r="G3280" i="1"/>
  <c r="H3280" i="1"/>
  <c r="D3281" i="1"/>
  <c r="E3281" i="1"/>
  <c r="F3281" i="1"/>
  <c r="G3281" i="1"/>
  <c r="H3281" i="1"/>
  <c r="D3282" i="1"/>
  <c r="E3282" i="1"/>
  <c r="F3282" i="1"/>
  <c r="G3282" i="1"/>
  <c r="H3282" i="1"/>
  <c r="D3283" i="1"/>
  <c r="E3283" i="1"/>
  <c r="F3283" i="1"/>
  <c r="G3283" i="1"/>
  <c r="H3283" i="1"/>
  <c r="D3284" i="1"/>
  <c r="E3284" i="1"/>
  <c r="F3284" i="1"/>
  <c r="G3284" i="1"/>
  <c r="H3284" i="1"/>
  <c r="D3285" i="1"/>
  <c r="E3285" i="1"/>
  <c r="F3285" i="1"/>
  <c r="G3285" i="1"/>
  <c r="H3285" i="1"/>
  <c r="D3286" i="1"/>
  <c r="E3286" i="1"/>
  <c r="F3286" i="1"/>
  <c r="G3286" i="1"/>
  <c r="H3286" i="1"/>
  <c r="D3287" i="1"/>
  <c r="E3287" i="1"/>
  <c r="F3287" i="1"/>
  <c r="G3287" i="1"/>
  <c r="H3287" i="1"/>
  <c r="D3288" i="1"/>
  <c r="E3288" i="1"/>
  <c r="F3288" i="1"/>
  <c r="G3288" i="1"/>
  <c r="H3288" i="1"/>
  <c r="D3289" i="1"/>
  <c r="E3289" i="1"/>
  <c r="F3289" i="1"/>
  <c r="G3289" i="1"/>
  <c r="H3289" i="1"/>
  <c r="D3290" i="1"/>
  <c r="E3290" i="1"/>
  <c r="F3290" i="1"/>
  <c r="G3290" i="1"/>
  <c r="H3290" i="1"/>
  <c r="D3291" i="1"/>
  <c r="E3291" i="1"/>
  <c r="F3291" i="1"/>
  <c r="G3291" i="1"/>
  <c r="H3291" i="1"/>
  <c r="D3292" i="1"/>
  <c r="E3292" i="1"/>
  <c r="F3292" i="1"/>
  <c r="G3292" i="1"/>
  <c r="H3292" i="1"/>
  <c r="D3293" i="1"/>
  <c r="E3293" i="1"/>
  <c r="F3293" i="1"/>
  <c r="G3293" i="1"/>
  <c r="H3293" i="1"/>
  <c r="D3294" i="1"/>
  <c r="E3294" i="1"/>
  <c r="F3294" i="1"/>
  <c r="G3294" i="1"/>
  <c r="H3294" i="1"/>
  <c r="D3295" i="1"/>
  <c r="E3295" i="1"/>
  <c r="F3295" i="1"/>
  <c r="G3295" i="1"/>
  <c r="H3295" i="1"/>
  <c r="D3296" i="1"/>
  <c r="E3296" i="1"/>
  <c r="F3296" i="1"/>
  <c r="G3296" i="1"/>
  <c r="H3296" i="1"/>
  <c r="D3297" i="1"/>
  <c r="E3297" i="1"/>
  <c r="F3297" i="1"/>
  <c r="G3297" i="1"/>
  <c r="H3297" i="1"/>
  <c r="D3298" i="1"/>
  <c r="E3298" i="1"/>
  <c r="F3298" i="1"/>
  <c r="G3298" i="1"/>
  <c r="H3298" i="1"/>
  <c r="D3299" i="1"/>
  <c r="E3299" i="1"/>
  <c r="F3299" i="1"/>
  <c r="G3299" i="1"/>
  <c r="H3299" i="1"/>
  <c r="D3300" i="1"/>
  <c r="E3300" i="1"/>
  <c r="F3300" i="1"/>
  <c r="G3300" i="1"/>
  <c r="H3300" i="1"/>
  <c r="D3301" i="1"/>
  <c r="E3301" i="1"/>
  <c r="F3301" i="1"/>
  <c r="G3301" i="1"/>
  <c r="H3301" i="1"/>
  <c r="D3302" i="1"/>
  <c r="E3302" i="1"/>
  <c r="F3302" i="1"/>
  <c r="G3302" i="1"/>
  <c r="H3302" i="1"/>
  <c r="D3303" i="1"/>
  <c r="E3303" i="1"/>
  <c r="F3303" i="1"/>
  <c r="G3303" i="1"/>
  <c r="H3303" i="1"/>
  <c r="D3304" i="1"/>
  <c r="E3304" i="1"/>
  <c r="F3304" i="1"/>
  <c r="G3304" i="1"/>
  <c r="H3304" i="1"/>
  <c r="D3305" i="1"/>
  <c r="E3305" i="1"/>
  <c r="F3305" i="1"/>
  <c r="G3305" i="1"/>
  <c r="H3305" i="1"/>
  <c r="D3306" i="1"/>
  <c r="E3306" i="1"/>
  <c r="F3306" i="1"/>
  <c r="G3306" i="1"/>
  <c r="H3306" i="1"/>
  <c r="D3307" i="1"/>
  <c r="E3307" i="1"/>
  <c r="F3307" i="1"/>
  <c r="G3307" i="1"/>
  <c r="H3307" i="1"/>
  <c r="D3308" i="1"/>
  <c r="E3308" i="1"/>
  <c r="F3308" i="1"/>
  <c r="G3308" i="1"/>
  <c r="H3308" i="1"/>
  <c r="D3309" i="1"/>
  <c r="E3309" i="1"/>
  <c r="F3309" i="1"/>
  <c r="G3309" i="1"/>
  <c r="H3309" i="1"/>
  <c r="D3310" i="1"/>
  <c r="E3310" i="1"/>
  <c r="F3310" i="1"/>
  <c r="G3310" i="1"/>
  <c r="H3310" i="1"/>
  <c r="D3311" i="1"/>
  <c r="E3311" i="1"/>
  <c r="F3311" i="1"/>
  <c r="G3311" i="1"/>
  <c r="H3311" i="1"/>
  <c r="D3312" i="1"/>
  <c r="E3312" i="1"/>
  <c r="F3312" i="1"/>
  <c r="G3312" i="1"/>
  <c r="H3312" i="1"/>
  <c r="D3313" i="1"/>
  <c r="E3313" i="1"/>
  <c r="F3313" i="1"/>
  <c r="G3313" i="1"/>
  <c r="H3313" i="1"/>
  <c r="D3314" i="1"/>
  <c r="E3314" i="1"/>
  <c r="F3314" i="1"/>
  <c r="G3314" i="1"/>
  <c r="H3314" i="1"/>
  <c r="D3315" i="1"/>
  <c r="E3315" i="1"/>
  <c r="F3315" i="1"/>
  <c r="G3315" i="1"/>
  <c r="H3315" i="1"/>
  <c r="D3316" i="1"/>
  <c r="E3316" i="1"/>
  <c r="F3316" i="1"/>
  <c r="G3316" i="1"/>
  <c r="H3316" i="1"/>
  <c r="D3317" i="1"/>
  <c r="E3317" i="1"/>
  <c r="F3317" i="1"/>
  <c r="G3317" i="1"/>
  <c r="H3317" i="1"/>
  <c r="D3318" i="1"/>
  <c r="E3318" i="1"/>
  <c r="F3318" i="1"/>
  <c r="G3318" i="1"/>
  <c r="H3318" i="1"/>
  <c r="D3319" i="1"/>
  <c r="E3319" i="1"/>
  <c r="F3319" i="1"/>
  <c r="G3319" i="1"/>
  <c r="H3319" i="1"/>
  <c r="D3320" i="1"/>
  <c r="E3320" i="1"/>
  <c r="F3320" i="1"/>
  <c r="G3320" i="1"/>
  <c r="H3320" i="1"/>
  <c r="D3321" i="1"/>
  <c r="E3321" i="1"/>
  <c r="F3321" i="1"/>
  <c r="G3321" i="1"/>
  <c r="H3321" i="1"/>
  <c r="D3322" i="1"/>
  <c r="E3322" i="1"/>
  <c r="F3322" i="1"/>
  <c r="G3322" i="1"/>
  <c r="H3322" i="1"/>
  <c r="D3323" i="1"/>
  <c r="E3323" i="1"/>
  <c r="F3323" i="1"/>
  <c r="G3323" i="1"/>
  <c r="H3323" i="1"/>
  <c r="D3324" i="1"/>
  <c r="E3324" i="1"/>
  <c r="F3324" i="1"/>
  <c r="G3324" i="1"/>
  <c r="H3324" i="1"/>
  <c r="D3325" i="1"/>
  <c r="E3325" i="1"/>
  <c r="F3325" i="1"/>
  <c r="G3325" i="1"/>
  <c r="H3325" i="1"/>
  <c r="D3326" i="1"/>
  <c r="E3326" i="1"/>
  <c r="F3326" i="1"/>
  <c r="G3326" i="1"/>
  <c r="H3326" i="1"/>
  <c r="D3327" i="1"/>
  <c r="E3327" i="1"/>
  <c r="F3327" i="1"/>
  <c r="G3327" i="1"/>
  <c r="H3327" i="1"/>
  <c r="D3328" i="1"/>
  <c r="E3328" i="1"/>
  <c r="F3328" i="1"/>
  <c r="G3328" i="1"/>
  <c r="H3328" i="1"/>
  <c r="D3329" i="1"/>
  <c r="E3329" i="1"/>
  <c r="F3329" i="1"/>
  <c r="G3329" i="1"/>
  <c r="H3329" i="1"/>
  <c r="D3330" i="1"/>
  <c r="E3330" i="1"/>
  <c r="F3330" i="1"/>
  <c r="G3330" i="1"/>
  <c r="H3330" i="1"/>
  <c r="D3331" i="1"/>
  <c r="E3331" i="1"/>
  <c r="F3331" i="1"/>
  <c r="G3331" i="1"/>
  <c r="H3331" i="1"/>
  <c r="D3332" i="1"/>
  <c r="E3332" i="1"/>
  <c r="F3332" i="1"/>
  <c r="G3332" i="1"/>
  <c r="H3332" i="1"/>
  <c r="D3333" i="1"/>
  <c r="E3333" i="1"/>
  <c r="F3333" i="1"/>
  <c r="G3333" i="1"/>
  <c r="H3333" i="1"/>
  <c r="D3334" i="1"/>
  <c r="E3334" i="1"/>
  <c r="F3334" i="1"/>
  <c r="G3334" i="1"/>
  <c r="H3334" i="1"/>
  <c r="D3335" i="1"/>
  <c r="E3335" i="1"/>
  <c r="F3335" i="1"/>
  <c r="G3335" i="1"/>
  <c r="H3335" i="1"/>
  <c r="D3336" i="1"/>
  <c r="E3336" i="1"/>
  <c r="F3336" i="1"/>
  <c r="G3336" i="1"/>
  <c r="H3336" i="1"/>
  <c r="D3337" i="1"/>
  <c r="E3337" i="1"/>
  <c r="F3337" i="1"/>
  <c r="G3337" i="1"/>
  <c r="H3337" i="1"/>
  <c r="D3338" i="1"/>
  <c r="E3338" i="1"/>
  <c r="F3338" i="1"/>
  <c r="G3338" i="1"/>
  <c r="H3338" i="1"/>
  <c r="D3339" i="1"/>
  <c r="E3339" i="1"/>
  <c r="F3339" i="1"/>
  <c r="G3339" i="1"/>
  <c r="H3339" i="1"/>
  <c r="D3340" i="1"/>
  <c r="E3340" i="1"/>
  <c r="F3340" i="1"/>
  <c r="G3340" i="1"/>
  <c r="H3340" i="1"/>
  <c r="D3341" i="1"/>
  <c r="E3341" i="1"/>
  <c r="F3341" i="1"/>
  <c r="G3341" i="1"/>
  <c r="H3341" i="1"/>
  <c r="D3342" i="1"/>
  <c r="E3342" i="1"/>
  <c r="F3342" i="1"/>
  <c r="G3342" i="1"/>
  <c r="H3342" i="1"/>
  <c r="D3343" i="1"/>
  <c r="E3343" i="1"/>
  <c r="F3343" i="1"/>
  <c r="G3343" i="1"/>
  <c r="H3343" i="1"/>
  <c r="D3344" i="1"/>
  <c r="E3344" i="1"/>
  <c r="F3344" i="1"/>
  <c r="G3344" i="1"/>
  <c r="H3344" i="1"/>
  <c r="D3345" i="1"/>
  <c r="E3345" i="1"/>
  <c r="F3345" i="1"/>
  <c r="G3345" i="1"/>
  <c r="H3345" i="1"/>
  <c r="D3346" i="1"/>
  <c r="E3346" i="1"/>
  <c r="F3346" i="1"/>
  <c r="G3346" i="1"/>
  <c r="H3346" i="1"/>
  <c r="D3347" i="1"/>
  <c r="E3347" i="1"/>
  <c r="F3347" i="1"/>
  <c r="G3347" i="1"/>
  <c r="H3347" i="1"/>
  <c r="D3348" i="1"/>
  <c r="E3348" i="1"/>
  <c r="F3348" i="1"/>
  <c r="G3348" i="1"/>
  <c r="H3348" i="1"/>
  <c r="D3349" i="1"/>
  <c r="E3349" i="1"/>
  <c r="F3349" i="1"/>
  <c r="G3349" i="1"/>
  <c r="H3349" i="1"/>
  <c r="D3350" i="1"/>
  <c r="E3350" i="1"/>
  <c r="F3350" i="1"/>
  <c r="G3350" i="1"/>
  <c r="H3350" i="1"/>
  <c r="D3351" i="1"/>
  <c r="E3351" i="1"/>
  <c r="F3351" i="1"/>
  <c r="G3351" i="1"/>
  <c r="H3351" i="1"/>
  <c r="D3352" i="1"/>
  <c r="E3352" i="1"/>
  <c r="F3352" i="1"/>
  <c r="G3352" i="1"/>
  <c r="H3352" i="1"/>
  <c r="D3353" i="1"/>
  <c r="E3353" i="1"/>
  <c r="F3353" i="1"/>
  <c r="G3353" i="1"/>
  <c r="H3353" i="1"/>
  <c r="D3354" i="1"/>
  <c r="E3354" i="1"/>
  <c r="F3354" i="1"/>
  <c r="G3354" i="1"/>
  <c r="H3354" i="1"/>
  <c r="D3355" i="1"/>
  <c r="E3355" i="1"/>
  <c r="F3355" i="1"/>
  <c r="G3355" i="1"/>
  <c r="H3355" i="1"/>
  <c r="D3356" i="1"/>
  <c r="E3356" i="1"/>
  <c r="F3356" i="1"/>
  <c r="G3356" i="1"/>
  <c r="H3356" i="1"/>
  <c r="D3357" i="1"/>
  <c r="E3357" i="1"/>
  <c r="F3357" i="1"/>
  <c r="G3357" i="1"/>
  <c r="H3357" i="1"/>
  <c r="D3358" i="1"/>
  <c r="E3358" i="1"/>
  <c r="F3358" i="1"/>
  <c r="G3358" i="1"/>
  <c r="H3358" i="1"/>
  <c r="D3359" i="1"/>
  <c r="E3359" i="1"/>
  <c r="F3359" i="1"/>
  <c r="G3359" i="1"/>
  <c r="H3359" i="1"/>
  <c r="D3360" i="1"/>
  <c r="E3360" i="1"/>
  <c r="F3360" i="1"/>
  <c r="G3360" i="1"/>
  <c r="H3360" i="1"/>
  <c r="D3361" i="1"/>
  <c r="E3361" i="1"/>
  <c r="F3361" i="1"/>
  <c r="G3361" i="1"/>
  <c r="H3361" i="1"/>
  <c r="D3362" i="1"/>
  <c r="E3362" i="1"/>
  <c r="F3362" i="1"/>
  <c r="G3362" i="1"/>
  <c r="H3362" i="1"/>
  <c r="D3363" i="1"/>
  <c r="E3363" i="1"/>
  <c r="F3363" i="1"/>
  <c r="G3363" i="1"/>
  <c r="H3363" i="1"/>
  <c r="D3364" i="1"/>
  <c r="E3364" i="1"/>
  <c r="F3364" i="1"/>
  <c r="G3364" i="1"/>
  <c r="H3364" i="1"/>
  <c r="D3365" i="1"/>
  <c r="E3365" i="1"/>
  <c r="F3365" i="1"/>
  <c r="G3365" i="1"/>
  <c r="H3365" i="1"/>
  <c r="D3366" i="1"/>
  <c r="E3366" i="1"/>
  <c r="F3366" i="1"/>
  <c r="G3366" i="1"/>
  <c r="H3366" i="1"/>
  <c r="D3367" i="1"/>
  <c r="E3367" i="1"/>
  <c r="F3367" i="1"/>
  <c r="G3367" i="1"/>
  <c r="H3367" i="1"/>
  <c r="D3368" i="1"/>
  <c r="E3368" i="1"/>
  <c r="F3368" i="1"/>
  <c r="G3368" i="1"/>
  <c r="H3368" i="1"/>
  <c r="D3369" i="1"/>
  <c r="E3369" i="1"/>
  <c r="F3369" i="1"/>
  <c r="G3369" i="1"/>
  <c r="H3369" i="1"/>
  <c r="D3370" i="1"/>
  <c r="E3370" i="1"/>
  <c r="F3370" i="1"/>
  <c r="G3370" i="1"/>
  <c r="H3370" i="1"/>
  <c r="D3371" i="1"/>
  <c r="E3371" i="1"/>
  <c r="F3371" i="1"/>
  <c r="G3371" i="1"/>
  <c r="H3371" i="1"/>
  <c r="D3372" i="1"/>
  <c r="E3372" i="1"/>
  <c r="F3372" i="1"/>
  <c r="G3372" i="1"/>
  <c r="H3372" i="1"/>
  <c r="D3373" i="1"/>
  <c r="E3373" i="1"/>
  <c r="F3373" i="1"/>
  <c r="G3373" i="1"/>
  <c r="H3373" i="1"/>
  <c r="D3374" i="1"/>
  <c r="E3374" i="1"/>
  <c r="F3374" i="1"/>
  <c r="G3374" i="1"/>
  <c r="H3374" i="1"/>
  <c r="D3375" i="1"/>
  <c r="E3375" i="1"/>
  <c r="F3375" i="1"/>
  <c r="G3375" i="1"/>
  <c r="H3375" i="1"/>
  <c r="D3376" i="1"/>
  <c r="E3376" i="1"/>
  <c r="F3376" i="1"/>
  <c r="G3376" i="1"/>
  <c r="H3376" i="1"/>
  <c r="D3377" i="1"/>
  <c r="E3377" i="1"/>
  <c r="F3377" i="1"/>
  <c r="G3377" i="1"/>
  <c r="H3377" i="1"/>
  <c r="D3378" i="1"/>
  <c r="E3378" i="1"/>
  <c r="F3378" i="1"/>
  <c r="G3378" i="1"/>
  <c r="H3378" i="1"/>
  <c r="D3379" i="1"/>
  <c r="E3379" i="1"/>
  <c r="F3379" i="1"/>
  <c r="G3379" i="1"/>
  <c r="H3379" i="1"/>
  <c r="D3380" i="1"/>
  <c r="E3380" i="1"/>
  <c r="F3380" i="1"/>
  <c r="G3380" i="1"/>
  <c r="H3380" i="1"/>
  <c r="D3381" i="1"/>
  <c r="E3381" i="1"/>
  <c r="F3381" i="1"/>
  <c r="G3381" i="1"/>
  <c r="H3381" i="1"/>
  <c r="D3382" i="1"/>
  <c r="E3382" i="1"/>
  <c r="F3382" i="1"/>
  <c r="G3382" i="1"/>
  <c r="H3382" i="1"/>
  <c r="D3383" i="1"/>
  <c r="E3383" i="1"/>
  <c r="F3383" i="1"/>
  <c r="G3383" i="1"/>
  <c r="H3383" i="1"/>
  <c r="D3384" i="1"/>
  <c r="E3384" i="1"/>
  <c r="F3384" i="1"/>
  <c r="G3384" i="1"/>
  <c r="H3384" i="1"/>
  <c r="D3385" i="1"/>
  <c r="E3385" i="1"/>
  <c r="F3385" i="1"/>
  <c r="G3385" i="1"/>
  <c r="H3385" i="1"/>
  <c r="D3386" i="1"/>
  <c r="E3386" i="1"/>
  <c r="F3386" i="1"/>
  <c r="G3386" i="1"/>
  <c r="H3386" i="1"/>
  <c r="D3387" i="1"/>
  <c r="E3387" i="1"/>
  <c r="F3387" i="1"/>
  <c r="G3387" i="1"/>
  <c r="H3387" i="1"/>
  <c r="D3388" i="1"/>
  <c r="E3388" i="1"/>
  <c r="F3388" i="1"/>
  <c r="G3388" i="1"/>
  <c r="H3388" i="1"/>
  <c r="D3389" i="1"/>
  <c r="E3389" i="1"/>
  <c r="F3389" i="1"/>
  <c r="G3389" i="1"/>
  <c r="H3389" i="1"/>
  <c r="D3390" i="1"/>
  <c r="E3390" i="1"/>
  <c r="F3390" i="1"/>
  <c r="G3390" i="1"/>
  <c r="H3390" i="1"/>
  <c r="D3391" i="1"/>
  <c r="E3391" i="1"/>
  <c r="F3391" i="1"/>
  <c r="G3391" i="1"/>
  <c r="H3391" i="1"/>
  <c r="D3392" i="1"/>
  <c r="E3392" i="1"/>
  <c r="F3392" i="1"/>
  <c r="G3392" i="1"/>
  <c r="H3392" i="1"/>
  <c r="D3393" i="1"/>
  <c r="E3393" i="1"/>
  <c r="F3393" i="1"/>
  <c r="G3393" i="1"/>
  <c r="H3393" i="1"/>
  <c r="D3394" i="1"/>
  <c r="E3394" i="1"/>
  <c r="F3394" i="1"/>
  <c r="G3394" i="1"/>
  <c r="H3394" i="1"/>
  <c r="D3395" i="1"/>
  <c r="E3395" i="1"/>
  <c r="F3395" i="1"/>
  <c r="G3395" i="1"/>
  <c r="H3395" i="1"/>
  <c r="D3396" i="1"/>
  <c r="E3396" i="1"/>
  <c r="F3396" i="1"/>
  <c r="G3396" i="1"/>
  <c r="H3396" i="1"/>
  <c r="D3397" i="1"/>
  <c r="E3397" i="1"/>
  <c r="F3397" i="1"/>
  <c r="G3397" i="1"/>
  <c r="H3397" i="1"/>
  <c r="D3398" i="1"/>
  <c r="E3398" i="1"/>
  <c r="F3398" i="1"/>
  <c r="G3398" i="1"/>
  <c r="H3398" i="1"/>
  <c r="D3399" i="1"/>
  <c r="E3399" i="1"/>
  <c r="F3399" i="1"/>
  <c r="G3399" i="1"/>
  <c r="H3399" i="1"/>
  <c r="D3400" i="1"/>
  <c r="E3400" i="1"/>
  <c r="F3400" i="1"/>
  <c r="G3400" i="1"/>
  <c r="H3400" i="1"/>
  <c r="D3401" i="1"/>
  <c r="E3401" i="1"/>
  <c r="F3401" i="1"/>
  <c r="G3401" i="1"/>
  <c r="H3401" i="1"/>
  <c r="D3402" i="1"/>
  <c r="E3402" i="1"/>
  <c r="F3402" i="1"/>
  <c r="G3402" i="1"/>
  <c r="H3402" i="1"/>
  <c r="D3403" i="1"/>
  <c r="E3403" i="1"/>
  <c r="F3403" i="1"/>
  <c r="G3403" i="1"/>
  <c r="H3403" i="1"/>
  <c r="D3404" i="1"/>
  <c r="E3404" i="1"/>
  <c r="F3404" i="1"/>
  <c r="G3404" i="1"/>
  <c r="H3404" i="1"/>
  <c r="D3405" i="1"/>
  <c r="E3405" i="1"/>
  <c r="F3405" i="1"/>
  <c r="G3405" i="1"/>
  <c r="H3405" i="1"/>
  <c r="D3406" i="1"/>
  <c r="E3406" i="1"/>
  <c r="F3406" i="1"/>
  <c r="G3406" i="1"/>
  <c r="H3406" i="1"/>
  <c r="D3407" i="1"/>
  <c r="E3407" i="1"/>
  <c r="F3407" i="1"/>
  <c r="G3407" i="1"/>
  <c r="H3407" i="1"/>
  <c r="D3408" i="1"/>
  <c r="E3408" i="1"/>
  <c r="F3408" i="1"/>
  <c r="G3408" i="1"/>
  <c r="H3408" i="1"/>
  <c r="D3409" i="1"/>
  <c r="E3409" i="1"/>
  <c r="F3409" i="1"/>
  <c r="G3409" i="1"/>
  <c r="H3409" i="1"/>
  <c r="D3410" i="1"/>
  <c r="E3410" i="1"/>
  <c r="F3410" i="1"/>
  <c r="G3410" i="1"/>
  <c r="H3410" i="1"/>
  <c r="D3411" i="1"/>
  <c r="E3411" i="1"/>
  <c r="F3411" i="1"/>
  <c r="G3411" i="1"/>
  <c r="H3411" i="1"/>
  <c r="D3412" i="1"/>
  <c r="E3412" i="1"/>
  <c r="F3412" i="1"/>
  <c r="G3412" i="1"/>
  <c r="H3412" i="1"/>
  <c r="D3413" i="1"/>
  <c r="E3413" i="1"/>
  <c r="F3413" i="1"/>
  <c r="G3413" i="1"/>
  <c r="H3413" i="1"/>
  <c r="D3414" i="1"/>
  <c r="E3414" i="1"/>
  <c r="F3414" i="1"/>
  <c r="G3414" i="1"/>
  <c r="H3414" i="1"/>
  <c r="D3415" i="1"/>
  <c r="E3415" i="1"/>
  <c r="F3415" i="1"/>
  <c r="G3415" i="1"/>
  <c r="H3415" i="1"/>
  <c r="D3416" i="1"/>
  <c r="E3416" i="1"/>
  <c r="F3416" i="1"/>
  <c r="G3416" i="1"/>
  <c r="H3416" i="1"/>
  <c r="D3417" i="1"/>
  <c r="E3417" i="1"/>
  <c r="F3417" i="1"/>
  <c r="G3417" i="1"/>
  <c r="H3417" i="1"/>
  <c r="D3418" i="1"/>
  <c r="E3418" i="1"/>
  <c r="F3418" i="1"/>
  <c r="G3418" i="1"/>
  <c r="H3418" i="1"/>
  <c r="D3419" i="1"/>
  <c r="E3419" i="1"/>
  <c r="F3419" i="1"/>
  <c r="G3419" i="1"/>
  <c r="H3419" i="1"/>
  <c r="D3420" i="1"/>
  <c r="E3420" i="1"/>
  <c r="F3420" i="1"/>
  <c r="G3420" i="1"/>
  <c r="H3420" i="1"/>
  <c r="D3421" i="1"/>
  <c r="E3421" i="1"/>
  <c r="F3421" i="1"/>
  <c r="G3421" i="1"/>
  <c r="H3421" i="1"/>
  <c r="D3422" i="1"/>
  <c r="E3422" i="1"/>
  <c r="F3422" i="1"/>
  <c r="G3422" i="1"/>
  <c r="H3422" i="1"/>
  <c r="D3423" i="1"/>
  <c r="E3423" i="1"/>
  <c r="F3423" i="1"/>
  <c r="G3423" i="1"/>
  <c r="H3423" i="1"/>
  <c r="D3424" i="1"/>
  <c r="E3424" i="1"/>
  <c r="F3424" i="1"/>
  <c r="G3424" i="1"/>
  <c r="H3424" i="1"/>
  <c r="D3425" i="1"/>
  <c r="E3425" i="1"/>
  <c r="F3425" i="1"/>
  <c r="G3425" i="1"/>
  <c r="H3425" i="1"/>
  <c r="D3426" i="1"/>
  <c r="E3426" i="1"/>
  <c r="F3426" i="1"/>
  <c r="G3426" i="1"/>
  <c r="H3426" i="1"/>
  <c r="D3427" i="1"/>
  <c r="E3427" i="1"/>
  <c r="F3427" i="1"/>
  <c r="G3427" i="1"/>
  <c r="H3427" i="1"/>
  <c r="D3428" i="1"/>
  <c r="E3428" i="1"/>
  <c r="F3428" i="1"/>
  <c r="G3428" i="1"/>
  <c r="H3428" i="1"/>
  <c r="D3429" i="1"/>
  <c r="E3429" i="1"/>
  <c r="F3429" i="1"/>
  <c r="G3429" i="1"/>
  <c r="H3429" i="1"/>
  <c r="D3430" i="1"/>
  <c r="E3430" i="1"/>
  <c r="F3430" i="1"/>
  <c r="G3430" i="1"/>
  <c r="H3430" i="1"/>
  <c r="D3431" i="1"/>
  <c r="E3431" i="1"/>
  <c r="F3431" i="1"/>
  <c r="G3431" i="1"/>
  <c r="H3431" i="1"/>
  <c r="D3432" i="1"/>
  <c r="E3432" i="1"/>
  <c r="F3432" i="1"/>
  <c r="G3432" i="1"/>
  <c r="H3432" i="1"/>
  <c r="D3433" i="1"/>
  <c r="E3433" i="1"/>
  <c r="F3433" i="1"/>
  <c r="G3433" i="1"/>
  <c r="H3433" i="1"/>
  <c r="D3434" i="1"/>
  <c r="E3434" i="1"/>
  <c r="F3434" i="1"/>
  <c r="G3434" i="1"/>
  <c r="H3434" i="1"/>
  <c r="D3435" i="1"/>
  <c r="E3435" i="1"/>
  <c r="F3435" i="1"/>
  <c r="G3435" i="1"/>
  <c r="H3435" i="1"/>
  <c r="D3436" i="1"/>
  <c r="E3436" i="1"/>
  <c r="F3436" i="1"/>
  <c r="G3436" i="1"/>
  <c r="H3436" i="1"/>
  <c r="D3437" i="1"/>
  <c r="E3437" i="1"/>
  <c r="F3437" i="1"/>
  <c r="G3437" i="1"/>
  <c r="H3437" i="1"/>
  <c r="D3438" i="1"/>
  <c r="E3438" i="1"/>
  <c r="F3438" i="1"/>
  <c r="G3438" i="1"/>
  <c r="H3438" i="1"/>
  <c r="D3439" i="1"/>
  <c r="E3439" i="1"/>
  <c r="F3439" i="1"/>
  <c r="G3439" i="1"/>
  <c r="H3439" i="1"/>
  <c r="D3440" i="1"/>
  <c r="E3440" i="1"/>
  <c r="F3440" i="1"/>
  <c r="G3440" i="1"/>
  <c r="H3440" i="1"/>
  <c r="D3441" i="1"/>
  <c r="E3441" i="1"/>
  <c r="F3441" i="1"/>
  <c r="G3441" i="1"/>
  <c r="H3441" i="1"/>
  <c r="D3442" i="1"/>
  <c r="E3442" i="1"/>
  <c r="F3442" i="1"/>
  <c r="G3442" i="1"/>
  <c r="H3442" i="1"/>
  <c r="D3443" i="1"/>
  <c r="E3443" i="1"/>
  <c r="F3443" i="1"/>
  <c r="G3443" i="1"/>
  <c r="H3443" i="1"/>
  <c r="D3444" i="1"/>
  <c r="E3444" i="1"/>
  <c r="F3444" i="1"/>
  <c r="G3444" i="1"/>
  <c r="H3444" i="1"/>
  <c r="D3445" i="1"/>
  <c r="E3445" i="1"/>
  <c r="F3445" i="1"/>
  <c r="G3445" i="1"/>
  <c r="H3445" i="1"/>
  <c r="D3446" i="1"/>
  <c r="E3446" i="1"/>
  <c r="F3446" i="1"/>
  <c r="G3446" i="1"/>
  <c r="H3446" i="1"/>
  <c r="D3447" i="1"/>
  <c r="E3447" i="1"/>
  <c r="F3447" i="1"/>
  <c r="G3447" i="1"/>
  <c r="H3447" i="1"/>
  <c r="D3448" i="1"/>
  <c r="E3448" i="1"/>
  <c r="F3448" i="1"/>
  <c r="G3448" i="1"/>
  <c r="H3448" i="1"/>
  <c r="D3449" i="1"/>
  <c r="E3449" i="1"/>
  <c r="F3449" i="1"/>
  <c r="G3449" i="1"/>
  <c r="H3449" i="1"/>
  <c r="D3450" i="1"/>
  <c r="E3450" i="1"/>
  <c r="F3450" i="1"/>
  <c r="G3450" i="1"/>
  <c r="H3450" i="1"/>
  <c r="D3451" i="1"/>
  <c r="E3451" i="1"/>
  <c r="F3451" i="1"/>
  <c r="G3451" i="1"/>
  <c r="H3451" i="1"/>
  <c r="D3452" i="1"/>
  <c r="E3452" i="1"/>
  <c r="F3452" i="1"/>
  <c r="G3452" i="1"/>
  <c r="H3452" i="1"/>
  <c r="D3453" i="1"/>
  <c r="E3453" i="1"/>
  <c r="F3453" i="1"/>
  <c r="G3453" i="1"/>
  <c r="H3453" i="1"/>
  <c r="D3454" i="1"/>
  <c r="E3454" i="1"/>
  <c r="F3454" i="1"/>
  <c r="G3454" i="1"/>
  <c r="H3454" i="1"/>
  <c r="D3455" i="1"/>
  <c r="E3455" i="1"/>
  <c r="F3455" i="1"/>
  <c r="G3455" i="1"/>
  <c r="H3455" i="1"/>
  <c r="D3456" i="1"/>
  <c r="E3456" i="1"/>
  <c r="F3456" i="1"/>
  <c r="G3456" i="1"/>
  <c r="H3456" i="1"/>
  <c r="D3457" i="1"/>
  <c r="E3457" i="1"/>
  <c r="F3457" i="1"/>
  <c r="G3457" i="1"/>
  <c r="H3457" i="1"/>
  <c r="D3458" i="1"/>
  <c r="E3458" i="1"/>
  <c r="F3458" i="1"/>
  <c r="G3458" i="1"/>
  <c r="H3458" i="1"/>
  <c r="D3459" i="1"/>
  <c r="E3459" i="1"/>
  <c r="F3459" i="1"/>
  <c r="G3459" i="1"/>
  <c r="H3459" i="1"/>
  <c r="D3460" i="1"/>
  <c r="E3460" i="1"/>
  <c r="F3460" i="1"/>
  <c r="G3460" i="1"/>
  <c r="H3460" i="1"/>
  <c r="D3461" i="1"/>
  <c r="E3461" i="1"/>
  <c r="F3461" i="1"/>
  <c r="G3461" i="1"/>
  <c r="H3461" i="1"/>
  <c r="D3462" i="1"/>
  <c r="E3462" i="1"/>
  <c r="F3462" i="1"/>
  <c r="G3462" i="1"/>
  <c r="H3462" i="1"/>
  <c r="D3463" i="1"/>
  <c r="E3463" i="1"/>
  <c r="F3463" i="1"/>
  <c r="G3463" i="1"/>
  <c r="H3463" i="1"/>
  <c r="D3464" i="1"/>
  <c r="E3464" i="1"/>
  <c r="F3464" i="1"/>
  <c r="G3464" i="1"/>
  <c r="H3464" i="1"/>
  <c r="D3465" i="1"/>
  <c r="E3465" i="1"/>
  <c r="F3465" i="1"/>
  <c r="G3465" i="1"/>
  <c r="H3465" i="1"/>
  <c r="D3466" i="1"/>
  <c r="E3466" i="1"/>
  <c r="F3466" i="1"/>
  <c r="G3466" i="1"/>
  <c r="H3466" i="1"/>
  <c r="D3467" i="1"/>
  <c r="E3467" i="1"/>
  <c r="F3467" i="1"/>
  <c r="G3467" i="1"/>
  <c r="H3467" i="1"/>
  <c r="D3468" i="1"/>
  <c r="E3468" i="1"/>
  <c r="F3468" i="1"/>
  <c r="G3468" i="1"/>
  <c r="H3468" i="1"/>
  <c r="D3469" i="1"/>
  <c r="E3469" i="1"/>
  <c r="F3469" i="1"/>
  <c r="G3469" i="1"/>
  <c r="H3469" i="1"/>
  <c r="D3470" i="1"/>
  <c r="E3470" i="1"/>
  <c r="F3470" i="1"/>
  <c r="G3470" i="1"/>
  <c r="H3470" i="1"/>
  <c r="D3471" i="1"/>
  <c r="E3471" i="1"/>
  <c r="F3471" i="1"/>
  <c r="G3471" i="1"/>
  <c r="H3471" i="1"/>
  <c r="D3472" i="1"/>
  <c r="E3472" i="1"/>
  <c r="F3472" i="1"/>
  <c r="G3472" i="1"/>
  <c r="H3472" i="1"/>
  <c r="D3473" i="1"/>
  <c r="E3473" i="1"/>
  <c r="F3473" i="1"/>
  <c r="G3473" i="1"/>
  <c r="H3473" i="1"/>
  <c r="D3474" i="1"/>
  <c r="E3474" i="1"/>
  <c r="F3474" i="1"/>
  <c r="G3474" i="1"/>
  <c r="H3474" i="1"/>
  <c r="D3475" i="1"/>
  <c r="E3475" i="1"/>
  <c r="F3475" i="1"/>
  <c r="G3475" i="1"/>
  <c r="H3475" i="1"/>
  <c r="D3476" i="1"/>
  <c r="E3476" i="1"/>
  <c r="F3476" i="1"/>
  <c r="G3476" i="1"/>
  <c r="H3476" i="1"/>
  <c r="D3477" i="1"/>
  <c r="E3477" i="1"/>
  <c r="F3477" i="1"/>
  <c r="G3477" i="1"/>
  <c r="H3477" i="1"/>
  <c r="D3478" i="1"/>
  <c r="E3478" i="1"/>
  <c r="F3478" i="1"/>
  <c r="G3478" i="1"/>
  <c r="H3478" i="1"/>
  <c r="D3479" i="1"/>
  <c r="E3479" i="1"/>
  <c r="F3479" i="1"/>
  <c r="G3479" i="1"/>
  <c r="H3479" i="1"/>
  <c r="D3480" i="1"/>
  <c r="E3480" i="1"/>
  <c r="F3480" i="1"/>
  <c r="G3480" i="1"/>
  <c r="H3480" i="1"/>
  <c r="D3481" i="1"/>
  <c r="E3481" i="1"/>
  <c r="F3481" i="1"/>
  <c r="G3481" i="1"/>
  <c r="H3481" i="1"/>
  <c r="D3482" i="1"/>
  <c r="E3482" i="1"/>
  <c r="F3482" i="1"/>
  <c r="G3482" i="1"/>
  <c r="H3482" i="1"/>
  <c r="D3483" i="1"/>
  <c r="E3483" i="1"/>
  <c r="F3483" i="1"/>
  <c r="G3483" i="1"/>
  <c r="H3483" i="1"/>
  <c r="D3484" i="1"/>
  <c r="E3484" i="1"/>
  <c r="F3484" i="1"/>
  <c r="G3484" i="1"/>
  <c r="H3484" i="1"/>
  <c r="D3485" i="1"/>
  <c r="E3485" i="1"/>
  <c r="F3485" i="1"/>
  <c r="G3485" i="1"/>
  <c r="H3485" i="1"/>
  <c r="D3486" i="1"/>
  <c r="E3486" i="1"/>
  <c r="F3486" i="1"/>
  <c r="G3486" i="1"/>
  <c r="H3486" i="1"/>
  <c r="D3487" i="1"/>
  <c r="E3487" i="1"/>
  <c r="F3487" i="1"/>
  <c r="G3487" i="1"/>
  <c r="H3487" i="1"/>
  <c r="D3488" i="1"/>
  <c r="E3488" i="1"/>
  <c r="F3488" i="1"/>
  <c r="G3488" i="1"/>
  <c r="H3488" i="1"/>
  <c r="D3489" i="1"/>
  <c r="E3489" i="1"/>
  <c r="F3489" i="1"/>
  <c r="G3489" i="1"/>
  <c r="H3489" i="1"/>
  <c r="D3490" i="1"/>
  <c r="E3490" i="1"/>
  <c r="F3490" i="1"/>
  <c r="G3490" i="1"/>
  <c r="H3490" i="1"/>
  <c r="D3491" i="1"/>
  <c r="E3491" i="1"/>
  <c r="F3491" i="1"/>
  <c r="G3491" i="1"/>
  <c r="H3491" i="1"/>
  <c r="D3492" i="1"/>
  <c r="E3492" i="1"/>
  <c r="F3492" i="1"/>
  <c r="G3492" i="1"/>
  <c r="H3492" i="1"/>
  <c r="D3493" i="1"/>
  <c r="E3493" i="1"/>
  <c r="F3493" i="1"/>
  <c r="G3493" i="1"/>
  <c r="H3493" i="1"/>
  <c r="D3494" i="1"/>
  <c r="E3494" i="1"/>
  <c r="F3494" i="1"/>
  <c r="G3494" i="1"/>
  <c r="H3494" i="1"/>
  <c r="D3495" i="1"/>
  <c r="E3495" i="1"/>
  <c r="F3495" i="1"/>
  <c r="G3495" i="1"/>
  <c r="H3495" i="1"/>
  <c r="D3496" i="1"/>
  <c r="E3496" i="1"/>
  <c r="F3496" i="1"/>
  <c r="G3496" i="1"/>
  <c r="H3496" i="1"/>
  <c r="D3497" i="1"/>
  <c r="E3497" i="1"/>
  <c r="F3497" i="1"/>
  <c r="G3497" i="1"/>
  <c r="H3497" i="1"/>
  <c r="D3498" i="1"/>
  <c r="E3498" i="1"/>
  <c r="F3498" i="1"/>
  <c r="G3498" i="1"/>
  <c r="H3498" i="1"/>
  <c r="D3499" i="1"/>
  <c r="E3499" i="1"/>
  <c r="F3499" i="1"/>
  <c r="G3499" i="1"/>
  <c r="H3499" i="1"/>
  <c r="D3500" i="1"/>
  <c r="E3500" i="1"/>
  <c r="F3500" i="1"/>
  <c r="G3500" i="1"/>
  <c r="H3500" i="1"/>
  <c r="D3501" i="1"/>
  <c r="E3501" i="1"/>
  <c r="F3501" i="1"/>
  <c r="G3501" i="1"/>
  <c r="H3501" i="1"/>
  <c r="D3502" i="1"/>
  <c r="E3502" i="1"/>
  <c r="F3502" i="1"/>
  <c r="G3502" i="1"/>
  <c r="H3502" i="1"/>
  <c r="D3503" i="1"/>
  <c r="E3503" i="1"/>
  <c r="F3503" i="1"/>
  <c r="G3503" i="1"/>
  <c r="H3503" i="1"/>
  <c r="D3504" i="1"/>
  <c r="E3504" i="1"/>
  <c r="F3504" i="1"/>
  <c r="G3504" i="1"/>
  <c r="H3504" i="1"/>
  <c r="D3505" i="1"/>
  <c r="E3505" i="1"/>
  <c r="F3505" i="1"/>
  <c r="G3505" i="1"/>
  <c r="H3505" i="1"/>
  <c r="D3506" i="1"/>
  <c r="E3506" i="1"/>
  <c r="F3506" i="1"/>
  <c r="G3506" i="1"/>
  <c r="H3506" i="1"/>
  <c r="D3507" i="1"/>
  <c r="E3507" i="1"/>
  <c r="F3507" i="1"/>
  <c r="G3507" i="1"/>
  <c r="H3507" i="1"/>
  <c r="D3508" i="1"/>
  <c r="E3508" i="1"/>
  <c r="F3508" i="1"/>
  <c r="G3508" i="1"/>
  <c r="H3508" i="1"/>
  <c r="D3509" i="1"/>
  <c r="E3509" i="1"/>
  <c r="F3509" i="1"/>
  <c r="G3509" i="1"/>
  <c r="H3509" i="1"/>
  <c r="D3510" i="1"/>
  <c r="E3510" i="1"/>
  <c r="F3510" i="1"/>
  <c r="G3510" i="1"/>
  <c r="H3510" i="1"/>
  <c r="D3511" i="1"/>
  <c r="E3511" i="1"/>
  <c r="F3511" i="1"/>
  <c r="G3511" i="1"/>
  <c r="H3511" i="1"/>
  <c r="D3512" i="1"/>
  <c r="E3512" i="1"/>
  <c r="F3512" i="1"/>
  <c r="G3512" i="1"/>
  <c r="H3512" i="1"/>
  <c r="D3513" i="1"/>
  <c r="E3513" i="1"/>
  <c r="F3513" i="1"/>
  <c r="G3513" i="1"/>
  <c r="H3513" i="1"/>
  <c r="D3514" i="1"/>
  <c r="E3514" i="1"/>
  <c r="F3514" i="1"/>
  <c r="G3514" i="1"/>
  <c r="H3514" i="1"/>
  <c r="D3515" i="1"/>
  <c r="E3515" i="1"/>
  <c r="F3515" i="1"/>
  <c r="G3515" i="1"/>
  <c r="H3515" i="1"/>
  <c r="D3516" i="1"/>
  <c r="E3516" i="1"/>
  <c r="F3516" i="1"/>
  <c r="G3516" i="1"/>
  <c r="H3516" i="1"/>
  <c r="D3517" i="1"/>
  <c r="E3517" i="1"/>
  <c r="F3517" i="1"/>
  <c r="G3517" i="1"/>
  <c r="H3517" i="1"/>
  <c r="D3518" i="1"/>
  <c r="E3518" i="1"/>
  <c r="F3518" i="1"/>
  <c r="G3518" i="1"/>
  <c r="H3518" i="1"/>
  <c r="D3519" i="1"/>
  <c r="E3519" i="1"/>
  <c r="F3519" i="1"/>
  <c r="G3519" i="1"/>
  <c r="H3519" i="1"/>
  <c r="D3520" i="1"/>
  <c r="E3520" i="1"/>
  <c r="F3520" i="1"/>
  <c r="G3520" i="1"/>
  <c r="H3520" i="1"/>
  <c r="D3521" i="1"/>
  <c r="E3521" i="1"/>
  <c r="F3521" i="1"/>
  <c r="G3521" i="1"/>
  <c r="H3521" i="1"/>
  <c r="D3522" i="1"/>
  <c r="E3522" i="1"/>
  <c r="F3522" i="1"/>
  <c r="G3522" i="1"/>
  <c r="H3522" i="1"/>
  <c r="D3523" i="1"/>
  <c r="E3523" i="1"/>
  <c r="F3523" i="1"/>
  <c r="G3523" i="1"/>
  <c r="H3523" i="1"/>
  <c r="D3524" i="1"/>
  <c r="E3524" i="1"/>
  <c r="F3524" i="1"/>
  <c r="G3524" i="1"/>
  <c r="H3524" i="1"/>
  <c r="D3525" i="1"/>
  <c r="E3525" i="1"/>
  <c r="F3525" i="1"/>
  <c r="G3525" i="1"/>
  <c r="H3525" i="1"/>
  <c r="D3526" i="1"/>
  <c r="E3526" i="1"/>
  <c r="F3526" i="1"/>
  <c r="G3526" i="1"/>
  <c r="H3526" i="1"/>
  <c r="D3527" i="1"/>
  <c r="E3527" i="1"/>
  <c r="F3527" i="1"/>
  <c r="G3527" i="1"/>
  <c r="H3527" i="1"/>
  <c r="D3528" i="1"/>
  <c r="E3528" i="1"/>
  <c r="F3528" i="1"/>
  <c r="G3528" i="1"/>
  <c r="H3528" i="1"/>
  <c r="D3529" i="1"/>
  <c r="E3529" i="1"/>
  <c r="F3529" i="1"/>
  <c r="G3529" i="1"/>
  <c r="H3529" i="1"/>
  <c r="D3530" i="1"/>
  <c r="E3530" i="1"/>
  <c r="F3530" i="1"/>
  <c r="G3530" i="1"/>
  <c r="H3530" i="1"/>
  <c r="D3531" i="1"/>
  <c r="E3531" i="1"/>
  <c r="F3531" i="1"/>
  <c r="G3531" i="1"/>
  <c r="H3531" i="1"/>
  <c r="D3532" i="1"/>
  <c r="E3532" i="1"/>
  <c r="F3532" i="1"/>
  <c r="G3532" i="1"/>
  <c r="H3532" i="1"/>
  <c r="D3533" i="1"/>
  <c r="E3533" i="1"/>
  <c r="F3533" i="1"/>
  <c r="G3533" i="1"/>
  <c r="H3533" i="1"/>
  <c r="D3534" i="1"/>
  <c r="E3534" i="1"/>
  <c r="F3534" i="1"/>
  <c r="G3534" i="1"/>
  <c r="H3534" i="1"/>
  <c r="D3535" i="1"/>
  <c r="E3535" i="1"/>
  <c r="F3535" i="1"/>
  <c r="G3535" i="1"/>
  <c r="H3535" i="1"/>
  <c r="D3536" i="1"/>
  <c r="E3536" i="1"/>
  <c r="F3536" i="1"/>
  <c r="G3536" i="1"/>
  <c r="H3536" i="1"/>
  <c r="D3537" i="1"/>
  <c r="E3537" i="1"/>
  <c r="F3537" i="1"/>
  <c r="G3537" i="1"/>
  <c r="H3537" i="1"/>
  <c r="D3538" i="1"/>
  <c r="E3538" i="1"/>
  <c r="F3538" i="1"/>
  <c r="G3538" i="1"/>
  <c r="H3538" i="1"/>
  <c r="D3539" i="1"/>
  <c r="E3539" i="1"/>
  <c r="F3539" i="1"/>
  <c r="G3539" i="1"/>
  <c r="H3539" i="1"/>
  <c r="D3540" i="1"/>
  <c r="E3540" i="1"/>
  <c r="F3540" i="1"/>
  <c r="G3540" i="1"/>
  <c r="H3540" i="1"/>
  <c r="D3541" i="1"/>
  <c r="E3541" i="1"/>
  <c r="F3541" i="1"/>
  <c r="G3541" i="1"/>
  <c r="H3541" i="1"/>
  <c r="D3542" i="1"/>
  <c r="E3542" i="1"/>
  <c r="F3542" i="1"/>
  <c r="G3542" i="1"/>
  <c r="H3542" i="1"/>
  <c r="D3543" i="1"/>
  <c r="E3543" i="1"/>
  <c r="F3543" i="1"/>
  <c r="G3543" i="1"/>
  <c r="H3543" i="1"/>
  <c r="D3544" i="1"/>
  <c r="E3544" i="1"/>
  <c r="F3544" i="1"/>
  <c r="G3544" i="1"/>
  <c r="H3544" i="1"/>
  <c r="D3545" i="1"/>
  <c r="E3545" i="1"/>
  <c r="F3545" i="1"/>
  <c r="G3545" i="1"/>
  <c r="H3545" i="1"/>
  <c r="D3546" i="1"/>
  <c r="E3546" i="1"/>
  <c r="F3546" i="1"/>
  <c r="G3546" i="1"/>
  <c r="H3546" i="1"/>
  <c r="D3547" i="1"/>
  <c r="E3547" i="1"/>
  <c r="F3547" i="1"/>
  <c r="G3547" i="1"/>
  <c r="H3547" i="1"/>
  <c r="D3548" i="1"/>
  <c r="E3548" i="1"/>
  <c r="F3548" i="1"/>
  <c r="G3548" i="1"/>
  <c r="H3548" i="1"/>
  <c r="D3549" i="1"/>
  <c r="E3549" i="1"/>
  <c r="F3549" i="1"/>
  <c r="G3549" i="1"/>
  <c r="H3549" i="1"/>
  <c r="D3550" i="1"/>
  <c r="E3550" i="1"/>
  <c r="F3550" i="1"/>
  <c r="G3550" i="1"/>
  <c r="H3550" i="1"/>
  <c r="D3551" i="1"/>
  <c r="E3551" i="1"/>
  <c r="F3551" i="1"/>
  <c r="G3551" i="1"/>
  <c r="H3551" i="1"/>
  <c r="D3552" i="1"/>
  <c r="E3552" i="1"/>
  <c r="F3552" i="1"/>
  <c r="G3552" i="1"/>
  <c r="H3552" i="1"/>
  <c r="D3553" i="1"/>
  <c r="E3553" i="1"/>
  <c r="F3553" i="1"/>
  <c r="G3553" i="1"/>
  <c r="H3553" i="1"/>
  <c r="D3554" i="1"/>
  <c r="E3554" i="1"/>
  <c r="F3554" i="1"/>
  <c r="G3554" i="1"/>
  <c r="H3554" i="1"/>
  <c r="D3555" i="1"/>
  <c r="E3555" i="1"/>
  <c r="F3555" i="1"/>
  <c r="G3555" i="1"/>
  <c r="H3555" i="1"/>
  <c r="D3556" i="1"/>
  <c r="E3556" i="1"/>
  <c r="F3556" i="1"/>
  <c r="G3556" i="1"/>
  <c r="H3556" i="1"/>
  <c r="D3557" i="1"/>
  <c r="E3557" i="1"/>
  <c r="F3557" i="1"/>
  <c r="G3557" i="1"/>
  <c r="H3557" i="1"/>
  <c r="D3558" i="1"/>
  <c r="E3558" i="1"/>
  <c r="F3558" i="1"/>
  <c r="G3558" i="1"/>
  <c r="H3558" i="1"/>
  <c r="D3559" i="1"/>
  <c r="E3559" i="1"/>
  <c r="F3559" i="1"/>
  <c r="G3559" i="1"/>
  <c r="H3559" i="1"/>
  <c r="D3560" i="1"/>
  <c r="E3560" i="1"/>
  <c r="F3560" i="1"/>
  <c r="G3560" i="1"/>
  <c r="H3560" i="1"/>
  <c r="D3561" i="1"/>
  <c r="E3561" i="1"/>
  <c r="F3561" i="1"/>
  <c r="G3561" i="1"/>
  <c r="H3561" i="1"/>
  <c r="D3562" i="1"/>
  <c r="E3562" i="1"/>
  <c r="F3562" i="1"/>
  <c r="G3562" i="1"/>
  <c r="H3562" i="1"/>
  <c r="D3563" i="1"/>
  <c r="E3563" i="1"/>
  <c r="F3563" i="1"/>
  <c r="G3563" i="1"/>
  <c r="H3563" i="1"/>
  <c r="D3564" i="1"/>
  <c r="E3564" i="1"/>
  <c r="F3564" i="1"/>
  <c r="G3564" i="1"/>
  <c r="H3564" i="1"/>
  <c r="D3565" i="1"/>
  <c r="E3565" i="1"/>
  <c r="F3565" i="1"/>
  <c r="G3565" i="1"/>
  <c r="H3565" i="1"/>
  <c r="D3566" i="1"/>
  <c r="E3566" i="1"/>
  <c r="F3566" i="1"/>
  <c r="G3566" i="1"/>
  <c r="H3566" i="1"/>
  <c r="D3567" i="1"/>
  <c r="E3567" i="1"/>
  <c r="F3567" i="1"/>
  <c r="G3567" i="1"/>
  <c r="H3567" i="1"/>
  <c r="D3568" i="1"/>
  <c r="E3568" i="1"/>
  <c r="F3568" i="1"/>
  <c r="G3568" i="1"/>
  <c r="H3568" i="1"/>
  <c r="D3569" i="1"/>
  <c r="E3569" i="1"/>
  <c r="F3569" i="1"/>
  <c r="G3569" i="1"/>
  <c r="H3569" i="1"/>
  <c r="D3570" i="1"/>
  <c r="E3570" i="1"/>
  <c r="F3570" i="1"/>
  <c r="G3570" i="1"/>
  <c r="H3570" i="1"/>
  <c r="D3571" i="1"/>
  <c r="E3571" i="1"/>
  <c r="F3571" i="1"/>
  <c r="G3571" i="1"/>
  <c r="H3571" i="1"/>
  <c r="D3572" i="1"/>
  <c r="E3572" i="1"/>
  <c r="F3572" i="1"/>
  <c r="G3572" i="1"/>
  <c r="H3572" i="1"/>
  <c r="D3573" i="1"/>
  <c r="E3573" i="1"/>
  <c r="F3573" i="1"/>
  <c r="G3573" i="1"/>
  <c r="H3573" i="1"/>
  <c r="D3574" i="1"/>
  <c r="E3574" i="1"/>
  <c r="F3574" i="1"/>
  <c r="G3574" i="1"/>
  <c r="H3574" i="1"/>
  <c r="D3575" i="1"/>
  <c r="E3575" i="1"/>
  <c r="F3575" i="1"/>
  <c r="G3575" i="1"/>
  <c r="H3575" i="1"/>
  <c r="D3576" i="1"/>
  <c r="E3576" i="1"/>
  <c r="F3576" i="1"/>
  <c r="G3576" i="1"/>
  <c r="H3576" i="1"/>
  <c r="D3577" i="1"/>
  <c r="E3577" i="1"/>
  <c r="F3577" i="1"/>
  <c r="G3577" i="1"/>
  <c r="H3577" i="1"/>
  <c r="D3578" i="1"/>
  <c r="E3578" i="1"/>
  <c r="F3578" i="1"/>
  <c r="G3578" i="1"/>
  <c r="H3578" i="1"/>
  <c r="D3579" i="1"/>
  <c r="E3579" i="1"/>
  <c r="F3579" i="1"/>
  <c r="G3579" i="1"/>
  <c r="H3579" i="1"/>
  <c r="D3580" i="1"/>
  <c r="E3580" i="1"/>
  <c r="F3580" i="1"/>
  <c r="G3580" i="1"/>
  <c r="H3580" i="1"/>
  <c r="D3581" i="1"/>
  <c r="E3581" i="1"/>
  <c r="F3581" i="1"/>
  <c r="G3581" i="1"/>
  <c r="H3581" i="1"/>
  <c r="D3582" i="1"/>
  <c r="E3582" i="1"/>
  <c r="F3582" i="1"/>
  <c r="G3582" i="1"/>
  <c r="H3582" i="1"/>
  <c r="D3583" i="1"/>
  <c r="E3583" i="1"/>
  <c r="F3583" i="1"/>
  <c r="G3583" i="1"/>
  <c r="H3583" i="1"/>
  <c r="D3584" i="1"/>
  <c r="E3584" i="1"/>
  <c r="F3584" i="1"/>
  <c r="G3584" i="1"/>
  <c r="H3584" i="1"/>
  <c r="D3585" i="1"/>
  <c r="E3585" i="1"/>
  <c r="F3585" i="1"/>
  <c r="G3585" i="1"/>
  <c r="H3585" i="1"/>
  <c r="D3586" i="1"/>
  <c r="E3586" i="1"/>
  <c r="F3586" i="1"/>
  <c r="G3586" i="1"/>
  <c r="H3586" i="1"/>
  <c r="D3587" i="1"/>
  <c r="E3587" i="1"/>
  <c r="F3587" i="1"/>
  <c r="G3587" i="1"/>
  <c r="H3587" i="1"/>
  <c r="D3588" i="1"/>
  <c r="E3588" i="1"/>
  <c r="F3588" i="1"/>
  <c r="G3588" i="1"/>
  <c r="H3588" i="1"/>
  <c r="D3589" i="1"/>
  <c r="E3589" i="1"/>
  <c r="F3589" i="1"/>
  <c r="G3589" i="1"/>
  <c r="H3589" i="1"/>
  <c r="D3590" i="1"/>
  <c r="E3590" i="1"/>
  <c r="F3590" i="1"/>
  <c r="G3590" i="1"/>
  <c r="H3590" i="1"/>
  <c r="D3591" i="1"/>
  <c r="E3591" i="1"/>
  <c r="F3591" i="1"/>
  <c r="G3591" i="1"/>
  <c r="H3591" i="1"/>
  <c r="D3592" i="1"/>
  <c r="E3592" i="1"/>
  <c r="F3592" i="1"/>
  <c r="G3592" i="1"/>
  <c r="H3592" i="1"/>
  <c r="D3593" i="1"/>
  <c r="E3593" i="1"/>
  <c r="F3593" i="1"/>
  <c r="G3593" i="1"/>
  <c r="H3593" i="1"/>
  <c r="D3594" i="1"/>
  <c r="E3594" i="1"/>
  <c r="F3594" i="1"/>
  <c r="G3594" i="1"/>
  <c r="H3594" i="1"/>
  <c r="D3595" i="1"/>
  <c r="E3595" i="1"/>
  <c r="F3595" i="1"/>
  <c r="G3595" i="1"/>
  <c r="H3595" i="1"/>
  <c r="D3596" i="1"/>
  <c r="E3596" i="1"/>
  <c r="F3596" i="1"/>
  <c r="G3596" i="1"/>
  <c r="H3596" i="1"/>
  <c r="D3597" i="1"/>
  <c r="E3597" i="1"/>
  <c r="F3597" i="1"/>
  <c r="G3597" i="1"/>
  <c r="H3597" i="1"/>
  <c r="D3598" i="1"/>
  <c r="E3598" i="1"/>
  <c r="F3598" i="1"/>
  <c r="G3598" i="1"/>
  <c r="H3598" i="1"/>
  <c r="D3599" i="1"/>
  <c r="E3599" i="1"/>
  <c r="F3599" i="1"/>
  <c r="G3599" i="1"/>
  <c r="H3599" i="1"/>
  <c r="D3600" i="1"/>
  <c r="E3600" i="1"/>
  <c r="F3600" i="1"/>
  <c r="G3600" i="1"/>
  <c r="H3600" i="1"/>
  <c r="D3601" i="1"/>
  <c r="E3601" i="1"/>
  <c r="F3601" i="1"/>
  <c r="G3601" i="1"/>
  <c r="H3601" i="1"/>
  <c r="D3602" i="1"/>
  <c r="E3602" i="1"/>
  <c r="F3602" i="1"/>
  <c r="G3602" i="1"/>
  <c r="H3602" i="1"/>
  <c r="D3603" i="1"/>
  <c r="E3603" i="1"/>
  <c r="F3603" i="1"/>
  <c r="G3603" i="1"/>
  <c r="H3603" i="1"/>
  <c r="D3604" i="1"/>
  <c r="E3604" i="1"/>
  <c r="F3604" i="1"/>
  <c r="G3604" i="1"/>
  <c r="H3604" i="1"/>
  <c r="D3605" i="1"/>
  <c r="E3605" i="1"/>
  <c r="F3605" i="1"/>
  <c r="G3605" i="1"/>
  <c r="H3605" i="1"/>
  <c r="D3606" i="1"/>
  <c r="E3606" i="1"/>
  <c r="F3606" i="1"/>
  <c r="G3606" i="1"/>
  <c r="H3606" i="1"/>
  <c r="D3607" i="1"/>
  <c r="E3607" i="1"/>
  <c r="F3607" i="1"/>
  <c r="G3607" i="1"/>
  <c r="H3607" i="1"/>
  <c r="D3608" i="1"/>
  <c r="E3608" i="1"/>
  <c r="F3608" i="1"/>
  <c r="G3608" i="1"/>
  <c r="H3608" i="1"/>
  <c r="D3609" i="1"/>
  <c r="E3609" i="1"/>
  <c r="F3609" i="1"/>
  <c r="G3609" i="1"/>
  <c r="H3609" i="1"/>
  <c r="D3610" i="1"/>
  <c r="E3610" i="1"/>
  <c r="F3610" i="1"/>
  <c r="G3610" i="1"/>
  <c r="H3610" i="1"/>
  <c r="D3611" i="1"/>
  <c r="E3611" i="1"/>
  <c r="F3611" i="1"/>
  <c r="G3611" i="1"/>
  <c r="H3611" i="1"/>
  <c r="D3612" i="1"/>
  <c r="E3612" i="1"/>
  <c r="F3612" i="1"/>
  <c r="G3612" i="1"/>
  <c r="H3612" i="1"/>
  <c r="D3613" i="1"/>
  <c r="E3613" i="1"/>
  <c r="F3613" i="1"/>
  <c r="G3613" i="1"/>
  <c r="H3613" i="1"/>
  <c r="D3614" i="1"/>
  <c r="E3614" i="1"/>
  <c r="F3614" i="1"/>
  <c r="G3614" i="1"/>
  <c r="H3614" i="1"/>
  <c r="D3615" i="1"/>
  <c r="E3615" i="1"/>
  <c r="F3615" i="1"/>
  <c r="G3615" i="1"/>
  <c r="H3615" i="1"/>
  <c r="D3616" i="1"/>
  <c r="E3616" i="1"/>
  <c r="F3616" i="1"/>
  <c r="G3616" i="1"/>
  <c r="H3616" i="1"/>
  <c r="D3617" i="1"/>
  <c r="E3617" i="1"/>
  <c r="F3617" i="1"/>
  <c r="G3617" i="1"/>
  <c r="H3617" i="1"/>
  <c r="D3618" i="1"/>
  <c r="E3618" i="1"/>
  <c r="F3618" i="1"/>
  <c r="G3618" i="1"/>
  <c r="H3618" i="1"/>
  <c r="D3619" i="1"/>
  <c r="E3619" i="1"/>
  <c r="F3619" i="1"/>
  <c r="G3619" i="1"/>
  <c r="H3619" i="1"/>
  <c r="D3620" i="1"/>
  <c r="E3620" i="1"/>
  <c r="F3620" i="1"/>
  <c r="G3620" i="1"/>
  <c r="H3620" i="1"/>
  <c r="D3621" i="1"/>
  <c r="E3621" i="1"/>
  <c r="F3621" i="1"/>
  <c r="G3621" i="1"/>
  <c r="H3621" i="1"/>
  <c r="D3622" i="1"/>
  <c r="E3622" i="1"/>
  <c r="F3622" i="1"/>
  <c r="G3622" i="1"/>
  <c r="H3622" i="1"/>
  <c r="D3623" i="1"/>
  <c r="E3623" i="1"/>
  <c r="F3623" i="1"/>
  <c r="G3623" i="1"/>
  <c r="H3623" i="1"/>
  <c r="D3624" i="1"/>
  <c r="E3624" i="1"/>
  <c r="F3624" i="1"/>
  <c r="G3624" i="1"/>
  <c r="H3624" i="1"/>
  <c r="D3625" i="1"/>
  <c r="E3625" i="1"/>
  <c r="F3625" i="1"/>
  <c r="G3625" i="1"/>
  <c r="H3625" i="1"/>
  <c r="D3626" i="1"/>
  <c r="E3626" i="1"/>
  <c r="F3626" i="1"/>
  <c r="G3626" i="1"/>
  <c r="H3626" i="1"/>
  <c r="D3627" i="1"/>
  <c r="E3627" i="1"/>
  <c r="F3627" i="1"/>
  <c r="G3627" i="1"/>
  <c r="H3627" i="1"/>
  <c r="D3628" i="1"/>
  <c r="E3628" i="1"/>
  <c r="F3628" i="1"/>
  <c r="G3628" i="1"/>
  <c r="H3628" i="1"/>
  <c r="D3629" i="1"/>
  <c r="E3629" i="1"/>
  <c r="F3629" i="1"/>
  <c r="G3629" i="1"/>
  <c r="H3629" i="1"/>
  <c r="D3630" i="1"/>
  <c r="E3630" i="1"/>
  <c r="F3630" i="1"/>
  <c r="G3630" i="1"/>
  <c r="H3630" i="1"/>
  <c r="D3631" i="1"/>
  <c r="E3631" i="1"/>
  <c r="F3631" i="1"/>
  <c r="G3631" i="1"/>
  <c r="H3631" i="1"/>
  <c r="D3632" i="1"/>
  <c r="E3632" i="1"/>
  <c r="F3632" i="1"/>
  <c r="G3632" i="1"/>
  <c r="H3632" i="1"/>
  <c r="D3633" i="1"/>
  <c r="E3633" i="1"/>
  <c r="F3633" i="1"/>
  <c r="G3633" i="1"/>
  <c r="H3633" i="1"/>
  <c r="D3634" i="1"/>
  <c r="E3634" i="1"/>
  <c r="F3634" i="1"/>
  <c r="G3634" i="1"/>
  <c r="H3634" i="1"/>
  <c r="D3635" i="1"/>
  <c r="E3635" i="1"/>
  <c r="F3635" i="1"/>
  <c r="G3635" i="1"/>
  <c r="H3635" i="1"/>
  <c r="D3636" i="1"/>
  <c r="E3636" i="1"/>
  <c r="F3636" i="1"/>
  <c r="G3636" i="1"/>
  <c r="H3636" i="1"/>
  <c r="D3637" i="1"/>
  <c r="E3637" i="1"/>
  <c r="F3637" i="1"/>
  <c r="G3637" i="1"/>
  <c r="H3637" i="1"/>
  <c r="D3638" i="1"/>
  <c r="E3638" i="1"/>
  <c r="F3638" i="1"/>
  <c r="G3638" i="1"/>
  <c r="H3638" i="1"/>
  <c r="D3639" i="1"/>
  <c r="E3639" i="1"/>
  <c r="F3639" i="1"/>
  <c r="G3639" i="1"/>
  <c r="H3639" i="1"/>
  <c r="D3640" i="1"/>
  <c r="E3640" i="1"/>
  <c r="F3640" i="1"/>
  <c r="G3640" i="1"/>
  <c r="H3640" i="1"/>
  <c r="D3641" i="1"/>
  <c r="E3641" i="1"/>
  <c r="F3641" i="1"/>
  <c r="G3641" i="1"/>
  <c r="H3641" i="1"/>
  <c r="D3642" i="1"/>
  <c r="E3642" i="1"/>
  <c r="F3642" i="1"/>
  <c r="G3642" i="1"/>
  <c r="H3642" i="1"/>
  <c r="D3643" i="1"/>
  <c r="E3643" i="1"/>
  <c r="F3643" i="1"/>
  <c r="G3643" i="1"/>
  <c r="H3643" i="1"/>
  <c r="D3644" i="1"/>
  <c r="E3644" i="1"/>
  <c r="F3644" i="1"/>
  <c r="G3644" i="1"/>
  <c r="H3644" i="1"/>
  <c r="D3645" i="1"/>
  <c r="E3645" i="1"/>
  <c r="F3645" i="1"/>
  <c r="G3645" i="1"/>
  <c r="H3645" i="1"/>
  <c r="D3646" i="1"/>
  <c r="E3646" i="1"/>
  <c r="F3646" i="1"/>
  <c r="G3646" i="1"/>
  <c r="H3646" i="1"/>
  <c r="D3647" i="1"/>
  <c r="E3647" i="1"/>
  <c r="F3647" i="1"/>
  <c r="G3647" i="1"/>
  <c r="H3647" i="1"/>
  <c r="D3648" i="1"/>
  <c r="E3648" i="1"/>
  <c r="F3648" i="1"/>
  <c r="G3648" i="1"/>
  <c r="H3648" i="1"/>
  <c r="D3649" i="1"/>
  <c r="E3649" i="1"/>
  <c r="F3649" i="1"/>
  <c r="G3649" i="1"/>
  <c r="H3649" i="1"/>
  <c r="D3650" i="1"/>
  <c r="E3650" i="1"/>
  <c r="F3650" i="1"/>
  <c r="G3650" i="1"/>
  <c r="H3650" i="1"/>
  <c r="D3651" i="1"/>
  <c r="E3651" i="1"/>
  <c r="F3651" i="1"/>
  <c r="G3651" i="1"/>
  <c r="H3651" i="1"/>
  <c r="D3652" i="1"/>
  <c r="E3652" i="1"/>
  <c r="F3652" i="1"/>
  <c r="G3652" i="1"/>
  <c r="H3652" i="1"/>
  <c r="D3653" i="1"/>
  <c r="E3653" i="1"/>
  <c r="F3653" i="1"/>
  <c r="G3653" i="1"/>
  <c r="H3653" i="1"/>
  <c r="D3654" i="1"/>
  <c r="E3654" i="1"/>
  <c r="F3654" i="1"/>
  <c r="G3654" i="1"/>
  <c r="H3654" i="1"/>
  <c r="D3655" i="1"/>
  <c r="E3655" i="1"/>
  <c r="F3655" i="1"/>
  <c r="G3655" i="1"/>
  <c r="H3655" i="1"/>
  <c r="D3656" i="1"/>
  <c r="E3656" i="1"/>
  <c r="F3656" i="1"/>
  <c r="G3656" i="1"/>
  <c r="H3656" i="1"/>
  <c r="D3657" i="1"/>
  <c r="E3657" i="1"/>
  <c r="F3657" i="1"/>
  <c r="G3657" i="1"/>
  <c r="H3657" i="1"/>
  <c r="D3658" i="1"/>
  <c r="E3658" i="1"/>
  <c r="F3658" i="1"/>
  <c r="G3658" i="1"/>
  <c r="H3658" i="1"/>
  <c r="D3659" i="1"/>
  <c r="E3659" i="1"/>
  <c r="F3659" i="1"/>
  <c r="G3659" i="1"/>
  <c r="H3659" i="1"/>
  <c r="D3660" i="1"/>
  <c r="E3660" i="1"/>
  <c r="F3660" i="1"/>
  <c r="G3660" i="1"/>
  <c r="H3660" i="1"/>
  <c r="D3661" i="1"/>
  <c r="E3661" i="1"/>
  <c r="F3661" i="1"/>
  <c r="G3661" i="1"/>
  <c r="H3661" i="1"/>
  <c r="D3662" i="1"/>
  <c r="E3662" i="1"/>
  <c r="F3662" i="1"/>
  <c r="G3662" i="1"/>
  <c r="H3662" i="1"/>
  <c r="D3663" i="1"/>
  <c r="E3663" i="1"/>
  <c r="F3663" i="1"/>
  <c r="G3663" i="1"/>
  <c r="H3663" i="1"/>
  <c r="D3664" i="1"/>
  <c r="E3664" i="1"/>
  <c r="F3664" i="1"/>
  <c r="G3664" i="1"/>
  <c r="H3664" i="1"/>
  <c r="D3665" i="1"/>
  <c r="E3665" i="1"/>
  <c r="F3665" i="1"/>
  <c r="G3665" i="1"/>
  <c r="H3665" i="1"/>
  <c r="D3666" i="1"/>
  <c r="E3666" i="1"/>
  <c r="F3666" i="1"/>
  <c r="G3666" i="1"/>
  <c r="H3666" i="1"/>
  <c r="D3667" i="1"/>
  <c r="E3667" i="1"/>
  <c r="F3667" i="1"/>
  <c r="G3667" i="1"/>
  <c r="H3667" i="1"/>
  <c r="D3668" i="1"/>
  <c r="E3668" i="1"/>
  <c r="F3668" i="1"/>
  <c r="G3668" i="1"/>
  <c r="H3668" i="1"/>
  <c r="D3669" i="1"/>
  <c r="E3669" i="1"/>
  <c r="F3669" i="1"/>
  <c r="G3669" i="1"/>
  <c r="H3669" i="1"/>
  <c r="D3670" i="1"/>
  <c r="E3670" i="1"/>
  <c r="F3670" i="1"/>
  <c r="G3670" i="1"/>
  <c r="H3670" i="1"/>
  <c r="D3671" i="1"/>
  <c r="E3671" i="1"/>
  <c r="F3671" i="1"/>
  <c r="G3671" i="1"/>
  <c r="H3671" i="1"/>
  <c r="D3672" i="1"/>
  <c r="E3672" i="1"/>
  <c r="F3672" i="1"/>
  <c r="G3672" i="1"/>
  <c r="H3672" i="1"/>
  <c r="D3673" i="1"/>
  <c r="E3673" i="1"/>
  <c r="F3673" i="1"/>
  <c r="G3673" i="1"/>
  <c r="H3673" i="1"/>
  <c r="D3674" i="1"/>
  <c r="E3674" i="1"/>
  <c r="F3674" i="1"/>
  <c r="G3674" i="1"/>
  <c r="H3674" i="1"/>
  <c r="D3675" i="1"/>
  <c r="E3675" i="1"/>
  <c r="F3675" i="1"/>
  <c r="G3675" i="1"/>
  <c r="H3675" i="1"/>
  <c r="D3676" i="1"/>
  <c r="E3676" i="1"/>
  <c r="F3676" i="1"/>
  <c r="G3676" i="1"/>
  <c r="H3676" i="1"/>
  <c r="D3677" i="1"/>
  <c r="E3677" i="1"/>
  <c r="F3677" i="1"/>
  <c r="G3677" i="1"/>
  <c r="H3677" i="1"/>
  <c r="D3678" i="1"/>
  <c r="E3678" i="1"/>
  <c r="F3678" i="1"/>
  <c r="G3678" i="1"/>
  <c r="H3678" i="1"/>
  <c r="D3679" i="1"/>
  <c r="E3679" i="1"/>
  <c r="F3679" i="1"/>
  <c r="G3679" i="1"/>
  <c r="H3679" i="1"/>
  <c r="D3680" i="1"/>
  <c r="E3680" i="1"/>
  <c r="F3680" i="1"/>
  <c r="G3680" i="1"/>
  <c r="H3680" i="1"/>
  <c r="D3681" i="1"/>
  <c r="E3681" i="1"/>
  <c r="F3681" i="1"/>
  <c r="G3681" i="1"/>
  <c r="H3681" i="1"/>
  <c r="D3682" i="1"/>
  <c r="E3682" i="1"/>
  <c r="F3682" i="1"/>
  <c r="G3682" i="1"/>
  <c r="H3682" i="1"/>
  <c r="D3683" i="1"/>
  <c r="E3683" i="1"/>
  <c r="F3683" i="1"/>
  <c r="G3683" i="1"/>
  <c r="H3683" i="1"/>
  <c r="D3684" i="1"/>
  <c r="E3684" i="1"/>
  <c r="F3684" i="1"/>
  <c r="G3684" i="1"/>
  <c r="H3684" i="1"/>
  <c r="D3685" i="1"/>
  <c r="E3685" i="1"/>
  <c r="F3685" i="1"/>
  <c r="G3685" i="1"/>
  <c r="H3685" i="1"/>
  <c r="D3686" i="1"/>
  <c r="E3686" i="1"/>
  <c r="F3686" i="1"/>
  <c r="G3686" i="1"/>
  <c r="H3686" i="1"/>
  <c r="D3687" i="1"/>
  <c r="E3687" i="1"/>
  <c r="F3687" i="1"/>
  <c r="G3687" i="1"/>
  <c r="H3687" i="1"/>
  <c r="D3688" i="1"/>
  <c r="E3688" i="1"/>
  <c r="F3688" i="1"/>
  <c r="G3688" i="1"/>
  <c r="H3688" i="1"/>
  <c r="D3689" i="1"/>
  <c r="E3689" i="1"/>
  <c r="F3689" i="1"/>
  <c r="G3689" i="1"/>
  <c r="H3689" i="1"/>
  <c r="D3690" i="1"/>
  <c r="E3690" i="1"/>
  <c r="F3690" i="1"/>
  <c r="G3690" i="1"/>
  <c r="H3690" i="1"/>
  <c r="D3691" i="1"/>
  <c r="E3691" i="1"/>
  <c r="F3691" i="1"/>
  <c r="G3691" i="1"/>
  <c r="H3691" i="1"/>
  <c r="D3692" i="1"/>
  <c r="E3692" i="1"/>
  <c r="F3692" i="1"/>
  <c r="G3692" i="1"/>
  <c r="H3692" i="1"/>
  <c r="D3693" i="1"/>
  <c r="E3693" i="1"/>
  <c r="F3693" i="1"/>
  <c r="G3693" i="1"/>
  <c r="H3693" i="1"/>
  <c r="D3694" i="1"/>
  <c r="E3694" i="1"/>
  <c r="F3694" i="1"/>
  <c r="G3694" i="1"/>
  <c r="H3694" i="1"/>
  <c r="D3695" i="1"/>
  <c r="E3695" i="1"/>
  <c r="F3695" i="1"/>
  <c r="G3695" i="1"/>
  <c r="H3695" i="1"/>
  <c r="D3696" i="1"/>
  <c r="E3696" i="1"/>
  <c r="F3696" i="1"/>
  <c r="G3696" i="1"/>
  <c r="H3696" i="1"/>
  <c r="D3697" i="1"/>
  <c r="E3697" i="1"/>
  <c r="F3697" i="1"/>
  <c r="G3697" i="1"/>
  <c r="H3697" i="1"/>
  <c r="D3698" i="1"/>
  <c r="E3698" i="1"/>
  <c r="F3698" i="1"/>
  <c r="G3698" i="1"/>
  <c r="H3698" i="1"/>
  <c r="D3699" i="1"/>
  <c r="E3699" i="1"/>
  <c r="F3699" i="1"/>
  <c r="G3699" i="1"/>
  <c r="H3699" i="1"/>
  <c r="D3700" i="1"/>
  <c r="E3700" i="1"/>
  <c r="F3700" i="1"/>
  <c r="G3700" i="1"/>
  <c r="H3700" i="1"/>
  <c r="D3701" i="1"/>
  <c r="E3701" i="1"/>
  <c r="F3701" i="1"/>
  <c r="G3701" i="1"/>
  <c r="H3701" i="1"/>
  <c r="D3702" i="1"/>
  <c r="E3702" i="1"/>
  <c r="F3702" i="1"/>
  <c r="G3702" i="1"/>
  <c r="H3702" i="1"/>
  <c r="D3703" i="1"/>
  <c r="E3703" i="1"/>
  <c r="F3703" i="1"/>
  <c r="G3703" i="1"/>
  <c r="H3703" i="1"/>
  <c r="D3704" i="1"/>
  <c r="E3704" i="1"/>
  <c r="F3704" i="1"/>
  <c r="G3704" i="1"/>
  <c r="H3704" i="1"/>
  <c r="D3705" i="1"/>
  <c r="E3705" i="1"/>
  <c r="F3705" i="1"/>
  <c r="G3705" i="1"/>
  <c r="H3705" i="1"/>
  <c r="D3706" i="1"/>
  <c r="E3706" i="1"/>
  <c r="F3706" i="1"/>
  <c r="G3706" i="1"/>
  <c r="H3706" i="1"/>
  <c r="D3707" i="1"/>
  <c r="E3707" i="1"/>
  <c r="F3707" i="1"/>
  <c r="G3707" i="1"/>
  <c r="H3707" i="1"/>
  <c r="D3708" i="1"/>
  <c r="E3708" i="1"/>
  <c r="F3708" i="1"/>
  <c r="G3708" i="1"/>
  <c r="H3708" i="1"/>
  <c r="D3709" i="1"/>
  <c r="E3709" i="1"/>
  <c r="F3709" i="1"/>
  <c r="G3709" i="1"/>
  <c r="H3709" i="1"/>
  <c r="D3710" i="1"/>
  <c r="E3710" i="1"/>
  <c r="F3710" i="1"/>
  <c r="G3710" i="1"/>
  <c r="H3710" i="1"/>
  <c r="D3711" i="1"/>
  <c r="E3711" i="1"/>
  <c r="F3711" i="1"/>
  <c r="G3711" i="1"/>
  <c r="H3711" i="1"/>
  <c r="D3712" i="1"/>
  <c r="E3712" i="1"/>
  <c r="F3712" i="1"/>
  <c r="G3712" i="1"/>
  <c r="H3712" i="1"/>
  <c r="D3713" i="1"/>
  <c r="E3713" i="1"/>
  <c r="F3713" i="1"/>
  <c r="G3713" i="1"/>
  <c r="H3713" i="1"/>
  <c r="D3714" i="1"/>
  <c r="E3714" i="1"/>
  <c r="F3714" i="1"/>
  <c r="G3714" i="1"/>
  <c r="H3714" i="1"/>
  <c r="D3715" i="1"/>
  <c r="E3715" i="1"/>
  <c r="F3715" i="1"/>
  <c r="G3715" i="1"/>
  <c r="H3715" i="1"/>
  <c r="D3716" i="1"/>
  <c r="E3716" i="1"/>
  <c r="F3716" i="1"/>
  <c r="G3716" i="1"/>
  <c r="H3716" i="1"/>
  <c r="D3717" i="1"/>
  <c r="E3717" i="1"/>
  <c r="F3717" i="1"/>
  <c r="G3717" i="1"/>
  <c r="H3717" i="1"/>
  <c r="D3718" i="1"/>
  <c r="E3718" i="1"/>
  <c r="F3718" i="1"/>
  <c r="G3718" i="1"/>
  <c r="H3718" i="1"/>
  <c r="D3719" i="1"/>
  <c r="E3719" i="1"/>
  <c r="F3719" i="1"/>
  <c r="G3719" i="1"/>
  <c r="H3719" i="1"/>
  <c r="D3720" i="1"/>
  <c r="E3720" i="1"/>
  <c r="F3720" i="1"/>
  <c r="G3720" i="1"/>
  <c r="H3720" i="1"/>
  <c r="D3721" i="1"/>
  <c r="E3721" i="1"/>
  <c r="F3721" i="1"/>
  <c r="G3721" i="1"/>
  <c r="H3721" i="1"/>
  <c r="D3722" i="1"/>
  <c r="E3722" i="1"/>
  <c r="F3722" i="1"/>
  <c r="G3722" i="1"/>
  <c r="H3722" i="1"/>
  <c r="D3723" i="1"/>
  <c r="E3723" i="1"/>
  <c r="F3723" i="1"/>
  <c r="G3723" i="1"/>
  <c r="H3723" i="1"/>
  <c r="D3724" i="1"/>
  <c r="E3724" i="1"/>
  <c r="F3724" i="1"/>
  <c r="G3724" i="1"/>
  <c r="H3724" i="1"/>
  <c r="D3725" i="1"/>
  <c r="E3725" i="1"/>
  <c r="F3725" i="1"/>
  <c r="G3725" i="1"/>
  <c r="H3725" i="1"/>
  <c r="D3726" i="1"/>
  <c r="E3726" i="1"/>
  <c r="F3726" i="1"/>
  <c r="G3726" i="1"/>
  <c r="H3726" i="1"/>
  <c r="D3727" i="1"/>
  <c r="E3727" i="1"/>
  <c r="F3727" i="1"/>
  <c r="G3727" i="1"/>
  <c r="H3727" i="1"/>
  <c r="D3728" i="1"/>
  <c r="E3728" i="1"/>
  <c r="F3728" i="1"/>
  <c r="G3728" i="1"/>
  <c r="H3728" i="1"/>
  <c r="D3729" i="1"/>
  <c r="E3729" i="1"/>
  <c r="F3729" i="1"/>
  <c r="G3729" i="1"/>
  <c r="H3729" i="1"/>
  <c r="D3730" i="1"/>
  <c r="E3730" i="1"/>
  <c r="F3730" i="1"/>
  <c r="G3730" i="1"/>
  <c r="H3730" i="1"/>
  <c r="D3731" i="1"/>
  <c r="E3731" i="1"/>
  <c r="F3731" i="1"/>
  <c r="G3731" i="1"/>
  <c r="H3731" i="1"/>
  <c r="D3732" i="1"/>
  <c r="E3732" i="1"/>
  <c r="F3732" i="1"/>
  <c r="G3732" i="1"/>
  <c r="H3732" i="1"/>
  <c r="D3733" i="1"/>
  <c r="E3733" i="1"/>
  <c r="F3733" i="1"/>
  <c r="G3733" i="1"/>
  <c r="H3733" i="1"/>
  <c r="D3734" i="1"/>
  <c r="E3734" i="1"/>
  <c r="F3734" i="1"/>
  <c r="G3734" i="1"/>
  <c r="H3734" i="1"/>
  <c r="D3735" i="1"/>
  <c r="E3735" i="1"/>
  <c r="F3735" i="1"/>
  <c r="G3735" i="1"/>
  <c r="H3735" i="1"/>
  <c r="D3736" i="1"/>
  <c r="E3736" i="1"/>
  <c r="F3736" i="1"/>
  <c r="G3736" i="1"/>
  <c r="H3736" i="1"/>
  <c r="D3737" i="1"/>
  <c r="E3737" i="1"/>
  <c r="F3737" i="1"/>
  <c r="G3737" i="1"/>
  <c r="H3737" i="1"/>
  <c r="D3738" i="1"/>
  <c r="E3738" i="1"/>
  <c r="F3738" i="1"/>
  <c r="G3738" i="1"/>
  <c r="H3738" i="1"/>
  <c r="D3739" i="1"/>
  <c r="E3739" i="1"/>
  <c r="F3739" i="1"/>
  <c r="G3739" i="1"/>
  <c r="H3739" i="1"/>
  <c r="D3740" i="1"/>
  <c r="E3740" i="1"/>
  <c r="F3740" i="1"/>
  <c r="G3740" i="1"/>
  <c r="H3740" i="1"/>
  <c r="D3741" i="1"/>
  <c r="E3741" i="1"/>
  <c r="F3741" i="1"/>
  <c r="G3741" i="1"/>
  <c r="H3741" i="1"/>
  <c r="D3742" i="1"/>
  <c r="E3742" i="1"/>
  <c r="F3742" i="1"/>
  <c r="G3742" i="1"/>
  <c r="H3742" i="1"/>
  <c r="D3743" i="1"/>
  <c r="E3743" i="1"/>
  <c r="F3743" i="1"/>
  <c r="G3743" i="1"/>
  <c r="H3743" i="1"/>
  <c r="D3744" i="1"/>
  <c r="E3744" i="1"/>
  <c r="F3744" i="1"/>
  <c r="G3744" i="1"/>
  <c r="H3744" i="1"/>
  <c r="D3745" i="1"/>
  <c r="E3745" i="1"/>
  <c r="F3745" i="1"/>
  <c r="G3745" i="1"/>
  <c r="H3745" i="1"/>
  <c r="D3746" i="1"/>
  <c r="E3746" i="1"/>
  <c r="F3746" i="1"/>
  <c r="G3746" i="1"/>
  <c r="H3746" i="1"/>
  <c r="D3747" i="1"/>
  <c r="E3747" i="1"/>
  <c r="F3747" i="1"/>
  <c r="G3747" i="1"/>
  <c r="H3747" i="1"/>
  <c r="D3748" i="1"/>
  <c r="E3748" i="1"/>
  <c r="F3748" i="1"/>
  <c r="G3748" i="1"/>
  <c r="H3748" i="1"/>
  <c r="D3749" i="1"/>
  <c r="E3749" i="1"/>
  <c r="F3749" i="1"/>
  <c r="G3749" i="1"/>
  <c r="H3749" i="1"/>
  <c r="D3750" i="1"/>
  <c r="E3750" i="1"/>
  <c r="F3750" i="1"/>
  <c r="G3750" i="1"/>
  <c r="H3750" i="1"/>
  <c r="D3751" i="1"/>
  <c r="E3751" i="1"/>
  <c r="F3751" i="1"/>
  <c r="G3751" i="1"/>
  <c r="H3751" i="1"/>
  <c r="D3752" i="1"/>
  <c r="E3752" i="1"/>
  <c r="F3752" i="1"/>
  <c r="G3752" i="1"/>
  <c r="H3752" i="1"/>
  <c r="D3753" i="1"/>
  <c r="E3753" i="1"/>
  <c r="F3753" i="1"/>
  <c r="G3753" i="1"/>
  <c r="H3753" i="1"/>
  <c r="D3754" i="1"/>
  <c r="E3754" i="1"/>
  <c r="F3754" i="1"/>
  <c r="G3754" i="1"/>
  <c r="H3754" i="1"/>
  <c r="D3755" i="1"/>
  <c r="E3755" i="1"/>
  <c r="F3755" i="1"/>
  <c r="G3755" i="1"/>
  <c r="H3755" i="1"/>
  <c r="D3756" i="1"/>
  <c r="E3756" i="1"/>
  <c r="F3756" i="1"/>
  <c r="G3756" i="1"/>
  <c r="H3756" i="1"/>
  <c r="D3757" i="1"/>
  <c r="E3757" i="1"/>
  <c r="F3757" i="1"/>
  <c r="G3757" i="1"/>
  <c r="H3757" i="1"/>
  <c r="D3758" i="1"/>
  <c r="E3758" i="1"/>
  <c r="F3758" i="1"/>
  <c r="G3758" i="1"/>
  <c r="H3758" i="1"/>
  <c r="D3759" i="1"/>
  <c r="E3759" i="1"/>
  <c r="F3759" i="1"/>
  <c r="G3759" i="1"/>
  <c r="H3759" i="1"/>
  <c r="D3760" i="1"/>
  <c r="E3760" i="1"/>
  <c r="F3760" i="1"/>
  <c r="G3760" i="1"/>
  <c r="H3760" i="1"/>
  <c r="D3761" i="1"/>
  <c r="E3761" i="1"/>
  <c r="F3761" i="1"/>
  <c r="G3761" i="1"/>
  <c r="H3761" i="1"/>
  <c r="D3762" i="1"/>
  <c r="E3762" i="1"/>
  <c r="F3762" i="1"/>
  <c r="G3762" i="1"/>
  <c r="H3762" i="1"/>
  <c r="D3763" i="1"/>
  <c r="E3763" i="1"/>
  <c r="F3763" i="1"/>
  <c r="G3763" i="1"/>
  <c r="H3763" i="1"/>
  <c r="D3764" i="1"/>
  <c r="E3764" i="1"/>
  <c r="F3764" i="1"/>
  <c r="G3764" i="1"/>
  <c r="H3764" i="1"/>
  <c r="D3765" i="1"/>
  <c r="E3765" i="1"/>
  <c r="F3765" i="1"/>
  <c r="G3765" i="1"/>
  <c r="H3765" i="1"/>
  <c r="D3766" i="1"/>
  <c r="E3766" i="1"/>
  <c r="F3766" i="1"/>
  <c r="G3766" i="1"/>
  <c r="H3766" i="1"/>
  <c r="D3767" i="1"/>
  <c r="E3767" i="1"/>
  <c r="F3767" i="1"/>
  <c r="G3767" i="1"/>
  <c r="H3767" i="1"/>
  <c r="D3768" i="1"/>
  <c r="E3768" i="1"/>
  <c r="F3768" i="1"/>
  <c r="G3768" i="1"/>
  <c r="H3768" i="1"/>
  <c r="D3769" i="1"/>
  <c r="E3769" i="1"/>
  <c r="F3769" i="1"/>
  <c r="G3769" i="1"/>
  <c r="H3769" i="1"/>
  <c r="D3770" i="1"/>
  <c r="E3770" i="1"/>
  <c r="F3770" i="1"/>
  <c r="G3770" i="1"/>
  <c r="H3770" i="1"/>
  <c r="D3771" i="1"/>
  <c r="E3771" i="1"/>
  <c r="F3771" i="1"/>
  <c r="G3771" i="1"/>
  <c r="H3771" i="1"/>
  <c r="D3772" i="1"/>
  <c r="E3772" i="1"/>
  <c r="F3772" i="1"/>
  <c r="G3772" i="1"/>
  <c r="H3772" i="1"/>
  <c r="D3773" i="1"/>
  <c r="E3773" i="1"/>
  <c r="F3773" i="1"/>
  <c r="G3773" i="1"/>
  <c r="H3773" i="1"/>
  <c r="D3774" i="1"/>
  <c r="E3774" i="1"/>
  <c r="F3774" i="1"/>
  <c r="G3774" i="1"/>
  <c r="H3774" i="1"/>
  <c r="D3775" i="1"/>
  <c r="E3775" i="1"/>
  <c r="F3775" i="1"/>
  <c r="G3775" i="1"/>
  <c r="H3775" i="1"/>
  <c r="D3776" i="1"/>
  <c r="E3776" i="1"/>
  <c r="F3776" i="1"/>
  <c r="G3776" i="1"/>
  <c r="H3776" i="1"/>
  <c r="D3777" i="1"/>
  <c r="E3777" i="1"/>
  <c r="F3777" i="1"/>
  <c r="G3777" i="1"/>
  <c r="H3777" i="1"/>
  <c r="D3778" i="1"/>
  <c r="E3778" i="1"/>
  <c r="F3778" i="1"/>
  <c r="G3778" i="1"/>
  <c r="H3778" i="1"/>
  <c r="D3779" i="1"/>
  <c r="E3779" i="1"/>
  <c r="F3779" i="1"/>
  <c r="G3779" i="1"/>
  <c r="H3779" i="1"/>
  <c r="D3780" i="1"/>
  <c r="E3780" i="1"/>
  <c r="F3780" i="1"/>
  <c r="G3780" i="1"/>
  <c r="H3780" i="1"/>
  <c r="D3781" i="1"/>
  <c r="E3781" i="1"/>
  <c r="F3781" i="1"/>
  <c r="G3781" i="1"/>
  <c r="H3781" i="1"/>
  <c r="D3782" i="1"/>
  <c r="E3782" i="1"/>
  <c r="F3782" i="1"/>
  <c r="G3782" i="1"/>
  <c r="H3782" i="1"/>
  <c r="D3783" i="1"/>
  <c r="E3783" i="1"/>
  <c r="F3783" i="1"/>
  <c r="G3783" i="1"/>
  <c r="H3783" i="1"/>
  <c r="D3784" i="1"/>
  <c r="E3784" i="1"/>
  <c r="F3784" i="1"/>
  <c r="G3784" i="1"/>
  <c r="H3784" i="1"/>
  <c r="D3785" i="1"/>
  <c r="E3785" i="1"/>
  <c r="F3785" i="1"/>
  <c r="G3785" i="1"/>
  <c r="H3785" i="1"/>
  <c r="D3786" i="1"/>
  <c r="E3786" i="1"/>
  <c r="F3786" i="1"/>
  <c r="G3786" i="1"/>
  <c r="H3786" i="1"/>
  <c r="D3787" i="1"/>
  <c r="E3787" i="1"/>
  <c r="F3787" i="1"/>
  <c r="G3787" i="1"/>
  <c r="H3787" i="1"/>
  <c r="D3788" i="1"/>
  <c r="E3788" i="1"/>
  <c r="F3788" i="1"/>
  <c r="G3788" i="1"/>
  <c r="H3788" i="1"/>
  <c r="D3789" i="1"/>
  <c r="E3789" i="1"/>
  <c r="F3789" i="1"/>
  <c r="G3789" i="1"/>
  <c r="H3789" i="1"/>
  <c r="D3790" i="1"/>
  <c r="E3790" i="1"/>
  <c r="F3790" i="1"/>
  <c r="G3790" i="1"/>
  <c r="H3790" i="1"/>
  <c r="D3791" i="1"/>
  <c r="E3791" i="1"/>
  <c r="F3791" i="1"/>
  <c r="G3791" i="1"/>
  <c r="H3791" i="1"/>
  <c r="D3792" i="1"/>
  <c r="E3792" i="1"/>
  <c r="F3792" i="1"/>
  <c r="G3792" i="1"/>
  <c r="H3792" i="1"/>
  <c r="D3793" i="1"/>
  <c r="E3793" i="1"/>
  <c r="F3793" i="1"/>
  <c r="G3793" i="1"/>
  <c r="H3793" i="1"/>
  <c r="D3794" i="1"/>
  <c r="E3794" i="1"/>
  <c r="F3794" i="1"/>
  <c r="G3794" i="1"/>
  <c r="H3794" i="1"/>
  <c r="D3795" i="1"/>
  <c r="E3795" i="1"/>
  <c r="F3795" i="1"/>
  <c r="G3795" i="1"/>
  <c r="H3795" i="1"/>
  <c r="D3796" i="1"/>
  <c r="E3796" i="1"/>
  <c r="F3796" i="1"/>
  <c r="G3796" i="1"/>
  <c r="H3796" i="1"/>
  <c r="D3797" i="1"/>
  <c r="E3797" i="1"/>
  <c r="F3797" i="1"/>
  <c r="G3797" i="1"/>
  <c r="H3797" i="1"/>
  <c r="D3798" i="1"/>
  <c r="E3798" i="1"/>
  <c r="F3798" i="1"/>
  <c r="G3798" i="1"/>
  <c r="H3798" i="1"/>
  <c r="D3799" i="1"/>
  <c r="E3799" i="1"/>
  <c r="F3799" i="1"/>
  <c r="G3799" i="1"/>
  <c r="H3799" i="1"/>
  <c r="D3800" i="1"/>
  <c r="E3800" i="1"/>
  <c r="F3800" i="1"/>
  <c r="G3800" i="1"/>
  <c r="H3800" i="1"/>
  <c r="D3801" i="1"/>
  <c r="E3801" i="1"/>
  <c r="F3801" i="1"/>
  <c r="G3801" i="1"/>
  <c r="H3801" i="1"/>
  <c r="D3802" i="1"/>
  <c r="E3802" i="1"/>
  <c r="F3802" i="1"/>
  <c r="G3802" i="1"/>
  <c r="H3802" i="1"/>
  <c r="D3803" i="1"/>
  <c r="E3803" i="1"/>
  <c r="F3803" i="1"/>
  <c r="G3803" i="1"/>
  <c r="H3803" i="1"/>
  <c r="D3804" i="1"/>
  <c r="E3804" i="1"/>
  <c r="F3804" i="1"/>
  <c r="G3804" i="1"/>
  <c r="H3804" i="1"/>
  <c r="D3805" i="1"/>
  <c r="E3805" i="1"/>
  <c r="F3805" i="1"/>
  <c r="G3805" i="1"/>
  <c r="H3805" i="1"/>
  <c r="D3806" i="1"/>
  <c r="E3806" i="1"/>
  <c r="F3806" i="1"/>
  <c r="G3806" i="1"/>
  <c r="H3806" i="1"/>
  <c r="D3807" i="1"/>
  <c r="E3807" i="1"/>
  <c r="F3807" i="1"/>
  <c r="G3807" i="1"/>
  <c r="H3807" i="1"/>
  <c r="D3808" i="1"/>
  <c r="E3808" i="1"/>
  <c r="F3808" i="1"/>
  <c r="G3808" i="1"/>
  <c r="H3808" i="1"/>
  <c r="D3809" i="1"/>
  <c r="E3809" i="1"/>
  <c r="F3809" i="1"/>
  <c r="G3809" i="1"/>
  <c r="H3809" i="1"/>
  <c r="D3810" i="1"/>
  <c r="E3810" i="1"/>
  <c r="F3810" i="1"/>
  <c r="G3810" i="1"/>
  <c r="H3810" i="1"/>
  <c r="D3811" i="1"/>
  <c r="E3811" i="1"/>
  <c r="F3811" i="1"/>
  <c r="G3811" i="1"/>
  <c r="H3811" i="1"/>
  <c r="D3812" i="1"/>
  <c r="E3812" i="1"/>
  <c r="F3812" i="1"/>
  <c r="G3812" i="1"/>
  <c r="H3812" i="1"/>
  <c r="D3813" i="1"/>
  <c r="E3813" i="1"/>
  <c r="F3813" i="1"/>
  <c r="G3813" i="1"/>
  <c r="H3813" i="1"/>
  <c r="D3814" i="1"/>
  <c r="E3814" i="1"/>
  <c r="F3814" i="1"/>
  <c r="G3814" i="1"/>
  <c r="H3814" i="1"/>
  <c r="D3815" i="1"/>
  <c r="E3815" i="1"/>
  <c r="F3815" i="1"/>
  <c r="G3815" i="1"/>
  <c r="H3815" i="1"/>
  <c r="D3816" i="1"/>
  <c r="E3816" i="1"/>
  <c r="F3816" i="1"/>
  <c r="G3816" i="1"/>
  <c r="H3816" i="1"/>
  <c r="D3817" i="1"/>
  <c r="E3817" i="1"/>
  <c r="F3817" i="1"/>
  <c r="G3817" i="1"/>
  <c r="H3817" i="1"/>
  <c r="D3818" i="1"/>
  <c r="E3818" i="1"/>
  <c r="F3818" i="1"/>
  <c r="G3818" i="1"/>
  <c r="H3818" i="1"/>
  <c r="D3819" i="1"/>
  <c r="E3819" i="1"/>
  <c r="F3819" i="1"/>
  <c r="G3819" i="1"/>
  <c r="H3819" i="1"/>
  <c r="D3820" i="1"/>
  <c r="E3820" i="1"/>
  <c r="F3820" i="1"/>
  <c r="G3820" i="1"/>
  <c r="H3820" i="1"/>
  <c r="D3821" i="1"/>
  <c r="E3821" i="1"/>
  <c r="F3821" i="1"/>
  <c r="G3821" i="1"/>
  <c r="H3821" i="1"/>
  <c r="D3822" i="1"/>
  <c r="E3822" i="1"/>
  <c r="F3822" i="1"/>
  <c r="G3822" i="1"/>
  <c r="H3822" i="1"/>
  <c r="D3823" i="1"/>
  <c r="E3823" i="1"/>
  <c r="F3823" i="1"/>
  <c r="G3823" i="1"/>
  <c r="H3823" i="1"/>
  <c r="D3824" i="1"/>
  <c r="E3824" i="1"/>
  <c r="F3824" i="1"/>
  <c r="G3824" i="1"/>
  <c r="H3824" i="1"/>
  <c r="D3825" i="1"/>
  <c r="E3825" i="1"/>
  <c r="F3825" i="1"/>
  <c r="G3825" i="1"/>
  <c r="H3825" i="1"/>
  <c r="D3826" i="1"/>
  <c r="E3826" i="1"/>
  <c r="F3826" i="1"/>
  <c r="G3826" i="1"/>
  <c r="H3826" i="1"/>
  <c r="D3827" i="1"/>
  <c r="E3827" i="1"/>
  <c r="F3827" i="1"/>
  <c r="G3827" i="1"/>
  <c r="H3827" i="1"/>
  <c r="D3828" i="1"/>
  <c r="E3828" i="1"/>
  <c r="F3828" i="1"/>
  <c r="G3828" i="1"/>
  <c r="H3828" i="1"/>
  <c r="D3829" i="1"/>
  <c r="E3829" i="1"/>
  <c r="F3829" i="1"/>
  <c r="G3829" i="1"/>
  <c r="H3829" i="1"/>
  <c r="D3830" i="1"/>
  <c r="E3830" i="1"/>
  <c r="F3830" i="1"/>
  <c r="G3830" i="1"/>
  <c r="H3830" i="1"/>
  <c r="D3831" i="1"/>
  <c r="E3831" i="1"/>
  <c r="F3831" i="1"/>
  <c r="G3831" i="1"/>
  <c r="H3831" i="1"/>
  <c r="D3832" i="1"/>
  <c r="E3832" i="1"/>
  <c r="F3832" i="1"/>
  <c r="G3832" i="1"/>
  <c r="H3832" i="1"/>
  <c r="D3833" i="1"/>
  <c r="E3833" i="1"/>
  <c r="F3833" i="1"/>
  <c r="G3833" i="1"/>
  <c r="H3833" i="1"/>
  <c r="D3834" i="1"/>
  <c r="E3834" i="1"/>
  <c r="F3834" i="1"/>
  <c r="G3834" i="1"/>
  <c r="H3834" i="1"/>
  <c r="D3835" i="1"/>
  <c r="E3835" i="1"/>
  <c r="F3835" i="1"/>
  <c r="G3835" i="1"/>
  <c r="H3835" i="1"/>
  <c r="D3836" i="1"/>
  <c r="E3836" i="1"/>
  <c r="F3836" i="1"/>
  <c r="G3836" i="1"/>
  <c r="H3836" i="1"/>
  <c r="D3837" i="1"/>
  <c r="E3837" i="1"/>
  <c r="F3837" i="1"/>
  <c r="G3837" i="1"/>
  <c r="H3837" i="1"/>
  <c r="D3838" i="1"/>
  <c r="E3838" i="1"/>
  <c r="F3838" i="1"/>
  <c r="G3838" i="1"/>
  <c r="H3838" i="1"/>
  <c r="D3839" i="1"/>
  <c r="E3839" i="1"/>
  <c r="F3839" i="1"/>
  <c r="G3839" i="1"/>
  <c r="H3839" i="1"/>
  <c r="D3840" i="1"/>
  <c r="E3840" i="1"/>
  <c r="F3840" i="1"/>
  <c r="G3840" i="1"/>
  <c r="H3840" i="1"/>
  <c r="D3841" i="1"/>
  <c r="E3841" i="1"/>
  <c r="F3841" i="1"/>
  <c r="G3841" i="1"/>
  <c r="H3841" i="1"/>
  <c r="D3842" i="1"/>
  <c r="E3842" i="1"/>
  <c r="F3842" i="1"/>
  <c r="G3842" i="1"/>
  <c r="H3842" i="1"/>
  <c r="D3843" i="1"/>
  <c r="E3843" i="1"/>
  <c r="F3843" i="1"/>
  <c r="G3843" i="1"/>
  <c r="H3843" i="1"/>
  <c r="D3844" i="1"/>
  <c r="E3844" i="1"/>
  <c r="F3844" i="1"/>
  <c r="G3844" i="1"/>
  <c r="H3844" i="1"/>
  <c r="D3845" i="1"/>
  <c r="E3845" i="1"/>
  <c r="F3845" i="1"/>
  <c r="G3845" i="1"/>
  <c r="H3845" i="1"/>
  <c r="D3846" i="1"/>
  <c r="E3846" i="1"/>
  <c r="F3846" i="1"/>
  <c r="G3846" i="1"/>
  <c r="H3846" i="1"/>
  <c r="D3847" i="1"/>
  <c r="E3847" i="1"/>
  <c r="F3847" i="1"/>
  <c r="G3847" i="1"/>
  <c r="H3847" i="1"/>
  <c r="D3848" i="1"/>
  <c r="E3848" i="1"/>
  <c r="F3848" i="1"/>
  <c r="G3848" i="1"/>
  <c r="H3848" i="1"/>
  <c r="D3849" i="1"/>
  <c r="E3849" i="1"/>
  <c r="F3849" i="1"/>
  <c r="G3849" i="1"/>
  <c r="H3849" i="1"/>
  <c r="D3850" i="1"/>
  <c r="E3850" i="1"/>
  <c r="F3850" i="1"/>
  <c r="G3850" i="1"/>
  <c r="H3850" i="1"/>
  <c r="D3851" i="1"/>
  <c r="E3851" i="1"/>
  <c r="F3851" i="1"/>
  <c r="G3851" i="1"/>
  <c r="H3851" i="1"/>
  <c r="D3852" i="1"/>
  <c r="E3852" i="1"/>
  <c r="F3852" i="1"/>
  <c r="G3852" i="1"/>
  <c r="H3852" i="1"/>
  <c r="D3853" i="1"/>
  <c r="E3853" i="1"/>
  <c r="F3853" i="1"/>
  <c r="G3853" i="1"/>
  <c r="H3853" i="1"/>
  <c r="D3854" i="1"/>
  <c r="E3854" i="1"/>
  <c r="F3854" i="1"/>
  <c r="G3854" i="1"/>
  <c r="H3854" i="1"/>
  <c r="D3855" i="1"/>
  <c r="E3855" i="1"/>
  <c r="F3855" i="1"/>
  <c r="G3855" i="1"/>
  <c r="H3855" i="1"/>
  <c r="D3856" i="1"/>
  <c r="E3856" i="1"/>
  <c r="F3856" i="1"/>
  <c r="G3856" i="1"/>
  <c r="H3856" i="1"/>
  <c r="D3857" i="1"/>
  <c r="E3857" i="1"/>
  <c r="F3857" i="1"/>
  <c r="G3857" i="1"/>
  <c r="H3857" i="1"/>
  <c r="D3858" i="1"/>
  <c r="E3858" i="1"/>
  <c r="F3858" i="1"/>
  <c r="G3858" i="1"/>
  <c r="H3858" i="1"/>
  <c r="D3859" i="1"/>
  <c r="E3859" i="1"/>
  <c r="F3859" i="1"/>
  <c r="G3859" i="1"/>
  <c r="H3859" i="1"/>
  <c r="D3860" i="1"/>
  <c r="E3860" i="1"/>
  <c r="F3860" i="1"/>
  <c r="G3860" i="1"/>
  <c r="H3860" i="1"/>
  <c r="D3861" i="1"/>
  <c r="E3861" i="1"/>
  <c r="F3861" i="1"/>
  <c r="G3861" i="1"/>
  <c r="H3861" i="1"/>
  <c r="D3862" i="1"/>
  <c r="E3862" i="1"/>
  <c r="F3862" i="1"/>
  <c r="G3862" i="1"/>
  <c r="H3862" i="1"/>
  <c r="D3863" i="1"/>
  <c r="E3863" i="1"/>
  <c r="F3863" i="1"/>
  <c r="G3863" i="1"/>
  <c r="H3863" i="1"/>
  <c r="D3864" i="1"/>
  <c r="E3864" i="1"/>
  <c r="F3864" i="1"/>
  <c r="G3864" i="1"/>
  <c r="H3864" i="1"/>
  <c r="D3865" i="1"/>
  <c r="E3865" i="1"/>
  <c r="F3865" i="1"/>
  <c r="G3865" i="1"/>
  <c r="H3865" i="1"/>
  <c r="D3866" i="1"/>
  <c r="E3866" i="1"/>
  <c r="F3866" i="1"/>
  <c r="G3866" i="1"/>
  <c r="H3866" i="1"/>
  <c r="D3867" i="1"/>
  <c r="E3867" i="1"/>
  <c r="F3867" i="1"/>
  <c r="G3867" i="1"/>
  <c r="H3867" i="1"/>
  <c r="D3868" i="1"/>
  <c r="E3868" i="1"/>
  <c r="F3868" i="1"/>
  <c r="G3868" i="1"/>
  <c r="H3868" i="1"/>
  <c r="D3869" i="1"/>
  <c r="E3869" i="1"/>
  <c r="F3869" i="1"/>
  <c r="G3869" i="1"/>
  <c r="H3869" i="1"/>
  <c r="D3870" i="1"/>
  <c r="E3870" i="1"/>
  <c r="F3870" i="1"/>
  <c r="G3870" i="1"/>
  <c r="H3870" i="1"/>
  <c r="D3871" i="1"/>
  <c r="E3871" i="1"/>
  <c r="F3871" i="1"/>
  <c r="G3871" i="1"/>
  <c r="H3871" i="1"/>
  <c r="D3872" i="1"/>
  <c r="E3872" i="1"/>
  <c r="F3872" i="1"/>
  <c r="G3872" i="1"/>
  <c r="H3872" i="1"/>
  <c r="D3873" i="1"/>
  <c r="E3873" i="1"/>
  <c r="F3873" i="1"/>
  <c r="G3873" i="1"/>
  <c r="H3873" i="1"/>
  <c r="D3874" i="1"/>
  <c r="E3874" i="1"/>
  <c r="F3874" i="1"/>
  <c r="G3874" i="1"/>
  <c r="H3874" i="1"/>
  <c r="D3875" i="1"/>
  <c r="E3875" i="1"/>
  <c r="F3875" i="1"/>
  <c r="G3875" i="1"/>
  <c r="H3875" i="1"/>
  <c r="D3876" i="1"/>
  <c r="E3876" i="1"/>
  <c r="F3876" i="1"/>
  <c r="G3876" i="1"/>
  <c r="H3876" i="1"/>
  <c r="D3877" i="1"/>
  <c r="E3877" i="1"/>
  <c r="F3877" i="1"/>
  <c r="G3877" i="1"/>
  <c r="H3877" i="1"/>
  <c r="D3878" i="1"/>
  <c r="E3878" i="1"/>
  <c r="F3878" i="1"/>
  <c r="G3878" i="1"/>
  <c r="H3878" i="1"/>
  <c r="D3879" i="1"/>
  <c r="E3879" i="1"/>
  <c r="F3879" i="1"/>
  <c r="G3879" i="1"/>
  <c r="H3879" i="1"/>
  <c r="D3880" i="1"/>
  <c r="E3880" i="1"/>
  <c r="F3880" i="1"/>
  <c r="G3880" i="1"/>
  <c r="H3880" i="1"/>
  <c r="D3881" i="1"/>
  <c r="E3881" i="1"/>
  <c r="F3881" i="1"/>
  <c r="G3881" i="1"/>
  <c r="H3881" i="1"/>
  <c r="D3882" i="1"/>
  <c r="E3882" i="1"/>
  <c r="F3882" i="1"/>
  <c r="G3882" i="1"/>
  <c r="H3882" i="1"/>
  <c r="D3883" i="1"/>
  <c r="E3883" i="1"/>
  <c r="F3883" i="1"/>
  <c r="G3883" i="1"/>
  <c r="H3883" i="1"/>
  <c r="D3884" i="1"/>
  <c r="E3884" i="1"/>
  <c r="F3884" i="1"/>
  <c r="G3884" i="1"/>
  <c r="H3884" i="1"/>
  <c r="D3885" i="1"/>
  <c r="E3885" i="1"/>
  <c r="F3885" i="1"/>
  <c r="G3885" i="1"/>
  <c r="H3885" i="1"/>
  <c r="D3886" i="1"/>
  <c r="E3886" i="1"/>
  <c r="F3886" i="1"/>
  <c r="G3886" i="1"/>
  <c r="H3886" i="1"/>
  <c r="D3887" i="1"/>
  <c r="E3887" i="1"/>
  <c r="F3887" i="1"/>
  <c r="G3887" i="1"/>
  <c r="H3887" i="1"/>
  <c r="D3888" i="1"/>
  <c r="E3888" i="1"/>
  <c r="F3888" i="1"/>
  <c r="G3888" i="1"/>
  <c r="H3888" i="1"/>
  <c r="D3889" i="1"/>
  <c r="E3889" i="1"/>
  <c r="F3889" i="1"/>
  <c r="G3889" i="1"/>
  <c r="H3889" i="1"/>
  <c r="D3890" i="1"/>
  <c r="E3890" i="1"/>
  <c r="F3890" i="1"/>
  <c r="G3890" i="1"/>
  <c r="H3890" i="1"/>
  <c r="D3891" i="1"/>
  <c r="E3891" i="1"/>
  <c r="F3891" i="1"/>
  <c r="G3891" i="1"/>
  <c r="H3891" i="1"/>
  <c r="D3892" i="1"/>
  <c r="E3892" i="1"/>
  <c r="F3892" i="1"/>
  <c r="G3892" i="1"/>
  <c r="H3892" i="1"/>
  <c r="D3893" i="1"/>
  <c r="E3893" i="1"/>
  <c r="F3893" i="1"/>
  <c r="G3893" i="1"/>
  <c r="H3893" i="1"/>
  <c r="D3894" i="1"/>
  <c r="E3894" i="1"/>
  <c r="F3894" i="1"/>
  <c r="G3894" i="1"/>
  <c r="H3894" i="1"/>
  <c r="D3895" i="1"/>
  <c r="E3895" i="1"/>
  <c r="F3895" i="1"/>
  <c r="G3895" i="1"/>
  <c r="H3895" i="1"/>
  <c r="D3896" i="1"/>
  <c r="E3896" i="1"/>
  <c r="F3896" i="1"/>
  <c r="G3896" i="1"/>
  <c r="H3896" i="1"/>
  <c r="D3897" i="1"/>
  <c r="E3897" i="1"/>
  <c r="F3897" i="1"/>
  <c r="G3897" i="1"/>
  <c r="H3897" i="1"/>
  <c r="D3898" i="1"/>
  <c r="E3898" i="1"/>
  <c r="F3898" i="1"/>
  <c r="G3898" i="1"/>
  <c r="H3898" i="1"/>
  <c r="D3899" i="1"/>
  <c r="E3899" i="1"/>
  <c r="F3899" i="1"/>
  <c r="G3899" i="1"/>
  <c r="H3899" i="1"/>
  <c r="D3900" i="1"/>
  <c r="E3900" i="1"/>
  <c r="F3900" i="1"/>
  <c r="G3900" i="1"/>
  <c r="H3900" i="1"/>
  <c r="D3901" i="1"/>
  <c r="E3901" i="1"/>
  <c r="F3901" i="1"/>
  <c r="G3901" i="1"/>
  <c r="H3901" i="1"/>
  <c r="D3902" i="1"/>
  <c r="E3902" i="1"/>
  <c r="F3902" i="1"/>
  <c r="G3902" i="1"/>
  <c r="H3902" i="1"/>
  <c r="D3903" i="1"/>
  <c r="E3903" i="1"/>
  <c r="F3903" i="1"/>
  <c r="G3903" i="1"/>
  <c r="H3903" i="1"/>
  <c r="D3904" i="1"/>
  <c r="E3904" i="1"/>
  <c r="F3904" i="1"/>
  <c r="G3904" i="1"/>
  <c r="H3904" i="1"/>
  <c r="D3905" i="1"/>
  <c r="E3905" i="1"/>
  <c r="F3905" i="1"/>
  <c r="G3905" i="1"/>
  <c r="H3905" i="1"/>
  <c r="D3906" i="1"/>
  <c r="E3906" i="1"/>
  <c r="F3906" i="1"/>
  <c r="G3906" i="1"/>
  <c r="H3906" i="1"/>
  <c r="D3907" i="1"/>
  <c r="E3907" i="1"/>
  <c r="F3907" i="1"/>
  <c r="G3907" i="1"/>
  <c r="H3907" i="1"/>
  <c r="D3908" i="1"/>
  <c r="E3908" i="1"/>
  <c r="F3908" i="1"/>
  <c r="G3908" i="1"/>
  <c r="H3908" i="1"/>
  <c r="D3909" i="1"/>
  <c r="E3909" i="1"/>
  <c r="F3909" i="1"/>
  <c r="G3909" i="1"/>
  <c r="H3909" i="1"/>
  <c r="D3910" i="1"/>
  <c r="E3910" i="1"/>
  <c r="F3910" i="1"/>
  <c r="G3910" i="1"/>
  <c r="H3910" i="1"/>
  <c r="D3911" i="1"/>
  <c r="E3911" i="1"/>
  <c r="F3911" i="1"/>
  <c r="G3911" i="1"/>
  <c r="H3911" i="1"/>
  <c r="D3912" i="1"/>
  <c r="E3912" i="1"/>
  <c r="F3912" i="1"/>
  <c r="G3912" i="1"/>
  <c r="H3912" i="1"/>
  <c r="D3913" i="1"/>
  <c r="E3913" i="1"/>
  <c r="F3913" i="1"/>
  <c r="G3913" i="1"/>
  <c r="H3913" i="1"/>
  <c r="D3914" i="1"/>
  <c r="E3914" i="1"/>
  <c r="F3914" i="1"/>
  <c r="G3914" i="1"/>
  <c r="H3914" i="1"/>
  <c r="D3915" i="1"/>
  <c r="E3915" i="1"/>
  <c r="F3915" i="1"/>
  <c r="G3915" i="1"/>
  <c r="H3915" i="1"/>
  <c r="D3916" i="1"/>
  <c r="E3916" i="1"/>
  <c r="F3916" i="1"/>
  <c r="G3916" i="1"/>
  <c r="H3916" i="1"/>
  <c r="D3917" i="1"/>
  <c r="E3917" i="1"/>
  <c r="F3917" i="1"/>
  <c r="G3917" i="1"/>
  <c r="H3917" i="1"/>
  <c r="D3918" i="1"/>
  <c r="E3918" i="1"/>
  <c r="F3918" i="1"/>
  <c r="G3918" i="1"/>
  <c r="H3918" i="1"/>
  <c r="D3919" i="1"/>
  <c r="E3919" i="1"/>
  <c r="F3919" i="1"/>
  <c r="G3919" i="1"/>
  <c r="H3919" i="1"/>
  <c r="D3920" i="1"/>
  <c r="E3920" i="1"/>
  <c r="F3920" i="1"/>
  <c r="G3920" i="1"/>
  <c r="H3920" i="1"/>
  <c r="D3921" i="1"/>
  <c r="E3921" i="1"/>
  <c r="F3921" i="1"/>
  <c r="G3921" i="1"/>
  <c r="H3921" i="1"/>
  <c r="D3922" i="1"/>
  <c r="E3922" i="1"/>
  <c r="F3922" i="1"/>
  <c r="G3922" i="1"/>
  <c r="H3922" i="1"/>
  <c r="D3923" i="1"/>
  <c r="E3923" i="1"/>
  <c r="F3923" i="1"/>
  <c r="G3923" i="1"/>
  <c r="H3923" i="1"/>
  <c r="D3924" i="1"/>
  <c r="E3924" i="1"/>
  <c r="F3924" i="1"/>
  <c r="G3924" i="1"/>
  <c r="H3924" i="1"/>
  <c r="D3925" i="1"/>
  <c r="E3925" i="1"/>
  <c r="F3925" i="1"/>
  <c r="G3925" i="1"/>
  <c r="H3925" i="1"/>
  <c r="D3926" i="1"/>
  <c r="E3926" i="1"/>
  <c r="F3926" i="1"/>
  <c r="G3926" i="1"/>
  <c r="H3926" i="1"/>
  <c r="D3927" i="1"/>
  <c r="E3927" i="1"/>
  <c r="F3927" i="1"/>
  <c r="G3927" i="1"/>
  <c r="H3927" i="1"/>
  <c r="D3928" i="1"/>
  <c r="E3928" i="1"/>
  <c r="F3928" i="1"/>
  <c r="G3928" i="1"/>
  <c r="H3928" i="1"/>
  <c r="D3929" i="1"/>
  <c r="E3929" i="1"/>
  <c r="F3929" i="1"/>
  <c r="G3929" i="1"/>
  <c r="H3929" i="1"/>
  <c r="D3930" i="1"/>
  <c r="E3930" i="1"/>
  <c r="F3930" i="1"/>
  <c r="G3930" i="1"/>
  <c r="H3930" i="1"/>
  <c r="D3931" i="1"/>
  <c r="E3931" i="1"/>
  <c r="F3931" i="1"/>
  <c r="G3931" i="1"/>
  <c r="H3931" i="1"/>
  <c r="D3932" i="1"/>
  <c r="E3932" i="1"/>
  <c r="F3932" i="1"/>
  <c r="G3932" i="1"/>
  <c r="H3932" i="1"/>
  <c r="D3933" i="1"/>
  <c r="E3933" i="1"/>
  <c r="F3933" i="1"/>
  <c r="G3933" i="1"/>
  <c r="H3933" i="1"/>
  <c r="D3934" i="1"/>
  <c r="E3934" i="1"/>
  <c r="F3934" i="1"/>
  <c r="G3934" i="1"/>
  <c r="H3934" i="1"/>
  <c r="D3935" i="1"/>
  <c r="E3935" i="1"/>
  <c r="F3935" i="1"/>
  <c r="G3935" i="1"/>
  <c r="H3935" i="1"/>
  <c r="D3936" i="1"/>
  <c r="E3936" i="1"/>
  <c r="F3936" i="1"/>
  <c r="G3936" i="1"/>
  <c r="H3936" i="1"/>
  <c r="D3937" i="1"/>
  <c r="E3937" i="1"/>
  <c r="F3937" i="1"/>
  <c r="G3937" i="1"/>
  <c r="H3937" i="1"/>
  <c r="D3938" i="1"/>
  <c r="E3938" i="1"/>
  <c r="F3938" i="1"/>
  <c r="G3938" i="1"/>
  <c r="H3938" i="1"/>
  <c r="D3939" i="1"/>
  <c r="E3939" i="1"/>
  <c r="F3939" i="1"/>
  <c r="G3939" i="1"/>
  <c r="H3939" i="1"/>
  <c r="D3940" i="1"/>
  <c r="E3940" i="1"/>
  <c r="F3940" i="1"/>
  <c r="G3940" i="1"/>
  <c r="H3940" i="1"/>
  <c r="D3941" i="1"/>
  <c r="E3941" i="1"/>
  <c r="F3941" i="1"/>
  <c r="G3941" i="1"/>
  <c r="H3941" i="1"/>
  <c r="D3942" i="1"/>
  <c r="E3942" i="1"/>
  <c r="F3942" i="1"/>
  <c r="G3942" i="1"/>
  <c r="H3942" i="1"/>
  <c r="D3943" i="1"/>
  <c r="E3943" i="1"/>
  <c r="F3943" i="1"/>
  <c r="G3943" i="1"/>
  <c r="H3943" i="1"/>
  <c r="D3944" i="1"/>
  <c r="E3944" i="1"/>
  <c r="F3944" i="1"/>
  <c r="G3944" i="1"/>
  <c r="H3944" i="1"/>
  <c r="D3945" i="1"/>
  <c r="E3945" i="1"/>
  <c r="F3945" i="1"/>
  <c r="G3945" i="1"/>
  <c r="H3945" i="1"/>
  <c r="D3946" i="1"/>
  <c r="E3946" i="1"/>
  <c r="F3946" i="1"/>
  <c r="G3946" i="1"/>
  <c r="H3946" i="1"/>
  <c r="D3947" i="1"/>
  <c r="E3947" i="1"/>
  <c r="F3947" i="1"/>
  <c r="G3947" i="1"/>
  <c r="H3947" i="1"/>
  <c r="D3948" i="1"/>
  <c r="E3948" i="1"/>
  <c r="F3948" i="1"/>
  <c r="G3948" i="1"/>
  <c r="H3948" i="1"/>
  <c r="D3949" i="1"/>
  <c r="E3949" i="1"/>
  <c r="F3949" i="1"/>
  <c r="G3949" i="1"/>
  <c r="H3949" i="1"/>
  <c r="D3950" i="1"/>
  <c r="E3950" i="1"/>
  <c r="F3950" i="1"/>
  <c r="G3950" i="1"/>
  <c r="H3950" i="1"/>
  <c r="D3951" i="1"/>
  <c r="E3951" i="1"/>
  <c r="F3951" i="1"/>
  <c r="G3951" i="1"/>
  <c r="H3951" i="1"/>
  <c r="D3952" i="1"/>
  <c r="E3952" i="1"/>
  <c r="F3952" i="1"/>
  <c r="G3952" i="1"/>
  <c r="H3952" i="1"/>
  <c r="D3953" i="1"/>
  <c r="E3953" i="1"/>
  <c r="F3953" i="1"/>
  <c r="G3953" i="1"/>
  <c r="H3953" i="1"/>
  <c r="D3954" i="1"/>
  <c r="E3954" i="1"/>
  <c r="F3954" i="1"/>
  <c r="G3954" i="1"/>
  <c r="H3954" i="1"/>
  <c r="D3955" i="1"/>
  <c r="E3955" i="1"/>
  <c r="F3955" i="1"/>
  <c r="G3955" i="1"/>
  <c r="H3955" i="1"/>
  <c r="D3956" i="1"/>
  <c r="E3956" i="1"/>
  <c r="F3956" i="1"/>
  <c r="G3956" i="1"/>
  <c r="H3956" i="1"/>
  <c r="D3957" i="1"/>
  <c r="E3957" i="1"/>
  <c r="F3957" i="1"/>
  <c r="G3957" i="1"/>
  <c r="H3957" i="1"/>
  <c r="D3958" i="1"/>
  <c r="E3958" i="1"/>
  <c r="F3958" i="1"/>
  <c r="G3958" i="1"/>
  <c r="H3958" i="1"/>
  <c r="D3959" i="1"/>
  <c r="E3959" i="1"/>
  <c r="F3959" i="1"/>
  <c r="G3959" i="1"/>
  <c r="H3959" i="1"/>
  <c r="D3960" i="1"/>
  <c r="E3960" i="1"/>
  <c r="F3960" i="1"/>
  <c r="G3960" i="1"/>
  <c r="H3960" i="1"/>
  <c r="D3961" i="1"/>
  <c r="E3961" i="1"/>
  <c r="F3961" i="1"/>
  <c r="G3961" i="1"/>
  <c r="H3961" i="1"/>
  <c r="D3962" i="1"/>
  <c r="E3962" i="1"/>
  <c r="F3962" i="1"/>
  <c r="G3962" i="1"/>
  <c r="H3962" i="1"/>
  <c r="D3963" i="1"/>
  <c r="E3963" i="1"/>
  <c r="F3963" i="1"/>
  <c r="G3963" i="1"/>
  <c r="H3963" i="1"/>
  <c r="D3964" i="1"/>
  <c r="E3964" i="1"/>
  <c r="F3964" i="1"/>
  <c r="G3964" i="1"/>
  <c r="H3964" i="1"/>
  <c r="D3965" i="1"/>
  <c r="E3965" i="1"/>
  <c r="F3965" i="1"/>
  <c r="G3965" i="1"/>
  <c r="H3965" i="1"/>
  <c r="D3966" i="1"/>
  <c r="E3966" i="1"/>
  <c r="F3966" i="1"/>
  <c r="G3966" i="1"/>
  <c r="H3966" i="1"/>
  <c r="D3967" i="1"/>
  <c r="E3967" i="1"/>
  <c r="F3967" i="1"/>
  <c r="G3967" i="1"/>
  <c r="H3967" i="1"/>
  <c r="D3968" i="1"/>
  <c r="E3968" i="1"/>
  <c r="F3968" i="1"/>
  <c r="G3968" i="1"/>
  <c r="H3968" i="1"/>
  <c r="D3969" i="1"/>
  <c r="E3969" i="1"/>
  <c r="F3969" i="1"/>
  <c r="G3969" i="1"/>
  <c r="H3969" i="1"/>
  <c r="D3970" i="1"/>
  <c r="E3970" i="1"/>
  <c r="F3970" i="1"/>
  <c r="G3970" i="1"/>
  <c r="H3970" i="1"/>
  <c r="D3971" i="1"/>
  <c r="E3971" i="1"/>
  <c r="F3971" i="1"/>
  <c r="G3971" i="1"/>
  <c r="H3971" i="1"/>
  <c r="D3972" i="1"/>
  <c r="E3972" i="1"/>
  <c r="F3972" i="1"/>
  <c r="G3972" i="1"/>
  <c r="H3972" i="1"/>
  <c r="D3973" i="1"/>
  <c r="E3973" i="1"/>
  <c r="F3973" i="1"/>
  <c r="G3973" i="1"/>
  <c r="H3973" i="1"/>
  <c r="D3974" i="1"/>
  <c r="E3974" i="1"/>
  <c r="F3974" i="1"/>
  <c r="G3974" i="1"/>
  <c r="H3974" i="1"/>
  <c r="D3975" i="1"/>
  <c r="E3975" i="1"/>
  <c r="F3975" i="1"/>
  <c r="G3975" i="1"/>
  <c r="H3975" i="1"/>
  <c r="D3976" i="1"/>
  <c r="E3976" i="1"/>
  <c r="F3976" i="1"/>
  <c r="G3976" i="1"/>
  <c r="H3976" i="1"/>
  <c r="D3977" i="1"/>
  <c r="E3977" i="1"/>
  <c r="F3977" i="1"/>
  <c r="G3977" i="1"/>
  <c r="H3977" i="1"/>
  <c r="D3978" i="1"/>
  <c r="E3978" i="1"/>
  <c r="F3978" i="1"/>
  <c r="G3978" i="1"/>
  <c r="H3978" i="1"/>
  <c r="D3979" i="1"/>
  <c r="E3979" i="1"/>
  <c r="F3979" i="1"/>
  <c r="G3979" i="1"/>
  <c r="H3979" i="1"/>
  <c r="D3980" i="1"/>
  <c r="E3980" i="1"/>
  <c r="F3980" i="1"/>
  <c r="G3980" i="1"/>
  <c r="H3980" i="1"/>
  <c r="D3981" i="1"/>
  <c r="E3981" i="1"/>
  <c r="F3981" i="1"/>
  <c r="G3981" i="1"/>
  <c r="H3981" i="1"/>
  <c r="D3982" i="1"/>
  <c r="E3982" i="1"/>
  <c r="F3982" i="1"/>
  <c r="G3982" i="1"/>
  <c r="H3982" i="1"/>
  <c r="D3983" i="1"/>
  <c r="E3983" i="1"/>
  <c r="F3983" i="1"/>
  <c r="G3983" i="1"/>
  <c r="H3983" i="1"/>
  <c r="D3984" i="1"/>
  <c r="E3984" i="1"/>
  <c r="F3984" i="1"/>
  <c r="G3984" i="1"/>
  <c r="H3984" i="1"/>
  <c r="D3985" i="1"/>
  <c r="E3985" i="1"/>
  <c r="F3985" i="1"/>
  <c r="G3985" i="1"/>
  <c r="H3985" i="1"/>
  <c r="D3986" i="1"/>
  <c r="E3986" i="1"/>
  <c r="F3986" i="1"/>
  <c r="G3986" i="1"/>
  <c r="H3986" i="1"/>
  <c r="D3987" i="1"/>
  <c r="E3987" i="1"/>
  <c r="F3987" i="1"/>
  <c r="G3987" i="1"/>
  <c r="H3987" i="1"/>
  <c r="D3988" i="1"/>
  <c r="E3988" i="1"/>
  <c r="F3988" i="1"/>
  <c r="G3988" i="1"/>
  <c r="H3988" i="1"/>
  <c r="D3989" i="1"/>
  <c r="E3989" i="1"/>
  <c r="F3989" i="1"/>
  <c r="G3989" i="1"/>
  <c r="H3989" i="1"/>
  <c r="D3990" i="1"/>
  <c r="E3990" i="1"/>
  <c r="F3990" i="1"/>
  <c r="G3990" i="1"/>
  <c r="H3990" i="1"/>
  <c r="D3991" i="1"/>
  <c r="E3991" i="1"/>
  <c r="F3991" i="1"/>
  <c r="G3991" i="1"/>
  <c r="H3991" i="1"/>
  <c r="D3992" i="1"/>
  <c r="E3992" i="1"/>
  <c r="F3992" i="1"/>
  <c r="G3992" i="1"/>
  <c r="H3992" i="1"/>
  <c r="D3993" i="1"/>
  <c r="E3993" i="1"/>
  <c r="F3993" i="1"/>
  <c r="G3993" i="1"/>
  <c r="H3993" i="1"/>
  <c r="D3994" i="1"/>
  <c r="E3994" i="1"/>
  <c r="F3994" i="1"/>
  <c r="G3994" i="1"/>
  <c r="H3994" i="1"/>
  <c r="D3995" i="1"/>
  <c r="E3995" i="1"/>
  <c r="F3995" i="1"/>
  <c r="G3995" i="1"/>
  <c r="H3995" i="1"/>
  <c r="D3996" i="1"/>
  <c r="E3996" i="1"/>
  <c r="F3996" i="1"/>
  <c r="G3996" i="1"/>
  <c r="H3996" i="1"/>
  <c r="D3997" i="1"/>
  <c r="E3997" i="1"/>
  <c r="F3997" i="1"/>
  <c r="G3997" i="1"/>
  <c r="H3997" i="1"/>
  <c r="D3998" i="1"/>
  <c r="E3998" i="1"/>
  <c r="F3998" i="1"/>
  <c r="G3998" i="1"/>
  <c r="H3998" i="1"/>
  <c r="D3999" i="1"/>
  <c r="E3999" i="1"/>
  <c r="F3999" i="1"/>
  <c r="G3999" i="1"/>
  <c r="H3999" i="1"/>
  <c r="D4000" i="1"/>
  <c r="E4000" i="1"/>
  <c r="F4000" i="1"/>
  <c r="G4000" i="1"/>
  <c r="H4000" i="1"/>
  <c r="D4001" i="1"/>
  <c r="E4001" i="1"/>
  <c r="F4001" i="1"/>
  <c r="G4001" i="1"/>
  <c r="H4001" i="1"/>
  <c r="D4002" i="1"/>
  <c r="E4002" i="1"/>
  <c r="F4002" i="1"/>
  <c r="G4002" i="1"/>
  <c r="H4002" i="1"/>
  <c r="D4003" i="1"/>
  <c r="E4003" i="1"/>
  <c r="F4003" i="1"/>
  <c r="G4003" i="1"/>
  <c r="H4003" i="1"/>
  <c r="D4004" i="1"/>
  <c r="E4004" i="1"/>
  <c r="F4004" i="1"/>
  <c r="G4004" i="1"/>
  <c r="H4004" i="1"/>
  <c r="D4005" i="1"/>
  <c r="E4005" i="1"/>
  <c r="F4005" i="1"/>
  <c r="G4005" i="1"/>
  <c r="H4005" i="1"/>
  <c r="D4006" i="1"/>
  <c r="E4006" i="1"/>
  <c r="F4006" i="1"/>
  <c r="G4006" i="1"/>
  <c r="H4006" i="1"/>
  <c r="D4007" i="1"/>
  <c r="E4007" i="1"/>
  <c r="F4007" i="1"/>
  <c r="G4007" i="1"/>
  <c r="H4007" i="1"/>
  <c r="D4008" i="1"/>
  <c r="E4008" i="1"/>
  <c r="F4008" i="1"/>
  <c r="G4008" i="1"/>
  <c r="H4008" i="1"/>
  <c r="D4009" i="1"/>
  <c r="E4009" i="1"/>
  <c r="F4009" i="1"/>
  <c r="G4009" i="1"/>
  <c r="H4009" i="1"/>
  <c r="D4010" i="1"/>
  <c r="E4010" i="1"/>
  <c r="F4010" i="1"/>
  <c r="G4010" i="1"/>
  <c r="H4010" i="1"/>
  <c r="D4011" i="1"/>
  <c r="E4011" i="1"/>
  <c r="F4011" i="1"/>
  <c r="G4011" i="1"/>
  <c r="H4011" i="1"/>
  <c r="D4012" i="1"/>
  <c r="E4012" i="1"/>
  <c r="F4012" i="1"/>
  <c r="G4012" i="1"/>
  <c r="H4012" i="1"/>
  <c r="D4013" i="1"/>
  <c r="E4013" i="1"/>
  <c r="F4013" i="1"/>
  <c r="G4013" i="1"/>
  <c r="H4013" i="1"/>
  <c r="D4014" i="1"/>
  <c r="E4014" i="1"/>
  <c r="F4014" i="1"/>
  <c r="G4014" i="1"/>
  <c r="H4014" i="1"/>
  <c r="D4015" i="1"/>
  <c r="E4015" i="1"/>
  <c r="F4015" i="1"/>
  <c r="G4015" i="1"/>
  <c r="H4015" i="1"/>
  <c r="D4016" i="1"/>
  <c r="E4016" i="1"/>
  <c r="F4016" i="1"/>
  <c r="G4016" i="1"/>
  <c r="H4016" i="1"/>
  <c r="D4017" i="1"/>
  <c r="E4017" i="1"/>
  <c r="F4017" i="1"/>
  <c r="G4017" i="1"/>
  <c r="H4017" i="1"/>
  <c r="D4018" i="1"/>
  <c r="E4018" i="1"/>
  <c r="F4018" i="1"/>
  <c r="G4018" i="1"/>
  <c r="H4018" i="1"/>
  <c r="D4019" i="1"/>
  <c r="E4019" i="1"/>
  <c r="F4019" i="1"/>
  <c r="G4019" i="1"/>
  <c r="H4019" i="1"/>
  <c r="D4020" i="1"/>
  <c r="E4020" i="1"/>
  <c r="F4020" i="1"/>
  <c r="G4020" i="1"/>
  <c r="H4020" i="1"/>
  <c r="D4021" i="1"/>
  <c r="E4021" i="1"/>
  <c r="F4021" i="1"/>
  <c r="G4021" i="1"/>
  <c r="H4021" i="1"/>
  <c r="D4022" i="1"/>
  <c r="E4022" i="1"/>
  <c r="F4022" i="1"/>
  <c r="G4022" i="1"/>
  <c r="H4022" i="1"/>
  <c r="D4023" i="1"/>
  <c r="E4023" i="1"/>
  <c r="F4023" i="1"/>
  <c r="G4023" i="1"/>
  <c r="H4023" i="1"/>
  <c r="D4024" i="1"/>
  <c r="E4024" i="1"/>
  <c r="F4024" i="1"/>
  <c r="G4024" i="1"/>
  <c r="H4024" i="1"/>
  <c r="D4025" i="1"/>
  <c r="E4025" i="1"/>
  <c r="F4025" i="1"/>
  <c r="G4025" i="1"/>
  <c r="H4025" i="1"/>
  <c r="D4026" i="1"/>
  <c r="E4026" i="1"/>
  <c r="F4026" i="1"/>
  <c r="G4026" i="1"/>
  <c r="H4026" i="1"/>
  <c r="D4027" i="1"/>
  <c r="E4027" i="1"/>
  <c r="F4027" i="1"/>
  <c r="G4027" i="1"/>
  <c r="H4027" i="1"/>
  <c r="D4028" i="1"/>
  <c r="E4028" i="1"/>
  <c r="F4028" i="1"/>
  <c r="G4028" i="1"/>
  <c r="H4028" i="1"/>
  <c r="D4029" i="1"/>
  <c r="E4029" i="1"/>
  <c r="F4029" i="1"/>
  <c r="G4029" i="1"/>
  <c r="H4029" i="1"/>
  <c r="D4030" i="1"/>
  <c r="E4030" i="1"/>
  <c r="F4030" i="1"/>
  <c r="G4030" i="1"/>
  <c r="H4030" i="1"/>
  <c r="D4031" i="1"/>
  <c r="E4031" i="1"/>
  <c r="F4031" i="1"/>
  <c r="G4031" i="1"/>
  <c r="H4031" i="1"/>
  <c r="D4032" i="1"/>
  <c r="E4032" i="1"/>
  <c r="F4032" i="1"/>
  <c r="G4032" i="1"/>
  <c r="H4032" i="1"/>
  <c r="D4033" i="1"/>
  <c r="E4033" i="1"/>
  <c r="F4033" i="1"/>
  <c r="G4033" i="1"/>
  <c r="H4033" i="1"/>
  <c r="D4034" i="1"/>
  <c r="E4034" i="1"/>
  <c r="F4034" i="1"/>
  <c r="G4034" i="1"/>
  <c r="H4034" i="1"/>
  <c r="D4035" i="1"/>
  <c r="E4035" i="1"/>
  <c r="F4035" i="1"/>
  <c r="G4035" i="1"/>
  <c r="H4035" i="1"/>
  <c r="D4036" i="1"/>
  <c r="E4036" i="1"/>
  <c r="F4036" i="1"/>
  <c r="G4036" i="1"/>
  <c r="H4036" i="1"/>
  <c r="D4037" i="1"/>
  <c r="E4037" i="1"/>
  <c r="F4037" i="1"/>
  <c r="G4037" i="1"/>
  <c r="H4037" i="1"/>
  <c r="D4038" i="1"/>
  <c r="E4038" i="1"/>
  <c r="F4038" i="1"/>
  <c r="G4038" i="1"/>
  <c r="H4038" i="1"/>
  <c r="D4039" i="1"/>
  <c r="E4039" i="1"/>
  <c r="F4039" i="1"/>
  <c r="G4039" i="1"/>
  <c r="H4039" i="1"/>
  <c r="D4040" i="1"/>
  <c r="E4040" i="1"/>
  <c r="F4040" i="1"/>
  <c r="G4040" i="1"/>
  <c r="H4040" i="1"/>
  <c r="D4041" i="1"/>
  <c r="E4041" i="1"/>
  <c r="F4041" i="1"/>
  <c r="G4041" i="1"/>
  <c r="H4041" i="1"/>
  <c r="D4042" i="1"/>
  <c r="E4042" i="1"/>
  <c r="F4042" i="1"/>
  <c r="G4042" i="1"/>
  <c r="H4042" i="1"/>
  <c r="D4043" i="1"/>
  <c r="E4043" i="1"/>
  <c r="F4043" i="1"/>
  <c r="G4043" i="1"/>
  <c r="H4043" i="1"/>
  <c r="D4044" i="1"/>
  <c r="E4044" i="1"/>
  <c r="F4044" i="1"/>
  <c r="G4044" i="1"/>
  <c r="H4044" i="1"/>
  <c r="D4045" i="1"/>
  <c r="E4045" i="1"/>
  <c r="F4045" i="1"/>
  <c r="G4045" i="1"/>
  <c r="H4045" i="1"/>
  <c r="D4046" i="1"/>
  <c r="E4046" i="1"/>
  <c r="F4046" i="1"/>
  <c r="G4046" i="1"/>
  <c r="H4046" i="1"/>
  <c r="D4047" i="1"/>
  <c r="E4047" i="1"/>
  <c r="F4047" i="1"/>
  <c r="G4047" i="1"/>
  <c r="H4047" i="1"/>
  <c r="D4048" i="1"/>
  <c r="E4048" i="1"/>
  <c r="F4048" i="1"/>
  <c r="G4048" i="1"/>
  <c r="H4048" i="1"/>
  <c r="D4049" i="1"/>
  <c r="E4049" i="1"/>
  <c r="F4049" i="1"/>
  <c r="G4049" i="1"/>
  <c r="H4049" i="1"/>
  <c r="D4050" i="1"/>
  <c r="E4050" i="1"/>
  <c r="F4050" i="1"/>
  <c r="G4050" i="1"/>
  <c r="H4050" i="1"/>
  <c r="D4051" i="1"/>
  <c r="E4051" i="1"/>
  <c r="F4051" i="1"/>
  <c r="G4051" i="1"/>
  <c r="H4051" i="1"/>
  <c r="D4052" i="1"/>
  <c r="E4052" i="1"/>
  <c r="F4052" i="1"/>
  <c r="G4052" i="1"/>
  <c r="H4052" i="1"/>
  <c r="D4053" i="1"/>
  <c r="E4053" i="1"/>
  <c r="F4053" i="1"/>
  <c r="G4053" i="1"/>
  <c r="H4053" i="1"/>
  <c r="D4054" i="1"/>
  <c r="E4054" i="1"/>
  <c r="F4054" i="1"/>
  <c r="G4054" i="1"/>
  <c r="H4054" i="1"/>
  <c r="D4055" i="1"/>
  <c r="E4055" i="1"/>
  <c r="F4055" i="1"/>
  <c r="G4055" i="1"/>
  <c r="H4055" i="1"/>
  <c r="D4056" i="1"/>
  <c r="E4056" i="1"/>
  <c r="F4056" i="1"/>
  <c r="G4056" i="1"/>
  <c r="H4056" i="1"/>
  <c r="D4057" i="1"/>
  <c r="E4057" i="1"/>
  <c r="F4057" i="1"/>
  <c r="G4057" i="1"/>
  <c r="H4057" i="1"/>
  <c r="D4058" i="1"/>
  <c r="E4058" i="1"/>
  <c r="F4058" i="1"/>
  <c r="G4058" i="1"/>
  <c r="H4058" i="1"/>
  <c r="D4059" i="1"/>
  <c r="E4059" i="1"/>
  <c r="F4059" i="1"/>
  <c r="G4059" i="1"/>
  <c r="H4059" i="1"/>
  <c r="D4060" i="1"/>
  <c r="E4060" i="1"/>
  <c r="F4060" i="1"/>
  <c r="G4060" i="1"/>
  <c r="H4060" i="1"/>
  <c r="D4061" i="1"/>
  <c r="E4061" i="1"/>
  <c r="F4061" i="1"/>
  <c r="G4061" i="1"/>
  <c r="H4061" i="1"/>
  <c r="D4062" i="1"/>
  <c r="E4062" i="1"/>
  <c r="F4062" i="1"/>
  <c r="G4062" i="1"/>
  <c r="H4062" i="1"/>
  <c r="D4063" i="1"/>
  <c r="E4063" i="1"/>
  <c r="F4063" i="1"/>
  <c r="G4063" i="1"/>
  <c r="H4063" i="1"/>
  <c r="D4064" i="1"/>
  <c r="E4064" i="1"/>
  <c r="F4064" i="1"/>
  <c r="G4064" i="1"/>
  <c r="H4064" i="1"/>
  <c r="D4065" i="1"/>
  <c r="E4065" i="1"/>
  <c r="F4065" i="1"/>
  <c r="G4065" i="1"/>
  <c r="H4065" i="1"/>
  <c r="D4066" i="1"/>
  <c r="E4066" i="1"/>
  <c r="F4066" i="1"/>
  <c r="G4066" i="1"/>
  <c r="H4066" i="1"/>
  <c r="D4067" i="1"/>
  <c r="E4067" i="1"/>
  <c r="F4067" i="1"/>
  <c r="G4067" i="1"/>
  <c r="H4067" i="1"/>
  <c r="D4068" i="1"/>
  <c r="E4068" i="1"/>
  <c r="F4068" i="1"/>
  <c r="G4068" i="1"/>
  <c r="H4068" i="1"/>
  <c r="D4069" i="1"/>
  <c r="E4069" i="1"/>
  <c r="F4069" i="1"/>
  <c r="G4069" i="1"/>
  <c r="H4069" i="1"/>
  <c r="D4070" i="1"/>
  <c r="E4070" i="1"/>
  <c r="F4070" i="1"/>
  <c r="G4070" i="1"/>
  <c r="H4070" i="1"/>
  <c r="D4071" i="1"/>
  <c r="E4071" i="1"/>
  <c r="F4071" i="1"/>
  <c r="G4071" i="1"/>
  <c r="H4071" i="1"/>
  <c r="D4072" i="1"/>
  <c r="E4072" i="1"/>
  <c r="F4072" i="1"/>
  <c r="G4072" i="1"/>
  <c r="H4072" i="1"/>
  <c r="D4073" i="1"/>
  <c r="E4073" i="1"/>
  <c r="F4073" i="1"/>
  <c r="G4073" i="1"/>
  <c r="H4073" i="1"/>
  <c r="D4074" i="1"/>
  <c r="E4074" i="1"/>
  <c r="F4074" i="1"/>
  <c r="G4074" i="1"/>
  <c r="H4074" i="1"/>
  <c r="D4075" i="1"/>
  <c r="E4075" i="1"/>
  <c r="F4075" i="1"/>
  <c r="G4075" i="1"/>
  <c r="H4075" i="1"/>
  <c r="D4076" i="1"/>
  <c r="E4076" i="1"/>
  <c r="F4076" i="1"/>
  <c r="G4076" i="1"/>
  <c r="H4076" i="1"/>
  <c r="D4077" i="1"/>
  <c r="E4077" i="1"/>
  <c r="F4077" i="1"/>
  <c r="G4077" i="1"/>
  <c r="H4077" i="1"/>
  <c r="D4078" i="1"/>
  <c r="E4078" i="1"/>
  <c r="F4078" i="1"/>
  <c r="G4078" i="1"/>
  <c r="H4078" i="1"/>
  <c r="D4079" i="1"/>
  <c r="E4079" i="1"/>
  <c r="F4079" i="1"/>
  <c r="G4079" i="1"/>
  <c r="H4079" i="1"/>
  <c r="D4080" i="1"/>
  <c r="E4080" i="1"/>
  <c r="F4080" i="1"/>
  <c r="G4080" i="1"/>
  <c r="H4080" i="1"/>
  <c r="D4081" i="1"/>
  <c r="E4081" i="1"/>
  <c r="F4081" i="1"/>
  <c r="G4081" i="1"/>
  <c r="H4081" i="1"/>
  <c r="D4082" i="1"/>
  <c r="E4082" i="1"/>
  <c r="F4082" i="1"/>
  <c r="G4082" i="1"/>
  <c r="H4082" i="1"/>
  <c r="D4083" i="1"/>
  <c r="E4083" i="1"/>
  <c r="F4083" i="1"/>
  <c r="G4083" i="1"/>
  <c r="H4083" i="1"/>
  <c r="D4084" i="1"/>
  <c r="E4084" i="1"/>
  <c r="F4084" i="1"/>
  <c r="G4084" i="1"/>
  <c r="H4084" i="1"/>
  <c r="D4085" i="1"/>
  <c r="E4085" i="1"/>
  <c r="F4085" i="1"/>
  <c r="G4085" i="1"/>
  <c r="H4085" i="1"/>
  <c r="D4086" i="1"/>
  <c r="E4086" i="1"/>
  <c r="F4086" i="1"/>
  <c r="G4086" i="1"/>
  <c r="H4086" i="1"/>
  <c r="D4087" i="1"/>
  <c r="E4087" i="1"/>
  <c r="F4087" i="1"/>
  <c r="G4087" i="1"/>
  <c r="H4087" i="1"/>
  <c r="D4088" i="1"/>
  <c r="E4088" i="1"/>
  <c r="F4088" i="1"/>
  <c r="G4088" i="1"/>
  <c r="H4088" i="1"/>
  <c r="D4089" i="1"/>
  <c r="E4089" i="1"/>
  <c r="F4089" i="1"/>
  <c r="G4089" i="1"/>
  <c r="H4089" i="1"/>
  <c r="D4090" i="1"/>
  <c r="E4090" i="1"/>
  <c r="F4090" i="1"/>
  <c r="G4090" i="1"/>
  <c r="H4090" i="1"/>
  <c r="D4091" i="1"/>
  <c r="E4091" i="1"/>
  <c r="F4091" i="1"/>
  <c r="G4091" i="1"/>
  <c r="H4091" i="1"/>
  <c r="D4092" i="1"/>
  <c r="E4092" i="1"/>
  <c r="F4092" i="1"/>
  <c r="G4092" i="1"/>
  <c r="H4092" i="1"/>
  <c r="D4093" i="1"/>
  <c r="E4093" i="1"/>
  <c r="F4093" i="1"/>
  <c r="G4093" i="1"/>
  <c r="H4093" i="1"/>
  <c r="D4094" i="1"/>
  <c r="E4094" i="1"/>
  <c r="F4094" i="1"/>
  <c r="G4094" i="1"/>
  <c r="H4094" i="1"/>
  <c r="D4095" i="1"/>
  <c r="E4095" i="1"/>
  <c r="F4095" i="1"/>
  <c r="G4095" i="1"/>
  <c r="H4095" i="1"/>
  <c r="D4096" i="1"/>
  <c r="E4096" i="1"/>
  <c r="F4096" i="1"/>
  <c r="G4096" i="1"/>
  <c r="H4096" i="1"/>
  <c r="D4097" i="1"/>
  <c r="E4097" i="1"/>
  <c r="F4097" i="1"/>
  <c r="G4097" i="1"/>
  <c r="H4097" i="1"/>
  <c r="D4098" i="1"/>
  <c r="E4098" i="1"/>
  <c r="F4098" i="1"/>
  <c r="G4098" i="1"/>
  <c r="H4098" i="1"/>
  <c r="D4099" i="1"/>
  <c r="E4099" i="1"/>
  <c r="F4099" i="1"/>
  <c r="G4099" i="1"/>
  <c r="H4099" i="1"/>
  <c r="D4100" i="1"/>
  <c r="E4100" i="1"/>
  <c r="F4100" i="1"/>
  <c r="G4100" i="1"/>
  <c r="H4100" i="1"/>
  <c r="D4101" i="1"/>
  <c r="E4101" i="1"/>
  <c r="F4101" i="1"/>
  <c r="G4101" i="1"/>
  <c r="H4101" i="1"/>
  <c r="D4102" i="1"/>
  <c r="E4102" i="1"/>
  <c r="F4102" i="1"/>
  <c r="G4102" i="1"/>
  <c r="H4102" i="1"/>
  <c r="D4103" i="1"/>
  <c r="E4103" i="1"/>
  <c r="F4103" i="1"/>
  <c r="G4103" i="1"/>
  <c r="H4103" i="1"/>
  <c r="D4104" i="1"/>
  <c r="E4104" i="1"/>
  <c r="F4104" i="1"/>
  <c r="G4104" i="1"/>
  <c r="H4104" i="1"/>
  <c r="D4105" i="1"/>
  <c r="E4105" i="1"/>
  <c r="F4105" i="1"/>
  <c r="G4105" i="1"/>
  <c r="H4105" i="1"/>
  <c r="D4106" i="1"/>
  <c r="E4106" i="1"/>
  <c r="F4106" i="1"/>
  <c r="G4106" i="1"/>
  <c r="H4106" i="1"/>
  <c r="D4107" i="1"/>
  <c r="E4107" i="1"/>
  <c r="F4107" i="1"/>
  <c r="G4107" i="1"/>
  <c r="H4107" i="1"/>
  <c r="D4108" i="1"/>
  <c r="E4108" i="1"/>
  <c r="F4108" i="1"/>
  <c r="G4108" i="1"/>
  <c r="H4108" i="1"/>
  <c r="D4109" i="1"/>
  <c r="E4109" i="1"/>
  <c r="F4109" i="1"/>
  <c r="G4109" i="1"/>
  <c r="H4109" i="1"/>
  <c r="D4110" i="1"/>
  <c r="E4110" i="1"/>
  <c r="F4110" i="1"/>
  <c r="G4110" i="1"/>
  <c r="H4110" i="1"/>
  <c r="D4111" i="1"/>
  <c r="E4111" i="1"/>
  <c r="F4111" i="1"/>
  <c r="G4111" i="1"/>
  <c r="H4111" i="1"/>
  <c r="D4112" i="1"/>
  <c r="E4112" i="1"/>
  <c r="F4112" i="1"/>
  <c r="G4112" i="1"/>
  <c r="H4112" i="1"/>
  <c r="D4113" i="1"/>
  <c r="E4113" i="1"/>
  <c r="F4113" i="1"/>
  <c r="G4113" i="1"/>
  <c r="H4113" i="1"/>
  <c r="D4114" i="1"/>
  <c r="E4114" i="1"/>
  <c r="F4114" i="1"/>
  <c r="G4114" i="1"/>
  <c r="H4114" i="1"/>
  <c r="D4115" i="1"/>
  <c r="E4115" i="1"/>
  <c r="F4115" i="1"/>
  <c r="G4115" i="1"/>
  <c r="H4115" i="1"/>
  <c r="D4116" i="1"/>
  <c r="E4116" i="1"/>
  <c r="F4116" i="1"/>
  <c r="G4116" i="1"/>
  <c r="H4116" i="1"/>
  <c r="D4117" i="1"/>
  <c r="E4117" i="1"/>
  <c r="F4117" i="1"/>
  <c r="G4117" i="1"/>
  <c r="H4117" i="1"/>
  <c r="D4118" i="1"/>
  <c r="E4118" i="1"/>
  <c r="F4118" i="1"/>
  <c r="G4118" i="1"/>
  <c r="H4118" i="1"/>
  <c r="D4119" i="1"/>
  <c r="E4119" i="1"/>
  <c r="F4119" i="1"/>
  <c r="G4119" i="1"/>
  <c r="H4119" i="1"/>
  <c r="D4120" i="1"/>
  <c r="E4120" i="1"/>
  <c r="F4120" i="1"/>
  <c r="G4120" i="1"/>
  <c r="H4120" i="1"/>
  <c r="D4121" i="1"/>
  <c r="E4121" i="1"/>
  <c r="F4121" i="1"/>
  <c r="G4121" i="1"/>
  <c r="H4121" i="1"/>
  <c r="D4122" i="1"/>
  <c r="E4122" i="1"/>
  <c r="F4122" i="1"/>
  <c r="G4122" i="1"/>
  <c r="H4122" i="1"/>
  <c r="D4123" i="1"/>
  <c r="E4123" i="1"/>
  <c r="F4123" i="1"/>
  <c r="G4123" i="1"/>
  <c r="H4123" i="1"/>
  <c r="D4124" i="1"/>
  <c r="E4124" i="1"/>
  <c r="F4124" i="1"/>
  <c r="G4124" i="1"/>
  <c r="H4124" i="1"/>
  <c r="D4125" i="1"/>
  <c r="E4125" i="1"/>
  <c r="F4125" i="1"/>
  <c r="G4125" i="1"/>
  <c r="H4125" i="1"/>
  <c r="D4126" i="1"/>
  <c r="E4126" i="1"/>
  <c r="F4126" i="1"/>
  <c r="G4126" i="1"/>
  <c r="H4126" i="1"/>
  <c r="D4127" i="1"/>
  <c r="E4127" i="1"/>
  <c r="F4127" i="1"/>
  <c r="G4127" i="1"/>
  <c r="H4127" i="1"/>
  <c r="D4128" i="1"/>
  <c r="E4128" i="1"/>
  <c r="F4128" i="1"/>
  <c r="G4128" i="1"/>
  <c r="H4128" i="1"/>
  <c r="D4129" i="1"/>
  <c r="E4129" i="1"/>
  <c r="F4129" i="1"/>
  <c r="G4129" i="1"/>
  <c r="H4129" i="1"/>
  <c r="D4130" i="1"/>
  <c r="E4130" i="1"/>
  <c r="F4130" i="1"/>
  <c r="G4130" i="1"/>
  <c r="H4130" i="1"/>
  <c r="D4131" i="1"/>
  <c r="E4131" i="1"/>
  <c r="F4131" i="1"/>
  <c r="G4131" i="1"/>
  <c r="H4131" i="1"/>
  <c r="D4132" i="1"/>
  <c r="E4132" i="1"/>
  <c r="F4132" i="1"/>
  <c r="G4132" i="1"/>
  <c r="H4132" i="1"/>
  <c r="D4133" i="1"/>
  <c r="E4133" i="1"/>
  <c r="F4133" i="1"/>
  <c r="G4133" i="1"/>
  <c r="H4133" i="1"/>
  <c r="D4134" i="1"/>
  <c r="E4134" i="1"/>
  <c r="F4134" i="1"/>
  <c r="G4134" i="1"/>
  <c r="H4134" i="1"/>
  <c r="D4135" i="1"/>
  <c r="E4135" i="1"/>
  <c r="F4135" i="1"/>
  <c r="G4135" i="1"/>
  <c r="H4135" i="1"/>
  <c r="D4136" i="1"/>
  <c r="E4136" i="1"/>
  <c r="F4136" i="1"/>
  <c r="G4136" i="1"/>
  <c r="H4136" i="1"/>
  <c r="D4137" i="1"/>
  <c r="E4137" i="1"/>
  <c r="F4137" i="1"/>
  <c r="G4137" i="1"/>
  <c r="H4137" i="1"/>
  <c r="D4138" i="1"/>
  <c r="E4138" i="1"/>
  <c r="F4138" i="1"/>
  <c r="G4138" i="1"/>
  <c r="H4138" i="1"/>
  <c r="D4139" i="1"/>
  <c r="E4139" i="1"/>
  <c r="F4139" i="1"/>
  <c r="G4139" i="1"/>
  <c r="H4139" i="1"/>
  <c r="D4140" i="1"/>
  <c r="E4140" i="1"/>
  <c r="F4140" i="1"/>
  <c r="G4140" i="1"/>
  <c r="H4140" i="1"/>
  <c r="D4141" i="1"/>
  <c r="E4141" i="1"/>
  <c r="F4141" i="1"/>
  <c r="G4141" i="1"/>
  <c r="H4141" i="1"/>
  <c r="D4142" i="1"/>
  <c r="E4142" i="1"/>
  <c r="F4142" i="1"/>
  <c r="G4142" i="1"/>
  <c r="H4142" i="1"/>
  <c r="D4143" i="1"/>
  <c r="E4143" i="1"/>
  <c r="F4143" i="1"/>
  <c r="G4143" i="1"/>
  <c r="H4143" i="1"/>
  <c r="D4144" i="1"/>
  <c r="E4144" i="1"/>
  <c r="F4144" i="1"/>
  <c r="G4144" i="1"/>
  <c r="H4144" i="1"/>
  <c r="D4145" i="1"/>
  <c r="E4145" i="1"/>
  <c r="F4145" i="1"/>
  <c r="G4145" i="1"/>
  <c r="H4145" i="1"/>
  <c r="D4146" i="1"/>
  <c r="E4146" i="1"/>
  <c r="F4146" i="1"/>
  <c r="G4146" i="1"/>
  <c r="H4146" i="1"/>
  <c r="D4147" i="1"/>
  <c r="E4147" i="1"/>
  <c r="F4147" i="1"/>
  <c r="G4147" i="1"/>
  <c r="H4147" i="1"/>
  <c r="D4148" i="1"/>
  <c r="E4148" i="1"/>
  <c r="F4148" i="1"/>
  <c r="G4148" i="1"/>
  <c r="H4148" i="1"/>
  <c r="D4149" i="1"/>
  <c r="E4149" i="1"/>
  <c r="F4149" i="1"/>
  <c r="G4149" i="1"/>
  <c r="H4149" i="1"/>
  <c r="D4150" i="1"/>
  <c r="E4150" i="1"/>
  <c r="F4150" i="1"/>
  <c r="G4150" i="1"/>
  <c r="H4150" i="1"/>
  <c r="D4151" i="1"/>
  <c r="E4151" i="1"/>
  <c r="F4151" i="1"/>
  <c r="G4151" i="1"/>
  <c r="H4151" i="1"/>
  <c r="D4152" i="1"/>
  <c r="E4152" i="1"/>
  <c r="F4152" i="1"/>
  <c r="G4152" i="1"/>
  <c r="H4152" i="1"/>
  <c r="D4153" i="1"/>
  <c r="E4153" i="1"/>
  <c r="F4153" i="1"/>
  <c r="G4153" i="1"/>
  <c r="H4153" i="1"/>
  <c r="D4154" i="1"/>
  <c r="E4154" i="1"/>
  <c r="F4154" i="1"/>
  <c r="G4154" i="1"/>
  <c r="H4154" i="1"/>
  <c r="D4155" i="1"/>
  <c r="E4155" i="1"/>
  <c r="F4155" i="1"/>
  <c r="G4155" i="1"/>
  <c r="H4155" i="1"/>
  <c r="D4156" i="1"/>
  <c r="E4156" i="1"/>
  <c r="F4156" i="1"/>
  <c r="G4156" i="1"/>
  <c r="H4156" i="1"/>
  <c r="D4157" i="1"/>
  <c r="E4157" i="1"/>
  <c r="F4157" i="1"/>
  <c r="G4157" i="1"/>
  <c r="H4157" i="1"/>
  <c r="D4158" i="1"/>
  <c r="E4158" i="1"/>
  <c r="F4158" i="1"/>
  <c r="G4158" i="1"/>
  <c r="H4158" i="1"/>
  <c r="D4159" i="1"/>
  <c r="E4159" i="1"/>
  <c r="F4159" i="1"/>
  <c r="G4159" i="1"/>
  <c r="H4159" i="1"/>
  <c r="D4160" i="1"/>
  <c r="E4160" i="1"/>
  <c r="F4160" i="1"/>
  <c r="G4160" i="1"/>
  <c r="H4160" i="1"/>
  <c r="D4161" i="1"/>
  <c r="E4161" i="1"/>
  <c r="F4161" i="1"/>
  <c r="G4161" i="1"/>
  <c r="H4161" i="1"/>
  <c r="D4162" i="1"/>
  <c r="E4162" i="1"/>
  <c r="F4162" i="1"/>
  <c r="G4162" i="1"/>
  <c r="H4162" i="1"/>
  <c r="D4163" i="1"/>
  <c r="E4163" i="1"/>
  <c r="F4163" i="1"/>
  <c r="G4163" i="1"/>
  <c r="H4163" i="1"/>
  <c r="D4164" i="1"/>
  <c r="E4164" i="1"/>
  <c r="F4164" i="1"/>
  <c r="G4164" i="1"/>
  <c r="H4164" i="1"/>
  <c r="D4165" i="1"/>
  <c r="E4165" i="1"/>
  <c r="F4165" i="1"/>
  <c r="G4165" i="1"/>
  <c r="H4165" i="1"/>
  <c r="D4166" i="1"/>
  <c r="E4166" i="1"/>
  <c r="F4166" i="1"/>
  <c r="G4166" i="1"/>
  <c r="H4166" i="1"/>
  <c r="D4167" i="1"/>
  <c r="E4167" i="1"/>
  <c r="F4167" i="1"/>
  <c r="G4167" i="1"/>
  <c r="H4167" i="1"/>
  <c r="D4168" i="1"/>
  <c r="E4168" i="1"/>
  <c r="F4168" i="1"/>
  <c r="G4168" i="1"/>
  <c r="H4168" i="1"/>
  <c r="D4169" i="1"/>
  <c r="E4169" i="1"/>
  <c r="F4169" i="1"/>
  <c r="G4169" i="1"/>
  <c r="H4169" i="1"/>
  <c r="D4170" i="1"/>
  <c r="E4170" i="1"/>
  <c r="F4170" i="1"/>
  <c r="G4170" i="1"/>
  <c r="H4170" i="1"/>
  <c r="D4171" i="1"/>
  <c r="E4171" i="1"/>
  <c r="F4171" i="1"/>
  <c r="G4171" i="1"/>
  <c r="H4171" i="1"/>
  <c r="D4172" i="1"/>
  <c r="E4172" i="1"/>
  <c r="F4172" i="1"/>
  <c r="G4172" i="1"/>
  <c r="H4172" i="1"/>
  <c r="D4173" i="1"/>
  <c r="E4173" i="1"/>
  <c r="F4173" i="1"/>
  <c r="G4173" i="1"/>
  <c r="H4173" i="1"/>
  <c r="D4174" i="1"/>
  <c r="E4174" i="1"/>
  <c r="F4174" i="1"/>
  <c r="G4174" i="1"/>
  <c r="H4174" i="1"/>
  <c r="D4175" i="1"/>
  <c r="E4175" i="1"/>
  <c r="F4175" i="1"/>
  <c r="G4175" i="1"/>
  <c r="H4175" i="1"/>
  <c r="D4176" i="1"/>
  <c r="E4176" i="1"/>
  <c r="F4176" i="1"/>
  <c r="G4176" i="1"/>
  <c r="H4176" i="1"/>
  <c r="D4177" i="1"/>
  <c r="E4177" i="1"/>
  <c r="F4177" i="1"/>
  <c r="G4177" i="1"/>
  <c r="H4177" i="1"/>
  <c r="D4178" i="1"/>
  <c r="E4178" i="1"/>
  <c r="F4178" i="1"/>
  <c r="G4178" i="1"/>
  <c r="H4178" i="1"/>
  <c r="D4179" i="1"/>
  <c r="E4179" i="1"/>
  <c r="F4179" i="1"/>
  <c r="G4179" i="1"/>
  <c r="H4179" i="1"/>
  <c r="D4180" i="1"/>
  <c r="E4180" i="1"/>
  <c r="F4180" i="1"/>
  <c r="G4180" i="1"/>
  <c r="H4180" i="1"/>
  <c r="D4181" i="1"/>
  <c r="E4181" i="1"/>
  <c r="F4181" i="1"/>
  <c r="G4181" i="1"/>
  <c r="H4181" i="1"/>
  <c r="D4182" i="1"/>
  <c r="E4182" i="1"/>
  <c r="F4182" i="1"/>
  <c r="G4182" i="1"/>
  <c r="H4182" i="1"/>
  <c r="D4183" i="1"/>
  <c r="E4183" i="1"/>
  <c r="F4183" i="1"/>
  <c r="G4183" i="1"/>
  <c r="H4183" i="1"/>
  <c r="D4184" i="1"/>
  <c r="E4184" i="1"/>
  <c r="F4184" i="1"/>
  <c r="G4184" i="1"/>
  <c r="H4184" i="1"/>
  <c r="D4185" i="1"/>
  <c r="E4185" i="1"/>
  <c r="F4185" i="1"/>
  <c r="G4185" i="1"/>
  <c r="H4185" i="1"/>
  <c r="D4186" i="1"/>
  <c r="E4186" i="1"/>
  <c r="F4186" i="1"/>
  <c r="G4186" i="1"/>
  <c r="H4186" i="1"/>
  <c r="D4187" i="1"/>
  <c r="E4187" i="1"/>
  <c r="F4187" i="1"/>
  <c r="G4187" i="1"/>
  <c r="H4187" i="1"/>
  <c r="D4188" i="1"/>
  <c r="E4188" i="1"/>
  <c r="F4188" i="1"/>
  <c r="G4188" i="1"/>
  <c r="H4188" i="1"/>
  <c r="D4189" i="1"/>
  <c r="E4189" i="1"/>
  <c r="F4189" i="1"/>
  <c r="G4189" i="1"/>
  <c r="H4189" i="1"/>
  <c r="D4190" i="1"/>
  <c r="E4190" i="1"/>
  <c r="F4190" i="1"/>
  <c r="G4190" i="1"/>
  <c r="H4190" i="1"/>
  <c r="D4191" i="1"/>
  <c r="E4191" i="1"/>
  <c r="F4191" i="1"/>
  <c r="G4191" i="1"/>
  <c r="H4191" i="1"/>
  <c r="D4192" i="1"/>
  <c r="E4192" i="1"/>
  <c r="F4192" i="1"/>
  <c r="G4192" i="1"/>
  <c r="H4192" i="1"/>
  <c r="D4193" i="1"/>
  <c r="E4193" i="1"/>
  <c r="F4193" i="1"/>
  <c r="G4193" i="1"/>
  <c r="H4193" i="1"/>
  <c r="D4194" i="1"/>
  <c r="E4194" i="1"/>
  <c r="F4194" i="1"/>
  <c r="G4194" i="1"/>
  <c r="H4194" i="1"/>
  <c r="D4195" i="1"/>
  <c r="E4195" i="1"/>
  <c r="F4195" i="1"/>
  <c r="G4195" i="1"/>
  <c r="H4195" i="1"/>
  <c r="D4196" i="1"/>
  <c r="E4196" i="1"/>
  <c r="F4196" i="1"/>
  <c r="G4196" i="1"/>
  <c r="H4196" i="1"/>
  <c r="D4197" i="1"/>
  <c r="E4197" i="1"/>
  <c r="F4197" i="1"/>
  <c r="G4197" i="1"/>
  <c r="H4197" i="1"/>
  <c r="D4198" i="1"/>
  <c r="E4198" i="1"/>
  <c r="F4198" i="1"/>
  <c r="G4198" i="1"/>
  <c r="H4198" i="1"/>
  <c r="D4199" i="1"/>
  <c r="E4199" i="1"/>
  <c r="F4199" i="1"/>
  <c r="G4199" i="1"/>
  <c r="H4199" i="1"/>
  <c r="D4200" i="1"/>
  <c r="E4200" i="1"/>
  <c r="F4200" i="1"/>
  <c r="G4200" i="1"/>
  <c r="H4200" i="1"/>
  <c r="D4201" i="1"/>
  <c r="E4201" i="1"/>
  <c r="F4201" i="1"/>
  <c r="G4201" i="1"/>
  <c r="H4201" i="1"/>
  <c r="D4202" i="1"/>
  <c r="E4202" i="1"/>
  <c r="F4202" i="1"/>
  <c r="G4202" i="1"/>
  <c r="H4202" i="1"/>
  <c r="D4203" i="1"/>
  <c r="E4203" i="1"/>
  <c r="F4203" i="1"/>
  <c r="G4203" i="1"/>
  <c r="H4203" i="1"/>
  <c r="D4204" i="1"/>
  <c r="E4204" i="1"/>
  <c r="F4204" i="1"/>
  <c r="G4204" i="1"/>
  <c r="H4204" i="1"/>
  <c r="D4205" i="1"/>
  <c r="E4205" i="1"/>
  <c r="F4205" i="1"/>
  <c r="G4205" i="1"/>
  <c r="H4205" i="1"/>
  <c r="D4206" i="1"/>
  <c r="E4206" i="1"/>
  <c r="F4206" i="1"/>
  <c r="G4206" i="1"/>
  <c r="H4206" i="1"/>
  <c r="D4207" i="1"/>
  <c r="E4207" i="1"/>
  <c r="F4207" i="1"/>
  <c r="G4207" i="1"/>
  <c r="H4207" i="1"/>
  <c r="D4208" i="1"/>
  <c r="E4208" i="1"/>
  <c r="F4208" i="1"/>
  <c r="G4208" i="1"/>
  <c r="H4208" i="1"/>
  <c r="D4209" i="1"/>
  <c r="E4209" i="1"/>
  <c r="F4209" i="1"/>
  <c r="G4209" i="1"/>
  <c r="H4209" i="1"/>
  <c r="D4210" i="1"/>
  <c r="E4210" i="1"/>
  <c r="F4210" i="1"/>
  <c r="G4210" i="1"/>
  <c r="H4210" i="1"/>
  <c r="D4211" i="1"/>
  <c r="E4211" i="1"/>
  <c r="F4211" i="1"/>
  <c r="G4211" i="1"/>
  <c r="H4211" i="1"/>
  <c r="D4212" i="1"/>
  <c r="E4212" i="1"/>
  <c r="F4212" i="1"/>
  <c r="G4212" i="1"/>
  <c r="H4212" i="1"/>
  <c r="D4213" i="1"/>
  <c r="E4213" i="1"/>
  <c r="F4213" i="1"/>
  <c r="G4213" i="1"/>
  <c r="H4213" i="1"/>
  <c r="D4214" i="1"/>
  <c r="E4214" i="1"/>
  <c r="F4214" i="1"/>
  <c r="G4214" i="1"/>
  <c r="H4214" i="1"/>
  <c r="D4215" i="1"/>
  <c r="E4215" i="1"/>
  <c r="F4215" i="1"/>
  <c r="G4215" i="1"/>
  <c r="H4215" i="1"/>
  <c r="D4216" i="1"/>
  <c r="E4216" i="1"/>
  <c r="F4216" i="1"/>
  <c r="G4216" i="1"/>
  <c r="H4216" i="1"/>
  <c r="D4217" i="1"/>
  <c r="E4217" i="1"/>
  <c r="F4217" i="1"/>
  <c r="G4217" i="1"/>
  <c r="H4217" i="1"/>
  <c r="D4218" i="1"/>
  <c r="E4218" i="1"/>
  <c r="F4218" i="1"/>
  <c r="G4218" i="1"/>
  <c r="H4218" i="1"/>
  <c r="D4219" i="1"/>
  <c r="E4219" i="1"/>
  <c r="F4219" i="1"/>
  <c r="G4219" i="1"/>
  <c r="H4219" i="1"/>
  <c r="D4220" i="1"/>
  <c r="E4220" i="1"/>
  <c r="F4220" i="1"/>
  <c r="G4220" i="1"/>
  <c r="H4220" i="1"/>
  <c r="D4221" i="1"/>
  <c r="E4221" i="1"/>
  <c r="F4221" i="1"/>
  <c r="G4221" i="1"/>
  <c r="H4221" i="1"/>
  <c r="D4222" i="1"/>
  <c r="E4222" i="1"/>
  <c r="F4222" i="1"/>
  <c r="G4222" i="1"/>
  <c r="H4222" i="1"/>
  <c r="D4223" i="1"/>
  <c r="E4223" i="1"/>
  <c r="F4223" i="1"/>
  <c r="G4223" i="1"/>
  <c r="H4223" i="1"/>
  <c r="D4224" i="1"/>
  <c r="E4224" i="1"/>
  <c r="F4224" i="1"/>
  <c r="G4224" i="1"/>
  <c r="H4224" i="1"/>
  <c r="D4225" i="1"/>
  <c r="E4225" i="1"/>
  <c r="F4225" i="1"/>
  <c r="G4225" i="1"/>
  <c r="H4225" i="1"/>
  <c r="D4226" i="1"/>
  <c r="E4226" i="1"/>
  <c r="F4226" i="1"/>
  <c r="G4226" i="1"/>
  <c r="H4226" i="1"/>
  <c r="D4227" i="1"/>
  <c r="E4227" i="1"/>
  <c r="F4227" i="1"/>
  <c r="G4227" i="1"/>
  <c r="H4227" i="1"/>
  <c r="D4228" i="1"/>
  <c r="E4228" i="1"/>
  <c r="F4228" i="1"/>
  <c r="G4228" i="1"/>
  <c r="H4228" i="1"/>
  <c r="D4229" i="1"/>
  <c r="E4229" i="1"/>
  <c r="F4229" i="1"/>
  <c r="G4229" i="1"/>
  <c r="H4229" i="1"/>
  <c r="D4230" i="1"/>
  <c r="E4230" i="1"/>
  <c r="F4230" i="1"/>
  <c r="G4230" i="1"/>
  <c r="H4230" i="1"/>
  <c r="D4231" i="1"/>
  <c r="E4231" i="1"/>
  <c r="F4231" i="1"/>
  <c r="G4231" i="1"/>
  <c r="H4231" i="1"/>
  <c r="D4232" i="1"/>
  <c r="E4232" i="1"/>
  <c r="F4232" i="1"/>
  <c r="G4232" i="1"/>
  <c r="H4232" i="1"/>
  <c r="D4233" i="1"/>
  <c r="E4233" i="1"/>
  <c r="F4233" i="1"/>
  <c r="G4233" i="1"/>
  <c r="H4233" i="1"/>
  <c r="D4234" i="1"/>
  <c r="E4234" i="1"/>
  <c r="F4234" i="1"/>
  <c r="G4234" i="1"/>
  <c r="H4234" i="1"/>
  <c r="D4235" i="1"/>
  <c r="E4235" i="1"/>
  <c r="F4235" i="1"/>
  <c r="G4235" i="1"/>
  <c r="H4235" i="1"/>
  <c r="D4236" i="1"/>
  <c r="E4236" i="1"/>
  <c r="F4236" i="1"/>
  <c r="G4236" i="1"/>
  <c r="H4236" i="1"/>
  <c r="D4237" i="1"/>
  <c r="E4237" i="1"/>
  <c r="F4237" i="1"/>
  <c r="G4237" i="1"/>
  <c r="H4237" i="1"/>
  <c r="D4238" i="1"/>
  <c r="E4238" i="1"/>
  <c r="F4238" i="1"/>
  <c r="G4238" i="1"/>
  <c r="H4238" i="1"/>
  <c r="D4239" i="1"/>
  <c r="E4239" i="1"/>
  <c r="F4239" i="1"/>
  <c r="G4239" i="1"/>
  <c r="H4239" i="1"/>
  <c r="D4240" i="1"/>
  <c r="E4240" i="1"/>
  <c r="F4240" i="1"/>
  <c r="G4240" i="1"/>
  <c r="H4240" i="1"/>
  <c r="D4241" i="1"/>
  <c r="E4241" i="1"/>
  <c r="F4241" i="1"/>
  <c r="G4241" i="1"/>
  <c r="H4241" i="1"/>
  <c r="D4242" i="1"/>
  <c r="E4242" i="1"/>
  <c r="F4242" i="1"/>
  <c r="G4242" i="1"/>
  <c r="H4242" i="1"/>
  <c r="D4243" i="1"/>
  <c r="E4243" i="1"/>
  <c r="F4243" i="1"/>
  <c r="G4243" i="1"/>
  <c r="H4243" i="1"/>
  <c r="D4244" i="1"/>
  <c r="E4244" i="1"/>
  <c r="F4244" i="1"/>
  <c r="G4244" i="1"/>
  <c r="H4244" i="1"/>
  <c r="D4245" i="1"/>
  <c r="E4245" i="1"/>
  <c r="F4245" i="1"/>
  <c r="G4245" i="1"/>
  <c r="H4245" i="1"/>
  <c r="D4246" i="1"/>
  <c r="E4246" i="1"/>
  <c r="F4246" i="1"/>
  <c r="G4246" i="1"/>
  <c r="H4246" i="1"/>
  <c r="D4247" i="1"/>
  <c r="E4247" i="1"/>
  <c r="F4247" i="1"/>
  <c r="G4247" i="1"/>
  <c r="H4247" i="1"/>
  <c r="D4248" i="1"/>
  <c r="E4248" i="1"/>
  <c r="F4248" i="1"/>
  <c r="G4248" i="1"/>
  <c r="H4248" i="1"/>
  <c r="D4249" i="1"/>
  <c r="E4249" i="1"/>
  <c r="F4249" i="1"/>
  <c r="G4249" i="1"/>
  <c r="H4249" i="1"/>
  <c r="D4250" i="1"/>
  <c r="E4250" i="1"/>
  <c r="F4250" i="1"/>
  <c r="G4250" i="1"/>
  <c r="H4250" i="1"/>
  <c r="D4251" i="1"/>
  <c r="E4251" i="1"/>
  <c r="F4251" i="1"/>
  <c r="G4251" i="1"/>
  <c r="H4251" i="1"/>
  <c r="D4252" i="1"/>
  <c r="E4252" i="1"/>
  <c r="F4252" i="1"/>
  <c r="G4252" i="1"/>
  <c r="H4252" i="1"/>
  <c r="D4253" i="1"/>
  <c r="E4253" i="1"/>
  <c r="F4253" i="1"/>
  <c r="G4253" i="1"/>
  <c r="H4253" i="1"/>
  <c r="D4254" i="1"/>
  <c r="E4254" i="1"/>
  <c r="F4254" i="1"/>
  <c r="G4254" i="1"/>
  <c r="H4254" i="1"/>
  <c r="D4255" i="1"/>
  <c r="E4255" i="1"/>
  <c r="F4255" i="1"/>
  <c r="G4255" i="1"/>
  <c r="H4255" i="1"/>
  <c r="D4256" i="1"/>
  <c r="E4256" i="1"/>
  <c r="F4256" i="1"/>
  <c r="G4256" i="1"/>
  <c r="H4256" i="1"/>
  <c r="D4257" i="1"/>
  <c r="E4257" i="1"/>
  <c r="F4257" i="1"/>
  <c r="G4257" i="1"/>
  <c r="H4257" i="1"/>
  <c r="D4258" i="1"/>
  <c r="E4258" i="1"/>
  <c r="F4258" i="1"/>
  <c r="G4258" i="1"/>
  <c r="H4258" i="1"/>
  <c r="D4259" i="1"/>
  <c r="E4259" i="1"/>
  <c r="F4259" i="1"/>
  <c r="G4259" i="1"/>
  <c r="H4259" i="1"/>
  <c r="D4260" i="1"/>
  <c r="E4260" i="1"/>
  <c r="F4260" i="1"/>
  <c r="G4260" i="1"/>
  <c r="H4260" i="1"/>
  <c r="D4261" i="1"/>
  <c r="E4261" i="1"/>
  <c r="F4261" i="1"/>
  <c r="G4261" i="1"/>
  <c r="H4261" i="1"/>
  <c r="D4262" i="1"/>
  <c r="E4262" i="1"/>
  <c r="F4262" i="1"/>
  <c r="G4262" i="1"/>
  <c r="H4262" i="1"/>
  <c r="D4263" i="1"/>
  <c r="E4263" i="1"/>
  <c r="F4263" i="1"/>
  <c r="G4263" i="1"/>
  <c r="H4263" i="1"/>
  <c r="D4264" i="1"/>
  <c r="E4264" i="1"/>
  <c r="F4264" i="1"/>
  <c r="G4264" i="1"/>
  <c r="H4264" i="1"/>
  <c r="D4265" i="1"/>
  <c r="E4265" i="1"/>
  <c r="F4265" i="1"/>
  <c r="G4265" i="1"/>
  <c r="H4265" i="1"/>
  <c r="D4266" i="1"/>
  <c r="E4266" i="1"/>
  <c r="F4266" i="1"/>
  <c r="G4266" i="1"/>
  <c r="H4266" i="1"/>
  <c r="D4267" i="1"/>
  <c r="E4267" i="1"/>
  <c r="F4267" i="1"/>
  <c r="G4267" i="1"/>
  <c r="H4267" i="1"/>
  <c r="D4268" i="1"/>
  <c r="E4268" i="1"/>
  <c r="F4268" i="1"/>
  <c r="G4268" i="1"/>
  <c r="H4268" i="1"/>
  <c r="D4269" i="1"/>
  <c r="E4269" i="1"/>
  <c r="F4269" i="1"/>
  <c r="G4269" i="1"/>
  <c r="H4269" i="1"/>
  <c r="D4270" i="1"/>
  <c r="E4270" i="1"/>
  <c r="F4270" i="1"/>
  <c r="G4270" i="1"/>
  <c r="H4270" i="1"/>
  <c r="D4271" i="1"/>
  <c r="E4271" i="1"/>
  <c r="F4271" i="1"/>
  <c r="G4271" i="1"/>
  <c r="H4271" i="1"/>
  <c r="D4272" i="1"/>
  <c r="E4272" i="1"/>
  <c r="F4272" i="1"/>
  <c r="G4272" i="1"/>
  <c r="H4272" i="1"/>
  <c r="D4273" i="1"/>
  <c r="E4273" i="1"/>
  <c r="F4273" i="1"/>
  <c r="G4273" i="1"/>
  <c r="H4273" i="1"/>
  <c r="D4274" i="1"/>
  <c r="E4274" i="1"/>
  <c r="F4274" i="1"/>
  <c r="G4274" i="1"/>
  <c r="H4274" i="1"/>
  <c r="D4275" i="1"/>
  <c r="E4275" i="1"/>
  <c r="F4275" i="1"/>
  <c r="G4275" i="1"/>
  <c r="H4275" i="1"/>
  <c r="D4276" i="1"/>
  <c r="E4276" i="1"/>
  <c r="F4276" i="1"/>
  <c r="G4276" i="1"/>
  <c r="H4276" i="1"/>
  <c r="D4277" i="1"/>
  <c r="E4277" i="1"/>
  <c r="F4277" i="1"/>
  <c r="G4277" i="1"/>
  <c r="H4277" i="1"/>
  <c r="D4278" i="1"/>
  <c r="E4278" i="1"/>
  <c r="F4278" i="1"/>
  <c r="G4278" i="1"/>
  <c r="H4278" i="1"/>
  <c r="D4279" i="1"/>
  <c r="E4279" i="1"/>
  <c r="F4279" i="1"/>
  <c r="G4279" i="1"/>
  <c r="H4279" i="1"/>
  <c r="D4280" i="1"/>
  <c r="E4280" i="1"/>
  <c r="F4280" i="1"/>
  <c r="G4280" i="1"/>
  <c r="H4280" i="1"/>
  <c r="D4281" i="1"/>
  <c r="E4281" i="1"/>
  <c r="F4281" i="1"/>
  <c r="G4281" i="1"/>
  <c r="H4281" i="1"/>
  <c r="D4282" i="1"/>
  <c r="E4282" i="1"/>
  <c r="F4282" i="1"/>
  <c r="G4282" i="1"/>
  <c r="H4282" i="1"/>
  <c r="D4283" i="1"/>
  <c r="E4283" i="1"/>
  <c r="F4283" i="1"/>
  <c r="G4283" i="1"/>
  <c r="H4283" i="1"/>
  <c r="D4284" i="1"/>
  <c r="E4284" i="1"/>
  <c r="F4284" i="1"/>
  <c r="G4284" i="1"/>
  <c r="H4284" i="1"/>
  <c r="D4285" i="1"/>
  <c r="E4285" i="1"/>
  <c r="F4285" i="1"/>
  <c r="G4285" i="1"/>
  <c r="H4285" i="1"/>
  <c r="D4286" i="1"/>
  <c r="E4286" i="1"/>
  <c r="F4286" i="1"/>
  <c r="G4286" i="1"/>
  <c r="H4286" i="1"/>
  <c r="D4287" i="1"/>
  <c r="E4287" i="1"/>
  <c r="F4287" i="1"/>
  <c r="G4287" i="1"/>
  <c r="H4287" i="1"/>
  <c r="D4288" i="1"/>
  <c r="E4288" i="1"/>
  <c r="F4288" i="1"/>
  <c r="G4288" i="1"/>
  <c r="H4288" i="1"/>
  <c r="D4289" i="1"/>
  <c r="E4289" i="1"/>
  <c r="F4289" i="1"/>
  <c r="G4289" i="1"/>
  <c r="H4289" i="1"/>
  <c r="D4290" i="1"/>
  <c r="E4290" i="1"/>
  <c r="F4290" i="1"/>
  <c r="G4290" i="1"/>
  <c r="H4290" i="1"/>
  <c r="D4291" i="1"/>
  <c r="E4291" i="1"/>
  <c r="F4291" i="1"/>
  <c r="G4291" i="1"/>
  <c r="H4291" i="1"/>
  <c r="D4292" i="1"/>
  <c r="E4292" i="1"/>
  <c r="F4292" i="1"/>
  <c r="G4292" i="1"/>
  <c r="H4292" i="1"/>
  <c r="D4293" i="1"/>
  <c r="E4293" i="1"/>
  <c r="F4293" i="1"/>
  <c r="G4293" i="1"/>
  <c r="H4293" i="1"/>
  <c r="D4294" i="1"/>
  <c r="E4294" i="1"/>
  <c r="F4294" i="1"/>
  <c r="G4294" i="1"/>
  <c r="H4294" i="1"/>
  <c r="D4295" i="1"/>
  <c r="E4295" i="1"/>
  <c r="F4295" i="1"/>
  <c r="G4295" i="1"/>
  <c r="H4295" i="1"/>
  <c r="D4296" i="1"/>
  <c r="E4296" i="1"/>
  <c r="F4296" i="1"/>
  <c r="G4296" i="1"/>
  <c r="H4296" i="1"/>
  <c r="D4297" i="1"/>
  <c r="E4297" i="1"/>
  <c r="F4297" i="1"/>
  <c r="G4297" i="1"/>
  <c r="H4297" i="1"/>
  <c r="D4298" i="1"/>
  <c r="E4298" i="1"/>
  <c r="F4298" i="1"/>
  <c r="G4298" i="1"/>
  <c r="H4298" i="1"/>
  <c r="D4299" i="1"/>
  <c r="E4299" i="1"/>
  <c r="F4299" i="1"/>
  <c r="G4299" i="1"/>
  <c r="H4299" i="1"/>
  <c r="D4300" i="1"/>
  <c r="E4300" i="1"/>
  <c r="F4300" i="1"/>
  <c r="G4300" i="1"/>
  <c r="H4300" i="1"/>
  <c r="D4301" i="1"/>
  <c r="E4301" i="1"/>
  <c r="F4301" i="1"/>
  <c r="G4301" i="1"/>
  <c r="H4301" i="1"/>
  <c r="D4302" i="1"/>
  <c r="E4302" i="1"/>
  <c r="F4302" i="1"/>
  <c r="G4302" i="1"/>
  <c r="H4302" i="1"/>
  <c r="D4303" i="1"/>
  <c r="E4303" i="1"/>
  <c r="F4303" i="1"/>
  <c r="G4303" i="1"/>
  <c r="H4303" i="1"/>
  <c r="D4304" i="1"/>
  <c r="E4304" i="1"/>
  <c r="F4304" i="1"/>
  <c r="G4304" i="1"/>
  <c r="H4304" i="1"/>
  <c r="D4305" i="1"/>
  <c r="E4305" i="1"/>
  <c r="F4305" i="1"/>
  <c r="G4305" i="1"/>
  <c r="H4305" i="1"/>
  <c r="D4306" i="1"/>
  <c r="E4306" i="1"/>
  <c r="F4306" i="1"/>
  <c r="G4306" i="1"/>
  <c r="H4306" i="1"/>
  <c r="D4307" i="1"/>
  <c r="E4307" i="1"/>
  <c r="F4307" i="1"/>
  <c r="G4307" i="1"/>
  <c r="H4307" i="1"/>
  <c r="D4308" i="1"/>
  <c r="E4308" i="1"/>
  <c r="F4308" i="1"/>
  <c r="G4308" i="1"/>
  <c r="H4308" i="1"/>
  <c r="D4309" i="1"/>
  <c r="E4309" i="1"/>
  <c r="F4309" i="1"/>
  <c r="G4309" i="1"/>
  <c r="H4309" i="1"/>
  <c r="D4310" i="1"/>
  <c r="E4310" i="1"/>
  <c r="F4310" i="1"/>
  <c r="G4310" i="1"/>
  <c r="H4310" i="1"/>
  <c r="D4311" i="1"/>
  <c r="E4311" i="1"/>
  <c r="F4311" i="1"/>
  <c r="G4311" i="1"/>
  <c r="H4311" i="1"/>
  <c r="D4312" i="1"/>
  <c r="E4312" i="1"/>
  <c r="F4312" i="1"/>
  <c r="G4312" i="1"/>
  <c r="H4312" i="1"/>
  <c r="D4313" i="1"/>
  <c r="E4313" i="1"/>
  <c r="F4313" i="1"/>
  <c r="G4313" i="1"/>
  <c r="H4313" i="1"/>
  <c r="D4314" i="1"/>
  <c r="E4314" i="1"/>
  <c r="F4314" i="1"/>
  <c r="G4314" i="1"/>
  <c r="H4314" i="1"/>
  <c r="D4315" i="1"/>
  <c r="E4315" i="1"/>
  <c r="F4315" i="1"/>
  <c r="G4315" i="1"/>
  <c r="H4315" i="1"/>
  <c r="D4316" i="1"/>
  <c r="E4316" i="1"/>
  <c r="F4316" i="1"/>
  <c r="G4316" i="1"/>
  <c r="H4316" i="1"/>
  <c r="D4317" i="1"/>
  <c r="E4317" i="1"/>
  <c r="F4317" i="1"/>
  <c r="G4317" i="1"/>
  <c r="H4317" i="1"/>
  <c r="D4318" i="1"/>
  <c r="E4318" i="1"/>
  <c r="F4318" i="1"/>
  <c r="G4318" i="1"/>
  <c r="H4318" i="1"/>
  <c r="D4319" i="1"/>
  <c r="E4319" i="1"/>
  <c r="F4319" i="1"/>
  <c r="G4319" i="1"/>
  <c r="H4319" i="1"/>
  <c r="D4320" i="1"/>
  <c r="E4320" i="1"/>
  <c r="F4320" i="1"/>
  <c r="G4320" i="1"/>
  <c r="H4320" i="1"/>
  <c r="D4321" i="1"/>
  <c r="E4321" i="1"/>
  <c r="F4321" i="1"/>
  <c r="G4321" i="1"/>
  <c r="H4321" i="1"/>
  <c r="D4322" i="1"/>
  <c r="E4322" i="1"/>
  <c r="F4322" i="1"/>
  <c r="G4322" i="1"/>
  <c r="H4322" i="1"/>
  <c r="D4323" i="1"/>
  <c r="E4323" i="1"/>
  <c r="F4323" i="1"/>
  <c r="G4323" i="1"/>
  <c r="H4323" i="1"/>
  <c r="D4324" i="1"/>
  <c r="E4324" i="1"/>
  <c r="F4324" i="1"/>
  <c r="G4324" i="1"/>
  <c r="H4324" i="1"/>
  <c r="D4325" i="1"/>
  <c r="E4325" i="1"/>
  <c r="F4325" i="1"/>
  <c r="G4325" i="1"/>
  <c r="H4325" i="1"/>
  <c r="D4326" i="1"/>
  <c r="E4326" i="1"/>
  <c r="F4326" i="1"/>
  <c r="G4326" i="1"/>
  <c r="H4326" i="1"/>
  <c r="D4327" i="1"/>
  <c r="E4327" i="1"/>
  <c r="F4327" i="1"/>
  <c r="G4327" i="1"/>
  <c r="H4327" i="1"/>
  <c r="D4328" i="1"/>
  <c r="E4328" i="1"/>
  <c r="F4328" i="1"/>
  <c r="G4328" i="1"/>
  <c r="H4328" i="1"/>
  <c r="D4329" i="1"/>
  <c r="E4329" i="1"/>
  <c r="F4329" i="1"/>
  <c r="G4329" i="1"/>
  <c r="H4329" i="1"/>
  <c r="D4330" i="1"/>
  <c r="E4330" i="1"/>
  <c r="F4330" i="1"/>
  <c r="G4330" i="1"/>
  <c r="H4330" i="1"/>
  <c r="D4331" i="1"/>
  <c r="E4331" i="1"/>
  <c r="F4331" i="1"/>
  <c r="G4331" i="1"/>
  <c r="H4331" i="1"/>
  <c r="D4332" i="1"/>
  <c r="E4332" i="1"/>
  <c r="F4332" i="1"/>
  <c r="G4332" i="1"/>
  <c r="H4332" i="1"/>
  <c r="D4333" i="1"/>
  <c r="E4333" i="1"/>
  <c r="F4333" i="1"/>
  <c r="G4333" i="1"/>
  <c r="H4333" i="1"/>
  <c r="D4334" i="1"/>
  <c r="E4334" i="1"/>
  <c r="F4334" i="1"/>
  <c r="G4334" i="1"/>
  <c r="H4334" i="1"/>
  <c r="D4335" i="1"/>
  <c r="E4335" i="1"/>
  <c r="F4335" i="1"/>
  <c r="G4335" i="1"/>
  <c r="H4335" i="1"/>
  <c r="D4336" i="1"/>
  <c r="E4336" i="1"/>
  <c r="F4336" i="1"/>
  <c r="G4336" i="1"/>
  <c r="H4336" i="1"/>
  <c r="D4337" i="1"/>
  <c r="E4337" i="1"/>
  <c r="F4337" i="1"/>
  <c r="G4337" i="1"/>
  <c r="H4337" i="1"/>
  <c r="D4338" i="1"/>
  <c r="E4338" i="1"/>
  <c r="F4338" i="1"/>
  <c r="G4338" i="1"/>
  <c r="H4338" i="1"/>
  <c r="D4339" i="1"/>
  <c r="E4339" i="1"/>
  <c r="F4339" i="1"/>
  <c r="G4339" i="1"/>
  <c r="H4339" i="1"/>
  <c r="D4340" i="1"/>
  <c r="E4340" i="1"/>
  <c r="F4340" i="1"/>
  <c r="G4340" i="1"/>
  <c r="H4340" i="1"/>
  <c r="D4341" i="1"/>
  <c r="E4341" i="1"/>
  <c r="F4341" i="1"/>
  <c r="G4341" i="1"/>
  <c r="H4341" i="1"/>
  <c r="D4342" i="1"/>
  <c r="E4342" i="1"/>
  <c r="F4342" i="1"/>
  <c r="G4342" i="1"/>
  <c r="H4342" i="1"/>
  <c r="D4343" i="1"/>
  <c r="E4343" i="1"/>
  <c r="F4343" i="1"/>
  <c r="G4343" i="1"/>
  <c r="H4343" i="1"/>
  <c r="D4344" i="1"/>
  <c r="E4344" i="1"/>
  <c r="F4344" i="1"/>
  <c r="G4344" i="1"/>
  <c r="H4344" i="1"/>
  <c r="D4345" i="1"/>
  <c r="E4345" i="1"/>
  <c r="F4345" i="1"/>
  <c r="G4345" i="1"/>
  <c r="H4345" i="1"/>
  <c r="D4346" i="1"/>
  <c r="E4346" i="1"/>
  <c r="F4346" i="1"/>
  <c r="G4346" i="1"/>
  <c r="H4346" i="1"/>
  <c r="D4347" i="1"/>
  <c r="E4347" i="1"/>
  <c r="F4347" i="1"/>
  <c r="G4347" i="1"/>
  <c r="H4347" i="1"/>
  <c r="D4348" i="1"/>
  <c r="E4348" i="1"/>
  <c r="F4348" i="1"/>
  <c r="G4348" i="1"/>
  <c r="H4348" i="1"/>
  <c r="D4349" i="1"/>
  <c r="E4349" i="1"/>
  <c r="F4349" i="1"/>
  <c r="G4349" i="1"/>
  <c r="H4349" i="1"/>
  <c r="D4350" i="1"/>
  <c r="E4350" i="1"/>
  <c r="F4350" i="1"/>
  <c r="G4350" i="1"/>
  <c r="H4350" i="1"/>
  <c r="D4351" i="1"/>
  <c r="E4351" i="1"/>
  <c r="F4351" i="1"/>
  <c r="G4351" i="1"/>
  <c r="H4351" i="1"/>
  <c r="D4352" i="1"/>
  <c r="E4352" i="1"/>
  <c r="F4352" i="1"/>
  <c r="G4352" i="1"/>
  <c r="H4352" i="1"/>
  <c r="D4353" i="1"/>
  <c r="E4353" i="1"/>
  <c r="F4353" i="1"/>
  <c r="G4353" i="1"/>
  <c r="H4353" i="1"/>
  <c r="D4354" i="1"/>
  <c r="E4354" i="1"/>
  <c r="F4354" i="1"/>
  <c r="G4354" i="1"/>
  <c r="H4354" i="1"/>
  <c r="D4355" i="1"/>
  <c r="E4355" i="1"/>
  <c r="F4355" i="1"/>
  <c r="G4355" i="1"/>
  <c r="H4355" i="1"/>
  <c r="D4356" i="1"/>
  <c r="E4356" i="1"/>
  <c r="F4356" i="1"/>
  <c r="G4356" i="1"/>
  <c r="H4356" i="1"/>
  <c r="D4357" i="1"/>
  <c r="E4357" i="1"/>
  <c r="F4357" i="1"/>
  <c r="G4357" i="1"/>
  <c r="H4357" i="1"/>
  <c r="D4358" i="1"/>
  <c r="E4358" i="1"/>
  <c r="F4358" i="1"/>
  <c r="G4358" i="1"/>
  <c r="H4358" i="1"/>
  <c r="D4359" i="1"/>
  <c r="E4359" i="1"/>
  <c r="F4359" i="1"/>
  <c r="G4359" i="1"/>
  <c r="H4359" i="1"/>
  <c r="D4360" i="1"/>
  <c r="E4360" i="1"/>
  <c r="F4360" i="1"/>
  <c r="G4360" i="1"/>
  <c r="H4360" i="1"/>
  <c r="D4361" i="1"/>
  <c r="E4361" i="1"/>
  <c r="F4361" i="1"/>
  <c r="G4361" i="1"/>
  <c r="H4361" i="1"/>
  <c r="D4362" i="1"/>
  <c r="E4362" i="1"/>
  <c r="F4362" i="1"/>
  <c r="G4362" i="1"/>
  <c r="H4362" i="1"/>
  <c r="D4363" i="1"/>
  <c r="E4363" i="1"/>
  <c r="F4363" i="1"/>
  <c r="G4363" i="1"/>
  <c r="H4363" i="1"/>
  <c r="D4364" i="1"/>
  <c r="E4364" i="1"/>
  <c r="F4364" i="1"/>
  <c r="G4364" i="1"/>
  <c r="H4364" i="1"/>
  <c r="D4365" i="1"/>
  <c r="E4365" i="1"/>
  <c r="F4365" i="1"/>
  <c r="G4365" i="1"/>
  <c r="H4365" i="1"/>
  <c r="D4366" i="1"/>
  <c r="E4366" i="1"/>
  <c r="F4366" i="1"/>
  <c r="G4366" i="1"/>
  <c r="H4366" i="1"/>
  <c r="D4367" i="1"/>
  <c r="E4367" i="1"/>
  <c r="F4367" i="1"/>
  <c r="G4367" i="1"/>
  <c r="H4367" i="1"/>
  <c r="D4368" i="1"/>
  <c r="E4368" i="1"/>
  <c r="F4368" i="1"/>
  <c r="G4368" i="1"/>
  <c r="H4368" i="1"/>
  <c r="D4369" i="1"/>
  <c r="E4369" i="1"/>
  <c r="F4369" i="1"/>
  <c r="G4369" i="1"/>
  <c r="H4369" i="1"/>
  <c r="D4370" i="1"/>
  <c r="E4370" i="1"/>
  <c r="F4370" i="1"/>
  <c r="G4370" i="1"/>
  <c r="H4370" i="1"/>
  <c r="D4371" i="1"/>
  <c r="E4371" i="1"/>
  <c r="F4371" i="1"/>
  <c r="G4371" i="1"/>
  <c r="H4371" i="1"/>
  <c r="D4372" i="1"/>
  <c r="E4372" i="1"/>
  <c r="F4372" i="1"/>
  <c r="G4372" i="1"/>
  <c r="H4372" i="1"/>
  <c r="D4373" i="1"/>
  <c r="E4373" i="1"/>
  <c r="F4373" i="1"/>
  <c r="G4373" i="1"/>
  <c r="H4373" i="1"/>
  <c r="D4374" i="1"/>
  <c r="E4374" i="1"/>
  <c r="F4374" i="1"/>
  <c r="G4374" i="1"/>
  <c r="H4374" i="1"/>
  <c r="D4375" i="1"/>
  <c r="E4375" i="1"/>
  <c r="F4375" i="1"/>
  <c r="G4375" i="1"/>
  <c r="H4375" i="1"/>
  <c r="D4376" i="1"/>
  <c r="E4376" i="1"/>
  <c r="F4376" i="1"/>
  <c r="G4376" i="1"/>
  <c r="H4376" i="1"/>
  <c r="D4377" i="1"/>
  <c r="E4377" i="1"/>
  <c r="F4377" i="1"/>
  <c r="G4377" i="1"/>
  <c r="H4377" i="1"/>
  <c r="D4378" i="1"/>
  <c r="E4378" i="1"/>
  <c r="F4378" i="1"/>
  <c r="G4378" i="1"/>
  <c r="H4378" i="1"/>
  <c r="D4379" i="1"/>
  <c r="E4379" i="1"/>
  <c r="F4379" i="1"/>
  <c r="G4379" i="1"/>
  <c r="H4379" i="1"/>
  <c r="D4380" i="1"/>
  <c r="E4380" i="1"/>
  <c r="F4380" i="1"/>
  <c r="G4380" i="1"/>
  <c r="H4380" i="1"/>
  <c r="D4381" i="1"/>
  <c r="E4381" i="1"/>
  <c r="F4381" i="1"/>
  <c r="G4381" i="1"/>
  <c r="H4381" i="1"/>
  <c r="D4382" i="1"/>
  <c r="E4382" i="1"/>
  <c r="F4382" i="1"/>
  <c r="G4382" i="1"/>
  <c r="H4382" i="1"/>
  <c r="D4383" i="1"/>
  <c r="E4383" i="1"/>
  <c r="F4383" i="1"/>
  <c r="G4383" i="1"/>
  <c r="H4383" i="1"/>
  <c r="D4384" i="1"/>
  <c r="E4384" i="1"/>
  <c r="F4384" i="1"/>
  <c r="G4384" i="1"/>
  <c r="H4384" i="1"/>
  <c r="D4385" i="1"/>
  <c r="E4385" i="1"/>
  <c r="F4385" i="1"/>
  <c r="G4385" i="1"/>
  <c r="H4385" i="1"/>
  <c r="D4386" i="1"/>
  <c r="E4386" i="1"/>
  <c r="F4386" i="1"/>
  <c r="G4386" i="1"/>
  <c r="H4386" i="1"/>
  <c r="D4387" i="1"/>
  <c r="E4387" i="1"/>
  <c r="F4387" i="1"/>
  <c r="G4387" i="1"/>
  <c r="H4387" i="1"/>
  <c r="D4388" i="1"/>
  <c r="E4388" i="1"/>
  <c r="F4388" i="1"/>
  <c r="G4388" i="1"/>
  <c r="H4388" i="1"/>
  <c r="D4389" i="1"/>
  <c r="E4389" i="1"/>
  <c r="F4389" i="1"/>
  <c r="G4389" i="1"/>
  <c r="H4389" i="1"/>
  <c r="D4390" i="1"/>
  <c r="E4390" i="1"/>
  <c r="F4390" i="1"/>
  <c r="G4390" i="1"/>
  <c r="H4390" i="1"/>
  <c r="D4391" i="1"/>
  <c r="E4391" i="1"/>
  <c r="F4391" i="1"/>
  <c r="G4391" i="1"/>
  <c r="H4391" i="1"/>
  <c r="D4392" i="1"/>
  <c r="E4392" i="1"/>
  <c r="F4392" i="1"/>
  <c r="G4392" i="1"/>
  <c r="H4392" i="1"/>
  <c r="D4393" i="1"/>
  <c r="E4393" i="1"/>
  <c r="F4393" i="1"/>
  <c r="G4393" i="1"/>
  <c r="H4393" i="1"/>
  <c r="D4394" i="1"/>
  <c r="E4394" i="1"/>
  <c r="F4394" i="1"/>
  <c r="G4394" i="1"/>
  <c r="H4394" i="1"/>
  <c r="D4395" i="1"/>
  <c r="E4395" i="1"/>
  <c r="F4395" i="1"/>
  <c r="G4395" i="1"/>
  <c r="H4395" i="1"/>
  <c r="D4396" i="1"/>
  <c r="E4396" i="1"/>
  <c r="F4396" i="1"/>
  <c r="G4396" i="1"/>
  <c r="H4396" i="1"/>
  <c r="D4397" i="1"/>
  <c r="E4397" i="1"/>
  <c r="F4397" i="1"/>
  <c r="G4397" i="1"/>
  <c r="H4397" i="1"/>
  <c r="D4398" i="1"/>
  <c r="E4398" i="1"/>
  <c r="F4398" i="1"/>
  <c r="G4398" i="1"/>
  <c r="H4398" i="1"/>
  <c r="D4399" i="1"/>
  <c r="E4399" i="1"/>
  <c r="F4399" i="1"/>
  <c r="G4399" i="1"/>
  <c r="H4399" i="1"/>
  <c r="D4400" i="1"/>
  <c r="E4400" i="1"/>
  <c r="F4400" i="1"/>
  <c r="G4400" i="1"/>
  <c r="H4400" i="1"/>
  <c r="D4401" i="1"/>
  <c r="E4401" i="1"/>
  <c r="F4401" i="1"/>
  <c r="G4401" i="1"/>
  <c r="H4401" i="1"/>
  <c r="D4402" i="1"/>
  <c r="E4402" i="1"/>
  <c r="F4402" i="1"/>
  <c r="G4402" i="1"/>
  <c r="H4402" i="1"/>
  <c r="D4403" i="1"/>
  <c r="E4403" i="1"/>
  <c r="F4403" i="1"/>
  <c r="G4403" i="1"/>
  <c r="H4403" i="1"/>
  <c r="D4404" i="1"/>
  <c r="E4404" i="1"/>
  <c r="F4404" i="1"/>
  <c r="G4404" i="1"/>
  <c r="H4404" i="1"/>
  <c r="D4405" i="1"/>
  <c r="E4405" i="1"/>
  <c r="F4405" i="1"/>
  <c r="G4405" i="1"/>
  <c r="H4405" i="1"/>
  <c r="D4406" i="1"/>
  <c r="E4406" i="1"/>
  <c r="F4406" i="1"/>
  <c r="G4406" i="1"/>
  <c r="H4406" i="1"/>
  <c r="D4407" i="1"/>
  <c r="E4407" i="1"/>
  <c r="F4407" i="1"/>
  <c r="G4407" i="1"/>
  <c r="H4407" i="1"/>
  <c r="D4408" i="1"/>
  <c r="E4408" i="1"/>
  <c r="F4408" i="1"/>
  <c r="G4408" i="1"/>
  <c r="H4408" i="1"/>
  <c r="D4409" i="1"/>
  <c r="E4409" i="1"/>
  <c r="F4409" i="1"/>
  <c r="G4409" i="1"/>
  <c r="H4409" i="1"/>
  <c r="D4410" i="1"/>
  <c r="E4410" i="1"/>
  <c r="F4410" i="1"/>
  <c r="G4410" i="1"/>
  <c r="H4410" i="1"/>
  <c r="D4411" i="1"/>
  <c r="E4411" i="1"/>
  <c r="F4411" i="1"/>
  <c r="G4411" i="1"/>
  <c r="H4411" i="1"/>
  <c r="D4412" i="1"/>
  <c r="E4412" i="1"/>
  <c r="F4412" i="1"/>
  <c r="G4412" i="1"/>
  <c r="H4412" i="1"/>
  <c r="D4413" i="1"/>
  <c r="E4413" i="1"/>
  <c r="F4413" i="1"/>
  <c r="G4413" i="1"/>
  <c r="H4413" i="1"/>
  <c r="D4414" i="1"/>
  <c r="E4414" i="1"/>
  <c r="F4414" i="1"/>
  <c r="G4414" i="1"/>
  <c r="H4414" i="1"/>
  <c r="D4415" i="1"/>
  <c r="E4415" i="1"/>
  <c r="F4415" i="1"/>
  <c r="G4415" i="1"/>
  <c r="H4415" i="1"/>
  <c r="D4416" i="1"/>
  <c r="E4416" i="1"/>
  <c r="F4416" i="1"/>
  <c r="G4416" i="1"/>
  <c r="H4416" i="1"/>
  <c r="D4417" i="1"/>
  <c r="E4417" i="1"/>
  <c r="F4417" i="1"/>
  <c r="G4417" i="1"/>
  <c r="H4417" i="1"/>
  <c r="D4418" i="1"/>
  <c r="E4418" i="1"/>
  <c r="F4418" i="1"/>
  <c r="G4418" i="1"/>
  <c r="H4418" i="1"/>
  <c r="D4419" i="1"/>
  <c r="E4419" i="1"/>
  <c r="F4419" i="1"/>
  <c r="G4419" i="1"/>
  <c r="H4419" i="1"/>
  <c r="D4420" i="1"/>
  <c r="E4420" i="1"/>
  <c r="F4420" i="1"/>
  <c r="G4420" i="1"/>
  <c r="H4420" i="1"/>
  <c r="D4421" i="1"/>
  <c r="E4421" i="1"/>
  <c r="F4421" i="1"/>
  <c r="G4421" i="1"/>
  <c r="H4421" i="1"/>
  <c r="D4422" i="1"/>
  <c r="E4422" i="1"/>
  <c r="F4422" i="1"/>
  <c r="G4422" i="1"/>
  <c r="H4422" i="1"/>
  <c r="D4423" i="1"/>
  <c r="E4423" i="1"/>
  <c r="F4423" i="1"/>
  <c r="G4423" i="1"/>
  <c r="H4423" i="1"/>
  <c r="D4424" i="1"/>
  <c r="E4424" i="1"/>
  <c r="F4424" i="1"/>
  <c r="G4424" i="1"/>
  <c r="H4424" i="1"/>
  <c r="D4425" i="1"/>
  <c r="E4425" i="1"/>
  <c r="F4425" i="1"/>
  <c r="G4425" i="1"/>
  <c r="H4425" i="1"/>
  <c r="D4426" i="1"/>
  <c r="E4426" i="1"/>
  <c r="F4426" i="1"/>
  <c r="G4426" i="1"/>
  <c r="H4426" i="1"/>
  <c r="D4427" i="1"/>
  <c r="E4427" i="1"/>
  <c r="F4427" i="1"/>
  <c r="G4427" i="1"/>
  <c r="H4427" i="1"/>
  <c r="D4428" i="1"/>
  <c r="E4428" i="1"/>
  <c r="F4428" i="1"/>
  <c r="G4428" i="1"/>
  <c r="H4428" i="1"/>
  <c r="D4429" i="1"/>
  <c r="E4429" i="1"/>
  <c r="F4429" i="1"/>
  <c r="G4429" i="1"/>
  <c r="H4429" i="1"/>
  <c r="D4430" i="1"/>
  <c r="E4430" i="1"/>
  <c r="F4430" i="1"/>
  <c r="G4430" i="1"/>
  <c r="H4430" i="1"/>
  <c r="D4431" i="1"/>
  <c r="E4431" i="1"/>
  <c r="F4431" i="1"/>
  <c r="G4431" i="1"/>
  <c r="H4431" i="1"/>
  <c r="D4432" i="1"/>
  <c r="E4432" i="1"/>
  <c r="F4432" i="1"/>
  <c r="G4432" i="1"/>
  <c r="H4432" i="1"/>
  <c r="D4433" i="1"/>
  <c r="E4433" i="1"/>
  <c r="F4433" i="1"/>
  <c r="G4433" i="1"/>
  <c r="H4433" i="1"/>
  <c r="D4434" i="1"/>
  <c r="E4434" i="1"/>
  <c r="F4434" i="1"/>
  <c r="G4434" i="1"/>
  <c r="H4434" i="1"/>
  <c r="D4435" i="1"/>
  <c r="E4435" i="1"/>
  <c r="F4435" i="1"/>
  <c r="G4435" i="1"/>
  <c r="H4435" i="1"/>
  <c r="D4436" i="1"/>
  <c r="E4436" i="1"/>
  <c r="F4436" i="1"/>
  <c r="G4436" i="1"/>
  <c r="H4436" i="1"/>
  <c r="D4437" i="1"/>
  <c r="E4437" i="1"/>
  <c r="F4437" i="1"/>
  <c r="G4437" i="1"/>
  <c r="H4437" i="1"/>
  <c r="D4438" i="1"/>
  <c r="E4438" i="1"/>
  <c r="F4438" i="1"/>
  <c r="G4438" i="1"/>
  <c r="H4438" i="1"/>
  <c r="D4439" i="1"/>
  <c r="E4439" i="1"/>
  <c r="F4439" i="1"/>
  <c r="G4439" i="1"/>
  <c r="H4439" i="1"/>
  <c r="D4440" i="1"/>
  <c r="E4440" i="1"/>
  <c r="F4440" i="1"/>
  <c r="G4440" i="1"/>
  <c r="H4440" i="1"/>
  <c r="D4441" i="1"/>
  <c r="E4441" i="1"/>
  <c r="F4441" i="1"/>
  <c r="G4441" i="1"/>
  <c r="H4441" i="1"/>
  <c r="D4442" i="1"/>
  <c r="E4442" i="1"/>
  <c r="F4442" i="1"/>
  <c r="G4442" i="1"/>
  <c r="H4442" i="1"/>
  <c r="D4443" i="1"/>
  <c r="E4443" i="1"/>
  <c r="F4443" i="1"/>
  <c r="G4443" i="1"/>
  <c r="H4443" i="1"/>
  <c r="D4444" i="1"/>
  <c r="E4444" i="1"/>
  <c r="F4444" i="1"/>
  <c r="G4444" i="1"/>
  <c r="H4444" i="1"/>
  <c r="D4445" i="1"/>
  <c r="E4445" i="1"/>
  <c r="F4445" i="1"/>
  <c r="G4445" i="1"/>
  <c r="H4445" i="1"/>
  <c r="D4446" i="1"/>
  <c r="E4446" i="1"/>
  <c r="F4446" i="1"/>
  <c r="G4446" i="1"/>
  <c r="H4446" i="1"/>
  <c r="D4447" i="1"/>
  <c r="E4447" i="1"/>
  <c r="F4447" i="1"/>
  <c r="G4447" i="1"/>
  <c r="H4447" i="1"/>
  <c r="D4448" i="1"/>
  <c r="E4448" i="1"/>
  <c r="F4448" i="1"/>
  <c r="G4448" i="1"/>
  <c r="H4448" i="1"/>
  <c r="D4449" i="1"/>
  <c r="E4449" i="1"/>
  <c r="F4449" i="1"/>
  <c r="G4449" i="1"/>
  <c r="H4449" i="1"/>
  <c r="D4450" i="1"/>
  <c r="E4450" i="1"/>
  <c r="F4450" i="1"/>
  <c r="G4450" i="1"/>
  <c r="H4450" i="1"/>
  <c r="D4451" i="1"/>
  <c r="E4451" i="1"/>
  <c r="F4451" i="1"/>
  <c r="G4451" i="1"/>
  <c r="H4451" i="1"/>
  <c r="D4452" i="1"/>
  <c r="E4452" i="1"/>
  <c r="F4452" i="1"/>
  <c r="G4452" i="1"/>
  <c r="H4452" i="1"/>
  <c r="D4453" i="1"/>
  <c r="E4453" i="1"/>
  <c r="F4453" i="1"/>
  <c r="G4453" i="1"/>
  <c r="H4453" i="1"/>
  <c r="D4454" i="1"/>
  <c r="E4454" i="1"/>
  <c r="F4454" i="1"/>
  <c r="G4454" i="1"/>
  <c r="H4454" i="1"/>
  <c r="D4455" i="1"/>
  <c r="E4455" i="1"/>
  <c r="F4455" i="1"/>
  <c r="G4455" i="1"/>
  <c r="H4455" i="1"/>
  <c r="D4456" i="1"/>
  <c r="E4456" i="1"/>
  <c r="F4456" i="1"/>
  <c r="G4456" i="1"/>
  <c r="H4456" i="1"/>
  <c r="D4457" i="1"/>
  <c r="E4457" i="1"/>
  <c r="F4457" i="1"/>
  <c r="G4457" i="1"/>
  <c r="H4457" i="1"/>
  <c r="D4458" i="1"/>
  <c r="E4458" i="1"/>
  <c r="F4458" i="1"/>
  <c r="G4458" i="1"/>
  <c r="H4458" i="1"/>
  <c r="D4459" i="1"/>
  <c r="E4459" i="1"/>
  <c r="F4459" i="1"/>
  <c r="G4459" i="1"/>
  <c r="H4459" i="1"/>
  <c r="D4460" i="1"/>
  <c r="E4460" i="1"/>
  <c r="F4460" i="1"/>
  <c r="G4460" i="1"/>
  <c r="H4460" i="1"/>
  <c r="D4461" i="1"/>
  <c r="E4461" i="1"/>
  <c r="F4461" i="1"/>
  <c r="G4461" i="1"/>
  <c r="H4461" i="1"/>
  <c r="D4462" i="1"/>
  <c r="E4462" i="1"/>
  <c r="F4462" i="1"/>
  <c r="G4462" i="1"/>
  <c r="H4462" i="1"/>
  <c r="D4463" i="1"/>
  <c r="E4463" i="1"/>
  <c r="F4463" i="1"/>
  <c r="G4463" i="1"/>
  <c r="H4463" i="1"/>
  <c r="D4464" i="1"/>
  <c r="E4464" i="1"/>
  <c r="F4464" i="1"/>
  <c r="G4464" i="1"/>
  <c r="H4464" i="1"/>
  <c r="D4465" i="1"/>
  <c r="E4465" i="1"/>
  <c r="F4465" i="1"/>
  <c r="G4465" i="1"/>
  <c r="H4465" i="1"/>
  <c r="D4466" i="1"/>
  <c r="E4466" i="1"/>
  <c r="F4466" i="1"/>
  <c r="G4466" i="1"/>
  <c r="H4466" i="1"/>
  <c r="D4467" i="1"/>
  <c r="E4467" i="1"/>
  <c r="F4467" i="1"/>
  <c r="G4467" i="1"/>
  <c r="H4467" i="1"/>
  <c r="D4468" i="1"/>
  <c r="E4468" i="1"/>
  <c r="F4468" i="1"/>
  <c r="G4468" i="1"/>
  <c r="H4468" i="1"/>
  <c r="D4469" i="1"/>
  <c r="E4469" i="1"/>
  <c r="F4469" i="1"/>
  <c r="G4469" i="1"/>
  <c r="H4469" i="1"/>
  <c r="D4470" i="1"/>
  <c r="E4470" i="1"/>
  <c r="F4470" i="1"/>
  <c r="G4470" i="1"/>
  <c r="H4470" i="1"/>
  <c r="D4471" i="1"/>
  <c r="E4471" i="1"/>
  <c r="F4471" i="1"/>
  <c r="G4471" i="1"/>
  <c r="H4471" i="1"/>
  <c r="D4472" i="1"/>
  <c r="E4472" i="1"/>
  <c r="F4472" i="1"/>
  <c r="G4472" i="1"/>
  <c r="H4472" i="1"/>
  <c r="D4473" i="1"/>
  <c r="E4473" i="1"/>
  <c r="F4473" i="1"/>
  <c r="G4473" i="1"/>
  <c r="H4473" i="1"/>
  <c r="D4474" i="1"/>
  <c r="E4474" i="1"/>
  <c r="F4474" i="1"/>
  <c r="G4474" i="1"/>
  <c r="H4474" i="1"/>
  <c r="D4475" i="1"/>
  <c r="E4475" i="1"/>
  <c r="F4475" i="1"/>
  <c r="G4475" i="1"/>
  <c r="H4475" i="1"/>
  <c r="D4476" i="1"/>
  <c r="E4476" i="1"/>
  <c r="F4476" i="1"/>
  <c r="G4476" i="1"/>
  <c r="H4476" i="1"/>
  <c r="D4477" i="1"/>
  <c r="E4477" i="1"/>
  <c r="F4477" i="1"/>
  <c r="G4477" i="1"/>
  <c r="H4477" i="1"/>
  <c r="D4478" i="1"/>
  <c r="E4478" i="1"/>
  <c r="F4478" i="1"/>
  <c r="G4478" i="1"/>
  <c r="H4478" i="1"/>
  <c r="D4479" i="1"/>
  <c r="E4479" i="1"/>
  <c r="F4479" i="1"/>
  <c r="G4479" i="1"/>
  <c r="H4479" i="1"/>
  <c r="D4480" i="1"/>
  <c r="E4480" i="1"/>
  <c r="F4480" i="1"/>
  <c r="G4480" i="1"/>
  <c r="H4480" i="1"/>
  <c r="D4481" i="1"/>
  <c r="E4481" i="1"/>
  <c r="F4481" i="1"/>
  <c r="G4481" i="1"/>
  <c r="H4481" i="1"/>
  <c r="D4482" i="1"/>
  <c r="E4482" i="1"/>
  <c r="F4482" i="1"/>
  <c r="G4482" i="1"/>
  <c r="H4482" i="1"/>
  <c r="D4483" i="1"/>
  <c r="E4483" i="1"/>
  <c r="F4483" i="1"/>
  <c r="G4483" i="1"/>
  <c r="H4483" i="1"/>
  <c r="D4484" i="1"/>
  <c r="E4484" i="1"/>
  <c r="F4484" i="1"/>
  <c r="G4484" i="1"/>
  <c r="H4484" i="1"/>
  <c r="D4485" i="1"/>
  <c r="E4485" i="1"/>
  <c r="F4485" i="1"/>
  <c r="G4485" i="1"/>
  <c r="H4485" i="1"/>
  <c r="D4486" i="1"/>
  <c r="E4486" i="1"/>
  <c r="F4486" i="1"/>
  <c r="G4486" i="1"/>
  <c r="H4486" i="1"/>
  <c r="D4487" i="1"/>
  <c r="E4487" i="1"/>
  <c r="F4487" i="1"/>
  <c r="G4487" i="1"/>
  <c r="H4487" i="1"/>
  <c r="D4488" i="1"/>
  <c r="E4488" i="1"/>
  <c r="F4488" i="1"/>
  <c r="G4488" i="1"/>
  <c r="H4488" i="1"/>
  <c r="D4489" i="1"/>
  <c r="E4489" i="1"/>
  <c r="F4489" i="1"/>
  <c r="G4489" i="1"/>
  <c r="H4489" i="1"/>
  <c r="D4490" i="1"/>
  <c r="E4490" i="1"/>
  <c r="F4490" i="1"/>
  <c r="G4490" i="1"/>
  <c r="H4490" i="1"/>
  <c r="D4491" i="1"/>
  <c r="E4491" i="1"/>
  <c r="F4491" i="1"/>
  <c r="G4491" i="1"/>
  <c r="H4491" i="1"/>
  <c r="D4492" i="1"/>
  <c r="E4492" i="1"/>
  <c r="F4492" i="1"/>
  <c r="G4492" i="1"/>
  <c r="H4492" i="1"/>
  <c r="D4493" i="1"/>
  <c r="E4493" i="1"/>
  <c r="F4493" i="1"/>
  <c r="G4493" i="1"/>
  <c r="H4493" i="1"/>
  <c r="D4494" i="1"/>
  <c r="E4494" i="1"/>
  <c r="F4494" i="1"/>
  <c r="G4494" i="1"/>
  <c r="H4494" i="1"/>
  <c r="D4495" i="1"/>
  <c r="E4495" i="1"/>
  <c r="F4495" i="1"/>
  <c r="G4495" i="1"/>
  <c r="H4495" i="1"/>
  <c r="D4496" i="1"/>
  <c r="E4496" i="1"/>
  <c r="F4496" i="1"/>
  <c r="G4496" i="1"/>
  <c r="H4496" i="1"/>
  <c r="D4497" i="1"/>
  <c r="E4497" i="1"/>
  <c r="F4497" i="1"/>
  <c r="G4497" i="1"/>
  <c r="H4497" i="1"/>
  <c r="D4498" i="1"/>
  <c r="E4498" i="1"/>
  <c r="F4498" i="1"/>
  <c r="G4498" i="1"/>
  <c r="H4498" i="1"/>
  <c r="D4499" i="1"/>
  <c r="E4499" i="1"/>
  <c r="F4499" i="1"/>
  <c r="G4499" i="1"/>
  <c r="H4499" i="1"/>
  <c r="D4500" i="1"/>
  <c r="E4500" i="1"/>
  <c r="F4500" i="1"/>
  <c r="G4500" i="1"/>
  <c r="H4500" i="1"/>
  <c r="D4501" i="1"/>
  <c r="E4501" i="1"/>
  <c r="F4501" i="1"/>
  <c r="G4501" i="1"/>
  <c r="H4501" i="1"/>
  <c r="H2" i="1"/>
  <c r="G2" i="1"/>
  <c r="F2" i="1"/>
  <c r="E2" i="1"/>
  <c r="D2" i="1"/>
  <c r="H28" i="4"/>
  <c r="H27" i="4"/>
  <c r="H26" i="4"/>
  <c r="H25" i="4"/>
  <c r="G28" i="4"/>
  <c r="F27" i="4"/>
  <c r="E26" i="4"/>
  <c r="D25" i="4"/>
  <c r="H24" i="4"/>
  <c r="G24" i="4"/>
  <c r="G21" i="4"/>
  <c r="G20" i="4"/>
  <c r="F22" i="4"/>
  <c r="E21" i="4"/>
  <c r="D20" i="4"/>
  <c r="H19" i="4"/>
  <c r="G18" i="4"/>
  <c r="F19" i="4"/>
  <c r="F18" i="4"/>
  <c r="F16" i="4"/>
  <c r="F15" i="4"/>
  <c r="E16" i="4"/>
  <c r="D15" i="4"/>
  <c r="H14" i="4"/>
  <c r="G13" i="4"/>
  <c r="F12" i="4"/>
  <c r="E14" i="4"/>
  <c r="E13" i="4"/>
  <c r="E12" i="4"/>
  <c r="E10" i="4"/>
  <c r="D10" i="4"/>
  <c r="H9" i="4"/>
  <c r="G8" i="4"/>
  <c r="F7" i="4"/>
  <c r="D9" i="4"/>
  <c r="D8" i="4"/>
  <c r="D7" i="4"/>
  <c r="E6" i="4"/>
  <c r="D6" i="4"/>
  <c r="H29" i="4"/>
  <c r="F17" i="4"/>
  <c r="E11" i="4"/>
  <c r="D5" i="4"/>
  <c r="I123" i="1" l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2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2" i="1"/>
</calcChain>
</file>

<file path=xl/sharedStrings.xml><?xml version="1.0" encoding="utf-8"?>
<x:sst xmlns:x="http://schemas.openxmlformats.org/spreadsheetml/2006/main" count="44" uniqueCount="44">
  <x:si>
    <x:t>品质</x:t>
    <x:phoneticPr fontId="2" type="noConversion"/>
  </x:si>
  <x:si>
    <x:t>圣石ID</x:t>
    <x:phoneticPr fontId="2" type="noConversion"/>
  </x:si>
  <x:si>
    <x:t>等级</x:t>
    <x:phoneticPr fontId="2" type="noConversion"/>
  </x:si>
  <x:si>
    <x:t>物攻</x:t>
    <x:phoneticPr fontId="2" type="noConversion"/>
  </x:si>
  <x:si>
    <x:t>魔攻</x:t>
    <x:phoneticPr fontId="2" type="noConversion"/>
  </x:si>
  <x:si>
    <x:t>物防</x:t>
    <x:phoneticPr fontId="2" type="noConversion"/>
  </x:si>
  <x:si>
    <x:t>生命</x:t>
    <x:phoneticPr fontId="2" type="noConversion"/>
  </x:si>
  <x:si>
    <x:t>魔防</x:t>
    <x:phoneticPr fontId="2" type="noConversion"/>
  </x:si>
  <x:si>
    <x:t>携带魔阵经验和</x:t>
    <x:phoneticPr fontId="2" type="noConversion"/>
  </x:si>
  <x:si>
    <x:t>品质</x:t>
    <x:phoneticPr fontId="2" type="noConversion"/>
  </x:si>
  <x:si>
    <x:t>1：蓝2：黄3：绿4：紫</x:t>
    <x:phoneticPr fontId="2" type="noConversion"/>
  </x:si>
  <x:si>
    <x:t>当前经验</x:t>
    <x:phoneticPr fontId="2" type="noConversion"/>
  </x:si>
  <x:si>
    <x:t>携带魔法阵经验</x:t>
    <x:phoneticPr fontId="2" type="noConversion"/>
  </x:si>
  <x:si>
    <x:t>圣石(物攻)(物攻)</x:t>
    <x:phoneticPr fontId="2" type="noConversion"/>
  </x:si>
  <x:si>
    <x:t>圣石(物攻)(魔攻)</x:t>
    <x:phoneticPr fontId="2" type="noConversion"/>
  </x:si>
  <x:si>
    <x:t>圣石(物攻)(物防)</x:t>
    <x:phoneticPr fontId="2" type="noConversion"/>
  </x:si>
  <x:si>
    <x:t>圣石(物攻)(魔防)</x:t>
    <x:phoneticPr fontId="2" type="noConversion"/>
  </x:si>
  <x:si>
    <x:t>圣石(物攻)(血量)</x:t>
    <x:phoneticPr fontId="2" type="noConversion"/>
  </x:si>
  <x:si>
    <x:t>圣石(魔攻)(物攻)</x:t>
    <x:phoneticPr fontId="2" type="noConversion"/>
  </x:si>
  <x:si>
    <x:t>圣石(魔攻)(魔攻)</x:t>
    <x:phoneticPr fontId="2" type="noConversion"/>
  </x:si>
  <x:si>
    <x:t>圣石(魔攻)(物防)</x:t>
    <x:phoneticPr fontId="2" type="noConversion"/>
  </x:si>
  <x:si>
    <x:t>圣石(魔攻)(魔防)</x:t>
    <x:phoneticPr fontId="2" type="noConversion"/>
  </x:si>
  <x:si>
    <x:t>圣石(魔攻)(血量)</x:t>
    <x:phoneticPr fontId="2" type="noConversion"/>
  </x:si>
  <x:si>
    <x:t>圣石(物防)(物攻)</x:t>
    <x:phoneticPr fontId="2" type="noConversion"/>
  </x:si>
  <x:si>
    <x:t>圣石(物防)(魔攻)</x:t>
    <x:phoneticPr fontId="2" type="noConversion"/>
  </x:si>
  <x:si>
    <x:t>圣石(物防)(物防)</x:t>
    <x:phoneticPr fontId="2" type="noConversion"/>
  </x:si>
  <x:si>
    <x:t>圣石(物防)(魔防)</x:t>
    <x:phoneticPr fontId="2" type="noConversion"/>
  </x:si>
  <x:si>
    <x:t>圣石(物防)(血量)</x:t>
    <x:phoneticPr fontId="2" type="noConversion"/>
  </x:si>
  <x:si>
    <x:t>圣石(魔防)(物攻)</x:t>
    <x:phoneticPr fontId="2" type="noConversion"/>
  </x:si>
  <x:si>
    <x:t>圣石(魔防)(魔攻)</x:t>
    <x:phoneticPr fontId="2" type="noConversion"/>
  </x:si>
  <x:si>
    <x:t>圣石(魔防)(物防)</x:t>
    <x:phoneticPr fontId="2" type="noConversion"/>
  </x:si>
  <x:si>
    <x:t>圣石(魔防)(魔防)</x:t>
    <x:phoneticPr fontId="2" type="noConversion"/>
  </x:si>
  <x:si>
    <x:t>圣石(魔防)(血量)</x:t>
    <x:phoneticPr fontId="2" type="noConversion"/>
  </x:si>
  <x:si>
    <x:t>圣石(血量)(物攻)</x:t>
    <x:phoneticPr fontId="2" type="noConversion"/>
  </x:si>
  <x:si>
    <x:t>圣石(血量)(魔攻)</x:t>
    <x:phoneticPr fontId="2" type="noConversion"/>
  </x:si>
  <x:si>
    <x:t>圣石(血量)(物防)</x:t>
    <x:phoneticPr fontId="2" type="noConversion"/>
  </x:si>
  <x:si>
    <x:t>圣石(血量)(魔防)</x:t>
    <x:phoneticPr fontId="2" type="noConversion"/>
  </x:si>
  <x:si>
    <x:t>圣石(血量)(血量)</x:t>
    <x:phoneticPr fontId="2" type="noConversion"/>
  </x:si>
  <x:si>
    <x:t>物攻</x:t>
    <x:phoneticPr fontId="3" type="noConversion"/>
  </x:si>
  <x:si>
    <x:t>魔攻</x:t>
    <x:phoneticPr fontId="3" type="noConversion"/>
  </x:si>
  <x:si>
    <x:t>物防</x:t>
    <x:phoneticPr fontId="3" type="noConversion"/>
  </x:si>
  <x:si>
    <x:t>魔防</x:t>
    <x:phoneticPr fontId="3" type="noConversion"/>
  </x:si>
  <x:si>
    <x:t>血量</x:t>
    <x:phoneticPr fontId="3" type="noConversion"/>
  </x:si>
  <x:si>
    <x:t>品质</x:t>
    <x:phoneticPr fontId="3" type="noConversion"/>
  </x:si>
</x:sst>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charset val="134"/>
    </font>
    <font>
      <sz val="10"/>
      <name val="宋体"/>
      <family val="3"/>
      <charset val="134"/>
    </font>
    <font>
      <sz val="10"/>
      <color rgb="FFFF0000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>
      <alignment vertical="center"/>
    </xf>
    <xf numFmtId="49" fontId="1" fillId="0" borderId="0" xfId="0" applyNumberFormat="1" applyFont="1" applyFill="1" applyAlignment="1">
      <alignment horizontal="center" vertical="center"/>
    </xf>
    <xf numFmtId="0" fontId="4" fillId="2" borderId="0" xfId="0" applyFont="1" applyFill="1" applyBorder="1" applyAlignment="1">
      <alignment horizontal="right" vertical="center"/>
    </xf>
    <xf numFmtId="0" fontId="5" fillId="2" borderId="0" xfId="0" applyFont="1" applyFill="1" applyBorder="1" applyAlignment="1">
      <alignment vertical="center"/>
    </xf>
    <xf numFmtId="0" fontId="0" fillId="2" borderId="0" xfId="0" applyFill="1">
      <alignment vertical="center"/>
    </xf>
    <xf numFmtId="0" fontId="4" fillId="2" borderId="0" xfId="0" applyFont="1" applyFill="1" applyBorder="1" applyAlignment="1">
      <alignment vertical="center"/>
    </xf>
    <xf numFmtId="0" fontId="4" fillId="3" borderId="0" xfId="0" applyFont="1" applyFill="1" applyBorder="1" applyAlignment="1">
      <alignment horizontal="right" vertical="center"/>
    </xf>
    <xf numFmtId="0" fontId="4" fillId="3" borderId="0" xfId="0" applyFont="1" applyFill="1" applyBorder="1" applyAlignment="1">
      <alignment vertical="center"/>
    </xf>
    <xf numFmtId="0" fontId="0" fillId="3" borderId="0" xfId="0" applyFill="1">
      <alignment vertical="center"/>
    </xf>
    <xf numFmtId="0" fontId="5" fillId="3" borderId="0" xfId="0" applyFont="1" applyFill="1" applyBorder="1" applyAlignment="1">
      <alignment vertical="center"/>
    </xf>
    <xf numFmtId="0" fontId="4" fillId="4" borderId="0" xfId="0" applyFont="1" applyFill="1" applyBorder="1" applyAlignment="1">
      <alignment horizontal="right" vertical="center"/>
    </xf>
    <xf numFmtId="0" fontId="4" fillId="4" borderId="0" xfId="0" applyFont="1" applyFill="1" applyBorder="1" applyAlignment="1">
      <alignment vertical="center"/>
    </xf>
    <xf numFmtId="0" fontId="0" fillId="4" borderId="0" xfId="0" applyFill="1">
      <alignment vertical="center"/>
    </xf>
    <xf numFmtId="0" fontId="5" fillId="4" borderId="0" xfId="0" applyFont="1" applyFill="1" applyBorder="1" applyAlignment="1">
      <alignment vertical="center"/>
    </xf>
    <xf numFmtId="0" fontId="4" fillId="5" borderId="0" xfId="0" applyFont="1" applyFill="1" applyBorder="1" applyAlignment="1">
      <alignment horizontal="right" vertical="center"/>
    </xf>
    <xf numFmtId="0" fontId="4" fillId="5" borderId="0" xfId="0" applyFont="1" applyFill="1" applyBorder="1" applyAlignment="1">
      <alignment vertical="center"/>
    </xf>
    <xf numFmtId="0" fontId="0" fillId="5" borderId="0" xfId="0" applyFill="1">
      <alignment vertical="center"/>
    </xf>
    <xf numFmtId="0" fontId="5" fillId="5" borderId="0" xfId="0" applyFont="1" applyFill="1" applyBorder="1" applyAlignment="1">
      <alignment vertical="center"/>
    </xf>
    <xf numFmtId="0" fontId="4" fillId="6" borderId="0" xfId="0" applyFont="1" applyFill="1" applyBorder="1" applyAlignment="1">
      <alignment horizontal="right" vertical="center"/>
    </xf>
    <xf numFmtId="0" fontId="4" fillId="6" borderId="0" xfId="0" applyFont="1" applyFill="1" applyBorder="1" applyAlignment="1">
      <alignment vertical="center"/>
    </xf>
    <xf numFmtId="0" fontId="0" fillId="6" borderId="0" xfId="0" applyFill="1">
      <alignment vertical="center"/>
    </xf>
    <xf numFmtId="0" fontId="5" fillId="6" borderId="0" xfId="0" applyFont="1" applyFill="1" applyBorder="1" applyAlignment="1">
      <alignment vertical="center"/>
    </xf>
  </cellXfs>
  <cellStyles count="1">
    <cellStyle name="常规" xfId="0" builtinId="0"/>
  </cellStyles>
  <dxfs count="1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:K4501"/>
  <x:sheetViews>
    <x:sheetView workbookViewId="0">
      <x:pane xSplit="3" ySplit="1" topLeftCell="D3413" activePane="bottomRight" state="frozenSplit"/>
      <x:selection pane="topRight" activeCell="AG1950" sqref="AG1950"/>
      <x:selection pane="bottomLeft" activeCell="E5949" sqref="E5949"/>
      <x:selection pane="bottomRight" activeCell="G3242" sqref="G3242"/>
    </x:sheetView>
  </x:sheetViews>
  <x:sheetFormatPr defaultRowHeight="14.25" x14ac:dyDescent="0.15"/>
  <x:cols>
    <x:col min="1" max="1" width="7.5" bestFit="1" customWidth="1"/>
    <x:col min="2" max="8" width="5.5" bestFit="1" customWidth="1"/>
    <x:col min="9" max="9" width="16.125" bestFit="1" customWidth="1"/>
  </x:cols>
  <x:sheetData>
    <x:row r="1" spans="1:11" s="1" customFormat="1" x14ac:dyDescent="0.15">
      <x:c r="A1" t="s">
        <x:v>1</x:v>
      </x:c>
      <x:c r="B1" t="s">
        <x:v>0</x:v>
      </x:c>
      <x:c r="C1" t="s">
        <x:v>2</x:v>
      </x:c>
      <x:c r="D1" s="3" t="s">
        <x:v>3</x:v>
      </x:c>
      <x:c r="E1" s="3" t="s">
        <x:v>4</x:v>
      </x:c>
      <x:c r="F1" s="3" t="s">
        <x:v>5</x:v>
      </x:c>
      <x:c r="G1" s="3" t="s">
        <x:v>7</x:v>
      </x:c>
      <x:c r="H1" s="3" t="s">
        <x:v>6</x:v>
      </x:c>
      <x:c r="I1" s="3" t="s">
        <x:v>8</x:v>
      </x:c>
    </x:row>
    <x:row r="2" spans="1:11" x14ac:dyDescent="0.15">
      <x:c r="A2">
        <x:v>54001</x:v>
      </x:c>
      <x:c r="B2">
        <x:v>1</x:v>
      </x:c>
      <x:c r="C2">
        <x:v>1</x:v>
      </x:c>
      <x:c r="D2">
        <x:f>ROUND($C2*10*VLOOKUP($B2,Sheet2!$J$5:$K$7,2,FALSE)*VLOOKUP(Sheet1!$A2,Sheet2!$B$5:$H$29,3,FALSE),0)</x:f>
        <x:v>10</x:v>
      </x:c>
      <x:c r="E2">
        <x:f>ROUND($C2*10*VLOOKUP($B2,Sheet2!$J$5:$K$7,2,FALSE)*VLOOKUP(Sheet1!$A2,Sheet2!$B$5:$H$29,4,FALSE),0)</x:f>
        <x:v>0</x:v>
      </x:c>
      <x:c r="F2">
        <x:f>ROUND($C2*10*VLOOKUP($B2,Sheet2!$J$5:$K$7,2,FALSE)*VLOOKUP(Sheet1!$A2,Sheet2!$B$5:$H$29,5,FALSE),0)</x:f>
        <x:v>0</x:v>
      </x:c>
      <x:c r="G2">
        <x:f>ROUND($C2*10*VLOOKUP($B2,Sheet2!$J$5:$K$7,2,FALSE)*VLOOKUP(Sheet1!$A2,Sheet2!$B$5:$H$29,6,FALSE),0)</x:f>
        <x:v>0</x:v>
      </x:c>
      <x:c r="H2">
        <x:f>ROUND($C2*10*VLOOKUP($B2,Sheet2!$J$5:$K$7,2,FALSE)*VLOOKUP(Sheet1!$A2,Sheet2!$B$5:$H$29,7,FALSE),0)</x:f>
        <x:v>0</x:v>
      </x:c>
      <x:c r="I2">
        <x:f>ROUND(1.2*10*1.8*(C2-1)^1.8+30,-1)</x:f>
        <x:v>30</x:v>
      </x:c>
      <x:c r="K2" s="2"/>
    </x:row>
    <x:row r="3" spans="1:11" x14ac:dyDescent="0.15">
      <x:c r="A3">
        <x:v>54001</x:v>
      </x:c>
      <x:c r="B3">
        <x:v>1</x:v>
      </x:c>
      <x:c r="C3">
        <x:v>2</x:v>
      </x:c>
      <x:c r="D3">
        <x:f>ROUND($C3*10*VLOOKUP($B3,Sheet2!$J$5:$K$7,2,FALSE)*VLOOKUP(Sheet1!$A3,Sheet2!$B$5:$H$29,3,FALSE),0)</x:f>
        <x:v>20</x:v>
      </x:c>
      <x:c r="E3">
        <x:f>ROUND($C3*10*VLOOKUP($B3,Sheet2!$J$5:$K$7,2,FALSE)*VLOOKUP(Sheet1!$A3,Sheet2!$B$5:$H$29,4,FALSE),0)</x:f>
        <x:v>0</x:v>
      </x:c>
      <x:c r="F3">
        <x:f>ROUND($C3*10*VLOOKUP($B3,Sheet2!$J$5:$K$7,2,FALSE)*VLOOKUP(Sheet1!$A3,Sheet2!$B$5:$H$29,5,FALSE),0)</x:f>
        <x:v>0</x:v>
      </x:c>
      <x:c r="G3">
        <x:f>ROUND($C3*10*VLOOKUP($B3,Sheet2!$J$5:$K$7,2,FALSE)*VLOOKUP(Sheet1!$A3,Sheet2!$B$5:$H$29,6,FALSE),0)</x:f>
        <x:v>0</x:v>
      </x:c>
      <x:c r="H3">
        <x:f>ROUND($C3*10*VLOOKUP($B3,Sheet2!$J$5:$K$7,2,FALSE)*VLOOKUP(Sheet1!$A3,Sheet2!$B$5:$H$29,7,FALSE),0)</x:f>
        <x:v>0</x:v>
      </x:c>
      <x:c r="I3">
        <x:f t="shared" ref="I3:I61" si="0">ROUND(1.2*10*1.8*(C3-1)^1.8+30,-1)</x:f>
        <x:v>50</x:v>
      </x:c>
    </x:row>
    <x:row r="4" spans="1:11" x14ac:dyDescent="0.15">
      <x:c r="A4">
        <x:v>54001</x:v>
      </x:c>
      <x:c r="B4">
        <x:v>1</x:v>
      </x:c>
      <x:c r="C4">
        <x:v>3</x:v>
      </x:c>
      <x:c r="D4">
        <x:f>ROUND($C4*10*VLOOKUP($B4,Sheet2!$J$5:$K$7,2,FALSE)*VLOOKUP(Sheet1!$A4,Sheet2!$B$5:$H$29,3,FALSE),0)</x:f>
        <x:v>30</x:v>
      </x:c>
      <x:c r="E4">
        <x:f>ROUND($C4*10*VLOOKUP($B4,Sheet2!$J$5:$K$7,2,FALSE)*VLOOKUP(Sheet1!$A4,Sheet2!$B$5:$H$29,4,FALSE),0)</x:f>
        <x:v>0</x:v>
      </x:c>
      <x:c r="F4">
        <x:f>ROUND($C4*10*VLOOKUP($B4,Sheet2!$J$5:$K$7,2,FALSE)*VLOOKUP(Sheet1!$A4,Sheet2!$B$5:$H$29,5,FALSE),0)</x:f>
        <x:v>0</x:v>
      </x:c>
      <x:c r="G4">
        <x:f>ROUND($C4*10*VLOOKUP($B4,Sheet2!$J$5:$K$7,2,FALSE)*VLOOKUP(Sheet1!$A4,Sheet2!$B$5:$H$29,6,FALSE),0)</x:f>
        <x:v>0</x:v>
      </x:c>
      <x:c r="H4">
        <x:f>ROUND($C4*10*VLOOKUP($B4,Sheet2!$J$5:$K$7,2,FALSE)*VLOOKUP(Sheet1!$A4,Sheet2!$B$5:$H$29,7,FALSE),0)</x:f>
        <x:v>0</x:v>
      </x:c>
      <x:c r="I4">
        <x:f t="shared" si="0"/>
        <x:v>110</x:v>
      </x:c>
    </x:row>
    <x:row r="5" spans="1:11" x14ac:dyDescent="0.15">
      <x:c r="A5">
        <x:v>54001</x:v>
      </x:c>
      <x:c r="B5">
        <x:v>1</x:v>
      </x:c>
      <x:c r="C5">
        <x:v>4</x:v>
      </x:c>
      <x:c r="D5">
        <x:f>ROUND($C5*10*VLOOKUP($B5,Sheet2!$J$5:$K$7,2,FALSE)*VLOOKUP(Sheet1!$A5,Sheet2!$B$5:$H$29,3,FALSE),0)</x:f>
        <x:v>40</x:v>
      </x:c>
      <x:c r="E5">
        <x:f>ROUND($C5*10*VLOOKUP($B5,Sheet2!$J$5:$K$7,2,FALSE)*VLOOKUP(Sheet1!$A5,Sheet2!$B$5:$H$29,4,FALSE),0)</x:f>
        <x:v>0</x:v>
      </x:c>
      <x:c r="F5">
        <x:f>ROUND($C5*10*VLOOKUP($B5,Sheet2!$J$5:$K$7,2,FALSE)*VLOOKUP(Sheet1!$A5,Sheet2!$B$5:$H$29,5,FALSE),0)</x:f>
        <x:v>0</x:v>
      </x:c>
      <x:c r="G5">
        <x:f>ROUND($C5*10*VLOOKUP($B5,Sheet2!$J$5:$K$7,2,FALSE)*VLOOKUP(Sheet1!$A5,Sheet2!$B$5:$H$29,6,FALSE),0)</x:f>
        <x:v>0</x:v>
      </x:c>
      <x:c r="H5">
        <x:f>ROUND($C5*10*VLOOKUP($B5,Sheet2!$J$5:$K$7,2,FALSE)*VLOOKUP(Sheet1!$A5,Sheet2!$B$5:$H$29,7,FALSE),0)</x:f>
        <x:v>0</x:v>
      </x:c>
      <x:c r="I5">
        <x:f t="shared" si="0"/>
        <x:v>190</x:v>
      </x:c>
    </x:row>
    <x:row r="6" spans="1:11" x14ac:dyDescent="0.15">
      <x:c r="A6">
        <x:v>54001</x:v>
      </x:c>
      <x:c r="B6">
        <x:v>1</x:v>
      </x:c>
      <x:c r="C6">
        <x:v>5</x:v>
      </x:c>
      <x:c r="D6">
        <x:f>ROUND($C6*10*VLOOKUP($B6,Sheet2!$J$5:$K$7,2,FALSE)*VLOOKUP(Sheet1!$A6,Sheet2!$B$5:$H$29,3,FALSE),0)</x:f>
        <x:v>50</x:v>
      </x:c>
      <x:c r="E6">
        <x:f>ROUND($C6*10*VLOOKUP($B6,Sheet2!$J$5:$K$7,2,FALSE)*VLOOKUP(Sheet1!$A6,Sheet2!$B$5:$H$29,4,FALSE),0)</x:f>
        <x:v>0</x:v>
      </x:c>
      <x:c r="F6">
        <x:f>ROUND($C6*10*VLOOKUP($B6,Sheet2!$J$5:$K$7,2,FALSE)*VLOOKUP(Sheet1!$A6,Sheet2!$B$5:$H$29,5,FALSE),0)</x:f>
        <x:v>0</x:v>
      </x:c>
      <x:c r="G6">
        <x:f>ROUND($C6*10*VLOOKUP($B6,Sheet2!$J$5:$K$7,2,FALSE)*VLOOKUP(Sheet1!$A6,Sheet2!$B$5:$H$29,6,FALSE),0)</x:f>
        <x:v>0</x:v>
      </x:c>
      <x:c r="H6">
        <x:f>ROUND($C6*10*VLOOKUP($B6,Sheet2!$J$5:$K$7,2,FALSE)*VLOOKUP(Sheet1!$A6,Sheet2!$B$5:$H$29,7,FALSE),0)</x:f>
        <x:v>0</x:v>
      </x:c>
      <x:c r="I6">
        <x:f t="shared" si="0"/>
        <x:v>290</x:v>
      </x:c>
    </x:row>
    <x:row r="7" spans="1:11" x14ac:dyDescent="0.15">
      <x:c r="A7">
        <x:v>54001</x:v>
      </x:c>
      <x:c r="B7">
        <x:v>1</x:v>
      </x:c>
      <x:c r="C7">
        <x:v>6</x:v>
      </x:c>
      <x:c r="D7">
        <x:f>ROUND($C7*10*VLOOKUP($B7,Sheet2!$J$5:$K$7,2,FALSE)*VLOOKUP(Sheet1!$A7,Sheet2!$B$5:$H$29,3,FALSE),0)</x:f>
        <x:v>60</x:v>
      </x:c>
      <x:c r="E7">
        <x:f>ROUND($C7*10*VLOOKUP($B7,Sheet2!$J$5:$K$7,2,FALSE)*VLOOKUP(Sheet1!$A7,Sheet2!$B$5:$H$29,4,FALSE),0)</x:f>
        <x:v>0</x:v>
      </x:c>
      <x:c r="F7">
        <x:f>ROUND($C7*10*VLOOKUP($B7,Sheet2!$J$5:$K$7,2,FALSE)*VLOOKUP(Sheet1!$A7,Sheet2!$B$5:$H$29,5,FALSE),0)</x:f>
        <x:v>0</x:v>
      </x:c>
      <x:c r="G7">
        <x:f>ROUND($C7*10*VLOOKUP($B7,Sheet2!$J$5:$K$7,2,FALSE)*VLOOKUP(Sheet1!$A7,Sheet2!$B$5:$H$29,6,FALSE),0)</x:f>
        <x:v>0</x:v>
      </x:c>
      <x:c r="H7">
        <x:f>ROUND($C7*10*VLOOKUP($B7,Sheet2!$J$5:$K$7,2,FALSE)*VLOOKUP(Sheet1!$A7,Sheet2!$B$5:$H$29,7,FALSE),0)</x:f>
        <x:v>0</x:v>
      </x:c>
      <x:c r="I7">
        <x:f t="shared" si="0"/>
        <x:v>420</x:v>
      </x:c>
    </x:row>
    <x:row r="8" spans="1:11" x14ac:dyDescent="0.15">
      <x:c r="A8">
        <x:v>54001</x:v>
      </x:c>
      <x:c r="B8">
        <x:v>1</x:v>
      </x:c>
      <x:c r="C8">
        <x:v>7</x:v>
      </x:c>
      <x:c r="D8">
        <x:f>ROUND($C8*10*VLOOKUP($B8,Sheet2!$J$5:$K$7,2,FALSE)*VLOOKUP(Sheet1!$A8,Sheet2!$B$5:$H$29,3,FALSE),0)</x:f>
        <x:v>70</x:v>
      </x:c>
      <x:c r="E8">
        <x:f>ROUND($C8*10*VLOOKUP($B8,Sheet2!$J$5:$K$7,2,FALSE)*VLOOKUP(Sheet1!$A8,Sheet2!$B$5:$H$29,4,FALSE),0)</x:f>
        <x:v>0</x:v>
      </x:c>
      <x:c r="F8">
        <x:f>ROUND($C8*10*VLOOKUP($B8,Sheet2!$J$5:$K$7,2,FALSE)*VLOOKUP(Sheet1!$A8,Sheet2!$B$5:$H$29,5,FALSE),0)</x:f>
        <x:v>0</x:v>
      </x:c>
      <x:c r="G8">
        <x:f>ROUND($C8*10*VLOOKUP($B8,Sheet2!$J$5:$K$7,2,FALSE)*VLOOKUP(Sheet1!$A8,Sheet2!$B$5:$H$29,6,FALSE),0)</x:f>
        <x:v>0</x:v>
      </x:c>
      <x:c r="H8">
        <x:f>ROUND($C8*10*VLOOKUP($B8,Sheet2!$J$5:$K$7,2,FALSE)*VLOOKUP(Sheet1!$A8,Sheet2!$B$5:$H$29,7,FALSE),0)</x:f>
        <x:v>0</x:v>
      </x:c>
      <x:c r="I8">
        <x:f t="shared" si="0"/>
        <x:v>570</x:v>
      </x:c>
    </x:row>
    <x:row r="9" spans="1:11" x14ac:dyDescent="0.15">
      <x:c r="A9">
        <x:v>54001</x:v>
      </x:c>
      <x:c r="B9">
        <x:v>1</x:v>
      </x:c>
      <x:c r="C9">
        <x:v>8</x:v>
      </x:c>
      <x:c r="D9">
        <x:f>ROUND($C9*10*VLOOKUP($B9,Sheet2!$J$5:$K$7,2,FALSE)*VLOOKUP(Sheet1!$A9,Sheet2!$B$5:$H$29,3,FALSE),0)</x:f>
        <x:v>80</x:v>
      </x:c>
      <x:c r="E9">
        <x:f>ROUND($C9*10*VLOOKUP($B9,Sheet2!$J$5:$K$7,2,FALSE)*VLOOKUP(Sheet1!$A9,Sheet2!$B$5:$H$29,4,FALSE),0)</x:f>
        <x:v>0</x:v>
      </x:c>
      <x:c r="F9">
        <x:f>ROUND($C9*10*VLOOKUP($B9,Sheet2!$J$5:$K$7,2,FALSE)*VLOOKUP(Sheet1!$A9,Sheet2!$B$5:$H$29,5,FALSE),0)</x:f>
        <x:v>0</x:v>
      </x:c>
      <x:c r="G9">
        <x:f>ROUND($C9*10*VLOOKUP($B9,Sheet2!$J$5:$K$7,2,FALSE)*VLOOKUP(Sheet1!$A9,Sheet2!$B$5:$H$29,6,FALSE),0)</x:f>
        <x:v>0</x:v>
      </x:c>
      <x:c r="H9">
        <x:f>ROUND($C9*10*VLOOKUP($B9,Sheet2!$J$5:$K$7,2,FALSE)*VLOOKUP(Sheet1!$A9,Sheet2!$B$5:$H$29,7,FALSE),0)</x:f>
        <x:v>0</x:v>
      </x:c>
      <x:c r="I9">
        <x:f t="shared" si="0"/>
        <x:v>750</x:v>
      </x:c>
    </x:row>
    <x:row r="10" spans="1:11" x14ac:dyDescent="0.15">
      <x:c r="A10">
        <x:v>54001</x:v>
      </x:c>
      <x:c r="B10">
        <x:v>1</x:v>
      </x:c>
      <x:c r="C10">
        <x:v>9</x:v>
      </x:c>
      <x:c r="D10">
        <x:f>ROUND($C10*10*VLOOKUP($B10,Sheet2!$J$5:$K$7,2,FALSE)*VLOOKUP(Sheet1!$A10,Sheet2!$B$5:$H$29,3,FALSE),0)</x:f>
        <x:v>90</x:v>
      </x:c>
      <x:c r="E10">
        <x:f>ROUND($C10*10*VLOOKUP($B10,Sheet2!$J$5:$K$7,2,FALSE)*VLOOKUP(Sheet1!$A10,Sheet2!$B$5:$H$29,4,FALSE),0)</x:f>
        <x:v>0</x:v>
      </x:c>
      <x:c r="F10">
        <x:f>ROUND($C10*10*VLOOKUP($B10,Sheet2!$J$5:$K$7,2,FALSE)*VLOOKUP(Sheet1!$A10,Sheet2!$B$5:$H$29,5,FALSE),0)</x:f>
        <x:v>0</x:v>
      </x:c>
      <x:c r="G10">
        <x:f>ROUND($C10*10*VLOOKUP($B10,Sheet2!$J$5:$K$7,2,FALSE)*VLOOKUP(Sheet1!$A10,Sheet2!$B$5:$H$29,6,FALSE),0)</x:f>
        <x:v>0</x:v>
      </x:c>
      <x:c r="H10">
        <x:f>ROUND($C10*10*VLOOKUP($B10,Sheet2!$J$5:$K$7,2,FALSE)*VLOOKUP(Sheet1!$A10,Sheet2!$B$5:$H$29,7,FALSE),0)</x:f>
        <x:v>0</x:v>
      </x:c>
      <x:c r="I10">
        <x:f t="shared" si="0"/>
        <x:v>940</x:v>
      </x:c>
    </x:row>
    <x:row r="11" spans="1:11" x14ac:dyDescent="0.15">
      <x:c r="A11">
        <x:v>54001</x:v>
      </x:c>
      <x:c r="B11">
        <x:v>1</x:v>
      </x:c>
      <x:c r="C11">
        <x:v>10</x:v>
      </x:c>
      <x:c r="D11">
        <x:f>ROUND($C11*10*VLOOKUP($B11,Sheet2!$J$5:$K$7,2,FALSE)*VLOOKUP(Sheet1!$A11,Sheet2!$B$5:$H$29,3,FALSE),0)</x:f>
        <x:v>100</x:v>
      </x:c>
      <x:c r="E11">
        <x:f>ROUND($C11*10*VLOOKUP($B11,Sheet2!$J$5:$K$7,2,FALSE)*VLOOKUP(Sheet1!$A11,Sheet2!$B$5:$H$29,4,FALSE),0)</x:f>
        <x:v>0</x:v>
      </x:c>
      <x:c r="F11">
        <x:f>ROUND($C11*10*VLOOKUP($B11,Sheet2!$J$5:$K$7,2,FALSE)*VLOOKUP(Sheet1!$A11,Sheet2!$B$5:$H$29,5,FALSE),0)</x:f>
        <x:v>0</x:v>
      </x:c>
      <x:c r="G11">
        <x:f>ROUND($C11*10*VLOOKUP($B11,Sheet2!$J$5:$K$7,2,FALSE)*VLOOKUP(Sheet1!$A11,Sheet2!$B$5:$H$29,6,FALSE),0)</x:f>
        <x:v>0</x:v>
      </x:c>
      <x:c r="H11">
        <x:f>ROUND($C11*10*VLOOKUP($B11,Sheet2!$J$5:$K$7,2,FALSE)*VLOOKUP(Sheet1!$A11,Sheet2!$B$5:$H$29,7,FALSE),0)</x:f>
        <x:v>0</x:v>
      </x:c>
      <x:c r="I11">
        <x:f t="shared" si="0"/>
        <x:v>1160</x:v>
      </x:c>
    </x:row>
    <x:row r="12" spans="1:11" x14ac:dyDescent="0.15">
      <x:c r="A12">
        <x:v>54001</x:v>
      </x:c>
      <x:c r="B12">
        <x:v>1</x:v>
      </x:c>
      <x:c r="C12">
        <x:v>11</x:v>
      </x:c>
      <x:c r="D12">
        <x:f>ROUND($C12*10*VLOOKUP($B12,Sheet2!$J$5:$K$7,2,FALSE)*VLOOKUP(Sheet1!$A12,Sheet2!$B$5:$H$29,3,FALSE),0)</x:f>
        <x:v>110</x:v>
      </x:c>
      <x:c r="E12">
        <x:f>ROUND($C12*10*VLOOKUP($B12,Sheet2!$J$5:$K$7,2,FALSE)*VLOOKUP(Sheet1!$A12,Sheet2!$B$5:$H$29,4,FALSE),0)</x:f>
        <x:v>0</x:v>
      </x:c>
      <x:c r="F12">
        <x:f>ROUND($C12*10*VLOOKUP($B12,Sheet2!$J$5:$K$7,2,FALSE)*VLOOKUP(Sheet1!$A12,Sheet2!$B$5:$H$29,5,FALSE),0)</x:f>
        <x:v>0</x:v>
      </x:c>
      <x:c r="G12">
        <x:f>ROUND($C12*10*VLOOKUP($B12,Sheet2!$J$5:$K$7,2,FALSE)*VLOOKUP(Sheet1!$A12,Sheet2!$B$5:$H$29,6,FALSE),0)</x:f>
        <x:v>0</x:v>
      </x:c>
      <x:c r="H12">
        <x:f>ROUND($C12*10*VLOOKUP($B12,Sheet2!$J$5:$K$7,2,FALSE)*VLOOKUP(Sheet1!$A12,Sheet2!$B$5:$H$29,7,FALSE),0)</x:f>
        <x:v>0</x:v>
      </x:c>
      <x:c r="I12">
        <x:f t="shared" si="0"/>
        <x:v>1390</x:v>
      </x:c>
    </x:row>
    <x:row r="13" spans="1:11" x14ac:dyDescent="0.15">
      <x:c r="A13">
        <x:v>54001</x:v>
      </x:c>
      <x:c r="B13">
        <x:v>1</x:v>
      </x:c>
      <x:c r="C13">
        <x:v>12</x:v>
      </x:c>
      <x:c r="D13">
        <x:f>ROUND($C13*10*VLOOKUP($B13,Sheet2!$J$5:$K$7,2,FALSE)*VLOOKUP(Sheet1!$A13,Sheet2!$B$5:$H$29,3,FALSE),0)</x:f>
        <x:v>120</x:v>
      </x:c>
      <x:c r="E13">
        <x:f>ROUND($C13*10*VLOOKUP($B13,Sheet2!$J$5:$K$7,2,FALSE)*VLOOKUP(Sheet1!$A13,Sheet2!$B$5:$H$29,4,FALSE),0)</x:f>
        <x:v>0</x:v>
      </x:c>
      <x:c r="F13">
        <x:f>ROUND($C13*10*VLOOKUP($B13,Sheet2!$J$5:$K$7,2,FALSE)*VLOOKUP(Sheet1!$A13,Sheet2!$B$5:$H$29,5,FALSE),0)</x:f>
        <x:v>0</x:v>
      </x:c>
      <x:c r="G13">
        <x:f>ROUND($C13*10*VLOOKUP($B13,Sheet2!$J$5:$K$7,2,FALSE)*VLOOKUP(Sheet1!$A13,Sheet2!$B$5:$H$29,6,FALSE),0)</x:f>
        <x:v>0</x:v>
      </x:c>
      <x:c r="H13">
        <x:f>ROUND($C13*10*VLOOKUP($B13,Sheet2!$J$5:$K$7,2,FALSE)*VLOOKUP(Sheet1!$A13,Sheet2!$B$5:$H$29,7,FALSE),0)</x:f>
        <x:v>0</x:v>
      </x:c>
      <x:c r="I13">
        <x:f t="shared" si="0"/>
        <x:v>1650</x:v>
      </x:c>
    </x:row>
    <x:row r="14" spans="1:11" x14ac:dyDescent="0.15">
      <x:c r="A14">
        <x:v>54001</x:v>
      </x:c>
      <x:c r="B14">
        <x:v>1</x:v>
      </x:c>
      <x:c r="C14">
        <x:v>13</x:v>
      </x:c>
      <x:c r="D14">
        <x:f>ROUND($C14*10*VLOOKUP($B14,Sheet2!$J$5:$K$7,2,FALSE)*VLOOKUP(Sheet1!$A14,Sheet2!$B$5:$H$29,3,FALSE),0)</x:f>
        <x:v>130</x:v>
      </x:c>
      <x:c r="E14">
        <x:f>ROUND($C14*10*VLOOKUP($B14,Sheet2!$J$5:$K$7,2,FALSE)*VLOOKUP(Sheet1!$A14,Sheet2!$B$5:$H$29,4,FALSE),0)</x:f>
        <x:v>0</x:v>
      </x:c>
      <x:c r="F14">
        <x:f>ROUND($C14*10*VLOOKUP($B14,Sheet2!$J$5:$K$7,2,FALSE)*VLOOKUP(Sheet1!$A14,Sheet2!$B$5:$H$29,5,FALSE),0)</x:f>
        <x:v>0</x:v>
      </x:c>
      <x:c r="G14">
        <x:f>ROUND($C14*10*VLOOKUP($B14,Sheet2!$J$5:$K$7,2,FALSE)*VLOOKUP(Sheet1!$A14,Sheet2!$B$5:$H$29,6,FALSE),0)</x:f>
        <x:v>0</x:v>
      </x:c>
      <x:c r="H14">
        <x:f>ROUND($C14*10*VLOOKUP($B14,Sheet2!$J$5:$K$7,2,FALSE)*VLOOKUP(Sheet1!$A14,Sheet2!$B$5:$H$29,7,FALSE),0)</x:f>
        <x:v>0</x:v>
      </x:c>
      <x:c r="I14">
        <x:f t="shared" si="0"/>
        <x:v>1920</x:v>
      </x:c>
    </x:row>
    <x:row r="15" spans="1:11" x14ac:dyDescent="0.15">
      <x:c r="A15">
        <x:v>54001</x:v>
      </x:c>
      <x:c r="B15">
        <x:v>1</x:v>
      </x:c>
      <x:c r="C15">
        <x:v>14</x:v>
      </x:c>
      <x:c r="D15">
        <x:f>ROUND($C15*10*VLOOKUP($B15,Sheet2!$J$5:$K$7,2,FALSE)*VLOOKUP(Sheet1!$A15,Sheet2!$B$5:$H$29,3,FALSE),0)</x:f>
        <x:v>140</x:v>
      </x:c>
      <x:c r="E15">
        <x:f>ROUND($C15*10*VLOOKUP($B15,Sheet2!$J$5:$K$7,2,FALSE)*VLOOKUP(Sheet1!$A15,Sheet2!$B$5:$H$29,4,FALSE),0)</x:f>
        <x:v>0</x:v>
      </x:c>
      <x:c r="F15">
        <x:f>ROUND($C15*10*VLOOKUP($B15,Sheet2!$J$5:$K$7,2,FALSE)*VLOOKUP(Sheet1!$A15,Sheet2!$B$5:$H$29,5,FALSE),0)</x:f>
        <x:v>0</x:v>
      </x:c>
      <x:c r="G15">
        <x:f>ROUND($C15*10*VLOOKUP($B15,Sheet2!$J$5:$K$7,2,FALSE)*VLOOKUP(Sheet1!$A15,Sheet2!$B$5:$H$29,6,FALSE),0)</x:f>
        <x:v>0</x:v>
      </x:c>
      <x:c r="H15">
        <x:f>ROUND($C15*10*VLOOKUP($B15,Sheet2!$J$5:$K$7,2,FALSE)*VLOOKUP(Sheet1!$A15,Sheet2!$B$5:$H$29,7,FALSE),0)</x:f>
        <x:v>0</x:v>
      </x:c>
      <x:c r="I15">
        <x:f t="shared" si="0"/>
        <x:v>2220</x:v>
      </x:c>
    </x:row>
    <x:row r="16" spans="1:11" x14ac:dyDescent="0.15">
      <x:c r="A16">
        <x:v>54001</x:v>
      </x:c>
      <x:c r="B16">
        <x:v>1</x:v>
      </x:c>
      <x:c r="C16">
        <x:v>15</x:v>
      </x:c>
      <x:c r="D16">
        <x:f>ROUND($C16*10*VLOOKUP($B16,Sheet2!$J$5:$K$7,2,FALSE)*VLOOKUP(Sheet1!$A16,Sheet2!$B$5:$H$29,3,FALSE),0)</x:f>
        <x:v>150</x:v>
      </x:c>
      <x:c r="E16">
        <x:f>ROUND($C16*10*VLOOKUP($B16,Sheet2!$J$5:$K$7,2,FALSE)*VLOOKUP(Sheet1!$A16,Sheet2!$B$5:$H$29,4,FALSE),0)</x:f>
        <x:v>0</x:v>
      </x:c>
      <x:c r="F16">
        <x:f>ROUND($C16*10*VLOOKUP($B16,Sheet2!$J$5:$K$7,2,FALSE)*VLOOKUP(Sheet1!$A16,Sheet2!$B$5:$H$29,5,FALSE),0)</x:f>
        <x:v>0</x:v>
      </x:c>
      <x:c r="G16">
        <x:f>ROUND($C16*10*VLOOKUP($B16,Sheet2!$J$5:$K$7,2,FALSE)*VLOOKUP(Sheet1!$A16,Sheet2!$B$5:$H$29,6,FALSE),0)</x:f>
        <x:v>0</x:v>
      </x:c>
      <x:c r="H16">
        <x:f>ROUND($C16*10*VLOOKUP($B16,Sheet2!$J$5:$K$7,2,FALSE)*VLOOKUP(Sheet1!$A16,Sheet2!$B$5:$H$29,7,FALSE),0)</x:f>
        <x:v>0</x:v>
      </x:c>
      <x:c r="I16">
        <x:f t="shared" si="0"/>
        <x:v>2530</x:v>
      </x:c>
    </x:row>
    <x:row r="17" spans="1:9" x14ac:dyDescent="0.15">
      <x:c r="A17">
        <x:v>54001</x:v>
      </x:c>
      <x:c r="B17">
        <x:v>1</x:v>
      </x:c>
      <x:c r="C17">
        <x:v>16</x:v>
      </x:c>
      <x:c r="D17">
        <x:f>ROUND($C17*10*VLOOKUP($B17,Sheet2!$J$5:$K$7,2,FALSE)*VLOOKUP(Sheet1!$A17,Sheet2!$B$5:$H$29,3,FALSE),0)</x:f>
        <x:v>160</x:v>
      </x:c>
      <x:c r="E17">
        <x:f>ROUND($C17*10*VLOOKUP($B17,Sheet2!$J$5:$K$7,2,FALSE)*VLOOKUP(Sheet1!$A17,Sheet2!$B$5:$H$29,4,FALSE),0)</x:f>
        <x:v>0</x:v>
      </x:c>
      <x:c r="F17">
        <x:f>ROUND($C17*10*VLOOKUP($B17,Sheet2!$J$5:$K$7,2,FALSE)*VLOOKUP(Sheet1!$A17,Sheet2!$B$5:$H$29,5,FALSE),0)</x:f>
        <x:v>0</x:v>
      </x:c>
      <x:c r="G17">
        <x:f>ROUND($C17*10*VLOOKUP($B17,Sheet2!$J$5:$K$7,2,FALSE)*VLOOKUP(Sheet1!$A17,Sheet2!$B$5:$H$29,6,FALSE),0)</x:f>
        <x:v>0</x:v>
      </x:c>
      <x:c r="H17">
        <x:f>ROUND($C17*10*VLOOKUP($B17,Sheet2!$J$5:$K$7,2,FALSE)*VLOOKUP(Sheet1!$A17,Sheet2!$B$5:$H$29,7,FALSE),0)</x:f>
        <x:v>0</x:v>
      </x:c>
      <x:c r="I17">
        <x:f t="shared" si="0"/>
        <x:v>2860</x:v>
      </x:c>
    </x:row>
    <x:row r="18" spans="1:9" x14ac:dyDescent="0.15">
      <x:c r="A18">
        <x:v>54001</x:v>
      </x:c>
      <x:c r="B18">
        <x:v>1</x:v>
      </x:c>
      <x:c r="C18">
        <x:v>17</x:v>
      </x:c>
      <x:c r="D18">
        <x:f>ROUND($C18*10*VLOOKUP($B18,Sheet2!$J$5:$K$7,2,FALSE)*VLOOKUP(Sheet1!$A18,Sheet2!$B$5:$H$29,3,FALSE),0)</x:f>
        <x:v>170</x:v>
      </x:c>
      <x:c r="E18">
        <x:f>ROUND($C18*10*VLOOKUP($B18,Sheet2!$J$5:$K$7,2,FALSE)*VLOOKUP(Sheet1!$A18,Sheet2!$B$5:$H$29,4,FALSE),0)</x:f>
        <x:v>0</x:v>
      </x:c>
      <x:c r="F18">
        <x:f>ROUND($C18*10*VLOOKUP($B18,Sheet2!$J$5:$K$7,2,FALSE)*VLOOKUP(Sheet1!$A18,Sheet2!$B$5:$H$29,5,FALSE),0)</x:f>
        <x:v>0</x:v>
      </x:c>
      <x:c r="G18">
        <x:f>ROUND($C18*10*VLOOKUP($B18,Sheet2!$J$5:$K$7,2,FALSE)*VLOOKUP(Sheet1!$A18,Sheet2!$B$5:$H$29,6,FALSE),0)</x:f>
        <x:v>0</x:v>
      </x:c>
      <x:c r="H18">
        <x:f>ROUND($C18*10*VLOOKUP($B18,Sheet2!$J$5:$K$7,2,FALSE)*VLOOKUP(Sheet1!$A18,Sheet2!$B$5:$H$29,7,FALSE),0)</x:f>
        <x:v>0</x:v>
      </x:c>
      <x:c r="I18">
        <x:f t="shared" si="0"/>
        <x:v>3210</x:v>
      </x:c>
    </x:row>
    <x:row r="19" spans="1:9" x14ac:dyDescent="0.15">
      <x:c r="A19">
        <x:v>54001</x:v>
      </x:c>
      <x:c r="B19">
        <x:v>1</x:v>
      </x:c>
      <x:c r="C19">
        <x:v>18</x:v>
      </x:c>
      <x:c r="D19">
        <x:f>ROUND($C19*10*VLOOKUP($B19,Sheet2!$J$5:$K$7,2,FALSE)*VLOOKUP(Sheet1!$A19,Sheet2!$B$5:$H$29,3,FALSE),0)</x:f>
        <x:v>180</x:v>
      </x:c>
      <x:c r="E19">
        <x:f>ROUND($C19*10*VLOOKUP($B19,Sheet2!$J$5:$K$7,2,FALSE)*VLOOKUP(Sheet1!$A19,Sheet2!$B$5:$H$29,4,FALSE),0)</x:f>
        <x:v>0</x:v>
      </x:c>
      <x:c r="F19">
        <x:f>ROUND($C19*10*VLOOKUP($B19,Sheet2!$J$5:$K$7,2,FALSE)*VLOOKUP(Sheet1!$A19,Sheet2!$B$5:$H$29,5,FALSE),0)</x:f>
        <x:v>0</x:v>
      </x:c>
      <x:c r="G19">
        <x:f>ROUND($C19*10*VLOOKUP($B19,Sheet2!$J$5:$K$7,2,FALSE)*VLOOKUP(Sheet1!$A19,Sheet2!$B$5:$H$29,6,FALSE),0)</x:f>
        <x:v>0</x:v>
      </x:c>
      <x:c r="H19">
        <x:f>ROUND($C19*10*VLOOKUP($B19,Sheet2!$J$5:$K$7,2,FALSE)*VLOOKUP(Sheet1!$A19,Sheet2!$B$5:$H$29,7,FALSE),0)</x:f>
        <x:v>0</x:v>
      </x:c>
      <x:c r="I19">
        <x:f t="shared" si="0"/>
        <x:v>3570</x:v>
      </x:c>
    </x:row>
    <x:row r="20" spans="1:9" x14ac:dyDescent="0.15">
      <x:c r="A20">
        <x:v>54001</x:v>
      </x:c>
      <x:c r="B20">
        <x:v>1</x:v>
      </x:c>
      <x:c r="C20">
        <x:v>19</x:v>
      </x:c>
      <x:c r="D20">
        <x:f>ROUND($C20*10*VLOOKUP($B20,Sheet2!$J$5:$K$7,2,FALSE)*VLOOKUP(Sheet1!$A20,Sheet2!$B$5:$H$29,3,FALSE),0)</x:f>
        <x:v>190</x:v>
      </x:c>
      <x:c r="E20">
        <x:f>ROUND($C20*10*VLOOKUP($B20,Sheet2!$J$5:$K$7,2,FALSE)*VLOOKUP(Sheet1!$A20,Sheet2!$B$5:$H$29,4,FALSE),0)</x:f>
        <x:v>0</x:v>
      </x:c>
      <x:c r="F20">
        <x:f>ROUND($C20*10*VLOOKUP($B20,Sheet2!$J$5:$K$7,2,FALSE)*VLOOKUP(Sheet1!$A20,Sheet2!$B$5:$H$29,5,FALSE),0)</x:f>
        <x:v>0</x:v>
      </x:c>
      <x:c r="G20">
        <x:f>ROUND($C20*10*VLOOKUP($B20,Sheet2!$J$5:$K$7,2,FALSE)*VLOOKUP(Sheet1!$A20,Sheet2!$B$5:$H$29,6,FALSE),0)</x:f>
        <x:v>0</x:v>
      </x:c>
      <x:c r="H20">
        <x:f>ROUND($C20*10*VLOOKUP($B20,Sheet2!$J$5:$K$7,2,FALSE)*VLOOKUP(Sheet1!$A20,Sheet2!$B$5:$H$29,7,FALSE),0)</x:f>
        <x:v>0</x:v>
      </x:c>
      <x:c r="I20">
        <x:f t="shared" si="0"/>
        <x:v>3960</x:v>
      </x:c>
    </x:row>
    <x:row r="21" spans="1:9" x14ac:dyDescent="0.15">
      <x:c r="A21">
        <x:v>54001</x:v>
      </x:c>
      <x:c r="B21">
        <x:v>1</x:v>
      </x:c>
      <x:c r="C21">
        <x:v>20</x:v>
      </x:c>
      <x:c r="D21">
        <x:f>ROUND($C21*10*VLOOKUP($B21,Sheet2!$J$5:$K$7,2,FALSE)*VLOOKUP(Sheet1!$A21,Sheet2!$B$5:$H$29,3,FALSE),0)</x:f>
        <x:v>200</x:v>
      </x:c>
      <x:c r="E21">
        <x:f>ROUND($C21*10*VLOOKUP($B21,Sheet2!$J$5:$K$7,2,FALSE)*VLOOKUP(Sheet1!$A21,Sheet2!$B$5:$H$29,4,FALSE),0)</x:f>
        <x:v>0</x:v>
      </x:c>
      <x:c r="F21">
        <x:f>ROUND($C21*10*VLOOKUP($B21,Sheet2!$J$5:$K$7,2,FALSE)*VLOOKUP(Sheet1!$A21,Sheet2!$B$5:$H$29,5,FALSE),0)</x:f>
        <x:v>0</x:v>
      </x:c>
      <x:c r="G21">
        <x:f>ROUND($C21*10*VLOOKUP($B21,Sheet2!$J$5:$K$7,2,FALSE)*VLOOKUP(Sheet1!$A21,Sheet2!$B$5:$H$29,6,FALSE),0)</x:f>
        <x:v>0</x:v>
      </x:c>
      <x:c r="H21">
        <x:f>ROUND($C21*10*VLOOKUP($B21,Sheet2!$J$5:$K$7,2,FALSE)*VLOOKUP(Sheet1!$A21,Sheet2!$B$5:$H$29,7,FALSE),0)</x:f>
        <x:v>0</x:v>
      </x:c>
      <x:c r="I21">
        <x:f t="shared" si="0"/>
        <x:v>4360</x:v>
      </x:c>
    </x:row>
    <x:row r="22" spans="1:9" x14ac:dyDescent="0.15">
      <x:c r="A22">
        <x:v>54001</x:v>
      </x:c>
      <x:c r="B22">
        <x:v>1</x:v>
      </x:c>
      <x:c r="C22">
        <x:v>21</x:v>
      </x:c>
      <x:c r="D22">
        <x:f>ROUND($C22*10*VLOOKUP($B22,Sheet2!$J$5:$K$7,2,FALSE)*VLOOKUP(Sheet1!$A22,Sheet2!$B$5:$H$29,3,FALSE),0)</x:f>
        <x:v>210</x:v>
      </x:c>
      <x:c r="E22">
        <x:f>ROUND($C22*10*VLOOKUP($B22,Sheet2!$J$5:$K$7,2,FALSE)*VLOOKUP(Sheet1!$A22,Sheet2!$B$5:$H$29,4,FALSE),0)</x:f>
        <x:v>0</x:v>
      </x:c>
      <x:c r="F22">
        <x:f>ROUND($C22*10*VLOOKUP($B22,Sheet2!$J$5:$K$7,2,FALSE)*VLOOKUP(Sheet1!$A22,Sheet2!$B$5:$H$29,5,FALSE),0)</x:f>
        <x:v>0</x:v>
      </x:c>
      <x:c r="G22">
        <x:f>ROUND($C22*10*VLOOKUP($B22,Sheet2!$J$5:$K$7,2,FALSE)*VLOOKUP(Sheet1!$A22,Sheet2!$B$5:$H$29,6,FALSE),0)</x:f>
        <x:v>0</x:v>
      </x:c>
      <x:c r="H22">
        <x:f>ROUND($C22*10*VLOOKUP($B22,Sheet2!$J$5:$K$7,2,FALSE)*VLOOKUP(Sheet1!$A22,Sheet2!$B$5:$H$29,7,FALSE),0)</x:f>
        <x:v>0</x:v>
      </x:c>
      <x:c r="I22">
        <x:f t="shared" si="0"/>
        <x:v>4780</x:v>
      </x:c>
    </x:row>
    <x:row r="23" spans="1:9" x14ac:dyDescent="0.15">
      <x:c r="A23">
        <x:v>54001</x:v>
      </x:c>
      <x:c r="B23">
        <x:v>1</x:v>
      </x:c>
      <x:c r="C23">
        <x:v>22</x:v>
      </x:c>
      <x:c r="D23">
        <x:f>ROUND($C23*10*VLOOKUP($B23,Sheet2!$J$5:$K$7,2,FALSE)*VLOOKUP(Sheet1!$A23,Sheet2!$B$5:$H$29,3,FALSE),0)</x:f>
        <x:v>220</x:v>
      </x:c>
      <x:c r="E23">
        <x:f>ROUND($C23*10*VLOOKUP($B23,Sheet2!$J$5:$K$7,2,FALSE)*VLOOKUP(Sheet1!$A23,Sheet2!$B$5:$H$29,4,FALSE),0)</x:f>
        <x:v>0</x:v>
      </x:c>
      <x:c r="F23">
        <x:f>ROUND($C23*10*VLOOKUP($B23,Sheet2!$J$5:$K$7,2,FALSE)*VLOOKUP(Sheet1!$A23,Sheet2!$B$5:$H$29,5,FALSE),0)</x:f>
        <x:v>0</x:v>
      </x:c>
      <x:c r="G23">
        <x:f>ROUND($C23*10*VLOOKUP($B23,Sheet2!$J$5:$K$7,2,FALSE)*VLOOKUP(Sheet1!$A23,Sheet2!$B$5:$H$29,6,FALSE),0)</x:f>
        <x:v>0</x:v>
      </x:c>
      <x:c r="H23">
        <x:f>ROUND($C23*10*VLOOKUP($B23,Sheet2!$J$5:$K$7,2,FALSE)*VLOOKUP(Sheet1!$A23,Sheet2!$B$5:$H$29,7,FALSE),0)</x:f>
        <x:v>0</x:v>
      </x:c>
      <x:c r="I23">
        <x:f t="shared" si="0"/>
        <x:v>5210</x:v>
      </x:c>
    </x:row>
    <x:row r="24" spans="1:9" x14ac:dyDescent="0.15">
      <x:c r="A24">
        <x:v>54001</x:v>
      </x:c>
      <x:c r="B24">
        <x:v>1</x:v>
      </x:c>
      <x:c r="C24">
        <x:v>23</x:v>
      </x:c>
      <x:c r="D24">
        <x:f>ROUND($C24*10*VLOOKUP($B24,Sheet2!$J$5:$K$7,2,FALSE)*VLOOKUP(Sheet1!$A24,Sheet2!$B$5:$H$29,3,FALSE),0)</x:f>
        <x:v>230</x:v>
      </x:c>
      <x:c r="E24">
        <x:f>ROUND($C24*10*VLOOKUP($B24,Sheet2!$J$5:$K$7,2,FALSE)*VLOOKUP(Sheet1!$A24,Sheet2!$B$5:$H$29,4,FALSE),0)</x:f>
        <x:v>0</x:v>
      </x:c>
      <x:c r="F24">
        <x:f>ROUND($C24*10*VLOOKUP($B24,Sheet2!$J$5:$K$7,2,FALSE)*VLOOKUP(Sheet1!$A24,Sheet2!$B$5:$H$29,5,FALSE),0)</x:f>
        <x:v>0</x:v>
      </x:c>
      <x:c r="G24">
        <x:f>ROUND($C24*10*VLOOKUP($B24,Sheet2!$J$5:$K$7,2,FALSE)*VLOOKUP(Sheet1!$A24,Sheet2!$B$5:$H$29,6,FALSE),0)</x:f>
        <x:v>0</x:v>
      </x:c>
      <x:c r="H24">
        <x:f>ROUND($C24*10*VLOOKUP($B24,Sheet2!$J$5:$K$7,2,FALSE)*VLOOKUP(Sheet1!$A24,Sheet2!$B$5:$H$29,7,FALSE),0)</x:f>
        <x:v>0</x:v>
      </x:c>
      <x:c r="I24">
        <x:f t="shared" si="0"/>
        <x:v>5660</x:v>
      </x:c>
    </x:row>
    <x:row r="25" spans="1:9" x14ac:dyDescent="0.15">
      <x:c r="A25">
        <x:v>54001</x:v>
      </x:c>
      <x:c r="B25">
        <x:v>1</x:v>
      </x:c>
      <x:c r="C25">
        <x:v>24</x:v>
      </x:c>
      <x:c r="D25">
        <x:f>ROUND($C25*10*VLOOKUP($B25,Sheet2!$J$5:$K$7,2,FALSE)*VLOOKUP(Sheet1!$A25,Sheet2!$B$5:$H$29,3,FALSE),0)</x:f>
        <x:v>240</x:v>
      </x:c>
      <x:c r="E25">
        <x:f>ROUND($C25*10*VLOOKUP($B25,Sheet2!$J$5:$K$7,2,FALSE)*VLOOKUP(Sheet1!$A25,Sheet2!$B$5:$H$29,4,FALSE),0)</x:f>
        <x:v>0</x:v>
      </x:c>
      <x:c r="F25">
        <x:f>ROUND($C25*10*VLOOKUP($B25,Sheet2!$J$5:$K$7,2,FALSE)*VLOOKUP(Sheet1!$A25,Sheet2!$B$5:$H$29,5,FALSE),0)</x:f>
        <x:v>0</x:v>
      </x:c>
      <x:c r="G25">
        <x:f>ROUND($C25*10*VLOOKUP($B25,Sheet2!$J$5:$K$7,2,FALSE)*VLOOKUP(Sheet1!$A25,Sheet2!$B$5:$H$29,6,FALSE),0)</x:f>
        <x:v>0</x:v>
      </x:c>
      <x:c r="H25">
        <x:f>ROUND($C25*10*VLOOKUP($B25,Sheet2!$J$5:$K$7,2,FALSE)*VLOOKUP(Sheet1!$A25,Sheet2!$B$5:$H$29,7,FALSE),0)</x:f>
        <x:v>0</x:v>
      </x:c>
      <x:c r="I25">
        <x:f t="shared" si="0"/>
        <x:v>6130</x:v>
      </x:c>
    </x:row>
    <x:row r="26" spans="1:9" x14ac:dyDescent="0.15">
      <x:c r="A26">
        <x:v>54001</x:v>
      </x:c>
      <x:c r="B26">
        <x:v>1</x:v>
      </x:c>
      <x:c r="C26">
        <x:v>25</x:v>
      </x:c>
      <x:c r="D26">
        <x:f>ROUND($C26*10*VLOOKUP($B26,Sheet2!$J$5:$K$7,2,FALSE)*VLOOKUP(Sheet1!$A26,Sheet2!$B$5:$H$29,3,FALSE),0)</x:f>
        <x:v>250</x:v>
      </x:c>
      <x:c r="E26">
        <x:f>ROUND($C26*10*VLOOKUP($B26,Sheet2!$J$5:$K$7,2,FALSE)*VLOOKUP(Sheet1!$A26,Sheet2!$B$5:$H$29,4,FALSE),0)</x:f>
        <x:v>0</x:v>
      </x:c>
      <x:c r="F26">
        <x:f>ROUND($C26*10*VLOOKUP($B26,Sheet2!$J$5:$K$7,2,FALSE)*VLOOKUP(Sheet1!$A26,Sheet2!$B$5:$H$29,5,FALSE),0)</x:f>
        <x:v>0</x:v>
      </x:c>
      <x:c r="G26">
        <x:f>ROUND($C26*10*VLOOKUP($B26,Sheet2!$J$5:$K$7,2,FALSE)*VLOOKUP(Sheet1!$A26,Sheet2!$B$5:$H$29,6,FALSE),0)</x:f>
        <x:v>0</x:v>
      </x:c>
      <x:c r="H26">
        <x:f>ROUND($C26*10*VLOOKUP($B26,Sheet2!$J$5:$K$7,2,FALSE)*VLOOKUP(Sheet1!$A26,Sheet2!$B$5:$H$29,7,FALSE),0)</x:f>
        <x:v>0</x:v>
      </x:c>
      <x:c r="I26">
        <x:f t="shared" si="0"/>
        <x:v>6620</x:v>
      </x:c>
    </x:row>
    <x:row r="27" spans="1:9" x14ac:dyDescent="0.15">
      <x:c r="A27">
        <x:v>54001</x:v>
      </x:c>
      <x:c r="B27">
        <x:v>1</x:v>
      </x:c>
      <x:c r="C27">
        <x:v>26</x:v>
      </x:c>
      <x:c r="D27">
        <x:f>ROUND($C27*10*VLOOKUP($B27,Sheet2!$J$5:$K$7,2,FALSE)*VLOOKUP(Sheet1!$A27,Sheet2!$B$5:$H$29,3,FALSE),0)</x:f>
        <x:v>260</x:v>
      </x:c>
      <x:c r="E27">
        <x:f>ROUND($C27*10*VLOOKUP($B27,Sheet2!$J$5:$K$7,2,FALSE)*VLOOKUP(Sheet1!$A27,Sheet2!$B$5:$H$29,4,FALSE),0)</x:f>
        <x:v>0</x:v>
      </x:c>
      <x:c r="F27">
        <x:f>ROUND($C27*10*VLOOKUP($B27,Sheet2!$J$5:$K$7,2,FALSE)*VLOOKUP(Sheet1!$A27,Sheet2!$B$5:$H$29,5,FALSE),0)</x:f>
        <x:v>0</x:v>
      </x:c>
      <x:c r="G27">
        <x:f>ROUND($C27*10*VLOOKUP($B27,Sheet2!$J$5:$K$7,2,FALSE)*VLOOKUP(Sheet1!$A27,Sheet2!$B$5:$H$29,6,FALSE),0)</x:f>
        <x:v>0</x:v>
      </x:c>
      <x:c r="H27">
        <x:f>ROUND($C27*10*VLOOKUP($B27,Sheet2!$J$5:$K$7,2,FALSE)*VLOOKUP(Sheet1!$A27,Sheet2!$B$5:$H$29,7,FALSE),0)</x:f>
        <x:v>0</x:v>
      </x:c>
      <x:c r="I27">
        <x:f t="shared" si="0"/>
        <x:v>7120</x:v>
      </x:c>
    </x:row>
    <x:row r="28" spans="1:9" x14ac:dyDescent="0.15">
      <x:c r="A28">
        <x:v>54001</x:v>
      </x:c>
      <x:c r="B28">
        <x:v>1</x:v>
      </x:c>
      <x:c r="C28">
        <x:v>27</x:v>
      </x:c>
      <x:c r="D28">
        <x:f>ROUND($C28*10*VLOOKUP($B28,Sheet2!$J$5:$K$7,2,FALSE)*VLOOKUP(Sheet1!$A28,Sheet2!$B$5:$H$29,3,FALSE),0)</x:f>
        <x:v>270</x:v>
      </x:c>
      <x:c r="E28">
        <x:f>ROUND($C28*10*VLOOKUP($B28,Sheet2!$J$5:$K$7,2,FALSE)*VLOOKUP(Sheet1!$A28,Sheet2!$B$5:$H$29,4,FALSE),0)</x:f>
        <x:v>0</x:v>
      </x:c>
      <x:c r="F28">
        <x:f>ROUND($C28*10*VLOOKUP($B28,Sheet2!$J$5:$K$7,2,FALSE)*VLOOKUP(Sheet1!$A28,Sheet2!$B$5:$H$29,5,FALSE),0)</x:f>
        <x:v>0</x:v>
      </x:c>
      <x:c r="G28">
        <x:f>ROUND($C28*10*VLOOKUP($B28,Sheet2!$J$5:$K$7,2,FALSE)*VLOOKUP(Sheet1!$A28,Sheet2!$B$5:$H$29,6,FALSE),0)</x:f>
        <x:v>0</x:v>
      </x:c>
      <x:c r="H28">
        <x:f>ROUND($C28*10*VLOOKUP($B28,Sheet2!$J$5:$K$7,2,FALSE)*VLOOKUP(Sheet1!$A28,Sheet2!$B$5:$H$29,7,FALSE),0)</x:f>
        <x:v>0</x:v>
      </x:c>
      <x:c r="I28">
        <x:f t="shared" si="0"/>
        <x:v>7640</x:v>
      </x:c>
    </x:row>
    <x:row r="29" spans="1:9" x14ac:dyDescent="0.15">
      <x:c r="A29">
        <x:v>54001</x:v>
      </x:c>
      <x:c r="B29">
        <x:v>1</x:v>
      </x:c>
      <x:c r="C29">
        <x:v>28</x:v>
      </x:c>
      <x:c r="D29">
        <x:f>ROUND($C29*10*VLOOKUP($B29,Sheet2!$J$5:$K$7,2,FALSE)*VLOOKUP(Sheet1!$A29,Sheet2!$B$5:$H$29,3,FALSE),0)</x:f>
        <x:v>280</x:v>
      </x:c>
      <x:c r="E29">
        <x:f>ROUND($C29*10*VLOOKUP($B29,Sheet2!$J$5:$K$7,2,FALSE)*VLOOKUP(Sheet1!$A29,Sheet2!$B$5:$H$29,4,FALSE),0)</x:f>
        <x:v>0</x:v>
      </x:c>
      <x:c r="F29">
        <x:f>ROUND($C29*10*VLOOKUP($B29,Sheet2!$J$5:$K$7,2,FALSE)*VLOOKUP(Sheet1!$A29,Sheet2!$B$5:$H$29,5,FALSE),0)</x:f>
        <x:v>0</x:v>
      </x:c>
      <x:c r="G29">
        <x:f>ROUND($C29*10*VLOOKUP($B29,Sheet2!$J$5:$K$7,2,FALSE)*VLOOKUP(Sheet1!$A29,Sheet2!$B$5:$H$29,6,FALSE),0)</x:f>
        <x:v>0</x:v>
      </x:c>
      <x:c r="H29">
        <x:f>ROUND($C29*10*VLOOKUP($B29,Sheet2!$J$5:$K$7,2,FALSE)*VLOOKUP(Sheet1!$A29,Sheet2!$B$5:$H$29,7,FALSE),0)</x:f>
        <x:v>0</x:v>
      </x:c>
      <x:c r="I29">
        <x:f t="shared" si="0"/>
        <x:v>8180</x:v>
      </x:c>
    </x:row>
    <x:row r="30" spans="1:9" x14ac:dyDescent="0.15">
      <x:c r="A30">
        <x:v>54001</x:v>
      </x:c>
      <x:c r="B30">
        <x:v>1</x:v>
      </x:c>
      <x:c r="C30">
        <x:v>29</x:v>
      </x:c>
      <x:c r="D30">
        <x:f>ROUND($C30*10*VLOOKUP($B30,Sheet2!$J$5:$K$7,2,FALSE)*VLOOKUP(Sheet1!$A30,Sheet2!$B$5:$H$29,3,FALSE),0)</x:f>
        <x:v>290</x:v>
      </x:c>
      <x:c r="E30">
        <x:f>ROUND($C30*10*VLOOKUP($B30,Sheet2!$J$5:$K$7,2,FALSE)*VLOOKUP(Sheet1!$A30,Sheet2!$B$5:$H$29,4,FALSE),0)</x:f>
        <x:v>0</x:v>
      </x:c>
      <x:c r="F30">
        <x:f>ROUND($C30*10*VLOOKUP($B30,Sheet2!$J$5:$K$7,2,FALSE)*VLOOKUP(Sheet1!$A30,Sheet2!$B$5:$H$29,5,FALSE),0)</x:f>
        <x:v>0</x:v>
      </x:c>
      <x:c r="G30">
        <x:f>ROUND($C30*10*VLOOKUP($B30,Sheet2!$J$5:$K$7,2,FALSE)*VLOOKUP(Sheet1!$A30,Sheet2!$B$5:$H$29,6,FALSE),0)</x:f>
        <x:v>0</x:v>
      </x:c>
      <x:c r="H30">
        <x:f>ROUND($C30*10*VLOOKUP($B30,Sheet2!$J$5:$K$7,2,FALSE)*VLOOKUP(Sheet1!$A30,Sheet2!$B$5:$H$29,7,FALSE),0)</x:f>
        <x:v>0</x:v>
      </x:c>
      <x:c r="I30">
        <x:f t="shared" si="0"/>
        <x:v>8730</x:v>
      </x:c>
    </x:row>
    <x:row r="31" spans="1:9" x14ac:dyDescent="0.15">
      <x:c r="A31">
        <x:v>54001</x:v>
      </x:c>
      <x:c r="B31">
        <x:v>1</x:v>
      </x:c>
      <x:c r="C31">
        <x:v>30</x:v>
      </x:c>
      <x:c r="D31">
        <x:f>ROUND($C31*10*VLOOKUP($B31,Sheet2!$J$5:$K$7,2,FALSE)*VLOOKUP(Sheet1!$A31,Sheet2!$B$5:$H$29,3,FALSE),0)</x:f>
        <x:v>300</x:v>
      </x:c>
      <x:c r="E31">
        <x:f>ROUND($C31*10*VLOOKUP($B31,Sheet2!$J$5:$K$7,2,FALSE)*VLOOKUP(Sheet1!$A31,Sheet2!$B$5:$H$29,4,FALSE),0)</x:f>
        <x:v>0</x:v>
      </x:c>
      <x:c r="F31">
        <x:f>ROUND($C31*10*VLOOKUP($B31,Sheet2!$J$5:$K$7,2,FALSE)*VLOOKUP(Sheet1!$A31,Sheet2!$B$5:$H$29,5,FALSE),0)</x:f>
        <x:v>0</x:v>
      </x:c>
      <x:c r="G31">
        <x:f>ROUND($C31*10*VLOOKUP($B31,Sheet2!$J$5:$K$7,2,FALSE)*VLOOKUP(Sheet1!$A31,Sheet2!$B$5:$H$29,6,FALSE),0)</x:f>
        <x:v>0</x:v>
      </x:c>
      <x:c r="H31">
        <x:f>ROUND($C31*10*VLOOKUP($B31,Sheet2!$J$5:$K$7,2,FALSE)*VLOOKUP(Sheet1!$A31,Sheet2!$B$5:$H$29,7,FALSE),0)</x:f>
        <x:v>0</x:v>
      </x:c>
      <x:c r="I31">
        <x:f t="shared" si="0"/>
        <x:v>9290</x:v>
      </x:c>
    </x:row>
    <x:row r="32" spans="1:9" x14ac:dyDescent="0.15">
      <x:c r="A32">
        <x:v>54001</x:v>
      </x:c>
      <x:c r="B32">
        <x:v>1</x:v>
      </x:c>
      <x:c r="C32">
        <x:v>31</x:v>
      </x:c>
      <x:c r="D32">
        <x:f>ROUND($C32*10*VLOOKUP($B32,Sheet2!$J$5:$K$7,2,FALSE)*VLOOKUP(Sheet1!$A32,Sheet2!$B$5:$H$29,3,FALSE),0)</x:f>
        <x:v>310</x:v>
      </x:c>
      <x:c r="E32">
        <x:f>ROUND($C32*10*VLOOKUP($B32,Sheet2!$J$5:$K$7,2,FALSE)*VLOOKUP(Sheet1!$A32,Sheet2!$B$5:$H$29,4,FALSE),0)</x:f>
        <x:v>0</x:v>
      </x:c>
      <x:c r="F32">
        <x:f>ROUND($C32*10*VLOOKUP($B32,Sheet2!$J$5:$K$7,2,FALSE)*VLOOKUP(Sheet1!$A32,Sheet2!$B$5:$H$29,5,FALSE),0)</x:f>
        <x:v>0</x:v>
      </x:c>
      <x:c r="G32">
        <x:f>ROUND($C32*10*VLOOKUP($B32,Sheet2!$J$5:$K$7,2,FALSE)*VLOOKUP(Sheet1!$A32,Sheet2!$B$5:$H$29,6,FALSE),0)</x:f>
        <x:v>0</x:v>
      </x:c>
      <x:c r="H32">
        <x:f>ROUND($C32*10*VLOOKUP($B32,Sheet2!$J$5:$K$7,2,FALSE)*VLOOKUP(Sheet1!$A32,Sheet2!$B$5:$H$29,7,FALSE),0)</x:f>
        <x:v>0</x:v>
      </x:c>
      <x:c r="I32">
        <x:f t="shared" si="0"/>
        <x:v>9880</x:v>
      </x:c>
    </x:row>
    <x:row r="33" spans="1:9" x14ac:dyDescent="0.15">
      <x:c r="A33">
        <x:v>54001</x:v>
      </x:c>
      <x:c r="B33">
        <x:v>1</x:v>
      </x:c>
      <x:c r="C33">
        <x:v>32</x:v>
      </x:c>
      <x:c r="D33">
        <x:f>ROUND($C33*10*VLOOKUP($B33,Sheet2!$J$5:$K$7,2,FALSE)*VLOOKUP(Sheet1!$A33,Sheet2!$B$5:$H$29,3,FALSE),0)</x:f>
        <x:v>320</x:v>
      </x:c>
      <x:c r="E33">
        <x:f>ROUND($C33*10*VLOOKUP($B33,Sheet2!$J$5:$K$7,2,FALSE)*VLOOKUP(Sheet1!$A33,Sheet2!$B$5:$H$29,4,FALSE),0)</x:f>
        <x:v>0</x:v>
      </x:c>
      <x:c r="F33">
        <x:f>ROUND($C33*10*VLOOKUP($B33,Sheet2!$J$5:$K$7,2,FALSE)*VLOOKUP(Sheet1!$A33,Sheet2!$B$5:$H$29,5,FALSE),0)</x:f>
        <x:v>0</x:v>
      </x:c>
      <x:c r="G33">
        <x:f>ROUND($C33*10*VLOOKUP($B33,Sheet2!$J$5:$K$7,2,FALSE)*VLOOKUP(Sheet1!$A33,Sheet2!$B$5:$H$29,6,FALSE),0)</x:f>
        <x:v>0</x:v>
      </x:c>
      <x:c r="H33">
        <x:f>ROUND($C33*10*VLOOKUP($B33,Sheet2!$J$5:$K$7,2,FALSE)*VLOOKUP(Sheet1!$A33,Sheet2!$B$5:$H$29,7,FALSE),0)</x:f>
        <x:v>0</x:v>
      </x:c>
      <x:c r="I33">
        <x:f t="shared" si="0"/>
        <x:v>10470</x:v>
      </x:c>
    </x:row>
    <x:row r="34" spans="1:9" x14ac:dyDescent="0.15">
      <x:c r="A34">
        <x:v>54001</x:v>
      </x:c>
      <x:c r="B34">
        <x:v>1</x:v>
      </x:c>
      <x:c r="C34">
        <x:v>33</x:v>
      </x:c>
      <x:c r="D34">
        <x:f>ROUND($C34*10*VLOOKUP($B34,Sheet2!$J$5:$K$7,2,FALSE)*VLOOKUP(Sheet1!$A34,Sheet2!$B$5:$H$29,3,FALSE),0)</x:f>
        <x:v>330</x:v>
      </x:c>
      <x:c r="E34">
        <x:f>ROUND($C34*10*VLOOKUP($B34,Sheet2!$J$5:$K$7,2,FALSE)*VLOOKUP(Sheet1!$A34,Sheet2!$B$5:$H$29,4,FALSE),0)</x:f>
        <x:v>0</x:v>
      </x:c>
      <x:c r="F34">
        <x:f>ROUND($C34*10*VLOOKUP($B34,Sheet2!$J$5:$K$7,2,FALSE)*VLOOKUP(Sheet1!$A34,Sheet2!$B$5:$H$29,5,FALSE),0)</x:f>
        <x:v>0</x:v>
      </x:c>
      <x:c r="G34">
        <x:f>ROUND($C34*10*VLOOKUP($B34,Sheet2!$J$5:$K$7,2,FALSE)*VLOOKUP(Sheet1!$A34,Sheet2!$B$5:$H$29,6,FALSE),0)</x:f>
        <x:v>0</x:v>
      </x:c>
      <x:c r="H34">
        <x:f>ROUND($C34*10*VLOOKUP($B34,Sheet2!$J$5:$K$7,2,FALSE)*VLOOKUP(Sheet1!$A34,Sheet2!$B$5:$H$29,7,FALSE),0)</x:f>
        <x:v>0</x:v>
      </x:c>
      <x:c r="I34">
        <x:f t="shared" si="0"/>
        <x:v>11090</x:v>
      </x:c>
    </x:row>
    <x:row r="35" spans="1:9" x14ac:dyDescent="0.15">
      <x:c r="A35">
        <x:v>54001</x:v>
      </x:c>
      <x:c r="B35">
        <x:v>1</x:v>
      </x:c>
      <x:c r="C35">
        <x:v>34</x:v>
      </x:c>
      <x:c r="D35">
        <x:f>ROUND($C35*10*VLOOKUP($B35,Sheet2!$J$5:$K$7,2,FALSE)*VLOOKUP(Sheet1!$A35,Sheet2!$B$5:$H$29,3,FALSE),0)</x:f>
        <x:v>340</x:v>
      </x:c>
      <x:c r="E35">
        <x:f>ROUND($C35*10*VLOOKUP($B35,Sheet2!$J$5:$K$7,2,FALSE)*VLOOKUP(Sheet1!$A35,Sheet2!$B$5:$H$29,4,FALSE),0)</x:f>
        <x:v>0</x:v>
      </x:c>
      <x:c r="F35">
        <x:f>ROUND($C35*10*VLOOKUP($B35,Sheet2!$J$5:$K$7,2,FALSE)*VLOOKUP(Sheet1!$A35,Sheet2!$B$5:$H$29,5,FALSE),0)</x:f>
        <x:v>0</x:v>
      </x:c>
      <x:c r="G35">
        <x:f>ROUND($C35*10*VLOOKUP($B35,Sheet2!$J$5:$K$7,2,FALSE)*VLOOKUP(Sheet1!$A35,Sheet2!$B$5:$H$29,6,FALSE),0)</x:f>
        <x:v>0</x:v>
      </x:c>
      <x:c r="H35">
        <x:f>ROUND($C35*10*VLOOKUP($B35,Sheet2!$J$5:$K$7,2,FALSE)*VLOOKUP(Sheet1!$A35,Sheet2!$B$5:$H$29,7,FALSE),0)</x:f>
        <x:v>0</x:v>
      </x:c>
      <x:c r="I35">
        <x:f t="shared" si="0"/>
        <x:v>11720</x:v>
      </x:c>
    </x:row>
    <x:row r="36" spans="1:9" x14ac:dyDescent="0.15">
      <x:c r="A36">
        <x:v>54001</x:v>
      </x:c>
      <x:c r="B36">
        <x:v>1</x:v>
      </x:c>
      <x:c r="C36">
        <x:v>35</x:v>
      </x:c>
      <x:c r="D36">
        <x:f>ROUND($C36*10*VLOOKUP($B36,Sheet2!$J$5:$K$7,2,FALSE)*VLOOKUP(Sheet1!$A36,Sheet2!$B$5:$H$29,3,FALSE),0)</x:f>
        <x:v>350</x:v>
      </x:c>
      <x:c r="E36">
        <x:f>ROUND($C36*10*VLOOKUP($B36,Sheet2!$J$5:$K$7,2,FALSE)*VLOOKUP(Sheet1!$A36,Sheet2!$B$5:$H$29,4,FALSE),0)</x:f>
        <x:v>0</x:v>
      </x:c>
      <x:c r="F36">
        <x:f>ROUND($C36*10*VLOOKUP($B36,Sheet2!$J$5:$K$7,2,FALSE)*VLOOKUP(Sheet1!$A36,Sheet2!$B$5:$H$29,5,FALSE),0)</x:f>
        <x:v>0</x:v>
      </x:c>
      <x:c r="G36">
        <x:f>ROUND($C36*10*VLOOKUP($B36,Sheet2!$J$5:$K$7,2,FALSE)*VLOOKUP(Sheet1!$A36,Sheet2!$B$5:$H$29,6,FALSE),0)</x:f>
        <x:v>0</x:v>
      </x:c>
      <x:c r="H36">
        <x:f>ROUND($C36*10*VLOOKUP($B36,Sheet2!$J$5:$K$7,2,FALSE)*VLOOKUP(Sheet1!$A36,Sheet2!$B$5:$H$29,7,FALSE),0)</x:f>
        <x:v>0</x:v>
      </x:c>
      <x:c r="I36">
        <x:f t="shared" si="0"/>
        <x:v>12360</x:v>
      </x:c>
    </x:row>
    <x:row r="37" spans="1:9" x14ac:dyDescent="0.15">
      <x:c r="A37">
        <x:v>54001</x:v>
      </x:c>
      <x:c r="B37">
        <x:v>1</x:v>
      </x:c>
      <x:c r="C37">
        <x:v>36</x:v>
      </x:c>
      <x:c r="D37">
        <x:f>ROUND($C37*10*VLOOKUP($B37,Sheet2!$J$5:$K$7,2,FALSE)*VLOOKUP(Sheet1!$A37,Sheet2!$B$5:$H$29,3,FALSE),0)</x:f>
        <x:v>360</x:v>
      </x:c>
      <x:c r="E37">
        <x:f>ROUND($C37*10*VLOOKUP($B37,Sheet2!$J$5:$K$7,2,FALSE)*VLOOKUP(Sheet1!$A37,Sheet2!$B$5:$H$29,4,FALSE),0)</x:f>
        <x:v>0</x:v>
      </x:c>
      <x:c r="F37">
        <x:f>ROUND($C37*10*VLOOKUP($B37,Sheet2!$J$5:$K$7,2,FALSE)*VLOOKUP(Sheet1!$A37,Sheet2!$B$5:$H$29,5,FALSE),0)</x:f>
        <x:v>0</x:v>
      </x:c>
      <x:c r="G37">
        <x:f>ROUND($C37*10*VLOOKUP($B37,Sheet2!$J$5:$K$7,2,FALSE)*VLOOKUP(Sheet1!$A37,Sheet2!$B$5:$H$29,6,FALSE),0)</x:f>
        <x:v>0</x:v>
      </x:c>
      <x:c r="H37">
        <x:f>ROUND($C37*10*VLOOKUP($B37,Sheet2!$J$5:$K$7,2,FALSE)*VLOOKUP(Sheet1!$A37,Sheet2!$B$5:$H$29,7,FALSE),0)</x:f>
        <x:v>0</x:v>
      </x:c>
      <x:c r="I37">
        <x:f t="shared" si="0"/>
        <x:v>13020</x:v>
      </x:c>
    </x:row>
    <x:row r="38" spans="1:9" x14ac:dyDescent="0.15">
      <x:c r="A38">
        <x:v>54001</x:v>
      </x:c>
      <x:c r="B38">
        <x:v>1</x:v>
      </x:c>
      <x:c r="C38">
        <x:v>37</x:v>
      </x:c>
      <x:c r="D38">
        <x:f>ROUND($C38*10*VLOOKUP($B38,Sheet2!$J$5:$K$7,2,FALSE)*VLOOKUP(Sheet1!$A38,Sheet2!$B$5:$H$29,3,FALSE),0)</x:f>
        <x:v>370</x:v>
      </x:c>
      <x:c r="E38">
        <x:f>ROUND($C38*10*VLOOKUP($B38,Sheet2!$J$5:$K$7,2,FALSE)*VLOOKUP(Sheet1!$A38,Sheet2!$B$5:$H$29,4,FALSE),0)</x:f>
        <x:v>0</x:v>
      </x:c>
      <x:c r="F38">
        <x:f>ROUND($C38*10*VLOOKUP($B38,Sheet2!$J$5:$K$7,2,FALSE)*VLOOKUP(Sheet1!$A38,Sheet2!$B$5:$H$29,5,FALSE),0)</x:f>
        <x:v>0</x:v>
      </x:c>
      <x:c r="G38">
        <x:f>ROUND($C38*10*VLOOKUP($B38,Sheet2!$J$5:$K$7,2,FALSE)*VLOOKUP(Sheet1!$A38,Sheet2!$B$5:$H$29,6,FALSE),0)</x:f>
        <x:v>0</x:v>
      </x:c>
      <x:c r="H38">
        <x:f>ROUND($C38*10*VLOOKUP($B38,Sheet2!$J$5:$K$7,2,FALSE)*VLOOKUP(Sheet1!$A38,Sheet2!$B$5:$H$29,7,FALSE),0)</x:f>
        <x:v>0</x:v>
      </x:c>
      <x:c r="I38">
        <x:f t="shared" si="0"/>
        <x:v>13700</x:v>
      </x:c>
    </x:row>
    <x:row r="39" spans="1:9" x14ac:dyDescent="0.15">
      <x:c r="A39">
        <x:v>54001</x:v>
      </x:c>
      <x:c r="B39">
        <x:v>1</x:v>
      </x:c>
      <x:c r="C39">
        <x:v>38</x:v>
      </x:c>
      <x:c r="D39">
        <x:f>ROUND($C39*10*VLOOKUP($B39,Sheet2!$J$5:$K$7,2,FALSE)*VLOOKUP(Sheet1!$A39,Sheet2!$B$5:$H$29,3,FALSE),0)</x:f>
        <x:v>380</x:v>
      </x:c>
      <x:c r="E39">
        <x:f>ROUND($C39*10*VLOOKUP($B39,Sheet2!$J$5:$K$7,2,FALSE)*VLOOKUP(Sheet1!$A39,Sheet2!$B$5:$H$29,4,FALSE),0)</x:f>
        <x:v>0</x:v>
      </x:c>
      <x:c r="F39">
        <x:f>ROUND($C39*10*VLOOKUP($B39,Sheet2!$J$5:$K$7,2,FALSE)*VLOOKUP(Sheet1!$A39,Sheet2!$B$5:$H$29,5,FALSE),0)</x:f>
        <x:v>0</x:v>
      </x:c>
      <x:c r="G39">
        <x:f>ROUND($C39*10*VLOOKUP($B39,Sheet2!$J$5:$K$7,2,FALSE)*VLOOKUP(Sheet1!$A39,Sheet2!$B$5:$H$29,6,FALSE),0)</x:f>
        <x:v>0</x:v>
      </x:c>
      <x:c r="H39">
        <x:f>ROUND($C39*10*VLOOKUP($B39,Sheet2!$J$5:$K$7,2,FALSE)*VLOOKUP(Sheet1!$A39,Sheet2!$B$5:$H$29,7,FALSE),0)</x:f>
        <x:v>0</x:v>
      </x:c>
      <x:c r="I39">
        <x:f t="shared" si="0"/>
        <x:v>14390</x:v>
      </x:c>
    </x:row>
    <x:row r="40" spans="1:9" x14ac:dyDescent="0.15">
      <x:c r="A40">
        <x:v>54001</x:v>
      </x:c>
      <x:c r="B40">
        <x:v>1</x:v>
      </x:c>
      <x:c r="C40">
        <x:v>39</x:v>
      </x:c>
      <x:c r="D40">
        <x:f>ROUND($C40*10*VLOOKUP($B40,Sheet2!$J$5:$K$7,2,FALSE)*VLOOKUP(Sheet1!$A40,Sheet2!$B$5:$H$29,3,FALSE),0)</x:f>
        <x:v>390</x:v>
      </x:c>
      <x:c r="E40">
        <x:f>ROUND($C40*10*VLOOKUP($B40,Sheet2!$J$5:$K$7,2,FALSE)*VLOOKUP(Sheet1!$A40,Sheet2!$B$5:$H$29,4,FALSE),0)</x:f>
        <x:v>0</x:v>
      </x:c>
      <x:c r="F40">
        <x:f>ROUND($C40*10*VLOOKUP($B40,Sheet2!$J$5:$K$7,2,FALSE)*VLOOKUP(Sheet1!$A40,Sheet2!$B$5:$H$29,5,FALSE),0)</x:f>
        <x:v>0</x:v>
      </x:c>
      <x:c r="G40">
        <x:f>ROUND($C40*10*VLOOKUP($B40,Sheet2!$J$5:$K$7,2,FALSE)*VLOOKUP(Sheet1!$A40,Sheet2!$B$5:$H$29,6,FALSE),0)</x:f>
        <x:v>0</x:v>
      </x:c>
      <x:c r="H40">
        <x:f>ROUND($C40*10*VLOOKUP($B40,Sheet2!$J$5:$K$7,2,FALSE)*VLOOKUP(Sheet1!$A40,Sheet2!$B$5:$H$29,7,FALSE),0)</x:f>
        <x:v>0</x:v>
      </x:c>
      <x:c r="I40">
        <x:f t="shared" si="0"/>
        <x:v>15100</x:v>
      </x:c>
    </x:row>
    <x:row r="41" spans="1:9" x14ac:dyDescent="0.15">
      <x:c r="A41">
        <x:v>54001</x:v>
      </x:c>
      <x:c r="B41">
        <x:v>1</x:v>
      </x:c>
      <x:c r="C41">
        <x:v>40</x:v>
      </x:c>
      <x:c r="D41">
        <x:f>ROUND($C41*10*VLOOKUP($B41,Sheet2!$J$5:$K$7,2,FALSE)*VLOOKUP(Sheet1!$A41,Sheet2!$B$5:$H$29,3,FALSE),0)</x:f>
        <x:v>400</x:v>
      </x:c>
      <x:c r="E41">
        <x:f>ROUND($C41*10*VLOOKUP($B41,Sheet2!$J$5:$K$7,2,FALSE)*VLOOKUP(Sheet1!$A41,Sheet2!$B$5:$H$29,4,FALSE),0)</x:f>
        <x:v>0</x:v>
      </x:c>
      <x:c r="F41">
        <x:f>ROUND($C41*10*VLOOKUP($B41,Sheet2!$J$5:$K$7,2,FALSE)*VLOOKUP(Sheet1!$A41,Sheet2!$B$5:$H$29,5,FALSE),0)</x:f>
        <x:v>0</x:v>
      </x:c>
      <x:c r="G41">
        <x:f>ROUND($C41*10*VLOOKUP($B41,Sheet2!$J$5:$K$7,2,FALSE)*VLOOKUP(Sheet1!$A41,Sheet2!$B$5:$H$29,6,FALSE),0)</x:f>
        <x:v>0</x:v>
      </x:c>
      <x:c r="H41">
        <x:f>ROUND($C41*10*VLOOKUP($B41,Sheet2!$J$5:$K$7,2,FALSE)*VLOOKUP(Sheet1!$A41,Sheet2!$B$5:$H$29,7,FALSE),0)</x:f>
        <x:v>0</x:v>
      </x:c>
      <x:c r="I41">
        <x:f t="shared" si="0"/>
        <x:v>15820</x:v>
      </x:c>
    </x:row>
    <x:row r="42" spans="1:9" x14ac:dyDescent="0.15">
      <x:c r="A42">
        <x:v>54001</x:v>
      </x:c>
      <x:c r="B42">
        <x:v>1</x:v>
      </x:c>
      <x:c r="C42">
        <x:v>41</x:v>
      </x:c>
      <x:c r="D42">
        <x:f>ROUND($C42*10*VLOOKUP($B42,Sheet2!$J$5:$K$7,2,FALSE)*VLOOKUP(Sheet1!$A42,Sheet2!$B$5:$H$29,3,FALSE),0)</x:f>
        <x:v>410</x:v>
      </x:c>
      <x:c r="E42">
        <x:f>ROUND($C42*10*VLOOKUP($B42,Sheet2!$J$5:$K$7,2,FALSE)*VLOOKUP(Sheet1!$A42,Sheet2!$B$5:$H$29,4,FALSE),0)</x:f>
        <x:v>0</x:v>
      </x:c>
      <x:c r="F42">
        <x:f>ROUND($C42*10*VLOOKUP($B42,Sheet2!$J$5:$K$7,2,FALSE)*VLOOKUP(Sheet1!$A42,Sheet2!$B$5:$H$29,5,FALSE),0)</x:f>
        <x:v>0</x:v>
      </x:c>
      <x:c r="G42">
        <x:f>ROUND($C42*10*VLOOKUP($B42,Sheet2!$J$5:$K$7,2,FALSE)*VLOOKUP(Sheet1!$A42,Sheet2!$B$5:$H$29,6,FALSE),0)</x:f>
        <x:v>0</x:v>
      </x:c>
      <x:c r="H42">
        <x:f>ROUND($C42*10*VLOOKUP($B42,Sheet2!$J$5:$K$7,2,FALSE)*VLOOKUP(Sheet1!$A42,Sheet2!$B$5:$H$29,7,FALSE),0)</x:f>
        <x:v>0</x:v>
      </x:c>
      <x:c r="I42">
        <x:f t="shared" si="0"/>
        <x:v>16560</x:v>
      </x:c>
    </x:row>
    <x:row r="43" spans="1:9" x14ac:dyDescent="0.15">
      <x:c r="A43">
        <x:v>54001</x:v>
      </x:c>
      <x:c r="B43">
        <x:v>1</x:v>
      </x:c>
      <x:c r="C43">
        <x:v>42</x:v>
      </x:c>
      <x:c r="D43">
        <x:f>ROUND($C43*10*VLOOKUP($B43,Sheet2!$J$5:$K$7,2,FALSE)*VLOOKUP(Sheet1!$A43,Sheet2!$B$5:$H$29,3,FALSE),0)</x:f>
        <x:v>420</x:v>
      </x:c>
      <x:c r="E43">
        <x:f>ROUND($C43*10*VLOOKUP($B43,Sheet2!$J$5:$K$7,2,FALSE)*VLOOKUP(Sheet1!$A43,Sheet2!$B$5:$H$29,4,FALSE),0)</x:f>
        <x:v>0</x:v>
      </x:c>
      <x:c r="F43">
        <x:f>ROUND($C43*10*VLOOKUP($B43,Sheet2!$J$5:$K$7,2,FALSE)*VLOOKUP(Sheet1!$A43,Sheet2!$B$5:$H$29,5,FALSE),0)</x:f>
        <x:v>0</x:v>
      </x:c>
      <x:c r="G43">
        <x:f>ROUND($C43*10*VLOOKUP($B43,Sheet2!$J$5:$K$7,2,FALSE)*VLOOKUP(Sheet1!$A43,Sheet2!$B$5:$H$29,6,FALSE),0)</x:f>
        <x:v>0</x:v>
      </x:c>
      <x:c r="H43">
        <x:f>ROUND($C43*10*VLOOKUP($B43,Sheet2!$J$5:$K$7,2,FALSE)*VLOOKUP(Sheet1!$A43,Sheet2!$B$5:$H$29,7,FALSE),0)</x:f>
        <x:v>0</x:v>
      </x:c>
      <x:c r="I43">
        <x:f t="shared" si="0"/>
        <x:v>17310</x:v>
      </x:c>
    </x:row>
    <x:row r="44" spans="1:9" x14ac:dyDescent="0.15">
      <x:c r="A44">
        <x:v>54001</x:v>
      </x:c>
      <x:c r="B44">
        <x:v>1</x:v>
      </x:c>
      <x:c r="C44">
        <x:v>43</x:v>
      </x:c>
      <x:c r="D44">
        <x:f>ROUND($C44*10*VLOOKUP($B44,Sheet2!$J$5:$K$7,2,FALSE)*VLOOKUP(Sheet1!$A44,Sheet2!$B$5:$H$29,3,FALSE),0)</x:f>
        <x:v>430</x:v>
      </x:c>
      <x:c r="E44">
        <x:f>ROUND($C44*10*VLOOKUP($B44,Sheet2!$J$5:$K$7,2,FALSE)*VLOOKUP(Sheet1!$A44,Sheet2!$B$5:$H$29,4,FALSE),0)</x:f>
        <x:v>0</x:v>
      </x:c>
      <x:c r="F44">
        <x:f>ROUND($C44*10*VLOOKUP($B44,Sheet2!$J$5:$K$7,2,FALSE)*VLOOKUP(Sheet1!$A44,Sheet2!$B$5:$H$29,5,FALSE),0)</x:f>
        <x:v>0</x:v>
      </x:c>
      <x:c r="G44">
        <x:f>ROUND($C44*10*VLOOKUP($B44,Sheet2!$J$5:$K$7,2,FALSE)*VLOOKUP(Sheet1!$A44,Sheet2!$B$5:$H$29,6,FALSE),0)</x:f>
        <x:v>0</x:v>
      </x:c>
      <x:c r="H44">
        <x:f>ROUND($C44*10*VLOOKUP($B44,Sheet2!$J$5:$K$7,2,FALSE)*VLOOKUP(Sheet1!$A44,Sheet2!$B$5:$H$29,7,FALSE),0)</x:f>
        <x:v>0</x:v>
      </x:c>
      <x:c r="I44">
        <x:f t="shared" si="0"/>
        <x:v>18070</x:v>
      </x:c>
    </x:row>
    <x:row r="45" spans="1:9" x14ac:dyDescent="0.15">
      <x:c r="A45">
        <x:v>54001</x:v>
      </x:c>
      <x:c r="B45">
        <x:v>1</x:v>
      </x:c>
      <x:c r="C45">
        <x:v>44</x:v>
      </x:c>
      <x:c r="D45">
        <x:f>ROUND($C45*10*VLOOKUP($B45,Sheet2!$J$5:$K$7,2,FALSE)*VLOOKUP(Sheet1!$A45,Sheet2!$B$5:$H$29,3,FALSE),0)</x:f>
        <x:v>440</x:v>
      </x:c>
      <x:c r="E45">
        <x:f>ROUND($C45*10*VLOOKUP($B45,Sheet2!$J$5:$K$7,2,FALSE)*VLOOKUP(Sheet1!$A45,Sheet2!$B$5:$H$29,4,FALSE),0)</x:f>
        <x:v>0</x:v>
      </x:c>
      <x:c r="F45">
        <x:f>ROUND($C45*10*VLOOKUP($B45,Sheet2!$J$5:$K$7,2,FALSE)*VLOOKUP(Sheet1!$A45,Sheet2!$B$5:$H$29,5,FALSE),0)</x:f>
        <x:v>0</x:v>
      </x:c>
      <x:c r="G45">
        <x:f>ROUND($C45*10*VLOOKUP($B45,Sheet2!$J$5:$K$7,2,FALSE)*VLOOKUP(Sheet1!$A45,Sheet2!$B$5:$H$29,6,FALSE),0)</x:f>
        <x:v>0</x:v>
      </x:c>
      <x:c r="H45">
        <x:f>ROUND($C45*10*VLOOKUP($B45,Sheet2!$J$5:$K$7,2,FALSE)*VLOOKUP(Sheet1!$A45,Sheet2!$B$5:$H$29,7,FALSE),0)</x:f>
        <x:v>0</x:v>
      </x:c>
      <x:c r="I45">
        <x:f t="shared" si="0"/>
        <x:v>18850</x:v>
      </x:c>
    </x:row>
    <x:row r="46" spans="1:9" x14ac:dyDescent="0.15">
      <x:c r="A46">
        <x:v>54001</x:v>
      </x:c>
      <x:c r="B46">
        <x:v>1</x:v>
      </x:c>
      <x:c r="C46">
        <x:v>45</x:v>
      </x:c>
      <x:c r="D46">
        <x:f>ROUND($C46*10*VLOOKUP($B46,Sheet2!$J$5:$K$7,2,FALSE)*VLOOKUP(Sheet1!$A46,Sheet2!$B$5:$H$29,3,FALSE),0)</x:f>
        <x:v>450</x:v>
      </x:c>
      <x:c r="E46">
        <x:f>ROUND($C46*10*VLOOKUP($B46,Sheet2!$J$5:$K$7,2,FALSE)*VLOOKUP(Sheet1!$A46,Sheet2!$B$5:$H$29,4,FALSE),0)</x:f>
        <x:v>0</x:v>
      </x:c>
      <x:c r="F46">
        <x:f>ROUND($C46*10*VLOOKUP($B46,Sheet2!$J$5:$K$7,2,FALSE)*VLOOKUP(Sheet1!$A46,Sheet2!$B$5:$H$29,5,FALSE),0)</x:f>
        <x:v>0</x:v>
      </x:c>
      <x:c r="G46">
        <x:f>ROUND($C46*10*VLOOKUP($B46,Sheet2!$J$5:$K$7,2,FALSE)*VLOOKUP(Sheet1!$A46,Sheet2!$B$5:$H$29,6,FALSE),0)</x:f>
        <x:v>0</x:v>
      </x:c>
      <x:c r="H46">
        <x:f>ROUND($C46*10*VLOOKUP($B46,Sheet2!$J$5:$K$7,2,FALSE)*VLOOKUP(Sheet1!$A46,Sheet2!$B$5:$H$29,7,FALSE),0)</x:f>
        <x:v>0</x:v>
      </x:c>
      <x:c r="I46">
        <x:f t="shared" si="0"/>
        <x:v>19650</x:v>
      </x:c>
    </x:row>
    <x:row r="47" spans="1:9" x14ac:dyDescent="0.15">
      <x:c r="A47">
        <x:v>54001</x:v>
      </x:c>
      <x:c r="B47">
        <x:v>1</x:v>
      </x:c>
      <x:c r="C47">
        <x:v>46</x:v>
      </x:c>
      <x:c r="D47">
        <x:f>ROUND($C47*10*VLOOKUP($B47,Sheet2!$J$5:$K$7,2,FALSE)*VLOOKUP(Sheet1!$A47,Sheet2!$B$5:$H$29,3,FALSE),0)</x:f>
        <x:v>460</x:v>
      </x:c>
      <x:c r="E47">
        <x:f>ROUND($C47*10*VLOOKUP($B47,Sheet2!$J$5:$K$7,2,FALSE)*VLOOKUP(Sheet1!$A47,Sheet2!$B$5:$H$29,4,FALSE),0)</x:f>
        <x:v>0</x:v>
      </x:c>
      <x:c r="F47">
        <x:f>ROUND($C47*10*VLOOKUP($B47,Sheet2!$J$5:$K$7,2,FALSE)*VLOOKUP(Sheet1!$A47,Sheet2!$B$5:$H$29,5,FALSE),0)</x:f>
        <x:v>0</x:v>
      </x:c>
      <x:c r="G47">
        <x:f>ROUND($C47*10*VLOOKUP($B47,Sheet2!$J$5:$K$7,2,FALSE)*VLOOKUP(Sheet1!$A47,Sheet2!$B$5:$H$29,6,FALSE),0)</x:f>
        <x:v>0</x:v>
      </x:c>
      <x:c r="H47">
        <x:f>ROUND($C47*10*VLOOKUP($B47,Sheet2!$J$5:$K$7,2,FALSE)*VLOOKUP(Sheet1!$A47,Sheet2!$B$5:$H$29,7,FALSE),0)</x:f>
        <x:v>0</x:v>
      </x:c>
      <x:c r="I47">
        <x:f t="shared" si="0"/>
        <x:v>20460</x:v>
      </x:c>
    </x:row>
    <x:row r="48" spans="1:9" x14ac:dyDescent="0.15">
      <x:c r="A48">
        <x:v>54001</x:v>
      </x:c>
      <x:c r="B48">
        <x:v>1</x:v>
      </x:c>
      <x:c r="C48">
        <x:v>47</x:v>
      </x:c>
      <x:c r="D48">
        <x:f>ROUND($C48*10*VLOOKUP($B48,Sheet2!$J$5:$K$7,2,FALSE)*VLOOKUP(Sheet1!$A48,Sheet2!$B$5:$H$29,3,FALSE),0)</x:f>
        <x:v>470</x:v>
      </x:c>
      <x:c r="E48">
        <x:f>ROUND($C48*10*VLOOKUP($B48,Sheet2!$J$5:$K$7,2,FALSE)*VLOOKUP(Sheet1!$A48,Sheet2!$B$5:$H$29,4,FALSE),0)</x:f>
        <x:v>0</x:v>
      </x:c>
      <x:c r="F48">
        <x:f>ROUND($C48*10*VLOOKUP($B48,Sheet2!$J$5:$K$7,2,FALSE)*VLOOKUP(Sheet1!$A48,Sheet2!$B$5:$H$29,5,FALSE),0)</x:f>
        <x:v>0</x:v>
      </x:c>
      <x:c r="G48">
        <x:f>ROUND($C48*10*VLOOKUP($B48,Sheet2!$J$5:$K$7,2,FALSE)*VLOOKUP(Sheet1!$A48,Sheet2!$B$5:$H$29,6,FALSE),0)</x:f>
        <x:v>0</x:v>
      </x:c>
      <x:c r="H48">
        <x:f>ROUND($C48*10*VLOOKUP($B48,Sheet2!$J$5:$K$7,2,FALSE)*VLOOKUP(Sheet1!$A48,Sheet2!$B$5:$H$29,7,FALSE),0)</x:f>
        <x:v>0</x:v>
      </x:c>
      <x:c r="I48">
        <x:f t="shared" si="0"/>
        <x:v>21280</x:v>
      </x:c>
    </x:row>
    <x:row r="49" spans="1:9" x14ac:dyDescent="0.15">
      <x:c r="A49">
        <x:v>54001</x:v>
      </x:c>
      <x:c r="B49">
        <x:v>1</x:v>
      </x:c>
      <x:c r="C49">
        <x:v>48</x:v>
      </x:c>
      <x:c r="D49">
        <x:f>ROUND($C49*10*VLOOKUP($B49,Sheet2!$J$5:$K$7,2,FALSE)*VLOOKUP(Sheet1!$A49,Sheet2!$B$5:$H$29,3,FALSE),0)</x:f>
        <x:v>480</x:v>
      </x:c>
      <x:c r="E49">
        <x:f>ROUND($C49*10*VLOOKUP($B49,Sheet2!$J$5:$K$7,2,FALSE)*VLOOKUP(Sheet1!$A49,Sheet2!$B$5:$H$29,4,FALSE),0)</x:f>
        <x:v>0</x:v>
      </x:c>
      <x:c r="F49">
        <x:f>ROUND($C49*10*VLOOKUP($B49,Sheet2!$J$5:$K$7,2,FALSE)*VLOOKUP(Sheet1!$A49,Sheet2!$B$5:$H$29,5,FALSE),0)</x:f>
        <x:v>0</x:v>
      </x:c>
      <x:c r="G49">
        <x:f>ROUND($C49*10*VLOOKUP($B49,Sheet2!$J$5:$K$7,2,FALSE)*VLOOKUP(Sheet1!$A49,Sheet2!$B$5:$H$29,6,FALSE),0)</x:f>
        <x:v>0</x:v>
      </x:c>
      <x:c r="H49">
        <x:f>ROUND($C49*10*VLOOKUP($B49,Sheet2!$J$5:$K$7,2,FALSE)*VLOOKUP(Sheet1!$A49,Sheet2!$B$5:$H$29,7,FALSE),0)</x:f>
        <x:v>0</x:v>
      </x:c>
      <x:c r="I49">
        <x:f t="shared" si="0"/>
        <x:v>22120</x:v>
      </x:c>
    </x:row>
    <x:row r="50" spans="1:9" x14ac:dyDescent="0.15">
      <x:c r="A50">
        <x:v>54001</x:v>
      </x:c>
      <x:c r="B50">
        <x:v>1</x:v>
      </x:c>
      <x:c r="C50">
        <x:v>49</x:v>
      </x:c>
      <x:c r="D50">
        <x:f>ROUND($C50*10*VLOOKUP($B50,Sheet2!$J$5:$K$7,2,FALSE)*VLOOKUP(Sheet1!$A50,Sheet2!$B$5:$H$29,3,FALSE),0)</x:f>
        <x:v>490</x:v>
      </x:c>
      <x:c r="E50">
        <x:f>ROUND($C50*10*VLOOKUP($B50,Sheet2!$J$5:$K$7,2,FALSE)*VLOOKUP(Sheet1!$A50,Sheet2!$B$5:$H$29,4,FALSE),0)</x:f>
        <x:v>0</x:v>
      </x:c>
      <x:c r="F50">
        <x:f>ROUND($C50*10*VLOOKUP($B50,Sheet2!$J$5:$K$7,2,FALSE)*VLOOKUP(Sheet1!$A50,Sheet2!$B$5:$H$29,5,FALSE),0)</x:f>
        <x:v>0</x:v>
      </x:c>
      <x:c r="G50">
        <x:f>ROUND($C50*10*VLOOKUP($B50,Sheet2!$J$5:$K$7,2,FALSE)*VLOOKUP(Sheet1!$A50,Sheet2!$B$5:$H$29,6,FALSE),0)</x:f>
        <x:v>0</x:v>
      </x:c>
      <x:c r="H50">
        <x:f>ROUND($C50*10*VLOOKUP($B50,Sheet2!$J$5:$K$7,2,FALSE)*VLOOKUP(Sheet1!$A50,Sheet2!$B$5:$H$29,7,FALSE),0)</x:f>
        <x:v>0</x:v>
      </x:c>
      <x:c r="I50">
        <x:f t="shared" si="0"/>
        <x:v>22970</x:v>
      </x:c>
    </x:row>
    <x:row r="51" spans="1:9" x14ac:dyDescent="0.15">
      <x:c r="A51">
        <x:v>54001</x:v>
      </x:c>
      <x:c r="B51">
        <x:v>1</x:v>
      </x:c>
      <x:c r="C51">
        <x:v>50</x:v>
      </x:c>
      <x:c r="D51">
        <x:f>ROUND($C51*10*VLOOKUP($B51,Sheet2!$J$5:$K$7,2,FALSE)*VLOOKUP(Sheet1!$A51,Sheet2!$B$5:$H$29,3,FALSE),0)</x:f>
        <x:v>500</x:v>
      </x:c>
      <x:c r="E51">
        <x:f>ROUND($C51*10*VLOOKUP($B51,Sheet2!$J$5:$K$7,2,FALSE)*VLOOKUP(Sheet1!$A51,Sheet2!$B$5:$H$29,4,FALSE),0)</x:f>
        <x:v>0</x:v>
      </x:c>
      <x:c r="F51">
        <x:f>ROUND($C51*10*VLOOKUP($B51,Sheet2!$J$5:$K$7,2,FALSE)*VLOOKUP(Sheet1!$A51,Sheet2!$B$5:$H$29,5,FALSE),0)</x:f>
        <x:v>0</x:v>
      </x:c>
      <x:c r="G51">
        <x:f>ROUND($C51*10*VLOOKUP($B51,Sheet2!$J$5:$K$7,2,FALSE)*VLOOKUP(Sheet1!$A51,Sheet2!$B$5:$H$29,6,FALSE),0)</x:f>
        <x:v>0</x:v>
      </x:c>
      <x:c r="H51">
        <x:f>ROUND($C51*10*VLOOKUP($B51,Sheet2!$J$5:$K$7,2,FALSE)*VLOOKUP(Sheet1!$A51,Sheet2!$B$5:$H$29,7,FALSE),0)</x:f>
        <x:v>0</x:v>
      </x:c>
      <x:c r="I51">
        <x:f t="shared" si="0"/>
        <x:v>23840</x:v>
      </x:c>
    </x:row>
    <x:row r="52" spans="1:9" x14ac:dyDescent="0.15">
      <x:c r="A52">
        <x:v>54001</x:v>
      </x:c>
      <x:c r="B52">
        <x:v>1</x:v>
      </x:c>
      <x:c r="C52">
        <x:v>51</x:v>
      </x:c>
      <x:c r="D52">
        <x:f>ROUND($C52*10*VLOOKUP($B52,Sheet2!$J$5:$K$7,2,FALSE)*VLOOKUP(Sheet1!$A52,Sheet2!$B$5:$H$29,3,FALSE),0)</x:f>
        <x:v>510</x:v>
      </x:c>
      <x:c r="E52">
        <x:f>ROUND($C52*10*VLOOKUP($B52,Sheet2!$J$5:$K$7,2,FALSE)*VLOOKUP(Sheet1!$A52,Sheet2!$B$5:$H$29,4,FALSE),0)</x:f>
        <x:v>0</x:v>
      </x:c>
      <x:c r="F52">
        <x:f>ROUND($C52*10*VLOOKUP($B52,Sheet2!$J$5:$K$7,2,FALSE)*VLOOKUP(Sheet1!$A52,Sheet2!$B$5:$H$29,5,FALSE),0)</x:f>
        <x:v>0</x:v>
      </x:c>
      <x:c r="G52">
        <x:f>ROUND($C52*10*VLOOKUP($B52,Sheet2!$J$5:$K$7,2,FALSE)*VLOOKUP(Sheet1!$A52,Sheet2!$B$5:$H$29,6,FALSE),0)</x:f>
        <x:v>0</x:v>
      </x:c>
      <x:c r="H52">
        <x:f>ROUND($C52*10*VLOOKUP($B52,Sheet2!$J$5:$K$7,2,FALSE)*VLOOKUP(Sheet1!$A52,Sheet2!$B$5:$H$29,7,FALSE),0)</x:f>
        <x:v>0</x:v>
      </x:c>
      <x:c r="I52">
        <x:f t="shared" si="0"/>
        <x:v>24720</x:v>
      </x:c>
    </x:row>
    <x:row r="53" spans="1:9" x14ac:dyDescent="0.15">
      <x:c r="A53">
        <x:v>54001</x:v>
      </x:c>
      <x:c r="B53">
        <x:v>1</x:v>
      </x:c>
      <x:c r="C53">
        <x:v>52</x:v>
      </x:c>
      <x:c r="D53">
        <x:f>ROUND($C53*10*VLOOKUP($B53,Sheet2!$J$5:$K$7,2,FALSE)*VLOOKUP(Sheet1!$A53,Sheet2!$B$5:$H$29,3,FALSE),0)</x:f>
        <x:v>520</x:v>
      </x:c>
      <x:c r="E53">
        <x:f>ROUND($C53*10*VLOOKUP($B53,Sheet2!$J$5:$K$7,2,FALSE)*VLOOKUP(Sheet1!$A53,Sheet2!$B$5:$H$29,4,FALSE),0)</x:f>
        <x:v>0</x:v>
      </x:c>
      <x:c r="F53">
        <x:f>ROUND($C53*10*VLOOKUP($B53,Sheet2!$J$5:$K$7,2,FALSE)*VLOOKUP(Sheet1!$A53,Sheet2!$B$5:$H$29,5,FALSE),0)</x:f>
        <x:v>0</x:v>
      </x:c>
      <x:c r="G53">
        <x:f>ROUND($C53*10*VLOOKUP($B53,Sheet2!$J$5:$K$7,2,FALSE)*VLOOKUP(Sheet1!$A53,Sheet2!$B$5:$H$29,6,FALSE),0)</x:f>
        <x:v>0</x:v>
      </x:c>
      <x:c r="H53">
        <x:f>ROUND($C53*10*VLOOKUP($B53,Sheet2!$J$5:$K$7,2,FALSE)*VLOOKUP(Sheet1!$A53,Sheet2!$B$5:$H$29,7,FALSE),0)</x:f>
        <x:v>0</x:v>
      </x:c>
      <x:c r="I53">
        <x:f t="shared" si="0"/>
        <x:v>25620</x:v>
      </x:c>
    </x:row>
    <x:row r="54" spans="1:9" x14ac:dyDescent="0.15">
      <x:c r="A54">
        <x:v>54001</x:v>
      </x:c>
      <x:c r="B54">
        <x:v>1</x:v>
      </x:c>
      <x:c r="C54">
        <x:v>53</x:v>
      </x:c>
      <x:c r="D54">
        <x:f>ROUND($C54*10*VLOOKUP($B54,Sheet2!$J$5:$K$7,2,FALSE)*VLOOKUP(Sheet1!$A54,Sheet2!$B$5:$H$29,3,FALSE),0)</x:f>
        <x:v>530</x:v>
      </x:c>
      <x:c r="E54">
        <x:f>ROUND($C54*10*VLOOKUP($B54,Sheet2!$J$5:$K$7,2,FALSE)*VLOOKUP(Sheet1!$A54,Sheet2!$B$5:$H$29,4,FALSE),0)</x:f>
        <x:v>0</x:v>
      </x:c>
      <x:c r="F54">
        <x:f>ROUND($C54*10*VLOOKUP($B54,Sheet2!$J$5:$K$7,2,FALSE)*VLOOKUP(Sheet1!$A54,Sheet2!$B$5:$H$29,5,FALSE),0)</x:f>
        <x:v>0</x:v>
      </x:c>
      <x:c r="G54">
        <x:f>ROUND($C54*10*VLOOKUP($B54,Sheet2!$J$5:$K$7,2,FALSE)*VLOOKUP(Sheet1!$A54,Sheet2!$B$5:$H$29,6,FALSE),0)</x:f>
        <x:v>0</x:v>
      </x:c>
      <x:c r="H54">
        <x:f>ROUND($C54*10*VLOOKUP($B54,Sheet2!$J$5:$K$7,2,FALSE)*VLOOKUP(Sheet1!$A54,Sheet2!$B$5:$H$29,7,FALSE),0)</x:f>
        <x:v>0</x:v>
      </x:c>
      <x:c r="I54">
        <x:f t="shared" si="0"/>
        <x:v>26530</x:v>
      </x:c>
    </x:row>
    <x:row r="55" spans="1:9" x14ac:dyDescent="0.15">
      <x:c r="A55">
        <x:v>54001</x:v>
      </x:c>
      <x:c r="B55">
        <x:v>1</x:v>
      </x:c>
      <x:c r="C55">
        <x:v>54</x:v>
      </x:c>
      <x:c r="D55">
        <x:f>ROUND($C55*10*VLOOKUP($B55,Sheet2!$J$5:$K$7,2,FALSE)*VLOOKUP(Sheet1!$A55,Sheet2!$B$5:$H$29,3,FALSE),0)</x:f>
        <x:v>540</x:v>
      </x:c>
      <x:c r="E55">
        <x:f>ROUND($C55*10*VLOOKUP($B55,Sheet2!$J$5:$K$7,2,FALSE)*VLOOKUP(Sheet1!$A55,Sheet2!$B$5:$H$29,4,FALSE),0)</x:f>
        <x:v>0</x:v>
      </x:c>
      <x:c r="F55">
        <x:f>ROUND($C55*10*VLOOKUP($B55,Sheet2!$J$5:$K$7,2,FALSE)*VLOOKUP(Sheet1!$A55,Sheet2!$B$5:$H$29,5,FALSE),0)</x:f>
        <x:v>0</x:v>
      </x:c>
      <x:c r="G55">
        <x:f>ROUND($C55*10*VLOOKUP($B55,Sheet2!$J$5:$K$7,2,FALSE)*VLOOKUP(Sheet1!$A55,Sheet2!$B$5:$H$29,6,FALSE),0)</x:f>
        <x:v>0</x:v>
      </x:c>
      <x:c r="H55">
        <x:f>ROUND($C55*10*VLOOKUP($B55,Sheet2!$J$5:$K$7,2,FALSE)*VLOOKUP(Sheet1!$A55,Sheet2!$B$5:$H$29,7,FALSE),0)</x:f>
        <x:v>0</x:v>
      </x:c>
      <x:c r="I55">
        <x:f t="shared" si="0"/>
        <x:v>27460</x:v>
      </x:c>
    </x:row>
    <x:row r="56" spans="1:9" x14ac:dyDescent="0.15">
      <x:c r="A56">
        <x:v>54001</x:v>
      </x:c>
      <x:c r="B56">
        <x:v>1</x:v>
      </x:c>
      <x:c r="C56">
        <x:v>55</x:v>
      </x:c>
      <x:c r="D56">
        <x:f>ROUND($C56*10*VLOOKUP($B56,Sheet2!$J$5:$K$7,2,FALSE)*VLOOKUP(Sheet1!$A56,Sheet2!$B$5:$H$29,3,FALSE),0)</x:f>
        <x:v>550</x:v>
      </x:c>
      <x:c r="E56">
        <x:f>ROUND($C56*10*VLOOKUP($B56,Sheet2!$J$5:$K$7,2,FALSE)*VLOOKUP(Sheet1!$A56,Sheet2!$B$5:$H$29,4,FALSE),0)</x:f>
        <x:v>0</x:v>
      </x:c>
      <x:c r="F56">
        <x:f>ROUND($C56*10*VLOOKUP($B56,Sheet2!$J$5:$K$7,2,FALSE)*VLOOKUP(Sheet1!$A56,Sheet2!$B$5:$H$29,5,FALSE),0)</x:f>
        <x:v>0</x:v>
      </x:c>
      <x:c r="G56">
        <x:f>ROUND($C56*10*VLOOKUP($B56,Sheet2!$J$5:$K$7,2,FALSE)*VLOOKUP(Sheet1!$A56,Sheet2!$B$5:$H$29,6,FALSE),0)</x:f>
        <x:v>0</x:v>
      </x:c>
      <x:c r="H56">
        <x:f>ROUND($C56*10*VLOOKUP($B56,Sheet2!$J$5:$K$7,2,FALSE)*VLOOKUP(Sheet1!$A56,Sheet2!$B$5:$H$29,7,FALSE),0)</x:f>
        <x:v>0</x:v>
      </x:c>
      <x:c r="I56">
        <x:f t="shared" si="0"/>
        <x:v>28390</x:v>
      </x:c>
    </x:row>
    <x:row r="57" spans="1:9" x14ac:dyDescent="0.15">
      <x:c r="A57">
        <x:v>54001</x:v>
      </x:c>
      <x:c r="B57">
        <x:v>1</x:v>
      </x:c>
      <x:c r="C57">
        <x:v>56</x:v>
      </x:c>
      <x:c r="D57">
        <x:f>ROUND($C57*10*VLOOKUP($B57,Sheet2!$J$5:$K$7,2,FALSE)*VLOOKUP(Sheet1!$A57,Sheet2!$B$5:$H$29,3,FALSE),0)</x:f>
        <x:v>560</x:v>
      </x:c>
      <x:c r="E57">
        <x:f>ROUND($C57*10*VLOOKUP($B57,Sheet2!$J$5:$K$7,2,FALSE)*VLOOKUP(Sheet1!$A57,Sheet2!$B$5:$H$29,4,FALSE),0)</x:f>
        <x:v>0</x:v>
      </x:c>
      <x:c r="F57">
        <x:f>ROUND($C57*10*VLOOKUP($B57,Sheet2!$J$5:$K$7,2,FALSE)*VLOOKUP(Sheet1!$A57,Sheet2!$B$5:$H$29,5,FALSE),0)</x:f>
        <x:v>0</x:v>
      </x:c>
      <x:c r="G57">
        <x:f>ROUND($C57*10*VLOOKUP($B57,Sheet2!$J$5:$K$7,2,FALSE)*VLOOKUP(Sheet1!$A57,Sheet2!$B$5:$H$29,6,FALSE),0)</x:f>
        <x:v>0</x:v>
      </x:c>
      <x:c r="H57">
        <x:f>ROUND($C57*10*VLOOKUP($B57,Sheet2!$J$5:$K$7,2,FALSE)*VLOOKUP(Sheet1!$A57,Sheet2!$B$5:$H$29,7,FALSE),0)</x:f>
        <x:v>0</x:v>
      </x:c>
      <x:c r="I57">
        <x:f t="shared" si="0"/>
        <x:v>29350</x:v>
      </x:c>
    </x:row>
    <x:row r="58" spans="1:9" x14ac:dyDescent="0.15">
      <x:c r="A58">
        <x:v>54001</x:v>
      </x:c>
      <x:c r="B58">
        <x:v>1</x:v>
      </x:c>
      <x:c r="C58">
        <x:v>57</x:v>
      </x:c>
      <x:c r="D58">
        <x:f>ROUND($C58*10*VLOOKUP($B58,Sheet2!$J$5:$K$7,2,FALSE)*VLOOKUP(Sheet1!$A58,Sheet2!$B$5:$H$29,3,FALSE),0)</x:f>
        <x:v>570</x:v>
      </x:c>
      <x:c r="E58">
        <x:f>ROUND($C58*10*VLOOKUP($B58,Sheet2!$J$5:$K$7,2,FALSE)*VLOOKUP(Sheet1!$A58,Sheet2!$B$5:$H$29,4,FALSE),0)</x:f>
        <x:v>0</x:v>
      </x:c>
      <x:c r="F58">
        <x:f>ROUND($C58*10*VLOOKUP($B58,Sheet2!$J$5:$K$7,2,FALSE)*VLOOKUP(Sheet1!$A58,Sheet2!$B$5:$H$29,5,FALSE),0)</x:f>
        <x:v>0</x:v>
      </x:c>
      <x:c r="G58">
        <x:f>ROUND($C58*10*VLOOKUP($B58,Sheet2!$J$5:$K$7,2,FALSE)*VLOOKUP(Sheet1!$A58,Sheet2!$B$5:$H$29,6,FALSE),0)</x:f>
        <x:v>0</x:v>
      </x:c>
      <x:c r="H58">
        <x:f>ROUND($C58*10*VLOOKUP($B58,Sheet2!$J$5:$K$7,2,FALSE)*VLOOKUP(Sheet1!$A58,Sheet2!$B$5:$H$29,7,FALSE),0)</x:f>
        <x:v>0</x:v>
      </x:c>
      <x:c r="I58">
        <x:f t="shared" si="0"/>
        <x:v>30310</x:v>
      </x:c>
    </x:row>
    <x:row r="59" spans="1:9" x14ac:dyDescent="0.15">
      <x:c r="A59">
        <x:v>54001</x:v>
      </x:c>
      <x:c r="B59">
        <x:v>1</x:v>
      </x:c>
      <x:c r="C59">
        <x:v>58</x:v>
      </x:c>
      <x:c r="D59">
        <x:f>ROUND($C59*10*VLOOKUP($B59,Sheet2!$J$5:$K$7,2,FALSE)*VLOOKUP(Sheet1!$A59,Sheet2!$B$5:$H$29,3,FALSE),0)</x:f>
        <x:v>580</x:v>
      </x:c>
      <x:c r="E59">
        <x:f>ROUND($C59*10*VLOOKUP($B59,Sheet2!$J$5:$K$7,2,FALSE)*VLOOKUP(Sheet1!$A59,Sheet2!$B$5:$H$29,4,FALSE),0)</x:f>
        <x:v>0</x:v>
      </x:c>
      <x:c r="F59">
        <x:f>ROUND($C59*10*VLOOKUP($B59,Sheet2!$J$5:$K$7,2,FALSE)*VLOOKUP(Sheet1!$A59,Sheet2!$B$5:$H$29,5,FALSE),0)</x:f>
        <x:v>0</x:v>
      </x:c>
      <x:c r="G59">
        <x:f>ROUND($C59*10*VLOOKUP($B59,Sheet2!$J$5:$K$7,2,FALSE)*VLOOKUP(Sheet1!$A59,Sheet2!$B$5:$H$29,6,FALSE),0)</x:f>
        <x:v>0</x:v>
      </x:c>
      <x:c r="H59">
        <x:f>ROUND($C59*10*VLOOKUP($B59,Sheet2!$J$5:$K$7,2,FALSE)*VLOOKUP(Sheet1!$A59,Sheet2!$B$5:$H$29,7,FALSE),0)</x:f>
        <x:v>0</x:v>
      </x:c>
      <x:c r="I59">
        <x:f t="shared" si="0"/>
        <x:v>31290</x:v>
      </x:c>
    </x:row>
    <x:row r="60" spans="1:9" x14ac:dyDescent="0.15">
      <x:c r="A60">
        <x:v>54001</x:v>
      </x:c>
      <x:c r="B60">
        <x:v>1</x:v>
      </x:c>
      <x:c r="C60">
        <x:v>59</x:v>
      </x:c>
      <x:c r="D60">
        <x:f>ROUND($C60*10*VLOOKUP($B60,Sheet2!$J$5:$K$7,2,FALSE)*VLOOKUP(Sheet1!$A60,Sheet2!$B$5:$H$29,3,FALSE),0)</x:f>
        <x:v>590</x:v>
      </x:c>
      <x:c r="E60">
        <x:f>ROUND($C60*10*VLOOKUP($B60,Sheet2!$J$5:$K$7,2,FALSE)*VLOOKUP(Sheet1!$A60,Sheet2!$B$5:$H$29,4,FALSE),0)</x:f>
        <x:v>0</x:v>
      </x:c>
      <x:c r="F60">
        <x:f>ROUND($C60*10*VLOOKUP($B60,Sheet2!$J$5:$K$7,2,FALSE)*VLOOKUP(Sheet1!$A60,Sheet2!$B$5:$H$29,5,FALSE),0)</x:f>
        <x:v>0</x:v>
      </x:c>
      <x:c r="G60">
        <x:f>ROUND($C60*10*VLOOKUP($B60,Sheet2!$J$5:$K$7,2,FALSE)*VLOOKUP(Sheet1!$A60,Sheet2!$B$5:$H$29,6,FALSE),0)</x:f>
        <x:v>0</x:v>
      </x:c>
      <x:c r="H60">
        <x:f>ROUND($C60*10*VLOOKUP($B60,Sheet2!$J$5:$K$7,2,FALSE)*VLOOKUP(Sheet1!$A60,Sheet2!$B$5:$H$29,7,FALSE),0)</x:f>
        <x:v>0</x:v>
      </x:c>
      <x:c r="I60">
        <x:f t="shared" si="0"/>
        <x:v>32290</x:v>
      </x:c>
    </x:row>
    <x:row r="61" spans="1:9" x14ac:dyDescent="0.15">
      <x:c r="A61">
        <x:v>54001</x:v>
      </x:c>
      <x:c r="B61">
        <x:v>1</x:v>
      </x:c>
      <x:c r="C61">
        <x:v>60</x:v>
      </x:c>
      <x:c r="D61">
        <x:f>ROUND($C61*10*VLOOKUP($B61,Sheet2!$J$5:$K$7,2,FALSE)*VLOOKUP(Sheet1!$A61,Sheet2!$B$5:$H$29,3,FALSE),0)</x:f>
        <x:v>600</x:v>
      </x:c>
      <x:c r="E61">
        <x:f>ROUND($C61*10*VLOOKUP($B61,Sheet2!$J$5:$K$7,2,FALSE)*VLOOKUP(Sheet1!$A61,Sheet2!$B$5:$H$29,4,FALSE),0)</x:f>
        <x:v>0</x:v>
      </x:c>
      <x:c r="F61">
        <x:f>ROUND($C61*10*VLOOKUP($B61,Sheet2!$J$5:$K$7,2,FALSE)*VLOOKUP(Sheet1!$A61,Sheet2!$B$5:$H$29,5,FALSE),0)</x:f>
        <x:v>0</x:v>
      </x:c>
      <x:c r="G61">
        <x:f>ROUND($C61*10*VLOOKUP($B61,Sheet2!$J$5:$K$7,2,FALSE)*VLOOKUP(Sheet1!$A61,Sheet2!$B$5:$H$29,6,FALSE),0)</x:f>
        <x:v>0</x:v>
      </x:c>
      <x:c r="H61">
        <x:f>ROUND($C61*10*VLOOKUP($B61,Sheet2!$J$5:$K$7,2,FALSE)*VLOOKUP(Sheet1!$A61,Sheet2!$B$5:$H$29,7,FALSE),0)</x:f>
        <x:v>0</x:v>
      </x:c>
      <x:c r="I61">
        <x:f t="shared" si="0"/>
        <x:v>33290</x:v>
      </x:c>
    </x:row>
    <x:row r="62" spans="1:9" x14ac:dyDescent="0.15">
      <x:c r="A62">
        <x:v>54001</x:v>
      </x:c>
      <x:c r="B62">
        <x:v>2</x:v>
      </x:c>
      <x:c r="C62">
        <x:v>1</x:v>
      </x:c>
      <x:c r="D62">
        <x:f>ROUND($C62*10*VLOOKUP($B62,Sheet2!$J$5:$K$7,2,FALSE)*VLOOKUP(Sheet1!$A62,Sheet2!$B$5:$H$29,3,FALSE),0)</x:f>
        <x:v>12</x:v>
      </x:c>
      <x:c r="E62">
        <x:f>ROUND($C62*10*VLOOKUP($B62,Sheet2!$J$5:$K$7,2,FALSE)*VLOOKUP(Sheet1!$A62,Sheet2!$B$5:$H$29,4,FALSE),0)</x:f>
        <x:v>0</x:v>
      </x:c>
      <x:c r="F62">
        <x:f>ROUND($C62*10*VLOOKUP($B62,Sheet2!$J$5:$K$7,2,FALSE)*VLOOKUP(Sheet1!$A62,Sheet2!$B$5:$H$29,5,FALSE),0)</x:f>
        <x:v>0</x:v>
      </x:c>
      <x:c r="G62">
        <x:f>ROUND($C62*10*VLOOKUP($B62,Sheet2!$J$5:$K$7,2,FALSE)*VLOOKUP(Sheet1!$A62,Sheet2!$B$5:$H$29,6,FALSE),0)</x:f>
        <x:v>0</x:v>
      </x:c>
      <x:c r="H62">
        <x:f>ROUND($C62*10*VLOOKUP($B62,Sheet2!$J$5:$K$7,2,FALSE)*VLOOKUP(Sheet1!$A62,Sheet2!$B$5:$H$29,7,FALSE),0)</x:f>
        <x:v>0</x:v>
      </x:c>
      <x:c r="I62">
        <x:f>ROUND(1.2*10*3.5*(C62-1)^1.8+60,-1)</x:f>
        <x:v>60</x:v>
      </x:c>
    </x:row>
    <x:row r="63" spans="1:9" x14ac:dyDescent="0.15">
      <x:c r="A63">
        <x:v>54001</x:v>
      </x:c>
      <x:c r="B63">
        <x:v>2</x:v>
      </x:c>
      <x:c r="C63">
        <x:v>2</x:v>
      </x:c>
      <x:c r="D63">
        <x:f>ROUND($C63*10*VLOOKUP($B63,Sheet2!$J$5:$K$7,2,FALSE)*VLOOKUP(Sheet1!$A63,Sheet2!$B$5:$H$29,3,FALSE),0)</x:f>
        <x:v>24</x:v>
      </x:c>
      <x:c r="E63">
        <x:f>ROUND($C63*10*VLOOKUP($B63,Sheet2!$J$5:$K$7,2,FALSE)*VLOOKUP(Sheet1!$A63,Sheet2!$B$5:$H$29,4,FALSE),0)</x:f>
        <x:v>0</x:v>
      </x:c>
      <x:c r="F63">
        <x:f>ROUND($C63*10*VLOOKUP($B63,Sheet2!$J$5:$K$7,2,FALSE)*VLOOKUP(Sheet1!$A63,Sheet2!$B$5:$H$29,5,FALSE),0)</x:f>
        <x:v>0</x:v>
      </x:c>
      <x:c r="G63">
        <x:f>ROUND($C63*10*VLOOKUP($B63,Sheet2!$J$5:$K$7,2,FALSE)*VLOOKUP(Sheet1!$A63,Sheet2!$B$5:$H$29,6,FALSE),0)</x:f>
        <x:v>0</x:v>
      </x:c>
      <x:c r="H63">
        <x:f>ROUND($C63*10*VLOOKUP($B63,Sheet2!$J$5:$K$7,2,FALSE)*VLOOKUP(Sheet1!$A63,Sheet2!$B$5:$H$29,7,FALSE),0)</x:f>
        <x:v>0</x:v>
      </x:c>
      <x:c r="I63">
        <x:f t="shared" ref="I63:I121" si="1">ROUND(1.2*10*3.5*(C63-1)^1.8+60,-1)</x:f>
        <x:v>100</x:v>
      </x:c>
    </x:row>
    <x:row r="64" spans="1:9" x14ac:dyDescent="0.15">
      <x:c r="A64">
        <x:v>54001</x:v>
      </x:c>
      <x:c r="B64">
        <x:v>2</x:v>
      </x:c>
      <x:c r="C64">
        <x:v>3</x:v>
      </x:c>
      <x:c r="D64">
        <x:f>ROUND($C64*10*VLOOKUP($B64,Sheet2!$J$5:$K$7,2,FALSE)*VLOOKUP(Sheet1!$A64,Sheet2!$B$5:$H$29,3,FALSE),0)</x:f>
        <x:v>36</x:v>
      </x:c>
      <x:c r="E64">
        <x:f>ROUND($C64*10*VLOOKUP($B64,Sheet2!$J$5:$K$7,2,FALSE)*VLOOKUP(Sheet1!$A64,Sheet2!$B$5:$H$29,4,FALSE),0)</x:f>
        <x:v>0</x:v>
      </x:c>
      <x:c r="F64">
        <x:f>ROUND($C64*10*VLOOKUP($B64,Sheet2!$J$5:$K$7,2,FALSE)*VLOOKUP(Sheet1!$A64,Sheet2!$B$5:$H$29,5,FALSE),0)</x:f>
        <x:v>0</x:v>
      </x:c>
      <x:c r="G64">
        <x:f>ROUND($C64*10*VLOOKUP($B64,Sheet2!$J$5:$K$7,2,FALSE)*VLOOKUP(Sheet1!$A64,Sheet2!$B$5:$H$29,6,FALSE),0)</x:f>
        <x:v>0</x:v>
      </x:c>
      <x:c r="H64">
        <x:f>ROUND($C64*10*VLOOKUP($B64,Sheet2!$J$5:$K$7,2,FALSE)*VLOOKUP(Sheet1!$A64,Sheet2!$B$5:$H$29,7,FALSE),0)</x:f>
        <x:v>0</x:v>
      </x:c>
      <x:c r="I64">
        <x:f t="shared" si="1"/>
        <x:v>210</x:v>
      </x:c>
    </x:row>
    <x:row r="65" spans="1:9" x14ac:dyDescent="0.15">
      <x:c r="A65">
        <x:v>54001</x:v>
      </x:c>
      <x:c r="B65">
        <x:v>2</x:v>
      </x:c>
      <x:c r="C65">
        <x:v>4</x:v>
      </x:c>
      <x:c r="D65">
        <x:f>ROUND($C65*10*VLOOKUP($B65,Sheet2!$J$5:$K$7,2,FALSE)*VLOOKUP(Sheet1!$A65,Sheet2!$B$5:$H$29,3,FALSE),0)</x:f>
        <x:v>48</x:v>
      </x:c>
      <x:c r="E65">
        <x:f>ROUND($C65*10*VLOOKUP($B65,Sheet2!$J$5:$K$7,2,FALSE)*VLOOKUP(Sheet1!$A65,Sheet2!$B$5:$H$29,4,FALSE),0)</x:f>
        <x:v>0</x:v>
      </x:c>
      <x:c r="F65">
        <x:f>ROUND($C65*10*VLOOKUP($B65,Sheet2!$J$5:$K$7,2,FALSE)*VLOOKUP(Sheet1!$A65,Sheet2!$B$5:$H$29,5,FALSE),0)</x:f>
        <x:v>0</x:v>
      </x:c>
      <x:c r="G65">
        <x:f>ROUND($C65*10*VLOOKUP($B65,Sheet2!$J$5:$K$7,2,FALSE)*VLOOKUP(Sheet1!$A65,Sheet2!$B$5:$H$29,6,FALSE),0)</x:f>
        <x:v>0</x:v>
      </x:c>
      <x:c r="H65">
        <x:f>ROUND($C65*10*VLOOKUP($B65,Sheet2!$J$5:$K$7,2,FALSE)*VLOOKUP(Sheet1!$A65,Sheet2!$B$5:$H$29,7,FALSE),0)</x:f>
        <x:v>0</x:v>
      </x:c>
      <x:c r="I65">
        <x:f t="shared" si="1"/>
        <x:v>360</x:v>
      </x:c>
    </x:row>
    <x:row r="66" spans="1:9" x14ac:dyDescent="0.15">
      <x:c r="A66">
        <x:v>54001</x:v>
      </x:c>
      <x:c r="B66">
        <x:v>2</x:v>
      </x:c>
      <x:c r="C66">
        <x:v>5</x:v>
      </x:c>
      <x:c r="D66">
        <x:f>ROUND($C66*10*VLOOKUP($B66,Sheet2!$J$5:$K$7,2,FALSE)*VLOOKUP(Sheet1!$A66,Sheet2!$B$5:$H$29,3,FALSE),0)</x:f>
        <x:v>60</x:v>
      </x:c>
      <x:c r="E66">
        <x:f>ROUND($C66*10*VLOOKUP($B66,Sheet2!$J$5:$K$7,2,FALSE)*VLOOKUP(Sheet1!$A66,Sheet2!$B$5:$H$29,4,FALSE),0)</x:f>
        <x:v>0</x:v>
      </x:c>
      <x:c r="F66">
        <x:f>ROUND($C66*10*VLOOKUP($B66,Sheet2!$J$5:$K$7,2,FALSE)*VLOOKUP(Sheet1!$A66,Sheet2!$B$5:$H$29,5,FALSE),0)</x:f>
        <x:v>0</x:v>
      </x:c>
      <x:c r="G66">
        <x:f>ROUND($C66*10*VLOOKUP($B66,Sheet2!$J$5:$K$7,2,FALSE)*VLOOKUP(Sheet1!$A66,Sheet2!$B$5:$H$29,6,FALSE),0)</x:f>
        <x:v>0</x:v>
      </x:c>
      <x:c r="H66">
        <x:f>ROUND($C66*10*VLOOKUP($B66,Sheet2!$J$5:$K$7,2,FALSE)*VLOOKUP(Sheet1!$A66,Sheet2!$B$5:$H$29,7,FALSE),0)</x:f>
        <x:v>0</x:v>
      </x:c>
      <x:c r="I66">
        <x:f t="shared" si="1"/>
        <x:v>570</x:v>
      </x:c>
    </x:row>
    <x:row r="67" spans="1:9" x14ac:dyDescent="0.15">
      <x:c r="A67">
        <x:v>54001</x:v>
      </x:c>
      <x:c r="B67">
        <x:v>2</x:v>
      </x:c>
      <x:c r="C67">
        <x:v>6</x:v>
      </x:c>
      <x:c r="D67">
        <x:f>ROUND($C67*10*VLOOKUP($B67,Sheet2!$J$5:$K$7,2,FALSE)*VLOOKUP(Sheet1!$A67,Sheet2!$B$5:$H$29,3,FALSE),0)</x:f>
        <x:v>72</x:v>
      </x:c>
      <x:c r="E67">
        <x:f>ROUND($C67*10*VLOOKUP($B67,Sheet2!$J$5:$K$7,2,FALSE)*VLOOKUP(Sheet1!$A67,Sheet2!$B$5:$H$29,4,FALSE),0)</x:f>
        <x:v>0</x:v>
      </x:c>
      <x:c r="F67">
        <x:f>ROUND($C67*10*VLOOKUP($B67,Sheet2!$J$5:$K$7,2,FALSE)*VLOOKUP(Sheet1!$A67,Sheet2!$B$5:$H$29,5,FALSE),0)</x:f>
        <x:v>0</x:v>
      </x:c>
      <x:c r="G67">
        <x:f>ROUND($C67*10*VLOOKUP($B67,Sheet2!$J$5:$K$7,2,FALSE)*VLOOKUP(Sheet1!$A67,Sheet2!$B$5:$H$29,6,FALSE),0)</x:f>
        <x:v>0</x:v>
      </x:c>
      <x:c r="H67">
        <x:f>ROUND($C67*10*VLOOKUP($B67,Sheet2!$J$5:$K$7,2,FALSE)*VLOOKUP(Sheet1!$A67,Sheet2!$B$5:$H$29,7,FALSE),0)</x:f>
        <x:v>0</x:v>
      </x:c>
      <x:c r="I67">
        <x:f t="shared" si="1"/>
        <x:v>820</x:v>
      </x:c>
    </x:row>
    <x:row r="68" spans="1:9" x14ac:dyDescent="0.15">
      <x:c r="A68">
        <x:v>54001</x:v>
      </x:c>
      <x:c r="B68">
        <x:v>2</x:v>
      </x:c>
      <x:c r="C68">
        <x:v>7</x:v>
      </x:c>
      <x:c r="D68">
        <x:f>ROUND($C68*10*VLOOKUP($B68,Sheet2!$J$5:$K$7,2,FALSE)*VLOOKUP(Sheet1!$A68,Sheet2!$B$5:$H$29,3,FALSE),0)</x:f>
        <x:v>84</x:v>
      </x:c>
      <x:c r="E68">
        <x:f>ROUND($C68*10*VLOOKUP($B68,Sheet2!$J$5:$K$7,2,FALSE)*VLOOKUP(Sheet1!$A68,Sheet2!$B$5:$H$29,4,FALSE),0)</x:f>
        <x:v>0</x:v>
      </x:c>
      <x:c r="F68">
        <x:f>ROUND($C68*10*VLOOKUP($B68,Sheet2!$J$5:$K$7,2,FALSE)*VLOOKUP(Sheet1!$A68,Sheet2!$B$5:$H$29,5,FALSE),0)</x:f>
        <x:v>0</x:v>
      </x:c>
      <x:c r="G68">
        <x:f>ROUND($C68*10*VLOOKUP($B68,Sheet2!$J$5:$K$7,2,FALSE)*VLOOKUP(Sheet1!$A68,Sheet2!$B$5:$H$29,6,FALSE),0)</x:f>
        <x:v>0</x:v>
      </x:c>
      <x:c r="H68">
        <x:f>ROUND($C68*10*VLOOKUP($B68,Sheet2!$J$5:$K$7,2,FALSE)*VLOOKUP(Sheet1!$A68,Sheet2!$B$5:$H$29,7,FALSE),0)</x:f>
        <x:v>0</x:v>
      </x:c>
      <x:c r="I68">
        <x:f t="shared" si="1"/>
        <x:v>1120</x:v>
      </x:c>
    </x:row>
    <x:row r="69" spans="1:9" x14ac:dyDescent="0.15">
      <x:c r="A69">
        <x:v>54001</x:v>
      </x:c>
      <x:c r="B69">
        <x:v>2</x:v>
      </x:c>
      <x:c r="C69">
        <x:v>8</x:v>
      </x:c>
      <x:c r="D69">
        <x:f>ROUND($C69*10*VLOOKUP($B69,Sheet2!$J$5:$K$7,2,FALSE)*VLOOKUP(Sheet1!$A69,Sheet2!$B$5:$H$29,3,FALSE),0)</x:f>
        <x:v>96</x:v>
      </x:c>
      <x:c r="E69">
        <x:f>ROUND($C69*10*VLOOKUP($B69,Sheet2!$J$5:$K$7,2,FALSE)*VLOOKUP(Sheet1!$A69,Sheet2!$B$5:$H$29,4,FALSE),0)</x:f>
        <x:v>0</x:v>
      </x:c>
      <x:c r="F69">
        <x:f>ROUND($C69*10*VLOOKUP($B69,Sheet2!$J$5:$K$7,2,FALSE)*VLOOKUP(Sheet1!$A69,Sheet2!$B$5:$H$29,5,FALSE),0)</x:f>
        <x:v>0</x:v>
      </x:c>
      <x:c r="G69">
        <x:f>ROUND($C69*10*VLOOKUP($B69,Sheet2!$J$5:$K$7,2,FALSE)*VLOOKUP(Sheet1!$A69,Sheet2!$B$5:$H$29,6,FALSE),0)</x:f>
        <x:v>0</x:v>
      </x:c>
      <x:c r="H69">
        <x:f>ROUND($C69*10*VLOOKUP($B69,Sheet2!$J$5:$K$7,2,FALSE)*VLOOKUP(Sheet1!$A69,Sheet2!$B$5:$H$29,7,FALSE),0)</x:f>
        <x:v>0</x:v>
      </x:c>
      <x:c r="I69">
        <x:f t="shared" si="1"/>
        <x:v>1450</x:v>
      </x:c>
    </x:row>
    <x:row r="70" spans="1:9" x14ac:dyDescent="0.15">
      <x:c r="A70">
        <x:v>54001</x:v>
      </x:c>
      <x:c r="B70">
        <x:v>2</x:v>
      </x:c>
      <x:c r="C70">
        <x:v>9</x:v>
      </x:c>
      <x:c r="D70">
        <x:f>ROUND($C70*10*VLOOKUP($B70,Sheet2!$J$5:$K$7,2,FALSE)*VLOOKUP(Sheet1!$A70,Sheet2!$B$5:$H$29,3,FALSE),0)</x:f>
        <x:v>108</x:v>
      </x:c>
      <x:c r="E70">
        <x:f>ROUND($C70*10*VLOOKUP($B70,Sheet2!$J$5:$K$7,2,FALSE)*VLOOKUP(Sheet1!$A70,Sheet2!$B$5:$H$29,4,FALSE),0)</x:f>
        <x:v>0</x:v>
      </x:c>
      <x:c r="F70">
        <x:f>ROUND($C70*10*VLOOKUP($B70,Sheet2!$J$5:$K$7,2,FALSE)*VLOOKUP(Sheet1!$A70,Sheet2!$B$5:$H$29,5,FALSE),0)</x:f>
        <x:v>0</x:v>
      </x:c>
      <x:c r="G70">
        <x:f>ROUND($C70*10*VLOOKUP($B70,Sheet2!$J$5:$K$7,2,FALSE)*VLOOKUP(Sheet1!$A70,Sheet2!$B$5:$H$29,6,FALSE),0)</x:f>
        <x:v>0</x:v>
      </x:c>
      <x:c r="H70">
        <x:f>ROUND($C70*10*VLOOKUP($B70,Sheet2!$J$5:$K$7,2,FALSE)*VLOOKUP(Sheet1!$A70,Sheet2!$B$5:$H$29,7,FALSE),0)</x:f>
        <x:v>0</x:v>
      </x:c>
      <x:c r="I70">
        <x:f t="shared" si="1"/>
        <x:v>1830</x:v>
      </x:c>
    </x:row>
    <x:row r="71" spans="1:9" x14ac:dyDescent="0.15">
      <x:c r="A71">
        <x:v>54001</x:v>
      </x:c>
      <x:c r="B71">
        <x:v>2</x:v>
      </x:c>
      <x:c r="C71">
        <x:v>10</x:v>
      </x:c>
      <x:c r="D71">
        <x:f>ROUND($C71*10*VLOOKUP($B71,Sheet2!$J$5:$K$7,2,FALSE)*VLOOKUP(Sheet1!$A71,Sheet2!$B$5:$H$29,3,FALSE),0)</x:f>
        <x:v>120</x:v>
      </x:c>
      <x:c r="E71">
        <x:f>ROUND($C71*10*VLOOKUP($B71,Sheet2!$J$5:$K$7,2,FALSE)*VLOOKUP(Sheet1!$A71,Sheet2!$B$5:$H$29,4,FALSE),0)</x:f>
        <x:v>0</x:v>
      </x:c>
      <x:c r="F71">
        <x:f>ROUND($C71*10*VLOOKUP($B71,Sheet2!$J$5:$K$7,2,FALSE)*VLOOKUP(Sheet1!$A71,Sheet2!$B$5:$H$29,5,FALSE),0)</x:f>
        <x:v>0</x:v>
      </x:c>
      <x:c r="G71">
        <x:f>ROUND($C71*10*VLOOKUP($B71,Sheet2!$J$5:$K$7,2,FALSE)*VLOOKUP(Sheet1!$A71,Sheet2!$B$5:$H$29,6,FALSE),0)</x:f>
        <x:v>0</x:v>
      </x:c>
      <x:c r="H71">
        <x:f>ROUND($C71*10*VLOOKUP($B71,Sheet2!$J$5:$K$7,2,FALSE)*VLOOKUP(Sheet1!$A71,Sheet2!$B$5:$H$29,7,FALSE),0)</x:f>
        <x:v>0</x:v>
      </x:c>
      <x:c r="I71">
        <x:f t="shared" si="1"/>
        <x:v>2250</x:v>
      </x:c>
    </x:row>
    <x:row r="72" spans="1:9" x14ac:dyDescent="0.15">
      <x:c r="A72">
        <x:v>54001</x:v>
      </x:c>
      <x:c r="B72">
        <x:v>2</x:v>
      </x:c>
      <x:c r="C72">
        <x:v>11</x:v>
      </x:c>
      <x:c r="D72">
        <x:f>ROUND($C72*10*VLOOKUP($B72,Sheet2!$J$5:$K$7,2,FALSE)*VLOOKUP(Sheet1!$A72,Sheet2!$B$5:$H$29,3,FALSE),0)</x:f>
        <x:v>132</x:v>
      </x:c>
      <x:c r="E72">
        <x:f>ROUND($C72*10*VLOOKUP($B72,Sheet2!$J$5:$K$7,2,FALSE)*VLOOKUP(Sheet1!$A72,Sheet2!$B$5:$H$29,4,FALSE),0)</x:f>
        <x:v>0</x:v>
      </x:c>
      <x:c r="F72">
        <x:f>ROUND($C72*10*VLOOKUP($B72,Sheet2!$J$5:$K$7,2,FALSE)*VLOOKUP(Sheet1!$A72,Sheet2!$B$5:$H$29,5,FALSE),0)</x:f>
        <x:v>0</x:v>
      </x:c>
      <x:c r="G72">
        <x:f>ROUND($C72*10*VLOOKUP($B72,Sheet2!$J$5:$K$7,2,FALSE)*VLOOKUP(Sheet1!$A72,Sheet2!$B$5:$H$29,6,FALSE),0)</x:f>
        <x:v>0</x:v>
      </x:c>
      <x:c r="H72">
        <x:f>ROUND($C72*10*VLOOKUP($B72,Sheet2!$J$5:$K$7,2,FALSE)*VLOOKUP(Sheet1!$A72,Sheet2!$B$5:$H$29,7,FALSE),0)</x:f>
        <x:v>0</x:v>
      </x:c>
      <x:c r="I72">
        <x:f t="shared" si="1"/>
        <x:v>2710</x:v>
      </x:c>
    </x:row>
    <x:row r="73" spans="1:9" x14ac:dyDescent="0.15">
      <x:c r="A73">
        <x:v>54001</x:v>
      </x:c>
      <x:c r="B73">
        <x:v>2</x:v>
      </x:c>
      <x:c r="C73">
        <x:v>12</x:v>
      </x:c>
      <x:c r="D73">
        <x:f>ROUND($C73*10*VLOOKUP($B73,Sheet2!$J$5:$K$7,2,FALSE)*VLOOKUP(Sheet1!$A73,Sheet2!$B$5:$H$29,3,FALSE),0)</x:f>
        <x:v>144</x:v>
      </x:c>
      <x:c r="E73">
        <x:f>ROUND($C73*10*VLOOKUP($B73,Sheet2!$J$5:$K$7,2,FALSE)*VLOOKUP(Sheet1!$A73,Sheet2!$B$5:$H$29,4,FALSE),0)</x:f>
        <x:v>0</x:v>
      </x:c>
      <x:c r="F73">
        <x:f>ROUND($C73*10*VLOOKUP($B73,Sheet2!$J$5:$K$7,2,FALSE)*VLOOKUP(Sheet1!$A73,Sheet2!$B$5:$H$29,5,FALSE),0)</x:f>
        <x:v>0</x:v>
      </x:c>
      <x:c r="G73">
        <x:f>ROUND($C73*10*VLOOKUP($B73,Sheet2!$J$5:$K$7,2,FALSE)*VLOOKUP(Sheet1!$A73,Sheet2!$B$5:$H$29,6,FALSE),0)</x:f>
        <x:v>0</x:v>
      </x:c>
      <x:c r="H73">
        <x:f>ROUND($C73*10*VLOOKUP($B73,Sheet2!$J$5:$K$7,2,FALSE)*VLOOKUP(Sheet1!$A73,Sheet2!$B$5:$H$29,7,FALSE),0)</x:f>
        <x:v>0</x:v>
      </x:c>
      <x:c r="I73">
        <x:f t="shared" si="1"/>
        <x:v>3210</x:v>
      </x:c>
    </x:row>
    <x:row r="74" spans="1:9" x14ac:dyDescent="0.15">
      <x:c r="A74">
        <x:v>54001</x:v>
      </x:c>
      <x:c r="B74">
        <x:v>2</x:v>
      </x:c>
      <x:c r="C74">
        <x:v>13</x:v>
      </x:c>
      <x:c r="D74">
        <x:f>ROUND($C74*10*VLOOKUP($B74,Sheet2!$J$5:$K$7,2,FALSE)*VLOOKUP(Sheet1!$A74,Sheet2!$B$5:$H$29,3,FALSE),0)</x:f>
        <x:v>156</x:v>
      </x:c>
      <x:c r="E74">
        <x:f>ROUND($C74*10*VLOOKUP($B74,Sheet2!$J$5:$K$7,2,FALSE)*VLOOKUP(Sheet1!$A74,Sheet2!$B$5:$H$29,4,FALSE),0)</x:f>
        <x:v>0</x:v>
      </x:c>
      <x:c r="F74">
        <x:f>ROUND($C74*10*VLOOKUP($B74,Sheet2!$J$5:$K$7,2,FALSE)*VLOOKUP(Sheet1!$A74,Sheet2!$B$5:$H$29,5,FALSE),0)</x:f>
        <x:v>0</x:v>
      </x:c>
      <x:c r="G74">
        <x:f>ROUND($C74*10*VLOOKUP($B74,Sheet2!$J$5:$K$7,2,FALSE)*VLOOKUP(Sheet1!$A74,Sheet2!$B$5:$H$29,6,FALSE),0)</x:f>
        <x:v>0</x:v>
      </x:c>
      <x:c r="H74">
        <x:f>ROUND($C74*10*VLOOKUP($B74,Sheet2!$J$5:$K$7,2,FALSE)*VLOOKUP(Sheet1!$A74,Sheet2!$B$5:$H$29,7,FALSE),0)</x:f>
        <x:v>0</x:v>
      </x:c>
      <x:c r="I74">
        <x:f t="shared" si="1"/>
        <x:v>3740</x:v>
      </x:c>
    </x:row>
    <x:row r="75" spans="1:9" x14ac:dyDescent="0.15">
      <x:c r="A75">
        <x:v>54001</x:v>
      </x:c>
      <x:c r="B75">
        <x:v>2</x:v>
      </x:c>
      <x:c r="C75">
        <x:v>14</x:v>
      </x:c>
      <x:c r="D75">
        <x:f>ROUND($C75*10*VLOOKUP($B75,Sheet2!$J$5:$K$7,2,FALSE)*VLOOKUP(Sheet1!$A75,Sheet2!$B$5:$H$29,3,FALSE),0)</x:f>
        <x:v>168</x:v>
      </x:c>
      <x:c r="E75">
        <x:f>ROUND($C75*10*VLOOKUP($B75,Sheet2!$J$5:$K$7,2,FALSE)*VLOOKUP(Sheet1!$A75,Sheet2!$B$5:$H$29,4,FALSE),0)</x:f>
        <x:v>0</x:v>
      </x:c>
      <x:c r="F75">
        <x:f>ROUND($C75*10*VLOOKUP($B75,Sheet2!$J$5:$K$7,2,FALSE)*VLOOKUP(Sheet1!$A75,Sheet2!$B$5:$H$29,5,FALSE),0)</x:f>
        <x:v>0</x:v>
      </x:c>
      <x:c r="G75">
        <x:f>ROUND($C75*10*VLOOKUP($B75,Sheet2!$J$5:$K$7,2,FALSE)*VLOOKUP(Sheet1!$A75,Sheet2!$B$5:$H$29,6,FALSE),0)</x:f>
        <x:v>0</x:v>
      </x:c>
      <x:c r="H75">
        <x:f>ROUND($C75*10*VLOOKUP($B75,Sheet2!$J$5:$K$7,2,FALSE)*VLOOKUP(Sheet1!$A75,Sheet2!$B$5:$H$29,7,FALSE),0)</x:f>
        <x:v>0</x:v>
      </x:c>
      <x:c r="I75">
        <x:f t="shared" si="1"/>
        <x:v>4310</x:v>
      </x:c>
    </x:row>
    <x:row r="76" spans="1:9" x14ac:dyDescent="0.15">
      <x:c r="A76">
        <x:v>54001</x:v>
      </x:c>
      <x:c r="B76">
        <x:v>2</x:v>
      </x:c>
      <x:c r="C76">
        <x:v>15</x:v>
      </x:c>
      <x:c r="D76">
        <x:f>ROUND($C76*10*VLOOKUP($B76,Sheet2!$J$5:$K$7,2,FALSE)*VLOOKUP(Sheet1!$A76,Sheet2!$B$5:$H$29,3,FALSE),0)</x:f>
        <x:v>180</x:v>
      </x:c>
      <x:c r="E76">
        <x:f>ROUND($C76*10*VLOOKUP($B76,Sheet2!$J$5:$K$7,2,FALSE)*VLOOKUP(Sheet1!$A76,Sheet2!$B$5:$H$29,4,FALSE),0)</x:f>
        <x:v>0</x:v>
      </x:c>
      <x:c r="F76">
        <x:f>ROUND($C76*10*VLOOKUP($B76,Sheet2!$J$5:$K$7,2,FALSE)*VLOOKUP(Sheet1!$A76,Sheet2!$B$5:$H$29,5,FALSE),0)</x:f>
        <x:v>0</x:v>
      </x:c>
      <x:c r="G76">
        <x:f>ROUND($C76*10*VLOOKUP($B76,Sheet2!$J$5:$K$7,2,FALSE)*VLOOKUP(Sheet1!$A76,Sheet2!$B$5:$H$29,6,FALSE),0)</x:f>
        <x:v>0</x:v>
      </x:c>
      <x:c r="H76">
        <x:f>ROUND($C76*10*VLOOKUP($B76,Sheet2!$J$5:$K$7,2,FALSE)*VLOOKUP(Sheet1!$A76,Sheet2!$B$5:$H$29,7,FALSE),0)</x:f>
        <x:v>0</x:v>
      </x:c>
      <x:c r="I76">
        <x:f t="shared" si="1"/>
        <x:v>4920</x:v>
      </x:c>
    </x:row>
    <x:row r="77" spans="1:9" x14ac:dyDescent="0.15">
      <x:c r="A77">
        <x:v>54001</x:v>
      </x:c>
      <x:c r="B77">
        <x:v>2</x:v>
      </x:c>
      <x:c r="C77">
        <x:v>16</x:v>
      </x:c>
      <x:c r="D77">
        <x:f>ROUND($C77*10*VLOOKUP($B77,Sheet2!$J$5:$K$7,2,FALSE)*VLOOKUP(Sheet1!$A77,Sheet2!$B$5:$H$29,3,FALSE),0)</x:f>
        <x:v>192</x:v>
      </x:c>
      <x:c r="E77">
        <x:f>ROUND($C77*10*VLOOKUP($B77,Sheet2!$J$5:$K$7,2,FALSE)*VLOOKUP(Sheet1!$A77,Sheet2!$B$5:$H$29,4,FALSE),0)</x:f>
        <x:v>0</x:v>
      </x:c>
      <x:c r="F77">
        <x:f>ROUND($C77*10*VLOOKUP($B77,Sheet2!$J$5:$K$7,2,FALSE)*VLOOKUP(Sheet1!$A77,Sheet2!$B$5:$H$29,5,FALSE),0)</x:f>
        <x:v>0</x:v>
      </x:c>
      <x:c r="G77">
        <x:f>ROUND($C77*10*VLOOKUP($B77,Sheet2!$J$5:$K$7,2,FALSE)*VLOOKUP(Sheet1!$A77,Sheet2!$B$5:$H$29,6,FALSE),0)</x:f>
        <x:v>0</x:v>
      </x:c>
      <x:c r="H77">
        <x:f>ROUND($C77*10*VLOOKUP($B77,Sheet2!$J$5:$K$7,2,FALSE)*VLOOKUP(Sheet1!$A77,Sheet2!$B$5:$H$29,7,FALSE),0)</x:f>
        <x:v>0</x:v>
      </x:c>
      <x:c r="I77">
        <x:f t="shared" si="1"/>
        <x:v>5560</x:v>
      </x:c>
    </x:row>
    <x:row r="78" spans="1:9" x14ac:dyDescent="0.15">
      <x:c r="A78">
        <x:v>54001</x:v>
      </x:c>
      <x:c r="B78">
        <x:v>2</x:v>
      </x:c>
      <x:c r="C78">
        <x:v>17</x:v>
      </x:c>
      <x:c r="D78">
        <x:f>ROUND($C78*10*VLOOKUP($B78,Sheet2!$J$5:$K$7,2,FALSE)*VLOOKUP(Sheet1!$A78,Sheet2!$B$5:$H$29,3,FALSE),0)</x:f>
        <x:v>204</x:v>
      </x:c>
      <x:c r="E78">
        <x:f>ROUND($C78*10*VLOOKUP($B78,Sheet2!$J$5:$K$7,2,FALSE)*VLOOKUP(Sheet1!$A78,Sheet2!$B$5:$H$29,4,FALSE),0)</x:f>
        <x:v>0</x:v>
      </x:c>
      <x:c r="F78">
        <x:f>ROUND($C78*10*VLOOKUP($B78,Sheet2!$J$5:$K$7,2,FALSE)*VLOOKUP(Sheet1!$A78,Sheet2!$B$5:$H$29,5,FALSE),0)</x:f>
        <x:v>0</x:v>
      </x:c>
      <x:c r="G78">
        <x:f>ROUND($C78*10*VLOOKUP($B78,Sheet2!$J$5:$K$7,2,FALSE)*VLOOKUP(Sheet1!$A78,Sheet2!$B$5:$H$29,6,FALSE),0)</x:f>
        <x:v>0</x:v>
      </x:c>
      <x:c r="H78">
        <x:f>ROUND($C78*10*VLOOKUP($B78,Sheet2!$J$5:$K$7,2,FALSE)*VLOOKUP(Sheet1!$A78,Sheet2!$B$5:$H$29,7,FALSE),0)</x:f>
        <x:v>0</x:v>
      </x:c>
      <x:c r="I78">
        <x:f t="shared" si="1"/>
        <x:v>6240</x:v>
      </x:c>
    </x:row>
    <x:row r="79" spans="1:9" x14ac:dyDescent="0.15">
      <x:c r="A79">
        <x:v>54001</x:v>
      </x:c>
      <x:c r="B79">
        <x:v>2</x:v>
      </x:c>
      <x:c r="C79">
        <x:v>18</x:v>
      </x:c>
      <x:c r="D79">
        <x:f>ROUND($C79*10*VLOOKUP($B79,Sheet2!$J$5:$K$7,2,FALSE)*VLOOKUP(Sheet1!$A79,Sheet2!$B$5:$H$29,3,FALSE),0)</x:f>
        <x:v>216</x:v>
      </x:c>
      <x:c r="E79">
        <x:f>ROUND($C79*10*VLOOKUP($B79,Sheet2!$J$5:$K$7,2,FALSE)*VLOOKUP(Sheet1!$A79,Sheet2!$B$5:$H$29,4,FALSE),0)</x:f>
        <x:v>0</x:v>
      </x:c>
      <x:c r="F79">
        <x:f>ROUND($C79*10*VLOOKUP($B79,Sheet2!$J$5:$K$7,2,FALSE)*VLOOKUP(Sheet1!$A79,Sheet2!$B$5:$H$29,5,FALSE),0)</x:f>
        <x:v>0</x:v>
      </x:c>
      <x:c r="G79">
        <x:f>ROUND($C79*10*VLOOKUP($B79,Sheet2!$J$5:$K$7,2,FALSE)*VLOOKUP(Sheet1!$A79,Sheet2!$B$5:$H$29,6,FALSE),0)</x:f>
        <x:v>0</x:v>
      </x:c>
      <x:c r="H79">
        <x:f>ROUND($C79*10*VLOOKUP($B79,Sheet2!$J$5:$K$7,2,FALSE)*VLOOKUP(Sheet1!$A79,Sheet2!$B$5:$H$29,7,FALSE),0)</x:f>
        <x:v>0</x:v>
      </x:c>
      <x:c r="I79">
        <x:f t="shared" si="1"/>
        <x:v>6950</x:v>
      </x:c>
    </x:row>
    <x:row r="80" spans="1:9" x14ac:dyDescent="0.15">
      <x:c r="A80">
        <x:v>54001</x:v>
      </x:c>
      <x:c r="B80">
        <x:v>2</x:v>
      </x:c>
      <x:c r="C80">
        <x:v>19</x:v>
      </x:c>
      <x:c r="D80">
        <x:f>ROUND($C80*10*VLOOKUP($B80,Sheet2!$J$5:$K$7,2,FALSE)*VLOOKUP(Sheet1!$A80,Sheet2!$B$5:$H$29,3,FALSE),0)</x:f>
        <x:v>228</x:v>
      </x:c>
      <x:c r="E80">
        <x:f>ROUND($C80*10*VLOOKUP($B80,Sheet2!$J$5:$K$7,2,FALSE)*VLOOKUP(Sheet1!$A80,Sheet2!$B$5:$H$29,4,FALSE),0)</x:f>
        <x:v>0</x:v>
      </x:c>
      <x:c r="F80">
        <x:f>ROUND($C80*10*VLOOKUP($B80,Sheet2!$J$5:$K$7,2,FALSE)*VLOOKUP(Sheet1!$A80,Sheet2!$B$5:$H$29,5,FALSE),0)</x:f>
        <x:v>0</x:v>
      </x:c>
      <x:c r="G80">
        <x:f>ROUND($C80*10*VLOOKUP($B80,Sheet2!$J$5:$K$7,2,FALSE)*VLOOKUP(Sheet1!$A80,Sheet2!$B$5:$H$29,6,FALSE),0)</x:f>
        <x:v>0</x:v>
      </x:c>
      <x:c r="H80">
        <x:f>ROUND($C80*10*VLOOKUP($B80,Sheet2!$J$5:$K$7,2,FALSE)*VLOOKUP(Sheet1!$A80,Sheet2!$B$5:$H$29,7,FALSE),0)</x:f>
        <x:v>0</x:v>
      </x:c>
      <x:c r="I80">
        <x:f t="shared" si="1"/>
        <x:v>7690</x:v>
      </x:c>
    </x:row>
    <x:row r="81" spans="1:9" x14ac:dyDescent="0.15">
      <x:c r="A81">
        <x:v>54001</x:v>
      </x:c>
      <x:c r="B81">
        <x:v>2</x:v>
      </x:c>
      <x:c r="C81">
        <x:v>20</x:v>
      </x:c>
      <x:c r="D81">
        <x:f>ROUND($C81*10*VLOOKUP($B81,Sheet2!$J$5:$K$7,2,FALSE)*VLOOKUP(Sheet1!$A81,Sheet2!$B$5:$H$29,3,FALSE),0)</x:f>
        <x:v>240</x:v>
      </x:c>
      <x:c r="E81">
        <x:f>ROUND($C81*10*VLOOKUP($B81,Sheet2!$J$5:$K$7,2,FALSE)*VLOOKUP(Sheet1!$A81,Sheet2!$B$5:$H$29,4,FALSE),0)</x:f>
        <x:v>0</x:v>
      </x:c>
      <x:c r="F81">
        <x:f>ROUND($C81*10*VLOOKUP($B81,Sheet2!$J$5:$K$7,2,FALSE)*VLOOKUP(Sheet1!$A81,Sheet2!$B$5:$H$29,5,FALSE),0)</x:f>
        <x:v>0</x:v>
      </x:c>
      <x:c r="G81">
        <x:f>ROUND($C81*10*VLOOKUP($B81,Sheet2!$J$5:$K$7,2,FALSE)*VLOOKUP(Sheet1!$A81,Sheet2!$B$5:$H$29,6,FALSE),0)</x:f>
        <x:v>0</x:v>
      </x:c>
      <x:c r="H81">
        <x:f>ROUND($C81*10*VLOOKUP($B81,Sheet2!$J$5:$K$7,2,FALSE)*VLOOKUP(Sheet1!$A81,Sheet2!$B$5:$H$29,7,FALSE),0)</x:f>
        <x:v>0</x:v>
      </x:c>
      <x:c r="I81">
        <x:f t="shared" si="1"/>
        <x:v>8470</x:v>
      </x:c>
    </x:row>
    <x:row r="82" spans="1:9" x14ac:dyDescent="0.15">
      <x:c r="A82">
        <x:v>54001</x:v>
      </x:c>
      <x:c r="B82">
        <x:v>2</x:v>
      </x:c>
      <x:c r="C82">
        <x:v>21</x:v>
      </x:c>
      <x:c r="D82">
        <x:f>ROUND($C82*10*VLOOKUP($B82,Sheet2!$J$5:$K$7,2,FALSE)*VLOOKUP(Sheet1!$A82,Sheet2!$B$5:$H$29,3,FALSE),0)</x:f>
        <x:v>252</x:v>
      </x:c>
      <x:c r="E82">
        <x:f>ROUND($C82*10*VLOOKUP($B82,Sheet2!$J$5:$K$7,2,FALSE)*VLOOKUP(Sheet1!$A82,Sheet2!$B$5:$H$29,4,FALSE),0)</x:f>
        <x:v>0</x:v>
      </x:c>
      <x:c r="F82">
        <x:f>ROUND($C82*10*VLOOKUP($B82,Sheet2!$J$5:$K$7,2,FALSE)*VLOOKUP(Sheet1!$A82,Sheet2!$B$5:$H$29,5,FALSE),0)</x:f>
        <x:v>0</x:v>
      </x:c>
      <x:c r="G82">
        <x:f>ROUND($C82*10*VLOOKUP($B82,Sheet2!$J$5:$K$7,2,FALSE)*VLOOKUP(Sheet1!$A82,Sheet2!$B$5:$H$29,6,FALSE),0)</x:f>
        <x:v>0</x:v>
      </x:c>
      <x:c r="H82">
        <x:f>ROUND($C82*10*VLOOKUP($B82,Sheet2!$J$5:$K$7,2,FALSE)*VLOOKUP(Sheet1!$A82,Sheet2!$B$5:$H$29,7,FALSE),0)</x:f>
        <x:v>0</x:v>
      </x:c>
      <x:c r="I82">
        <x:f t="shared" si="1"/>
        <x:v>9290</x:v>
      </x:c>
    </x:row>
    <x:row r="83" spans="1:9" x14ac:dyDescent="0.15">
      <x:c r="A83">
        <x:v>54001</x:v>
      </x:c>
      <x:c r="B83">
        <x:v>2</x:v>
      </x:c>
      <x:c r="C83">
        <x:v>22</x:v>
      </x:c>
      <x:c r="D83">
        <x:f>ROUND($C83*10*VLOOKUP($B83,Sheet2!$J$5:$K$7,2,FALSE)*VLOOKUP(Sheet1!$A83,Sheet2!$B$5:$H$29,3,FALSE),0)</x:f>
        <x:v>264</x:v>
      </x:c>
      <x:c r="E83">
        <x:f>ROUND($C83*10*VLOOKUP($B83,Sheet2!$J$5:$K$7,2,FALSE)*VLOOKUP(Sheet1!$A83,Sheet2!$B$5:$H$29,4,FALSE),0)</x:f>
        <x:v>0</x:v>
      </x:c>
      <x:c r="F83">
        <x:f>ROUND($C83*10*VLOOKUP($B83,Sheet2!$J$5:$K$7,2,FALSE)*VLOOKUP(Sheet1!$A83,Sheet2!$B$5:$H$29,5,FALSE),0)</x:f>
        <x:v>0</x:v>
      </x:c>
      <x:c r="G83">
        <x:f>ROUND($C83*10*VLOOKUP($B83,Sheet2!$J$5:$K$7,2,FALSE)*VLOOKUP(Sheet1!$A83,Sheet2!$B$5:$H$29,6,FALSE),0)</x:f>
        <x:v>0</x:v>
      </x:c>
      <x:c r="H83">
        <x:f>ROUND($C83*10*VLOOKUP($B83,Sheet2!$J$5:$K$7,2,FALSE)*VLOOKUP(Sheet1!$A83,Sheet2!$B$5:$H$29,7,FALSE),0)</x:f>
        <x:v>0</x:v>
      </x:c>
      <x:c r="I83">
        <x:f t="shared" si="1"/>
        <x:v>10130</x:v>
      </x:c>
    </x:row>
    <x:row r="84" spans="1:9" x14ac:dyDescent="0.15">
      <x:c r="A84">
        <x:v>54001</x:v>
      </x:c>
      <x:c r="B84">
        <x:v>2</x:v>
      </x:c>
      <x:c r="C84">
        <x:v>23</x:v>
      </x:c>
      <x:c r="D84">
        <x:f>ROUND($C84*10*VLOOKUP($B84,Sheet2!$J$5:$K$7,2,FALSE)*VLOOKUP(Sheet1!$A84,Sheet2!$B$5:$H$29,3,FALSE),0)</x:f>
        <x:v>276</x:v>
      </x:c>
      <x:c r="E84">
        <x:f>ROUND($C84*10*VLOOKUP($B84,Sheet2!$J$5:$K$7,2,FALSE)*VLOOKUP(Sheet1!$A84,Sheet2!$B$5:$H$29,4,FALSE),0)</x:f>
        <x:v>0</x:v>
      </x:c>
      <x:c r="F84">
        <x:f>ROUND($C84*10*VLOOKUP($B84,Sheet2!$J$5:$K$7,2,FALSE)*VLOOKUP(Sheet1!$A84,Sheet2!$B$5:$H$29,5,FALSE),0)</x:f>
        <x:v>0</x:v>
      </x:c>
      <x:c r="G84">
        <x:f>ROUND($C84*10*VLOOKUP($B84,Sheet2!$J$5:$K$7,2,FALSE)*VLOOKUP(Sheet1!$A84,Sheet2!$B$5:$H$29,6,FALSE),0)</x:f>
        <x:v>0</x:v>
      </x:c>
      <x:c r="H84">
        <x:f>ROUND($C84*10*VLOOKUP($B84,Sheet2!$J$5:$K$7,2,FALSE)*VLOOKUP(Sheet1!$A84,Sheet2!$B$5:$H$29,7,FALSE),0)</x:f>
        <x:v>0</x:v>
      </x:c>
      <x:c r="I84">
        <x:f t="shared" si="1"/>
        <x:v>11010</x:v>
      </x:c>
    </x:row>
    <x:row r="85" spans="1:9" x14ac:dyDescent="0.15">
      <x:c r="A85">
        <x:v>54001</x:v>
      </x:c>
      <x:c r="B85">
        <x:v>2</x:v>
      </x:c>
      <x:c r="C85">
        <x:v>24</x:v>
      </x:c>
      <x:c r="D85">
        <x:f>ROUND($C85*10*VLOOKUP($B85,Sheet2!$J$5:$K$7,2,FALSE)*VLOOKUP(Sheet1!$A85,Sheet2!$B$5:$H$29,3,FALSE),0)</x:f>
        <x:v>288</x:v>
      </x:c>
      <x:c r="E85">
        <x:f>ROUND($C85*10*VLOOKUP($B85,Sheet2!$J$5:$K$7,2,FALSE)*VLOOKUP(Sheet1!$A85,Sheet2!$B$5:$H$29,4,FALSE),0)</x:f>
        <x:v>0</x:v>
      </x:c>
      <x:c r="F85">
        <x:f>ROUND($C85*10*VLOOKUP($B85,Sheet2!$J$5:$K$7,2,FALSE)*VLOOKUP(Sheet1!$A85,Sheet2!$B$5:$H$29,5,FALSE),0)</x:f>
        <x:v>0</x:v>
      </x:c>
      <x:c r="G85">
        <x:f>ROUND($C85*10*VLOOKUP($B85,Sheet2!$J$5:$K$7,2,FALSE)*VLOOKUP(Sheet1!$A85,Sheet2!$B$5:$H$29,6,FALSE),0)</x:f>
        <x:v>0</x:v>
      </x:c>
      <x:c r="H85">
        <x:f>ROUND($C85*10*VLOOKUP($B85,Sheet2!$J$5:$K$7,2,FALSE)*VLOOKUP(Sheet1!$A85,Sheet2!$B$5:$H$29,7,FALSE),0)</x:f>
        <x:v>0</x:v>
      </x:c>
      <x:c r="I85">
        <x:f t="shared" si="1"/>
        <x:v>11930</x:v>
      </x:c>
    </x:row>
    <x:row r="86" spans="1:9" x14ac:dyDescent="0.15">
      <x:c r="A86">
        <x:v>54001</x:v>
      </x:c>
      <x:c r="B86">
        <x:v>2</x:v>
      </x:c>
      <x:c r="C86">
        <x:v>25</x:v>
      </x:c>
      <x:c r="D86">
        <x:f>ROUND($C86*10*VLOOKUP($B86,Sheet2!$J$5:$K$7,2,FALSE)*VLOOKUP(Sheet1!$A86,Sheet2!$B$5:$H$29,3,FALSE),0)</x:f>
        <x:v>300</x:v>
      </x:c>
      <x:c r="E86">
        <x:f>ROUND($C86*10*VLOOKUP($B86,Sheet2!$J$5:$K$7,2,FALSE)*VLOOKUP(Sheet1!$A86,Sheet2!$B$5:$H$29,4,FALSE),0)</x:f>
        <x:v>0</x:v>
      </x:c>
      <x:c r="F86">
        <x:f>ROUND($C86*10*VLOOKUP($B86,Sheet2!$J$5:$K$7,2,FALSE)*VLOOKUP(Sheet1!$A86,Sheet2!$B$5:$H$29,5,FALSE),0)</x:f>
        <x:v>0</x:v>
      </x:c>
      <x:c r="G86">
        <x:f>ROUND($C86*10*VLOOKUP($B86,Sheet2!$J$5:$K$7,2,FALSE)*VLOOKUP(Sheet1!$A86,Sheet2!$B$5:$H$29,6,FALSE),0)</x:f>
        <x:v>0</x:v>
      </x:c>
      <x:c r="H86">
        <x:f>ROUND($C86*10*VLOOKUP($B86,Sheet2!$J$5:$K$7,2,FALSE)*VLOOKUP(Sheet1!$A86,Sheet2!$B$5:$H$29,7,FALSE),0)</x:f>
        <x:v>0</x:v>
      </x:c>
      <x:c r="I86">
        <x:f t="shared" si="1"/>
        <x:v>12870</x:v>
      </x:c>
    </x:row>
    <x:row r="87" spans="1:9" x14ac:dyDescent="0.15">
      <x:c r="A87">
        <x:v>54001</x:v>
      </x:c>
      <x:c r="B87">
        <x:v>2</x:v>
      </x:c>
      <x:c r="C87">
        <x:v>26</x:v>
      </x:c>
      <x:c r="D87">
        <x:f>ROUND($C87*10*VLOOKUP($B87,Sheet2!$J$5:$K$7,2,FALSE)*VLOOKUP(Sheet1!$A87,Sheet2!$B$5:$H$29,3,FALSE),0)</x:f>
        <x:v>312</x:v>
      </x:c>
      <x:c r="E87">
        <x:f>ROUND($C87*10*VLOOKUP($B87,Sheet2!$J$5:$K$7,2,FALSE)*VLOOKUP(Sheet1!$A87,Sheet2!$B$5:$H$29,4,FALSE),0)</x:f>
        <x:v>0</x:v>
      </x:c>
      <x:c r="F87">
        <x:f>ROUND($C87*10*VLOOKUP($B87,Sheet2!$J$5:$K$7,2,FALSE)*VLOOKUP(Sheet1!$A87,Sheet2!$B$5:$H$29,5,FALSE),0)</x:f>
        <x:v>0</x:v>
      </x:c>
      <x:c r="G87">
        <x:f>ROUND($C87*10*VLOOKUP($B87,Sheet2!$J$5:$K$7,2,FALSE)*VLOOKUP(Sheet1!$A87,Sheet2!$B$5:$H$29,6,FALSE),0)</x:f>
        <x:v>0</x:v>
      </x:c>
      <x:c r="H87">
        <x:f>ROUND($C87*10*VLOOKUP($B87,Sheet2!$J$5:$K$7,2,FALSE)*VLOOKUP(Sheet1!$A87,Sheet2!$B$5:$H$29,7,FALSE),0)</x:f>
        <x:v>0</x:v>
      </x:c>
      <x:c r="I87">
        <x:f t="shared" si="1"/>
        <x:v>13850</x:v>
      </x:c>
    </x:row>
    <x:row r="88" spans="1:9" x14ac:dyDescent="0.15">
      <x:c r="A88">
        <x:v>54001</x:v>
      </x:c>
      <x:c r="B88">
        <x:v>2</x:v>
      </x:c>
      <x:c r="C88">
        <x:v>27</x:v>
      </x:c>
      <x:c r="D88">
        <x:f>ROUND($C88*10*VLOOKUP($B88,Sheet2!$J$5:$K$7,2,FALSE)*VLOOKUP(Sheet1!$A88,Sheet2!$B$5:$H$29,3,FALSE),0)</x:f>
        <x:v>324</x:v>
      </x:c>
      <x:c r="E88">
        <x:f>ROUND($C88*10*VLOOKUP($B88,Sheet2!$J$5:$K$7,2,FALSE)*VLOOKUP(Sheet1!$A88,Sheet2!$B$5:$H$29,4,FALSE),0)</x:f>
        <x:v>0</x:v>
      </x:c>
      <x:c r="F88">
        <x:f>ROUND($C88*10*VLOOKUP($B88,Sheet2!$J$5:$K$7,2,FALSE)*VLOOKUP(Sheet1!$A88,Sheet2!$B$5:$H$29,5,FALSE),0)</x:f>
        <x:v>0</x:v>
      </x:c>
      <x:c r="G88">
        <x:f>ROUND($C88*10*VLOOKUP($B88,Sheet2!$J$5:$K$7,2,FALSE)*VLOOKUP(Sheet1!$A88,Sheet2!$B$5:$H$29,6,FALSE),0)</x:f>
        <x:v>0</x:v>
      </x:c>
      <x:c r="H88">
        <x:f>ROUND($C88*10*VLOOKUP($B88,Sheet2!$J$5:$K$7,2,FALSE)*VLOOKUP(Sheet1!$A88,Sheet2!$B$5:$H$29,7,FALSE),0)</x:f>
        <x:v>0</x:v>
      </x:c>
      <x:c r="I88">
        <x:f t="shared" si="1"/>
        <x:v>14860</x:v>
      </x:c>
    </x:row>
    <x:row r="89" spans="1:9" x14ac:dyDescent="0.15">
      <x:c r="A89">
        <x:v>54001</x:v>
      </x:c>
      <x:c r="B89">
        <x:v>2</x:v>
      </x:c>
      <x:c r="C89">
        <x:v>28</x:v>
      </x:c>
      <x:c r="D89">
        <x:f>ROUND($C89*10*VLOOKUP($B89,Sheet2!$J$5:$K$7,2,FALSE)*VLOOKUP(Sheet1!$A89,Sheet2!$B$5:$H$29,3,FALSE),0)</x:f>
        <x:v>336</x:v>
      </x:c>
      <x:c r="E89">
        <x:f>ROUND($C89*10*VLOOKUP($B89,Sheet2!$J$5:$K$7,2,FALSE)*VLOOKUP(Sheet1!$A89,Sheet2!$B$5:$H$29,4,FALSE),0)</x:f>
        <x:v>0</x:v>
      </x:c>
      <x:c r="F89">
        <x:f>ROUND($C89*10*VLOOKUP($B89,Sheet2!$J$5:$K$7,2,FALSE)*VLOOKUP(Sheet1!$A89,Sheet2!$B$5:$H$29,5,FALSE),0)</x:f>
        <x:v>0</x:v>
      </x:c>
      <x:c r="G89">
        <x:f>ROUND($C89*10*VLOOKUP($B89,Sheet2!$J$5:$K$7,2,FALSE)*VLOOKUP(Sheet1!$A89,Sheet2!$B$5:$H$29,6,FALSE),0)</x:f>
        <x:v>0</x:v>
      </x:c>
      <x:c r="H89">
        <x:f>ROUND($C89*10*VLOOKUP($B89,Sheet2!$J$5:$K$7,2,FALSE)*VLOOKUP(Sheet1!$A89,Sheet2!$B$5:$H$29,7,FALSE),0)</x:f>
        <x:v>0</x:v>
      </x:c>
      <x:c r="I89">
        <x:f t="shared" si="1"/>
        <x:v>15900</x:v>
      </x:c>
    </x:row>
    <x:row r="90" spans="1:9" x14ac:dyDescent="0.15">
      <x:c r="A90">
        <x:v>54001</x:v>
      </x:c>
      <x:c r="B90">
        <x:v>2</x:v>
      </x:c>
      <x:c r="C90">
        <x:v>29</x:v>
      </x:c>
      <x:c r="D90">
        <x:f>ROUND($C90*10*VLOOKUP($B90,Sheet2!$J$5:$K$7,2,FALSE)*VLOOKUP(Sheet1!$A90,Sheet2!$B$5:$H$29,3,FALSE),0)</x:f>
        <x:v>348</x:v>
      </x:c>
      <x:c r="E90">
        <x:f>ROUND($C90*10*VLOOKUP($B90,Sheet2!$J$5:$K$7,2,FALSE)*VLOOKUP(Sheet1!$A90,Sheet2!$B$5:$H$29,4,FALSE),0)</x:f>
        <x:v>0</x:v>
      </x:c>
      <x:c r="F90">
        <x:f>ROUND($C90*10*VLOOKUP($B90,Sheet2!$J$5:$K$7,2,FALSE)*VLOOKUP(Sheet1!$A90,Sheet2!$B$5:$H$29,5,FALSE),0)</x:f>
        <x:v>0</x:v>
      </x:c>
      <x:c r="G90">
        <x:f>ROUND($C90*10*VLOOKUP($B90,Sheet2!$J$5:$K$7,2,FALSE)*VLOOKUP(Sheet1!$A90,Sheet2!$B$5:$H$29,6,FALSE),0)</x:f>
        <x:v>0</x:v>
      </x:c>
      <x:c r="H90">
        <x:f>ROUND($C90*10*VLOOKUP($B90,Sheet2!$J$5:$K$7,2,FALSE)*VLOOKUP(Sheet1!$A90,Sheet2!$B$5:$H$29,7,FALSE),0)</x:f>
        <x:v>0</x:v>
      </x:c>
      <x:c r="I90">
        <x:f t="shared" si="1"/>
        <x:v>16970</x:v>
      </x:c>
    </x:row>
    <x:row r="91" spans="1:9" x14ac:dyDescent="0.15">
      <x:c r="A91">
        <x:v>54001</x:v>
      </x:c>
      <x:c r="B91">
        <x:v>2</x:v>
      </x:c>
      <x:c r="C91">
        <x:v>30</x:v>
      </x:c>
      <x:c r="D91">
        <x:f>ROUND($C91*10*VLOOKUP($B91,Sheet2!$J$5:$K$7,2,FALSE)*VLOOKUP(Sheet1!$A91,Sheet2!$B$5:$H$29,3,FALSE),0)</x:f>
        <x:v>360</x:v>
      </x:c>
      <x:c r="E91">
        <x:f>ROUND($C91*10*VLOOKUP($B91,Sheet2!$J$5:$K$7,2,FALSE)*VLOOKUP(Sheet1!$A91,Sheet2!$B$5:$H$29,4,FALSE),0)</x:f>
        <x:v>0</x:v>
      </x:c>
      <x:c r="F91">
        <x:f>ROUND($C91*10*VLOOKUP($B91,Sheet2!$J$5:$K$7,2,FALSE)*VLOOKUP(Sheet1!$A91,Sheet2!$B$5:$H$29,5,FALSE),0)</x:f>
        <x:v>0</x:v>
      </x:c>
      <x:c r="G91">
        <x:f>ROUND($C91*10*VLOOKUP($B91,Sheet2!$J$5:$K$7,2,FALSE)*VLOOKUP(Sheet1!$A91,Sheet2!$B$5:$H$29,6,FALSE),0)</x:f>
        <x:v>0</x:v>
      </x:c>
      <x:c r="H91">
        <x:f>ROUND($C91*10*VLOOKUP($B91,Sheet2!$J$5:$K$7,2,FALSE)*VLOOKUP(Sheet1!$A91,Sheet2!$B$5:$H$29,7,FALSE),0)</x:f>
        <x:v>0</x:v>
      </x:c>
      <x:c r="I91">
        <x:f t="shared" si="1"/>
        <x:v>18070</x:v>
      </x:c>
    </x:row>
    <x:row r="92" spans="1:9" x14ac:dyDescent="0.15">
      <x:c r="A92">
        <x:v>54001</x:v>
      </x:c>
      <x:c r="B92">
        <x:v>2</x:v>
      </x:c>
      <x:c r="C92">
        <x:v>31</x:v>
      </x:c>
      <x:c r="D92">
        <x:f>ROUND($C92*10*VLOOKUP($B92,Sheet2!$J$5:$K$7,2,FALSE)*VLOOKUP(Sheet1!$A92,Sheet2!$B$5:$H$29,3,FALSE),0)</x:f>
        <x:v>372</x:v>
      </x:c>
      <x:c r="E92">
        <x:f>ROUND($C92*10*VLOOKUP($B92,Sheet2!$J$5:$K$7,2,FALSE)*VLOOKUP(Sheet1!$A92,Sheet2!$B$5:$H$29,4,FALSE),0)</x:f>
        <x:v>0</x:v>
      </x:c>
      <x:c r="F92">
        <x:f>ROUND($C92*10*VLOOKUP($B92,Sheet2!$J$5:$K$7,2,FALSE)*VLOOKUP(Sheet1!$A92,Sheet2!$B$5:$H$29,5,FALSE),0)</x:f>
        <x:v>0</x:v>
      </x:c>
      <x:c r="G92">
        <x:f>ROUND($C92*10*VLOOKUP($B92,Sheet2!$J$5:$K$7,2,FALSE)*VLOOKUP(Sheet1!$A92,Sheet2!$B$5:$H$29,6,FALSE),0)</x:f>
        <x:v>0</x:v>
      </x:c>
      <x:c r="H92">
        <x:f>ROUND($C92*10*VLOOKUP($B92,Sheet2!$J$5:$K$7,2,FALSE)*VLOOKUP(Sheet1!$A92,Sheet2!$B$5:$H$29,7,FALSE),0)</x:f>
        <x:v>0</x:v>
      </x:c>
      <x:c r="I92">
        <x:f t="shared" si="1"/>
        <x:v>19210</x:v>
      </x:c>
    </x:row>
    <x:row r="93" spans="1:9" x14ac:dyDescent="0.15">
      <x:c r="A93">
        <x:v>54001</x:v>
      </x:c>
      <x:c r="B93">
        <x:v>2</x:v>
      </x:c>
      <x:c r="C93">
        <x:v>32</x:v>
      </x:c>
      <x:c r="D93">
        <x:f>ROUND($C93*10*VLOOKUP($B93,Sheet2!$J$5:$K$7,2,FALSE)*VLOOKUP(Sheet1!$A93,Sheet2!$B$5:$H$29,3,FALSE),0)</x:f>
        <x:v>384</x:v>
      </x:c>
      <x:c r="E93">
        <x:f>ROUND($C93*10*VLOOKUP($B93,Sheet2!$J$5:$K$7,2,FALSE)*VLOOKUP(Sheet1!$A93,Sheet2!$B$5:$H$29,4,FALSE),0)</x:f>
        <x:v>0</x:v>
      </x:c>
      <x:c r="F93">
        <x:f>ROUND($C93*10*VLOOKUP($B93,Sheet2!$J$5:$K$7,2,FALSE)*VLOOKUP(Sheet1!$A93,Sheet2!$B$5:$H$29,5,FALSE),0)</x:f>
        <x:v>0</x:v>
      </x:c>
      <x:c r="G93">
        <x:f>ROUND($C93*10*VLOOKUP($B93,Sheet2!$J$5:$K$7,2,FALSE)*VLOOKUP(Sheet1!$A93,Sheet2!$B$5:$H$29,6,FALSE),0)</x:f>
        <x:v>0</x:v>
      </x:c>
      <x:c r="H93">
        <x:f>ROUND($C93*10*VLOOKUP($B93,Sheet2!$J$5:$K$7,2,FALSE)*VLOOKUP(Sheet1!$A93,Sheet2!$B$5:$H$29,7,FALSE),0)</x:f>
        <x:v>0</x:v>
      </x:c>
      <x:c r="I93">
        <x:f t="shared" si="1"/>
        <x:v>20370</x:v>
      </x:c>
    </x:row>
    <x:row r="94" spans="1:9" x14ac:dyDescent="0.15">
      <x:c r="A94">
        <x:v>54001</x:v>
      </x:c>
      <x:c r="B94">
        <x:v>2</x:v>
      </x:c>
      <x:c r="C94">
        <x:v>33</x:v>
      </x:c>
      <x:c r="D94">
        <x:f>ROUND($C94*10*VLOOKUP($B94,Sheet2!$J$5:$K$7,2,FALSE)*VLOOKUP(Sheet1!$A94,Sheet2!$B$5:$H$29,3,FALSE),0)</x:f>
        <x:v>396</x:v>
      </x:c>
      <x:c r="E94">
        <x:f>ROUND($C94*10*VLOOKUP($B94,Sheet2!$J$5:$K$7,2,FALSE)*VLOOKUP(Sheet1!$A94,Sheet2!$B$5:$H$29,4,FALSE),0)</x:f>
        <x:v>0</x:v>
      </x:c>
      <x:c r="F94">
        <x:f>ROUND($C94*10*VLOOKUP($B94,Sheet2!$J$5:$K$7,2,FALSE)*VLOOKUP(Sheet1!$A94,Sheet2!$B$5:$H$29,5,FALSE),0)</x:f>
        <x:v>0</x:v>
      </x:c>
      <x:c r="G94">
        <x:f>ROUND($C94*10*VLOOKUP($B94,Sheet2!$J$5:$K$7,2,FALSE)*VLOOKUP(Sheet1!$A94,Sheet2!$B$5:$H$29,6,FALSE),0)</x:f>
        <x:v>0</x:v>
      </x:c>
      <x:c r="H94">
        <x:f>ROUND($C94*10*VLOOKUP($B94,Sheet2!$J$5:$K$7,2,FALSE)*VLOOKUP(Sheet1!$A94,Sheet2!$B$5:$H$29,7,FALSE),0)</x:f>
        <x:v>0</x:v>
      </x:c>
      <x:c r="I94">
        <x:f t="shared" si="1"/>
        <x:v>21560</x:v>
      </x:c>
    </x:row>
    <x:row r="95" spans="1:9" x14ac:dyDescent="0.15">
      <x:c r="A95">
        <x:v>54001</x:v>
      </x:c>
      <x:c r="B95">
        <x:v>2</x:v>
      </x:c>
      <x:c r="C95">
        <x:v>34</x:v>
      </x:c>
      <x:c r="D95">
        <x:f>ROUND($C95*10*VLOOKUP($B95,Sheet2!$J$5:$K$7,2,FALSE)*VLOOKUP(Sheet1!$A95,Sheet2!$B$5:$H$29,3,FALSE),0)</x:f>
        <x:v>408</x:v>
      </x:c>
      <x:c r="E95">
        <x:f>ROUND($C95*10*VLOOKUP($B95,Sheet2!$J$5:$K$7,2,FALSE)*VLOOKUP(Sheet1!$A95,Sheet2!$B$5:$H$29,4,FALSE),0)</x:f>
        <x:v>0</x:v>
      </x:c>
      <x:c r="F95">
        <x:f>ROUND($C95*10*VLOOKUP($B95,Sheet2!$J$5:$K$7,2,FALSE)*VLOOKUP(Sheet1!$A95,Sheet2!$B$5:$H$29,5,FALSE),0)</x:f>
        <x:v>0</x:v>
      </x:c>
      <x:c r="G95">
        <x:f>ROUND($C95*10*VLOOKUP($B95,Sheet2!$J$5:$K$7,2,FALSE)*VLOOKUP(Sheet1!$A95,Sheet2!$B$5:$H$29,6,FALSE),0)</x:f>
        <x:v>0</x:v>
      </x:c>
      <x:c r="H95">
        <x:f>ROUND($C95*10*VLOOKUP($B95,Sheet2!$J$5:$K$7,2,FALSE)*VLOOKUP(Sheet1!$A95,Sheet2!$B$5:$H$29,7,FALSE),0)</x:f>
        <x:v>0</x:v>
      </x:c>
      <x:c r="I95">
        <x:f t="shared" si="1"/>
        <x:v>22790</x:v>
      </x:c>
    </x:row>
    <x:row r="96" spans="1:9" x14ac:dyDescent="0.15">
      <x:c r="A96">
        <x:v>54001</x:v>
      </x:c>
      <x:c r="B96">
        <x:v>2</x:v>
      </x:c>
      <x:c r="C96">
        <x:v>35</x:v>
      </x:c>
      <x:c r="D96">
        <x:f>ROUND($C96*10*VLOOKUP($B96,Sheet2!$J$5:$K$7,2,FALSE)*VLOOKUP(Sheet1!$A96,Sheet2!$B$5:$H$29,3,FALSE),0)</x:f>
        <x:v>420</x:v>
      </x:c>
      <x:c r="E96">
        <x:f>ROUND($C96*10*VLOOKUP($B96,Sheet2!$J$5:$K$7,2,FALSE)*VLOOKUP(Sheet1!$A96,Sheet2!$B$5:$H$29,4,FALSE),0)</x:f>
        <x:v>0</x:v>
      </x:c>
      <x:c r="F96">
        <x:f>ROUND($C96*10*VLOOKUP($B96,Sheet2!$J$5:$K$7,2,FALSE)*VLOOKUP(Sheet1!$A96,Sheet2!$B$5:$H$29,5,FALSE),0)</x:f>
        <x:v>0</x:v>
      </x:c>
      <x:c r="G96">
        <x:f>ROUND($C96*10*VLOOKUP($B96,Sheet2!$J$5:$K$7,2,FALSE)*VLOOKUP(Sheet1!$A96,Sheet2!$B$5:$H$29,6,FALSE),0)</x:f>
        <x:v>0</x:v>
      </x:c>
      <x:c r="H96">
        <x:f>ROUND($C96*10*VLOOKUP($B96,Sheet2!$J$5:$K$7,2,FALSE)*VLOOKUP(Sheet1!$A96,Sheet2!$B$5:$H$29,7,FALSE),0)</x:f>
        <x:v>0</x:v>
      </x:c>
      <x:c r="I96">
        <x:f t="shared" si="1"/>
        <x:v>24040</x:v>
      </x:c>
    </x:row>
    <x:row r="97" spans="1:9" x14ac:dyDescent="0.15">
      <x:c r="A97">
        <x:v>54001</x:v>
      </x:c>
      <x:c r="B97">
        <x:v>2</x:v>
      </x:c>
      <x:c r="C97">
        <x:v>36</x:v>
      </x:c>
      <x:c r="D97">
        <x:f>ROUND($C97*10*VLOOKUP($B97,Sheet2!$J$5:$K$7,2,FALSE)*VLOOKUP(Sheet1!$A97,Sheet2!$B$5:$H$29,3,FALSE),0)</x:f>
        <x:v>432</x:v>
      </x:c>
      <x:c r="E97">
        <x:f>ROUND($C97*10*VLOOKUP($B97,Sheet2!$J$5:$K$7,2,FALSE)*VLOOKUP(Sheet1!$A97,Sheet2!$B$5:$H$29,4,FALSE),0)</x:f>
        <x:v>0</x:v>
      </x:c>
      <x:c r="F97">
        <x:f>ROUND($C97*10*VLOOKUP($B97,Sheet2!$J$5:$K$7,2,FALSE)*VLOOKUP(Sheet1!$A97,Sheet2!$B$5:$H$29,5,FALSE),0)</x:f>
        <x:v>0</x:v>
      </x:c>
      <x:c r="G97">
        <x:f>ROUND($C97*10*VLOOKUP($B97,Sheet2!$J$5:$K$7,2,FALSE)*VLOOKUP(Sheet1!$A97,Sheet2!$B$5:$H$29,6,FALSE),0)</x:f>
        <x:v>0</x:v>
      </x:c>
      <x:c r="H97">
        <x:f>ROUND($C97*10*VLOOKUP($B97,Sheet2!$J$5:$K$7,2,FALSE)*VLOOKUP(Sheet1!$A97,Sheet2!$B$5:$H$29,7,FALSE),0)</x:f>
        <x:v>0</x:v>
      </x:c>
      <x:c r="I97">
        <x:f t="shared" si="1"/>
        <x:v>25330</x:v>
      </x:c>
    </x:row>
    <x:row r="98" spans="1:9" x14ac:dyDescent="0.15">
      <x:c r="A98">
        <x:v>54001</x:v>
      </x:c>
      <x:c r="B98">
        <x:v>2</x:v>
      </x:c>
      <x:c r="C98">
        <x:v>37</x:v>
      </x:c>
      <x:c r="D98">
        <x:f>ROUND($C98*10*VLOOKUP($B98,Sheet2!$J$5:$K$7,2,FALSE)*VLOOKUP(Sheet1!$A98,Sheet2!$B$5:$H$29,3,FALSE),0)</x:f>
        <x:v>444</x:v>
      </x:c>
      <x:c r="E98">
        <x:f>ROUND($C98*10*VLOOKUP($B98,Sheet2!$J$5:$K$7,2,FALSE)*VLOOKUP(Sheet1!$A98,Sheet2!$B$5:$H$29,4,FALSE),0)</x:f>
        <x:v>0</x:v>
      </x:c>
      <x:c r="F98">
        <x:f>ROUND($C98*10*VLOOKUP($B98,Sheet2!$J$5:$K$7,2,FALSE)*VLOOKUP(Sheet1!$A98,Sheet2!$B$5:$H$29,5,FALSE),0)</x:f>
        <x:v>0</x:v>
      </x:c>
      <x:c r="G98">
        <x:f>ROUND($C98*10*VLOOKUP($B98,Sheet2!$J$5:$K$7,2,FALSE)*VLOOKUP(Sheet1!$A98,Sheet2!$B$5:$H$29,6,FALSE),0)</x:f>
        <x:v>0</x:v>
      </x:c>
      <x:c r="H98">
        <x:f>ROUND($C98*10*VLOOKUP($B98,Sheet2!$J$5:$K$7,2,FALSE)*VLOOKUP(Sheet1!$A98,Sheet2!$B$5:$H$29,7,FALSE),0)</x:f>
        <x:v>0</x:v>
      </x:c>
      <x:c r="I98">
        <x:f t="shared" si="1"/>
        <x:v>26640</x:v>
      </x:c>
    </x:row>
    <x:row r="99" spans="1:9" x14ac:dyDescent="0.15">
      <x:c r="A99">
        <x:v>54001</x:v>
      </x:c>
      <x:c r="B99">
        <x:v>2</x:v>
      </x:c>
      <x:c r="C99">
        <x:v>38</x:v>
      </x:c>
      <x:c r="D99">
        <x:f>ROUND($C99*10*VLOOKUP($B99,Sheet2!$J$5:$K$7,2,FALSE)*VLOOKUP(Sheet1!$A99,Sheet2!$B$5:$H$29,3,FALSE),0)</x:f>
        <x:v>456</x:v>
      </x:c>
      <x:c r="E99">
        <x:f>ROUND($C99*10*VLOOKUP($B99,Sheet2!$J$5:$K$7,2,FALSE)*VLOOKUP(Sheet1!$A99,Sheet2!$B$5:$H$29,4,FALSE),0)</x:f>
        <x:v>0</x:v>
      </x:c>
      <x:c r="F99">
        <x:f>ROUND($C99*10*VLOOKUP($B99,Sheet2!$J$5:$K$7,2,FALSE)*VLOOKUP(Sheet1!$A99,Sheet2!$B$5:$H$29,5,FALSE),0)</x:f>
        <x:v>0</x:v>
      </x:c>
      <x:c r="G99">
        <x:f>ROUND($C99*10*VLOOKUP($B99,Sheet2!$J$5:$K$7,2,FALSE)*VLOOKUP(Sheet1!$A99,Sheet2!$B$5:$H$29,6,FALSE),0)</x:f>
        <x:v>0</x:v>
      </x:c>
      <x:c r="H99">
        <x:f>ROUND($C99*10*VLOOKUP($B99,Sheet2!$J$5:$K$7,2,FALSE)*VLOOKUP(Sheet1!$A99,Sheet2!$B$5:$H$29,7,FALSE),0)</x:f>
        <x:v>0</x:v>
      </x:c>
      <x:c r="I99">
        <x:f t="shared" si="1"/>
        <x:v>27990</x:v>
      </x:c>
    </x:row>
    <x:row r="100" spans="1:9" x14ac:dyDescent="0.15">
      <x:c r="A100">
        <x:v>54001</x:v>
      </x:c>
      <x:c r="B100">
        <x:v>2</x:v>
      </x:c>
      <x:c r="C100">
        <x:v>39</x:v>
      </x:c>
      <x:c r="D100">
        <x:f>ROUND($C100*10*VLOOKUP($B100,Sheet2!$J$5:$K$7,2,FALSE)*VLOOKUP(Sheet1!$A100,Sheet2!$B$5:$H$29,3,FALSE),0)</x:f>
        <x:v>468</x:v>
      </x:c>
      <x:c r="E100">
        <x:f>ROUND($C100*10*VLOOKUP($B100,Sheet2!$J$5:$K$7,2,FALSE)*VLOOKUP(Sheet1!$A100,Sheet2!$B$5:$H$29,4,FALSE),0)</x:f>
        <x:v>0</x:v>
      </x:c>
      <x:c r="F100">
        <x:f>ROUND($C100*10*VLOOKUP($B100,Sheet2!$J$5:$K$7,2,FALSE)*VLOOKUP(Sheet1!$A100,Sheet2!$B$5:$H$29,5,FALSE),0)</x:f>
        <x:v>0</x:v>
      </x:c>
      <x:c r="G100">
        <x:f>ROUND($C100*10*VLOOKUP($B100,Sheet2!$J$5:$K$7,2,FALSE)*VLOOKUP(Sheet1!$A100,Sheet2!$B$5:$H$29,6,FALSE),0)</x:f>
        <x:v>0</x:v>
      </x:c>
      <x:c r="H100">
        <x:f>ROUND($C100*10*VLOOKUP($B100,Sheet2!$J$5:$K$7,2,FALSE)*VLOOKUP(Sheet1!$A100,Sheet2!$B$5:$H$29,7,FALSE),0)</x:f>
        <x:v>0</x:v>
      </x:c>
      <x:c r="I100">
        <x:f t="shared" si="1"/>
        <x:v>29360</x:v>
      </x:c>
    </x:row>
    <x:row r="101" spans="1:9" x14ac:dyDescent="0.15">
      <x:c r="A101">
        <x:v>54001</x:v>
      </x:c>
      <x:c r="B101">
        <x:v>2</x:v>
      </x:c>
      <x:c r="C101">
        <x:v>40</x:v>
      </x:c>
      <x:c r="D101">
        <x:f>ROUND($C101*10*VLOOKUP($B101,Sheet2!$J$5:$K$7,2,FALSE)*VLOOKUP(Sheet1!$A101,Sheet2!$B$5:$H$29,3,FALSE),0)</x:f>
        <x:v>480</x:v>
      </x:c>
      <x:c r="E101">
        <x:f>ROUND($C101*10*VLOOKUP($B101,Sheet2!$J$5:$K$7,2,FALSE)*VLOOKUP(Sheet1!$A101,Sheet2!$B$5:$H$29,4,FALSE),0)</x:f>
        <x:v>0</x:v>
      </x:c>
      <x:c r="F101">
        <x:f>ROUND($C101*10*VLOOKUP($B101,Sheet2!$J$5:$K$7,2,FALSE)*VLOOKUP(Sheet1!$A101,Sheet2!$B$5:$H$29,5,FALSE),0)</x:f>
        <x:v>0</x:v>
      </x:c>
      <x:c r="G101">
        <x:f>ROUND($C101*10*VLOOKUP($B101,Sheet2!$J$5:$K$7,2,FALSE)*VLOOKUP(Sheet1!$A101,Sheet2!$B$5:$H$29,6,FALSE),0)</x:f>
        <x:v>0</x:v>
      </x:c>
      <x:c r="H101">
        <x:f>ROUND($C101*10*VLOOKUP($B101,Sheet2!$J$5:$K$7,2,FALSE)*VLOOKUP(Sheet1!$A101,Sheet2!$B$5:$H$29,7,FALSE),0)</x:f>
        <x:v>0</x:v>
      </x:c>
      <x:c r="I101">
        <x:f t="shared" si="1"/>
        <x:v>30760</x:v>
      </x:c>
    </x:row>
    <x:row r="102" spans="1:9" x14ac:dyDescent="0.15">
      <x:c r="A102">
        <x:v>54001</x:v>
      </x:c>
      <x:c r="B102">
        <x:v>2</x:v>
      </x:c>
      <x:c r="C102">
        <x:v>41</x:v>
      </x:c>
      <x:c r="D102">
        <x:f>ROUND($C102*10*VLOOKUP($B102,Sheet2!$J$5:$K$7,2,FALSE)*VLOOKUP(Sheet1!$A102,Sheet2!$B$5:$H$29,3,FALSE),0)</x:f>
        <x:v>492</x:v>
      </x:c>
      <x:c r="E102">
        <x:f>ROUND($C102*10*VLOOKUP($B102,Sheet2!$J$5:$K$7,2,FALSE)*VLOOKUP(Sheet1!$A102,Sheet2!$B$5:$H$29,4,FALSE),0)</x:f>
        <x:v>0</x:v>
      </x:c>
      <x:c r="F102">
        <x:f>ROUND($C102*10*VLOOKUP($B102,Sheet2!$J$5:$K$7,2,FALSE)*VLOOKUP(Sheet1!$A102,Sheet2!$B$5:$H$29,5,FALSE),0)</x:f>
        <x:v>0</x:v>
      </x:c>
      <x:c r="G102">
        <x:f>ROUND($C102*10*VLOOKUP($B102,Sheet2!$J$5:$K$7,2,FALSE)*VLOOKUP(Sheet1!$A102,Sheet2!$B$5:$H$29,6,FALSE),0)</x:f>
        <x:v>0</x:v>
      </x:c>
      <x:c r="H102">
        <x:f>ROUND($C102*10*VLOOKUP($B102,Sheet2!$J$5:$K$7,2,FALSE)*VLOOKUP(Sheet1!$A102,Sheet2!$B$5:$H$29,7,FALSE),0)</x:f>
        <x:v>0</x:v>
      </x:c>
      <x:c r="I102">
        <x:f t="shared" si="1"/>
        <x:v>32190</x:v>
      </x:c>
    </x:row>
    <x:row r="103" spans="1:9" x14ac:dyDescent="0.15">
      <x:c r="A103">
        <x:v>54001</x:v>
      </x:c>
      <x:c r="B103">
        <x:v>2</x:v>
      </x:c>
      <x:c r="C103">
        <x:v>42</x:v>
      </x:c>
      <x:c r="D103">
        <x:f>ROUND($C103*10*VLOOKUP($B103,Sheet2!$J$5:$K$7,2,FALSE)*VLOOKUP(Sheet1!$A103,Sheet2!$B$5:$H$29,3,FALSE),0)</x:f>
        <x:v>504</x:v>
      </x:c>
      <x:c r="E103">
        <x:f>ROUND($C103*10*VLOOKUP($B103,Sheet2!$J$5:$K$7,2,FALSE)*VLOOKUP(Sheet1!$A103,Sheet2!$B$5:$H$29,4,FALSE),0)</x:f>
        <x:v>0</x:v>
      </x:c>
      <x:c r="F103">
        <x:f>ROUND($C103*10*VLOOKUP($B103,Sheet2!$J$5:$K$7,2,FALSE)*VLOOKUP(Sheet1!$A103,Sheet2!$B$5:$H$29,5,FALSE),0)</x:f>
        <x:v>0</x:v>
      </x:c>
      <x:c r="G103">
        <x:f>ROUND($C103*10*VLOOKUP($B103,Sheet2!$J$5:$K$7,2,FALSE)*VLOOKUP(Sheet1!$A103,Sheet2!$B$5:$H$29,6,FALSE),0)</x:f>
        <x:v>0</x:v>
      </x:c>
      <x:c r="H103">
        <x:f>ROUND($C103*10*VLOOKUP($B103,Sheet2!$J$5:$K$7,2,FALSE)*VLOOKUP(Sheet1!$A103,Sheet2!$B$5:$H$29,7,FALSE),0)</x:f>
        <x:v>0</x:v>
      </x:c>
      <x:c r="I103">
        <x:f t="shared" si="1"/>
        <x:v>33650</x:v>
      </x:c>
    </x:row>
    <x:row r="104" spans="1:9" x14ac:dyDescent="0.15">
      <x:c r="A104">
        <x:v>54001</x:v>
      </x:c>
      <x:c r="B104">
        <x:v>2</x:v>
      </x:c>
      <x:c r="C104">
        <x:v>43</x:v>
      </x:c>
      <x:c r="D104">
        <x:f>ROUND($C104*10*VLOOKUP($B104,Sheet2!$J$5:$K$7,2,FALSE)*VLOOKUP(Sheet1!$A104,Sheet2!$B$5:$H$29,3,FALSE),0)</x:f>
        <x:v>516</x:v>
      </x:c>
      <x:c r="E104">
        <x:f>ROUND($C104*10*VLOOKUP($B104,Sheet2!$J$5:$K$7,2,FALSE)*VLOOKUP(Sheet1!$A104,Sheet2!$B$5:$H$29,4,FALSE),0)</x:f>
        <x:v>0</x:v>
      </x:c>
      <x:c r="F104">
        <x:f>ROUND($C104*10*VLOOKUP($B104,Sheet2!$J$5:$K$7,2,FALSE)*VLOOKUP(Sheet1!$A104,Sheet2!$B$5:$H$29,5,FALSE),0)</x:f>
        <x:v>0</x:v>
      </x:c>
      <x:c r="G104">
        <x:f>ROUND($C104*10*VLOOKUP($B104,Sheet2!$J$5:$K$7,2,FALSE)*VLOOKUP(Sheet1!$A104,Sheet2!$B$5:$H$29,6,FALSE),0)</x:f>
        <x:v>0</x:v>
      </x:c>
      <x:c r="H104">
        <x:f>ROUND($C104*10*VLOOKUP($B104,Sheet2!$J$5:$K$7,2,FALSE)*VLOOKUP(Sheet1!$A104,Sheet2!$B$5:$H$29,7,FALSE),0)</x:f>
        <x:v>0</x:v>
      </x:c>
      <x:c r="I104">
        <x:f t="shared" si="1"/>
        <x:v>35140</x:v>
      </x:c>
    </x:row>
    <x:row r="105" spans="1:9" x14ac:dyDescent="0.15">
      <x:c r="A105">
        <x:v>54001</x:v>
      </x:c>
      <x:c r="B105">
        <x:v>2</x:v>
      </x:c>
      <x:c r="C105">
        <x:v>44</x:v>
      </x:c>
      <x:c r="D105">
        <x:f>ROUND($C105*10*VLOOKUP($B105,Sheet2!$J$5:$K$7,2,FALSE)*VLOOKUP(Sheet1!$A105,Sheet2!$B$5:$H$29,3,FALSE),0)</x:f>
        <x:v>528</x:v>
      </x:c>
      <x:c r="E105">
        <x:f>ROUND($C105*10*VLOOKUP($B105,Sheet2!$J$5:$K$7,2,FALSE)*VLOOKUP(Sheet1!$A105,Sheet2!$B$5:$H$29,4,FALSE),0)</x:f>
        <x:v>0</x:v>
      </x:c>
      <x:c r="F105">
        <x:f>ROUND($C105*10*VLOOKUP($B105,Sheet2!$J$5:$K$7,2,FALSE)*VLOOKUP(Sheet1!$A105,Sheet2!$B$5:$H$29,5,FALSE),0)</x:f>
        <x:v>0</x:v>
      </x:c>
      <x:c r="G105">
        <x:f>ROUND($C105*10*VLOOKUP($B105,Sheet2!$J$5:$K$7,2,FALSE)*VLOOKUP(Sheet1!$A105,Sheet2!$B$5:$H$29,6,FALSE),0)</x:f>
        <x:v>0</x:v>
      </x:c>
      <x:c r="H105">
        <x:f>ROUND($C105*10*VLOOKUP($B105,Sheet2!$J$5:$K$7,2,FALSE)*VLOOKUP(Sheet1!$A105,Sheet2!$B$5:$H$29,7,FALSE),0)</x:f>
        <x:v>0</x:v>
      </x:c>
      <x:c r="I105">
        <x:f t="shared" si="1"/>
        <x:v>36660</x:v>
      </x:c>
    </x:row>
    <x:row r="106" spans="1:9" x14ac:dyDescent="0.15">
      <x:c r="A106">
        <x:v>54001</x:v>
      </x:c>
      <x:c r="B106">
        <x:v>2</x:v>
      </x:c>
      <x:c r="C106">
        <x:v>45</x:v>
      </x:c>
      <x:c r="D106">
        <x:f>ROUND($C106*10*VLOOKUP($B106,Sheet2!$J$5:$K$7,2,FALSE)*VLOOKUP(Sheet1!$A106,Sheet2!$B$5:$H$29,3,FALSE),0)</x:f>
        <x:v>540</x:v>
      </x:c>
      <x:c r="E106">
        <x:f>ROUND($C106*10*VLOOKUP($B106,Sheet2!$J$5:$K$7,2,FALSE)*VLOOKUP(Sheet1!$A106,Sheet2!$B$5:$H$29,4,FALSE),0)</x:f>
        <x:v>0</x:v>
      </x:c>
      <x:c r="F106">
        <x:f>ROUND($C106*10*VLOOKUP($B106,Sheet2!$J$5:$K$7,2,FALSE)*VLOOKUP(Sheet1!$A106,Sheet2!$B$5:$H$29,5,FALSE),0)</x:f>
        <x:v>0</x:v>
      </x:c>
      <x:c r="G106">
        <x:f>ROUND($C106*10*VLOOKUP($B106,Sheet2!$J$5:$K$7,2,FALSE)*VLOOKUP(Sheet1!$A106,Sheet2!$B$5:$H$29,6,FALSE),0)</x:f>
        <x:v>0</x:v>
      </x:c>
      <x:c r="H106">
        <x:f>ROUND($C106*10*VLOOKUP($B106,Sheet2!$J$5:$K$7,2,FALSE)*VLOOKUP(Sheet1!$A106,Sheet2!$B$5:$H$29,7,FALSE),0)</x:f>
        <x:v>0</x:v>
      </x:c>
      <x:c r="I106">
        <x:f t="shared" si="1"/>
        <x:v>38210</x:v>
      </x:c>
    </x:row>
    <x:row r="107" spans="1:9" x14ac:dyDescent="0.15">
      <x:c r="A107">
        <x:v>54001</x:v>
      </x:c>
      <x:c r="B107">
        <x:v>2</x:v>
      </x:c>
      <x:c r="C107">
        <x:v>46</x:v>
      </x:c>
      <x:c r="D107">
        <x:f>ROUND($C107*10*VLOOKUP($B107,Sheet2!$J$5:$K$7,2,FALSE)*VLOOKUP(Sheet1!$A107,Sheet2!$B$5:$H$29,3,FALSE),0)</x:f>
        <x:v>552</x:v>
      </x:c>
      <x:c r="E107">
        <x:f>ROUND($C107*10*VLOOKUP($B107,Sheet2!$J$5:$K$7,2,FALSE)*VLOOKUP(Sheet1!$A107,Sheet2!$B$5:$H$29,4,FALSE),0)</x:f>
        <x:v>0</x:v>
      </x:c>
      <x:c r="F107">
        <x:f>ROUND($C107*10*VLOOKUP($B107,Sheet2!$J$5:$K$7,2,FALSE)*VLOOKUP(Sheet1!$A107,Sheet2!$B$5:$H$29,5,FALSE),0)</x:f>
        <x:v>0</x:v>
      </x:c>
      <x:c r="G107">
        <x:f>ROUND($C107*10*VLOOKUP($B107,Sheet2!$J$5:$K$7,2,FALSE)*VLOOKUP(Sheet1!$A107,Sheet2!$B$5:$H$29,6,FALSE),0)</x:f>
        <x:v>0</x:v>
      </x:c>
      <x:c r="H107">
        <x:f>ROUND($C107*10*VLOOKUP($B107,Sheet2!$J$5:$K$7,2,FALSE)*VLOOKUP(Sheet1!$A107,Sheet2!$B$5:$H$29,7,FALSE),0)</x:f>
        <x:v>0</x:v>
      </x:c>
      <x:c r="I107">
        <x:f t="shared" si="1"/>
        <x:v>39780</x:v>
      </x:c>
    </x:row>
    <x:row r="108" spans="1:9" x14ac:dyDescent="0.15">
      <x:c r="A108">
        <x:v>54001</x:v>
      </x:c>
      <x:c r="B108">
        <x:v>2</x:v>
      </x:c>
      <x:c r="C108">
        <x:v>47</x:v>
      </x:c>
      <x:c r="D108">
        <x:f>ROUND($C108*10*VLOOKUP($B108,Sheet2!$J$5:$K$7,2,FALSE)*VLOOKUP(Sheet1!$A108,Sheet2!$B$5:$H$29,3,FALSE),0)</x:f>
        <x:v>564</x:v>
      </x:c>
      <x:c r="E108">
        <x:f>ROUND($C108*10*VLOOKUP($B108,Sheet2!$J$5:$K$7,2,FALSE)*VLOOKUP(Sheet1!$A108,Sheet2!$B$5:$H$29,4,FALSE),0)</x:f>
        <x:v>0</x:v>
      </x:c>
      <x:c r="F108">
        <x:f>ROUND($C108*10*VLOOKUP($B108,Sheet2!$J$5:$K$7,2,FALSE)*VLOOKUP(Sheet1!$A108,Sheet2!$B$5:$H$29,5,FALSE),0)</x:f>
        <x:v>0</x:v>
      </x:c>
      <x:c r="G108">
        <x:f>ROUND($C108*10*VLOOKUP($B108,Sheet2!$J$5:$K$7,2,FALSE)*VLOOKUP(Sheet1!$A108,Sheet2!$B$5:$H$29,6,FALSE),0)</x:f>
        <x:v>0</x:v>
      </x:c>
      <x:c r="H108">
        <x:f>ROUND($C108*10*VLOOKUP($B108,Sheet2!$J$5:$K$7,2,FALSE)*VLOOKUP(Sheet1!$A108,Sheet2!$B$5:$H$29,7,FALSE),0)</x:f>
        <x:v>0</x:v>
      </x:c>
      <x:c r="I108">
        <x:f t="shared" si="1"/>
        <x:v>41390</x:v>
      </x:c>
    </x:row>
    <x:row r="109" spans="1:9" x14ac:dyDescent="0.15">
      <x:c r="A109">
        <x:v>54001</x:v>
      </x:c>
      <x:c r="B109">
        <x:v>2</x:v>
      </x:c>
      <x:c r="C109">
        <x:v>48</x:v>
      </x:c>
      <x:c r="D109">
        <x:f>ROUND($C109*10*VLOOKUP($B109,Sheet2!$J$5:$K$7,2,FALSE)*VLOOKUP(Sheet1!$A109,Sheet2!$B$5:$H$29,3,FALSE),0)</x:f>
        <x:v>576</x:v>
      </x:c>
      <x:c r="E109">
        <x:f>ROUND($C109*10*VLOOKUP($B109,Sheet2!$J$5:$K$7,2,FALSE)*VLOOKUP(Sheet1!$A109,Sheet2!$B$5:$H$29,4,FALSE),0)</x:f>
        <x:v>0</x:v>
      </x:c>
      <x:c r="F109">
        <x:f>ROUND($C109*10*VLOOKUP($B109,Sheet2!$J$5:$K$7,2,FALSE)*VLOOKUP(Sheet1!$A109,Sheet2!$B$5:$H$29,5,FALSE),0)</x:f>
        <x:v>0</x:v>
      </x:c>
      <x:c r="G109">
        <x:f>ROUND($C109*10*VLOOKUP($B109,Sheet2!$J$5:$K$7,2,FALSE)*VLOOKUP(Sheet1!$A109,Sheet2!$B$5:$H$29,6,FALSE),0)</x:f>
        <x:v>0</x:v>
      </x:c>
      <x:c r="H109">
        <x:f>ROUND($C109*10*VLOOKUP($B109,Sheet2!$J$5:$K$7,2,FALSE)*VLOOKUP(Sheet1!$A109,Sheet2!$B$5:$H$29,7,FALSE),0)</x:f>
        <x:v>0</x:v>
      </x:c>
      <x:c r="I109">
        <x:f t="shared" si="1"/>
        <x:v>43020</x:v>
      </x:c>
    </x:row>
    <x:row r="110" spans="1:9" x14ac:dyDescent="0.15">
      <x:c r="A110">
        <x:v>54001</x:v>
      </x:c>
      <x:c r="B110">
        <x:v>2</x:v>
      </x:c>
      <x:c r="C110">
        <x:v>49</x:v>
      </x:c>
      <x:c r="D110">
        <x:f>ROUND($C110*10*VLOOKUP($B110,Sheet2!$J$5:$K$7,2,FALSE)*VLOOKUP(Sheet1!$A110,Sheet2!$B$5:$H$29,3,FALSE),0)</x:f>
        <x:v>588</x:v>
      </x:c>
      <x:c r="E110">
        <x:f>ROUND($C110*10*VLOOKUP($B110,Sheet2!$J$5:$K$7,2,FALSE)*VLOOKUP(Sheet1!$A110,Sheet2!$B$5:$H$29,4,FALSE),0)</x:f>
        <x:v>0</x:v>
      </x:c>
      <x:c r="F110">
        <x:f>ROUND($C110*10*VLOOKUP($B110,Sheet2!$J$5:$K$7,2,FALSE)*VLOOKUP(Sheet1!$A110,Sheet2!$B$5:$H$29,5,FALSE),0)</x:f>
        <x:v>0</x:v>
      </x:c>
      <x:c r="G110">
        <x:f>ROUND($C110*10*VLOOKUP($B110,Sheet2!$J$5:$K$7,2,FALSE)*VLOOKUP(Sheet1!$A110,Sheet2!$B$5:$H$29,6,FALSE),0)</x:f>
        <x:v>0</x:v>
      </x:c>
      <x:c r="H110">
        <x:f>ROUND($C110*10*VLOOKUP($B110,Sheet2!$J$5:$K$7,2,FALSE)*VLOOKUP(Sheet1!$A110,Sheet2!$B$5:$H$29,7,FALSE),0)</x:f>
        <x:v>0</x:v>
      </x:c>
      <x:c r="I110">
        <x:f t="shared" si="1"/>
        <x:v>44680</x:v>
      </x:c>
    </x:row>
    <x:row r="111" spans="1:9" x14ac:dyDescent="0.15">
      <x:c r="A111">
        <x:v>54001</x:v>
      </x:c>
      <x:c r="B111">
        <x:v>2</x:v>
      </x:c>
      <x:c r="C111">
        <x:v>50</x:v>
      </x:c>
      <x:c r="D111">
        <x:f>ROUND($C111*10*VLOOKUP($B111,Sheet2!$J$5:$K$7,2,FALSE)*VLOOKUP(Sheet1!$A111,Sheet2!$B$5:$H$29,3,FALSE),0)</x:f>
        <x:v>600</x:v>
      </x:c>
      <x:c r="E111">
        <x:f>ROUND($C111*10*VLOOKUP($B111,Sheet2!$J$5:$K$7,2,FALSE)*VLOOKUP(Sheet1!$A111,Sheet2!$B$5:$H$29,4,FALSE),0)</x:f>
        <x:v>0</x:v>
      </x:c>
      <x:c r="F111">
        <x:f>ROUND($C111*10*VLOOKUP($B111,Sheet2!$J$5:$K$7,2,FALSE)*VLOOKUP(Sheet1!$A111,Sheet2!$B$5:$H$29,5,FALSE),0)</x:f>
        <x:v>0</x:v>
      </x:c>
      <x:c r="G111">
        <x:f>ROUND($C111*10*VLOOKUP($B111,Sheet2!$J$5:$K$7,2,FALSE)*VLOOKUP(Sheet1!$A111,Sheet2!$B$5:$H$29,6,FALSE),0)</x:f>
        <x:v>0</x:v>
      </x:c>
      <x:c r="H111">
        <x:f>ROUND($C111*10*VLOOKUP($B111,Sheet2!$J$5:$K$7,2,FALSE)*VLOOKUP(Sheet1!$A111,Sheet2!$B$5:$H$29,7,FALSE),0)</x:f>
        <x:v>0</x:v>
      </x:c>
      <x:c r="I111">
        <x:f t="shared" si="1"/>
        <x:v>46360</x:v>
      </x:c>
    </x:row>
    <x:row r="112" spans="1:9" x14ac:dyDescent="0.15">
      <x:c r="A112">
        <x:v>54001</x:v>
      </x:c>
      <x:c r="B112">
        <x:v>2</x:v>
      </x:c>
      <x:c r="C112">
        <x:v>51</x:v>
      </x:c>
      <x:c r="D112">
        <x:f>ROUND($C112*10*VLOOKUP($B112,Sheet2!$J$5:$K$7,2,FALSE)*VLOOKUP(Sheet1!$A112,Sheet2!$B$5:$H$29,3,FALSE),0)</x:f>
        <x:v>612</x:v>
      </x:c>
      <x:c r="E112">
        <x:f>ROUND($C112*10*VLOOKUP($B112,Sheet2!$J$5:$K$7,2,FALSE)*VLOOKUP(Sheet1!$A112,Sheet2!$B$5:$H$29,4,FALSE),0)</x:f>
        <x:v>0</x:v>
      </x:c>
      <x:c r="F112">
        <x:f>ROUND($C112*10*VLOOKUP($B112,Sheet2!$J$5:$K$7,2,FALSE)*VLOOKUP(Sheet1!$A112,Sheet2!$B$5:$H$29,5,FALSE),0)</x:f>
        <x:v>0</x:v>
      </x:c>
      <x:c r="G112">
        <x:f>ROUND($C112*10*VLOOKUP($B112,Sheet2!$J$5:$K$7,2,FALSE)*VLOOKUP(Sheet1!$A112,Sheet2!$B$5:$H$29,6,FALSE),0)</x:f>
        <x:v>0</x:v>
      </x:c>
      <x:c r="H112">
        <x:f>ROUND($C112*10*VLOOKUP($B112,Sheet2!$J$5:$K$7,2,FALSE)*VLOOKUP(Sheet1!$A112,Sheet2!$B$5:$H$29,7,FALSE),0)</x:f>
        <x:v>0</x:v>
      </x:c>
      <x:c r="I112">
        <x:f t="shared" si="1"/>
        <x:v>48080</x:v>
      </x:c>
    </x:row>
    <x:row r="113" spans="1:9" x14ac:dyDescent="0.15">
      <x:c r="A113">
        <x:v>54001</x:v>
      </x:c>
      <x:c r="B113">
        <x:v>2</x:v>
      </x:c>
      <x:c r="C113">
        <x:v>52</x:v>
      </x:c>
      <x:c r="D113">
        <x:f>ROUND($C113*10*VLOOKUP($B113,Sheet2!$J$5:$K$7,2,FALSE)*VLOOKUP(Sheet1!$A113,Sheet2!$B$5:$H$29,3,FALSE),0)</x:f>
        <x:v>624</x:v>
      </x:c>
      <x:c r="E113">
        <x:f>ROUND($C113*10*VLOOKUP($B113,Sheet2!$J$5:$K$7,2,FALSE)*VLOOKUP(Sheet1!$A113,Sheet2!$B$5:$H$29,4,FALSE),0)</x:f>
        <x:v>0</x:v>
      </x:c>
      <x:c r="F113">
        <x:f>ROUND($C113*10*VLOOKUP($B113,Sheet2!$J$5:$K$7,2,FALSE)*VLOOKUP(Sheet1!$A113,Sheet2!$B$5:$H$29,5,FALSE),0)</x:f>
        <x:v>0</x:v>
      </x:c>
      <x:c r="G113">
        <x:f>ROUND($C113*10*VLOOKUP($B113,Sheet2!$J$5:$K$7,2,FALSE)*VLOOKUP(Sheet1!$A113,Sheet2!$B$5:$H$29,6,FALSE),0)</x:f>
        <x:v>0</x:v>
      </x:c>
      <x:c r="H113">
        <x:f>ROUND($C113*10*VLOOKUP($B113,Sheet2!$J$5:$K$7,2,FALSE)*VLOOKUP(Sheet1!$A113,Sheet2!$B$5:$H$29,7,FALSE),0)</x:f>
        <x:v>0</x:v>
      </x:c>
      <x:c r="I113">
        <x:f t="shared" si="1"/>
        <x:v>49820</x:v>
      </x:c>
    </x:row>
    <x:row r="114" spans="1:9" x14ac:dyDescent="0.15">
      <x:c r="A114">
        <x:v>54001</x:v>
      </x:c>
      <x:c r="B114">
        <x:v>2</x:v>
      </x:c>
      <x:c r="C114">
        <x:v>53</x:v>
      </x:c>
      <x:c r="D114">
        <x:f>ROUND($C114*10*VLOOKUP($B114,Sheet2!$J$5:$K$7,2,FALSE)*VLOOKUP(Sheet1!$A114,Sheet2!$B$5:$H$29,3,FALSE),0)</x:f>
        <x:v>636</x:v>
      </x:c>
      <x:c r="E114">
        <x:f>ROUND($C114*10*VLOOKUP($B114,Sheet2!$J$5:$K$7,2,FALSE)*VLOOKUP(Sheet1!$A114,Sheet2!$B$5:$H$29,4,FALSE),0)</x:f>
        <x:v>0</x:v>
      </x:c>
      <x:c r="F114">
        <x:f>ROUND($C114*10*VLOOKUP($B114,Sheet2!$J$5:$K$7,2,FALSE)*VLOOKUP(Sheet1!$A114,Sheet2!$B$5:$H$29,5,FALSE),0)</x:f>
        <x:v>0</x:v>
      </x:c>
      <x:c r="G114">
        <x:f>ROUND($C114*10*VLOOKUP($B114,Sheet2!$J$5:$K$7,2,FALSE)*VLOOKUP(Sheet1!$A114,Sheet2!$B$5:$H$29,6,FALSE),0)</x:f>
        <x:v>0</x:v>
      </x:c>
      <x:c r="H114">
        <x:f>ROUND($C114*10*VLOOKUP($B114,Sheet2!$J$5:$K$7,2,FALSE)*VLOOKUP(Sheet1!$A114,Sheet2!$B$5:$H$29,7,FALSE),0)</x:f>
        <x:v>0</x:v>
      </x:c>
      <x:c r="I114">
        <x:f t="shared" si="1"/>
        <x:v>51590</x:v>
      </x:c>
    </x:row>
    <x:row r="115" spans="1:9" x14ac:dyDescent="0.15">
      <x:c r="A115">
        <x:v>54001</x:v>
      </x:c>
      <x:c r="B115">
        <x:v>2</x:v>
      </x:c>
      <x:c r="C115">
        <x:v>54</x:v>
      </x:c>
      <x:c r="D115">
        <x:f>ROUND($C115*10*VLOOKUP($B115,Sheet2!$J$5:$K$7,2,FALSE)*VLOOKUP(Sheet1!$A115,Sheet2!$B$5:$H$29,3,FALSE),0)</x:f>
        <x:v>648</x:v>
      </x:c>
      <x:c r="E115">
        <x:f>ROUND($C115*10*VLOOKUP($B115,Sheet2!$J$5:$K$7,2,FALSE)*VLOOKUP(Sheet1!$A115,Sheet2!$B$5:$H$29,4,FALSE),0)</x:f>
        <x:v>0</x:v>
      </x:c>
      <x:c r="F115">
        <x:f>ROUND($C115*10*VLOOKUP($B115,Sheet2!$J$5:$K$7,2,FALSE)*VLOOKUP(Sheet1!$A115,Sheet2!$B$5:$H$29,5,FALSE),0)</x:f>
        <x:v>0</x:v>
      </x:c>
      <x:c r="G115">
        <x:f>ROUND($C115*10*VLOOKUP($B115,Sheet2!$J$5:$K$7,2,FALSE)*VLOOKUP(Sheet1!$A115,Sheet2!$B$5:$H$29,6,FALSE),0)</x:f>
        <x:v>0</x:v>
      </x:c>
      <x:c r="H115">
        <x:f>ROUND($C115*10*VLOOKUP($B115,Sheet2!$J$5:$K$7,2,FALSE)*VLOOKUP(Sheet1!$A115,Sheet2!$B$5:$H$29,7,FALSE),0)</x:f>
        <x:v>0</x:v>
      </x:c>
      <x:c r="I115">
        <x:f t="shared" si="1"/>
        <x:v>53390</x:v>
      </x:c>
    </x:row>
    <x:row r="116" spans="1:9" x14ac:dyDescent="0.15">
      <x:c r="A116">
        <x:v>54001</x:v>
      </x:c>
      <x:c r="B116">
        <x:v>2</x:v>
      </x:c>
      <x:c r="C116">
        <x:v>55</x:v>
      </x:c>
      <x:c r="D116">
        <x:f>ROUND($C116*10*VLOOKUP($B116,Sheet2!$J$5:$K$7,2,FALSE)*VLOOKUP(Sheet1!$A116,Sheet2!$B$5:$H$29,3,FALSE),0)</x:f>
        <x:v>660</x:v>
      </x:c>
      <x:c r="E116">
        <x:f>ROUND($C116*10*VLOOKUP($B116,Sheet2!$J$5:$K$7,2,FALSE)*VLOOKUP(Sheet1!$A116,Sheet2!$B$5:$H$29,4,FALSE),0)</x:f>
        <x:v>0</x:v>
      </x:c>
      <x:c r="F116">
        <x:f>ROUND($C116*10*VLOOKUP($B116,Sheet2!$J$5:$K$7,2,FALSE)*VLOOKUP(Sheet1!$A116,Sheet2!$B$5:$H$29,5,FALSE),0)</x:f>
        <x:v>0</x:v>
      </x:c>
      <x:c r="G116">
        <x:f>ROUND($C116*10*VLOOKUP($B116,Sheet2!$J$5:$K$7,2,FALSE)*VLOOKUP(Sheet1!$A116,Sheet2!$B$5:$H$29,6,FALSE),0)</x:f>
        <x:v>0</x:v>
      </x:c>
      <x:c r="H116">
        <x:f>ROUND($C116*10*VLOOKUP($B116,Sheet2!$J$5:$K$7,2,FALSE)*VLOOKUP(Sheet1!$A116,Sheet2!$B$5:$H$29,7,FALSE),0)</x:f>
        <x:v>0</x:v>
      </x:c>
      <x:c r="I116">
        <x:f t="shared" si="1"/>
        <x:v>55210</x:v>
      </x:c>
    </x:row>
    <x:row r="117" spans="1:9" x14ac:dyDescent="0.15">
      <x:c r="A117">
        <x:v>54001</x:v>
      </x:c>
      <x:c r="B117">
        <x:v>2</x:v>
      </x:c>
      <x:c r="C117">
        <x:v>56</x:v>
      </x:c>
      <x:c r="D117">
        <x:f>ROUND($C117*10*VLOOKUP($B117,Sheet2!$J$5:$K$7,2,FALSE)*VLOOKUP(Sheet1!$A117,Sheet2!$B$5:$H$29,3,FALSE),0)</x:f>
        <x:v>672</x:v>
      </x:c>
      <x:c r="E117">
        <x:f>ROUND($C117*10*VLOOKUP($B117,Sheet2!$J$5:$K$7,2,FALSE)*VLOOKUP(Sheet1!$A117,Sheet2!$B$5:$H$29,4,FALSE),0)</x:f>
        <x:v>0</x:v>
      </x:c>
      <x:c r="F117">
        <x:f>ROUND($C117*10*VLOOKUP($B117,Sheet2!$J$5:$K$7,2,FALSE)*VLOOKUP(Sheet1!$A117,Sheet2!$B$5:$H$29,5,FALSE),0)</x:f>
        <x:v>0</x:v>
      </x:c>
      <x:c r="G117">
        <x:f>ROUND($C117*10*VLOOKUP($B117,Sheet2!$J$5:$K$7,2,FALSE)*VLOOKUP(Sheet1!$A117,Sheet2!$B$5:$H$29,6,FALSE),0)</x:f>
        <x:v>0</x:v>
      </x:c>
      <x:c r="H117">
        <x:f>ROUND($C117*10*VLOOKUP($B117,Sheet2!$J$5:$K$7,2,FALSE)*VLOOKUP(Sheet1!$A117,Sheet2!$B$5:$H$29,7,FALSE),0)</x:f>
        <x:v>0</x:v>
      </x:c>
      <x:c r="I117">
        <x:f t="shared" si="1"/>
        <x:v>57060</x:v>
      </x:c>
    </x:row>
    <x:row r="118" spans="1:9" x14ac:dyDescent="0.15">
      <x:c r="A118">
        <x:v>54001</x:v>
      </x:c>
      <x:c r="B118">
        <x:v>2</x:v>
      </x:c>
      <x:c r="C118">
        <x:v>57</x:v>
      </x:c>
      <x:c r="D118">
        <x:f>ROUND($C118*10*VLOOKUP($B118,Sheet2!$J$5:$K$7,2,FALSE)*VLOOKUP(Sheet1!$A118,Sheet2!$B$5:$H$29,3,FALSE),0)</x:f>
        <x:v>684</x:v>
      </x:c>
      <x:c r="E118">
        <x:f>ROUND($C118*10*VLOOKUP($B118,Sheet2!$J$5:$K$7,2,FALSE)*VLOOKUP(Sheet1!$A118,Sheet2!$B$5:$H$29,4,FALSE),0)</x:f>
        <x:v>0</x:v>
      </x:c>
      <x:c r="F118">
        <x:f>ROUND($C118*10*VLOOKUP($B118,Sheet2!$J$5:$K$7,2,FALSE)*VLOOKUP(Sheet1!$A118,Sheet2!$B$5:$H$29,5,FALSE),0)</x:f>
        <x:v>0</x:v>
      </x:c>
      <x:c r="G118">
        <x:f>ROUND($C118*10*VLOOKUP($B118,Sheet2!$J$5:$K$7,2,FALSE)*VLOOKUP(Sheet1!$A118,Sheet2!$B$5:$H$29,6,FALSE),0)</x:f>
        <x:v>0</x:v>
      </x:c>
      <x:c r="H118">
        <x:f>ROUND($C118*10*VLOOKUP($B118,Sheet2!$J$5:$K$7,2,FALSE)*VLOOKUP(Sheet1!$A118,Sheet2!$B$5:$H$29,7,FALSE),0)</x:f>
        <x:v>0</x:v>
      </x:c>
      <x:c r="I118">
        <x:f t="shared" si="1"/>
        <x:v>58940</x:v>
      </x:c>
    </x:row>
    <x:row r="119" spans="1:9" x14ac:dyDescent="0.15">
      <x:c r="A119">
        <x:v>54001</x:v>
      </x:c>
      <x:c r="B119">
        <x:v>2</x:v>
      </x:c>
      <x:c r="C119">
        <x:v>58</x:v>
      </x:c>
      <x:c r="D119">
        <x:f>ROUND($C119*10*VLOOKUP($B119,Sheet2!$J$5:$K$7,2,FALSE)*VLOOKUP(Sheet1!$A119,Sheet2!$B$5:$H$29,3,FALSE),0)</x:f>
        <x:v>696</x:v>
      </x:c>
      <x:c r="E119">
        <x:f>ROUND($C119*10*VLOOKUP($B119,Sheet2!$J$5:$K$7,2,FALSE)*VLOOKUP(Sheet1!$A119,Sheet2!$B$5:$H$29,4,FALSE),0)</x:f>
        <x:v>0</x:v>
      </x:c>
      <x:c r="F119">
        <x:f>ROUND($C119*10*VLOOKUP($B119,Sheet2!$J$5:$K$7,2,FALSE)*VLOOKUP(Sheet1!$A119,Sheet2!$B$5:$H$29,5,FALSE),0)</x:f>
        <x:v>0</x:v>
      </x:c>
      <x:c r="G119">
        <x:f>ROUND($C119*10*VLOOKUP($B119,Sheet2!$J$5:$K$7,2,FALSE)*VLOOKUP(Sheet1!$A119,Sheet2!$B$5:$H$29,6,FALSE),0)</x:f>
        <x:v>0</x:v>
      </x:c>
      <x:c r="H119">
        <x:f>ROUND($C119*10*VLOOKUP($B119,Sheet2!$J$5:$K$7,2,FALSE)*VLOOKUP(Sheet1!$A119,Sheet2!$B$5:$H$29,7,FALSE),0)</x:f>
        <x:v>0</x:v>
      </x:c>
      <x:c r="I119">
        <x:f t="shared" si="1"/>
        <x:v>60850</x:v>
      </x:c>
    </x:row>
    <x:row r="120" spans="1:9" x14ac:dyDescent="0.15">
      <x:c r="A120">
        <x:v>54001</x:v>
      </x:c>
      <x:c r="B120">
        <x:v>2</x:v>
      </x:c>
      <x:c r="C120">
        <x:v>59</x:v>
      </x:c>
      <x:c r="D120">
        <x:f>ROUND($C120*10*VLOOKUP($B120,Sheet2!$J$5:$K$7,2,FALSE)*VLOOKUP(Sheet1!$A120,Sheet2!$B$5:$H$29,3,FALSE),0)</x:f>
        <x:v>708</x:v>
      </x:c>
      <x:c r="E120">
        <x:f>ROUND($C120*10*VLOOKUP($B120,Sheet2!$J$5:$K$7,2,FALSE)*VLOOKUP(Sheet1!$A120,Sheet2!$B$5:$H$29,4,FALSE),0)</x:f>
        <x:v>0</x:v>
      </x:c>
      <x:c r="F120">
        <x:f>ROUND($C120*10*VLOOKUP($B120,Sheet2!$J$5:$K$7,2,FALSE)*VLOOKUP(Sheet1!$A120,Sheet2!$B$5:$H$29,5,FALSE),0)</x:f>
        <x:v>0</x:v>
      </x:c>
      <x:c r="G120">
        <x:f>ROUND($C120*10*VLOOKUP($B120,Sheet2!$J$5:$K$7,2,FALSE)*VLOOKUP(Sheet1!$A120,Sheet2!$B$5:$H$29,6,FALSE),0)</x:f>
        <x:v>0</x:v>
      </x:c>
      <x:c r="H120">
        <x:f>ROUND($C120*10*VLOOKUP($B120,Sheet2!$J$5:$K$7,2,FALSE)*VLOOKUP(Sheet1!$A120,Sheet2!$B$5:$H$29,7,FALSE),0)</x:f>
        <x:v>0</x:v>
      </x:c>
      <x:c r="I120">
        <x:f t="shared" si="1"/>
        <x:v>62780</x:v>
      </x:c>
    </x:row>
    <x:row r="121" spans="1:9" x14ac:dyDescent="0.15">
      <x:c r="A121">
        <x:v>54001</x:v>
      </x:c>
      <x:c r="B121">
        <x:v>2</x:v>
      </x:c>
      <x:c r="C121">
        <x:v>60</x:v>
      </x:c>
      <x:c r="D121">
        <x:f>ROUND($C121*10*VLOOKUP($B121,Sheet2!$J$5:$K$7,2,FALSE)*VLOOKUP(Sheet1!$A121,Sheet2!$B$5:$H$29,3,FALSE),0)</x:f>
        <x:v>720</x:v>
      </x:c>
      <x:c r="E121">
        <x:f>ROUND($C121*10*VLOOKUP($B121,Sheet2!$J$5:$K$7,2,FALSE)*VLOOKUP(Sheet1!$A121,Sheet2!$B$5:$H$29,4,FALSE),0)</x:f>
        <x:v>0</x:v>
      </x:c>
      <x:c r="F121">
        <x:f>ROUND($C121*10*VLOOKUP($B121,Sheet2!$J$5:$K$7,2,FALSE)*VLOOKUP(Sheet1!$A121,Sheet2!$B$5:$H$29,5,FALSE),0)</x:f>
        <x:v>0</x:v>
      </x:c>
      <x:c r="G121">
        <x:f>ROUND($C121*10*VLOOKUP($B121,Sheet2!$J$5:$K$7,2,FALSE)*VLOOKUP(Sheet1!$A121,Sheet2!$B$5:$H$29,6,FALSE),0)</x:f>
        <x:v>0</x:v>
      </x:c>
      <x:c r="H121">
        <x:f>ROUND($C121*10*VLOOKUP($B121,Sheet2!$J$5:$K$7,2,FALSE)*VLOOKUP(Sheet1!$A121,Sheet2!$B$5:$H$29,7,FALSE),0)</x:f>
        <x:v>0</x:v>
      </x:c>
      <x:c r="I121">
        <x:f t="shared" si="1"/>
        <x:v>64740</x:v>
      </x:c>
    </x:row>
    <x:row r="122" spans="1:9" x14ac:dyDescent="0.15">
      <x:c r="A122">
        <x:v>54001</x:v>
      </x:c>
      <x:c r="B122">
        <x:v>3</x:v>
      </x:c>
      <x:c r="C122">
        <x:v>1</x:v>
      </x:c>
      <x:c r="D122">
        <x:f>ROUND($C122*10*VLOOKUP($B122,Sheet2!$J$5:$K$7,2,FALSE)*VLOOKUP(Sheet1!$A122,Sheet2!$B$5:$H$29,3,FALSE),0)</x:f>
        <x:v>20</x:v>
      </x:c>
      <x:c r="E122">
        <x:f>ROUND($C122*10*VLOOKUP($B122,Sheet2!$J$5:$K$7,2,FALSE)*VLOOKUP(Sheet1!$A122,Sheet2!$B$5:$H$29,4,FALSE),0)</x:f>
        <x:v>0</x:v>
      </x:c>
      <x:c r="F122">
        <x:f>ROUND($C122*10*VLOOKUP($B122,Sheet2!$J$5:$K$7,2,FALSE)*VLOOKUP(Sheet1!$A122,Sheet2!$B$5:$H$29,5,FALSE),0)</x:f>
        <x:v>0</x:v>
      </x:c>
      <x:c r="G122">
        <x:f>ROUND($C122*10*VLOOKUP($B122,Sheet2!$J$5:$K$7,2,FALSE)*VLOOKUP(Sheet1!$A122,Sheet2!$B$5:$H$29,6,FALSE),0)</x:f>
        <x:v>0</x:v>
      </x:c>
      <x:c r="H122">
        <x:f>ROUND($C122*10*VLOOKUP($B122,Sheet2!$J$5:$K$7,2,FALSE)*VLOOKUP(Sheet1!$A122,Sheet2!$B$5:$H$29,7,FALSE),0)</x:f>
        <x:v>0</x:v>
      </x:c>
      <x:c r="I122">
        <x:f>ROUND(1.2*10*10.5*(C122-1)^1.8+90,-1)</x:f>
        <x:v>90</x:v>
      </x:c>
    </x:row>
    <x:row r="123" spans="1:9" x14ac:dyDescent="0.15">
      <x:c r="A123">
        <x:v>54001</x:v>
      </x:c>
      <x:c r="B123">
        <x:v>3</x:v>
      </x:c>
      <x:c r="C123">
        <x:v>2</x:v>
      </x:c>
      <x:c r="D123">
        <x:f>ROUND($C123*10*VLOOKUP($B123,Sheet2!$J$5:$K$7,2,FALSE)*VLOOKUP(Sheet1!$A123,Sheet2!$B$5:$H$29,3,FALSE),0)</x:f>
        <x:v>40</x:v>
      </x:c>
      <x:c r="E123">
        <x:f>ROUND($C123*10*VLOOKUP($B123,Sheet2!$J$5:$K$7,2,FALSE)*VLOOKUP(Sheet1!$A123,Sheet2!$B$5:$H$29,4,FALSE),0)</x:f>
        <x:v>0</x:v>
      </x:c>
      <x:c r="F123">
        <x:f>ROUND($C123*10*VLOOKUP($B123,Sheet2!$J$5:$K$7,2,FALSE)*VLOOKUP(Sheet1!$A123,Sheet2!$B$5:$H$29,5,FALSE),0)</x:f>
        <x:v>0</x:v>
      </x:c>
      <x:c r="G123">
        <x:f>ROUND($C123*10*VLOOKUP($B123,Sheet2!$J$5:$K$7,2,FALSE)*VLOOKUP(Sheet1!$A123,Sheet2!$B$5:$H$29,6,FALSE),0)</x:f>
        <x:v>0</x:v>
      </x:c>
      <x:c r="H123">
        <x:f>ROUND($C123*10*VLOOKUP($B123,Sheet2!$J$5:$K$7,2,FALSE)*VLOOKUP(Sheet1!$A123,Sheet2!$B$5:$H$29,7,FALSE),0)</x:f>
        <x:v>0</x:v>
      </x:c>
      <x:c r="I123">
        <x:f t="shared" ref="I123:I181" si="2">ROUND(1.2*10*10.5*(C123-1)^1.8+90,-1)</x:f>
        <x:v>220</x:v>
      </x:c>
    </x:row>
    <x:row r="124" spans="1:9" x14ac:dyDescent="0.15">
      <x:c r="A124">
        <x:v>54001</x:v>
      </x:c>
      <x:c r="B124">
        <x:v>3</x:v>
      </x:c>
      <x:c r="C124">
        <x:v>3</x:v>
      </x:c>
      <x:c r="D124">
        <x:f>ROUND($C124*10*VLOOKUP($B124,Sheet2!$J$5:$K$7,2,FALSE)*VLOOKUP(Sheet1!$A124,Sheet2!$B$5:$H$29,3,FALSE),0)</x:f>
        <x:v>60</x:v>
      </x:c>
      <x:c r="E124">
        <x:f>ROUND($C124*10*VLOOKUP($B124,Sheet2!$J$5:$K$7,2,FALSE)*VLOOKUP(Sheet1!$A124,Sheet2!$B$5:$H$29,4,FALSE),0)</x:f>
        <x:v>0</x:v>
      </x:c>
      <x:c r="F124">
        <x:f>ROUND($C124*10*VLOOKUP($B124,Sheet2!$J$5:$K$7,2,FALSE)*VLOOKUP(Sheet1!$A124,Sheet2!$B$5:$H$29,5,FALSE),0)</x:f>
        <x:v>0</x:v>
      </x:c>
      <x:c r="G124">
        <x:f>ROUND($C124*10*VLOOKUP($B124,Sheet2!$J$5:$K$7,2,FALSE)*VLOOKUP(Sheet1!$A124,Sheet2!$B$5:$H$29,6,FALSE),0)</x:f>
        <x:v>0</x:v>
      </x:c>
      <x:c r="H124">
        <x:f>ROUND($C124*10*VLOOKUP($B124,Sheet2!$J$5:$K$7,2,FALSE)*VLOOKUP(Sheet1!$A124,Sheet2!$B$5:$H$29,7,FALSE),0)</x:f>
        <x:v>0</x:v>
      </x:c>
      <x:c r="I124">
        <x:f t="shared" si="2"/>
        <x:v>530</x:v>
      </x:c>
    </x:row>
    <x:row r="125" spans="1:9" x14ac:dyDescent="0.15">
      <x:c r="A125">
        <x:v>54001</x:v>
      </x:c>
      <x:c r="B125">
        <x:v>3</x:v>
      </x:c>
      <x:c r="C125">
        <x:v>4</x:v>
      </x:c>
      <x:c r="D125">
        <x:f>ROUND($C125*10*VLOOKUP($B125,Sheet2!$J$5:$K$7,2,FALSE)*VLOOKUP(Sheet1!$A125,Sheet2!$B$5:$H$29,3,FALSE),0)</x:f>
        <x:v>80</x:v>
      </x:c>
      <x:c r="E125">
        <x:f>ROUND($C125*10*VLOOKUP($B125,Sheet2!$J$5:$K$7,2,FALSE)*VLOOKUP(Sheet1!$A125,Sheet2!$B$5:$H$29,4,FALSE),0)</x:f>
        <x:v>0</x:v>
      </x:c>
      <x:c r="F125">
        <x:f>ROUND($C125*10*VLOOKUP($B125,Sheet2!$J$5:$K$7,2,FALSE)*VLOOKUP(Sheet1!$A125,Sheet2!$B$5:$H$29,5,FALSE),0)</x:f>
        <x:v>0</x:v>
      </x:c>
      <x:c r="G125">
        <x:f>ROUND($C125*10*VLOOKUP($B125,Sheet2!$J$5:$K$7,2,FALSE)*VLOOKUP(Sheet1!$A125,Sheet2!$B$5:$H$29,6,FALSE),0)</x:f>
        <x:v>0</x:v>
      </x:c>
      <x:c r="H125">
        <x:f>ROUND($C125*10*VLOOKUP($B125,Sheet2!$J$5:$K$7,2,FALSE)*VLOOKUP(Sheet1!$A125,Sheet2!$B$5:$H$29,7,FALSE),0)</x:f>
        <x:v>0</x:v>
      </x:c>
      <x:c r="I125">
        <x:f t="shared" si="2"/>
        <x:v>1000</x:v>
      </x:c>
    </x:row>
    <x:row r="126" spans="1:9" x14ac:dyDescent="0.15">
      <x:c r="A126">
        <x:v>54001</x:v>
      </x:c>
      <x:c r="B126">
        <x:v>3</x:v>
      </x:c>
      <x:c r="C126">
        <x:v>5</x:v>
      </x:c>
      <x:c r="D126">
        <x:f>ROUND($C126*10*VLOOKUP($B126,Sheet2!$J$5:$K$7,2,FALSE)*VLOOKUP(Sheet1!$A126,Sheet2!$B$5:$H$29,3,FALSE),0)</x:f>
        <x:v>100</x:v>
      </x:c>
      <x:c r="E126">
        <x:f>ROUND($C126*10*VLOOKUP($B126,Sheet2!$J$5:$K$7,2,FALSE)*VLOOKUP(Sheet1!$A126,Sheet2!$B$5:$H$29,4,FALSE),0)</x:f>
        <x:v>0</x:v>
      </x:c>
      <x:c r="F126">
        <x:f>ROUND($C126*10*VLOOKUP($B126,Sheet2!$J$5:$K$7,2,FALSE)*VLOOKUP(Sheet1!$A126,Sheet2!$B$5:$H$29,5,FALSE),0)</x:f>
        <x:v>0</x:v>
      </x:c>
      <x:c r="G126">
        <x:f>ROUND($C126*10*VLOOKUP($B126,Sheet2!$J$5:$K$7,2,FALSE)*VLOOKUP(Sheet1!$A126,Sheet2!$B$5:$H$29,6,FALSE),0)</x:f>
        <x:v>0</x:v>
      </x:c>
      <x:c r="H126">
        <x:f>ROUND($C126*10*VLOOKUP($B126,Sheet2!$J$5:$K$7,2,FALSE)*VLOOKUP(Sheet1!$A126,Sheet2!$B$5:$H$29,7,FALSE),0)</x:f>
        <x:v>0</x:v>
      </x:c>
      <x:c r="I126">
        <x:f t="shared" si="2"/>
        <x:v>1620</x:v>
      </x:c>
    </x:row>
    <x:row r="127" spans="1:9" x14ac:dyDescent="0.15">
      <x:c r="A127">
        <x:v>54001</x:v>
      </x:c>
      <x:c r="B127">
        <x:v>3</x:v>
      </x:c>
      <x:c r="C127">
        <x:v>6</x:v>
      </x:c>
      <x:c r="D127">
        <x:f>ROUND($C127*10*VLOOKUP($B127,Sheet2!$J$5:$K$7,2,FALSE)*VLOOKUP(Sheet1!$A127,Sheet2!$B$5:$H$29,3,FALSE),0)</x:f>
        <x:v>120</x:v>
      </x:c>
      <x:c r="E127">
        <x:f>ROUND($C127*10*VLOOKUP($B127,Sheet2!$J$5:$K$7,2,FALSE)*VLOOKUP(Sheet1!$A127,Sheet2!$B$5:$H$29,4,FALSE),0)</x:f>
        <x:v>0</x:v>
      </x:c>
      <x:c r="F127">
        <x:f>ROUND($C127*10*VLOOKUP($B127,Sheet2!$J$5:$K$7,2,FALSE)*VLOOKUP(Sheet1!$A127,Sheet2!$B$5:$H$29,5,FALSE),0)</x:f>
        <x:v>0</x:v>
      </x:c>
      <x:c r="G127">
        <x:f>ROUND($C127*10*VLOOKUP($B127,Sheet2!$J$5:$K$7,2,FALSE)*VLOOKUP(Sheet1!$A127,Sheet2!$B$5:$H$29,6,FALSE),0)</x:f>
        <x:v>0</x:v>
      </x:c>
      <x:c r="H127">
        <x:f>ROUND($C127*10*VLOOKUP($B127,Sheet2!$J$5:$K$7,2,FALSE)*VLOOKUP(Sheet1!$A127,Sheet2!$B$5:$H$29,7,FALSE),0)</x:f>
        <x:v>0</x:v>
      </x:c>
      <x:c r="I127">
        <x:f t="shared" si="2"/>
        <x:v>2370</x:v>
      </x:c>
    </x:row>
    <x:row r="128" spans="1:9" x14ac:dyDescent="0.15">
      <x:c r="A128">
        <x:v>54001</x:v>
      </x:c>
      <x:c r="B128">
        <x:v>3</x:v>
      </x:c>
      <x:c r="C128">
        <x:v>7</x:v>
      </x:c>
      <x:c r="D128">
        <x:f>ROUND($C128*10*VLOOKUP($B128,Sheet2!$J$5:$K$7,2,FALSE)*VLOOKUP(Sheet1!$A128,Sheet2!$B$5:$H$29,3,FALSE),0)</x:f>
        <x:v>140</x:v>
      </x:c>
      <x:c r="E128">
        <x:f>ROUND($C128*10*VLOOKUP($B128,Sheet2!$J$5:$K$7,2,FALSE)*VLOOKUP(Sheet1!$A128,Sheet2!$B$5:$H$29,4,FALSE),0)</x:f>
        <x:v>0</x:v>
      </x:c>
      <x:c r="F128">
        <x:f>ROUND($C128*10*VLOOKUP($B128,Sheet2!$J$5:$K$7,2,FALSE)*VLOOKUP(Sheet1!$A128,Sheet2!$B$5:$H$29,5,FALSE),0)</x:f>
        <x:v>0</x:v>
      </x:c>
      <x:c r="G128">
        <x:f>ROUND($C128*10*VLOOKUP($B128,Sheet2!$J$5:$K$7,2,FALSE)*VLOOKUP(Sheet1!$A128,Sheet2!$B$5:$H$29,6,FALSE),0)</x:f>
        <x:v>0</x:v>
      </x:c>
      <x:c r="H128">
        <x:f>ROUND($C128*10*VLOOKUP($B128,Sheet2!$J$5:$K$7,2,FALSE)*VLOOKUP(Sheet1!$A128,Sheet2!$B$5:$H$29,7,FALSE),0)</x:f>
        <x:v>0</x:v>
      </x:c>
      <x:c r="I128">
        <x:f t="shared" si="2"/>
        <x:v>3260</x:v>
      </x:c>
    </x:row>
    <x:row r="129" spans="1:9" x14ac:dyDescent="0.15">
      <x:c r="A129">
        <x:v>54001</x:v>
      </x:c>
      <x:c r="B129">
        <x:v>3</x:v>
      </x:c>
      <x:c r="C129">
        <x:v>8</x:v>
      </x:c>
      <x:c r="D129">
        <x:f>ROUND($C129*10*VLOOKUP($B129,Sheet2!$J$5:$K$7,2,FALSE)*VLOOKUP(Sheet1!$A129,Sheet2!$B$5:$H$29,3,FALSE),0)</x:f>
        <x:v>160</x:v>
      </x:c>
      <x:c r="E129">
        <x:f>ROUND($C129*10*VLOOKUP($B129,Sheet2!$J$5:$K$7,2,FALSE)*VLOOKUP(Sheet1!$A129,Sheet2!$B$5:$H$29,4,FALSE),0)</x:f>
        <x:v>0</x:v>
      </x:c>
      <x:c r="F129">
        <x:f>ROUND($C129*10*VLOOKUP($B129,Sheet2!$J$5:$K$7,2,FALSE)*VLOOKUP(Sheet1!$A129,Sheet2!$B$5:$H$29,5,FALSE),0)</x:f>
        <x:v>0</x:v>
      </x:c>
      <x:c r="G129">
        <x:f>ROUND($C129*10*VLOOKUP($B129,Sheet2!$J$5:$K$7,2,FALSE)*VLOOKUP(Sheet1!$A129,Sheet2!$B$5:$H$29,6,FALSE),0)</x:f>
        <x:v>0</x:v>
      </x:c>
      <x:c r="H129">
        <x:f>ROUND($C129*10*VLOOKUP($B129,Sheet2!$J$5:$K$7,2,FALSE)*VLOOKUP(Sheet1!$A129,Sheet2!$B$5:$H$29,7,FALSE),0)</x:f>
        <x:v>0</x:v>
      </x:c>
      <x:c r="I129">
        <x:f t="shared" si="2"/>
        <x:v>4270</x:v>
      </x:c>
    </x:row>
    <x:row r="130" spans="1:9" x14ac:dyDescent="0.15">
      <x:c r="A130">
        <x:v>54001</x:v>
      </x:c>
      <x:c r="B130">
        <x:v>3</x:v>
      </x:c>
      <x:c r="C130">
        <x:v>9</x:v>
      </x:c>
      <x:c r="D130">
        <x:f>ROUND($C130*10*VLOOKUP($B130,Sheet2!$J$5:$K$7,2,FALSE)*VLOOKUP(Sheet1!$A130,Sheet2!$B$5:$H$29,3,FALSE),0)</x:f>
        <x:v>180</x:v>
      </x:c>
      <x:c r="E130">
        <x:f>ROUND($C130*10*VLOOKUP($B130,Sheet2!$J$5:$K$7,2,FALSE)*VLOOKUP(Sheet1!$A130,Sheet2!$B$5:$H$29,4,FALSE),0)</x:f>
        <x:v>0</x:v>
      </x:c>
      <x:c r="F130">
        <x:f>ROUND($C130*10*VLOOKUP($B130,Sheet2!$J$5:$K$7,2,FALSE)*VLOOKUP(Sheet1!$A130,Sheet2!$B$5:$H$29,5,FALSE),0)</x:f>
        <x:v>0</x:v>
      </x:c>
      <x:c r="G130">
        <x:f>ROUND($C130*10*VLOOKUP($B130,Sheet2!$J$5:$K$7,2,FALSE)*VLOOKUP(Sheet1!$A130,Sheet2!$B$5:$H$29,6,FALSE),0)</x:f>
        <x:v>0</x:v>
      </x:c>
      <x:c r="H130">
        <x:f>ROUND($C130*10*VLOOKUP($B130,Sheet2!$J$5:$K$7,2,FALSE)*VLOOKUP(Sheet1!$A130,Sheet2!$B$5:$H$29,7,FALSE),0)</x:f>
        <x:v>0</x:v>
      </x:c>
      <x:c r="I130">
        <x:f t="shared" si="2"/>
        <x:v>5410</x:v>
      </x:c>
    </x:row>
    <x:row r="131" spans="1:9" x14ac:dyDescent="0.15">
      <x:c r="A131">
        <x:v>54001</x:v>
      </x:c>
      <x:c r="B131">
        <x:v>3</x:v>
      </x:c>
      <x:c r="C131">
        <x:v>10</x:v>
      </x:c>
      <x:c r="D131">
        <x:f>ROUND($C131*10*VLOOKUP($B131,Sheet2!$J$5:$K$7,2,FALSE)*VLOOKUP(Sheet1!$A131,Sheet2!$B$5:$H$29,3,FALSE),0)</x:f>
        <x:v>200</x:v>
      </x:c>
      <x:c r="E131">
        <x:f>ROUND($C131*10*VLOOKUP($B131,Sheet2!$J$5:$K$7,2,FALSE)*VLOOKUP(Sheet1!$A131,Sheet2!$B$5:$H$29,4,FALSE),0)</x:f>
        <x:v>0</x:v>
      </x:c>
      <x:c r="F131">
        <x:f>ROUND($C131*10*VLOOKUP($B131,Sheet2!$J$5:$K$7,2,FALSE)*VLOOKUP(Sheet1!$A131,Sheet2!$B$5:$H$29,5,FALSE),0)</x:f>
        <x:v>0</x:v>
      </x:c>
      <x:c r="G131">
        <x:f>ROUND($C131*10*VLOOKUP($B131,Sheet2!$J$5:$K$7,2,FALSE)*VLOOKUP(Sheet1!$A131,Sheet2!$B$5:$H$29,6,FALSE),0)</x:f>
        <x:v>0</x:v>
      </x:c>
      <x:c r="H131">
        <x:f>ROUND($C131*10*VLOOKUP($B131,Sheet2!$J$5:$K$7,2,FALSE)*VLOOKUP(Sheet1!$A131,Sheet2!$B$5:$H$29,7,FALSE),0)</x:f>
        <x:v>0</x:v>
      </x:c>
      <x:c r="I131">
        <x:f t="shared" si="2"/>
        <x:v>6670</x:v>
      </x:c>
    </x:row>
    <x:row r="132" spans="1:9" x14ac:dyDescent="0.15">
      <x:c r="A132">
        <x:v>54001</x:v>
      </x:c>
      <x:c r="B132">
        <x:v>3</x:v>
      </x:c>
      <x:c r="C132">
        <x:v>11</x:v>
      </x:c>
      <x:c r="D132">
        <x:f>ROUND($C132*10*VLOOKUP($B132,Sheet2!$J$5:$K$7,2,FALSE)*VLOOKUP(Sheet1!$A132,Sheet2!$B$5:$H$29,3,FALSE),0)</x:f>
        <x:v>220</x:v>
      </x:c>
      <x:c r="E132">
        <x:f>ROUND($C132*10*VLOOKUP($B132,Sheet2!$J$5:$K$7,2,FALSE)*VLOOKUP(Sheet1!$A132,Sheet2!$B$5:$H$29,4,FALSE),0)</x:f>
        <x:v>0</x:v>
      </x:c>
      <x:c r="F132">
        <x:f>ROUND($C132*10*VLOOKUP($B132,Sheet2!$J$5:$K$7,2,FALSE)*VLOOKUP(Sheet1!$A132,Sheet2!$B$5:$H$29,5,FALSE),0)</x:f>
        <x:v>0</x:v>
      </x:c>
      <x:c r="G132">
        <x:f>ROUND($C132*10*VLOOKUP($B132,Sheet2!$J$5:$K$7,2,FALSE)*VLOOKUP(Sheet1!$A132,Sheet2!$B$5:$H$29,6,FALSE),0)</x:f>
        <x:v>0</x:v>
      </x:c>
      <x:c r="H132">
        <x:f>ROUND($C132*10*VLOOKUP($B132,Sheet2!$J$5:$K$7,2,FALSE)*VLOOKUP(Sheet1!$A132,Sheet2!$B$5:$H$29,7,FALSE),0)</x:f>
        <x:v>0</x:v>
      </x:c>
      <x:c r="I132">
        <x:f t="shared" si="2"/>
        <x:v>8040</x:v>
      </x:c>
    </x:row>
    <x:row r="133" spans="1:9" x14ac:dyDescent="0.15">
      <x:c r="A133">
        <x:v>54001</x:v>
      </x:c>
      <x:c r="B133">
        <x:v>3</x:v>
      </x:c>
      <x:c r="C133">
        <x:v>12</x:v>
      </x:c>
      <x:c r="D133">
        <x:f>ROUND($C133*10*VLOOKUP($B133,Sheet2!$J$5:$K$7,2,FALSE)*VLOOKUP(Sheet1!$A133,Sheet2!$B$5:$H$29,3,FALSE),0)</x:f>
        <x:v>240</x:v>
      </x:c>
      <x:c r="E133">
        <x:f>ROUND($C133*10*VLOOKUP($B133,Sheet2!$J$5:$K$7,2,FALSE)*VLOOKUP(Sheet1!$A133,Sheet2!$B$5:$H$29,4,FALSE),0)</x:f>
        <x:v>0</x:v>
      </x:c>
      <x:c r="F133">
        <x:f>ROUND($C133*10*VLOOKUP($B133,Sheet2!$J$5:$K$7,2,FALSE)*VLOOKUP(Sheet1!$A133,Sheet2!$B$5:$H$29,5,FALSE),0)</x:f>
        <x:v>0</x:v>
      </x:c>
      <x:c r="G133">
        <x:f>ROUND($C133*10*VLOOKUP($B133,Sheet2!$J$5:$K$7,2,FALSE)*VLOOKUP(Sheet1!$A133,Sheet2!$B$5:$H$29,6,FALSE),0)</x:f>
        <x:v>0</x:v>
      </x:c>
      <x:c r="H133">
        <x:f>ROUND($C133*10*VLOOKUP($B133,Sheet2!$J$5:$K$7,2,FALSE)*VLOOKUP(Sheet1!$A133,Sheet2!$B$5:$H$29,7,FALSE),0)</x:f>
        <x:v>0</x:v>
      </x:c>
      <x:c r="I133">
        <x:f t="shared" si="2"/>
        <x:v>9530</x:v>
      </x:c>
    </x:row>
    <x:row r="134" spans="1:9" x14ac:dyDescent="0.15">
      <x:c r="A134">
        <x:v>54001</x:v>
      </x:c>
      <x:c r="B134">
        <x:v>3</x:v>
      </x:c>
      <x:c r="C134">
        <x:v>13</x:v>
      </x:c>
      <x:c r="D134">
        <x:f>ROUND($C134*10*VLOOKUP($B134,Sheet2!$J$5:$K$7,2,FALSE)*VLOOKUP(Sheet1!$A134,Sheet2!$B$5:$H$29,3,FALSE),0)</x:f>
        <x:v>260</x:v>
      </x:c>
      <x:c r="E134">
        <x:f>ROUND($C134*10*VLOOKUP($B134,Sheet2!$J$5:$K$7,2,FALSE)*VLOOKUP(Sheet1!$A134,Sheet2!$B$5:$H$29,4,FALSE),0)</x:f>
        <x:v>0</x:v>
      </x:c>
      <x:c r="F134">
        <x:f>ROUND($C134*10*VLOOKUP($B134,Sheet2!$J$5:$K$7,2,FALSE)*VLOOKUP(Sheet1!$A134,Sheet2!$B$5:$H$29,5,FALSE),0)</x:f>
        <x:v>0</x:v>
      </x:c>
      <x:c r="G134">
        <x:f>ROUND($C134*10*VLOOKUP($B134,Sheet2!$J$5:$K$7,2,FALSE)*VLOOKUP(Sheet1!$A134,Sheet2!$B$5:$H$29,6,FALSE),0)</x:f>
        <x:v>0</x:v>
      </x:c>
      <x:c r="H134">
        <x:f>ROUND($C134*10*VLOOKUP($B134,Sheet2!$J$5:$K$7,2,FALSE)*VLOOKUP(Sheet1!$A134,Sheet2!$B$5:$H$29,7,FALSE),0)</x:f>
        <x:v>0</x:v>
      </x:c>
      <x:c r="I134">
        <x:f t="shared" si="2"/>
        <x:v>11130</x:v>
      </x:c>
    </x:row>
    <x:row r="135" spans="1:9" x14ac:dyDescent="0.15">
      <x:c r="A135">
        <x:v>54001</x:v>
      </x:c>
      <x:c r="B135">
        <x:v>3</x:v>
      </x:c>
      <x:c r="C135">
        <x:v>14</x:v>
      </x:c>
      <x:c r="D135">
        <x:f>ROUND($C135*10*VLOOKUP($B135,Sheet2!$J$5:$K$7,2,FALSE)*VLOOKUP(Sheet1!$A135,Sheet2!$B$5:$H$29,3,FALSE),0)</x:f>
        <x:v>280</x:v>
      </x:c>
      <x:c r="E135">
        <x:f>ROUND($C135*10*VLOOKUP($B135,Sheet2!$J$5:$K$7,2,FALSE)*VLOOKUP(Sheet1!$A135,Sheet2!$B$5:$H$29,4,FALSE),0)</x:f>
        <x:v>0</x:v>
      </x:c>
      <x:c r="F135">
        <x:f>ROUND($C135*10*VLOOKUP($B135,Sheet2!$J$5:$K$7,2,FALSE)*VLOOKUP(Sheet1!$A135,Sheet2!$B$5:$H$29,5,FALSE),0)</x:f>
        <x:v>0</x:v>
      </x:c>
      <x:c r="G135">
        <x:f>ROUND($C135*10*VLOOKUP($B135,Sheet2!$J$5:$K$7,2,FALSE)*VLOOKUP(Sheet1!$A135,Sheet2!$B$5:$H$29,6,FALSE),0)</x:f>
        <x:v>0</x:v>
      </x:c>
      <x:c r="H135">
        <x:f>ROUND($C135*10*VLOOKUP($B135,Sheet2!$J$5:$K$7,2,FALSE)*VLOOKUP(Sheet1!$A135,Sheet2!$B$5:$H$29,7,FALSE),0)</x:f>
        <x:v>0</x:v>
      </x:c>
      <x:c r="I135">
        <x:f t="shared" si="2"/>
        <x:v>12840</x:v>
      </x:c>
    </x:row>
    <x:row r="136" spans="1:9" x14ac:dyDescent="0.15">
      <x:c r="A136">
        <x:v>54001</x:v>
      </x:c>
      <x:c r="B136">
        <x:v>3</x:v>
      </x:c>
      <x:c r="C136">
        <x:v>15</x:v>
      </x:c>
      <x:c r="D136">
        <x:f>ROUND($C136*10*VLOOKUP($B136,Sheet2!$J$5:$K$7,2,FALSE)*VLOOKUP(Sheet1!$A136,Sheet2!$B$5:$H$29,3,FALSE),0)</x:f>
        <x:v>300</x:v>
      </x:c>
      <x:c r="E136">
        <x:f>ROUND($C136*10*VLOOKUP($B136,Sheet2!$J$5:$K$7,2,FALSE)*VLOOKUP(Sheet1!$A136,Sheet2!$B$5:$H$29,4,FALSE),0)</x:f>
        <x:v>0</x:v>
      </x:c>
      <x:c r="F136">
        <x:f>ROUND($C136*10*VLOOKUP($B136,Sheet2!$J$5:$K$7,2,FALSE)*VLOOKUP(Sheet1!$A136,Sheet2!$B$5:$H$29,5,FALSE),0)</x:f>
        <x:v>0</x:v>
      </x:c>
      <x:c r="G136">
        <x:f>ROUND($C136*10*VLOOKUP($B136,Sheet2!$J$5:$K$7,2,FALSE)*VLOOKUP(Sheet1!$A136,Sheet2!$B$5:$H$29,6,FALSE),0)</x:f>
        <x:v>0</x:v>
      </x:c>
      <x:c r="H136">
        <x:f>ROUND($C136*10*VLOOKUP($B136,Sheet2!$J$5:$K$7,2,FALSE)*VLOOKUP(Sheet1!$A136,Sheet2!$B$5:$H$29,7,FALSE),0)</x:f>
        <x:v>0</x:v>
      </x:c>
      <x:c r="I136">
        <x:f t="shared" si="2"/>
        <x:v>14660</x:v>
      </x:c>
    </x:row>
    <x:row r="137" spans="1:9" x14ac:dyDescent="0.15">
      <x:c r="A137">
        <x:v>54001</x:v>
      </x:c>
      <x:c r="B137">
        <x:v>3</x:v>
      </x:c>
      <x:c r="C137">
        <x:v>16</x:v>
      </x:c>
      <x:c r="D137">
        <x:f>ROUND($C137*10*VLOOKUP($B137,Sheet2!$J$5:$K$7,2,FALSE)*VLOOKUP(Sheet1!$A137,Sheet2!$B$5:$H$29,3,FALSE),0)</x:f>
        <x:v>320</x:v>
      </x:c>
      <x:c r="E137">
        <x:f>ROUND($C137*10*VLOOKUP($B137,Sheet2!$J$5:$K$7,2,FALSE)*VLOOKUP(Sheet1!$A137,Sheet2!$B$5:$H$29,4,FALSE),0)</x:f>
        <x:v>0</x:v>
      </x:c>
      <x:c r="F137">
        <x:f>ROUND($C137*10*VLOOKUP($B137,Sheet2!$J$5:$K$7,2,FALSE)*VLOOKUP(Sheet1!$A137,Sheet2!$B$5:$H$29,5,FALSE),0)</x:f>
        <x:v>0</x:v>
      </x:c>
      <x:c r="G137">
        <x:f>ROUND($C137*10*VLOOKUP($B137,Sheet2!$J$5:$K$7,2,FALSE)*VLOOKUP(Sheet1!$A137,Sheet2!$B$5:$H$29,6,FALSE),0)</x:f>
        <x:v>0</x:v>
      </x:c>
      <x:c r="H137">
        <x:f>ROUND($C137*10*VLOOKUP($B137,Sheet2!$J$5:$K$7,2,FALSE)*VLOOKUP(Sheet1!$A137,Sheet2!$B$5:$H$29,7,FALSE),0)</x:f>
        <x:v>0</x:v>
      </x:c>
      <x:c r="I137">
        <x:f t="shared" si="2"/>
        <x:v>16580</x:v>
      </x:c>
    </x:row>
    <x:row r="138" spans="1:9" x14ac:dyDescent="0.15">
      <x:c r="A138">
        <x:v>54001</x:v>
      </x:c>
      <x:c r="B138">
        <x:v>3</x:v>
      </x:c>
      <x:c r="C138">
        <x:v>17</x:v>
      </x:c>
      <x:c r="D138">
        <x:f>ROUND($C138*10*VLOOKUP($B138,Sheet2!$J$5:$K$7,2,FALSE)*VLOOKUP(Sheet1!$A138,Sheet2!$B$5:$H$29,3,FALSE),0)</x:f>
        <x:v>340</x:v>
      </x:c>
      <x:c r="E138">
        <x:f>ROUND($C138*10*VLOOKUP($B138,Sheet2!$J$5:$K$7,2,FALSE)*VLOOKUP(Sheet1!$A138,Sheet2!$B$5:$H$29,4,FALSE),0)</x:f>
        <x:v>0</x:v>
      </x:c>
      <x:c r="F138">
        <x:f>ROUND($C138*10*VLOOKUP($B138,Sheet2!$J$5:$K$7,2,FALSE)*VLOOKUP(Sheet1!$A138,Sheet2!$B$5:$H$29,5,FALSE),0)</x:f>
        <x:v>0</x:v>
      </x:c>
      <x:c r="G138">
        <x:f>ROUND($C138*10*VLOOKUP($B138,Sheet2!$J$5:$K$7,2,FALSE)*VLOOKUP(Sheet1!$A138,Sheet2!$B$5:$H$29,6,FALSE),0)</x:f>
        <x:v>0</x:v>
      </x:c>
      <x:c r="H138">
        <x:f>ROUND($C138*10*VLOOKUP($B138,Sheet2!$J$5:$K$7,2,FALSE)*VLOOKUP(Sheet1!$A138,Sheet2!$B$5:$H$29,7,FALSE),0)</x:f>
        <x:v>0</x:v>
      </x:c>
      <x:c r="I138">
        <x:f t="shared" si="2"/>
        <x:v>18620</x:v>
      </x:c>
    </x:row>
    <x:row r="139" spans="1:9" x14ac:dyDescent="0.15">
      <x:c r="A139">
        <x:v>54001</x:v>
      </x:c>
      <x:c r="B139">
        <x:v>3</x:v>
      </x:c>
      <x:c r="C139">
        <x:v>18</x:v>
      </x:c>
      <x:c r="D139">
        <x:f>ROUND($C139*10*VLOOKUP($B139,Sheet2!$J$5:$K$7,2,FALSE)*VLOOKUP(Sheet1!$A139,Sheet2!$B$5:$H$29,3,FALSE),0)</x:f>
        <x:v>360</x:v>
      </x:c>
      <x:c r="E139">
        <x:f>ROUND($C139*10*VLOOKUP($B139,Sheet2!$J$5:$K$7,2,FALSE)*VLOOKUP(Sheet1!$A139,Sheet2!$B$5:$H$29,4,FALSE),0)</x:f>
        <x:v>0</x:v>
      </x:c>
      <x:c r="F139">
        <x:f>ROUND($C139*10*VLOOKUP($B139,Sheet2!$J$5:$K$7,2,FALSE)*VLOOKUP(Sheet1!$A139,Sheet2!$B$5:$H$29,5,FALSE),0)</x:f>
        <x:v>0</x:v>
      </x:c>
      <x:c r="G139">
        <x:f>ROUND($C139*10*VLOOKUP($B139,Sheet2!$J$5:$K$7,2,FALSE)*VLOOKUP(Sheet1!$A139,Sheet2!$B$5:$H$29,6,FALSE),0)</x:f>
        <x:v>0</x:v>
      </x:c>
      <x:c r="H139">
        <x:f>ROUND($C139*10*VLOOKUP($B139,Sheet2!$J$5:$K$7,2,FALSE)*VLOOKUP(Sheet1!$A139,Sheet2!$B$5:$H$29,7,FALSE),0)</x:f>
        <x:v>0</x:v>
      </x:c>
      <x:c r="I139">
        <x:f t="shared" si="2"/>
        <x:v>20750</x:v>
      </x:c>
    </x:row>
    <x:row r="140" spans="1:9" x14ac:dyDescent="0.15">
      <x:c r="A140">
        <x:v>54001</x:v>
      </x:c>
      <x:c r="B140">
        <x:v>3</x:v>
      </x:c>
      <x:c r="C140">
        <x:v>19</x:v>
      </x:c>
      <x:c r="D140">
        <x:f>ROUND($C140*10*VLOOKUP($B140,Sheet2!$J$5:$K$7,2,FALSE)*VLOOKUP(Sheet1!$A140,Sheet2!$B$5:$H$29,3,FALSE),0)</x:f>
        <x:v>380</x:v>
      </x:c>
      <x:c r="E140">
        <x:f>ROUND($C140*10*VLOOKUP($B140,Sheet2!$J$5:$K$7,2,FALSE)*VLOOKUP(Sheet1!$A140,Sheet2!$B$5:$H$29,4,FALSE),0)</x:f>
        <x:v>0</x:v>
      </x:c>
      <x:c r="F140">
        <x:f>ROUND($C140*10*VLOOKUP($B140,Sheet2!$J$5:$K$7,2,FALSE)*VLOOKUP(Sheet1!$A140,Sheet2!$B$5:$H$29,5,FALSE),0)</x:f>
        <x:v>0</x:v>
      </x:c>
      <x:c r="G140">
        <x:f>ROUND($C140*10*VLOOKUP($B140,Sheet2!$J$5:$K$7,2,FALSE)*VLOOKUP(Sheet1!$A140,Sheet2!$B$5:$H$29,6,FALSE),0)</x:f>
        <x:v>0</x:v>
      </x:c>
      <x:c r="H140">
        <x:f>ROUND($C140*10*VLOOKUP($B140,Sheet2!$J$5:$K$7,2,FALSE)*VLOOKUP(Sheet1!$A140,Sheet2!$B$5:$H$29,7,FALSE),0)</x:f>
        <x:v>0</x:v>
      </x:c>
      <x:c r="I140">
        <x:f t="shared" si="2"/>
        <x:v>22990</x:v>
      </x:c>
    </x:row>
    <x:row r="141" spans="1:9" x14ac:dyDescent="0.15">
      <x:c r="A141">
        <x:v>54001</x:v>
      </x:c>
      <x:c r="B141">
        <x:v>3</x:v>
      </x:c>
      <x:c r="C141">
        <x:v>20</x:v>
      </x:c>
      <x:c r="D141">
        <x:f>ROUND($C141*10*VLOOKUP($B141,Sheet2!$J$5:$K$7,2,FALSE)*VLOOKUP(Sheet1!$A141,Sheet2!$B$5:$H$29,3,FALSE),0)</x:f>
        <x:v>400</x:v>
      </x:c>
      <x:c r="E141">
        <x:f>ROUND($C141*10*VLOOKUP($B141,Sheet2!$J$5:$K$7,2,FALSE)*VLOOKUP(Sheet1!$A141,Sheet2!$B$5:$H$29,4,FALSE),0)</x:f>
        <x:v>0</x:v>
      </x:c>
      <x:c r="F141">
        <x:f>ROUND($C141*10*VLOOKUP($B141,Sheet2!$J$5:$K$7,2,FALSE)*VLOOKUP(Sheet1!$A141,Sheet2!$B$5:$H$29,5,FALSE),0)</x:f>
        <x:v>0</x:v>
      </x:c>
      <x:c r="G141">
        <x:f>ROUND($C141*10*VLOOKUP($B141,Sheet2!$J$5:$K$7,2,FALSE)*VLOOKUP(Sheet1!$A141,Sheet2!$B$5:$H$29,6,FALSE),0)</x:f>
        <x:v>0</x:v>
      </x:c>
      <x:c r="H141">
        <x:f>ROUND($C141*10*VLOOKUP($B141,Sheet2!$J$5:$K$7,2,FALSE)*VLOOKUP(Sheet1!$A141,Sheet2!$B$5:$H$29,7,FALSE),0)</x:f>
        <x:v>0</x:v>
      </x:c>
      <x:c r="I141">
        <x:f t="shared" si="2"/>
        <x:v>25330</x:v>
      </x:c>
    </x:row>
    <x:row r="142" spans="1:9" x14ac:dyDescent="0.15">
      <x:c r="A142">
        <x:v>54001</x:v>
      </x:c>
      <x:c r="B142">
        <x:v>3</x:v>
      </x:c>
      <x:c r="C142">
        <x:v>21</x:v>
      </x:c>
      <x:c r="D142">
        <x:f>ROUND($C142*10*VLOOKUP($B142,Sheet2!$J$5:$K$7,2,FALSE)*VLOOKUP(Sheet1!$A142,Sheet2!$B$5:$H$29,3,FALSE),0)</x:f>
        <x:v>420</x:v>
      </x:c>
      <x:c r="E142">
        <x:f>ROUND($C142*10*VLOOKUP($B142,Sheet2!$J$5:$K$7,2,FALSE)*VLOOKUP(Sheet1!$A142,Sheet2!$B$5:$H$29,4,FALSE),0)</x:f>
        <x:v>0</x:v>
      </x:c>
      <x:c r="F142">
        <x:f>ROUND($C142*10*VLOOKUP($B142,Sheet2!$J$5:$K$7,2,FALSE)*VLOOKUP(Sheet1!$A142,Sheet2!$B$5:$H$29,5,FALSE),0)</x:f>
        <x:v>0</x:v>
      </x:c>
      <x:c r="G142">
        <x:f>ROUND($C142*10*VLOOKUP($B142,Sheet2!$J$5:$K$7,2,FALSE)*VLOOKUP(Sheet1!$A142,Sheet2!$B$5:$H$29,6,FALSE),0)</x:f>
        <x:v>0</x:v>
      </x:c>
      <x:c r="H142">
        <x:f>ROUND($C142*10*VLOOKUP($B142,Sheet2!$J$5:$K$7,2,FALSE)*VLOOKUP(Sheet1!$A142,Sheet2!$B$5:$H$29,7,FALSE),0)</x:f>
        <x:v>0</x:v>
      </x:c>
      <x:c r="I142">
        <x:f t="shared" si="2"/>
        <x:v>27770</x:v>
      </x:c>
    </x:row>
    <x:row r="143" spans="1:9" x14ac:dyDescent="0.15">
      <x:c r="A143">
        <x:v>54001</x:v>
      </x:c>
      <x:c r="B143">
        <x:v>3</x:v>
      </x:c>
      <x:c r="C143">
        <x:v>22</x:v>
      </x:c>
      <x:c r="D143">
        <x:f>ROUND($C143*10*VLOOKUP($B143,Sheet2!$J$5:$K$7,2,FALSE)*VLOOKUP(Sheet1!$A143,Sheet2!$B$5:$H$29,3,FALSE),0)</x:f>
        <x:v>440</x:v>
      </x:c>
      <x:c r="E143">
        <x:f>ROUND($C143*10*VLOOKUP($B143,Sheet2!$J$5:$K$7,2,FALSE)*VLOOKUP(Sheet1!$A143,Sheet2!$B$5:$H$29,4,FALSE),0)</x:f>
        <x:v>0</x:v>
      </x:c>
      <x:c r="F143">
        <x:f>ROUND($C143*10*VLOOKUP($B143,Sheet2!$J$5:$K$7,2,FALSE)*VLOOKUP(Sheet1!$A143,Sheet2!$B$5:$H$29,5,FALSE),0)</x:f>
        <x:v>0</x:v>
      </x:c>
      <x:c r="G143">
        <x:f>ROUND($C143*10*VLOOKUP($B143,Sheet2!$J$5:$K$7,2,FALSE)*VLOOKUP(Sheet1!$A143,Sheet2!$B$5:$H$29,6,FALSE),0)</x:f>
        <x:v>0</x:v>
      </x:c>
      <x:c r="H143">
        <x:f>ROUND($C143*10*VLOOKUP($B143,Sheet2!$J$5:$K$7,2,FALSE)*VLOOKUP(Sheet1!$A143,Sheet2!$B$5:$H$29,7,FALSE),0)</x:f>
        <x:v>0</x:v>
      </x:c>
      <x:c r="I143">
        <x:f t="shared" si="2"/>
        <x:v>30310</x:v>
      </x:c>
    </x:row>
    <x:row r="144" spans="1:9" x14ac:dyDescent="0.15">
      <x:c r="A144">
        <x:v>54001</x:v>
      </x:c>
      <x:c r="B144">
        <x:v>3</x:v>
      </x:c>
      <x:c r="C144">
        <x:v>23</x:v>
      </x:c>
      <x:c r="D144">
        <x:f>ROUND($C144*10*VLOOKUP($B144,Sheet2!$J$5:$K$7,2,FALSE)*VLOOKUP(Sheet1!$A144,Sheet2!$B$5:$H$29,3,FALSE),0)</x:f>
        <x:v>460</x:v>
      </x:c>
      <x:c r="E144">
        <x:f>ROUND($C144*10*VLOOKUP($B144,Sheet2!$J$5:$K$7,2,FALSE)*VLOOKUP(Sheet1!$A144,Sheet2!$B$5:$H$29,4,FALSE),0)</x:f>
        <x:v>0</x:v>
      </x:c>
      <x:c r="F144">
        <x:f>ROUND($C144*10*VLOOKUP($B144,Sheet2!$J$5:$K$7,2,FALSE)*VLOOKUP(Sheet1!$A144,Sheet2!$B$5:$H$29,5,FALSE),0)</x:f>
        <x:v>0</x:v>
      </x:c>
      <x:c r="G144">
        <x:f>ROUND($C144*10*VLOOKUP($B144,Sheet2!$J$5:$K$7,2,FALSE)*VLOOKUP(Sheet1!$A144,Sheet2!$B$5:$H$29,6,FALSE),0)</x:f>
        <x:v>0</x:v>
      </x:c>
      <x:c r="H144">
        <x:f>ROUND($C144*10*VLOOKUP($B144,Sheet2!$J$5:$K$7,2,FALSE)*VLOOKUP(Sheet1!$A144,Sheet2!$B$5:$H$29,7,FALSE),0)</x:f>
        <x:v>0</x:v>
      </x:c>
      <x:c r="I144">
        <x:f t="shared" si="2"/>
        <x:v>32950</x:v>
      </x:c>
    </x:row>
    <x:row r="145" spans="1:9" x14ac:dyDescent="0.15">
      <x:c r="A145">
        <x:v>54001</x:v>
      </x:c>
      <x:c r="B145">
        <x:v>3</x:v>
      </x:c>
      <x:c r="C145">
        <x:v>24</x:v>
      </x:c>
      <x:c r="D145">
        <x:f>ROUND($C145*10*VLOOKUP($B145,Sheet2!$J$5:$K$7,2,FALSE)*VLOOKUP(Sheet1!$A145,Sheet2!$B$5:$H$29,3,FALSE),0)</x:f>
        <x:v>480</x:v>
      </x:c>
      <x:c r="E145">
        <x:f>ROUND($C145*10*VLOOKUP($B145,Sheet2!$J$5:$K$7,2,FALSE)*VLOOKUP(Sheet1!$A145,Sheet2!$B$5:$H$29,4,FALSE),0)</x:f>
        <x:v>0</x:v>
      </x:c>
      <x:c r="F145">
        <x:f>ROUND($C145*10*VLOOKUP($B145,Sheet2!$J$5:$K$7,2,FALSE)*VLOOKUP(Sheet1!$A145,Sheet2!$B$5:$H$29,5,FALSE),0)</x:f>
        <x:v>0</x:v>
      </x:c>
      <x:c r="G145">
        <x:f>ROUND($C145*10*VLOOKUP($B145,Sheet2!$J$5:$K$7,2,FALSE)*VLOOKUP(Sheet1!$A145,Sheet2!$B$5:$H$29,6,FALSE),0)</x:f>
        <x:v>0</x:v>
      </x:c>
      <x:c r="H145">
        <x:f>ROUND($C145*10*VLOOKUP($B145,Sheet2!$J$5:$K$7,2,FALSE)*VLOOKUP(Sheet1!$A145,Sheet2!$B$5:$H$29,7,FALSE),0)</x:f>
        <x:v>0</x:v>
      </x:c>
      <x:c r="I145">
        <x:f t="shared" si="2"/>
        <x:v>35690</x:v>
      </x:c>
    </x:row>
    <x:row r="146" spans="1:9" x14ac:dyDescent="0.15">
      <x:c r="A146">
        <x:v>54001</x:v>
      </x:c>
      <x:c r="B146">
        <x:v>3</x:v>
      </x:c>
      <x:c r="C146">
        <x:v>25</x:v>
      </x:c>
      <x:c r="D146">
        <x:f>ROUND($C146*10*VLOOKUP($B146,Sheet2!$J$5:$K$7,2,FALSE)*VLOOKUP(Sheet1!$A146,Sheet2!$B$5:$H$29,3,FALSE),0)</x:f>
        <x:v>500</x:v>
      </x:c>
      <x:c r="E146">
        <x:f>ROUND($C146*10*VLOOKUP($B146,Sheet2!$J$5:$K$7,2,FALSE)*VLOOKUP(Sheet1!$A146,Sheet2!$B$5:$H$29,4,FALSE),0)</x:f>
        <x:v>0</x:v>
      </x:c>
      <x:c r="F146">
        <x:f>ROUND($C146*10*VLOOKUP($B146,Sheet2!$J$5:$K$7,2,FALSE)*VLOOKUP(Sheet1!$A146,Sheet2!$B$5:$H$29,5,FALSE),0)</x:f>
        <x:v>0</x:v>
      </x:c>
      <x:c r="G146">
        <x:f>ROUND($C146*10*VLOOKUP($B146,Sheet2!$J$5:$K$7,2,FALSE)*VLOOKUP(Sheet1!$A146,Sheet2!$B$5:$H$29,6,FALSE),0)</x:f>
        <x:v>0</x:v>
      </x:c>
      <x:c r="H146">
        <x:f>ROUND($C146*10*VLOOKUP($B146,Sheet2!$J$5:$K$7,2,FALSE)*VLOOKUP(Sheet1!$A146,Sheet2!$B$5:$H$29,7,FALSE),0)</x:f>
        <x:v>0</x:v>
      </x:c>
      <x:c r="I146">
        <x:f t="shared" si="2"/>
        <x:v>38530</x:v>
      </x:c>
    </x:row>
    <x:row r="147" spans="1:9" x14ac:dyDescent="0.15">
      <x:c r="A147">
        <x:v>54001</x:v>
      </x:c>
      <x:c r="B147">
        <x:v>3</x:v>
      </x:c>
      <x:c r="C147">
        <x:v>26</x:v>
      </x:c>
      <x:c r="D147">
        <x:f>ROUND($C147*10*VLOOKUP($B147,Sheet2!$J$5:$K$7,2,FALSE)*VLOOKUP(Sheet1!$A147,Sheet2!$B$5:$H$29,3,FALSE),0)</x:f>
        <x:v>520</x:v>
      </x:c>
      <x:c r="E147">
        <x:f>ROUND($C147*10*VLOOKUP($B147,Sheet2!$J$5:$K$7,2,FALSE)*VLOOKUP(Sheet1!$A147,Sheet2!$B$5:$H$29,4,FALSE),0)</x:f>
        <x:v>0</x:v>
      </x:c>
      <x:c r="F147">
        <x:f>ROUND($C147*10*VLOOKUP($B147,Sheet2!$J$5:$K$7,2,FALSE)*VLOOKUP(Sheet1!$A147,Sheet2!$B$5:$H$29,5,FALSE),0)</x:f>
        <x:v>0</x:v>
      </x:c>
      <x:c r="G147">
        <x:f>ROUND($C147*10*VLOOKUP($B147,Sheet2!$J$5:$K$7,2,FALSE)*VLOOKUP(Sheet1!$A147,Sheet2!$B$5:$H$29,6,FALSE),0)</x:f>
        <x:v>0</x:v>
      </x:c>
      <x:c r="H147">
        <x:f>ROUND($C147*10*VLOOKUP($B147,Sheet2!$J$5:$K$7,2,FALSE)*VLOOKUP(Sheet1!$A147,Sheet2!$B$5:$H$29,7,FALSE),0)</x:f>
        <x:v>0</x:v>
      </x:c>
      <x:c r="I147">
        <x:f t="shared" si="2"/>
        <x:v>41460</x:v>
      </x:c>
    </x:row>
    <x:row r="148" spans="1:9" x14ac:dyDescent="0.15">
      <x:c r="A148">
        <x:v>54001</x:v>
      </x:c>
      <x:c r="B148">
        <x:v>3</x:v>
      </x:c>
      <x:c r="C148">
        <x:v>27</x:v>
      </x:c>
      <x:c r="D148">
        <x:f>ROUND($C148*10*VLOOKUP($B148,Sheet2!$J$5:$K$7,2,FALSE)*VLOOKUP(Sheet1!$A148,Sheet2!$B$5:$H$29,3,FALSE),0)</x:f>
        <x:v>540</x:v>
      </x:c>
      <x:c r="E148">
        <x:f>ROUND($C148*10*VLOOKUP($B148,Sheet2!$J$5:$K$7,2,FALSE)*VLOOKUP(Sheet1!$A148,Sheet2!$B$5:$H$29,4,FALSE),0)</x:f>
        <x:v>0</x:v>
      </x:c>
      <x:c r="F148">
        <x:f>ROUND($C148*10*VLOOKUP($B148,Sheet2!$J$5:$K$7,2,FALSE)*VLOOKUP(Sheet1!$A148,Sheet2!$B$5:$H$29,5,FALSE),0)</x:f>
        <x:v>0</x:v>
      </x:c>
      <x:c r="G148">
        <x:f>ROUND($C148*10*VLOOKUP($B148,Sheet2!$J$5:$K$7,2,FALSE)*VLOOKUP(Sheet1!$A148,Sheet2!$B$5:$H$29,6,FALSE),0)</x:f>
        <x:v>0</x:v>
      </x:c>
      <x:c r="H148">
        <x:f>ROUND($C148*10*VLOOKUP($B148,Sheet2!$J$5:$K$7,2,FALSE)*VLOOKUP(Sheet1!$A148,Sheet2!$B$5:$H$29,7,FALSE),0)</x:f>
        <x:v>0</x:v>
      </x:c>
      <x:c r="I148">
        <x:f t="shared" si="2"/>
        <x:v>44480</x:v>
      </x:c>
    </x:row>
    <x:row r="149" spans="1:9" x14ac:dyDescent="0.15">
      <x:c r="A149">
        <x:v>54001</x:v>
      </x:c>
      <x:c r="B149">
        <x:v>3</x:v>
      </x:c>
      <x:c r="C149">
        <x:v>28</x:v>
      </x:c>
      <x:c r="D149">
        <x:f>ROUND($C149*10*VLOOKUP($B149,Sheet2!$J$5:$K$7,2,FALSE)*VLOOKUP(Sheet1!$A149,Sheet2!$B$5:$H$29,3,FALSE),0)</x:f>
        <x:v>560</x:v>
      </x:c>
      <x:c r="E149">
        <x:f>ROUND($C149*10*VLOOKUP($B149,Sheet2!$J$5:$K$7,2,FALSE)*VLOOKUP(Sheet1!$A149,Sheet2!$B$5:$H$29,4,FALSE),0)</x:f>
        <x:v>0</x:v>
      </x:c>
      <x:c r="F149">
        <x:f>ROUND($C149*10*VLOOKUP($B149,Sheet2!$J$5:$K$7,2,FALSE)*VLOOKUP(Sheet1!$A149,Sheet2!$B$5:$H$29,5,FALSE),0)</x:f>
        <x:v>0</x:v>
      </x:c>
      <x:c r="G149">
        <x:f>ROUND($C149*10*VLOOKUP($B149,Sheet2!$J$5:$K$7,2,FALSE)*VLOOKUP(Sheet1!$A149,Sheet2!$B$5:$H$29,6,FALSE),0)</x:f>
        <x:v>0</x:v>
      </x:c>
      <x:c r="H149">
        <x:f>ROUND($C149*10*VLOOKUP($B149,Sheet2!$J$5:$K$7,2,FALSE)*VLOOKUP(Sheet1!$A149,Sheet2!$B$5:$H$29,7,FALSE),0)</x:f>
        <x:v>0</x:v>
      </x:c>
      <x:c r="I149">
        <x:f t="shared" si="2"/>
        <x:v>47600</x:v>
      </x:c>
    </x:row>
    <x:row r="150" spans="1:9" x14ac:dyDescent="0.15">
      <x:c r="A150">
        <x:v>54001</x:v>
      </x:c>
      <x:c r="B150">
        <x:v>3</x:v>
      </x:c>
      <x:c r="C150">
        <x:v>29</x:v>
      </x:c>
      <x:c r="D150">
        <x:f>ROUND($C150*10*VLOOKUP($B150,Sheet2!$J$5:$K$7,2,FALSE)*VLOOKUP(Sheet1!$A150,Sheet2!$B$5:$H$29,3,FALSE),0)</x:f>
        <x:v>580</x:v>
      </x:c>
      <x:c r="E150">
        <x:f>ROUND($C150*10*VLOOKUP($B150,Sheet2!$J$5:$K$7,2,FALSE)*VLOOKUP(Sheet1!$A150,Sheet2!$B$5:$H$29,4,FALSE),0)</x:f>
        <x:v>0</x:v>
      </x:c>
      <x:c r="F150">
        <x:f>ROUND($C150*10*VLOOKUP($B150,Sheet2!$J$5:$K$7,2,FALSE)*VLOOKUP(Sheet1!$A150,Sheet2!$B$5:$H$29,5,FALSE),0)</x:f>
        <x:v>0</x:v>
      </x:c>
      <x:c r="G150">
        <x:f>ROUND($C150*10*VLOOKUP($B150,Sheet2!$J$5:$K$7,2,FALSE)*VLOOKUP(Sheet1!$A150,Sheet2!$B$5:$H$29,6,FALSE),0)</x:f>
        <x:v>0</x:v>
      </x:c>
      <x:c r="H150">
        <x:f>ROUND($C150*10*VLOOKUP($B150,Sheet2!$J$5:$K$7,2,FALSE)*VLOOKUP(Sheet1!$A150,Sheet2!$B$5:$H$29,7,FALSE),0)</x:f>
        <x:v>0</x:v>
      </x:c>
      <x:c r="I150">
        <x:f t="shared" si="2"/>
        <x:v>50820</x:v>
      </x:c>
    </x:row>
    <x:row r="151" spans="1:9" x14ac:dyDescent="0.15">
      <x:c r="A151">
        <x:v>54001</x:v>
      </x:c>
      <x:c r="B151">
        <x:v>3</x:v>
      </x:c>
      <x:c r="C151">
        <x:v>30</x:v>
      </x:c>
      <x:c r="D151">
        <x:f>ROUND($C151*10*VLOOKUP($B151,Sheet2!$J$5:$K$7,2,FALSE)*VLOOKUP(Sheet1!$A151,Sheet2!$B$5:$H$29,3,FALSE),0)</x:f>
        <x:v>600</x:v>
      </x:c>
      <x:c r="E151">
        <x:f>ROUND($C151*10*VLOOKUP($B151,Sheet2!$J$5:$K$7,2,FALSE)*VLOOKUP(Sheet1!$A151,Sheet2!$B$5:$H$29,4,FALSE),0)</x:f>
        <x:v>0</x:v>
      </x:c>
      <x:c r="F151">
        <x:f>ROUND($C151*10*VLOOKUP($B151,Sheet2!$J$5:$K$7,2,FALSE)*VLOOKUP(Sheet1!$A151,Sheet2!$B$5:$H$29,5,FALSE),0)</x:f>
        <x:v>0</x:v>
      </x:c>
      <x:c r="G151">
        <x:f>ROUND($C151*10*VLOOKUP($B151,Sheet2!$J$5:$K$7,2,FALSE)*VLOOKUP(Sheet1!$A151,Sheet2!$B$5:$H$29,6,FALSE),0)</x:f>
        <x:v>0</x:v>
      </x:c>
      <x:c r="H151">
        <x:f>ROUND($C151*10*VLOOKUP($B151,Sheet2!$J$5:$K$7,2,FALSE)*VLOOKUP(Sheet1!$A151,Sheet2!$B$5:$H$29,7,FALSE),0)</x:f>
        <x:v>0</x:v>
      </x:c>
      <x:c r="I151">
        <x:f t="shared" si="2"/>
        <x:v>54130</x:v>
      </x:c>
    </x:row>
    <x:row r="152" spans="1:9" x14ac:dyDescent="0.15">
      <x:c r="A152">
        <x:v>54001</x:v>
      </x:c>
      <x:c r="B152">
        <x:v>3</x:v>
      </x:c>
      <x:c r="C152">
        <x:v>31</x:v>
      </x:c>
      <x:c r="D152">
        <x:f>ROUND($C152*10*VLOOKUP($B152,Sheet2!$J$5:$K$7,2,FALSE)*VLOOKUP(Sheet1!$A152,Sheet2!$B$5:$H$29,3,FALSE),0)</x:f>
        <x:v>620</x:v>
      </x:c>
      <x:c r="E152">
        <x:f>ROUND($C152*10*VLOOKUP($B152,Sheet2!$J$5:$K$7,2,FALSE)*VLOOKUP(Sheet1!$A152,Sheet2!$B$5:$H$29,4,FALSE),0)</x:f>
        <x:v>0</x:v>
      </x:c>
      <x:c r="F152">
        <x:f>ROUND($C152*10*VLOOKUP($B152,Sheet2!$J$5:$K$7,2,FALSE)*VLOOKUP(Sheet1!$A152,Sheet2!$B$5:$H$29,5,FALSE),0)</x:f>
        <x:v>0</x:v>
      </x:c>
      <x:c r="G152">
        <x:f>ROUND($C152*10*VLOOKUP($B152,Sheet2!$J$5:$K$7,2,FALSE)*VLOOKUP(Sheet1!$A152,Sheet2!$B$5:$H$29,6,FALSE),0)</x:f>
        <x:v>0</x:v>
      </x:c>
      <x:c r="H152">
        <x:f>ROUND($C152*10*VLOOKUP($B152,Sheet2!$J$5:$K$7,2,FALSE)*VLOOKUP(Sheet1!$A152,Sheet2!$B$5:$H$29,7,FALSE),0)</x:f>
        <x:v>0</x:v>
      </x:c>
      <x:c r="I152">
        <x:f t="shared" si="2"/>
        <x:v>57530</x:v>
      </x:c>
    </x:row>
    <x:row r="153" spans="1:9" x14ac:dyDescent="0.15">
      <x:c r="A153">
        <x:v>54001</x:v>
      </x:c>
      <x:c r="B153">
        <x:v>3</x:v>
      </x:c>
      <x:c r="C153">
        <x:v>32</x:v>
      </x:c>
      <x:c r="D153">
        <x:f>ROUND($C153*10*VLOOKUP($B153,Sheet2!$J$5:$K$7,2,FALSE)*VLOOKUP(Sheet1!$A153,Sheet2!$B$5:$H$29,3,FALSE),0)</x:f>
        <x:v>640</x:v>
      </x:c>
      <x:c r="E153">
        <x:f>ROUND($C153*10*VLOOKUP($B153,Sheet2!$J$5:$K$7,2,FALSE)*VLOOKUP(Sheet1!$A153,Sheet2!$B$5:$H$29,4,FALSE),0)</x:f>
        <x:v>0</x:v>
      </x:c>
      <x:c r="F153">
        <x:f>ROUND($C153*10*VLOOKUP($B153,Sheet2!$J$5:$K$7,2,FALSE)*VLOOKUP(Sheet1!$A153,Sheet2!$B$5:$H$29,5,FALSE),0)</x:f>
        <x:v>0</x:v>
      </x:c>
      <x:c r="G153">
        <x:f>ROUND($C153*10*VLOOKUP($B153,Sheet2!$J$5:$K$7,2,FALSE)*VLOOKUP(Sheet1!$A153,Sheet2!$B$5:$H$29,6,FALSE),0)</x:f>
        <x:v>0</x:v>
      </x:c>
      <x:c r="H153">
        <x:f>ROUND($C153*10*VLOOKUP($B153,Sheet2!$J$5:$K$7,2,FALSE)*VLOOKUP(Sheet1!$A153,Sheet2!$B$5:$H$29,7,FALSE),0)</x:f>
        <x:v>0</x:v>
      </x:c>
      <x:c r="I153">
        <x:f t="shared" si="2"/>
        <x:v>61020</x:v>
      </x:c>
    </x:row>
    <x:row r="154" spans="1:9" x14ac:dyDescent="0.15">
      <x:c r="A154">
        <x:v>54001</x:v>
      </x:c>
      <x:c r="B154">
        <x:v>3</x:v>
      </x:c>
      <x:c r="C154">
        <x:v>33</x:v>
      </x:c>
      <x:c r="D154">
        <x:f>ROUND($C154*10*VLOOKUP($B154,Sheet2!$J$5:$K$7,2,FALSE)*VLOOKUP(Sheet1!$A154,Sheet2!$B$5:$H$29,3,FALSE),0)</x:f>
        <x:v>660</x:v>
      </x:c>
      <x:c r="E154">
        <x:f>ROUND($C154*10*VLOOKUP($B154,Sheet2!$J$5:$K$7,2,FALSE)*VLOOKUP(Sheet1!$A154,Sheet2!$B$5:$H$29,4,FALSE),0)</x:f>
        <x:v>0</x:v>
      </x:c>
      <x:c r="F154">
        <x:f>ROUND($C154*10*VLOOKUP($B154,Sheet2!$J$5:$K$7,2,FALSE)*VLOOKUP(Sheet1!$A154,Sheet2!$B$5:$H$29,5,FALSE),0)</x:f>
        <x:v>0</x:v>
      </x:c>
      <x:c r="G154">
        <x:f>ROUND($C154*10*VLOOKUP($B154,Sheet2!$J$5:$K$7,2,FALSE)*VLOOKUP(Sheet1!$A154,Sheet2!$B$5:$H$29,6,FALSE),0)</x:f>
        <x:v>0</x:v>
      </x:c>
      <x:c r="H154">
        <x:f>ROUND($C154*10*VLOOKUP($B154,Sheet2!$J$5:$K$7,2,FALSE)*VLOOKUP(Sheet1!$A154,Sheet2!$B$5:$H$29,7,FALSE),0)</x:f>
        <x:v>0</x:v>
      </x:c>
      <x:c r="I154">
        <x:f t="shared" si="2"/>
        <x:v>64600</x:v>
      </x:c>
    </x:row>
    <x:row r="155" spans="1:9" x14ac:dyDescent="0.15">
      <x:c r="A155">
        <x:v>54001</x:v>
      </x:c>
      <x:c r="B155">
        <x:v>3</x:v>
      </x:c>
      <x:c r="C155">
        <x:v>34</x:v>
      </x:c>
      <x:c r="D155">
        <x:f>ROUND($C155*10*VLOOKUP($B155,Sheet2!$J$5:$K$7,2,FALSE)*VLOOKUP(Sheet1!$A155,Sheet2!$B$5:$H$29,3,FALSE),0)</x:f>
        <x:v>680</x:v>
      </x:c>
      <x:c r="E155">
        <x:f>ROUND($C155*10*VLOOKUP($B155,Sheet2!$J$5:$K$7,2,FALSE)*VLOOKUP(Sheet1!$A155,Sheet2!$B$5:$H$29,4,FALSE),0)</x:f>
        <x:v>0</x:v>
      </x:c>
      <x:c r="F155">
        <x:f>ROUND($C155*10*VLOOKUP($B155,Sheet2!$J$5:$K$7,2,FALSE)*VLOOKUP(Sheet1!$A155,Sheet2!$B$5:$H$29,5,FALSE),0)</x:f>
        <x:v>0</x:v>
      </x:c>
      <x:c r="G155">
        <x:f>ROUND($C155*10*VLOOKUP($B155,Sheet2!$J$5:$K$7,2,FALSE)*VLOOKUP(Sheet1!$A155,Sheet2!$B$5:$H$29,6,FALSE),0)</x:f>
        <x:v>0</x:v>
      </x:c>
      <x:c r="H155">
        <x:f>ROUND($C155*10*VLOOKUP($B155,Sheet2!$J$5:$K$7,2,FALSE)*VLOOKUP(Sheet1!$A155,Sheet2!$B$5:$H$29,7,FALSE),0)</x:f>
        <x:v>0</x:v>
      </x:c>
      <x:c r="I155">
        <x:f t="shared" si="2"/>
        <x:v>68280</x:v>
      </x:c>
    </x:row>
    <x:row r="156" spans="1:9" x14ac:dyDescent="0.15">
      <x:c r="A156">
        <x:v>54001</x:v>
      </x:c>
      <x:c r="B156">
        <x:v>3</x:v>
      </x:c>
      <x:c r="C156">
        <x:v>35</x:v>
      </x:c>
      <x:c r="D156">
        <x:f>ROUND($C156*10*VLOOKUP($B156,Sheet2!$J$5:$K$7,2,FALSE)*VLOOKUP(Sheet1!$A156,Sheet2!$B$5:$H$29,3,FALSE),0)</x:f>
        <x:v>700</x:v>
      </x:c>
      <x:c r="E156">
        <x:f>ROUND($C156*10*VLOOKUP($B156,Sheet2!$J$5:$K$7,2,FALSE)*VLOOKUP(Sheet1!$A156,Sheet2!$B$5:$H$29,4,FALSE),0)</x:f>
        <x:v>0</x:v>
      </x:c>
      <x:c r="F156">
        <x:f>ROUND($C156*10*VLOOKUP($B156,Sheet2!$J$5:$K$7,2,FALSE)*VLOOKUP(Sheet1!$A156,Sheet2!$B$5:$H$29,5,FALSE),0)</x:f>
        <x:v>0</x:v>
      </x:c>
      <x:c r="G156">
        <x:f>ROUND($C156*10*VLOOKUP($B156,Sheet2!$J$5:$K$7,2,FALSE)*VLOOKUP(Sheet1!$A156,Sheet2!$B$5:$H$29,6,FALSE),0)</x:f>
        <x:v>0</x:v>
      </x:c>
      <x:c r="H156">
        <x:f>ROUND($C156*10*VLOOKUP($B156,Sheet2!$J$5:$K$7,2,FALSE)*VLOOKUP(Sheet1!$A156,Sheet2!$B$5:$H$29,7,FALSE),0)</x:f>
        <x:v>0</x:v>
      </x:c>
      <x:c r="I156">
        <x:f t="shared" si="2"/>
        <x:v>72040</x:v>
      </x:c>
    </x:row>
    <x:row r="157" spans="1:9" x14ac:dyDescent="0.15">
      <x:c r="A157">
        <x:v>54001</x:v>
      </x:c>
      <x:c r="B157">
        <x:v>3</x:v>
      </x:c>
      <x:c r="C157">
        <x:v>36</x:v>
      </x:c>
      <x:c r="D157">
        <x:f>ROUND($C157*10*VLOOKUP($B157,Sheet2!$J$5:$K$7,2,FALSE)*VLOOKUP(Sheet1!$A157,Sheet2!$B$5:$H$29,3,FALSE),0)</x:f>
        <x:v>720</x:v>
      </x:c>
      <x:c r="E157">
        <x:f>ROUND($C157*10*VLOOKUP($B157,Sheet2!$J$5:$K$7,2,FALSE)*VLOOKUP(Sheet1!$A157,Sheet2!$B$5:$H$29,4,FALSE),0)</x:f>
        <x:v>0</x:v>
      </x:c>
      <x:c r="F157">
        <x:f>ROUND($C157*10*VLOOKUP($B157,Sheet2!$J$5:$K$7,2,FALSE)*VLOOKUP(Sheet1!$A157,Sheet2!$B$5:$H$29,5,FALSE),0)</x:f>
        <x:v>0</x:v>
      </x:c>
      <x:c r="G157">
        <x:f>ROUND($C157*10*VLOOKUP($B157,Sheet2!$J$5:$K$7,2,FALSE)*VLOOKUP(Sheet1!$A157,Sheet2!$B$5:$H$29,6,FALSE),0)</x:f>
        <x:v>0</x:v>
      </x:c>
      <x:c r="H157">
        <x:f>ROUND($C157*10*VLOOKUP($B157,Sheet2!$J$5:$K$7,2,FALSE)*VLOOKUP(Sheet1!$A157,Sheet2!$B$5:$H$29,7,FALSE),0)</x:f>
        <x:v>0</x:v>
      </x:c>
      <x:c r="I157">
        <x:f t="shared" si="2"/>
        <x:v>75890</x:v>
      </x:c>
    </x:row>
    <x:row r="158" spans="1:9" x14ac:dyDescent="0.15">
      <x:c r="A158">
        <x:v>54001</x:v>
      </x:c>
      <x:c r="B158">
        <x:v>3</x:v>
      </x:c>
      <x:c r="C158">
        <x:v>37</x:v>
      </x:c>
      <x:c r="D158">
        <x:f>ROUND($C158*10*VLOOKUP($B158,Sheet2!$J$5:$K$7,2,FALSE)*VLOOKUP(Sheet1!$A158,Sheet2!$B$5:$H$29,3,FALSE),0)</x:f>
        <x:v>740</x:v>
      </x:c>
      <x:c r="E158">
        <x:f>ROUND($C158*10*VLOOKUP($B158,Sheet2!$J$5:$K$7,2,FALSE)*VLOOKUP(Sheet1!$A158,Sheet2!$B$5:$H$29,4,FALSE),0)</x:f>
        <x:v>0</x:v>
      </x:c>
      <x:c r="F158">
        <x:f>ROUND($C158*10*VLOOKUP($B158,Sheet2!$J$5:$K$7,2,FALSE)*VLOOKUP(Sheet1!$A158,Sheet2!$B$5:$H$29,5,FALSE),0)</x:f>
        <x:v>0</x:v>
      </x:c>
      <x:c r="G158">
        <x:f>ROUND($C158*10*VLOOKUP($B158,Sheet2!$J$5:$K$7,2,FALSE)*VLOOKUP(Sheet1!$A158,Sheet2!$B$5:$H$29,6,FALSE),0)</x:f>
        <x:v>0</x:v>
      </x:c>
      <x:c r="H158">
        <x:f>ROUND($C158*10*VLOOKUP($B158,Sheet2!$J$5:$K$7,2,FALSE)*VLOOKUP(Sheet1!$A158,Sheet2!$B$5:$H$29,7,FALSE),0)</x:f>
        <x:v>0</x:v>
      </x:c>
      <x:c r="I158">
        <x:f t="shared" si="2"/>
        <x:v>79840</x:v>
      </x:c>
    </x:row>
    <x:row r="159" spans="1:9" x14ac:dyDescent="0.15">
      <x:c r="A159">
        <x:v>54001</x:v>
      </x:c>
      <x:c r="B159">
        <x:v>3</x:v>
      </x:c>
      <x:c r="C159">
        <x:v>38</x:v>
      </x:c>
      <x:c r="D159">
        <x:f>ROUND($C159*10*VLOOKUP($B159,Sheet2!$J$5:$K$7,2,FALSE)*VLOOKUP(Sheet1!$A159,Sheet2!$B$5:$H$29,3,FALSE),0)</x:f>
        <x:v>760</x:v>
      </x:c>
      <x:c r="E159">
        <x:f>ROUND($C159*10*VLOOKUP($B159,Sheet2!$J$5:$K$7,2,FALSE)*VLOOKUP(Sheet1!$A159,Sheet2!$B$5:$H$29,4,FALSE),0)</x:f>
        <x:v>0</x:v>
      </x:c>
      <x:c r="F159">
        <x:f>ROUND($C159*10*VLOOKUP($B159,Sheet2!$J$5:$K$7,2,FALSE)*VLOOKUP(Sheet1!$A159,Sheet2!$B$5:$H$29,5,FALSE),0)</x:f>
        <x:v>0</x:v>
      </x:c>
      <x:c r="G159">
        <x:f>ROUND($C159*10*VLOOKUP($B159,Sheet2!$J$5:$K$7,2,FALSE)*VLOOKUP(Sheet1!$A159,Sheet2!$B$5:$H$29,6,FALSE),0)</x:f>
        <x:v>0</x:v>
      </x:c>
      <x:c r="H159">
        <x:f>ROUND($C159*10*VLOOKUP($B159,Sheet2!$J$5:$K$7,2,FALSE)*VLOOKUP(Sheet1!$A159,Sheet2!$B$5:$H$29,7,FALSE),0)</x:f>
        <x:v>0</x:v>
      </x:c>
      <x:c r="I159">
        <x:f t="shared" si="2"/>
        <x:v>83870</x:v>
      </x:c>
    </x:row>
    <x:row r="160" spans="1:9" x14ac:dyDescent="0.15">
      <x:c r="A160">
        <x:v>54001</x:v>
      </x:c>
      <x:c r="B160">
        <x:v>3</x:v>
      </x:c>
      <x:c r="C160">
        <x:v>39</x:v>
      </x:c>
      <x:c r="D160">
        <x:f>ROUND($C160*10*VLOOKUP($B160,Sheet2!$J$5:$K$7,2,FALSE)*VLOOKUP(Sheet1!$A160,Sheet2!$B$5:$H$29,3,FALSE),0)</x:f>
        <x:v>780</x:v>
      </x:c>
      <x:c r="E160">
        <x:f>ROUND($C160*10*VLOOKUP($B160,Sheet2!$J$5:$K$7,2,FALSE)*VLOOKUP(Sheet1!$A160,Sheet2!$B$5:$H$29,4,FALSE),0)</x:f>
        <x:v>0</x:v>
      </x:c>
      <x:c r="F160">
        <x:f>ROUND($C160*10*VLOOKUP($B160,Sheet2!$J$5:$K$7,2,FALSE)*VLOOKUP(Sheet1!$A160,Sheet2!$B$5:$H$29,5,FALSE),0)</x:f>
        <x:v>0</x:v>
      </x:c>
      <x:c r="G160">
        <x:f>ROUND($C160*10*VLOOKUP($B160,Sheet2!$J$5:$K$7,2,FALSE)*VLOOKUP(Sheet1!$A160,Sheet2!$B$5:$H$29,6,FALSE),0)</x:f>
        <x:v>0</x:v>
      </x:c>
      <x:c r="H160">
        <x:f>ROUND($C160*10*VLOOKUP($B160,Sheet2!$J$5:$K$7,2,FALSE)*VLOOKUP(Sheet1!$A160,Sheet2!$B$5:$H$29,7,FALSE),0)</x:f>
        <x:v>0</x:v>
      </x:c>
      <x:c r="I160">
        <x:f t="shared" si="2"/>
        <x:v>87990</x:v>
      </x:c>
    </x:row>
    <x:row r="161" spans="1:9" x14ac:dyDescent="0.15">
      <x:c r="A161">
        <x:v>54001</x:v>
      </x:c>
      <x:c r="B161">
        <x:v>3</x:v>
      </x:c>
      <x:c r="C161">
        <x:v>40</x:v>
      </x:c>
      <x:c r="D161">
        <x:f>ROUND($C161*10*VLOOKUP($B161,Sheet2!$J$5:$K$7,2,FALSE)*VLOOKUP(Sheet1!$A161,Sheet2!$B$5:$H$29,3,FALSE),0)</x:f>
        <x:v>800</x:v>
      </x:c>
      <x:c r="E161">
        <x:f>ROUND($C161*10*VLOOKUP($B161,Sheet2!$J$5:$K$7,2,FALSE)*VLOOKUP(Sheet1!$A161,Sheet2!$B$5:$H$29,4,FALSE),0)</x:f>
        <x:v>0</x:v>
      </x:c>
      <x:c r="F161">
        <x:f>ROUND($C161*10*VLOOKUP($B161,Sheet2!$J$5:$K$7,2,FALSE)*VLOOKUP(Sheet1!$A161,Sheet2!$B$5:$H$29,5,FALSE),0)</x:f>
        <x:v>0</x:v>
      </x:c>
      <x:c r="G161">
        <x:f>ROUND($C161*10*VLOOKUP($B161,Sheet2!$J$5:$K$7,2,FALSE)*VLOOKUP(Sheet1!$A161,Sheet2!$B$5:$H$29,6,FALSE),0)</x:f>
        <x:v>0</x:v>
      </x:c>
      <x:c r="H161">
        <x:f>ROUND($C161*10*VLOOKUP($B161,Sheet2!$J$5:$K$7,2,FALSE)*VLOOKUP(Sheet1!$A161,Sheet2!$B$5:$H$29,7,FALSE),0)</x:f>
        <x:v>0</x:v>
      </x:c>
      <x:c r="I161">
        <x:f t="shared" si="2"/>
        <x:v>92200</x:v>
      </x:c>
    </x:row>
    <x:row r="162" spans="1:9" x14ac:dyDescent="0.15">
      <x:c r="A162">
        <x:v>54001</x:v>
      </x:c>
      <x:c r="B162">
        <x:v>3</x:v>
      </x:c>
      <x:c r="C162">
        <x:v>41</x:v>
      </x:c>
      <x:c r="D162">
        <x:f>ROUND($C162*10*VLOOKUP($B162,Sheet2!$J$5:$K$7,2,FALSE)*VLOOKUP(Sheet1!$A162,Sheet2!$B$5:$H$29,3,FALSE),0)</x:f>
        <x:v>820</x:v>
      </x:c>
      <x:c r="E162">
        <x:f>ROUND($C162*10*VLOOKUP($B162,Sheet2!$J$5:$K$7,2,FALSE)*VLOOKUP(Sheet1!$A162,Sheet2!$B$5:$H$29,4,FALSE),0)</x:f>
        <x:v>0</x:v>
      </x:c>
      <x:c r="F162">
        <x:f>ROUND($C162*10*VLOOKUP($B162,Sheet2!$J$5:$K$7,2,FALSE)*VLOOKUP(Sheet1!$A162,Sheet2!$B$5:$H$29,5,FALSE),0)</x:f>
        <x:v>0</x:v>
      </x:c>
      <x:c r="G162">
        <x:f>ROUND($C162*10*VLOOKUP($B162,Sheet2!$J$5:$K$7,2,FALSE)*VLOOKUP(Sheet1!$A162,Sheet2!$B$5:$H$29,6,FALSE),0)</x:f>
        <x:v>0</x:v>
      </x:c>
      <x:c r="H162">
        <x:f>ROUND($C162*10*VLOOKUP($B162,Sheet2!$J$5:$K$7,2,FALSE)*VLOOKUP(Sheet1!$A162,Sheet2!$B$5:$H$29,7,FALSE),0)</x:f>
        <x:v>0</x:v>
      </x:c>
      <x:c r="I162">
        <x:f t="shared" si="2"/>
        <x:v>96490</x:v>
      </x:c>
    </x:row>
    <x:row r="163" spans="1:9" x14ac:dyDescent="0.15">
      <x:c r="A163">
        <x:v>54001</x:v>
      </x:c>
      <x:c r="B163">
        <x:v>3</x:v>
      </x:c>
      <x:c r="C163">
        <x:v>42</x:v>
      </x:c>
      <x:c r="D163">
        <x:f>ROUND($C163*10*VLOOKUP($B163,Sheet2!$J$5:$K$7,2,FALSE)*VLOOKUP(Sheet1!$A163,Sheet2!$B$5:$H$29,3,FALSE),0)</x:f>
        <x:v>840</x:v>
      </x:c>
      <x:c r="E163">
        <x:f>ROUND($C163*10*VLOOKUP($B163,Sheet2!$J$5:$K$7,2,FALSE)*VLOOKUP(Sheet1!$A163,Sheet2!$B$5:$H$29,4,FALSE),0)</x:f>
        <x:v>0</x:v>
      </x:c>
      <x:c r="F163">
        <x:f>ROUND($C163*10*VLOOKUP($B163,Sheet2!$J$5:$K$7,2,FALSE)*VLOOKUP(Sheet1!$A163,Sheet2!$B$5:$H$29,5,FALSE),0)</x:f>
        <x:v>0</x:v>
      </x:c>
      <x:c r="G163">
        <x:f>ROUND($C163*10*VLOOKUP($B163,Sheet2!$J$5:$K$7,2,FALSE)*VLOOKUP(Sheet1!$A163,Sheet2!$B$5:$H$29,6,FALSE),0)</x:f>
        <x:v>0</x:v>
      </x:c>
      <x:c r="H163">
        <x:f>ROUND($C163*10*VLOOKUP($B163,Sheet2!$J$5:$K$7,2,FALSE)*VLOOKUP(Sheet1!$A163,Sheet2!$B$5:$H$29,7,FALSE),0)</x:f>
        <x:v>0</x:v>
      </x:c>
      <x:c r="I163">
        <x:f t="shared" si="2"/>
        <x:v>100870</x:v>
      </x:c>
    </x:row>
    <x:row r="164" spans="1:9" x14ac:dyDescent="0.15">
      <x:c r="A164">
        <x:v>54001</x:v>
      </x:c>
      <x:c r="B164">
        <x:v>3</x:v>
      </x:c>
      <x:c r="C164">
        <x:v>43</x:v>
      </x:c>
      <x:c r="D164">
        <x:f>ROUND($C164*10*VLOOKUP($B164,Sheet2!$J$5:$K$7,2,FALSE)*VLOOKUP(Sheet1!$A164,Sheet2!$B$5:$H$29,3,FALSE),0)</x:f>
        <x:v>860</x:v>
      </x:c>
      <x:c r="E164">
        <x:f>ROUND($C164*10*VLOOKUP($B164,Sheet2!$J$5:$K$7,2,FALSE)*VLOOKUP(Sheet1!$A164,Sheet2!$B$5:$H$29,4,FALSE),0)</x:f>
        <x:v>0</x:v>
      </x:c>
      <x:c r="F164">
        <x:f>ROUND($C164*10*VLOOKUP($B164,Sheet2!$J$5:$K$7,2,FALSE)*VLOOKUP(Sheet1!$A164,Sheet2!$B$5:$H$29,5,FALSE),0)</x:f>
        <x:v>0</x:v>
      </x:c>
      <x:c r="G164">
        <x:f>ROUND($C164*10*VLOOKUP($B164,Sheet2!$J$5:$K$7,2,FALSE)*VLOOKUP(Sheet1!$A164,Sheet2!$B$5:$H$29,6,FALSE),0)</x:f>
        <x:v>0</x:v>
      </x:c>
      <x:c r="H164">
        <x:f>ROUND($C164*10*VLOOKUP($B164,Sheet2!$J$5:$K$7,2,FALSE)*VLOOKUP(Sheet1!$A164,Sheet2!$B$5:$H$29,7,FALSE),0)</x:f>
        <x:v>0</x:v>
      </x:c>
      <x:c r="I164">
        <x:f t="shared" si="2"/>
        <x:v>105340</x:v>
      </x:c>
    </x:row>
    <x:row r="165" spans="1:9" x14ac:dyDescent="0.15">
      <x:c r="A165">
        <x:v>54001</x:v>
      </x:c>
      <x:c r="B165">
        <x:v>3</x:v>
      </x:c>
      <x:c r="C165">
        <x:v>44</x:v>
      </x:c>
      <x:c r="D165">
        <x:f>ROUND($C165*10*VLOOKUP($B165,Sheet2!$J$5:$K$7,2,FALSE)*VLOOKUP(Sheet1!$A165,Sheet2!$B$5:$H$29,3,FALSE),0)</x:f>
        <x:v>880</x:v>
      </x:c>
      <x:c r="E165">
        <x:f>ROUND($C165*10*VLOOKUP($B165,Sheet2!$J$5:$K$7,2,FALSE)*VLOOKUP(Sheet1!$A165,Sheet2!$B$5:$H$29,4,FALSE),0)</x:f>
        <x:v>0</x:v>
      </x:c>
      <x:c r="F165">
        <x:f>ROUND($C165*10*VLOOKUP($B165,Sheet2!$J$5:$K$7,2,FALSE)*VLOOKUP(Sheet1!$A165,Sheet2!$B$5:$H$29,5,FALSE),0)</x:f>
        <x:v>0</x:v>
      </x:c>
      <x:c r="G165">
        <x:f>ROUND($C165*10*VLOOKUP($B165,Sheet2!$J$5:$K$7,2,FALSE)*VLOOKUP(Sheet1!$A165,Sheet2!$B$5:$H$29,6,FALSE),0)</x:f>
        <x:v>0</x:v>
      </x:c>
      <x:c r="H165">
        <x:f>ROUND($C165*10*VLOOKUP($B165,Sheet2!$J$5:$K$7,2,FALSE)*VLOOKUP(Sheet1!$A165,Sheet2!$B$5:$H$29,7,FALSE),0)</x:f>
        <x:v>0</x:v>
      </x:c>
      <x:c r="I165">
        <x:f t="shared" si="2"/>
        <x:v>109890</x:v>
      </x:c>
    </x:row>
    <x:row r="166" spans="1:9" x14ac:dyDescent="0.15">
      <x:c r="A166">
        <x:v>54001</x:v>
      </x:c>
      <x:c r="B166">
        <x:v>3</x:v>
      </x:c>
      <x:c r="C166">
        <x:v>45</x:v>
      </x:c>
      <x:c r="D166">
        <x:f>ROUND($C166*10*VLOOKUP($B166,Sheet2!$J$5:$K$7,2,FALSE)*VLOOKUP(Sheet1!$A166,Sheet2!$B$5:$H$29,3,FALSE),0)</x:f>
        <x:v>900</x:v>
      </x:c>
      <x:c r="E166">
        <x:f>ROUND($C166*10*VLOOKUP($B166,Sheet2!$J$5:$K$7,2,FALSE)*VLOOKUP(Sheet1!$A166,Sheet2!$B$5:$H$29,4,FALSE),0)</x:f>
        <x:v>0</x:v>
      </x:c>
      <x:c r="F166">
        <x:f>ROUND($C166*10*VLOOKUP($B166,Sheet2!$J$5:$K$7,2,FALSE)*VLOOKUP(Sheet1!$A166,Sheet2!$B$5:$H$29,5,FALSE),0)</x:f>
        <x:v>0</x:v>
      </x:c>
      <x:c r="G166">
        <x:f>ROUND($C166*10*VLOOKUP($B166,Sheet2!$J$5:$K$7,2,FALSE)*VLOOKUP(Sheet1!$A166,Sheet2!$B$5:$H$29,6,FALSE),0)</x:f>
        <x:v>0</x:v>
      </x:c>
      <x:c r="H166">
        <x:f>ROUND($C166*10*VLOOKUP($B166,Sheet2!$J$5:$K$7,2,FALSE)*VLOOKUP(Sheet1!$A166,Sheet2!$B$5:$H$29,7,FALSE),0)</x:f>
        <x:v>0</x:v>
      </x:c>
      <x:c r="I166">
        <x:f t="shared" si="2"/>
        <x:v>114530</x:v>
      </x:c>
    </x:row>
    <x:row r="167" spans="1:9" x14ac:dyDescent="0.15">
      <x:c r="A167">
        <x:v>54001</x:v>
      </x:c>
      <x:c r="B167">
        <x:v>3</x:v>
      </x:c>
      <x:c r="C167">
        <x:v>46</x:v>
      </x:c>
      <x:c r="D167">
        <x:f>ROUND($C167*10*VLOOKUP($B167,Sheet2!$J$5:$K$7,2,FALSE)*VLOOKUP(Sheet1!$A167,Sheet2!$B$5:$H$29,3,FALSE),0)</x:f>
        <x:v>920</x:v>
      </x:c>
      <x:c r="E167">
        <x:f>ROUND($C167*10*VLOOKUP($B167,Sheet2!$J$5:$K$7,2,FALSE)*VLOOKUP(Sheet1!$A167,Sheet2!$B$5:$H$29,4,FALSE),0)</x:f>
        <x:v>0</x:v>
      </x:c>
      <x:c r="F167">
        <x:f>ROUND($C167*10*VLOOKUP($B167,Sheet2!$J$5:$K$7,2,FALSE)*VLOOKUP(Sheet1!$A167,Sheet2!$B$5:$H$29,5,FALSE),0)</x:f>
        <x:v>0</x:v>
      </x:c>
      <x:c r="G167">
        <x:f>ROUND($C167*10*VLOOKUP($B167,Sheet2!$J$5:$K$7,2,FALSE)*VLOOKUP(Sheet1!$A167,Sheet2!$B$5:$H$29,6,FALSE),0)</x:f>
        <x:v>0</x:v>
      </x:c>
      <x:c r="H167">
        <x:f>ROUND($C167*10*VLOOKUP($B167,Sheet2!$J$5:$K$7,2,FALSE)*VLOOKUP(Sheet1!$A167,Sheet2!$B$5:$H$29,7,FALSE),0)</x:f>
        <x:v>0</x:v>
      </x:c>
      <x:c r="I167">
        <x:f t="shared" si="2"/>
        <x:v>119260</x:v>
      </x:c>
    </x:row>
    <x:row r="168" spans="1:9" x14ac:dyDescent="0.15">
      <x:c r="A168">
        <x:v>54001</x:v>
      </x:c>
      <x:c r="B168">
        <x:v>3</x:v>
      </x:c>
      <x:c r="C168">
        <x:v>47</x:v>
      </x:c>
      <x:c r="D168">
        <x:f>ROUND($C168*10*VLOOKUP($B168,Sheet2!$J$5:$K$7,2,FALSE)*VLOOKUP(Sheet1!$A168,Sheet2!$B$5:$H$29,3,FALSE),0)</x:f>
        <x:v>940</x:v>
      </x:c>
      <x:c r="E168">
        <x:f>ROUND($C168*10*VLOOKUP($B168,Sheet2!$J$5:$K$7,2,FALSE)*VLOOKUP(Sheet1!$A168,Sheet2!$B$5:$H$29,4,FALSE),0)</x:f>
        <x:v>0</x:v>
      </x:c>
      <x:c r="F168">
        <x:f>ROUND($C168*10*VLOOKUP($B168,Sheet2!$J$5:$K$7,2,FALSE)*VLOOKUP(Sheet1!$A168,Sheet2!$B$5:$H$29,5,FALSE),0)</x:f>
        <x:v>0</x:v>
      </x:c>
      <x:c r="G168">
        <x:f>ROUND($C168*10*VLOOKUP($B168,Sheet2!$J$5:$K$7,2,FALSE)*VLOOKUP(Sheet1!$A168,Sheet2!$B$5:$H$29,6,FALSE),0)</x:f>
        <x:v>0</x:v>
      </x:c>
      <x:c r="H168">
        <x:f>ROUND($C168*10*VLOOKUP($B168,Sheet2!$J$5:$K$7,2,FALSE)*VLOOKUP(Sheet1!$A168,Sheet2!$B$5:$H$29,7,FALSE),0)</x:f>
        <x:v>0</x:v>
      </x:c>
      <x:c r="I168">
        <x:f t="shared" si="2"/>
        <x:v>124070</x:v>
      </x:c>
    </x:row>
    <x:row r="169" spans="1:9" x14ac:dyDescent="0.15">
      <x:c r="A169">
        <x:v>54001</x:v>
      </x:c>
      <x:c r="B169">
        <x:v>3</x:v>
      </x:c>
      <x:c r="C169">
        <x:v>48</x:v>
      </x:c>
      <x:c r="D169">
        <x:f>ROUND($C169*10*VLOOKUP($B169,Sheet2!$J$5:$K$7,2,FALSE)*VLOOKUP(Sheet1!$A169,Sheet2!$B$5:$H$29,3,FALSE),0)</x:f>
        <x:v>960</x:v>
      </x:c>
      <x:c r="E169">
        <x:f>ROUND($C169*10*VLOOKUP($B169,Sheet2!$J$5:$K$7,2,FALSE)*VLOOKUP(Sheet1!$A169,Sheet2!$B$5:$H$29,4,FALSE),0)</x:f>
        <x:v>0</x:v>
      </x:c>
      <x:c r="F169">
        <x:f>ROUND($C169*10*VLOOKUP($B169,Sheet2!$J$5:$K$7,2,FALSE)*VLOOKUP(Sheet1!$A169,Sheet2!$B$5:$H$29,5,FALSE),0)</x:f>
        <x:v>0</x:v>
      </x:c>
      <x:c r="G169">
        <x:f>ROUND($C169*10*VLOOKUP($B169,Sheet2!$J$5:$K$7,2,FALSE)*VLOOKUP(Sheet1!$A169,Sheet2!$B$5:$H$29,6,FALSE),0)</x:f>
        <x:v>0</x:v>
      </x:c>
      <x:c r="H169">
        <x:f>ROUND($C169*10*VLOOKUP($B169,Sheet2!$J$5:$K$7,2,FALSE)*VLOOKUP(Sheet1!$A169,Sheet2!$B$5:$H$29,7,FALSE),0)</x:f>
        <x:v>0</x:v>
      </x:c>
      <x:c r="I169">
        <x:f t="shared" si="2"/>
        <x:v>128960</x:v>
      </x:c>
    </x:row>
    <x:row r="170" spans="1:9" x14ac:dyDescent="0.15">
      <x:c r="A170">
        <x:v>54001</x:v>
      </x:c>
      <x:c r="B170">
        <x:v>3</x:v>
      </x:c>
      <x:c r="C170">
        <x:v>49</x:v>
      </x:c>
      <x:c r="D170">
        <x:f>ROUND($C170*10*VLOOKUP($B170,Sheet2!$J$5:$K$7,2,FALSE)*VLOOKUP(Sheet1!$A170,Sheet2!$B$5:$H$29,3,FALSE),0)</x:f>
        <x:v>980</x:v>
      </x:c>
      <x:c r="E170">
        <x:f>ROUND($C170*10*VLOOKUP($B170,Sheet2!$J$5:$K$7,2,FALSE)*VLOOKUP(Sheet1!$A170,Sheet2!$B$5:$H$29,4,FALSE),0)</x:f>
        <x:v>0</x:v>
      </x:c>
      <x:c r="F170">
        <x:f>ROUND($C170*10*VLOOKUP($B170,Sheet2!$J$5:$K$7,2,FALSE)*VLOOKUP(Sheet1!$A170,Sheet2!$B$5:$H$29,5,FALSE),0)</x:f>
        <x:v>0</x:v>
      </x:c>
      <x:c r="G170">
        <x:f>ROUND($C170*10*VLOOKUP($B170,Sheet2!$J$5:$K$7,2,FALSE)*VLOOKUP(Sheet1!$A170,Sheet2!$B$5:$H$29,6,FALSE),0)</x:f>
        <x:v>0</x:v>
      </x:c>
      <x:c r="H170">
        <x:f>ROUND($C170*10*VLOOKUP($B170,Sheet2!$J$5:$K$7,2,FALSE)*VLOOKUP(Sheet1!$A170,Sheet2!$B$5:$H$29,7,FALSE),0)</x:f>
        <x:v>0</x:v>
      </x:c>
      <x:c r="I170">
        <x:f t="shared" si="2"/>
        <x:v>133940</x:v>
      </x:c>
    </x:row>
    <x:row r="171" spans="1:9" x14ac:dyDescent="0.15">
      <x:c r="A171">
        <x:v>54001</x:v>
      </x:c>
      <x:c r="B171">
        <x:v>3</x:v>
      </x:c>
      <x:c r="C171">
        <x:v>50</x:v>
      </x:c>
      <x:c r="D171">
        <x:f>ROUND($C171*10*VLOOKUP($B171,Sheet2!$J$5:$K$7,2,FALSE)*VLOOKUP(Sheet1!$A171,Sheet2!$B$5:$H$29,3,FALSE),0)</x:f>
        <x:v>1000</x:v>
      </x:c>
      <x:c r="E171">
        <x:f>ROUND($C171*10*VLOOKUP($B171,Sheet2!$J$5:$K$7,2,FALSE)*VLOOKUP(Sheet1!$A171,Sheet2!$B$5:$H$29,4,FALSE),0)</x:f>
        <x:v>0</x:v>
      </x:c>
      <x:c r="F171">
        <x:f>ROUND($C171*10*VLOOKUP($B171,Sheet2!$J$5:$K$7,2,FALSE)*VLOOKUP(Sheet1!$A171,Sheet2!$B$5:$H$29,5,FALSE),0)</x:f>
        <x:v>0</x:v>
      </x:c>
      <x:c r="G171">
        <x:f>ROUND($C171*10*VLOOKUP($B171,Sheet2!$J$5:$K$7,2,FALSE)*VLOOKUP(Sheet1!$A171,Sheet2!$B$5:$H$29,6,FALSE),0)</x:f>
        <x:v>0</x:v>
      </x:c>
      <x:c r="H171">
        <x:f>ROUND($C171*10*VLOOKUP($B171,Sheet2!$J$5:$K$7,2,FALSE)*VLOOKUP(Sheet1!$A171,Sheet2!$B$5:$H$29,7,FALSE),0)</x:f>
        <x:v>0</x:v>
      </x:c>
      <x:c r="I171">
        <x:f t="shared" si="2"/>
        <x:v>139000</x:v>
      </x:c>
    </x:row>
    <x:row r="172" spans="1:9" x14ac:dyDescent="0.15">
      <x:c r="A172">
        <x:v>54001</x:v>
      </x:c>
      <x:c r="B172">
        <x:v>3</x:v>
      </x:c>
      <x:c r="C172">
        <x:v>51</x:v>
      </x:c>
      <x:c r="D172">
        <x:f>ROUND($C172*10*VLOOKUP($B172,Sheet2!$J$5:$K$7,2,FALSE)*VLOOKUP(Sheet1!$A172,Sheet2!$B$5:$H$29,3,FALSE),0)</x:f>
        <x:v>1020</x:v>
      </x:c>
      <x:c r="E172">
        <x:f>ROUND($C172*10*VLOOKUP($B172,Sheet2!$J$5:$K$7,2,FALSE)*VLOOKUP(Sheet1!$A172,Sheet2!$B$5:$H$29,4,FALSE),0)</x:f>
        <x:v>0</x:v>
      </x:c>
      <x:c r="F172">
        <x:f>ROUND($C172*10*VLOOKUP($B172,Sheet2!$J$5:$K$7,2,FALSE)*VLOOKUP(Sheet1!$A172,Sheet2!$B$5:$H$29,5,FALSE),0)</x:f>
        <x:v>0</x:v>
      </x:c>
      <x:c r="G172">
        <x:f>ROUND($C172*10*VLOOKUP($B172,Sheet2!$J$5:$K$7,2,FALSE)*VLOOKUP(Sheet1!$A172,Sheet2!$B$5:$H$29,6,FALSE),0)</x:f>
        <x:v>0</x:v>
      </x:c>
      <x:c r="H172">
        <x:f>ROUND($C172*10*VLOOKUP($B172,Sheet2!$J$5:$K$7,2,FALSE)*VLOOKUP(Sheet1!$A172,Sheet2!$B$5:$H$29,7,FALSE),0)</x:f>
        <x:v>0</x:v>
      </x:c>
      <x:c r="I172">
        <x:f t="shared" si="2"/>
        <x:v>144140</x:v>
      </x:c>
    </x:row>
    <x:row r="173" spans="1:9" x14ac:dyDescent="0.15">
      <x:c r="A173">
        <x:v>54001</x:v>
      </x:c>
      <x:c r="B173">
        <x:v>3</x:v>
      </x:c>
      <x:c r="C173">
        <x:v>52</x:v>
      </x:c>
      <x:c r="D173">
        <x:f>ROUND($C173*10*VLOOKUP($B173,Sheet2!$J$5:$K$7,2,FALSE)*VLOOKUP(Sheet1!$A173,Sheet2!$B$5:$H$29,3,FALSE),0)</x:f>
        <x:v>1040</x:v>
      </x:c>
      <x:c r="E173">
        <x:f>ROUND($C173*10*VLOOKUP($B173,Sheet2!$J$5:$K$7,2,FALSE)*VLOOKUP(Sheet1!$A173,Sheet2!$B$5:$H$29,4,FALSE),0)</x:f>
        <x:v>0</x:v>
      </x:c>
      <x:c r="F173">
        <x:f>ROUND($C173*10*VLOOKUP($B173,Sheet2!$J$5:$K$7,2,FALSE)*VLOOKUP(Sheet1!$A173,Sheet2!$B$5:$H$29,5,FALSE),0)</x:f>
        <x:v>0</x:v>
      </x:c>
      <x:c r="G173">
        <x:f>ROUND($C173*10*VLOOKUP($B173,Sheet2!$J$5:$K$7,2,FALSE)*VLOOKUP(Sheet1!$A173,Sheet2!$B$5:$H$29,6,FALSE),0)</x:f>
        <x:v>0</x:v>
      </x:c>
      <x:c r="H173">
        <x:f>ROUND($C173*10*VLOOKUP($B173,Sheet2!$J$5:$K$7,2,FALSE)*VLOOKUP(Sheet1!$A173,Sheet2!$B$5:$H$29,7,FALSE),0)</x:f>
        <x:v>0</x:v>
      </x:c>
      <x:c r="I173">
        <x:f t="shared" si="2"/>
        <x:v>149370</x:v>
      </x:c>
    </x:row>
    <x:row r="174" spans="1:9" x14ac:dyDescent="0.15">
      <x:c r="A174">
        <x:v>54001</x:v>
      </x:c>
      <x:c r="B174">
        <x:v>3</x:v>
      </x:c>
      <x:c r="C174">
        <x:v>53</x:v>
      </x:c>
      <x:c r="D174">
        <x:f>ROUND($C174*10*VLOOKUP($B174,Sheet2!$J$5:$K$7,2,FALSE)*VLOOKUP(Sheet1!$A174,Sheet2!$B$5:$H$29,3,FALSE),0)</x:f>
        <x:v>1060</x:v>
      </x:c>
      <x:c r="E174">
        <x:f>ROUND($C174*10*VLOOKUP($B174,Sheet2!$J$5:$K$7,2,FALSE)*VLOOKUP(Sheet1!$A174,Sheet2!$B$5:$H$29,4,FALSE),0)</x:f>
        <x:v>0</x:v>
      </x:c>
      <x:c r="F174">
        <x:f>ROUND($C174*10*VLOOKUP($B174,Sheet2!$J$5:$K$7,2,FALSE)*VLOOKUP(Sheet1!$A174,Sheet2!$B$5:$H$29,5,FALSE),0)</x:f>
        <x:v>0</x:v>
      </x:c>
      <x:c r="G174">
        <x:f>ROUND($C174*10*VLOOKUP($B174,Sheet2!$J$5:$K$7,2,FALSE)*VLOOKUP(Sheet1!$A174,Sheet2!$B$5:$H$29,6,FALSE),0)</x:f>
        <x:v>0</x:v>
      </x:c>
      <x:c r="H174">
        <x:f>ROUND($C174*10*VLOOKUP($B174,Sheet2!$J$5:$K$7,2,FALSE)*VLOOKUP(Sheet1!$A174,Sheet2!$B$5:$H$29,7,FALSE),0)</x:f>
        <x:v>0</x:v>
      </x:c>
      <x:c r="I174">
        <x:f t="shared" si="2"/>
        <x:v>154680</x:v>
      </x:c>
    </x:row>
    <x:row r="175" spans="1:9" x14ac:dyDescent="0.15">
      <x:c r="A175">
        <x:v>54001</x:v>
      </x:c>
      <x:c r="B175">
        <x:v>3</x:v>
      </x:c>
      <x:c r="C175">
        <x:v>54</x:v>
      </x:c>
      <x:c r="D175">
        <x:f>ROUND($C175*10*VLOOKUP($B175,Sheet2!$J$5:$K$7,2,FALSE)*VLOOKUP(Sheet1!$A175,Sheet2!$B$5:$H$29,3,FALSE),0)</x:f>
        <x:v>1080</x:v>
      </x:c>
      <x:c r="E175">
        <x:f>ROUND($C175*10*VLOOKUP($B175,Sheet2!$J$5:$K$7,2,FALSE)*VLOOKUP(Sheet1!$A175,Sheet2!$B$5:$H$29,4,FALSE),0)</x:f>
        <x:v>0</x:v>
      </x:c>
      <x:c r="F175">
        <x:f>ROUND($C175*10*VLOOKUP($B175,Sheet2!$J$5:$K$7,2,FALSE)*VLOOKUP(Sheet1!$A175,Sheet2!$B$5:$H$29,5,FALSE),0)</x:f>
        <x:v>0</x:v>
      </x:c>
      <x:c r="G175">
        <x:f>ROUND($C175*10*VLOOKUP($B175,Sheet2!$J$5:$K$7,2,FALSE)*VLOOKUP(Sheet1!$A175,Sheet2!$B$5:$H$29,6,FALSE),0)</x:f>
        <x:v>0</x:v>
      </x:c>
      <x:c r="H175">
        <x:f>ROUND($C175*10*VLOOKUP($B175,Sheet2!$J$5:$K$7,2,FALSE)*VLOOKUP(Sheet1!$A175,Sheet2!$B$5:$H$29,7,FALSE),0)</x:f>
        <x:v>0</x:v>
      </x:c>
      <x:c r="I175">
        <x:f t="shared" si="2"/>
        <x:v>160070</x:v>
      </x:c>
    </x:row>
    <x:row r="176" spans="1:9" x14ac:dyDescent="0.15">
      <x:c r="A176">
        <x:v>54001</x:v>
      </x:c>
      <x:c r="B176">
        <x:v>3</x:v>
      </x:c>
      <x:c r="C176">
        <x:v>55</x:v>
      </x:c>
      <x:c r="D176">
        <x:f>ROUND($C176*10*VLOOKUP($B176,Sheet2!$J$5:$K$7,2,FALSE)*VLOOKUP(Sheet1!$A176,Sheet2!$B$5:$H$29,3,FALSE),0)</x:f>
        <x:v>1100</x:v>
      </x:c>
      <x:c r="E176">
        <x:f>ROUND($C176*10*VLOOKUP($B176,Sheet2!$J$5:$K$7,2,FALSE)*VLOOKUP(Sheet1!$A176,Sheet2!$B$5:$H$29,4,FALSE),0)</x:f>
        <x:v>0</x:v>
      </x:c>
      <x:c r="F176">
        <x:f>ROUND($C176*10*VLOOKUP($B176,Sheet2!$J$5:$K$7,2,FALSE)*VLOOKUP(Sheet1!$A176,Sheet2!$B$5:$H$29,5,FALSE),0)</x:f>
        <x:v>0</x:v>
      </x:c>
      <x:c r="G176">
        <x:f>ROUND($C176*10*VLOOKUP($B176,Sheet2!$J$5:$K$7,2,FALSE)*VLOOKUP(Sheet1!$A176,Sheet2!$B$5:$H$29,6,FALSE),0)</x:f>
        <x:v>0</x:v>
      </x:c>
      <x:c r="H176">
        <x:f>ROUND($C176*10*VLOOKUP($B176,Sheet2!$J$5:$K$7,2,FALSE)*VLOOKUP(Sheet1!$A176,Sheet2!$B$5:$H$29,7,FALSE),0)</x:f>
        <x:v>0</x:v>
      </x:c>
      <x:c r="I176">
        <x:f t="shared" si="2"/>
        <x:v>165540</x:v>
      </x:c>
    </x:row>
    <x:row r="177" spans="1:9" x14ac:dyDescent="0.15">
      <x:c r="A177">
        <x:v>54001</x:v>
      </x:c>
      <x:c r="B177">
        <x:v>3</x:v>
      </x:c>
      <x:c r="C177">
        <x:v>56</x:v>
      </x:c>
      <x:c r="D177">
        <x:f>ROUND($C177*10*VLOOKUP($B177,Sheet2!$J$5:$K$7,2,FALSE)*VLOOKUP(Sheet1!$A177,Sheet2!$B$5:$H$29,3,FALSE),0)</x:f>
        <x:v>1120</x:v>
      </x:c>
      <x:c r="E177">
        <x:f>ROUND($C177*10*VLOOKUP($B177,Sheet2!$J$5:$K$7,2,FALSE)*VLOOKUP(Sheet1!$A177,Sheet2!$B$5:$H$29,4,FALSE),0)</x:f>
        <x:v>0</x:v>
      </x:c>
      <x:c r="F177">
        <x:f>ROUND($C177*10*VLOOKUP($B177,Sheet2!$J$5:$K$7,2,FALSE)*VLOOKUP(Sheet1!$A177,Sheet2!$B$5:$H$29,5,FALSE),0)</x:f>
        <x:v>0</x:v>
      </x:c>
      <x:c r="G177">
        <x:f>ROUND($C177*10*VLOOKUP($B177,Sheet2!$J$5:$K$7,2,FALSE)*VLOOKUP(Sheet1!$A177,Sheet2!$B$5:$H$29,6,FALSE),0)</x:f>
        <x:v>0</x:v>
      </x:c>
      <x:c r="H177">
        <x:f>ROUND($C177*10*VLOOKUP($B177,Sheet2!$J$5:$K$7,2,FALSE)*VLOOKUP(Sheet1!$A177,Sheet2!$B$5:$H$29,7,FALSE),0)</x:f>
        <x:v>0</x:v>
      </x:c>
      <x:c r="I177">
        <x:f t="shared" si="2"/>
        <x:v>171100</x:v>
      </x:c>
    </x:row>
    <x:row r="178" spans="1:9" x14ac:dyDescent="0.15">
      <x:c r="A178">
        <x:v>54001</x:v>
      </x:c>
      <x:c r="B178">
        <x:v>3</x:v>
      </x:c>
      <x:c r="C178">
        <x:v>57</x:v>
      </x:c>
      <x:c r="D178">
        <x:f>ROUND($C178*10*VLOOKUP($B178,Sheet2!$J$5:$K$7,2,FALSE)*VLOOKUP(Sheet1!$A178,Sheet2!$B$5:$H$29,3,FALSE),0)</x:f>
        <x:v>1140</x:v>
      </x:c>
      <x:c r="E178">
        <x:f>ROUND($C178*10*VLOOKUP($B178,Sheet2!$J$5:$K$7,2,FALSE)*VLOOKUP(Sheet1!$A178,Sheet2!$B$5:$H$29,4,FALSE),0)</x:f>
        <x:v>0</x:v>
      </x:c>
      <x:c r="F178">
        <x:f>ROUND($C178*10*VLOOKUP($B178,Sheet2!$J$5:$K$7,2,FALSE)*VLOOKUP(Sheet1!$A178,Sheet2!$B$5:$H$29,5,FALSE),0)</x:f>
        <x:v>0</x:v>
      </x:c>
      <x:c r="G178">
        <x:f>ROUND($C178*10*VLOOKUP($B178,Sheet2!$J$5:$K$7,2,FALSE)*VLOOKUP(Sheet1!$A178,Sheet2!$B$5:$H$29,6,FALSE),0)</x:f>
        <x:v>0</x:v>
      </x:c>
      <x:c r="H178">
        <x:f>ROUND($C178*10*VLOOKUP($B178,Sheet2!$J$5:$K$7,2,FALSE)*VLOOKUP(Sheet1!$A178,Sheet2!$B$5:$H$29,7,FALSE),0)</x:f>
        <x:v>0</x:v>
      </x:c>
      <x:c r="I178">
        <x:f t="shared" si="2"/>
        <x:v>176740</x:v>
      </x:c>
    </x:row>
    <x:row r="179" spans="1:9" x14ac:dyDescent="0.15">
      <x:c r="A179">
        <x:v>54001</x:v>
      </x:c>
      <x:c r="B179">
        <x:v>3</x:v>
      </x:c>
      <x:c r="C179">
        <x:v>58</x:v>
      </x:c>
      <x:c r="D179">
        <x:f>ROUND($C179*10*VLOOKUP($B179,Sheet2!$J$5:$K$7,2,FALSE)*VLOOKUP(Sheet1!$A179,Sheet2!$B$5:$H$29,3,FALSE),0)</x:f>
        <x:v>1160</x:v>
      </x:c>
      <x:c r="E179">
        <x:f>ROUND($C179*10*VLOOKUP($B179,Sheet2!$J$5:$K$7,2,FALSE)*VLOOKUP(Sheet1!$A179,Sheet2!$B$5:$H$29,4,FALSE),0)</x:f>
        <x:v>0</x:v>
      </x:c>
      <x:c r="F179">
        <x:f>ROUND($C179*10*VLOOKUP($B179,Sheet2!$J$5:$K$7,2,FALSE)*VLOOKUP(Sheet1!$A179,Sheet2!$B$5:$H$29,5,FALSE),0)</x:f>
        <x:v>0</x:v>
      </x:c>
      <x:c r="G179">
        <x:f>ROUND($C179*10*VLOOKUP($B179,Sheet2!$J$5:$K$7,2,FALSE)*VLOOKUP(Sheet1!$A179,Sheet2!$B$5:$H$29,6,FALSE),0)</x:f>
        <x:v>0</x:v>
      </x:c>
      <x:c r="H179">
        <x:f>ROUND($C179*10*VLOOKUP($B179,Sheet2!$J$5:$K$7,2,FALSE)*VLOOKUP(Sheet1!$A179,Sheet2!$B$5:$H$29,7,FALSE),0)</x:f>
        <x:v>0</x:v>
      </x:c>
      <x:c r="I179">
        <x:f t="shared" si="2"/>
        <x:v>182460</x:v>
      </x:c>
    </x:row>
    <x:row r="180" spans="1:9" x14ac:dyDescent="0.15">
      <x:c r="A180">
        <x:v>54001</x:v>
      </x:c>
      <x:c r="B180">
        <x:v>3</x:v>
      </x:c>
      <x:c r="C180">
        <x:v>59</x:v>
      </x:c>
      <x:c r="D180">
        <x:f>ROUND($C180*10*VLOOKUP($B180,Sheet2!$J$5:$K$7,2,FALSE)*VLOOKUP(Sheet1!$A180,Sheet2!$B$5:$H$29,3,FALSE),0)</x:f>
        <x:v>1180</x:v>
      </x:c>
      <x:c r="E180">
        <x:f>ROUND($C180*10*VLOOKUP($B180,Sheet2!$J$5:$K$7,2,FALSE)*VLOOKUP(Sheet1!$A180,Sheet2!$B$5:$H$29,4,FALSE),0)</x:f>
        <x:v>0</x:v>
      </x:c>
      <x:c r="F180">
        <x:f>ROUND($C180*10*VLOOKUP($B180,Sheet2!$J$5:$K$7,2,FALSE)*VLOOKUP(Sheet1!$A180,Sheet2!$B$5:$H$29,5,FALSE),0)</x:f>
        <x:v>0</x:v>
      </x:c>
      <x:c r="G180">
        <x:f>ROUND($C180*10*VLOOKUP($B180,Sheet2!$J$5:$K$7,2,FALSE)*VLOOKUP(Sheet1!$A180,Sheet2!$B$5:$H$29,6,FALSE),0)</x:f>
        <x:v>0</x:v>
      </x:c>
      <x:c r="H180">
        <x:f>ROUND($C180*10*VLOOKUP($B180,Sheet2!$J$5:$K$7,2,FALSE)*VLOOKUP(Sheet1!$A180,Sheet2!$B$5:$H$29,7,FALSE),0)</x:f>
        <x:v>0</x:v>
      </x:c>
      <x:c r="I180">
        <x:f t="shared" si="2"/>
        <x:v>188260</x:v>
      </x:c>
    </x:row>
    <x:row r="181" spans="1:9" x14ac:dyDescent="0.15">
      <x:c r="A181">
        <x:v>54001</x:v>
      </x:c>
      <x:c r="B181">
        <x:v>3</x:v>
      </x:c>
      <x:c r="C181">
        <x:v>60</x:v>
      </x:c>
      <x:c r="D181">
        <x:f>ROUND($C181*10*VLOOKUP($B181,Sheet2!$J$5:$K$7,2,FALSE)*VLOOKUP(Sheet1!$A181,Sheet2!$B$5:$H$29,3,FALSE),0)</x:f>
        <x:v>1200</x:v>
      </x:c>
      <x:c r="E181">
        <x:f>ROUND($C181*10*VLOOKUP($B181,Sheet2!$J$5:$K$7,2,FALSE)*VLOOKUP(Sheet1!$A181,Sheet2!$B$5:$H$29,4,FALSE),0)</x:f>
        <x:v>0</x:v>
      </x:c>
      <x:c r="F181">
        <x:f>ROUND($C181*10*VLOOKUP($B181,Sheet2!$J$5:$K$7,2,FALSE)*VLOOKUP(Sheet1!$A181,Sheet2!$B$5:$H$29,5,FALSE),0)</x:f>
        <x:v>0</x:v>
      </x:c>
      <x:c r="G181">
        <x:f>ROUND($C181*10*VLOOKUP($B181,Sheet2!$J$5:$K$7,2,FALSE)*VLOOKUP(Sheet1!$A181,Sheet2!$B$5:$H$29,6,FALSE),0)</x:f>
        <x:v>0</x:v>
      </x:c>
      <x:c r="H181">
        <x:f>ROUND($C181*10*VLOOKUP($B181,Sheet2!$J$5:$K$7,2,FALSE)*VLOOKUP(Sheet1!$A181,Sheet2!$B$5:$H$29,7,FALSE),0)</x:f>
        <x:v>0</x:v>
      </x:c>
      <x:c r="I181">
        <x:f t="shared" si="2"/>
        <x:v>194140</x:v>
      </x:c>
    </x:row>
    <x:row r="182" spans="1:9" x14ac:dyDescent="0.15">
      <x:c r="A182">
        <x:v>54002</x:v>
      </x:c>
      <x:c r="B182">
        <x:v>1</x:v>
      </x:c>
      <x:c r="C182">
        <x:v>1</x:v>
      </x:c>
      <x:c r="D182">
        <x:f>ROUND($C182*10*VLOOKUP($B182,Sheet2!$J$5:$K$7,2,FALSE)*VLOOKUP(Sheet1!$A182,Sheet2!$B$5:$H$29,3,FALSE),0)</x:f>
        <x:v>6</x:v>
      </x:c>
      <x:c r="E182">
        <x:f>ROUND($C182*10*VLOOKUP($B182,Sheet2!$J$5:$K$7,2,FALSE)*VLOOKUP(Sheet1!$A182,Sheet2!$B$5:$H$29,4,FALSE),0)</x:f>
        <x:v>2</x:v>
      </x:c>
      <x:c r="F182">
        <x:f>ROUND($C182*10*VLOOKUP($B182,Sheet2!$J$5:$K$7,2,FALSE)*VLOOKUP(Sheet1!$A182,Sheet2!$B$5:$H$29,5,FALSE),0)</x:f>
        <x:v>0</x:v>
      </x:c>
      <x:c r="G182">
        <x:f>ROUND($C182*10*VLOOKUP($B182,Sheet2!$J$5:$K$7,2,FALSE)*VLOOKUP(Sheet1!$A182,Sheet2!$B$5:$H$29,6,FALSE),0)</x:f>
        <x:v>0</x:v>
      </x:c>
      <x:c r="H182">
        <x:f>ROUND($C182*10*VLOOKUP($B182,Sheet2!$J$5:$K$7,2,FALSE)*VLOOKUP(Sheet1!$A182,Sheet2!$B$5:$H$29,7,FALSE),0)</x:f>
        <x:v>0</x:v>
      </x:c>
      <x:c r="I182">
        <x:f t="shared" ref="I182:I241" si="3">ROUND(1.2*10*1.8*(C182-1)^1.8+30,-1)</x:f>
        <x:v>30</x:v>
      </x:c>
    </x:row>
    <x:row r="183" spans="1:9" x14ac:dyDescent="0.15">
      <x:c r="A183">
        <x:v>54002</x:v>
      </x:c>
      <x:c r="B183">
        <x:v>1</x:v>
      </x:c>
      <x:c r="C183">
        <x:v>2</x:v>
      </x:c>
      <x:c r="D183">
        <x:f>ROUND($C183*10*VLOOKUP($B183,Sheet2!$J$5:$K$7,2,FALSE)*VLOOKUP(Sheet1!$A183,Sheet2!$B$5:$H$29,3,FALSE),0)</x:f>
        <x:v>12</x:v>
      </x:c>
      <x:c r="E183">
        <x:f>ROUND($C183*10*VLOOKUP($B183,Sheet2!$J$5:$K$7,2,FALSE)*VLOOKUP(Sheet1!$A183,Sheet2!$B$5:$H$29,4,FALSE),0)</x:f>
        <x:v>4</x:v>
      </x:c>
      <x:c r="F183">
        <x:f>ROUND($C183*10*VLOOKUP($B183,Sheet2!$J$5:$K$7,2,FALSE)*VLOOKUP(Sheet1!$A183,Sheet2!$B$5:$H$29,5,FALSE),0)</x:f>
        <x:v>0</x:v>
      </x:c>
      <x:c r="G183">
        <x:f>ROUND($C183*10*VLOOKUP($B183,Sheet2!$J$5:$K$7,2,FALSE)*VLOOKUP(Sheet1!$A183,Sheet2!$B$5:$H$29,6,FALSE),0)</x:f>
        <x:v>0</x:v>
      </x:c>
      <x:c r="H183">
        <x:f>ROUND($C183*10*VLOOKUP($B183,Sheet2!$J$5:$K$7,2,FALSE)*VLOOKUP(Sheet1!$A183,Sheet2!$B$5:$H$29,7,FALSE),0)</x:f>
        <x:v>0</x:v>
      </x:c>
      <x:c r="I183">
        <x:f t="shared" si="3"/>
        <x:v>50</x:v>
      </x:c>
    </x:row>
    <x:row r="184" spans="1:9" x14ac:dyDescent="0.15">
      <x:c r="A184">
        <x:v>54002</x:v>
      </x:c>
      <x:c r="B184">
        <x:v>1</x:v>
      </x:c>
      <x:c r="C184">
        <x:v>3</x:v>
      </x:c>
      <x:c r="D184">
        <x:f>ROUND($C184*10*VLOOKUP($B184,Sheet2!$J$5:$K$7,2,FALSE)*VLOOKUP(Sheet1!$A184,Sheet2!$B$5:$H$29,3,FALSE),0)</x:f>
        <x:v>18</x:v>
      </x:c>
      <x:c r="E184">
        <x:f>ROUND($C184*10*VLOOKUP($B184,Sheet2!$J$5:$K$7,2,FALSE)*VLOOKUP(Sheet1!$A184,Sheet2!$B$5:$H$29,4,FALSE),0)</x:f>
        <x:v>6</x:v>
      </x:c>
      <x:c r="F184">
        <x:f>ROUND($C184*10*VLOOKUP($B184,Sheet2!$J$5:$K$7,2,FALSE)*VLOOKUP(Sheet1!$A184,Sheet2!$B$5:$H$29,5,FALSE),0)</x:f>
        <x:v>0</x:v>
      </x:c>
      <x:c r="G184">
        <x:f>ROUND($C184*10*VLOOKUP($B184,Sheet2!$J$5:$K$7,2,FALSE)*VLOOKUP(Sheet1!$A184,Sheet2!$B$5:$H$29,6,FALSE),0)</x:f>
        <x:v>0</x:v>
      </x:c>
      <x:c r="H184">
        <x:f>ROUND($C184*10*VLOOKUP($B184,Sheet2!$J$5:$K$7,2,FALSE)*VLOOKUP(Sheet1!$A184,Sheet2!$B$5:$H$29,7,FALSE),0)</x:f>
        <x:v>0</x:v>
      </x:c>
      <x:c r="I184">
        <x:f t="shared" si="3"/>
        <x:v>110</x:v>
      </x:c>
    </x:row>
    <x:row r="185" spans="1:9" x14ac:dyDescent="0.15">
      <x:c r="A185">
        <x:v>54002</x:v>
      </x:c>
      <x:c r="B185">
        <x:v>1</x:v>
      </x:c>
      <x:c r="C185">
        <x:v>4</x:v>
      </x:c>
      <x:c r="D185">
        <x:f>ROUND($C185*10*VLOOKUP($B185,Sheet2!$J$5:$K$7,2,FALSE)*VLOOKUP(Sheet1!$A185,Sheet2!$B$5:$H$29,3,FALSE),0)</x:f>
        <x:v>24</x:v>
      </x:c>
      <x:c r="E185">
        <x:f>ROUND($C185*10*VLOOKUP($B185,Sheet2!$J$5:$K$7,2,FALSE)*VLOOKUP(Sheet1!$A185,Sheet2!$B$5:$H$29,4,FALSE),0)</x:f>
        <x:v>8</x:v>
      </x:c>
      <x:c r="F185">
        <x:f>ROUND($C185*10*VLOOKUP($B185,Sheet2!$J$5:$K$7,2,FALSE)*VLOOKUP(Sheet1!$A185,Sheet2!$B$5:$H$29,5,FALSE),0)</x:f>
        <x:v>0</x:v>
      </x:c>
      <x:c r="G185">
        <x:f>ROUND($C185*10*VLOOKUP($B185,Sheet2!$J$5:$K$7,2,FALSE)*VLOOKUP(Sheet1!$A185,Sheet2!$B$5:$H$29,6,FALSE),0)</x:f>
        <x:v>0</x:v>
      </x:c>
      <x:c r="H185">
        <x:f>ROUND($C185*10*VLOOKUP($B185,Sheet2!$J$5:$K$7,2,FALSE)*VLOOKUP(Sheet1!$A185,Sheet2!$B$5:$H$29,7,FALSE),0)</x:f>
        <x:v>0</x:v>
      </x:c>
      <x:c r="I185">
        <x:f t="shared" si="3"/>
        <x:v>190</x:v>
      </x:c>
    </x:row>
    <x:row r="186" spans="1:9" x14ac:dyDescent="0.15">
      <x:c r="A186">
        <x:v>54002</x:v>
      </x:c>
      <x:c r="B186">
        <x:v>1</x:v>
      </x:c>
      <x:c r="C186">
        <x:v>5</x:v>
      </x:c>
      <x:c r="D186">
        <x:f>ROUND($C186*10*VLOOKUP($B186,Sheet2!$J$5:$K$7,2,FALSE)*VLOOKUP(Sheet1!$A186,Sheet2!$B$5:$H$29,3,FALSE),0)</x:f>
        <x:v>30</x:v>
      </x:c>
      <x:c r="E186">
        <x:f>ROUND($C186*10*VLOOKUP($B186,Sheet2!$J$5:$K$7,2,FALSE)*VLOOKUP(Sheet1!$A186,Sheet2!$B$5:$H$29,4,FALSE),0)</x:f>
        <x:v>10</x:v>
      </x:c>
      <x:c r="F186">
        <x:f>ROUND($C186*10*VLOOKUP($B186,Sheet2!$J$5:$K$7,2,FALSE)*VLOOKUP(Sheet1!$A186,Sheet2!$B$5:$H$29,5,FALSE),0)</x:f>
        <x:v>0</x:v>
      </x:c>
      <x:c r="G186">
        <x:f>ROUND($C186*10*VLOOKUP($B186,Sheet2!$J$5:$K$7,2,FALSE)*VLOOKUP(Sheet1!$A186,Sheet2!$B$5:$H$29,6,FALSE),0)</x:f>
        <x:v>0</x:v>
      </x:c>
      <x:c r="H186">
        <x:f>ROUND($C186*10*VLOOKUP($B186,Sheet2!$J$5:$K$7,2,FALSE)*VLOOKUP(Sheet1!$A186,Sheet2!$B$5:$H$29,7,FALSE),0)</x:f>
        <x:v>0</x:v>
      </x:c>
      <x:c r="I186">
        <x:f t="shared" si="3"/>
        <x:v>290</x:v>
      </x:c>
    </x:row>
    <x:row r="187" spans="1:9" x14ac:dyDescent="0.15">
      <x:c r="A187">
        <x:v>54002</x:v>
      </x:c>
      <x:c r="B187">
        <x:v>1</x:v>
      </x:c>
      <x:c r="C187">
        <x:v>6</x:v>
      </x:c>
      <x:c r="D187">
        <x:f>ROUND($C187*10*VLOOKUP($B187,Sheet2!$J$5:$K$7,2,FALSE)*VLOOKUP(Sheet1!$A187,Sheet2!$B$5:$H$29,3,FALSE),0)</x:f>
        <x:v>36</x:v>
      </x:c>
      <x:c r="E187">
        <x:f>ROUND($C187*10*VLOOKUP($B187,Sheet2!$J$5:$K$7,2,FALSE)*VLOOKUP(Sheet1!$A187,Sheet2!$B$5:$H$29,4,FALSE),0)</x:f>
        <x:v>12</x:v>
      </x:c>
      <x:c r="F187">
        <x:f>ROUND($C187*10*VLOOKUP($B187,Sheet2!$J$5:$K$7,2,FALSE)*VLOOKUP(Sheet1!$A187,Sheet2!$B$5:$H$29,5,FALSE),0)</x:f>
        <x:v>0</x:v>
      </x:c>
      <x:c r="G187">
        <x:f>ROUND($C187*10*VLOOKUP($B187,Sheet2!$J$5:$K$7,2,FALSE)*VLOOKUP(Sheet1!$A187,Sheet2!$B$5:$H$29,6,FALSE),0)</x:f>
        <x:v>0</x:v>
      </x:c>
      <x:c r="H187">
        <x:f>ROUND($C187*10*VLOOKUP($B187,Sheet2!$J$5:$K$7,2,FALSE)*VLOOKUP(Sheet1!$A187,Sheet2!$B$5:$H$29,7,FALSE),0)</x:f>
        <x:v>0</x:v>
      </x:c>
      <x:c r="I187">
        <x:f t="shared" si="3"/>
        <x:v>420</x:v>
      </x:c>
    </x:row>
    <x:row r="188" spans="1:9" x14ac:dyDescent="0.15">
      <x:c r="A188">
        <x:v>54002</x:v>
      </x:c>
      <x:c r="B188">
        <x:v>1</x:v>
      </x:c>
      <x:c r="C188">
        <x:v>7</x:v>
      </x:c>
      <x:c r="D188">
        <x:f>ROUND($C188*10*VLOOKUP($B188,Sheet2!$J$5:$K$7,2,FALSE)*VLOOKUP(Sheet1!$A188,Sheet2!$B$5:$H$29,3,FALSE),0)</x:f>
        <x:v>42</x:v>
      </x:c>
      <x:c r="E188">
        <x:f>ROUND($C188*10*VLOOKUP($B188,Sheet2!$J$5:$K$7,2,FALSE)*VLOOKUP(Sheet1!$A188,Sheet2!$B$5:$H$29,4,FALSE),0)</x:f>
        <x:v>14</x:v>
      </x:c>
      <x:c r="F188">
        <x:f>ROUND($C188*10*VLOOKUP($B188,Sheet2!$J$5:$K$7,2,FALSE)*VLOOKUP(Sheet1!$A188,Sheet2!$B$5:$H$29,5,FALSE),0)</x:f>
        <x:v>0</x:v>
      </x:c>
      <x:c r="G188">
        <x:f>ROUND($C188*10*VLOOKUP($B188,Sheet2!$J$5:$K$7,2,FALSE)*VLOOKUP(Sheet1!$A188,Sheet2!$B$5:$H$29,6,FALSE),0)</x:f>
        <x:v>0</x:v>
      </x:c>
      <x:c r="H188">
        <x:f>ROUND($C188*10*VLOOKUP($B188,Sheet2!$J$5:$K$7,2,FALSE)*VLOOKUP(Sheet1!$A188,Sheet2!$B$5:$H$29,7,FALSE),0)</x:f>
        <x:v>0</x:v>
      </x:c>
      <x:c r="I188">
        <x:f t="shared" si="3"/>
        <x:v>570</x:v>
      </x:c>
    </x:row>
    <x:row r="189" spans="1:9" x14ac:dyDescent="0.15">
      <x:c r="A189">
        <x:v>54002</x:v>
      </x:c>
      <x:c r="B189">
        <x:v>1</x:v>
      </x:c>
      <x:c r="C189">
        <x:v>8</x:v>
      </x:c>
      <x:c r="D189">
        <x:f>ROUND($C189*10*VLOOKUP($B189,Sheet2!$J$5:$K$7,2,FALSE)*VLOOKUP(Sheet1!$A189,Sheet2!$B$5:$H$29,3,FALSE),0)</x:f>
        <x:v>48</x:v>
      </x:c>
      <x:c r="E189">
        <x:f>ROUND($C189*10*VLOOKUP($B189,Sheet2!$J$5:$K$7,2,FALSE)*VLOOKUP(Sheet1!$A189,Sheet2!$B$5:$H$29,4,FALSE),0)</x:f>
        <x:v>16</x:v>
      </x:c>
      <x:c r="F189">
        <x:f>ROUND($C189*10*VLOOKUP($B189,Sheet2!$J$5:$K$7,2,FALSE)*VLOOKUP(Sheet1!$A189,Sheet2!$B$5:$H$29,5,FALSE),0)</x:f>
        <x:v>0</x:v>
      </x:c>
      <x:c r="G189">
        <x:f>ROUND($C189*10*VLOOKUP($B189,Sheet2!$J$5:$K$7,2,FALSE)*VLOOKUP(Sheet1!$A189,Sheet2!$B$5:$H$29,6,FALSE),0)</x:f>
        <x:v>0</x:v>
      </x:c>
      <x:c r="H189">
        <x:f>ROUND($C189*10*VLOOKUP($B189,Sheet2!$J$5:$K$7,2,FALSE)*VLOOKUP(Sheet1!$A189,Sheet2!$B$5:$H$29,7,FALSE),0)</x:f>
        <x:v>0</x:v>
      </x:c>
      <x:c r="I189">
        <x:f t="shared" si="3"/>
        <x:v>750</x:v>
      </x:c>
    </x:row>
    <x:row r="190" spans="1:9" x14ac:dyDescent="0.15">
      <x:c r="A190">
        <x:v>54002</x:v>
      </x:c>
      <x:c r="B190">
        <x:v>1</x:v>
      </x:c>
      <x:c r="C190">
        <x:v>9</x:v>
      </x:c>
      <x:c r="D190">
        <x:f>ROUND($C190*10*VLOOKUP($B190,Sheet2!$J$5:$K$7,2,FALSE)*VLOOKUP(Sheet1!$A190,Sheet2!$B$5:$H$29,3,FALSE),0)</x:f>
        <x:v>54</x:v>
      </x:c>
      <x:c r="E190">
        <x:f>ROUND($C190*10*VLOOKUP($B190,Sheet2!$J$5:$K$7,2,FALSE)*VLOOKUP(Sheet1!$A190,Sheet2!$B$5:$H$29,4,FALSE),0)</x:f>
        <x:v>18</x:v>
      </x:c>
      <x:c r="F190">
        <x:f>ROUND($C190*10*VLOOKUP($B190,Sheet2!$J$5:$K$7,2,FALSE)*VLOOKUP(Sheet1!$A190,Sheet2!$B$5:$H$29,5,FALSE),0)</x:f>
        <x:v>0</x:v>
      </x:c>
      <x:c r="G190">
        <x:f>ROUND($C190*10*VLOOKUP($B190,Sheet2!$J$5:$K$7,2,FALSE)*VLOOKUP(Sheet1!$A190,Sheet2!$B$5:$H$29,6,FALSE),0)</x:f>
        <x:v>0</x:v>
      </x:c>
      <x:c r="H190">
        <x:f>ROUND($C190*10*VLOOKUP($B190,Sheet2!$J$5:$K$7,2,FALSE)*VLOOKUP(Sheet1!$A190,Sheet2!$B$5:$H$29,7,FALSE),0)</x:f>
        <x:v>0</x:v>
      </x:c>
      <x:c r="I190">
        <x:f t="shared" si="3"/>
        <x:v>940</x:v>
      </x:c>
    </x:row>
    <x:row r="191" spans="1:9" x14ac:dyDescent="0.15">
      <x:c r="A191">
        <x:v>54002</x:v>
      </x:c>
      <x:c r="B191">
        <x:v>1</x:v>
      </x:c>
      <x:c r="C191">
        <x:v>10</x:v>
      </x:c>
      <x:c r="D191">
        <x:f>ROUND($C191*10*VLOOKUP($B191,Sheet2!$J$5:$K$7,2,FALSE)*VLOOKUP(Sheet1!$A191,Sheet2!$B$5:$H$29,3,FALSE),0)</x:f>
        <x:v>60</x:v>
      </x:c>
      <x:c r="E191">
        <x:f>ROUND($C191*10*VLOOKUP($B191,Sheet2!$J$5:$K$7,2,FALSE)*VLOOKUP(Sheet1!$A191,Sheet2!$B$5:$H$29,4,FALSE),0)</x:f>
        <x:v>20</x:v>
      </x:c>
      <x:c r="F191">
        <x:f>ROUND($C191*10*VLOOKUP($B191,Sheet2!$J$5:$K$7,2,FALSE)*VLOOKUP(Sheet1!$A191,Sheet2!$B$5:$H$29,5,FALSE),0)</x:f>
        <x:v>0</x:v>
      </x:c>
      <x:c r="G191">
        <x:f>ROUND($C191*10*VLOOKUP($B191,Sheet2!$J$5:$K$7,2,FALSE)*VLOOKUP(Sheet1!$A191,Sheet2!$B$5:$H$29,6,FALSE),0)</x:f>
        <x:v>0</x:v>
      </x:c>
      <x:c r="H191">
        <x:f>ROUND($C191*10*VLOOKUP($B191,Sheet2!$J$5:$K$7,2,FALSE)*VLOOKUP(Sheet1!$A191,Sheet2!$B$5:$H$29,7,FALSE),0)</x:f>
        <x:v>0</x:v>
      </x:c>
      <x:c r="I191">
        <x:f t="shared" si="3"/>
        <x:v>1160</x:v>
      </x:c>
    </x:row>
    <x:row r="192" spans="1:9" x14ac:dyDescent="0.15">
      <x:c r="A192">
        <x:v>54002</x:v>
      </x:c>
      <x:c r="B192">
        <x:v>1</x:v>
      </x:c>
      <x:c r="C192">
        <x:v>11</x:v>
      </x:c>
      <x:c r="D192">
        <x:f>ROUND($C192*10*VLOOKUP($B192,Sheet2!$J$5:$K$7,2,FALSE)*VLOOKUP(Sheet1!$A192,Sheet2!$B$5:$H$29,3,FALSE),0)</x:f>
        <x:v>66</x:v>
      </x:c>
      <x:c r="E192">
        <x:f>ROUND($C192*10*VLOOKUP($B192,Sheet2!$J$5:$K$7,2,FALSE)*VLOOKUP(Sheet1!$A192,Sheet2!$B$5:$H$29,4,FALSE),0)</x:f>
        <x:v>22</x:v>
      </x:c>
      <x:c r="F192">
        <x:f>ROUND($C192*10*VLOOKUP($B192,Sheet2!$J$5:$K$7,2,FALSE)*VLOOKUP(Sheet1!$A192,Sheet2!$B$5:$H$29,5,FALSE),0)</x:f>
        <x:v>0</x:v>
      </x:c>
      <x:c r="G192">
        <x:f>ROUND($C192*10*VLOOKUP($B192,Sheet2!$J$5:$K$7,2,FALSE)*VLOOKUP(Sheet1!$A192,Sheet2!$B$5:$H$29,6,FALSE),0)</x:f>
        <x:v>0</x:v>
      </x:c>
      <x:c r="H192">
        <x:f>ROUND($C192*10*VLOOKUP($B192,Sheet2!$J$5:$K$7,2,FALSE)*VLOOKUP(Sheet1!$A192,Sheet2!$B$5:$H$29,7,FALSE),0)</x:f>
        <x:v>0</x:v>
      </x:c>
      <x:c r="I192">
        <x:f t="shared" si="3"/>
        <x:v>1390</x:v>
      </x:c>
    </x:row>
    <x:row r="193" spans="1:9" x14ac:dyDescent="0.15">
      <x:c r="A193">
        <x:v>54002</x:v>
      </x:c>
      <x:c r="B193">
        <x:v>1</x:v>
      </x:c>
      <x:c r="C193">
        <x:v>12</x:v>
      </x:c>
      <x:c r="D193">
        <x:f>ROUND($C193*10*VLOOKUP($B193,Sheet2!$J$5:$K$7,2,FALSE)*VLOOKUP(Sheet1!$A193,Sheet2!$B$5:$H$29,3,FALSE),0)</x:f>
        <x:v>72</x:v>
      </x:c>
      <x:c r="E193">
        <x:f>ROUND($C193*10*VLOOKUP($B193,Sheet2!$J$5:$K$7,2,FALSE)*VLOOKUP(Sheet1!$A193,Sheet2!$B$5:$H$29,4,FALSE),0)</x:f>
        <x:v>24</x:v>
      </x:c>
      <x:c r="F193">
        <x:f>ROUND($C193*10*VLOOKUP($B193,Sheet2!$J$5:$K$7,2,FALSE)*VLOOKUP(Sheet1!$A193,Sheet2!$B$5:$H$29,5,FALSE),0)</x:f>
        <x:v>0</x:v>
      </x:c>
      <x:c r="G193">
        <x:f>ROUND($C193*10*VLOOKUP($B193,Sheet2!$J$5:$K$7,2,FALSE)*VLOOKUP(Sheet1!$A193,Sheet2!$B$5:$H$29,6,FALSE),0)</x:f>
        <x:v>0</x:v>
      </x:c>
      <x:c r="H193">
        <x:f>ROUND($C193*10*VLOOKUP($B193,Sheet2!$J$5:$K$7,2,FALSE)*VLOOKUP(Sheet1!$A193,Sheet2!$B$5:$H$29,7,FALSE),0)</x:f>
        <x:v>0</x:v>
      </x:c>
      <x:c r="I193">
        <x:f t="shared" si="3"/>
        <x:v>1650</x:v>
      </x:c>
    </x:row>
    <x:row r="194" spans="1:9" x14ac:dyDescent="0.15">
      <x:c r="A194">
        <x:v>54002</x:v>
      </x:c>
      <x:c r="B194">
        <x:v>1</x:v>
      </x:c>
      <x:c r="C194">
        <x:v>13</x:v>
      </x:c>
      <x:c r="D194">
        <x:f>ROUND($C194*10*VLOOKUP($B194,Sheet2!$J$5:$K$7,2,FALSE)*VLOOKUP(Sheet1!$A194,Sheet2!$B$5:$H$29,3,FALSE),0)</x:f>
        <x:v>78</x:v>
      </x:c>
      <x:c r="E194">
        <x:f>ROUND($C194*10*VLOOKUP($B194,Sheet2!$J$5:$K$7,2,FALSE)*VLOOKUP(Sheet1!$A194,Sheet2!$B$5:$H$29,4,FALSE),0)</x:f>
        <x:v>26</x:v>
      </x:c>
      <x:c r="F194">
        <x:f>ROUND($C194*10*VLOOKUP($B194,Sheet2!$J$5:$K$7,2,FALSE)*VLOOKUP(Sheet1!$A194,Sheet2!$B$5:$H$29,5,FALSE),0)</x:f>
        <x:v>0</x:v>
      </x:c>
      <x:c r="G194">
        <x:f>ROUND($C194*10*VLOOKUP($B194,Sheet2!$J$5:$K$7,2,FALSE)*VLOOKUP(Sheet1!$A194,Sheet2!$B$5:$H$29,6,FALSE),0)</x:f>
        <x:v>0</x:v>
      </x:c>
      <x:c r="H194">
        <x:f>ROUND($C194*10*VLOOKUP($B194,Sheet2!$J$5:$K$7,2,FALSE)*VLOOKUP(Sheet1!$A194,Sheet2!$B$5:$H$29,7,FALSE),0)</x:f>
        <x:v>0</x:v>
      </x:c>
      <x:c r="I194">
        <x:f t="shared" si="3"/>
        <x:v>1920</x:v>
      </x:c>
    </x:row>
    <x:row r="195" spans="1:9" x14ac:dyDescent="0.15">
      <x:c r="A195">
        <x:v>54002</x:v>
      </x:c>
      <x:c r="B195">
        <x:v>1</x:v>
      </x:c>
      <x:c r="C195">
        <x:v>14</x:v>
      </x:c>
      <x:c r="D195">
        <x:f>ROUND($C195*10*VLOOKUP($B195,Sheet2!$J$5:$K$7,2,FALSE)*VLOOKUP(Sheet1!$A195,Sheet2!$B$5:$H$29,3,FALSE),0)</x:f>
        <x:v>84</x:v>
      </x:c>
      <x:c r="E195">
        <x:f>ROUND($C195*10*VLOOKUP($B195,Sheet2!$J$5:$K$7,2,FALSE)*VLOOKUP(Sheet1!$A195,Sheet2!$B$5:$H$29,4,FALSE),0)</x:f>
        <x:v>28</x:v>
      </x:c>
      <x:c r="F195">
        <x:f>ROUND($C195*10*VLOOKUP($B195,Sheet2!$J$5:$K$7,2,FALSE)*VLOOKUP(Sheet1!$A195,Sheet2!$B$5:$H$29,5,FALSE),0)</x:f>
        <x:v>0</x:v>
      </x:c>
      <x:c r="G195">
        <x:f>ROUND($C195*10*VLOOKUP($B195,Sheet2!$J$5:$K$7,2,FALSE)*VLOOKUP(Sheet1!$A195,Sheet2!$B$5:$H$29,6,FALSE),0)</x:f>
        <x:v>0</x:v>
      </x:c>
      <x:c r="H195">
        <x:f>ROUND($C195*10*VLOOKUP($B195,Sheet2!$J$5:$K$7,2,FALSE)*VLOOKUP(Sheet1!$A195,Sheet2!$B$5:$H$29,7,FALSE),0)</x:f>
        <x:v>0</x:v>
      </x:c>
      <x:c r="I195">
        <x:f t="shared" si="3"/>
        <x:v>2220</x:v>
      </x:c>
    </x:row>
    <x:row r="196" spans="1:9" x14ac:dyDescent="0.15">
      <x:c r="A196">
        <x:v>54002</x:v>
      </x:c>
      <x:c r="B196">
        <x:v>1</x:v>
      </x:c>
      <x:c r="C196">
        <x:v>15</x:v>
      </x:c>
      <x:c r="D196">
        <x:f>ROUND($C196*10*VLOOKUP($B196,Sheet2!$J$5:$K$7,2,FALSE)*VLOOKUP(Sheet1!$A196,Sheet2!$B$5:$H$29,3,FALSE),0)</x:f>
        <x:v>90</x:v>
      </x:c>
      <x:c r="E196">
        <x:f>ROUND($C196*10*VLOOKUP($B196,Sheet2!$J$5:$K$7,2,FALSE)*VLOOKUP(Sheet1!$A196,Sheet2!$B$5:$H$29,4,FALSE),0)</x:f>
        <x:v>30</x:v>
      </x:c>
      <x:c r="F196">
        <x:f>ROUND($C196*10*VLOOKUP($B196,Sheet2!$J$5:$K$7,2,FALSE)*VLOOKUP(Sheet1!$A196,Sheet2!$B$5:$H$29,5,FALSE),0)</x:f>
        <x:v>0</x:v>
      </x:c>
      <x:c r="G196">
        <x:f>ROUND($C196*10*VLOOKUP($B196,Sheet2!$J$5:$K$7,2,FALSE)*VLOOKUP(Sheet1!$A196,Sheet2!$B$5:$H$29,6,FALSE),0)</x:f>
        <x:v>0</x:v>
      </x:c>
      <x:c r="H196">
        <x:f>ROUND($C196*10*VLOOKUP($B196,Sheet2!$J$5:$K$7,2,FALSE)*VLOOKUP(Sheet1!$A196,Sheet2!$B$5:$H$29,7,FALSE),0)</x:f>
        <x:v>0</x:v>
      </x:c>
      <x:c r="I196">
        <x:f t="shared" si="3"/>
        <x:v>2530</x:v>
      </x:c>
    </x:row>
    <x:row r="197" spans="1:9" x14ac:dyDescent="0.15">
      <x:c r="A197">
        <x:v>54002</x:v>
      </x:c>
      <x:c r="B197">
        <x:v>1</x:v>
      </x:c>
      <x:c r="C197">
        <x:v>16</x:v>
      </x:c>
      <x:c r="D197">
        <x:f>ROUND($C197*10*VLOOKUP($B197,Sheet2!$J$5:$K$7,2,FALSE)*VLOOKUP(Sheet1!$A197,Sheet2!$B$5:$H$29,3,FALSE),0)</x:f>
        <x:v>96</x:v>
      </x:c>
      <x:c r="E197">
        <x:f>ROUND($C197*10*VLOOKUP($B197,Sheet2!$J$5:$K$7,2,FALSE)*VLOOKUP(Sheet1!$A197,Sheet2!$B$5:$H$29,4,FALSE),0)</x:f>
        <x:v>32</x:v>
      </x:c>
      <x:c r="F197">
        <x:f>ROUND($C197*10*VLOOKUP($B197,Sheet2!$J$5:$K$7,2,FALSE)*VLOOKUP(Sheet1!$A197,Sheet2!$B$5:$H$29,5,FALSE),0)</x:f>
        <x:v>0</x:v>
      </x:c>
      <x:c r="G197">
        <x:f>ROUND($C197*10*VLOOKUP($B197,Sheet2!$J$5:$K$7,2,FALSE)*VLOOKUP(Sheet1!$A197,Sheet2!$B$5:$H$29,6,FALSE),0)</x:f>
        <x:v>0</x:v>
      </x:c>
      <x:c r="H197">
        <x:f>ROUND($C197*10*VLOOKUP($B197,Sheet2!$J$5:$K$7,2,FALSE)*VLOOKUP(Sheet1!$A197,Sheet2!$B$5:$H$29,7,FALSE),0)</x:f>
        <x:v>0</x:v>
      </x:c>
      <x:c r="I197">
        <x:f t="shared" si="3"/>
        <x:v>2860</x:v>
      </x:c>
    </x:row>
    <x:row r="198" spans="1:9" x14ac:dyDescent="0.15">
      <x:c r="A198">
        <x:v>54002</x:v>
      </x:c>
      <x:c r="B198">
        <x:v>1</x:v>
      </x:c>
      <x:c r="C198">
        <x:v>17</x:v>
      </x:c>
      <x:c r="D198">
        <x:f>ROUND($C198*10*VLOOKUP($B198,Sheet2!$J$5:$K$7,2,FALSE)*VLOOKUP(Sheet1!$A198,Sheet2!$B$5:$H$29,3,FALSE),0)</x:f>
        <x:v>102</x:v>
      </x:c>
      <x:c r="E198">
        <x:f>ROUND($C198*10*VLOOKUP($B198,Sheet2!$J$5:$K$7,2,FALSE)*VLOOKUP(Sheet1!$A198,Sheet2!$B$5:$H$29,4,FALSE),0)</x:f>
        <x:v>34</x:v>
      </x:c>
      <x:c r="F198">
        <x:f>ROUND($C198*10*VLOOKUP($B198,Sheet2!$J$5:$K$7,2,FALSE)*VLOOKUP(Sheet1!$A198,Sheet2!$B$5:$H$29,5,FALSE),0)</x:f>
        <x:v>0</x:v>
      </x:c>
      <x:c r="G198">
        <x:f>ROUND($C198*10*VLOOKUP($B198,Sheet2!$J$5:$K$7,2,FALSE)*VLOOKUP(Sheet1!$A198,Sheet2!$B$5:$H$29,6,FALSE),0)</x:f>
        <x:v>0</x:v>
      </x:c>
      <x:c r="H198">
        <x:f>ROUND($C198*10*VLOOKUP($B198,Sheet2!$J$5:$K$7,2,FALSE)*VLOOKUP(Sheet1!$A198,Sheet2!$B$5:$H$29,7,FALSE),0)</x:f>
        <x:v>0</x:v>
      </x:c>
      <x:c r="I198">
        <x:f t="shared" si="3"/>
        <x:v>3210</x:v>
      </x:c>
    </x:row>
    <x:row r="199" spans="1:9" x14ac:dyDescent="0.15">
      <x:c r="A199">
        <x:v>54002</x:v>
      </x:c>
      <x:c r="B199">
        <x:v>1</x:v>
      </x:c>
      <x:c r="C199">
        <x:v>18</x:v>
      </x:c>
      <x:c r="D199">
        <x:f>ROUND($C199*10*VLOOKUP($B199,Sheet2!$J$5:$K$7,2,FALSE)*VLOOKUP(Sheet1!$A199,Sheet2!$B$5:$H$29,3,FALSE),0)</x:f>
        <x:v>108</x:v>
      </x:c>
      <x:c r="E199">
        <x:f>ROUND($C199*10*VLOOKUP($B199,Sheet2!$J$5:$K$7,2,FALSE)*VLOOKUP(Sheet1!$A199,Sheet2!$B$5:$H$29,4,FALSE),0)</x:f>
        <x:v>36</x:v>
      </x:c>
      <x:c r="F199">
        <x:f>ROUND($C199*10*VLOOKUP($B199,Sheet2!$J$5:$K$7,2,FALSE)*VLOOKUP(Sheet1!$A199,Sheet2!$B$5:$H$29,5,FALSE),0)</x:f>
        <x:v>0</x:v>
      </x:c>
      <x:c r="G199">
        <x:f>ROUND($C199*10*VLOOKUP($B199,Sheet2!$J$5:$K$7,2,FALSE)*VLOOKUP(Sheet1!$A199,Sheet2!$B$5:$H$29,6,FALSE),0)</x:f>
        <x:v>0</x:v>
      </x:c>
      <x:c r="H199">
        <x:f>ROUND($C199*10*VLOOKUP($B199,Sheet2!$J$5:$K$7,2,FALSE)*VLOOKUP(Sheet1!$A199,Sheet2!$B$5:$H$29,7,FALSE),0)</x:f>
        <x:v>0</x:v>
      </x:c>
      <x:c r="I199">
        <x:f t="shared" si="3"/>
        <x:v>3570</x:v>
      </x:c>
    </x:row>
    <x:row r="200" spans="1:9" x14ac:dyDescent="0.15">
      <x:c r="A200">
        <x:v>54002</x:v>
      </x:c>
      <x:c r="B200">
        <x:v>1</x:v>
      </x:c>
      <x:c r="C200">
        <x:v>19</x:v>
      </x:c>
      <x:c r="D200">
        <x:f>ROUND($C200*10*VLOOKUP($B200,Sheet2!$J$5:$K$7,2,FALSE)*VLOOKUP(Sheet1!$A200,Sheet2!$B$5:$H$29,3,FALSE),0)</x:f>
        <x:v>114</x:v>
      </x:c>
      <x:c r="E200">
        <x:f>ROUND($C200*10*VLOOKUP($B200,Sheet2!$J$5:$K$7,2,FALSE)*VLOOKUP(Sheet1!$A200,Sheet2!$B$5:$H$29,4,FALSE),0)</x:f>
        <x:v>38</x:v>
      </x:c>
      <x:c r="F200">
        <x:f>ROUND($C200*10*VLOOKUP($B200,Sheet2!$J$5:$K$7,2,FALSE)*VLOOKUP(Sheet1!$A200,Sheet2!$B$5:$H$29,5,FALSE),0)</x:f>
        <x:v>0</x:v>
      </x:c>
      <x:c r="G200">
        <x:f>ROUND($C200*10*VLOOKUP($B200,Sheet2!$J$5:$K$7,2,FALSE)*VLOOKUP(Sheet1!$A200,Sheet2!$B$5:$H$29,6,FALSE),0)</x:f>
        <x:v>0</x:v>
      </x:c>
      <x:c r="H200">
        <x:f>ROUND($C200*10*VLOOKUP($B200,Sheet2!$J$5:$K$7,2,FALSE)*VLOOKUP(Sheet1!$A200,Sheet2!$B$5:$H$29,7,FALSE),0)</x:f>
        <x:v>0</x:v>
      </x:c>
      <x:c r="I200">
        <x:f t="shared" si="3"/>
        <x:v>3960</x:v>
      </x:c>
    </x:row>
    <x:row r="201" spans="1:9" x14ac:dyDescent="0.15">
      <x:c r="A201">
        <x:v>54002</x:v>
      </x:c>
      <x:c r="B201">
        <x:v>1</x:v>
      </x:c>
      <x:c r="C201">
        <x:v>20</x:v>
      </x:c>
      <x:c r="D201">
        <x:f>ROUND($C201*10*VLOOKUP($B201,Sheet2!$J$5:$K$7,2,FALSE)*VLOOKUP(Sheet1!$A201,Sheet2!$B$5:$H$29,3,FALSE),0)</x:f>
        <x:v>120</x:v>
      </x:c>
      <x:c r="E201">
        <x:f>ROUND($C201*10*VLOOKUP($B201,Sheet2!$J$5:$K$7,2,FALSE)*VLOOKUP(Sheet1!$A201,Sheet2!$B$5:$H$29,4,FALSE),0)</x:f>
        <x:v>40</x:v>
      </x:c>
      <x:c r="F201">
        <x:f>ROUND($C201*10*VLOOKUP($B201,Sheet2!$J$5:$K$7,2,FALSE)*VLOOKUP(Sheet1!$A201,Sheet2!$B$5:$H$29,5,FALSE),0)</x:f>
        <x:v>0</x:v>
      </x:c>
      <x:c r="G201">
        <x:f>ROUND($C201*10*VLOOKUP($B201,Sheet2!$J$5:$K$7,2,FALSE)*VLOOKUP(Sheet1!$A201,Sheet2!$B$5:$H$29,6,FALSE),0)</x:f>
        <x:v>0</x:v>
      </x:c>
      <x:c r="H201">
        <x:f>ROUND($C201*10*VLOOKUP($B201,Sheet2!$J$5:$K$7,2,FALSE)*VLOOKUP(Sheet1!$A201,Sheet2!$B$5:$H$29,7,FALSE),0)</x:f>
        <x:v>0</x:v>
      </x:c>
      <x:c r="I201">
        <x:f t="shared" si="3"/>
        <x:v>4360</x:v>
      </x:c>
    </x:row>
    <x:row r="202" spans="1:9" x14ac:dyDescent="0.15">
      <x:c r="A202">
        <x:v>54002</x:v>
      </x:c>
      <x:c r="B202">
        <x:v>1</x:v>
      </x:c>
      <x:c r="C202">
        <x:v>21</x:v>
      </x:c>
      <x:c r="D202">
        <x:f>ROUND($C202*10*VLOOKUP($B202,Sheet2!$J$5:$K$7,2,FALSE)*VLOOKUP(Sheet1!$A202,Sheet2!$B$5:$H$29,3,FALSE),0)</x:f>
        <x:v>126</x:v>
      </x:c>
      <x:c r="E202">
        <x:f>ROUND($C202*10*VLOOKUP($B202,Sheet2!$J$5:$K$7,2,FALSE)*VLOOKUP(Sheet1!$A202,Sheet2!$B$5:$H$29,4,FALSE),0)</x:f>
        <x:v>42</x:v>
      </x:c>
      <x:c r="F202">
        <x:f>ROUND($C202*10*VLOOKUP($B202,Sheet2!$J$5:$K$7,2,FALSE)*VLOOKUP(Sheet1!$A202,Sheet2!$B$5:$H$29,5,FALSE),0)</x:f>
        <x:v>0</x:v>
      </x:c>
      <x:c r="G202">
        <x:f>ROUND($C202*10*VLOOKUP($B202,Sheet2!$J$5:$K$7,2,FALSE)*VLOOKUP(Sheet1!$A202,Sheet2!$B$5:$H$29,6,FALSE),0)</x:f>
        <x:v>0</x:v>
      </x:c>
      <x:c r="H202">
        <x:f>ROUND($C202*10*VLOOKUP($B202,Sheet2!$J$5:$K$7,2,FALSE)*VLOOKUP(Sheet1!$A202,Sheet2!$B$5:$H$29,7,FALSE),0)</x:f>
        <x:v>0</x:v>
      </x:c>
      <x:c r="I202">
        <x:f t="shared" si="3"/>
        <x:v>4780</x:v>
      </x:c>
    </x:row>
    <x:row r="203" spans="1:9" x14ac:dyDescent="0.15">
      <x:c r="A203">
        <x:v>54002</x:v>
      </x:c>
      <x:c r="B203">
        <x:v>1</x:v>
      </x:c>
      <x:c r="C203">
        <x:v>22</x:v>
      </x:c>
      <x:c r="D203">
        <x:f>ROUND($C203*10*VLOOKUP($B203,Sheet2!$J$5:$K$7,2,FALSE)*VLOOKUP(Sheet1!$A203,Sheet2!$B$5:$H$29,3,FALSE),0)</x:f>
        <x:v>132</x:v>
      </x:c>
      <x:c r="E203">
        <x:f>ROUND($C203*10*VLOOKUP($B203,Sheet2!$J$5:$K$7,2,FALSE)*VLOOKUP(Sheet1!$A203,Sheet2!$B$5:$H$29,4,FALSE),0)</x:f>
        <x:v>44</x:v>
      </x:c>
      <x:c r="F203">
        <x:f>ROUND($C203*10*VLOOKUP($B203,Sheet2!$J$5:$K$7,2,FALSE)*VLOOKUP(Sheet1!$A203,Sheet2!$B$5:$H$29,5,FALSE),0)</x:f>
        <x:v>0</x:v>
      </x:c>
      <x:c r="G203">
        <x:f>ROUND($C203*10*VLOOKUP($B203,Sheet2!$J$5:$K$7,2,FALSE)*VLOOKUP(Sheet1!$A203,Sheet2!$B$5:$H$29,6,FALSE),0)</x:f>
        <x:v>0</x:v>
      </x:c>
      <x:c r="H203">
        <x:f>ROUND($C203*10*VLOOKUP($B203,Sheet2!$J$5:$K$7,2,FALSE)*VLOOKUP(Sheet1!$A203,Sheet2!$B$5:$H$29,7,FALSE),0)</x:f>
        <x:v>0</x:v>
      </x:c>
      <x:c r="I203">
        <x:f t="shared" si="3"/>
        <x:v>5210</x:v>
      </x:c>
    </x:row>
    <x:row r="204" spans="1:9" x14ac:dyDescent="0.15">
      <x:c r="A204">
        <x:v>54002</x:v>
      </x:c>
      <x:c r="B204">
        <x:v>1</x:v>
      </x:c>
      <x:c r="C204">
        <x:v>23</x:v>
      </x:c>
      <x:c r="D204">
        <x:f>ROUND($C204*10*VLOOKUP($B204,Sheet2!$J$5:$K$7,2,FALSE)*VLOOKUP(Sheet1!$A204,Sheet2!$B$5:$H$29,3,FALSE),0)</x:f>
        <x:v>138</x:v>
      </x:c>
      <x:c r="E204">
        <x:f>ROUND($C204*10*VLOOKUP($B204,Sheet2!$J$5:$K$7,2,FALSE)*VLOOKUP(Sheet1!$A204,Sheet2!$B$5:$H$29,4,FALSE),0)</x:f>
        <x:v>46</x:v>
      </x:c>
      <x:c r="F204">
        <x:f>ROUND($C204*10*VLOOKUP($B204,Sheet2!$J$5:$K$7,2,FALSE)*VLOOKUP(Sheet1!$A204,Sheet2!$B$5:$H$29,5,FALSE),0)</x:f>
        <x:v>0</x:v>
      </x:c>
      <x:c r="G204">
        <x:f>ROUND($C204*10*VLOOKUP($B204,Sheet2!$J$5:$K$7,2,FALSE)*VLOOKUP(Sheet1!$A204,Sheet2!$B$5:$H$29,6,FALSE),0)</x:f>
        <x:v>0</x:v>
      </x:c>
      <x:c r="H204">
        <x:f>ROUND($C204*10*VLOOKUP($B204,Sheet2!$J$5:$K$7,2,FALSE)*VLOOKUP(Sheet1!$A204,Sheet2!$B$5:$H$29,7,FALSE),0)</x:f>
        <x:v>0</x:v>
      </x:c>
      <x:c r="I204">
        <x:f t="shared" si="3"/>
        <x:v>5660</x:v>
      </x:c>
    </x:row>
    <x:row r="205" spans="1:9" x14ac:dyDescent="0.15">
      <x:c r="A205">
        <x:v>54002</x:v>
      </x:c>
      <x:c r="B205">
        <x:v>1</x:v>
      </x:c>
      <x:c r="C205">
        <x:v>24</x:v>
      </x:c>
      <x:c r="D205">
        <x:f>ROUND($C205*10*VLOOKUP($B205,Sheet2!$J$5:$K$7,2,FALSE)*VLOOKUP(Sheet1!$A205,Sheet2!$B$5:$H$29,3,FALSE),0)</x:f>
        <x:v>144</x:v>
      </x:c>
      <x:c r="E205">
        <x:f>ROUND($C205*10*VLOOKUP($B205,Sheet2!$J$5:$K$7,2,FALSE)*VLOOKUP(Sheet1!$A205,Sheet2!$B$5:$H$29,4,FALSE),0)</x:f>
        <x:v>48</x:v>
      </x:c>
      <x:c r="F205">
        <x:f>ROUND($C205*10*VLOOKUP($B205,Sheet2!$J$5:$K$7,2,FALSE)*VLOOKUP(Sheet1!$A205,Sheet2!$B$5:$H$29,5,FALSE),0)</x:f>
        <x:v>0</x:v>
      </x:c>
      <x:c r="G205">
        <x:f>ROUND($C205*10*VLOOKUP($B205,Sheet2!$J$5:$K$7,2,FALSE)*VLOOKUP(Sheet1!$A205,Sheet2!$B$5:$H$29,6,FALSE),0)</x:f>
        <x:v>0</x:v>
      </x:c>
      <x:c r="H205">
        <x:f>ROUND($C205*10*VLOOKUP($B205,Sheet2!$J$5:$K$7,2,FALSE)*VLOOKUP(Sheet1!$A205,Sheet2!$B$5:$H$29,7,FALSE),0)</x:f>
        <x:v>0</x:v>
      </x:c>
      <x:c r="I205">
        <x:f t="shared" si="3"/>
        <x:v>6130</x:v>
      </x:c>
    </x:row>
    <x:row r="206" spans="1:9" x14ac:dyDescent="0.15">
      <x:c r="A206">
        <x:v>54002</x:v>
      </x:c>
      <x:c r="B206">
        <x:v>1</x:v>
      </x:c>
      <x:c r="C206">
        <x:v>25</x:v>
      </x:c>
      <x:c r="D206">
        <x:f>ROUND($C206*10*VLOOKUP($B206,Sheet2!$J$5:$K$7,2,FALSE)*VLOOKUP(Sheet1!$A206,Sheet2!$B$5:$H$29,3,FALSE),0)</x:f>
        <x:v>150</x:v>
      </x:c>
      <x:c r="E206">
        <x:f>ROUND($C206*10*VLOOKUP($B206,Sheet2!$J$5:$K$7,2,FALSE)*VLOOKUP(Sheet1!$A206,Sheet2!$B$5:$H$29,4,FALSE),0)</x:f>
        <x:v>50</x:v>
      </x:c>
      <x:c r="F206">
        <x:f>ROUND($C206*10*VLOOKUP($B206,Sheet2!$J$5:$K$7,2,FALSE)*VLOOKUP(Sheet1!$A206,Sheet2!$B$5:$H$29,5,FALSE),0)</x:f>
        <x:v>0</x:v>
      </x:c>
      <x:c r="G206">
        <x:f>ROUND($C206*10*VLOOKUP($B206,Sheet2!$J$5:$K$7,2,FALSE)*VLOOKUP(Sheet1!$A206,Sheet2!$B$5:$H$29,6,FALSE),0)</x:f>
        <x:v>0</x:v>
      </x:c>
      <x:c r="H206">
        <x:f>ROUND($C206*10*VLOOKUP($B206,Sheet2!$J$5:$K$7,2,FALSE)*VLOOKUP(Sheet1!$A206,Sheet2!$B$5:$H$29,7,FALSE),0)</x:f>
        <x:v>0</x:v>
      </x:c>
      <x:c r="I206">
        <x:f t="shared" si="3"/>
        <x:v>6620</x:v>
      </x:c>
    </x:row>
    <x:row r="207" spans="1:9" x14ac:dyDescent="0.15">
      <x:c r="A207">
        <x:v>54002</x:v>
      </x:c>
      <x:c r="B207">
        <x:v>1</x:v>
      </x:c>
      <x:c r="C207">
        <x:v>26</x:v>
      </x:c>
      <x:c r="D207">
        <x:f>ROUND($C207*10*VLOOKUP($B207,Sheet2!$J$5:$K$7,2,FALSE)*VLOOKUP(Sheet1!$A207,Sheet2!$B$5:$H$29,3,FALSE),0)</x:f>
        <x:v>156</x:v>
      </x:c>
      <x:c r="E207">
        <x:f>ROUND($C207*10*VLOOKUP($B207,Sheet2!$J$5:$K$7,2,FALSE)*VLOOKUP(Sheet1!$A207,Sheet2!$B$5:$H$29,4,FALSE),0)</x:f>
        <x:v>52</x:v>
      </x:c>
      <x:c r="F207">
        <x:f>ROUND($C207*10*VLOOKUP($B207,Sheet2!$J$5:$K$7,2,FALSE)*VLOOKUP(Sheet1!$A207,Sheet2!$B$5:$H$29,5,FALSE),0)</x:f>
        <x:v>0</x:v>
      </x:c>
      <x:c r="G207">
        <x:f>ROUND($C207*10*VLOOKUP($B207,Sheet2!$J$5:$K$7,2,FALSE)*VLOOKUP(Sheet1!$A207,Sheet2!$B$5:$H$29,6,FALSE),0)</x:f>
        <x:v>0</x:v>
      </x:c>
      <x:c r="H207">
        <x:f>ROUND($C207*10*VLOOKUP($B207,Sheet2!$J$5:$K$7,2,FALSE)*VLOOKUP(Sheet1!$A207,Sheet2!$B$5:$H$29,7,FALSE),0)</x:f>
        <x:v>0</x:v>
      </x:c>
      <x:c r="I207">
        <x:f t="shared" si="3"/>
        <x:v>7120</x:v>
      </x:c>
    </x:row>
    <x:row r="208" spans="1:9" x14ac:dyDescent="0.15">
      <x:c r="A208">
        <x:v>54002</x:v>
      </x:c>
      <x:c r="B208">
        <x:v>1</x:v>
      </x:c>
      <x:c r="C208">
        <x:v>27</x:v>
      </x:c>
      <x:c r="D208">
        <x:f>ROUND($C208*10*VLOOKUP($B208,Sheet2!$J$5:$K$7,2,FALSE)*VLOOKUP(Sheet1!$A208,Sheet2!$B$5:$H$29,3,FALSE),0)</x:f>
        <x:v>162</x:v>
      </x:c>
      <x:c r="E208">
        <x:f>ROUND($C208*10*VLOOKUP($B208,Sheet2!$J$5:$K$7,2,FALSE)*VLOOKUP(Sheet1!$A208,Sheet2!$B$5:$H$29,4,FALSE),0)</x:f>
        <x:v>54</x:v>
      </x:c>
      <x:c r="F208">
        <x:f>ROUND($C208*10*VLOOKUP($B208,Sheet2!$J$5:$K$7,2,FALSE)*VLOOKUP(Sheet1!$A208,Sheet2!$B$5:$H$29,5,FALSE),0)</x:f>
        <x:v>0</x:v>
      </x:c>
      <x:c r="G208">
        <x:f>ROUND($C208*10*VLOOKUP($B208,Sheet2!$J$5:$K$7,2,FALSE)*VLOOKUP(Sheet1!$A208,Sheet2!$B$5:$H$29,6,FALSE),0)</x:f>
        <x:v>0</x:v>
      </x:c>
      <x:c r="H208">
        <x:f>ROUND($C208*10*VLOOKUP($B208,Sheet2!$J$5:$K$7,2,FALSE)*VLOOKUP(Sheet1!$A208,Sheet2!$B$5:$H$29,7,FALSE),0)</x:f>
        <x:v>0</x:v>
      </x:c>
      <x:c r="I208">
        <x:f t="shared" si="3"/>
        <x:v>7640</x:v>
      </x:c>
    </x:row>
    <x:row r="209" spans="1:9" x14ac:dyDescent="0.15">
      <x:c r="A209">
        <x:v>54002</x:v>
      </x:c>
      <x:c r="B209">
        <x:v>1</x:v>
      </x:c>
      <x:c r="C209">
        <x:v>28</x:v>
      </x:c>
      <x:c r="D209">
        <x:f>ROUND($C209*10*VLOOKUP($B209,Sheet2!$J$5:$K$7,2,FALSE)*VLOOKUP(Sheet1!$A209,Sheet2!$B$5:$H$29,3,FALSE),0)</x:f>
        <x:v>168</x:v>
      </x:c>
      <x:c r="E209">
        <x:f>ROUND($C209*10*VLOOKUP($B209,Sheet2!$J$5:$K$7,2,FALSE)*VLOOKUP(Sheet1!$A209,Sheet2!$B$5:$H$29,4,FALSE),0)</x:f>
        <x:v>56</x:v>
      </x:c>
      <x:c r="F209">
        <x:f>ROUND($C209*10*VLOOKUP($B209,Sheet2!$J$5:$K$7,2,FALSE)*VLOOKUP(Sheet1!$A209,Sheet2!$B$5:$H$29,5,FALSE),0)</x:f>
        <x:v>0</x:v>
      </x:c>
      <x:c r="G209">
        <x:f>ROUND($C209*10*VLOOKUP($B209,Sheet2!$J$5:$K$7,2,FALSE)*VLOOKUP(Sheet1!$A209,Sheet2!$B$5:$H$29,6,FALSE),0)</x:f>
        <x:v>0</x:v>
      </x:c>
      <x:c r="H209">
        <x:f>ROUND($C209*10*VLOOKUP($B209,Sheet2!$J$5:$K$7,2,FALSE)*VLOOKUP(Sheet1!$A209,Sheet2!$B$5:$H$29,7,FALSE),0)</x:f>
        <x:v>0</x:v>
      </x:c>
      <x:c r="I209">
        <x:f t="shared" si="3"/>
        <x:v>8180</x:v>
      </x:c>
    </x:row>
    <x:row r="210" spans="1:9" x14ac:dyDescent="0.15">
      <x:c r="A210">
        <x:v>54002</x:v>
      </x:c>
      <x:c r="B210">
        <x:v>1</x:v>
      </x:c>
      <x:c r="C210">
        <x:v>29</x:v>
      </x:c>
      <x:c r="D210">
        <x:f>ROUND($C210*10*VLOOKUP($B210,Sheet2!$J$5:$K$7,2,FALSE)*VLOOKUP(Sheet1!$A210,Sheet2!$B$5:$H$29,3,FALSE),0)</x:f>
        <x:v>174</x:v>
      </x:c>
      <x:c r="E210">
        <x:f>ROUND($C210*10*VLOOKUP($B210,Sheet2!$J$5:$K$7,2,FALSE)*VLOOKUP(Sheet1!$A210,Sheet2!$B$5:$H$29,4,FALSE),0)</x:f>
        <x:v>58</x:v>
      </x:c>
      <x:c r="F210">
        <x:f>ROUND($C210*10*VLOOKUP($B210,Sheet2!$J$5:$K$7,2,FALSE)*VLOOKUP(Sheet1!$A210,Sheet2!$B$5:$H$29,5,FALSE),0)</x:f>
        <x:v>0</x:v>
      </x:c>
      <x:c r="G210">
        <x:f>ROUND($C210*10*VLOOKUP($B210,Sheet2!$J$5:$K$7,2,FALSE)*VLOOKUP(Sheet1!$A210,Sheet2!$B$5:$H$29,6,FALSE),0)</x:f>
        <x:v>0</x:v>
      </x:c>
      <x:c r="H210">
        <x:f>ROUND($C210*10*VLOOKUP($B210,Sheet2!$J$5:$K$7,2,FALSE)*VLOOKUP(Sheet1!$A210,Sheet2!$B$5:$H$29,7,FALSE),0)</x:f>
        <x:v>0</x:v>
      </x:c>
      <x:c r="I210">
        <x:f t="shared" si="3"/>
        <x:v>8730</x:v>
      </x:c>
    </x:row>
    <x:row r="211" spans="1:9" x14ac:dyDescent="0.15">
      <x:c r="A211">
        <x:v>54002</x:v>
      </x:c>
      <x:c r="B211">
        <x:v>1</x:v>
      </x:c>
      <x:c r="C211">
        <x:v>30</x:v>
      </x:c>
      <x:c r="D211">
        <x:f>ROUND($C211*10*VLOOKUP($B211,Sheet2!$J$5:$K$7,2,FALSE)*VLOOKUP(Sheet1!$A211,Sheet2!$B$5:$H$29,3,FALSE),0)</x:f>
        <x:v>180</x:v>
      </x:c>
      <x:c r="E211">
        <x:f>ROUND($C211*10*VLOOKUP($B211,Sheet2!$J$5:$K$7,2,FALSE)*VLOOKUP(Sheet1!$A211,Sheet2!$B$5:$H$29,4,FALSE),0)</x:f>
        <x:v>60</x:v>
      </x:c>
      <x:c r="F211">
        <x:f>ROUND($C211*10*VLOOKUP($B211,Sheet2!$J$5:$K$7,2,FALSE)*VLOOKUP(Sheet1!$A211,Sheet2!$B$5:$H$29,5,FALSE),0)</x:f>
        <x:v>0</x:v>
      </x:c>
      <x:c r="G211">
        <x:f>ROUND($C211*10*VLOOKUP($B211,Sheet2!$J$5:$K$7,2,FALSE)*VLOOKUP(Sheet1!$A211,Sheet2!$B$5:$H$29,6,FALSE),0)</x:f>
        <x:v>0</x:v>
      </x:c>
      <x:c r="H211">
        <x:f>ROUND($C211*10*VLOOKUP($B211,Sheet2!$J$5:$K$7,2,FALSE)*VLOOKUP(Sheet1!$A211,Sheet2!$B$5:$H$29,7,FALSE),0)</x:f>
        <x:v>0</x:v>
      </x:c>
      <x:c r="I211">
        <x:f t="shared" si="3"/>
        <x:v>9290</x:v>
      </x:c>
    </x:row>
    <x:row r="212" spans="1:9" x14ac:dyDescent="0.15">
      <x:c r="A212">
        <x:v>54002</x:v>
      </x:c>
      <x:c r="B212">
        <x:v>1</x:v>
      </x:c>
      <x:c r="C212">
        <x:v>31</x:v>
      </x:c>
      <x:c r="D212">
        <x:f>ROUND($C212*10*VLOOKUP($B212,Sheet2!$J$5:$K$7,2,FALSE)*VLOOKUP(Sheet1!$A212,Sheet2!$B$5:$H$29,3,FALSE),0)</x:f>
        <x:v>186</x:v>
      </x:c>
      <x:c r="E212">
        <x:f>ROUND($C212*10*VLOOKUP($B212,Sheet2!$J$5:$K$7,2,FALSE)*VLOOKUP(Sheet1!$A212,Sheet2!$B$5:$H$29,4,FALSE),0)</x:f>
        <x:v>62</x:v>
      </x:c>
      <x:c r="F212">
        <x:f>ROUND($C212*10*VLOOKUP($B212,Sheet2!$J$5:$K$7,2,FALSE)*VLOOKUP(Sheet1!$A212,Sheet2!$B$5:$H$29,5,FALSE),0)</x:f>
        <x:v>0</x:v>
      </x:c>
      <x:c r="G212">
        <x:f>ROUND($C212*10*VLOOKUP($B212,Sheet2!$J$5:$K$7,2,FALSE)*VLOOKUP(Sheet1!$A212,Sheet2!$B$5:$H$29,6,FALSE),0)</x:f>
        <x:v>0</x:v>
      </x:c>
      <x:c r="H212">
        <x:f>ROUND($C212*10*VLOOKUP($B212,Sheet2!$J$5:$K$7,2,FALSE)*VLOOKUP(Sheet1!$A212,Sheet2!$B$5:$H$29,7,FALSE),0)</x:f>
        <x:v>0</x:v>
      </x:c>
      <x:c r="I212">
        <x:f t="shared" si="3"/>
        <x:v>9880</x:v>
      </x:c>
    </x:row>
    <x:row r="213" spans="1:9" x14ac:dyDescent="0.15">
      <x:c r="A213">
        <x:v>54002</x:v>
      </x:c>
      <x:c r="B213">
        <x:v>1</x:v>
      </x:c>
      <x:c r="C213">
        <x:v>32</x:v>
      </x:c>
      <x:c r="D213">
        <x:f>ROUND($C213*10*VLOOKUP($B213,Sheet2!$J$5:$K$7,2,FALSE)*VLOOKUP(Sheet1!$A213,Sheet2!$B$5:$H$29,3,FALSE),0)</x:f>
        <x:v>192</x:v>
      </x:c>
      <x:c r="E213">
        <x:f>ROUND($C213*10*VLOOKUP($B213,Sheet2!$J$5:$K$7,2,FALSE)*VLOOKUP(Sheet1!$A213,Sheet2!$B$5:$H$29,4,FALSE),0)</x:f>
        <x:v>64</x:v>
      </x:c>
      <x:c r="F213">
        <x:f>ROUND($C213*10*VLOOKUP($B213,Sheet2!$J$5:$K$7,2,FALSE)*VLOOKUP(Sheet1!$A213,Sheet2!$B$5:$H$29,5,FALSE),0)</x:f>
        <x:v>0</x:v>
      </x:c>
      <x:c r="G213">
        <x:f>ROUND($C213*10*VLOOKUP($B213,Sheet2!$J$5:$K$7,2,FALSE)*VLOOKUP(Sheet1!$A213,Sheet2!$B$5:$H$29,6,FALSE),0)</x:f>
        <x:v>0</x:v>
      </x:c>
      <x:c r="H213">
        <x:f>ROUND($C213*10*VLOOKUP($B213,Sheet2!$J$5:$K$7,2,FALSE)*VLOOKUP(Sheet1!$A213,Sheet2!$B$5:$H$29,7,FALSE),0)</x:f>
        <x:v>0</x:v>
      </x:c>
      <x:c r="I213">
        <x:f t="shared" si="3"/>
        <x:v>10470</x:v>
      </x:c>
    </x:row>
    <x:row r="214" spans="1:9" x14ac:dyDescent="0.15">
      <x:c r="A214">
        <x:v>54002</x:v>
      </x:c>
      <x:c r="B214">
        <x:v>1</x:v>
      </x:c>
      <x:c r="C214">
        <x:v>33</x:v>
      </x:c>
      <x:c r="D214">
        <x:f>ROUND($C214*10*VLOOKUP($B214,Sheet2!$J$5:$K$7,2,FALSE)*VLOOKUP(Sheet1!$A214,Sheet2!$B$5:$H$29,3,FALSE),0)</x:f>
        <x:v>198</x:v>
      </x:c>
      <x:c r="E214">
        <x:f>ROUND($C214*10*VLOOKUP($B214,Sheet2!$J$5:$K$7,2,FALSE)*VLOOKUP(Sheet1!$A214,Sheet2!$B$5:$H$29,4,FALSE),0)</x:f>
        <x:v>66</x:v>
      </x:c>
      <x:c r="F214">
        <x:f>ROUND($C214*10*VLOOKUP($B214,Sheet2!$J$5:$K$7,2,FALSE)*VLOOKUP(Sheet1!$A214,Sheet2!$B$5:$H$29,5,FALSE),0)</x:f>
        <x:v>0</x:v>
      </x:c>
      <x:c r="G214">
        <x:f>ROUND($C214*10*VLOOKUP($B214,Sheet2!$J$5:$K$7,2,FALSE)*VLOOKUP(Sheet1!$A214,Sheet2!$B$5:$H$29,6,FALSE),0)</x:f>
        <x:v>0</x:v>
      </x:c>
      <x:c r="H214">
        <x:f>ROUND($C214*10*VLOOKUP($B214,Sheet2!$J$5:$K$7,2,FALSE)*VLOOKUP(Sheet1!$A214,Sheet2!$B$5:$H$29,7,FALSE),0)</x:f>
        <x:v>0</x:v>
      </x:c>
      <x:c r="I214">
        <x:f t="shared" si="3"/>
        <x:v>11090</x:v>
      </x:c>
    </x:row>
    <x:row r="215" spans="1:9" x14ac:dyDescent="0.15">
      <x:c r="A215">
        <x:v>54002</x:v>
      </x:c>
      <x:c r="B215">
        <x:v>1</x:v>
      </x:c>
      <x:c r="C215">
        <x:v>34</x:v>
      </x:c>
      <x:c r="D215">
        <x:f>ROUND($C215*10*VLOOKUP($B215,Sheet2!$J$5:$K$7,2,FALSE)*VLOOKUP(Sheet1!$A215,Sheet2!$B$5:$H$29,3,FALSE),0)</x:f>
        <x:v>204</x:v>
      </x:c>
      <x:c r="E215">
        <x:f>ROUND($C215*10*VLOOKUP($B215,Sheet2!$J$5:$K$7,2,FALSE)*VLOOKUP(Sheet1!$A215,Sheet2!$B$5:$H$29,4,FALSE),0)</x:f>
        <x:v>68</x:v>
      </x:c>
      <x:c r="F215">
        <x:f>ROUND($C215*10*VLOOKUP($B215,Sheet2!$J$5:$K$7,2,FALSE)*VLOOKUP(Sheet1!$A215,Sheet2!$B$5:$H$29,5,FALSE),0)</x:f>
        <x:v>0</x:v>
      </x:c>
      <x:c r="G215">
        <x:f>ROUND($C215*10*VLOOKUP($B215,Sheet2!$J$5:$K$7,2,FALSE)*VLOOKUP(Sheet1!$A215,Sheet2!$B$5:$H$29,6,FALSE),0)</x:f>
        <x:v>0</x:v>
      </x:c>
      <x:c r="H215">
        <x:f>ROUND($C215*10*VLOOKUP($B215,Sheet2!$J$5:$K$7,2,FALSE)*VLOOKUP(Sheet1!$A215,Sheet2!$B$5:$H$29,7,FALSE),0)</x:f>
        <x:v>0</x:v>
      </x:c>
      <x:c r="I215">
        <x:f t="shared" si="3"/>
        <x:v>11720</x:v>
      </x:c>
    </x:row>
    <x:row r="216" spans="1:9" x14ac:dyDescent="0.15">
      <x:c r="A216">
        <x:v>54002</x:v>
      </x:c>
      <x:c r="B216">
        <x:v>1</x:v>
      </x:c>
      <x:c r="C216">
        <x:v>35</x:v>
      </x:c>
      <x:c r="D216">
        <x:f>ROUND($C216*10*VLOOKUP($B216,Sheet2!$J$5:$K$7,2,FALSE)*VLOOKUP(Sheet1!$A216,Sheet2!$B$5:$H$29,3,FALSE),0)</x:f>
        <x:v>210</x:v>
      </x:c>
      <x:c r="E216">
        <x:f>ROUND($C216*10*VLOOKUP($B216,Sheet2!$J$5:$K$7,2,FALSE)*VLOOKUP(Sheet1!$A216,Sheet2!$B$5:$H$29,4,FALSE),0)</x:f>
        <x:v>70</x:v>
      </x:c>
      <x:c r="F216">
        <x:f>ROUND($C216*10*VLOOKUP($B216,Sheet2!$J$5:$K$7,2,FALSE)*VLOOKUP(Sheet1!$A216,Sheet2!$B$5:$H$29,5,FALSE),0)</x:f>
        <x:v>0</x:v>
      </x:c>
      <x:c r="G216">
        <x:f>ROUND($C216*10*VLOOKUP($B216,Sheet2!$J$5:$K$7,2,FALSE)*VLOOKUP(Sheet1!$A216,Sheet2!$B$5:$H$29,6,FALSE),0)</x:f>
        <x:v>0</x:v>
      </x:c>
      <x:c r="H216">
        <x:f>ROUND($C216*10*VLOOKUP($B216,Sheet2!$J$5:$K$7,2,FALSE)*VLOOKUP(Sheet1!$A216,Sheet2!$B$5:$H$29,7,FALSE),0)</x:f>
        <x:v>0</x:v>
      </x:c>
      <x:c r="I216">
        <x:f t="shared" si="3"/>
        <x:v>12360</x:v>
      </x:c>
    </x:row>
    <x:row r="217" spans="1:9" x14ac:dyDescent="0.15">
      <x:c r="A217">
        <x:v>54002</x:v>
      </x:c>
      <x:c r="B217">
        <x:v>1</x:v>
      </x:c>
      <x:c r="C217">
        <x:v>36</x:v>
      </x:c>
      <x:c r="D217">
        <x:f>ROUND($C217*10*VLOOKUP($B217,Sheet2!$J$5:$K$7,2,FALSE)*VLOOKUP(Sheet1!$A217,Sheet2!$B$5:$H$29,3,FALSE),0)</x:f>
        <x:v>216</x:v>
      </x:c>
      <x:c r="E217">
        <x:f>ROUND($C217*10*VLOOKUP($B217,Sheet2!$J$5:$K$7,2,FALSE)*VLOOKUP(Sheet1!$A217,Sheet2!$B$5:$H$29,4,FALSE),0)</x:f>
        <x:v>72</x:v>
      </x:c>
      <x:c r="F217">
        <x:f>ROUND($C217*10*VLOOKUP($B217,Sheet2!$J$5:$K$7,2,FALSE)*VLOOKUP(Sheet1!$A217,Sheet2!$B$5:$H$29,5,FALSE),0)</x:f>
        <x:v>0</x:v>
      </x:c>
      <x:c r="G217">
        <x:f>ROUND($C217*10*VLOOKUP($B217,Sheet2!$J$5:$K$7,2,FALSE)*VLOOKUP(Sheet1!$A217,Sheet2!$B$5:$H$29,6,FALSE),0)</x:f>
        <x:v>0</x:v>
      </x:c>
      <x:c r="H217">
        <x:f>ROUND($C217*10*VLOOKUP($B217,Sheet2!$J$5:$K$7,2,FALSE)*VLOOKUP(Sheet1!$A217,Sheet2!$B$5:$H$29,7,FALSE),0)</x:f>
        <x:v>0</x:v>
      </x:c>
      <x:c r="I217">
        <x:f t="shared" si="3"/>
        <x:v>13020</x:v>
      </x:c>
    </x:row>
    <x:row r="218" spans="1:9" x14ac:dyDescent="0.15">
      <x:c r="A218">
        <x:v>54002</x:v>
      </x:c>
      <x:c r="B218">
        <x:v>1</x:v>
      </x:c>
      <x:c r="C218">
        <x:v>37</x:v>
      </x:c>
      <x:c r="D218">
        <x:f>ROUND($C218*10*VLOOKUP($B218,Sheet2!$J$5:$K$7,2,FALSE)*VLOOKUP(Sheet1!$A218,Sheet2!$B$5:$H$29,3,FALSE),0)</x:f>
        <x:v>222</x:v>
      </x:c>
      <x:c r="E218">
        <x:f>ROUND($C218*10*VLOOKUP($B218,Sheet2!$J$5:$K$7,2,FALSE)*VLOOKUP(Sheet1!$A218,Sheet2!$B$5:$H$29,4,FALSE),0)</x:f>
        <x:v>74</x:v>
      </x:c>
      <x:c r="F218">
        <x:f>ROUND($C218*10*VLOOKUP($B218,Sheet2!$J$5:$K$7,2,FALSE)*VLOOKUP(Sheet1!$A218,Sheet2!$B$5:$H$29,5,FALSE),0)</x:f>
        <x:v>0</x:v>
      </x:c>
      <x:c r="G218">
        <x:f>ROUND($C218*10*VLOOKUP($B218,Sheet2!$J$5:$K$7,2,FALSE)*VLOOKUP(Sheet1!$A218,Sheet2!$B$5:$H$29,6,FALSE),0)</x:f>
        <x:v>0</x:v>
      </x:c>
      <x:c r="H218">
        <x:f>ROUND($C218*10*VLOOKUP($B218,Sheet2!$J$5:$K$7,2,FALSE)*VLOOKUP(Sheet1!$A218,Sheet2!$B$5:$H$29,7,FALSE),0)</x:f>
        <x:v>0</x:v>
      </x:c>
      <x:c r="I218">
        <x:f t="shared" si="3"/>
        <x:v>13700</x:v>
      </x:c>
    </x:row>
    <x:row r="219" spans="1:9" x14ac:dyDescent="0.15">
      <x:c r="A219">
        <x:v>54002</x:v>
      </x:c>
      <x:c r="B219">
        <x:v>1</x:v>
      </x:c>
      <x:c r="C219">
        <x:v>38</x:v>
      </x:c>
      <x:c r="D219">
        <x:f>ROUND($C219*10*VLOOKUP($B219,Sheet2!$J$5:$K$7,2,FALSE)*VLOOKUP(Sheet1!$A219,Sheet2!$B$5:$H$29,3,FALSE),0)</x:f>
        <x:v>228</x:v>
      </x:c>
      <x:c r="E219">
        <x:f>ROUND($C219*10*VLOOKUP($B219,Sheet2!$J$5:$K$7,2,FALSE)*VLOOKUP(Sheet1!$A219,Sheet2!$B$5:$H$29,4,FALSE),0)</x:f>
        <x:v>76</x:v>
      </x:c>
      <x:c r="F219">
        <x:f>ROUND($C219*10*VLOOKUP($B219,Sheet2!$J$5:$K$7,2,FALSE)*VLOOKUP(Sheet1!$A219,Sheet2!$B$5:$H$29,5,FALSE),0)</x:f>
        <x:v>0</x:v>
      </x:c>
      <x:c r="G219">
        <x:f>ROUND($C219*10*VLOOKUP($B219,Sheet2!$J$5:$K$7,2,FALSE)*VLOOKUP(Sheet1!$A219,Sheet2!$B$5:$H$29,6,FALSE),0)</x:f>
        <x:v>0</x:v>
      </x:c>
      <x:c r="H219">
        <x:f>ROUND($C219*10*VLOOKUP($B219,Sheet2!$J$5:$K$7,2,FALSE)*VLOOKUP(Sheet1!$A219,Sheet2!$B$5:$H$29,7,FALSE),0)</x:f>
        <x:v>0</x:v>
      </x:c>
      <x:c r="I219">
        <x:f t="shared" si="3"/>
        <x:v>14390</x:v>
      </x:c>
    </x:row>
    <x:row r="220" spans="1:9" x14ac:dyDescent="0.15">
      <x:c r="A220">
        <x:v>54002</x:v>
      </x:c>
      <x:c r="B220">
        <x:v>1</x:v>
      </x:c>
      <x:c r="C220">
        <x:v>39</x:v>
      </x:c>
      <x:c r="D220">
        <x:f>ROUND($C220*10*VLOOKUP($B220,Sheet2!$J$5:$K$7,2,FALSE)*VLOOKUP(Sheet1!$A220,Sheet2!$B$5:$H$29,3,FALSE),0)</x:f>
        <x:v>234</x:v>
      </x:c>
      <x:c r="E220">
        <x:f>ROUND($C220*10*VLOOKUP($B220,Sheet2!$J$5:$K$7,2,FALSE)*VLOOKUP(Sheet1!$A220,Sheet2!$B$5:$H$29,4,FALSE),0)</x:f>
        <x:v>78</x:v>
      </x:c>
      <x:c r="F220">
        <x:f>ROUND($C220*10*VLOOKUP($B220,Sheet2!$J$5:$K$7,2,FALSE)*VLOOKUP(Sheet1!$A220,Sheet2!$B$5:$H$29,5,FALSE),0)</x:f>
        <x:v>0</x:v>
      </x:c>
      <x:c r="G220">
        <x:f>ROUND($C220*10*VLOOKUP($B220,Sheet2!$J$5:$K$7,2,FALSE)*VLOOKUP(Sheet1!$A220,Sheet2!$B$5:$H$29,6,FALSE),0)</x:f>
        <x:v>0</x:v>
      </x:c>
      <x:c r="H220">
        <x:f>ROUND($C220*10*VLOOKUP($B220,Sheet2!$J$5:$K$7,2,FALSE)*VLOOKUP(Sheet1!$A220,Sheet2!$B$5:$H$29,7,FALSE),0)</x:f>
        <x:v>0</x:v>
      </x:c>
      <x:c r="I220">
        <x:f t="shared" si="3"/>
        <x:v>15100</x:v>
      </x:c>
    </x:row>
    <x:row r="221" spans="1:9" x14ac:dyDescent="0.15">
      <x:c r="A221">
        <x:v>54002</x:v>
      </x:c>
      <x:c r="B221">
        <x:v>1</x:v>
      </x:c>
      <x:c r="C221">
        <x:v>40</x:v>
      </x:c>
      <x:c r="D221">
        <x:f>ROUND($C221*10*VLOOKUP($B221,Sheet2!$J$5:$K$7,2,FALSE)*VLOOKUP(Sheet1!$A221,Sheet2!$B$5:$H$29,3,FALSE),0)</x:f>
        <x:v>240</x:v>
      </x:c>
      <x:c r="E221">
        <x:f>ROUND($C221*10*VLOOKUP($B221,Sheet2!$J$5:$K$7,2,FALSE)*VLOOKUP(Sheet1!$A221,Sheet2!$B$5:$H$29,4,FALSE),0)</x:f>
        <x:v>80</x:v>
      </x:c>
      <x:c r="F221">
        <x:f>ROUND($C221*10*VLOOKUP($B221,Sheet2!$J$5:$K$7,2,FALSE)*VLOOKUP(Sheet1!$A221,Sheet2!$B$5:$H$29,5,FALSE),0)</x:f>
        <x:v>0</x:v>
      </x:c>
      <x:c r="G221">
        <x:f>ROUND($C221*10*VLOOKUP($B221,Sheet2!$J$5:$K$7,2,FALSE)*VLOOKUP(Sheet1!$A221,Sheet2!$B$5:$H$29,6,FALSE),0)</x:f>
        <x:v>0</x:v>
      </x:c>
      <x:c r="H221">
        <x:f>ROUND($C221*10*VLOOKUP($B221,Sheet2!$J$5:$K$7,2,FALSE)*VLOOKUP(Sheet1!$A221,Sheet2!$B$5:$H$29,7,FALSE),0)</x:f>
        <x:v>0</x:v>
      </x:c>
      <x:c r="I221">
        <x:f t="shared" si="3"/>
        <x:v>15820</x:v>
      </x:c>
    </x:row>
    <x:row r="222" spans="1:9" x14ac:dyDescent="0.15">
      <x:c r="A222">
        <x:v>54002</x:v>
      </x:c>
      <x:c r="B222">
        <x:v>1</x:v>
      </x:c>
      <x:c r="C222">
        <x:v>41</x:v>
      </x:c>
      <x:c r="D222">
        <x:f>ROUND($C222*10*VLOOKUP($B222,Sheet2!$J$5:$K$7,2,FALSE)*VLOOKUP(Sheet1!$A222,Sheet2!$B$5:$H$29,3,FALSE),0)</x:f>
        <x:v>246</x:v>
      </x:c>
      <x:c r="E222">
        <x:f>ROUND($C222*10*VLOOKUP($B222,Sheet2!$J$5:$K$7,2,FALSE)*VLOOKUP(Sheet1!$A222,Sheet2!$B$5:$H$29,4,FALSE),0)</x:f>
        <x:v>82</x:v>
      </x:c>
      <x:c r="F222">
        <x:f>ROUND($C222*10*VLOOKUP($B222,Sheet2!$J$5:$K$7,2,FALSE)*VLOOKUP(Sheet1!$A222,Sheet2!$B$5:$H$29,5,FALSE),0)</x:f>
        <x:v>0</x:v>
      </x:c>
      <x:c r="G222">
        <x:f>ROUND($C222*10*VLOOKUP($B222,Sheet2!$J$5:$K$7,2,FALSE)*VLOOKUP(Sheet1!$A222,Sheet2!$B$5:$H$29,6,FALSE),0)</x:f>
        <x:v>0</x:v>
      </x:c>
      <x:c r="H222">
        <x:f>ROUND($C222*10*VLOOKUP($B222,Sheet2!$J$5:$K$7,2,FALSE)*VLOOKUP(Sheet1!$A222,Sheet2!$B$5:$H$29,7,FALSE),0)</x:f>
        <x:v>0</x:v>
      </x:c>
      <x:c r="I222">
        <x:f t="shared" si="3"/>
        <x:v>16560</x:v>
      </x:c>
    </x:row>
    <x:row r="223" spans="1:9" x14ac:dyDescent="0.15">
      <x:c r="A223">
        <x:v>54002</x:v>
      </x:c>
      <x:c r="B223">
        <x:v>1</x:v>
      </x:c>
      <x:c r="C223">
        <x:v>42</x:v>
      </x:c>
      <x:c r="D223">
        <x:f>ROUND($C223*10*VLOOKUP($B223,Sheet2!$J$5:$K$7,2,FALSE)*VLOOKUP(Sheet1!$A223,Sheet2!$B$5:$H$29,3,FALSE),0)</x:f>
        <x:v>252</x:v>
      </x:c>
      <x:c r="E223">
        <x:f>ROUND($C223*10*VLOOKUP($B223,Sheet2!$J$5:$K$7,2,FALSE)*VLOOKUP(Sheet1!$A223,Sheet2!$B$5:$H$29,4,FALSE),0)</x:f>
        <x:v>84</x:v>
      </x:c>
      <x:c r="F223">
        <x:f>ROUND($C223*10*VLOOKUP($B223,Sheet2!$J$5:$K$7,2,FALSE)*VLOOKUP(Sheet1!$A223,Sheet2!$B$5:$H$29,5,FALSE),0)</x:f>
        <x:v>0</x:v>
      </x:c>
      <x:c r="G223">
        <x:f>ROUND($C223*10*VLOOKUP($B223,Sheet2!$J$5:$K$7,2,FALSE)*VLOOKUP(Sheet1!$A223,Sheet2!$B$5:$H$29,6,FALSE),0)</x:f>
        <x:v>0</x:v>
      </x:c>
      <x:c r="H223">
        <x:f>ROUND($C223*10*VLOOKUP($B223,Sheet2!$J$5:$K$7,2,FALSE)*VLOOKUP(Sheet1!$A223,Sheet2!$B$5:$H$29,7,FALSE),0)</x:f>
        <x:v>0</x:v>
      </x:c>
      <x:c r="I223">
        <x:f t="shared" si="3"/>
        <x:v>17310</x:v>
      </x:c>
    </x:row>
    <x:row r="224" spans="1:9" x14ac:dyDescent="0.15">
      <x:c r="A224">
        <x:v>54002</x:v>
      </x:c>
      <x:c r="B224">
        <x:v>1</x:v>
      </x:c>
      <x:c r="C224">
        <x:v>43</x:v>
      </x:c>
      <x:c r="D224">
        <x:f>ROUND($C224*10*VLOOKUP($B224,Sheet2!$J$5:$K$7,2,FALSE)*VLOOKUP(Sheet1!$A224,Sheet2!$B$5:$H$29,3,FALSE),0)</x:f>
        <x:v>258</x:v>
      </x:c>
      <x:c r="E224">
        <x:f>ROUND($C224*10*VLOOKUP($B224,Sheet2!$J$5:$K$7,2,FALSE)*VLOOKUP(Sheet1!$A224,Sheet2!$B$5:$H$29,4,FALSE),0)</x:f>
        <x:v>86</x:v>
      </x:c>
      <x:c r="F224">
        <x:f>ROUND($C224*10*VLOOKUP($B224,Sheet2!$J$5:$K$7,2,FALSE)*VLOOKUP(Sheet1!$A224,Sheet2!$B$5:$H$29,5,FALSE),0)</x:f>
        <x:v>0</x:v>
      </x:c>
      <x:c r="G224">
        <x:f>ROUND($C224*10*VLOOKUP($B224,Sheet2!$J$5:$K$7,2,FALSE)*VLOOKUP(Sheet1!$A224,Sheet2!$B$5:$H$29,6,FALSE),0)</x:f>
        <x:v>0</x:v>
      </x:c>
      <x:c r="H224">
        <x:f>ROUND($C224*10*VLOOKUP($B224,Sheet2!$J$5:$K$7,2,FALSE)*VLOOKUP(Sheet1!$A224,Sheet2!$B$5:$H$29,7,FALSE),0)</x:f>
        <x:v>0</x:v>
      </x:c>
      <x:c r="I224">
        <x:f t="shared" si="3"/>
        <x:v>18070</x:v>
      </x:c>
    </x:row>
    <x:row r="225" spans="1:9" x14ac:dyDescent="0.15">
      <x:c r="A225">
        <x:v>54002</x:v>
      </x:c>
      <x:c r="B225">
        <x:v>1</x:v>
      </x:c>
      <x:c r="C225">
        <x:v>44</x:v>
      </x:c>
      <x:c r="D225">
        <x:f>ROUND($C225*10*VLOOKUP($B225,Sheet2!$J$5:$K$7,2,FALSE)*VLOOKUP(Sheet1!$A225,Sheet2!$B$5:$H$29,3,FALSE),0)</x:f>
        <x:v>264</x:v>
      </x:c>
      <x:c r="E225">
        <x:f>ROUND($C225*10*VLOOKUP($B225,Sheet2!$J$5:$K$7,2,FALSE)*VLOOKUP(Sheet1!$A225,Sheet2!$B$5:$H$29,4,FALSE),0)</x:f>
        <x:v>88</x:v>
      </x:c>
      <x:c r="F225">
        <x:f>ROUND($C225*10*VLOOKUP($B225,Sheet2!$J$5:$K$7,2,FALSE)*VLOOKUP(Sheet1!$A225,Sheet2!$B$5:$H$29,5,FALSE),0)</x:f>
        <x:v>0</x:v>
      </x:c>
      <x:c r="G225">
        <x:f>ROUND($C225*10*VLOOKUP($B225,Sheet2!$J$5:$K$7,2,FALSE)*VLOOKUP(Sheet1!$A225,Sheet2!$B$5:$H$29,6,FALSE),0)</x:f>
        <x:v>0</x:v>
      </x:c>
      <x:c r="H225">
        <x:f>ROUND($C225*10*VLOOKUP($B225,Sheet2!$J$5:$K$7,2,FALSE)*VLOOKUP(Sheet1!$A225,Sheet2!$B$5:$H$29,7,FALSE),0)</x:f>
        <x:v>0</x:v>
      </x:c>
      <x:c r="I225">
        <x:f t="shared" si="3"/>
        <x:v>18850</x:v>
      </x:c>
    </x:row>
    <x:row r="226" spans="1:9" x14ac:dyDescent="0.15">
      <x:c r="A226">
        <x:v>54002</x:v>
      </x:c>
      <x:c r="B226">
        <x:v>1</x:v>
      </x:c>
      <x:c r="C226">
        <x:v>45</x:v>
      </x:c>
      <x:c r="D226">
        <x:f>ROUND($C226*10*VLOOKUP($B226,Sheet2!$J$5:$K$7,2,FALSE)*VLOOKUP(Sheet1!$A226,Sheet2!$B$5:$H$29,3,FALSE),0)</x:f>
        <x:v>270</x:v>
      </x:c>
      <x:c r="E226">
        <x:f>ROUND($C226*10*VLOOKUP($B226,Sheet2!$J$5:$K$7,2,FALSE)*VLOOKUP(Sheet1!$A226,Sheet2!$B$5:$H$29,4,FALSE),0)</x:f>
        <x:v>90</x:v>
      </x:c>
      <x:c r="F226">
        <x:f>ROUND($C226*10*VLOOKUP($B226,Sheet2!$J$5:$K$7,2,FALSE)*VLOOKUP(Sheet1!$A226,Sheet2!$B$5:$H$29,5,FALSE),0)</x:f>
        <x:v>0</x:v>
      </x:c>
      <x:c r="G226">
        <x:f>ROUND($C226*10*VLOOKUP($B226,Sheet2!$J$5:$K$7,2,FALSE)*VLOOKUP(Sheet1!$A226,Sheet2!$B$5:$H$29,6,FALSE),0)</x:f>
        <x:v>0</x:v>
      </x:c>
      <x:c r="H226">
        <x:f>ROUND($C226*10*VLOOKUP($B226,Sheet2!$J$5:$K$7,2,FALSE)*VLOOKUP(Sheet1!$A226,Sheet2!$B$5:$H$29,7,FALSE),0)</x:f>
        <x:v>0</x:v>
      </x:c>
      <x:c r="I226">
        <x:f t="shared" si="3"/>
        <x:v>19650</x:v>
      </x:c>
    </x:row>
    <x:row r="227" spans="1:9" x14ac:dyDescent="0.15">
      <x:c r="A227">
        <x:v>54002</x:v>
      </x:c>
      <x:c r="B227">
        <x:v>1</x:v>
      </x:c>
      <x:c r="C227">
        <x:v>46</x:v>
      </x:c>
      <x:c r="D227">
        <x:f>ROUND($C227*10*VLOOKUP($B227,Sheet2!$J$5:$K$7,2,FALSE)*VLOOKUP(Sheet1!$A227,Sheet2!$B$5:$H$29,3,FALSE),0)</x:f>
        <x:v>276</x:v>
      </x:c>
      <x:c r="E227">
        <x:f>ROUND($C227*10*VLOOKUP($B227,Sheet2!$J$5:$K$7,2,FALSE)*VLOOKUP(Sheet1!$A227,Sheet2!$B$5:$H$29,4,FALSE),0)</x:f>
        <x:v>92</x:v>
      </x:c>
      <x:c r="F227">
        <x:f>ROUND($C227*10*VLOOKUP($B227,Sheet2!$J$5:$K$7,2,FALSE)*VLOOKUP(Sheet1!$A227,Sheet2!$B$5:$H$29,5,FALSE),0)</x:f>
        <x:v>0</x:v>
      </x:c>
      <x:c r="G227">
        <x:f>ROUND($C227*10*VLOOKUP($B227,Sheet2!$J$5:$K$7,2,FALSE)*VLOOKUP(Sheet1!$A227,Sheet2!$B$5:$H$29,6,FALSE),0)</x:f>
        <x:v>0</x:v>
      </x:c>
      <x:c r="H227">
        <x:f>ROUND($C227*10*VLOOKUP($B227,Sheet2!$J$5:$K$7,2,FALSE)*VLOOKUP(Sheet1!$A227,Sheet2!$B$5:$H$29,7,FALSE),0)</x:f>
        <x:v>0</x:v>
      </x:c>
      <x:c r="I227">
        <x:f t="shared" si="3"/>
        <x:v>20460</x:v>
      </x:c>
    </x:row>
    <x:row r="228" spans="1:9" x14ac:dyDescent="0.15">
      <x:c r="A228">
        <x:v>54002</x:v>
      </x:c>
      <x:c r="B228">
        <x:v>1</x:v>
      </x:c>
      <x:c r="C228">
        <x:v>47</x:v>
      </x:c>
      <x:c r="D228">
        <x:f>ROUND($C228*10*VLOOKUP($B228,Sheet2!$J$5:$K$7,2,FALSE)*VLOOKUP(Sheet1!$A228,Sheet2!$B$5:$H$29,3,FALSE),0)</x:f>
        <x:v>282</x:v>
      </x:c>
      <x:c r="E228">
        <x:f>ROUND($C228*10*VLOOKUP($B228,Sheet2!$J$5:$K$7,2,FALSE)*VLOOKUP(Sheet1!$A228,Sheet2!$B$5:$H$29,4,FALSE),0)</x:f>
        <x:v>94</x:v>
      </x:c>
      <x:c r="F228">
        <x:f>ROUND($C228*10*VLOOKUP($B228,Sheet2!$J$5:$K$7,2,FALSE)*VLOOKUP(Sheet1!$A228,Sheet2!$B$5:$H$29,5,FALSE),0)</x:f>
        <x:v>0</x:v>
      </x:c>
      <x:c r="G228">
        <x:f>ROUND($C228*10*VLOOKUP($B228,Sheet2!$J$5:$K$7,2,FALSE)*VLOOKUP(Sheet1!$A228,Sheet2!$B$5:$H$29,6,FALSE),0)</x:f>
        <x:v>0</x:v>
      </x:c>
      <x:c r="H228">
        <x:f>ROUND($C228*10*VLOOKUP($B228,Sheet2!$J$5:$K$7,2,FALSE)*VLOOKUP(Sheet1!$A228,Sheet2!$B$5:$H$29,7,FALSE),0)</x:f>
        <x:v>0</x:v>
      </x:c>
      <x:c r="I228">
        <x:f t="shared" si="3"/>
        <x:v>21280</x:v>
      </x:c>
    </x:row>
    <x:row r="229" spans="1:9" x14ac:dyDescent="0.15">
      <x:c r="A229">
        <x:v>54002</x:v>
      </x:c>
      <x:c r="B229">
        <x:v>1</x:v>
      </x:c>
      <x:c r="C229">
        <x:v>48</x:v>
      </x:c>
      <x:c r="D229">
        <x:f>ROUND($C229*10*VLOOKUP($B229,Sheet2!$J$5:$K$7,2,FALSE)*VLOOKUP(Sheet1!$A229,Sheet2!$B$5:$H$29,3,FALSE),0)</x:f>
        <x:v>288</x:v>
      </x:c>
      <x:c r="E229">
        <x:f>ROUND($C229*10*VLOOKUP($B229,Sheet2!$J$5:$K$7,2,FALSE)*VLOOKUP(Sheet1!$A229,Sheet2!$B$5:$H$29,4,FALSE),0)</x:f>
        <x:v>96</x:v>
      </x:c>
      <x:c r="F229">
        <x:f>ROUND($C229*10*VLOOKUP($B229,Sheet2!$J$5:$K$7,2,FALSE)*VLOOKUP(Sheet1!$A229,Sheet2!$B$5:$H$29,5,FALSE),0)</x:f>
        <x:v>0</x:v>
      </x:c>
      <x:c r="G229">
        <x:f>ROUND($C229*10*VLOOKUP($B229,Sheet2!$J$5:$K$7,2,FALSE)*VLOOKUP(Sheet1!$A229,Sheet2!$B$5:$H$29,6,FALSE),0)</x:f>
        <x:v>0</x:v>
      </x:c>
      <x:c r="H229">
        <x:f>ROUND($C229*10*VLOOKUP($B229,Sheet2!$J$5:$K$7,2,FALSE)*VLOOKUP(Sheet1!$A229,Sheet2!$B$5:$H$29,7,FALSE),0)</x:f>
        <x:v>0</x:v>
      </x:c>
      <x:c r="I229">
        <x:f t="shared" si="3"/>
        <x:v>22120</x:v>
      </x:c>
    </x:row>
    <x:row r="230" spans="1:9" x14ac:dyDescent="0.15">
      <x:c r="A230">
        <x:v>54002</x:v>
      </x:c>
      <x:c r="B230">
        <x:v>1</x:v>
      </x:c>
      <x:c r="C230">
        <x:v>49</x:v>
      </x:c>
      <x:c r="D230">
        <x:f>ROUND($C230*10*VLOOKUP($B230,Sheet2!$J$5:$K$7,2,FALSE)*VLOOKUP(Sheet1!$A230,Sheet2!$B$5:$H$29,3,FALSE),0)</x:f>
        <x:v>294</x:v>
      </x:c>
      <x:c r="E230">
        <x:f>ROUND($C230*10*VLOOKUP($B230,Sheet2!$J$5:$K$7,2,FALSE)*VLOOKUP(Sheet1!$A230,Sheet2!$B$5:$H$29,4,FALSE),0)</x:f>
        <x:v>98</x:v>
      </x:c>
      <x:c r="F230">
        <x:f>ROUND($C230*10*VLOOKUP($B230,Sheet2!$J$5:$K$7,2,FALSE)*VLOOKUP(Sheet1!$A230,Sheet2!$B$5:$H$29,5,FALSE),0)</x:f>
        <x:v>0</x:v>
      </x:c>
      <x:c r="G230">
        <x:f>ROUND($C230*10*VLOOKUP($B230,Sheet2!$J$5:$K$7,2,FALSE)*VLOOKUP(Sheet1!$A230,Sheet2!$B$5:$H$29,6,FALSE),0)</x:f>
        <x:v>0</x:v>
      </x:c>
      <x:c r="H230">
        <x:f>ROUND($C230*10*VLOOKUP($B230,Sheet2!$J$5:$K$7,2,FALSE)*VLOOKUP(Sheet1!$A230,Sheet2!$B$5:$H$29,7,FALSE),0)</x:f>
        <x:v>0</x:v>
      </x:c>
      <x:c r="I230">
        <x:f t="shared" si="3"/>
        <x:v>22970</x:v>
      </x:c>
    </x:row>
    <x:row r="231" spans="1:9" x14ac:dyDescent="0.15">
      <x:c r="A231">
        <x:v>54002</x:v>
      </x:c>
      <x:c r="B231">
        <x:v>1</x:v>
      </x:c>
      <x:c r="C231">
        <x:v>50</x:v>
      </x:c>
      <x:c r="D231">
        <x:f>ROUND($C231*10*VLOOKUP($B231,Sheet2!$J$5:$K$7,2,FALSE)*VLOOKUP(Sheet1!$A231,Sheet2!$B$5:$H$29,3,FALSE),0)</x:f>
        <x:v>300</x:v>
      </x:c>
      <x:c r="E231">
        <x:f>ROUND($C231*10*VLOOKUP($B231,Sheet2!$J$5:$K$7,2,FALSE)*VLOOKUP(Sheet1!$A231,Sheet2!$B$5:$H$29,4,FALSE),0)</x:f>
        <x:v>100</x:v>
      </x:c>
      <x:c r="F231">
        <x:f>ROUND($C231*10*VLOOKUP($B231,Sheet2!$J$5:$K$7,2,FALSE)*VLOOKUP(Sheet1!$A231,Sheet2!$B$5:$H$29,5,FALSE),0)</x:f>
        <x:v>0</x:v>
      </x:c>
      <x:c r="G231">
        <x:f>ROUND($C231*10*VLOOKUP($B231,Sheet2!$J$5:$K$7,2,FALSE)*VLOOKUP(Sheet1!$A231,Sheet2!$B$5:$H$29,6,FALSE),0)</x:f>
        <x:v>0</x:v>
      </x:c>
      <x:c r="H231">
        <x:f>ROUND($C231*10*VLOOKUP($B231,Sheet2!$J$5:$K$7,2,FALSE)*VLOOKUP(Sheet1!$A231,Sheet2!$B$5:$H$29,7,FALSE),0)</x:f>
        <x:v>0</x:v>
      </x:c>
      <x:c r="I231">
        <x:f t="shared" si="3"/>
        <x:v>23840</x:v>
      </x:c>
    </x:row>
    <x:row r="232" spans="1:9" x14ac:dyDescent="0.15">
      <x:c r="A232">
        <x:v>54002</x:v>
      </x:c>
      <x:c r="B232">
        <x:v>1</x:v>
      </x:c>
      <x:c r="C232">
        <x:v>51</x:v>
      </x:c>
      <x:c r="D232">
        <x:f>ROUND($C232*10*VLOOKUP($B232,Sheet2!$J$5:$K$7,2,FALSE)*VLOOKUP(Sheet1!$A232,Sheet2!$B$5:$H$29,3,FALSE),0)</x:f>
        <x:v>306</x:v>
      </x:c>
      <x:c r="E232">
        <x:f>ROUND($C232*10*VLOOKUP($B232,Sheet2!$J$5:$K$7,2,FALSE)*VLOOKUP(Sheet1!$A232,Sheet2!$B$5:$H$29,4,FALSE),0)</x:f>
        <x:v>102</x:v>
      </x:c>
      <x:c r="F232">
        <x:f>ROUND($C232*10*VLOOKUP($B232,Sheet2!$J$5:$K$7,2,FALSE)*VLOOKUP(Sheet1!$A232,Sheet2!$B$5:$H$29,5,FALSE),0)</x:f>
        <x:v>0</x:v>
      </x:c>
      <x:c r="G232">
        <x:f>ROUND($C232*10*VLOOKUP($B232,Sheet2!$J$5:$K$7,2,FALSE)*VLOOKUP(Sheet1!$A232,Sheet2!$B$5:$H$29,6,FALSE),0)</x:f>
        <x:v>0</x:v>
      </x:c>
      <x:c r="H232">
        <x:f>ROUND($C232*10*VLOOKUP($B232,Sheet2!$J$5:$K$7,2,FALSE)*VLOOKUP(Sheet1!$A232,Sheet2!$B$5:$H$29,7,FALSE),0)</x:f>
        <x:v>0</x:v>
      </x:c>
      <x:c r="I232">
        <x:f t="shared" si="3"/>
        <x:v>24720</x:v>
      </x:c>
    </x:row>
    <x:row r="233" spans="1:9" x14ac:dyDescent="0.15">
      <x:c r="A233">
        <x:v>54002</x:v>
      </x:c>
      <x:c r="B233">
        <x:v>1</x:v>
      </x:c>
      <x:c r="C233">
        <x:v>52</x:v>
      </x:c>
      <x:c r="D233">
        <x:f>ROUND($C233*10*VLOOKUP($B233,Sheet2!$J$5:$K$7,2,FALSE)*VLOOKUP(Sheet1!$A233,Sheet2!$B$5:$H$29,3,FALSE),0)</x:f>
        <x:v>312</x:v>
      </x:c>
      <x:c r="E233">
        <x:f>ROUND($C233*10*VLOOKUP($B233,Sheet2!$J$5:$K$7,2,FALSE)*VLOOKUP(Sheet1!$A233,Sheet2!$B$5:$H$29,4,FALSE),0)</x:f>
        <x:v>104</x:v>
      </x:c>
      <x:c r="F233">
        <x:f>ROUND($C233*10*VLOOKUP($B233,Sheet2!$J$5:$K$7,2,FALSE)*VLOOKUP(Sheet1!$A233,Sheet2!$B$5:$H$29,5,FALSE),0)</x:f>
        <x:v>0</x:v>
      </x:c>
      <x:c r="G233">
        <x:f>ROUND($C233*10*VLOOKUP($B233,Sheet2!$J$5:$K$7,2,FALSE)*VLOOKUP(Sheet1!$A233,Sheet2!$B$5:$H$29,6,FALSE),0)</x:f>
        <x:v>0</x:v>
      </x:c>
      <x:c r="H233">
        <x:f>ROUND($C233*10*VLOOKUP($B233,Sheet2!$J$5:$K$7,2,FALSE)*VLOOKUP(Sheet1!$A233,Sheet2!$B$5:$H$29,7,FALSE),0)</x:f>
        <x:v>0</x:v>
      </x:c>
      <x:c r="I233">
        <x:f t="shared" si="3"/>
        <x:v>25620</x:v>
      </x:c>
    </x:row>
    <x:row r="234" spans="1:9" x14ac:dyDescent="0.15">
      <x:c r="A234">
        <x:v>54002</x:v>
      </x:c>
      <x:c r="B234">
        <x:v>1</x:v>
      </x:c>
      <x:c r="C234">
        <x:v>53</x:v>
      </x:c>
      <x:c r="D234">
        <x:f>ROUND($C234*10*VLOOKUP($B234,Sheet2!$J$5:$K$7,2,FALSE)*VLOOKUP(Sheet1!$A234,Sheet2!$B$5:$H$29,3,FALSE),0)</x:f>
        <x:v>318</x:v>
      </x:c>
      <x:c r="E234">
        <x:f>ROUND($C234*10*VLOOKUP($B234,Sheet2!$J$5:$K$7,2,FALSE)*VLOOKUP(Sheet1!$A234,Sheet2!$B$5:$H$29,4,FALSE),0)</x:f>
        <x:v>106</x:v>
      </x:c>
      <x:c r="F234">
        <x:f>ROUND($C234*10*VLOOKUP($B234,Sheet2!$J$5:$K$7,2,FALSE)*VLOOKUP(Sheet1!$A234,Sheet2!$B$5:$H$29,5,FALSE),0)</x:f>
        <x:v>0</x:v>
      </x:c>
      <x:c r="G234">
        <x:f>ROUND($C234*10*VLOOKUP($B234,Sheet2!$J$5:$K$7,2,FALSE)*VLOOKUP(Sheet1!$A234,Sheet2!$B$5:$H$29,6,FALSE),0)</x:f>
        <x:v>0</x:v>
      </x:c>
      <x:c r="H234">
        <x:f>ROUND($C234*10*VLOOKUP($B234,Sheet2!$J$5:$K$7,2,FALSE)*VLOOKUP(Sheet1!$A234,Sheet2!$B$5:$H$29,7,FALSE),0)</x:f>
        <x:v>0</x:v>
      </x:c>
      <x:c r="I234">
        <x:f t="shared" si="3"/>
        <x:v>26530</x:v>
      </x:c>
    </x:row>
    <x:row r="235" spans="1:9" x14ac:dyDescent="0.15">
      <x:c r="A235">
        <x:v>54002</x:v>
      </x:c>
      <x:c r="B235">
        <x:v>1</x:v>
      </x:c>
      <x:c r="C235">
        <x:v>54</x:v>
      </x:c>
      <x:c r="D235">
        <x:f>ROUND($C235*10*VLOOKUP($B235,Sheet2!$J$5:$K$7,2,FALSE)*VLOOKUP(Sheet1!$A235,Sheet2!$B$5:$H$29,3,FALSE),0)</x:f>
        <x:v>324</x:v>
      </x:c>
      <x:c r="E235">
        <x:f>ROUND($C235*10*VLOOKUP($B235,Sheet2!$J$5:$K$7,2,FALSE)*VLOOKUP(Sheet1!$A235,Sheet2!$B$5:$H$29,4,FALSE),0)</x:f>
        <x:v>108</x:v>
      </x:c>
      <x:c r="F235">
        <x:f>ROUND($C235*10*VLOOKUP($B235,Sheet2!$J$5:$K$7,2,FALSE)*VLOOKUP(Sheet1!$A235,Sheet2!$B$5:$H$29,5,FALSE),0)</x:f>
        <x:v>0</x:v>
      </x:c>
      <x:c r="G235">
        <x:f>ROUND($C235*10*VLOOKUP($B235,Sheet2!$J$5:$K$7,2,FALSE)*VLOOKUP(Sheet1!$A235,Sheet2!$B$5:$H$29,6,FALSE),0)</x:f>
        <x:v>0</x:v>
      </x:c>
      <x:c r="H235">
        <x:f>ROUND($C235*10*VLOOKUP($B235,Sheet2!$J$5:$K$7,2,FALSE)*VLOOKUP(Sheet1!$A235,Sheet2!$B$5:$H$29,7,FALSE),0)</x:f>
        <x:v>0</x:v>
      </x:c>
      <x:c r="I235">
        <x:f t="shared" si="3"/>
        <x:v>27460</x:v>
      </x:c>
    </x:row>
    <x:row r="236" spans="1:9" x14ac:dyDescent="0.15">
      <x:c r="A236">
        <x:v>54002</x:v>
      </x:c>
      <x:c r="B236">
        <x:v>1</x:v>
      </x:c>
      <x:c r="C236">
        <x:v>55</x:v>
      </x:c>
      <x:c r="D236">
        <x:f>ROUND($C236*10*VLOOKUP($B236,Sheet2!$J$5:$K$7,2,FALSE)*VLOOKUP(Sheet1!$A236,Sheet2!$B$5:$H$29,3,FALSE),0)</x:f>
        <x:v>330</x:v>
      </x:c>
      <x:c r="E236">
        <x:f>ROUND($C236*10*VLOOKUP($B236,Sheet2!$J$5:$K$7,2,FALSE)*VLOOKUP(Sheet1!$A236,Sheet2!$B$5:$H$29,4,FALSE),0)</x:f>
        <x:v>110</x:v>
      </x:c>
      <x:c r="F236">
        <x:f>ROUND($C236*10*VLOOKUP($B236,Sheet2!$J$5:$K$7,2,FALSE)*VLOOKUP(Sheet1!$A236,Sheet2!$B$5:$H$29,5,FALSE),0)</x:f>
        <x:v>0</x:v>
      </x:c>
      <x:c r="G236">
        <x:f>ROUND($C236*10*VLOOKUP($B236,Sheet2!$J$5:$K$7,2,FALSE)*VLOOKUP(Sheet1!$A236,Sheet2!$B$5:$H$29,6,FALSE),0)</x:f>
        <x:v>0</x:v>
      </x:c>
      <x:c r="H236">
        <x:f>ROUND($C236*10*VLOOKUP($B236,Sheet2!$J$5:$K$7,2,FALSE)*VLOOKUP(Sheet1!$A236,Sheet2!$B$5:$H$29,7,FALSE),0)</x:f>
        <x:v>0</x:v>
      </x:c>
      <x:c r="I236">
        <x:f t="shared" si="3"/>
        <x:v>28390</x:v>
      </x:c>
    </x:row>
    <x:row r="237" spans="1:9" x14ac:dyDescent="0.15">
      <x:c r="A237">
        <x:v>54002</x:v>
      </x:c>
      <x:c r="B237">
        <x:v>1</x:v>
      </x:c>
      <x:c r="C237">
        <x:v>56</x:v>
      </x:c>
      <x:c r="D237">
        <x:f>ROUND($C237*10*VLOOKUP($B237,Sheet2!$J$5:$K$7,2,FALSE)*VLOOKUP(Sheet1!$A237,Sheet2!$B$5:$H$29,3,FALSE),0)</x:f>
        <x:v>336</x:v>
      </x:c>
      <x:c r="E237">
        <x:f>ROUND($C237*10*VLOOKUP($B237,Sheet2!$J$5:$K$7,2,FALSE)*VLOOKUP(Sheet1!$A237,Sheet2!$B$5:$H$29,4,FALSE),0)</x:f>
        <x:v>112</x:v>
      </x:c>
      <x:c r="F237">
        <x:f>ROUND($C237*10*VLOOKUP($B237,Sheet2!$J$5:$K$7,2,FALSE)*VLOOKUP(Sheet1!$A237,Sheet2!$B$5:$H$29,5,FALSE),0)</x:f>
        <x:v>0</x:v>
      </x:c>
      <x:c r="G237">
        <x:f>ROUND($C237*10*VLOOKUP($B237,Sheet2!$J$5:$K$7,2,FALSE)*VLOOKUP(Sheet1!$A237,Sheet2!$B$5:$H$29,6,FALSE),0)</x:f>
        <x:v>0</x:v>
      </x:c>
      <x:c r="H237">
        <x:f>ROUND($C237*10*VLOOKUP($B237,Sheet2!$J$5:$K$7,2,FALSE)*VLOOKUP(Sheet1!$A237,Sheet2!$B$5:$H$29,7,FALSE),0)</x:f>
        <x:v>0</x:v>
      </x:c>
      <x:c r="I237">
        <x:f t="shared" si="3"/>
        <x:v>29350</x:v>
      </x:c>
    </x:row>
    <x:row r="238" spans="1:9" x14ac:dyDescent="0.15">
      <x:c r="A238">
        <x:v>54002</x:v>
      </x:c>
      <x:c r="B238">
        <x:v>1</x:v>
      </x:c>
      <x:c r="C238">
        <x:v>57</x:v>
      </x:c>
      <x:c r="D238">
        <x:f>ROUND($C238*10*VLOOKUP($B238,Sheet2!$J$5:$K$7,2,FALSE)*VLOOKUP(Sheet1!$A238,Sheet2!$B$5:$H$29,3,FALSE),0)</x:f>
        <x:v>342</x:v>
      </x:c>
      <x:c r="E238">
        <x:f>ROUND($C238*10*VLOOKUP($B238,Sheet2!$J$5:$K$7,2,FALSE)*VLOOKUP(Sheet1!$A238,Sheet2!$B$5:$H$29,4,FALSE),0)</x:f>
        <x:v>114</x:v>
      </x:c>
      <x:c r="F238">
        <x:f>ROUND($C238*10*VLOOKUP($B238,Sheet2!$J$5:$K$7,2,FALSE)*VLOOKUP(Sheet1!$A238,Sheet2!$B$5:$H$29,5,FALSE),0)</x:f>
        <x:v>0</x:v>
      </x:c>
      <x:c r="G238">
        <x:f>ROUND($C238*10*VLOOKUP($B238,Sheet2!$J$5:$K$7,2,FALSE)*VLOOKUP(Sheet1!$A238,Sheet2!$B$5:$H$29,6,FALSE),0)</x:f>
        <x:v>0</x:v>
      </x:c>
      <x:c r="H238">
        <x:f>ROUND($C238*10*VLOOKUP($B238,Sheet2!$J$5:$K$7,2,FALSE)*VLOOKUP(Sheet1!$A238,Sheet2!$B$5:$H$29,7,FALSE),0)</x:f>
        <x:v>0</x:v>
      </x:c>
      <x:c r="I238">
        <x:f t="shared" si="3"/>
        <x:v>30310</x:v>
      </x:c>
    </x:row>
    <x:row r="239" spans="1:9" x14ac:dyDescent="0.15">
      <x:c r="A239">
        <x:v>54002</x:v>
      </x:c>
      <x:c r="B239">
        <x:v>1</x:v>
      </x:c>
      <x:c r="C239">
        <x:v>58</x:v>
      </x:c>
      <x:c r="D239">
        <x:f>ROUND($C239*10*VLOOKUP($B239,Sheet2!$J$5:$K$7,2,FALSE)*VLOOKUP(Sheet1!$A239,Sheet2!$B$5:$H$29,3,FALSE),0)</x:f>
        <x:v>348</x:v>
      </x:c>
      <x:c r="E239">
        <x:f>ROUND($C239*10*VLOOKUP($B239,Sheet2!$J$5:$K$7,2,FALSE)*VLOOKUP(Sheet1!$A239,Sheet2!$B$5:$H$29,4,FALSE),0)</x:f>
        <x:v>116</x:v>
      </x:c>
      <x:c r="F239">
        <x:f>ROUND($C239*10*VLOOKUP($B239,Sheet2!$J$5:$K$7,2,FALSE)*VLOOKUP(Sheet1!$A239,Sheet2!$B$5:$H$29,5,FALSE),0)</x:f>
        <x:v>0</x:v>
      </x:c>
      <x:c r="G239">
        <x:f>ROUND($C239*10*VLOOKUP($B239,Sheet2!$J$5:$K$7,2,FALSE)*VLOOKUP(Sheet1!$A239,Sheet2!$B$5:$H$29,6,FALSE),0)</x:f>
        <x:v>0</x:v>
      </x:c>
      <x:c r="H239">
        <x:f>ROUND($C239*10*VLOOKUP($B239,Sheet2!$J$5:$K$7,2,FALSE)*VLOOKUP(Sheet1!$A239,Sheet2!$B$5:$H$29,7,FALSE),0)</x:f>
        <x:v>0</x:v>
      </x:c>
      <x:c r="I239">
        <x:f t="shared" si="3"/>
        <x:v>31290</x:v>
      </x:c>
    </x:row>
    <x:row r="240" spans="1:9" x14ac:dyDescent="0.15">
      <x:c r="A240">
        <x:v>54002</x:v>
      </x:c>
      <x:c r="B240">
        <x:v>1</x:v>
      </x:c>
      <x:c r="C240">
        <x:v>59</x:v>
      </x:c>
      <x:c r="D240">
        <x:f>ROUND($C240*10*VLOOKUP($B240,Sheet2!$J$5:$K$7,2,FALSE)*VLOOKUP(Sheet1!$A240,Sheet2!$B$5:$H$29,3,FALSE),0)</x:f>
        <x:v>354</x:v>
      </x:c>
      <x:c r="E240">
        <x:f>ROUND($C240*10*VLOOKUP($B240,Sheet2!$J$5:$K$7,2,FALSE)*VLOOKUP(Sheet1!$A240,Sheet2!$B$5:$H$29,4,FALSE),0)</x:f>
        <x:v>118</x:v>
      </x:c>
      <x:c r="F240">
        <x:f>ROUND($C240*10*VLOOKUP($B240,Sheet2!$J$5:$K$7,2,FALSE)*VLOOKUP(Sheet1!$A240,Sheet2!$B$5:$H$29,5,FALSE),0)</x:f>
        <x:v>0</x:v>
      </x:c>
      <x:c r="G240">
        <x:f>ROUND($C240*10*VLOOKUP($B240,Sheet2!$J$5:$K$7,2,FALSE)*VLOOKUP(Sheet1!$A240,Sheet2!$B$5:$H$29,6,FALSE),0)</x:f>
        <x:v>0</x:v>
      </x:c>
      <x:c r="H240">
        <x:f>ROUND($C240*10*VLOOKUP($B240,Sheet2!$J$5:$K$7,2,FALSE)*VLOOKUP(Sheet1!$A240,Sheet2!$B$5:$H$29,7,FALSE),0)</x:f>
        <x:v>0</x:v>
      </x:c>
      <x:c r="I240">
        <x:f t="shared" si="3"/>
        <x:v>32290</x:v>
      </x:c>
    </x:row>
    <x:row r="241" spans="1:9" x14ac:dyDescent="0.15">
      <x:c r="A241">
        <x:v>54002</x:v>
      </x:c>
      <x:c r="B241">
        <x:v>1</x:v>
      </x:c>
      <x:c r="C241">
        <x:v>60</x:v>
      </x:c>
      <x:c r="D241">
        <x:f>ROUND($C241*10*VLOOKUP($B241,Sheet2!$J$5:$K$7,2,FALSE)*VLOOKUP(Sheet1!$A241,Sheet2!$B$5:$H$29,3,FALSE),0)</x:f>
        <x:v>360</x:v>
      </x:c>
      <x:c r="E241">
        <x:f>ROUND($C241*10*VLOOKUP($B241,Sheet2!$J$5:$K$7,2,FALSE)*VLOOKUP(Sheet1!$A241,Sheet2!$B$5:$H$29,4,FALSE),0)</x:f>
        <x:v>120</x:v>
      </x:c>
      <x:c r="F241">
        <x:f>ROUND($C241*10*VLOOKUP($B241,Sheet2!$J$5:$K$7,2,FALSE)*VLOOKUP(Sheet1!$A241,Sheet2!$B$5:$H$29,5,FALSE),0)</x:f>
        <x:v>0</x:v>
      </x:c>
      <x:c r="G241">
        <x:f>ROUND($C241*10*VLOOKUP($B241,Sheet2!$J$5:$K$7,2,FALSE)*VLOOKUP(Sheet1!$A241,Sheet2!$B$5:$H$29,6,FALSE),0)</x:f>
        <x:v>0</x:v>
      </x:c>
      <x:c r="H241">
        <x:f>ROUND($C241*10*VLOOKUP($B241,Sheet2!$J$5:$K$7,2,FALSE)*VLOOKUP(Sheet1!$A241,Sheet2!$B$5:$H$29,7,FALSE),0)</x:f>
        <x:v>0</x:v>
      </x:c>
      <x:c r="I241">
        <x:f t="shared" si="3"/>
        <x:v>33290</x:v>
      </x:c>
    </x:row>
    <x:row r="242" spans="1:9" x14ac:dyDescent="0.15">
      <x:c r="A242">
        <x:v>54002</x:v>
      </x:c>
      <x:c r="B242">
        <x:v>2</x:v>
      </x:c>
      <x:c r="C242">
        <x:v>1</x:v>
      </x:c>
      <x:c r="D242">
        <x:f>ROUND($C242*10*VLOOKUP($B242,Sheet2!$J$5:$K$7,2,FALSE)*VLOOKUP(Sheet1!$A242,Sheet2!$B$5:$H$29,3,FALSE),0)</x:f>
        <x:v>7</x:v>
      </x:c>
      <x:c r="E242">
        <x:f>ROUND($C242*10*VLOOKUP($B242,Sheet2!$J$5:$K$7,2,FALSE)*VLOOKUP(Sheet1!$A242,Sheet2!$B$5:$H$29,4,FALSE),0)</x:f>
        <x:v>2</x:v>
      </x:c>
      <x:c r="F242">
        <x:f>ROUND($C242*10*VLOOKUP($B242,Sheet2!$J$5:$K$7,2,FALSE)*VLOOKUP(Sheet1!$A242,Sheet2!$B$5:$H$29,5,FALSE),0)</x:f>
        <x:v>0</x:v>
      </x:c>
      <x:c r="G242">
        <x:f>ROUND($C242*10*VLOOKUP($B242,Sheet2!$J$5:$K$7,2,FALSE)*VLOOKUP(Sheet1!$A242,Sheet2!$B$5:$H$29,6,FALSE),0)</x:f>
        <x:v>0</x:v>
      </x:c>
      <x:c r="H242">
        <x:f>ROUND($C242*10*VLOOKUP($B242,Sheet2!$J$5:$K$7,2,FALSE)*VLOOKUP(Sheet1!$A242,Sheet2!$B$5:$H$29,7,FALSE),0)</x:f>
        <x:v>0</x:v>
      </x:c>
      <x:c r="I242">
        <x:f t="shared" ref="I242:I301" si="4">ROUND(1.2*10*3.5*(C242-1)^1.8+60,-1)</x:f>
        <x:v>60</x:v>
      </x:c>
    </x:row>
    <x:row r="243" spans="1:9" x14ac:dyDescent="0.15">
      <x:c r="A243">
        <x:v>54002</x:v>
      </x:c>
      <x:c r="B243">
        <x:v>2</x:v>
      </x:c>
      <x:c r="C243">
        <x:v>2</x:v>
      </x:c>
      <x:c r="D243">
        <x:f>ROUND($C243*10*VLOOKUP($B243,Sheet2!$J$5:$K$7,2,FALSE)*VLOOKUP(Sheet1!$A243,Sheet2!$B$5:$H$29,3,FALSE),0)</x:f>
        <x:v>14</x:v>
      </x:c>
      <x:c r="E243">
        <x:f>ROUND($C243*10*VLOOKUP($B243,Sheet2!$J$5:$K$7,2,FALSE)*VLOOKUP(Sheet1!$A243,Sheet2!$B$5:$H$29,4,FALSE),0)</x:f>
        <x:v>5</x:v>
      </x:c>
      <x:c r="F243">
        <x:f>ROUND($C243*10*VLOOKUP($B243,Sheet2!$J$5:$K$7,2,FALSE)*VLOOKUP(Sheet1!$A243,Sheet2!$B$5:$H$29,5,FALSE),0)</x:f>
        <x:v>0</x:v>
      </x:c>
      <x:c r="G243">
        <x:f>ROUND($C243*10*VLOOKUP($B243,Sheet2!$J$5:$K$7,2,FALSE)*VLOOKUP(Sheet1!$A243,Sheet2!$B$5:$H$29,6,FALSE),0)</x:f>
        <x:v>0</x:v>
      </x:c>
      <x:c r="H243">
        <x:f>ROUND($C243*10*VLOOKUP($B243,Sheet2!$J$5:$K$7,2,FALSE)*VLOOKUP(Sheet1!$A243,Sheet2!$B$5:$H$29,7,FALSE),0)</x:f>
        <x:v>0</x:v>
      </x:c>
      <x:c r="I243">
        <x:f t="shared" si="4"/>
        <x:v>100</x:v>
      </x:c>
    </x:row>
    <x:row r="244" spans="1:9" x14ac:dyDescent="0.15">
      <x:c r="A244">
        <x:v>54002</x:v>
      </x:c>
      <x:c r="B244">
        <x:v>2</x:v>
      </x:c>
      <x:c r="C244">
        <x:v>3</x:v>
      </x:c>
      <x:c r="D244">
        <x:f>ROUND($C244*10*VLOOKUP($B244,Sheet2!$J$5:$K$7,2,FALSE)*VLOOKUP(Sheet1!$A244,Sheet2!$B$5:$H$29,3,FALSE),0)</x:f>
        <x:v>22</x:v>
      </x:c>
      <x:c r="E244">
        <x:f>ROUND($C244*10*VLOOKUP($B244,Sheet2!$J$5:$K$7,2,FALSE)*VLOOKUP(Sheet1!$A244,Sheet2!$B$5:$H$29,4,FALSE),0)</x:f>
        <x:v>7</x:v>
      </x:c>
      <x:c r="F244">
        <x:f>ROUND($C244*10*VLOOKUP($B244,Sheet2!$J$5:$K$7,2,FALSE)*VLOOKUP(Sheet1!$A244,Sheet2!$B$5:$H$29,5,FALSE),0)</x:f>
        <x:v>0</x:v>
      </x:c>
      <x:c r="G244">
        <x:f>ROUND($C244*10*VLOOKUP($B244,Sheet2!$J$5:$K$7,2,FALSE)*VLOOKUP(Sheet1!$A244,Sheet2!$B$5:$H$29,6,FALSE),0)</x:f>
        <x:v>0</x:v>
      </x:c>
      <x:c r="H244">
        <x:f>ROUND($C244*10*VLOOKUP($B244,Sheet2!$J$5:$K$7,2,FALSE)*VLOOKUP(Sheet1!$A244,Sheet2!$B$5:$H$29,7,FALSE),0)</x:f>
        <x:v>0</x:v>
      </x:c>
      <x:c r="I244">
        <x:f t="shared" si="4"/>
        <x:v>210</x:v>
      </x:c>
    </x:row>
    <x:row r="245" spans="1:9" x14ac:dyDescent="0.15">
      <x:c r="A245">
        <x:v>54002</x:v>
      </x:c>
      <x:c r="B245">
        <x:v>2</x:v>
      </x:c>
      <x:c r="C245">
        <x:v>4</x:v>
      </x:c>
      <x:c r="D245">
        <x:f>ROUND($C245*10*VLOOKUP($B245,Sheet2!$J$5:$K$7,2,FALSE)*VLOOKUP(Sheet1!$A245,Sheet2!$B$5:$H$29,3,FALSE),0)</x:f>
        <x:v>29</x:v>
      </x:c>
      <x:c r="E245">
        <x:f>ROUND($C245*10*VLOOKUP($B245,Sheet2!$J$5:$K$7,2,FALSE)*VLOOKUP(Sheet1!$A245,Sheet2!$B$5:$H$29,4,FALSE),0)</x:f>
        <x:v>10</x:v>
      </x:c>
      <x:c r="F245">
        <x:f>ROUND($C245*10*VLOOKUP($B245,Sheet2!$J$5:$K$7,2,FALSE)*VLOOKUP(Sheet1!$A245,Sheet2!$B$5:$H$29,5,FALSE),0)</x:f>
        <x:v>0</x:v>
      </x:c>
      <x:c r="G245">
        <x:f>ROUND($C245*10*VLOOKUP($B245,Sheet2!$J$5:$K$7,2,FALSE)*VLOOKUP(Sheet1!$A245,Sheet2!$B$5:$H$29,6,FALSE),0)</x:f>
        <x:v>0</x:v>
      </x:c>
      <x:c r="H245">
        <x:f>ROUND($C245*10*VLOOKUP($B245,Sheet2!$J$5:$K$7,2,FALSE)*VLOOKUP(Sheet1!$A245,Sheet2!$B$5:$H$29,7,FALSE),0)</x:f>
        <x:v>0</x:v>
      </x:c>
      <x:c r="I245">
        <x:f t="shared" si="4"/>
        <x:v>360</x:v>
      </x:c>
    </x:row>
    <x:row r="246" spans="1:9" x14ac:dyDescent="0.15">
      <x:c r="A246">
        <x:v>54002</x:v>
      </x:c>
      <x:c r="B246">
        <x:v>2</x:v>
      </x:c>
      <x:c r="C246">
        <x:v>5</x:v>
      </x:c>
      <x:c r="D246">
        <x:f>ROUND($C246*10*VLOOKUP($B246,Sheet2!$J$5:$K$7,2,FALSE)*VLOOKUP(Sheet1!$A246,Sheet2!$B$5:$H$29,3,FALSE),0)</x:f>
        <x:v>36</x:v>
      </x:c>
      <x:c r="E246">
        <x:f>ROUND($C246*10*VLOOKUP($B246,Sheet2!$J$5:$K$7,2,FALSE)*VLOOKUP(Sheet1!$A246,Sheet2!$B$5:$H$29,4,FALSE),0)</x:f>
        <x:v>12</x:v>
      </x:c>
      <x:c r="F246">
        <x:f>ROUND($C246*10*VLOOKUP($B246,Sheet2!$J$5:$K$7,2,FALSE)*VLOOKUP(Sheet1!$A246,Sheet2!$B$5:$H$29,5,FALSE),0)</x:f>
        <x:v>0</x:v>
      </x:c>
      <x:c r="G246">
        <x:f>ROUND($C246*10*VLOOKUP($B246,Sheet2!$J$5:$K$7,2,FALSE)*VLOOKUP(Sheet1!$A246,Sheet2!$B$5:$H$29,6,FALSE),0)</x:f>
        <x:v>0</x:v>
      </x:c>
      <x:c r="H246">
        <x:f>ROUND($C246*10*VLOOKUP($B246,Sheet2!$J$5:$K$7,2,FALSE)*VLOOKUP(Sheet1!$A246,Sheet2!$B$5:$H$29,7,FALSE),0)</x:f>
        <x:v>0</x:v>
      </x:c>
      <x:c r="I246">
        <x:f t="shared" si="4"/>
        <x:v>570</x:v>
      </x:c>
    </x:row>
    <x:row r="247" spans="1:9" x14ac:dyDescent="0.15">
      <x:c r="A247">
        <x:v>54002</x:v>
      </x:c>
      <x:c r="B247">
        <x:v>2</x:v>
      </x:c>
      <x:c r="C247">
        <x:v>6</x:v>
      </x:c>
      <x:c r="D247">
        <x:f>ROUND($C247*10*VLOOKUP($B247,Sheet2!$J$5:$K$7,2,FALSE)*VLOOKUP(Sheet1!$A247,Sheet2!$B$5:$H$29,3,FALSE),0)</x:f>
        <x:v>43</x:v>
      </x:c>
      <x:c r="E247">
        <x:f>ROUND($C247*10*VLOOKUP($B247,Sheet2!$J$5:$K$7,2,FALSE)*VLOOKUP(Sheet1!$A247,Sheet2!$B$5:$H$29,4,FALSE),0)</x:f>
        <x:v>14</x:v>
      </x:c>
      <x:c r="F247">
        <x:f>ROUND($C247*10*VLOOKUP($B247,Sheet2!$J$5:$K$7,2,FALSE)*VLOOKUP(Sheet1!$A247,Sheet2!$B$5:$H$29,5,FALSE),0)</x:f>
        <x:v>0</x:v>
      </x:c>
      <x:c r="G247">
        <x:f>ROUND($C247*10*VLOOKUP($B247,Sheet2!$J$5:$K$7,2,FALSE)*VLOOKUP(Sheet1!$A247,Sheet2!$B$5:$H$29,6,FALSE),0)</x:f>
        <x:v>0</x:v>
      </x:c>
      <x:c r="H247">
        <x:f>ROUND($C247*10*VLOOKUP($B247,Sheet2!$J$5:$K$7,2,FALSE)*VLOOKUP(Sheet1!$A247,Sheet2!$B$5:$H$29,7,FALSE),0)</x:f>
        <x:v>0</x:v>
      </x:c>
      <x:c r="I247">
        <x:f t="shared" si="4"/>
        <x:v>820</x:v>
      </x:c>
    </x:row>
    <x:row r="248" spans="1:9" x14ac:dyDescent="0.15">
      <x:c r="A248">
        <x:v>54002</x:v>
      </x:c>
      <x:c r="B248">
        <x:v>2</x:v>
      </x:c>
      <x:c r="C248">
        <x:v>7</x:v>
      </x:c>
      <x:c r="D248">
        <x:f>ROUND($C248*10*VLOOKUP($B248,Sheet2!$J$5:$K$7,2,FALSE)*VLOOKUP(Sheet1!$A248,Sheet2!$B$5:$H$29,3,FALSE),0)</x:f>
        <x:v>50</x:v>
      </x:c>
      <x:c r="E248">
        <x:f>ROUND($C248*10*VLOOKUP($B248,Sheet2!$J$5:$K$7,2,FALSE)*VLOOKUP(Sheet1!$A248,Sheet2!$B$5:$H$29,4,FALSE),0)</x:f>
        <x:v>17</x:v>
      </x:c>
      <x:c r="F248">
        <x:f>ROUND($C248*10*VLOOKUP($B248,Sheet2!$J$5:$K$7,2,FALSE)*VLOOKUP(Sheet1!$A248,Sheet2!$B$5:$H$29,5,FALSE),0)</x:f>
        <x:v>0</x:v>
      </x:c>
      <x:c r="G248">
        <x:f>ROUND($C248*10*VLOOKUP($B248,Sheet2!$J$5:$K$7,2,FALSE)*VLOOKUP(Sheet1!$A248,Sheet2!$B$5:$H$29,6,FALSE),0)</x:f>
        <x:v>0</x:v>
      </x:c>
      <x:c r="H248">
        <x:f>ROUND($C248*10*VLOOKUP($B248,Sheet2!$J$5:$K$7,2,FALSE)*VLOOKUP(Sheet1!$A248,Sheet2!$B$5:$H$29,7,FALSE),0)</x:f>
        <x:v>0</x:v>
      </x:c>
      <x:c r="I248">
        <x:f t="shared" si="4"/>
        <x:v>1120</x:v>
      </x:c>
    </x:row>
    <x:row r="249" spans="1:9" x14ac:dyDescent="0.15">
      <x:c r="A249">
        <x:v>54002</x:v>
      </x:c>
      <x:c r="B249">
        <x:v>2</x:v>
      </x:c>
      <x:c r="C249">
        <x:v>8</x:v>
      </x:c>
      <x:c r="D249">
        <x:f>ROUND($C249*10*VLOOKUP($B249,Sheet2!$J$5:$K$7,2,FALSE)*VLOOKUP(Sheet1!$A249,Sheet2!$B$5:$H$29,3,FALSE),0)</x:f>
        <x:v>58</x:v>
      </x:c>
      <x:c r="E249">
        <x:f>ROUND($C249*10*VLOOKUP($B249,Sheet2!$J$5:$K$7,2,FALSE)*VLOOKUP(Sheet1!$A249,Sheet2!$B$5:$H$29,4,FALSE),0)</x:f>
        <x:v>19</x:v>
      </x:c>
      <x:c r="F249">
        <x:f>ROUND($C249*10*VLOOKUP($B249,Sheet2!$J$5:$K$7,2,FALSE)*VLOOKUP(Sheet1!$A249,Sheet2!$B$5:$H$29,5,FALSE),0)</x:f>
        <x:v>0</x:v>
      </x:c>
      <x:c r="G249">
        <x:f>ROUND($C249*10*VLOOKUP($B249,Sheet2!$J$5:$K$7,2,FALSE)*VLOOKUP(Sheet1!$A249,Sheet2!$B$5:$H$29,6,FALSE),0)</x:f>
        <x:v>0</x:v>
      </x:c>
      <x:c r="H249">
        <x:f>ROUND($C249*10*VLOOKUP($B249,Sheet2!$J$5:$K$7,2,FALSE)*VLOOKUP(Sheet1!$A249,Sheet2!$B$5:$H$29,7,FALSE),0)</x:f>
        <x:v>0</x:v>
      </x:c>
      <x:c r="I249">
        <x:f t="shared" si="4"/>
        <x:v>1450</x:v>
      </x:c>
    </x:row>
    <x:row r="250" spans="1:9" x14ac:dyDescent="0.15">
      <x:c r="A250">
        <x:v>54002</x:v>
      </x:c>
      <x:c r="B250">
        <x:v>2</x:v>
      </x:c>
      <x:c r="C250">
        <x:v>9</x:v>
      </x:c>
      <x:c r="D250">
        <x:f>ROUND($C250*10*VLOOKUP($B250,Sheet2!$J$5:$K$7,2,FALSE)*VLOOKUP(Sheet1!$A250,Sheet2!$B$5:$H$29,3,FALSE),0)</x:f>
        <x:v>65</x:v>
      </x:c>
      <x:c r="E250">
        <x:f>ROUND($C250*10*VLOOKUP($B250,Sheet2!$J$5:$K$7,2,FALSE)*VLOOKUP(Sheet1!$A250,Sheet2!$B$5:$H$29,4,FALSE),0)</x:f>
        <x:v>22</x:v>
      </x:c>
      <x:c r="F250">
        <x:f>ROUND($C250*10*VLOOKUP($B250,Sheet2!$J$5:$K$7,2,FALSE)*VLOOKUP(Sheet1!$A250,Sheet2!$B$5:$H$29,5,FALSE),0)</x:f>
        <x:v>0</x:v>
      </x:c>
      <x:c r="G250">
        <x:f>ROUND($C250*10*VLOOKUP($B250,Sheet2!$J$5:$K$7,2,FALSE)*VLOOKUP(Sheet1!$A250,Sheet2!$B$5:$H$29,6,FALSE),0)</x:f>
        <x:v>0</x:v>
      </x:c>
      <x:c r="H250">
        <x:f>ROUND($C250*10*VLOOKUP($B250,Sheet2!$J$5:$K$7,2,FALSE)*VLOOKUP(Sheet1!$A250,Sheet2!$B$5:$H$29,7,FALSE),0)</x:f>
        <x:v>0</x:v>
      </x:c>
      <x:c r="I250">
        <x:f t="shared" si="4"/>
        <x:v>1830</x:v>
      </x:c>
    </x:row>
    <x:row r="251" spans="1:9" x14ac:dyDescent="0.15">
      <x:c r="A251">
        <x:v>54002</x:v>
      </x:c>
      <x:c r="B251">
        <x:v>2</x:v>
      </x:c>
      <x:c r="C251">
        <x:v>10</x:v>
      </x:c>
      <x:c r="D251">
        <x:f>ROUND($C251*10*VLOOKUP($B251,Sheet2!$J$5:$K$7,2,FALSE)*VLOOKUP(Sheet1!$A251,Sheet2!$B$5:$H$29,3,FALSE),0)</x:f>
        <x:v>72</x:v>
      </x:c>
      <x:c r="E251">
        <x:f>ROUND($C251*10*VLOOKUP($B251,Sheet2!$J$5:$K$7,2,FALSE)*VLOOKUP(Sheet1!$A251,Sheet2!$B$5:$H$29,4,FALSE),0)</x:f>
        <x:v>24</x:v>
      </x:c>
      <x:c r="F251">
        <x:f>ROUND($C251*10*VLOOKUP($B251,Sheet2!$J$5:$K$7,2,FALSE)*VLOOKUP(Sheet1!$A251,Sheet2!$B$5:$H$29,5,FALSE),0)</x:f>
        <x:v>0</x:v>
      </x:c>
      <x:c r="G251">
        <x:f>ROUND($C251*10*VLOOKUP($B251,Sheet2!$J$5:$K$7,2,FALSE)*VLOOKUP(Sheet1!$A251,Sheet2!$B$5:$H$29,6,FALSE),0)</x:f>
        <x:v>0</x:v>
      </x:c>
      <x:c r="H251">
        <x:f>ROUND($C251*10*VLOOKUP($B251,Sheet2!$J$5:$K$7,2,FALSE)*VLOOKUP(Sheet1!$A251,Sheet2!$B$5:$H$29,7,FALSE),0)</x:f>
        <x:v>0</x:v>
      </x:c>
      <x:c r="I251">
        <x:f t="shared" si="4"/>
        <x:v>2250</x:v>
      </x:c>
    </x:row>
    <x:row r="252" spans="1:9" x14ac:dyDescent="0.15">
      <x:c r="A252">
        <x:v>54002</x:v>
      </x:c>
      <x:c r="B252">
        <x:v>2</x:v>
      </x:c>
      <x:c r="C252">
        <x:v>11</x:v>
      </x:c>
      <x:c r="D252">
        <x:f>ROUND($C252*10*VLOOKUP($B252,Sheet2!$J$5:$K$7,2,FALSE)*VLOOKUP(Sheet1!$A252,Sheet2!$B$5:$H$29,3,FALSE),0)</x:f>
        <x:v>79</x:v>
      </x:c>
      <x:c r="E252">
        <x:f>ROUND($C252*10*VLOOKUP($B252,Sheet2!$J$5:$K$7,2,FALSE)*VLOOKUP(Sheet1!$A252,Sheet2!$B$5:$H$29,4,FALSE),0)</x:f>
        <x:v>26</x:v>
      </x:c>
      <x:c r="F252">
        <x:f>ROUND($C252*10*VLOOKUP($B252,Sheet2!$J$5:$K$7,2,FALSE)*VLOOKUP(Sheet1!$A252,Sheet2!$B$5:$H$29,5,FALSE),0)</x:f>
        <x:v>0</x:v>
      </x:c>
      <x:c r="G252">
        <x:f>ROUND($C252*10*VLOOKUP($B252,Sheet2!$J$5:$K$7,2,FALSE)*VLOOKUP(Sheet1!$A252,Sheet2!$B$5:$H$29,6,FALSE),0)</x:f>
        <x:v>0</x:v>
      </x:c>
      <x:c r="H252">
        <x:f>ROUND($C252*10*VLOOKUP($B252,Sheet2!$J$5:$K$7,2,FALSE)*VLOOKUP(Sheet1!$A252,Sheet2!$B$5:$H$29,7,FALSE),0)</x:f>
        <x:v>0</x:v>
      </x:c>
      <x:c r="I252">
        <x:f t="shared" si="4"/>
        <x:v>2710</x:v>
      </x:c>
    </x:row>
    <x:row r="253" spans="1:9" x14ac:dyDescent="0.15">
      <x:c r="A253">
        <x:v>54002</x:v>
      </x:c>
      <x:c r="B253">
        <x:v>2</x:v>
      </x:c>
      <x:c r="C253">
        <x:v>12</x:v>
      </x:c>
      <x:c r="D253">
        <x:f>ROUND($C253*10*VLOOKUP($B253,Sheet2!$J$5:$K$7,2,FALSE)*VLOOKUP(Sheet1!$A253,Sheet2!$B$5:$H$29,3,FALSE),0)</x:f>
        <x:v>86</x:v>
      </x:c>
      <x:c r="E253">
        <x:f>ROUND($C253*10*VLOOKUP($B253,Sheet2!$J$5:$K$7,2,FALSE)*VLOOKUP(Sheet1!$A253,Sheet2!$B$5:$H$29,4,FALSE),0)</x:f>
        <x:v>29</x:v>
      </x:c>
      <x:c r="F253">
        <x:f>ROUND($C253*10*VLOOKUP($B253,Sheet2!$J$5:$K$7,2,FALSE)*VLOOKUP(Sheet1!$A253,Sheet2!$B$5:$H$29,5,FALSE),0)</x:f>
        <x:v>0</x:v>
      </x:c>
      <x:c r="G253">
        <x:f>ROUND($C253*10*VLOOKUP($B253,Sheet2!$J$5:$K$7,2,FALSE)*VLOOKUP(Sheet1!$A253,Sheet2!$B$5:$H$29,6,FALSE),0)</x:f>
        <x:v>0</x:v>
      </x:c>
      <x:c r="H253">
        <x:f>ROUND($C253*10*VLOOKUP($B253,Sheet2!$J$5:$K$7,2,FALSE)*VLOOKUP(Sheet1!$A253,Sheet2!$B$5:$H$29,7,FALSE),0)</x:f>
        <x:v>0</x:v>
      </x:c>
      <x:c r="I253">
        <x:f t="shared" si="4"/>
        <x:v>3210</x:v>
      </x:c>
    </x:row>
    <x:row r="254" spans="1:9" x14ac:dyDescent="0.15">
      <x:c r="A254">
        <x:v>54002</x:v>
      </x:c>
      <x:c r="B254">
        <x:v>2</x:v>
      </x:c>
      <x:c r="C254">
        <x:v>13</x:v>
      </x:c>
      <x:c r="D254">
        <x:f>ROUND($C254*10*VLOOKUP($B254,Sheet2!$J$5:$K$7,2,FALSE)*VLOOKUP(Sheet1!$A254,Sheet2!$B$5:$H$29,3,FALSE),0)</x:f>
        <x:v>94</x:v>
      </x:c>
      <x:c r="E254">
        <x:f>ROUND($C254*10*VLOOKUP($B254,Sheet2!$J$5:$K$7,2,FALSE)*VLOOKUP(Sheet1!$A254,Sheet2!$B$5:$H$29,4,FALSE),0)</x:f>
        <x:v>31</x:v>
      </x:c>
      <x:c r="F254">
        <x:f>ROUND($C254*10*VLOOKUP($B254,Sheet2!$J$5:$K$7,2,FALSE)*VLOOKUP(Sheet1!$A254,Sheet2!$B$5:$H$29,5,FALSE),0)</x:f>
        <x:v>0</x:v>
      </x:c>
      <x:c r="G254">
        <x:f>ROUND($C254*10*VLOOKUP($B254,Sheet2!$J$5:$K$7,2,FALSE)*VLOOKUP(Sheet1!$A254,Sheet2!$B$5:$H$29,6,FALSE),0)</x:f>
        <x:v>0</x:v>
      </x:c>
      <x:c r="H254">
        <x:f>ROUND($C254*10*VLOOKUP($B254,Sheet2!$J$5:$K$7,2,FALSE)*VLOOKUP(Sheet1!$A254,Sheet2!$B$5:$H$29,7,FALSE),0)</x:f>
        <x:v>0</x:v>
      </x:c>
      <x:c r="I254">
        <x:f t="shared" si="4"/>
        <x:v>3740</x:v>
      </x:c>
    </x:row>
    <x:row r="255" spans="1:9" x14ac:dyDescent="0.15">
      <x:c r="A255">
        <x:v>54002</x:v>
      </x:c>
      <x:c r="B255">
        <x:v>2</x:v>
      </x:c>
      <x:c r="C255">
        <x:v>14</x:v>
      </x:c>
      <x:c r="D255">
        <x:f>ROUND($C255*10*VLOOKUP($B255,Sheet2!$J$5:$K$7,2,FALSE)*VLOOKUP(Sheet1!$A255,Sheet2!$B$5:$H$29,3,FALSE),0)</x:f>
        <x:v>101</x:v>
      </x:c>
      <x:c r="E255">
        <x:f>ROUND($C255*10*VLOOKUP($B255,Sheet2!$J$5:$K$7,2,FALSE)*VLOOKUP(Sheet1!$A255,Sheet2!$B$5:$H$29,4,FALSE),0)</x:f>
        <x:v>34</x:v>
      </x:c>
      <x:c r="F255">
        <x:f>ROUND($C255*10*VLOOKUP($B255,Sheet2!$J$5:$K$7,2,FALSE)*VLOOKUP(Sheet1!$A255,Sheet2!$B$5:$H$29,5,FALSE),0)</x:f>
        <x:v>0</x:v>
      </x:c>
      <x:c r="G255">
        <x:f>ROUND($C255*10*VLOOKUP($B255,Sheet2!$J$5:$K$7,2,FALSE)*VLOOKUP(Sheet1!$A255,Sheet2!$B$5:$H$29,6,FALSE),0)</x:f>
        <x:v>0</x:v>
      </x:c>
      <x:c r="H255">
        <x:f>ROUND($C255*10*VLOOKUP($B255,Sheet2!$J$5:$K$7,2,FALSE)*VLOOKUP(Sheet1!$A255,Sheet2!$B$5:$H$29,7,FALSE),0)</x:f>
        <x:v>0</x:v>
      </x:c>
      <x:c r="I255">
        <x:f t="shared" si="4"/>
        <x:v>4310</x:v>
      </x:c>
    </x:row>
    <x:row r="256" spans="1:9" x14ac:dyDescent="0.15">
      <x:c r="A256">
        <x:v>54002</x:v>
      </x:c>
      <x:c r="B256">
        <x:v>2</x:v>
      </x:c>
      <x:c r="C256">
        <x:v>15</x:v>
      </x:c>
      <x:c r="D256">
        <x:f>ROUND($C256*10*VLOOKUP($B256,Sheet2!$J$5:$K$7,2,FALSE)*VLOOKUP(Sheet1!$A256,Sheet2!$B$5:$H$29,3,FALSE),0)</x:f>
        <x:v>108</x:v>
      </x:c>
      <x:c r="E256">
        <x:f>ROUND($C256*10*VLOOKUP($B256,Sheet2!$J$5:$K$7,2,FALSE)*VLOOKUP(Sheet1!$A256,Sheet2!$B$5:$H$29,4,FALSE),0)</x:f>
        <x:v>36</x:v>
      </x:c>
      <x:c r="F256">
        <x:f>ROUND($C256*10*VLOOKUP($B256,Sheet2!$J$5:$K$7,2,FALSE)*VLOOKUP(Sheet1!$A256,Sheet2!$B$5:$H$29,5,FALSE),0)</x:f>
        <x:v>0</x:v>
      </x:c>
      <x:c r="G256">
        <x:f>ROUND($C256*10*VLOOKUP($B256,Sheet2!$J$5:$K$7,2,FALSE)*VLOOKUP(Sheet1!$A256,Sheet2!$B$5:$H$29,6,FALSE),0)</x:f>
        <x:v>0</x:v>
      </x:c>
      <x:c r="H256">
        <x:f>ROUND($C256*10*VLOOKUP($B256,Sheet2!$J$5:$K$7,2,FALSE)*VLOOKUP(Sheet1!$A256,Sheet2!$B$5:$H$29,7,FALSE),0)</x:f>
        <x:v>0</x:v>
      </x:c>
      <x:c r="I256">
        <x:f t="shared" si="4"/>
        <x:v>4920</x:v>
      </x:c>
    </x:row>
    <x:row r="257" spans="1:9" x14ac:dyDescent="0.15">
      <x:c r="A257">
        <x:v>54002</x:v>
      </x:c>
      <x:c r="B257">
        <x:v>2</x:v>
      </x:c>
      <x:c r="C257">
        <x:v>16</x:v>
      </x:c>
      <x:c r="D257">
        <x:f>ROUND($C257*10*VLOOKUP($B257,Sheet2!$J$5:$K$7,2,FALSE)*VLOOKUP(Sheet1!$A257,Sheet2!$B$5:$H$29,3,FALSE),0)</x:f>
        <x:v>115</x:v>
      </x:c>
      <x:c r="E257">
        <x:f>ROUND($C257*10*VLOOKUP($B257,Sheet2!$J$5:$K$7,2,FALSE)*VLOOKUP(Sheet1!$A257,Sheet2!$B$5:$H$29,4,FALSE),0)</x:f>
        <x:v>38</x:v>
      </x:c>
      <x:c r="F257">
        <x:f>ROUND($C257*10*VLOOKUP($B257,Sheet2!$J$5:$K$7,2,FALSE)*VLOOKUP(Sheet1!$A257,Sheet2!$B$5:$H$29,5,FALSE),0)</x:f>
        <x:v>0</x:v>
      </x:c>
      <x:c r="G257">
        <x:f>ROUND($C257*10*VLOOKUP($B257,Sheet2!$J$5:$K$7,2,FALSE)*VLOOKUP(Sheet1!$A257,Sheet2!$B$5:$H$29,6,FALSE),0)</x:f>
        <x:v>0</x:v>
      </x:c>
      <x:c r="H257">
        <x:f>ROUND($C257*10*VLOOKUP($B257,Sheet2!$J$5:$K$7,2,FALSE)*VLOOKUP(Sheet1!$A257,Sheet2!$B$5:$H$29,7,FALSE),0)</x:f>
        <x:v>0</x:v>
      </x:c>
      <x:c r="I257">
        <x:f t="shared" si="4"/>
        <x:v>5560</x:v>
      </x:c>
    </x:row>
    <x:row r="258" spans="1:9" x14ac:dyDescent="0.15">
      <x:c r="A258">
        <x:v>54002</x:v>
      </x:c>
      <x:c r="B258">
        <x:v>2</x:v>
      </x:c>
      <x:c r="C258">
        <x:v>17</x:v>
      </x:c>
      <x:c r="D258">
        <x:f>ROUND($C258*10*VLOOKUP($B258,Sheet2!$J$5:$K$7,2,FALSE)*VLOOKUP(Sheet1!$A258,Sheet2!$B$5:$H$29,3,FALSE),0)</x:f>
        <x:v>122</x:v>
      </x:c>
      <x:c r="E258">
        <x:f>ROUND($C258*10*VLOOKUP($B258,Sheet2!$J$5:$K$7,2,FALSE)*VLOOKUP(Sheet1!$A258,Sheet2!$B$5:$H$29,4,FALSE),0)</x:f>
        <x:v>41</x:v>
      </x:c>
      <x:c r="F258">
        <x:f>ROUND($C258*10*VLOOKUP($B258,Sheet2!$J$5:$K$7,2,FALSE)*VLOOKUP(Sheet1!$A258,Sheet2!$B$5:$H$29,5,FALSE),0)</x:f>
        <x:v>0</x:v>
      </x:c>
      <x:c r="G258">
        <x:f>ROUND($C258*10*VLOOKUP($B258,Sheet2!$J$5:$K$7,2,FALSE)*VLOOKUP(Sheet1!$A258,Sheet2!$B$5:$H$29,6,FALSE),0)</x:f>
        <x:v>0</x:v>
      </x:c>
      <x:c r="H258">
        <x:f>ROUND($C258*10*VLOOKUP($B258,Sheet2!$J$5:$K$7,2,FALSE)*VLOOKUP(Sheet1!$A258,Sheet2!$B$5:$H$29,7,FALSE),0)</x:f>
        <x:v>0</x:v>
      </x:c>
      <x:c r="I258">
        <x:f t="shared" si="4"/>
        <x:v>6240</x:v>
      </x:c>
    </x:row>
    <x:row r="259" spans="1:9" x14ac:dyDescent="0.15">
      <x:c r="A259">
        <x:v>54002</x:v>
      </x:c>
      <x:c r="B259">
        <x:v>2</x:v>
      </x:c>
      <x:c r="C259">
        <x:v>18</x:v>
      </x:c>
      <x:c r="D259">
        <x:f>ROUND($C259*10*VLOOKUP($B259,Sheet2!$J$5:$K$7,2,FALSE)*VLOOKUP(Sheet1!$A259,Sheet2!$B$5:$H$29,3,FALSE),0)</x:f>
        <x:v>130</x:v>
      </x:c>
      <x:c r="E259">
        <x:f>ROUND($C259*10*VLOOKUP($B259,Sheet2!$J$5:$K$7,2,FALSE)*VLOOKUP(Sheet1!$A259,Sheet2!$B$5:$H$29,4,FALSE),0)</x:f>
        <x:v>43</x:v>
      </x:c>
      <x:c r="F259">
        <x:f>ROUND($C259*10*VLOOKUP($B259,Sheet2!$J$5:$K$7,2,FALSE)*VLOOKUP(Sheet1!$A259,Sheet2!$B$5:$H$29,5,FALSE),0)</x:f>
        <x:v>0</x:v>
      </x:c>
      <x:c r="G259">
        <x:f>ROUND($C259*10*VLOOKUP($B259,Sheet2!$J$5:$K$7,2,FALSE)*VLOOKUP(Sheet1!$A259,Sheet2!$B$5:$H$29,6,FALSE),0)</x:f>
        <x:v>0</x:v>
      </x:c>
      <x:c r="H259">
        <x:f>ROUND($C259*10*VLOOKUP($B259,Sheet2!$J$5:$K$7,2,FALSE)*VLOOKUP(Sheet1!$A259,Sheet2!$B$5:$H$29,7,FALSE),0)</x:f>
        <x:v>0</x:v>
      </x:c>
      <x:c r="I259">
        <x:f t="shared" si="4"/>
        <x:v>6950</x:v>
      </x:c>
    </x:row>
    <x:row r="260" spans="1:9" x14ac:dyDescent="0.15">
      <x:c r="A260">
        <x:v>54002</x:v>
      </x:c>
      <x:c r="B260">
        <x:v>2</x:v>
      </x:c>
      <x:c r="C260">
        <x:v>19</x:v>
      </x:c>
      <x:c r="D260">
        <x:f>ROUND($C260*10*VLOOKUP($B260,Sheet2!$J$5:$K$7,2,FALSE)*VLOOKUP(Sheet1!$A260,Sheet2!$B$5:$H$29,3,FALSE),0)</x:f>
        <x:v>137</x:v>
      </x:c>
      <x:c r="E260">
        <x:f>ROUND($C260*10*VLOOKUP($B260,Sheet2!$J$5:$K$7,2,FALSE)*VLOOKUP(Sheet1!$A260,Sheet2!$B$5:$H$29,4,FALSE),0)</x:f>
        <x:v>46</x:v>
      </x:c>
      <x:c r="F260">
        <x:f>ROUND($C260*10*VLOOKUP($B260,Sheet2!$J$5:$K$7,2,FALSE)*VLOOKUP(Sheet1!$A260,Sheet2!$B$5:$H$29,5,FALSE),0)</x:f>
        <x:v>0</x:v>
      </x:c>
      <x:c r="G260">
        <x:f>ROUND($C260*10*VLOOKUP($B260,Sheet2!$J$5:$K$7,2,FALSE)*VLOOKUP(Sheet1!$A260,Sheet2!$B$5:$H$29,6,FALSE),0)</x:f>
        <x:v>0</x:v>
      </x:c>
      <x:c r="H260">
        <x:f>ROUND($C260*10*VLOOKUP($B260,Sheet2!$J$5:$K$7,2,FALSE)*VLOOKUP(Sheet1!$A260,Sheet2!$B$5:$H$29,7,FALSE),0)</x:f>
        <x:v>0</x:v>
      </x:c>
      <x:c r="I260">
        <x:f t="shared" si="4"/>
        <x:v>7690</x:v>
      </x:c>
    </x:row>
    <x:row r="261" spans="1:9" x14ac:dyDescent="0.15">
      <x:c r="A261">
        <x:v>54002</x:v>
      </x:c>
      <x:c r="B261">
        <x:v>2</x:v>
      </x:c>
      <x:c r="C261">
        <x:v>20</x:v>
      </x:c>
      <x:c r="D261">
        <x:f>ROUND($C261*10*VLOOKUP($B261,Sheet2!$J$5:$K$7,2,FALSE)*VLOOKUP(Sheet1!$A261,Sheet2!$B$5:$H$29,3,FALSE),0)</x:f>
        <x:v>144</x:v>
      </x:c>
      <x:c r="E261">
        <x:f>ROUND($C261*10*VLOOKUP($B261,Sheet2!$J$5:$K$7,2,FALSE)*VLOOKUP(Sheet1!$A261,Sheet2!$B$5:$H$29,4,FALSE),0)</x:f>
        <x:v>48</x:v>
      </x:c>
      <x:c r="F261">
        <x:f>ROUND($C261*10*VLOOKUP($B261,Sheet2!$J$5:$K$7,2,FALSE)*VLOOKUP(Sheet1!$A261,Sheet2!$B$5:$H$29,5,FALSE),0)</x:f>
        <x:v>0</x:v>
      </x:c>
      <x:c r="G261">
        <x:f>ROUND($C261*10*VLOOKUP($B261,Sheet2!$J$5:$K$7,2,FALSE)*VLOOKUP(Sheet1!$A261,Sheet2!$B$5:$H$29,6,FALSE),0)</x:f>
        <x:v>0</x:v>
      </x:c>
      <x:c r="H261">
        <x:f>ROUND($C261*10*VLOOKUP($B261,Sheet2!$J$5:$K$7,2,FALSE)*VLOOKUP(Sheet1!$A261,Sheet2!$B$5:$H$29,7,FALSE),0)</x:f>
        <x:v>0</x:v>
      </x:c>
      <x:c r="I261">
        <x:f t="shared" si="4"/>
        <x:v>8470</x:v>
      </x:c>
    </x:row>
    <x:row r="262" spans="1:9" x14ac:dyDescent="0.15">
      <x:c r="A262">
        <x:v>54002</x:v>
      </x:c>
      <x:c r="B262">
        <x:v>2</x:v>
      </x:c>
      <x:c r="C262">
        <x:v>21</x:v>
      </x:c>
      <x:c r="D262">
        <x:f>ROUND($C262*10*VLOOKUP($B262,Sheet2!$J$5:$K$7,2,FALSE)*VLOOKUP(Sheet1!$A262,Sheet2!$B$5:$H$29,3,FALSE),0)</x:f>
        <x:v>151</x:v>
      </x:c>
      <x:c r="E262">
        <x:f>ROUND($C262*10*VLOOKUP($B262,Sheet2!$J$5:$K$7,2,FALSE)*VLOOKUP(Sheet1!$A262,Sheet2!$B$5:$H$29,4,FALSE),0)</x:f>
        <x:v>50</x:v>
      </x:c>
      <x:c r="F262">
        <x:f>ROUND($C262*10*VLOOKUP($B262,Sheet2!$J$5:$K$7,2,FALSE)*VLOOKUP(Sheet1!$A262,Sheet2!$B$5:$H$29,5,FALSE),0)</x:f>
        <x:v>0</x:v>
      </x:c>
      <x:c r="G262">
        <x:f>ROUND($C262*10*VLOOKUP($B262,Sheet2!$J$5:$K$7,2,FALSE)*VLOOKUP(Sheet1!$A262,Sheet2!$B$5:$H$29,6,FALSE),0)</x:f>
        <x:v>0</x:v>
      </x:c>
      <x:c r="H262">
        <x:f>ROUND($C262*10*VLOOKUP($B262,Sheet2!$J$5:$K$7,2,FALSE)*VLOOKUP(Sheet1!$A262,Sheet2!$B$5:$H$29,7,FALSE),0)</x:f>
        <x:v>0</x:v>
      </x:c>
      <x:c r="I262">
        <x:f t="shared" si="4"/>
        <x:v>9290</x:v>
      </x:c>
    </x:row>
    <x:row r="263" spans="1:9" x14ac:dyDescent="0.15">
      <x:c r="A263">
        <x:v>54002</x:v>
      </x:c>
      <x:c r="B263">
        <x:v>2</x:v>
      </x:c>
      <x:c r="C263">
        <x:v>22</x:v>
      </x:c>
      <x:c r="D263">
        <x:f>ROUND($C263*10*VLOOKUP($B263,Sheet2!$J$5:$K$7,2,FALSE)*VLOOKUP(Sheet1!$A263,Sheet2!$B$5:$H$29,3,FALSE),0)</x:f>
        <x:v>158</x:v>
      </x:c>
      <x:c r="E263">
        <x:f>ROUND($C263*10*VLOOKUP($B263,Sheet2!$J$5:$K$7,2,FALSE)*VLOOKUP(Sheet1!$A263,Sheet2!$B$5:$H$29,4,FALSE),0)</x:f>
        <x:v>53</x:v>
      </x:c>
      <x:c r="F263">
        <x:f>ROUND($C263*10*VLOOKUP($B263,Sheet2!$J$5:$K$7,2,FALSE)*VLOOKUP(Sheet1!$A263,Sheet2!$B$5:$H$29,5,FALSE),0)</x:f>
        <x:v>0</x:v>
      </x:c>
      <x:c r="G263">
        <x:f>ROUND($C263*10*VLOOKUP($B263,Sheet2!$J$5:$K$7,2,FALSE)*VLOOKUP(Sheet1!$A263,Sheet2!$B$5:$H$29,6,FALSE),0)</x:f>
        <x:v>0</x:v>
      </x:c>
      <x:c r="H263">
        <x:f>ROUND($C263*10*VLOOKUP($B263,Sheet2!$J$5:$K$7,2,FALSE)*VLOOKUP(Sheet1!$A263,Sheet2!$B$5:$H$29,7,FALSE),0)</x:f>
        <x:v>0</x:v>
      </x:c>
      <x:c r="I263">
        <x:f t="shared" si="4"/>
        <x:v>10130</x:v>
      </x:c>
    </x:row>
    <x:row r="264" spans="1:9" x14ac:dyDescent="0.15">
      <x:c r="A264">
        <x:v>54002</x:v>
      </x:c>
      <x:c r="B264">
        <x:v>2</x:v>
      </x:c>
      <x:c r="C264">
        <x:v>23</x:v>
      </x:c>
      <x:c r="D264">
        <x:f>ROUND($C264*10*VLOOKUP($B264,Sheet2!$J$5:$K$7,2,FALSE)*VLOOKUP(Sheet1!$A264,Sheet2!$B$5:$H$29,3,FALSE),0)</x:f>
        <x:v>166</x:v>
      </x:c>
      <x:c r="E264">
        <x:f>ROUND($C264*10*VLOOKUP($B264,Sheet2!$J$5:$K$7,2,FALSE)*VLOOKUP(Sheet1!$A264,Sheet2!$B$5:$H$29,4,FALSE),0)</x:f>
        <x:v>55</x:v>
      </x:c>
      <x:c r="F264">
        <x:f>ROUND($C264*10*VLOOKUP($B264,Sheet2!$J$5:$K$7,2,FALSE)*VLOOKUP(Sheet1!$A264,Sheet2!$B$5:$H$29,5,FALSE),0)</x:f>
        <x:v>0</x:v>
      </x:c>
      <x:c r="G264">
        <x:f>ROUND($C264*10*VLOOKUP($B264,Sheet2!$J$5:$K$7,2,FALSE)*VLOOKUP(Sheet1!$A264,Sheet2!$B$5:$H$29,6,FALSE),0)</x:f>
        <x:v>0</x:v>
      </x:c>
      <x:c r="H264">
        <x:f>ROUND($C264*10*VLOOKUP($B264,Sheet2!$J$5:$K$7,2,FALSE)*VLOOKUP(Sheet1!$A264,Sheet2!$B$5:$H$29,7,FALSE),0)</x:f>
        <x:v>0</x:v>
      </x:c>
      <x:c r="I264">
        <x:f t="shared" si="4"/>
        <x:v>11010</x:v>
      </x:c>
    </x:row>
    <x:row r="265" spans="1:9" x14ac:dyDescent="0.15">
      <x:c r="A265">
        <x:v>54002</x:v>
      </x:c>
      <x:c r="B265">
        <x:v>2</x:v>
      </x:c>
      <x:c r="C265">
        <x:v>24</x:v>
      </x:c>
      <x:c r="D265">
        <x:f>ROUND($C265*10*VLOOKUP($B265,Sheet2!$J$5:$K$7,2,FALSE)*VLOOKUP(Sheet1!$A265,Sheet2!$B$5:$H$29,3,FALSE),0)</x:f>
        <x:v>173</x:v>
      </x:c>
      <x:c r="E265">
        <x:f>ROUND($C265*10*VLOOKUP($B265,Sheet2!$J$5:$K$7,2,FALSE)*VLOOKUP(Sheet1!$A265,Sheet2!$B$5:$H$29,4,FALSE),0)</x:f>
        <x:v>58</x:v>
      </x:c>
      <x:c r="F265">
        <x:f>ROUND($C265*10*VLOOKUP($B265,Sheet2!$J$5:$K$7,2,FALSE)*VLOOKUP(Sheet1!$A265,Sheet2!$B$5:$H$29,5,FALSE),0)</x:f>
        <x:v>0</x:v>
      </x:c>
      <x:c r="G265">
        <x:f>ROUND($C265*10*VLOOKUP($B265,Sheet2!$J$5:$K$7,2,FALSE)*VLOOKUP(Sheet1!$A265,Sheet2!$B$5:$H$29,6,FALSE),0)</x:f>
        <x:v>0</x:v>
      </x:c>
      <x:c r="H265">
        <x:f>ROUND($C265*10*VLOOKUP($B265,Sheet2!$J$5:$K$7,2,FALSE)*VLOOKUP(Sheet1!$A265,Sheet2!$B$5:$H$29,7,FALSE),0)</x:f>
        <x:v>0</x:v>
      </x:c>
      <x:c r="I265">
        <x:f t="shared" si="4"/>
        <x:v>11930</x:v>
      </x:c>
    </x:row>
    <x:row r="266" spans="1:9" x14ac:dyDescent="0.15">
      <x:c r="A266">
        <x:v>54002</x:v>
      </x:c>
      <x:c r="B266">
        <x:v>2</x:v>
      </x:c>
      <x:c r="C266">
        <x:v>25</x:v>
      </x:c>
      <x:c r="D266">
        <x:f>ROUND($C266*10*VLOOKUP($B266,Sheet2!$J$5:$K$7,2,FALSE)*VLOOKUP(Sheet1!$A266,Sheet2!$B$5:$H$29,3,FALSE),0)</x:f>
        <x:v>180</x:v>
      </x:c>
      <x:c r="E266">
        <x:f>ROUND($C266*10*VLOOKUP($B266,Sheet2!$J$5:$K$7,2,FALSE)*VLOOKUP(Sheet1!$A266,Sheet2!$B$5:$H$29,4,FALSE),0)</x:f>
        <x:v>60</x:v>
      </x:c>
      <x:c r="F266">
        <x:f>ROUND($C266*10*VLOOKUP($B266,Sheet2!$J$5:$K$7,2,FALSE)*VLOOKUP(Sheet1!$A266,Sheet2!$B$5:$H$29,5,FALSE),0)</x:f>
        <x:v>0</x:v>
      </x:c>
      <x:c r="G266">
        <x:f>ROUND($C266*10*VLOOKUP($B266,Sheet2!$J$5:$K$7,2,FALSE)*VLOOKUP(Sheet1!$A266,Sheet2!$B$5:$H$29,6,FALSE),0)</x:f>
        <x:v>0</x:v>
      </x:c>
      <x:c r="H266">
        <x:f>ROUND($C266*10*VLOOKUP($B266,Sheet2!$J$5:$K$7,2,FALSE)*VLOOKUP(Sheet1!$A266,Sheet2!$B$5:$H$29,7,FALSE),0)</x:f>
        <x:v>0</x:v>
      </x:c>
      <x:c r="I266">
        <x:f t="shared" si="4"/>
        <x:v>12870</x:v>
      </x:c>
    </x:row>
    <x:row r="267" spans="1:9" x14ac:dyDescent="0.15">
      <x:c r="A267">
        <x:v>54002</x:v>
      </x:c>
      <x:c r="B267">
        <x:v>2</x:v>
      </x:c>
      <x:c r="C267">
        <x:v>26</x:v>
      </x:c>
      <x:c r="D267">
        <x:f>ROUND($C267*10*VLOOKUP($B267,Sheet2!$J$5:$K$7,2,FALSE)*VLOOKUP(Sheet1!$A267,Sheet2!$B$5:$H$29,3,FALSE),0)</x:f>
        <x:v>187</x:v>
      </x:c>
      <x:c r="E267">
        <x:f>ROUND($C267*10*VLOOKUP($B267,Sheet2!$J$5:$K$7,2,FALSE)*VLOOKUP(Sheet1!$A267,Sheet2!$B$5:$H$29,4,FALSE),0)</x:f>
        <x:v>62</x:v>
      </x:c>
      <x:c r="F267">
        <x:f>ROUND($C267*10*VLOOKUP($B267,Sheet2!$J$5:$K$7,2,FALSE)*VLOOKUP(Sheet1!$A267,Sheet2!$B$5:$H$29,5,FALSE),0)</x:f>
        <x:v>0</x:v>
      </x:c>
      <x:c r="G267">
        <x:f>ROUND($C267*10*VLOOKUP($B267,Sheet2!$J$5:$K$7,2,FALSE)*VLOOKUP(Sheet1!$A267,Sheet2!$B$5:$H$29,6,FALSE),0)</x:f>
        <x:v>0</x:v>
      </x:c>
      <x:c r="H267">
        <x:f>ROUND($C267*10*VLOOKUP($B267,Sheet2!$J$5:$K$7,2,FALSE)*VLOOKUP(Sheet1!$A267,Sheet2!$B$5:$H$29,7,FALSE),0)</x:f>
        <x:v>0</x:v>
      </x:c>
      <x:c r="I267">
        <x:f t="shared" si="4"/>
        <x:v>13850</x:v>
      </x:c>
    </x:row>
    <x:row r="268" spans="1:9" x14ac:dyDescent="0.15">
      <x:c r="A268">
        <x:v>54002</x:v>
      </x:c>
      <x:c r="B268">
        <x:v>2</x:v>
      </x:c>
      <x:c r="C268">
        <x:v>27</x:v>
      </x:c>
      <x:c r="D268">
        <x:f>ROUND($C268*10*VLOOKUP($B268,Sheet2!$J$5:$K$7,2,FALSE)*VLOOKUP(Sheet1!$A268,Sheet2!$B$5:$H$29,3,FALSE),0)</x:f>
        <x:v>194</x:v>
      </x:c>
      <x:c r="E268">
        <x:f>ROUND($C268*10*VLOOKUP($B268,Sheet2!$J$5:$K$7,2,FALSE)*VLOOKUP(Sheet1!$A268,Sheet2!$B$5:$H$29,4,FALSE),0)</x:f>
        <x:v>65</x:v>
      </x:c>
      <x:c r="F268">
        <x:f>ROUND($C268*10*VLOOKUP($B268,Sheet2!$J$5:$K$7,2,FALSE)*VLOOKUP(Sheet1!$A268,Sheet2!$B$5:$H$29,5,FALSE),0)</x:f>
        <x:v>0</x:v>
      </x:c>
      <x:c r="G268">
        <x:f>ROUND($C268*10*VLOOKUP($B268,Sheet2!$J$5:$K$7,2,FALSE)*VLOOKUP(Sheet1!$A268,Sheet2!$B$5:$H$29,6,FALSE),0)</x:f>
        <x:v>0</x:v>
      </x:c>
      <x:c r="H268">
        <x:f>ROUND($C268*10*VLOOKUP($B268,Sheet2!$J$5:$K$7,2,FALSE)*VLOOKUP(Sheet1!$A268,Sheet2!$B$5:$H$29,7,FALSE),0)</x:f>
        <x:v>0</x:v>
      </x:c>
      <x:c r="I268">
        <x:f t="shared" si="4"/>
        <x:v>14860</x:v>
      </x:c>
    </x:row>
    <x:row r="269" spans="1:9" x14ac:dyDescent="0.15">
      <x:c r="A269">
        <x:v>54002</x:v>
      </x:c>
      <x:c r="B269">
        <x:v>2</x:v>
      </x:c>
      <x:c r="C269">
        <x:v>28</x:v>
      </x:c>
      <x:c r="D269">
        <x:f>ROUND($C269*10*VLOOKUP($B269,Sheet2!$J$5:$K$7,2,FALSE)*VLOOKUP(Sheet1!$A269,Sheet2!$B$5:$H$29,3,FALSE),0)</x:f>
        <x:v>202</x:v>
      </x:c>
      <x:c r="E269">
        <x:f>ROUND($C269*10*VLOOKUP($B269,Sheet2!$J$5:$K$7,2,FALSE)*VLOOKUP(Sheet1!$A269,Sheet2!$B$5:$H$29,4,FALSE),0)</x:f>
        <x:v>67</x:v>
      </x:c>
      <x:c r="F269">
        <x:f>ROUND($C269*10*VLOOKUP($B269,Sheet2!$J$5:$K$7,2,FALSE)*VLOOKUP(Sheet1!$A269,Sheet2!$B$5:$H$29,5,FALSE),0)</x:f>
        <x:v>0</x:v>
      </x:c>
      <x:c r="G269">
        <x:f>ROUND($C269*10*VLOOKUP($B269,Sheet2!$J$5:$K$7,2,FALSE)*VLOOKUP(Sheet1!$A269,Sheet2!$B$5:$H$29,6,FALSE),0)</x:f>
        <x:v>0</x:v>
      </x:c>
      <x:c r="H269">
        <x:f>ROUND($C269*10*VLOOKUP($B269,Sheet2!$J$5:$K$7,2,FALSE)*VLOOKUP(Sheet1!$A269,Sheet2!$B$5:$H$29,7,FALSE),0)</x:f>
        <x:v>0</x:v>
      </x:c>
      <x:c r="I269">
        <x:f t="shared" si="4"/>
        <x:v>15900</x:v>
      </x:c>
    </x:row>
    <x:row r="270" spans="1:9" x14ac:dyDescent="0.15">
      <x:c r="A270">
        <x:v>54002</x:v>
      </x:c>
      <x:c r="B270">
        <x:v>2</x:v>
      </x:c>
      <x:c r="C270">
        <x:v>29</x:v>
      </x:c>
      <x:c r="D270">
        <x:f>ROUND($C270*10*VLOOKUP($B270,Sheet2!$J$5:$K$7,2,FALSE)*VLOOKUP(Sheet1!$A270,Sheet2!$B$5:$H$29,3,FALSE),0)</x:f>
        <x:v>209</x:v>
      </x:c>
      <x:c r="E270">
        <x:f>ROUND($C270*10*VLOOKUP($B270,Sheet2!$J$5:$K$7,2,FALSE)*VLOOKUP(Sheet1!$A270,Sheet2!$B$5:$H$29,4,FALSE),0)</x:f>
        <x:v>70</x:v>
      </x:c>
      <x:c r="F270">
        <x:f>ROUND($C270*10*VLOOKUP($B270,Sheet2!$J$5:$K$7,2,FALSE)*VLOOKUP(Sheet1!$A270,Sheet2!$B$5:$H$29,5,FALSE),0)</x:f>
        <x:v>0</x:v>
      </x:c>
      <x:c r="G270">
        <x:f>ROUND($C270*10*VLOOKUP($B270,Sheet2!$J$5:$K$7,2,FALSE)*VLOOKUP(Sheet1!$A270,Sheet2!$B$5:$H$29,6,FALSE),0)</x:f>
        <x:v>0</x:v>
      </x:c>
      <x:c r="H270">
        <x:f>ROUND($C270*10*VLOOKUP($B270,Sheet2!$J$5:$K$7,2,FALSE)*VLOOKUP(Sheet1!$A270,Sheet2!$B$5:$H$29,7,FALSE),0)</x:f>
        <x:v>0</x:v>
      </x:c>
      <x:c r="I270">
        <x:f t="shared" si="4"/>
        <x:v>16970</x:v>
      </x:c>
    </x:row>
    <x:row r="271" spans="1:9" x14ac:dyDescent="0.15">
      <x:c r="A271">
        <x:v>54002</x:v>
      </x:c>
      <x:c r="B271">
        <x:v>2</x:v>
      </x:c>
      <x:c r="C271">
        <x:v>30</x:v>
      </x:c>
      <x:c r="D271">
        <x:f>ROUND($C271*10*VLOOKUP($B271,Sheet2!$J$5:$K$7,2,FALSE)*VLOOKUP(Sheet1!$A271,Sheet2!$B$5:$H$29,3,FALSE),0)</x:f>
        <x:v>216</x:v>
      </x:c>
      <x:c r="E271">
        <x:f>ROUND($C271*10*VLOOKUP($B271,Sheet2!$J$5:$K$7,2,FALSE)*VLOOKUP(Sheet1!$A271,Sheet2!$B$5:$H$29,4,FALSE),0)</x:f>
        <x:v>72</x:v>
      </x:c>
      <x:c r="F271">
        <x:f>ROUND($C271*10*VLOOKUP($B271,Sheet2!$J$5:$K$7,2,FALSE)*VLOOKUP(Sheet1!$A271,Sheet2!$B$5:$H$29,5,FALSE),0)</x:f>
        <x:v>0</x:v>
      </x:c>
      <x:c r="G271">
        <x:f>ROUND($C271*10*VLOOKUP($B271,Sheet2!$J$5:$K$7,2,FALSE)*VLOOKUP(Sheet1!$A271,Sheet2!$B$5:$H$29,6,FALSE),0)</x:f>
        <x:v>0</x:v>
      </x:c>
      <x:c r="H271">
        <x:f>ROUND($C271*10*VLOOKUP($B271,Sheet2!$J$5:$K$7,2,FALSE)*VLOOKUP(Sheet1!$A271,Sheet2!$B$5:$H$29,7,FALSE),0)</x:f>
        <x:v>0</x:v>
      </x:c>
      <x:c r="I271">
        <x:f t="shared" si="4"/>
        <x:v>18070</x:v>
      </x:c>
    </x:row>
    <x:row r="272" spans="1:9" x14ac:dyDescent="0.15">
      <x:c r="A272">
        <x:v>54002</x:v>
      </x:c>
      <x:c r="B272">
        <x:v>2</x:v>
      </x:c>
      <x:c r="C272">
        <x:v>31</x:v>
      </x:c>
      <x:c r="D272">
        <x:f>ROUND($C272*10*VLOOKUP($B272,Sheet2!$J$5:$K$7,2,FALSE)*VLOOKUP(Sheet1!$A272,Sheet2!$B$5:$H$29,3,FALSE),0)</x:f>
        <x:v>223</x:v>
      </x:c>
      <x:c r="E272">
        <x:f>ROUND($C272*10*VLOOKUP($B272,Sheet2!$J$5:$K$7,2,FALSE)*VLOOKUP(Sheet1!$A272,Sheet2!$B$5:$H$29,4,FALSE),0)</x:f>
        <x:v>74</x:v>
      </x:c>
      <x:c r="F272">
        <x:f>ROUND($C272*10*VLOOKUP($B272,Sheet2!$J$5:$K$7,2,FALSE)*VLOOKUP(Sheet1!$A272,Sheet2!$B$5:$H$29,5,FALSE),0)</x:f>
        <x:v>0</x:v>
      </x:c>
      <x:c r="G272">
        <x:f>ROUND($C272*10*VLOOKUP($B272,Sheet2!$J$5:$K$7,2,FALSE)*VLOOKUP(Sheet1!$A272,Sheet2!$B$5:$H$29,6,FALSE),0)</x:f>
        <x:v>0</x:v>
      </x:c>
      <x:c r="H272">
        <x:f>ROUND($C272*10*VLOOKUP($B272,Sheet2!$J$5:$K$7,2,FALSE)*VLOOKUP(Sheet1!$A272,Sheet2!$B$5:$H$29,7,FALSE),0)</x:f>
        <x:v>0</x:v>
      </x:c>
      <x:c r="I272">
        <x:f t="shared" si="4"/>
        <x:v>19210</x:v>
      </x:c>
    </x:row>
    <x:row r="273" spans="1:9" x14ac:dyDescent="0.15">
      <x:c r="A273">
        <x:v>54002</x:v>
      </x:c>
      <x:c r="B273">
        <x:v>2</x:v>
      </x:c>
      <x:c r="C273">
        <x:v>32</x:v>
      </x:c>
      <x:c r="D273">
        <x:f>ROUND($C273*10*VLOOKUP($B273,Sheet2!$J$5:$K$7,2,FALSE)*VLOOKUP(Sheet1!$A273,Sheet2!$B$5:$H$29,3,FALSE),0)</x:f>
        <x:v>230</x:v>
      </x:c>
      <x:c r="E273">
        <x:f>ROUND($C273*10*VLOOKUP($B273,Sheet2!$J$5:$K$7,2,FALSE)*VLOOKUP(Sheet1!$A273,Sheet2!$B$5:$H$29,4,FALSE),0)</x:f>
        <x:v>77</x:v>
      </x:c>
      <x:c r="F273">
        <x:f>ROUND($C273*10*VLOOKUP($B273,Sheet2!$J$5:$K$7,2,FALSE)*VLOOKUP(Sheet1!$A273,Sheet2!$B$5:$H$29,5,FALSE),0)</x:f>
        <x:v>0</x:v>
      </x:c>
      <x:c r="G273">
        <x:f>ROUND($C273*10*VLOOKUP($B273,Sheet2!$J$5:$K$7,2,FALSE)*VLOOKUP(Sheet1!$A273,Sheet2!$B$5:$H$29,6,FALSE),0)</x:f>
        <x:v>0</x:v>
      </x:c>
      <x:c r="H273">
        <x:f>ROUND($C273*10*VLOOKUP($B273,Sheet2!$J$5:$K$7,2,FALSE)*VLOOKUP(Sheet1!$A273,Sheet2!$B$5:$H$29,7,FALSE),0)</x:f>
        <x:v>0</x:v>
      </x:c>
      <x:c r="I273">
        <x:f t="shared" si="4"/>
        <x:v>20370</x:v>
      </x:c>
    </x:row>
    <x:row r="274" spans="1:9" x14ac:dyDescent="0.15">
      <x:c r="A274">
        <x:v>54002</x:v>
      </x:c>
      <x:c r="B274">
        <x:v>2</x:v>
      </x:c>
      <x:c r="C274">
        <x:v>33</x:v>
      </x:c>
      <x:c r="D274">
        <x:f>ROUND($C274*10*VLOOKUP($B274,Sheet2!$J$5:$K$7,2,FALSE)*VLOOKUP(Sheet1!$A274,Sheet2!$B$5:$H$29,3,FALSE),0)</x:f>
        <x:v>238</x:v>
      </x:c>
      <x:c r="E274">
        <x:f>ROUND($C274*10*VLOOKUP($B274,Sheet2!$J$5:$K$7,2,FALSE)*VLOOKUP(Sheet1!$A274,Sheet2!$B$5:$H$29,4,FALSE),0)</x:f>
        <x:v>79</x:v>
      </x:c>
      <x:c r="F274">
        <x:f>ROUND($C274*10*VLOOKUP($B274,Sheet2!$J$5:$K$7,2,FALSE)*VLOOKUP(Sheet1!$A274,Sheet2!$B$5:$H$29,5,FALSE),0)</x:f>
        <x:v>0</x:v>
      </x:c>
      <x:c r="G274">
        <x:f>ROUND($C274*10*VLOOKUP($B274,Sheet2!$J$5:$K$7,2,FALSE)*VLOOKUP(Sheet1!$A274,Sheet2!$B$5:$H$29,6,FALSE),0)</x:f>
        <x:v>0</x:v>
      </x:c>
      <x:c r="H274">
        <x:f>ROUND($C274*10*VLOOKUP($B274,Sheet2!$J$5:$K$7,2,FALSE)*VLOOKUP(Sheet1!$A274,Sheet2!$B$5:$H$29,7,FALSE),0)</x:f>
        <x:v>0</x:v>
      </x:c>
      <x:c r="I274">
        <x:f t="shared" si="4"/>
        <x:v>21560</x:v>
      </x:c>
    </x:row>
    <x:row r="275" spans="1:9" x14ac:dyDescent="0.15">
      <x:c r="A275">
        <x:v>54002</x:v>
      </x:c>
      <x:c r="B275">
        <x:v>2</x:v>
      </x:c>
      <x:c r="C275">
        <x:v>34</x:v>
      </x:c>
      <x:c r="D275">
        <x:f>ROUND($C275*10*VLOOKUP($B275,Sheet2!$J$5:$K$7,2,FALSE)*VLOOKUP(Sheet1!$A275,Sheet2!$B$5:$H$29,3,FALSE),0)</x:f>
        <x:v>245</x:v>
      </x:c>
      <x:c r="E275">
        <x:f>ROUND($C275*10*VLOOKUP($B275,Sheet2!$J$5:$K$7,2,FALSE)*VLOOKUP(Sheet1!$A275,Sheet2!$B$5:$H$29,4,FALSE),0)</x:f>
        <x:v>82</x:v>
      </x:c>
      <x:c r="F275">
        <x:f>ROUND($C275*10*VLOOKUP($B275,Sheet2!$J$5:$K$7,2,FALSE)*VLOOKUP(Sheet1!$A275,Sheet2!$B$5:$H$29,5,FALSE),0)</x:f>
        <x:v>0</x:v>
      </x:c>
      <x:c r="G275">
        <x:f>ROUND($C275*10*VLOOKUP($B275,Sheet2!$J$5:$K$7,2,FALSE)*VLOOKUP(Sheet1!$A275,Sheet2!$B$5:$H$29,6,FALSE),0)</x:f>
        <x:v>0</x:v>
      </x:c>
      <x:c r="H275">
        <x:f>ROUND($C275*10*VLOOKUP($B275,Sheet2!$J$5:$K$7,2,FALSE)*VLOOKUP(Sheet1!$A275,Sheet2!$B$5:$H$29,7,FALSE),0)</x:f>
        <x:v>0</x:v>
      </x:c>
      <x:c r="I275">
        <x:f t="shared" si="4"/>
        <x:v>22790</x:v>
      </x:c>
    </x:row>
    <x:row r="276" spans="1:9" x14ac:dyDescent="0.15">
      <x:c r="A276">
        <x:v>54002</x:v>
      </x:c>
      <x:c r="B276">
        <x:v>2</x:v>
      </x:c>
      <x:c r="C276">
        <x:v>35</x:v>
      </x:c>
      <x:c r="D276">
        <x:f>ROUND($C276*10*VLOOKUP($B276,Sheet2!$J$5:$K$7,2,FALSE)*VLOOKUP(Sheet1!$A276,Sheet2!$B$5:$H$29,3,FALSE),0)</x:f>
        <x:v>252</x:v>
      </x:c>
      <x:c r="E276">
        <x:f>ROUND($C276*10*VLOOKUP($B276,Sheet2!$J$5:$K$7,2,FALSE)*VLOOKUP(Sheet1!$A276,Sheet2!$B$5:$H$29,4,FALSE),0)</x:f>
        <x:v>84</x:v>
      </x:c>
      <x:c r="F276">
        <x:f>ROUND($C276*10*VLOOKUP($B276,Sheet2!$J$5:$K$7,2,FALSE)*VLOOKUP(Sheet1!$A276,Sheet2!$B$5:$H$29,5,FALSE),0)</x:f>
        <x:v>0</x:v>
      </x:c>
      <x:c r="G276">
        <x:f>ROUND($C276*10*VLOOKUP($B276,Sheet2!$J$5:$K$7,2,FALSE)*VLOOKUP(Sheet1!$A276,Sheet2!$B$5:$H$29,6,FALSE),0)</x:f>
        <x:v>0</x:v>
      </x:c>
      <x:c r="H276">
        <x:f>ROUND($C276*10*VLOOKUP($B276,Sheet2!$J$5:$K$7,2,FALSE)*VLOOKUP(Sheet1!$A276,Sheet2!$B$5:$H$29,7,FALSE),0)</x:f>
        <x:v>0</x:v>
      </x:c>
      <x:c r="I276">
        <x:f t="shared" si="4"/>
        <x:v>24040</x:v>
      </x:c>
    </x:row>
    <x:row r="277" spans="1:9" x14ac:dyDescent="0.15">
      <x:c r="A277">
        <x:v>54002</x:v>
      </x:c>
      <x:c r="B277">
        <x:v>2</x:v>
      </x:c>
      <x:c r="C277">
        <x:v>36</x:v>
      </x:c>
      <x:c r="D277">
        <x:f>ROUND($C277*10*VLOOKUP($B277,Sheet2!$J$5:$K$7,2,FALSE)*VLOOKUP(Sheet1!$A277,Sheet2!$B$5:$H$29,3,FALSE),0)</x:f>
        <x:v>259</x:v>
      </x:c>
      <x:c r="E277">
        <x:f>ROUND($C277*10*VLOOKUP($B277,Sheet2!$J$5:$K$7,2,FALSE)*VLOOKUP(Sheet1!$A277,Sheet2!$B$5:$H$29,4,FALSE),0)</x:f>
        <x:v>86</x:v>
      </x:c>
      <x:c r="F277">
        <x:f>ROUND($C277*10*VLOOKUP($B277,Sheet2!$J$5:$K$7,2,FALSE)*VLOOKUP(Sheet1!$A277,Sheet2!$B$5:$H$29,5,FALSE),0)</x:f>
        <x:v>0</x:v>
      </x:c>
      <x:c r="G277">
        <x:f>ROUND($C277*10*VLOOKUP($B277,Sheet2!$J$5:$K$7,2,FALSE)*VLOOKUP(Sheet1!$A277,Sheet2!$B$5:$H$29,6,FALSE),0)</x:f>
        <x:v>0</x:v>
      </x:c>
      <x:c r="H277">
        <x:f>ROUND($C277*10*VLOOKUP($B277,Sheet2!$J$5:$K$7,2,FALSE)*VLOOKUP(Sheet1!$A277,Sheet2!$B$5:$H$29,7,FALSE),0)</x:f>
        <x:v>0</x:v>
      </x:c>
      <x:c r="I277">
        <x:f t="shared" si="4"/>
        <x:v>25330</x:v>
      </x:c>
    </x:row>
    <x:row r="278" spans="1:9" x14ac:dyDescent="0.15">
      <x:c r="A278">
        <x:v>54002</x:v>
      </x:c>
      <x:c r="B278">
        <x:v>2</x:v>
      </x:c>
      <x:c r="C278">
        <x:v>37</x:v>
      </x:c>
      <x:c r="D278">
        <x:f>ROUND($C278*10*VLOOKUP($B278,Sheet2!$J$5:$K$7,2,FALSE)*VLOOKUP(Sheet1!$A278,Sheet2!$B$5:$H$29,3,FALSE),0)</x:f>
        <x:v>266</x:v>
      </x:c>
      <x:c r="E278">
        <x:f>ROUND($C278*10*VLOOKUP($B278,Sheet2!$J$5:$K$7,2,FALSE)*VLOOKUP(Sheet1!$A278,Sheet2!$B$5:$H$29,4,FALSE),0)</x:f>
        <x:v>89</x:v>
      </x:c>
      <x:c r="F278">
        <x:f>ROUND($C278*10*VLOOKUP($B278,Sheet2!$J$5:$K$7,2,FALSE)*VLOOKUP(Sheet1!$A278,Sheet2!$B$5:$H$29,5,FALSE),0)</x:f>
        <x:v>0</x:v>
      </x:c>
      <x:c r="G278">
        <x:f>ROUND($C278*10*VLOOKUP($B278,Sheet2!$J$5:$K$7,2,FALSE)*VLOOKUP(Sheet1!$A278,Sheet2!$B$5:$H$29,6,FALSE),0)</x:f>
        <x:v>0</x:v>
      </x:c>
      <x:c r="H278">
        <x:f>ROUND($C278*10*VLOOKUP($B278,Sheet2!$J$5:$K$7,2,FALSE)*VLOOKUP(Sheet1!$A278,Sheet2!$B$5:$H$29,7,FALSE),0)</x:f>
        <x:v>0</x:v>
      </x:c>
      <x:c r="I278">
        <x:f t="shared" si="4"/>
        <x:v>26640</x:v>
      </x:c>
    </x:row>
    <x:row r="279" spans="1:9" x14ac:dyDescent="0.15">
      <x:c r="A279">
        <x:v>54002</x:v>
      </x:c>
      <x:c r="B279">
        <x:v>2</x:v>
      </x:c>
      <x:c r="C279">
        <x:v>38</x:v>
      </x:c>
      <x:c r="D279">
        <x:f>ROUND($C279*10*VLOOKUP($B279,Sheet2!$J$5:$K$7,2,FALSE)*VLOOKUP(Sheet1!$A279,Sheet2!$B$5:$H$29,3,FALSE),0)</x:f>
        <x:v>274</x:v>
      </x:c>
      <x:c r="E279">
        <x:f>ROUND($C279*10*VLOOKUP($B279,Sheet2!$J$5:$K$7,2,FALSE)*VLOOKUP(Sheet1!$A279,Sheet2!$B$5:$H$29,4,FALSE),0)</x:f>
        <x:v>91</x:v>
      </x:c>
      <x:c r="F279">
        <x:f>ROUND($C279*10*VLOOKUP($B279,Sheet2!$J$5:$K$7,2,FALSE)*VLOOKUP(Sheet1!$A279,Sheet2!$B$5:$H$29,5,FALSE),0)</x:f>
        <x:v>0</x:v>
      </x:c>
      <x:c r="G279">
        <x:f>ROUND($C279*10*VLOOKUP($B279,Sheet2!$J$5:$K$7,2,FALSE)*VLOOKUP(Sheet1!$A279,Sheet2!$B$5:$H$29,6,FALSE),0)</x:f>
        <x:v>0</x:v>
      </x:c>
      <x:c r="H279">
        <x:f>ROUND($C279*10*VLOOKUP($B279,Sheet2!$J$5:$K$7,2,FALSE)*VLOOKUP(Sheet1!$A279,Sheet2!$B$5:$H$29,7,FALSE),0)</x:f>
        <x:v>0</x:v>
      </x:c>
      <x:c r="I279">
        <x:f t="shared" si="4"/>
        <x:v>27990</x:v>
      </x:c>
    </x:row>
    <x:row r="280" spans="1:9" x14ac:dyDescent="0.15">
      <x:c r="A280">
        <x:v>54002</x:v>
      </x:c>
      <x:c r="B280">
        <x:v>2</x:v>
      </x:c>
      <x:c r="C280">
        <x:v>39</x:v>
      </x:c>
      <x:c r="D280">
        <x:f>ROUND($C280*10*VLOOKUP($B280,Sheet2!$J$5:$K$7,2,FALSE)*VLOOKUP(Sheet1!$A280,Sheet2!$B$5:$H$29,3,FALSE),0)</x:f>
        <x:v>281</x:v>
      </x:c>
      <x:c r="E280">
        <x:f>ROUND($C280*10*VLOOKUP($B280,Sheet2!$J$5:$K$7,2,FALSE)*VLOOKUP(Sheet1!$A280,Sheet2!$B$5:$H$29,4,FALSE),0)</x:f>
        <x:v>94</x:v>
      </x:c>
      <x:c r="F280">
        <x:f>ROUND($C280*10*VLOOKUP($B280,Sheet2!$J$5:$K$7,2,FALSE)*VLOOKUP(Sheet1!$A280,Sheet2!$B$5:$H$29,5,FALSE),0)</x:f>
        <x:v>0</x:v>
      </x:c>
      <x:c r="G280">
        <x:f>ROUND($C280*10*VLOOKUP($B280,Sheet2!$J$5:$K$7,2,FALSE)*VLOOKUP(Sheet1!$A280,Sheet2!$B$5:$H$29,6,FALSE),0)</x:f>
        <x:v>0</x:v>
      </x:c>
      <x:c r="H280">
        <x:f>ROUND($C280*10*VLOOKUP($B280,Sheet2!$J$5:$K$7,2,FALSE)*VLOOKUP(Sheet1!$A280,Sheet2!$B$5:$H$29,7,FALSE),0)</x:f>
        <x:v>0</x:v>
      </x:c>
      <x:c r="I280">
        <x:f t="shared" si="4"/>
        <x:v>29360</x:v>
      </x:c>
    </x:row>
    <x:row r="281" spans="1:9" x14ac:dyDescent="0.15">
      <x:c r="A281">
        <x:v>54002</x:v>
      </x:c>
      <x:c r="B281">
        <x:v>2</x:v>
      </x:c>
      <x:c r="C281">
        <x:v>40</x:v>
      </x:c>
      <x:c r="D281">
        <x:f>ROUND($C281*10*VLOOKUP($B281,Sheet2!$J$5:$K$7,2,FALSE)*VLOOKUP(Sheet1!$A281,Sheet2!$B$5:$H$29,3,FALSE),0)</x:f>
        <x:v>288</x:v>
      </x:c>
      <x:c r="E281">
        <x:f>ROUND($C281*10*VLOOKUP($B281,Sheet2!$J$5:$K$7,2,FALSE)*VLOOKUP(Sheet1!$A281,Sheet2!$B$5:$H$29,4,FALSE),0)</x:f>
        <x:v>96</x:v>
      </x:c>
      <x:c r="F281">
        <x:f>ROUND($C281*10*VLOOKUP($B281,Sheet2!$J$5:$K$7,2,FALSE)*VLOOKUP(Sheet1!$A281,Sheet2!$B$5:$H$29,5,FALSE),0)</x:f>
        <x:v>0</x:v>
      </x:c>
      <x:c r="G281">
        <x:f>ROUND($C281*10*VLOOKUP($B281,Sheet2!$J$5:$K$7,2,FALSE)*VLOOKUP(Sheet1!$A281,Sheet2!$B$5:$H$29,6,FALSE),0)</x:f>
        <x:v>0</x:v>
      </x:c>
      <x:c r="H281">
        <x:f>ROUND($C281*10*VLOOKUP($B281,Sheet2!$J$5:$K$7,2,FALSE)*VLOOKUP(Sheet1!$A281,Sheet2!$B$5:$H$29,7,FALSE),0)</x:f>
        <x:v>0</x:v>
      </x:c>
      <x:c r="I281">
        <x:f t="shared" si="4"/>
        <x:v>30760</x:v>
      </x:c>
    </x:row>
    <x:row r="282" spans="1:9" x14ac:dyDescent="0.15">
      <x:c r="A282">
        <x:v>54002</x:v>
      </x:c>
      <x:c r="B282">
        <x:v>2</x:v>
      </x:c>
      <x:c r="C282">
        <x:v>41</x:v>
      </x:c>
      <x:c r="D282">
        <x:f>ROUND($C282*10*VLOOKUP($B282,Sheet2!$J$5:$K$7,2,FALSE)*VLOOKUP(Sheet1!$A282,Sheet2!$B$5:$H$29,3,FALSE),0)</x:f>
        <x:v>295</x:v>
      </x:c>
      <x:c r="E282">
        <x:f>ROUND($C282*10*VLOOKUP($B282,Sheet2!$J$5:$K$7,2,FALSE)*VLOOKUP(Sheet1!$A282,Sheet2!$B$5:$H$29,4,FALSE),0)</x:f>
        <x:v>98</x:v>
      </x:c>
      <x:c r="F282">
        <x:f>ROUND($C282*10*VLOOKUP($B282,Sheet2!$J$5:$K$7,2,FALSE)*VLOOKUP(Sheet1!$A282,Sheet2!$B$5:$H$29,5,FALSE),0)</x:f>
        <x:v>0</x:v>
      </x:c>
      <x:c r="G282">
        <x:f>ROUND($C282*10*VLOOKUP($B282,Sheet2!$J$5:$K$7,2,FALSE)*VLOOKUP(Sheet1!$A282,Sheet2!$B$5:$H$29,6,FALSE),0)</x:f>
        <x:v>0</x:v>
      </x:c>
      <x:c r="H282">
        <x:f>ROUND($C282*10*VLOOKUP($B282,Sheet2!$J$5:$K$7,2,FALSE)*VLOOKUP(Sheet1!$A282,Sheet2!$B$5:$H$29,7,FALSE),0)</x:f>
        <x:v>0</x:v>
      </x:c>
      <x:c r="I282">
        <x:f t="shared" si="4"/>
        <x:v>32190</x:v>
      </x:c>
    </x:row>
    <x:row r="283" spans="1:9" x14ac:dyDescent="0.15">
      <x:c r="A283">
        <x:v>54002</x:v>
      </x:c>
      <x:c r="B283">
        <x:v>2</x:v>
      </x:c>
      <x:c r="C283">
        <x:v>42</x:v>
      </x:c>
      <x:c r="D283">
        <x:f>ROUND($C283*10*VLOOKUP($B283,Sheet2!$J$5:$K$7,2,FALSE)*VLOOKUP(Sheet1!$A283,Sheet2!$B$5:$H$29,3,FALSE),0)</x:f>
        <x:v>302</x:v>
      </x:c>
      <x:c r="E283">
        <x:f>ROUND($C283*10*VLOOKUP($B283,Sheet2!$J$5:$K$7,2,FALSE)*VLOOKUP(Sheet1!$A283,Sheet2!$B$5:$H$29,4,FALSE),0)</x:f>
        <x:v>101</x:v>
      </x:c>
      <x:c r="F283">
        <x:f>ROUND($C283*10*VLOOKUP($B283,Sheet2!$J$5:$K$7,2,FALSE)*VLOOKUP(Sheet1!$A283,Sheet2!$B$5:$H$29,5,FALSE),0)</x:f>
        <x:v>0</x:v>
      </x:c>
      <x:c r="G283">
        <x:f>ROUND($C283*10*VLOOKUP($B283,Sheet2!$J$5:$K$7,2,FALSE)*VLOOKUP(Sheet1!$A283,Sheet2!$B$5:$H$29,6,FALSE),0)</x:f>
        <x:v>0</x:v>
      </x:c>
      <x:c r="H283">
        <x:f>ROUND($C283*10*VLOOKUP($B283,Sheet2!$J$5:$K$7,2,FALSE)*VLOOKUP(Sheet1!$A283,Sheet2!$B$5:$H$29,7,FALSE),0)</x:f>
        <x:v>0</x:v>
      </x:c>
      <x:c r="I283">
        <x:f t="shared" si="4"/>
        <x:v>33650</x:v>
      </x:c>
    </x:row>
    <x:row r="284" spans="1:9" x14ac:dyDescent="0.15">
      <x:c r="A284">
        <x:v>54002</x:v>
      </x:c>
      <x:c r="B284">
        <x:v>2</x:v>
      </x:c>
      <x:c r="C284">
        <x:v>43</x:v>
      </x:c>
      <x:c r="D284">
        <x:f>ROUND($C284*10*VLOOKUP($B284,Sheet2!$J$5:$K$7,2,FALSE)*VLOOKUP(Sheet1!$A284,Sheet2!$B$5:$H$29,3,FALSE),0)</x:f>
        <x:v>310</x:v>
      </x:c>
      <x:c r="E284">
        <x:f>ROUND($C284*10*VLOOKUP($B284,Sheet2!$J$5:$K$7,2,FALSE)*VLOOKUP(Sheet1!$A284,Sheet2!$B$5:$H$29,4,FALSE),0)</x:f>
        <x:v>103</x:v>
      </x:c>
      <x:c r="F284">
        <x:f>ROUND($C284*10*VLOOKUP($B284,Sheet2!$J$5:$K$7,2,FALSE)*VLOOKUP(Sheet1!$A284,Sheet2!$B$5:$H$29,5,FALSE),0)</x:f>
        <x:v>0</x:v>
      </x:c>
      <x:c r="G284">
        <x:f>ROUND($C284*10*VLOOKUP($B284,Sheet2!$J$5:$K$7,2,FALSE)*VLOOKUP(Sheet1!$A284,Sheet2!$B$5:$H$29,6,FALSE),0)</x:f>
        <x:v>0</x:v>
      </x:c>
      <x:c r="H284">
        <x:f>ROUND($C284*10*VLOOKUP($B284,Sheet2!$J$5:$K$7,2,FALSE)*VLOOKUP(Sheet1!$A284,Sheet2!$B$5:$H$29,7,FALSE),0)</x:f>
        <x:v>0</x:v>
      </x:c>
      <x:c r="I284">
        <x:f t="shared" si="4"/>
        <x:v>35140</x:v>
      </x:c>
    </x:row>
    <x:row r="285" spans="1:9" x14ac:dyDescent="0.15">
      <x:c r="A285">
        <x:v>54002</x:v>
      </x:c>
      <x:c r="B285">
        <x:v>2</x:v>
      </x:c>
      <x:c r="C285">
        <x:v>44</x:v>
      </x:c>
      <x:c r="D285">
        <x:f>ROUND($C285*10*VLOOKUP($B285,Sheet2!$J$5:$K$7,2,FALSE)*VLOOKUP(Sheet1!$A285,Sheet2!$B$5:$H$29,3,FALSE),0)</x:f>
        <x:v>317</x:v>
      </x:c>
      <x:c r="E285">
        <x:f>ROUND($C285*10*VLOOKUP($B285,Sheet2!$J$5:$K$7,2,FALSE)*VLOOKUP(Sheet1!$A285,Sheet2!$B$5:$H$29,4,FALSE),0)</x:f>
        <x:v>106</x:v>
      </x:c>
      <x:c r="F285">
        <x:f>ROUND($C285*10*VLOOKUP($B285,Sheet2!$J$5:$K$7,2,FALSE)*VLOOKUP(Sheet1!$A285,Sheet2!$B$5:$H$29,5,FALSE),0)</x:f>
        <x:v>0</x:v>
      </x:c>
      <x:c r="G285">
        <x:f>ROUND($C285*10*VLOOKUP($B285,Sheet2!$J$5:$K$7,2,FALSE)*VLOOKUP(Sheet1!$A285,Sheet2!$B$5:$H$29,6,FALSE),0)</x:f>
        <x:v>0</x:v>
      </x:c>
      <x:c r="H285">
        <x:f>ROUND($C285*10*VLOOKUP($B285,Sheet2!$J$5:$K$7,2,FALSE)*VLOOKUP(Sheet1!$A285,Sheet2!$B$5:$H$29,7,FALSE),0)</x:f>
        <x:v>0</x:v>
      </x:c>
      <x:c r="I285">
        <x:f t="shared" si="4"/>
        <x:v>36660</x:v>
      </x:c>
    </x:row>
    <x:row r="286" spans="1:9" x14ac:dyDescent="0.15">
      <x:c r="A286">
        <x:v>54002</x:v>
      </x:c>
      <x:c r="B286">
        <x:v>2</x:v>
      </x:c>
      <x:c r="C286">
        <x:v>45</x:v>
      </x:c>
      <x:c r="D286">
        <x:f>ROUND($C286*10*VLOOKUP($B286,Sheet2!$J$5:$K$7,2,FALSE)*VLOOKUP(Sheet1!$A286,Sheet2!$B$5:$H$29,3,FALSE),0)</x:f>
        <x:v>324</x:v>
      </x:c>
      <x:c r="E286">
        <x:f>ROUND($C286*10*VLOOKUP($B286,Sheet2!$J$5:$K$7,2,FALSE)*VLOOKUP(Sheet1!$A286,Sheet2!$B$5:$H$29,4,FALSE),0)</x:f>
        <x:v>108</x:v>
      </x:c>
      <x:c r="F286">
        <x:f>ROUND($C286*10*VLOOKUP($B286,Sheet2!$J$5:$K$7,2,FALSE)*VLOOKUP(Sheet1!$A286,Sheet2!$B$5:$H$29,5,FALSE),0)</x:f>
        <x:v>0</x:v>
      </x:c>
      <x:c r="G286">
        <x:f>ROUND($C286*10*VLOOKUP($B286,Sheet2!$J$5:$K$7,2,FALSE)*VLOOKUP(Sheet1!$A286,Sheet2!$B$5:$H$29,6,FALSE),0)</x:f>
        <x:v>0</x:v>
      </x:c>
      <x:c r="H286">
        <x:f>ROUND($C286*10*VLOOKUP($B286,Sheet2!$J$5:$K$7,2,FALSE)*VLOOKUP(Sheet1!$A286,Sheet2!$B$5:$H$29,7,FALSE),0)</x:f>
        <x:v>0</x:v>
      </x:c>
      <x:c r="I286">
        <x:f t="shared" si="4"/>
        <x:v>38210</x:v>
      </x:c>
    </x:row>
    <x:row r="287" spans="1:9" x14ac:dyDescent="0.15">
      <x:c r="A287">
        <x:v>54002</x:v>
      </x:c>
      <x:c r="B287">
        <x:v>2</x:v>
      </x:c>
      <x:c r="C287">
        <x:v>46</x:v>
      </x:c>
      <x:c r="D287">
        <x:f>ROUND($C287*10*VLOOKUP($B287,Sheet2!$J$5:$K$7,2,FALSE)*VLOOKUP(Sheet1!$A287,Sheet2!$B$5:$H$29,3,FALSE),0)</x:f>
        <x:v>331</x:v>
      </x:c>
      <x:c r="E287">
        <x:f>ROUND($C287*10*VLOOKUP($B287,Sheet2!$J$5:$K$7,2,FALSE)*VLOOKUP(Sheet1!$A287,Sheet2!$B$5:$H$29,4,FALSE),0)</x:f>
        <x:v>110</x:v>
      </x:c>
      <x:c r="F287">
        <x:f>ROUND($C287*10*VLOOKUP($B287,Sheet2!$J$5:$K$7,2,FALSE)*VLOOKUP(Sheet1!$A287,Sheet2!$B$5:$H$29,5,FALSE),0)</x:f>
        <x:v>0</x:v>
      </x:c>
      <x:c r="G287">
        <x:f>ROUND($C287*10*VLOOKUP($B287,Sheet2!$J$5:$K$7,2,FALSE)*VLOOKUP(Sheet1!$A287,Sheet2!$B$5:$H$29,6,FALSE),0)</x:f>
        <x:v>0</x:v>
      </x:c>
      <x:c r="H287">
        <x:f>ROUND($C287*10*VLOOKUP($B287,Sheet2!$J$5:$K$7,2,FALSE)*VLOOKUP(Sheet1!$A287,Sheet2!$B$5:$H$29,7,FALSE),0)</x:f>
        <x:v>0</x:v>
      </x:c>
      <x:c r="I287">
        <x:f t="shared" si="4"/>
        <x:v>39780</x:v>
      </x:c>
    </x:row>
    <x:row r="288" spans="1:9" x14ac:dyDescent="0.15">
      <x:c r="A288">
        <x:v>54002</x:v>
      </x:c>
      <x:c r="B288">
        <x:v>2</x:v>
      </x:c>
      <x:c r="C288">
        <x:v>47</x:v>
      </x:c>
      <x:c r="D288">
        <x:f>ROUND($C288*10*VLOOKUP($B288,Sheet2!$J$5:$K$7,2,FALSE)*VLOOKUP(Sheet1!$A288,Sheet2!$B$5:$H$29,3,FALSE),0)</x:f>
        <x:v>338</x:v>
      </x:c>
      <x:c r="E288">
        <x:f>ROUND($C288*10*VLOOKUP($B288,Sheet2!$J$5:$K$7,2,FALSE)*VLOOKUP(Sheet1!$A288,Sheet2!$B$5:$H$29,4,FALSE),0)</x:f>
        <x:v>113</x:v>
      </x:c>
      <x:c r="F288">
        <x:f>ROUND($C288*10*VLOOKUP($B288,Sheet2!$J$5:$K$7,2,FALSE)*VLOOKUP(Sheet1!$A288,Sheet2!$B$5:$H$29,5,FALSE),0)</x:f>
        <x:v>0</x:v>
      </x:c>
      <x:c r="G288">
        <x:f>ROUND($C288*10*VLOOKUP($B288,Sheet2!$J$5:$K$7,2,FALSE)*VLOOKUP(Sheet1!$A288,Sheet2!$B$5:$H$29,6,FALSE),0)</x:f>
        <x:v>0</x:v>
      </x:c>
      <x:c r="H288">
        <x:f>ROUND($C288*10*VLOOKUP($B288,Sheet2!$J$5:$K$7,2,FALSE)*VLOOKUP(Sheet1!$A288,Sheet2!$B$5:$H$29,7,FALSE),0)</x:f>
        <x:v>0</x:v>
      </x:c>
      <x:c r="I288">
        <x:f t="shared" si="4"/>
        <x:v>41390</x:v>
      </x:c>
    </x:row>
    <x:row r="289" spans="1:9" x14ac:dyDescent="0.15">
      <x:c r="A289">
        <x:v>54002</x:v>
      </x:c>
      <x:c r="B289">
        <x:v>2</x:v>
      </x:c>
      <x:c r="C289">
        <x:v>48</x:v>
      </x:c>
      <x:c r="D289">
        <x:f>ROUND($C289*10*VLOOKUP($B289,Sheet2!$J$5:$K$7,2,FALSE)*VLOOKUP(Sheet1!$A289,Sheet2!$B$5:$H$29,3,FALSE),0)</x:f>
        <x:v>346</x:v>
      </x:c>
      <x:c r="E289">
        <x:f>ROUND($C289*10*VLOOKUP($B289,Sheet2!$J$5:$K$7,2,FALSE)*VLOOKUP(Sheet1!$A289,Sheet2!$B$5:$H$29,4,FALSE),0)</x:f>
        <x:v>115</x:v>
      </x:c>
      <x:c r="F289">
        <x:f>ROUND($C289*10*VLOOKUP($B289,Sheet2!$J$5:$K$7,2,FALSE)*VLOOKUP(Sheet1!$A289,Sheet2!$B$5:$H$29,5,FALSE),0)</x:f>
        <x:v>0</x:v>
      </x:c>
      <x:c r="G289">
        <x:f>ROUND($C289*10*VLOOKUP($B289,Sheet2!$J$5:$K$7,2,FALSE)*VLOOKUP(Sheet1!$A289,Sheet2!$B$5:$H$29,6,FALSE),0)</x:f>
        <x:v>0</x:v>
      </x:c>
      <x:c r="H289">
        <x:f>ROUND($C289*10*VLOOKUP($B289,Sheet2!$J$5:$K$7,2,FALSE)*VLOOKUP(Sheet1!$A289,Sheet2!$B$5:$H$29,7,FALSE),0)</x:f>
        <x:v>0</x:v>
      </x:c>
      <x:c r="I289">
        <x:f t="shared" si="4"/>
        <x:v>43020</x:v>
      </x:c>
    </x:row>
    <x:row r="290" spans="1:9" x14ac:dyDescent="0.15">
      <x:c r="A290">
        <x:v>54002</x:v>
      </x:c>
      <x:c r="B290">
        <x:v>2</x:v>
      </x:c>
      <x:c r="C290">
        <x:v>49</x:v>
      </x:c>
      <x:c r="D290">
        <x:f>ROUND($C290*10*VLOOKUP($B290,Sheet2!$J$5:$K$7,2,FALSE)*VLOOKUP(Sheet1!$A290,Sheet2!$B$5:$H$29,3,FALSE),0)</x:f>
        <x:v>353</x:v>
      </x:c>
      <x:c r="E290">
        <x:f>ROUND($C290*10*VLOOKUP($B290,Sheet2!$J$5:$K$7,2,FALSE)*VLOOKUP(Sheet1!$A290,Sheet2!$B$5:$H$29,4,FALSE),0)</x:f>
        <x:v>118</x:v>
      </x:c>
      <x:c r="F290">
        <x:f>ROUND($C290*10*VLOOKUP($B290,Sheet2!$J$5:$K$7,2,FALSE)*VLOOKUP(Sheet1!$A290,Sheet2!$B$5:$H$29,5,FALSE),0)</x:f>
        <x:v>0</x:v>
      </x:c>
      <x:c r="G290">
        <x:f>ROUND($C290*10*VLOOKUP($B290,Sheet2!$J$5:$K$7,2,FALSE)*VLOOKUP(Sheet1!$A290,Sheet2!$B$5:$H$29,6,FALSE),0)</x:f>
        <x:v>0</x:v>
      </x:c>
      <x:c r="H290">
        <x:f>ROUND($C290*10*VLOOKUP($B290,Sheet2!$J$5:$K$7,2,FALSE)*VLOOKUP(Sheet1!$A290,Sheet2!$B$5:$H$29,7,FALSE),0)</x:f>
        <x:v>0</x:v>
      </x:c>
      <x:c r="I290">
        <x:f t="shared" si="4"/>
        <x:v>44680</x:v>
      </x:c>
    </x:row>
    <x:row r="291" spans="1:9" x14ac:dyDescent="0.15">
      <x:c r="A291">
        <x:v>54002</x:v>
      </x:c>
      <x:c r="B291">
        <x:v>2</x:v>
      </x:c>
      <x:c r="C291">
        <x:v>50</x:v>
      </x:c>
      <x:c r="D291">
        <x:f>ROUND($C291*10*VLOOKUP($B291,Sheet2!$J$5:$K$7,2,FALSE)*VLOOKUP(Sheet1!$A291,Sheet2!$B$5:$H$29,3,FALSE),0)</x:f>
        <x:v>360</x:v>
      </x:c>
      <x:c r="E291">
        <x:f>ROUND($C291*10*VLOOKUP($B291,Sheet2!$J$5:$K$7,2,FALSE)*VLOOKUP(Sheet1!$A291,Sheet2!$B$5:$H$29,4,FALSE),0)</x:f>
        <x:v>120</x:v>
      </x:c>
      <x:c r="F291">
        <x:f>ROUND($C291*10*VLOOKUP($B291,Sheet2!$J$5:$K$7,2,FALSE)*VLOOKUP(Sheet1!$A291,Sheet2!$B$5:$H$29,5,FALSE),0)</x:f>
        <x:v>0</x:v>
      </x:c>
      <x:c r="G291">
        <x:f>ROUND($C291*10*VLOOKUP($B291,Sheet2!$J$5:$K$7,2,FALSE)*VLOOKUP(Sheet1!$A291,Sheet2!$B$5:$H$29,6,FALSE),0)</x:f>
        <x:v>0</x:v>
      </x:c>
      <x:c r="H291">
        <x:f>ROUND($C291*10*VLOOKUP($B291,Sheet2!$J$5:$K$7,2,FALSE)*VLOOKUP(Sheet1!$A291,Sheet2!$B$5:$H$29,7,FALSE),0)</x:f>
        <x:v>0</x:v>
      </x:c>
      <x:c r="I291">
        <x:f t="shared" si="4"/>
        <x:v>46360</x:v>
      </x:c>
    </x:row>
    <x:row r="292" spans="1:9" x14ac:dyDescent="0.15">
      <x:c r="A292">
        <x:v>54002</x:v>
      </x:c>
      <x:c r="B292">
        <x:v>2</x:v>
      </x:c>
      <x:c r="C292">
        <x:v>51</x:v>
      </x:c>
      <x:c r="D292">
        <x:f>ROUND($C292*10*VLOOKUP($B292,Sheet2!$J$5:$K$7,2,FALSE)*VLOOKUP(Sheet1!$A292,Sheet2!$B$5:$H$29,3,FALSE),0)</x:f>
        <x:v>367</x:v>
      </x:c>
      <x:c r="E292">
        <x:f>ROUND($C292*10*VLOOKUP($B292,Sheet2!$J$5:$K$7,2,FALSE)*VLOOKUP(Sheet1!$A292,Sheet2!$B$5:$H$29,4,FALSE),0)</x:f>
        <x:v>122</x:v>
      </x:c>
      <x:c r="F292">
        <x:f>ROUND($C292*10*VLOOKUP($B292,Sheet2!$J$5:$K$7,2,FALSE)*VLOOKUP(Sheet1!$A292,Sheet2!$B$5:$H$29,5,FALSE),0)</x:f>
        <x:v>0</x:v>
      </x:c>
      <x:c r="G292">
        <x:f>ROUND($C292*10*VLOOKUP($B292,Sheet2!$J$5:$K$7,2,FALSE)*VLOOKUP(Sheet1!$A292,Sheet2!$B$5:$H$29,6,FALSE),0)</x:f>
        <x:v>0</x:v>
      </x:c>
      <x:c r="H292">
        <x:f>ROUND($C292*10*VLOOKUP($B292,Sheet2!$J$5:$K$7,2,FALSE)*VLOOKUP(Sheet1!$A292,Sheet2!$B$5:$H$29,7,FALSE),0)</x:f>
        <x:v>0</x:v>
      </x:c>
      <x:c r="I292">
        <x:f t="shared" si="4"/>
        <x:v>48080</x:v>
      </x:c>
    </x:row>
    <x:row r="293" spans="1:9" x14ac:dyDescent="0.15">
      <x:c r="A293">
        <x:v>54002</x:v>
      </x:c>
      <x:c r="B293">
        <x:v>2</x:v>
      </x:c>
      <x:c r="C293">
        <x:v>52</x:v>
      </x:c>
      <x:c r="D293">
        <x:f>ROUND($C293*10*VLOOKUP($B293,Sheet2!$J$5:$K$7,2,FALSE)*VLOOKUP(Sheet1!$A293,Sheet2!$B$5:$H$29,3,FALSE),0)</x:f>
        <x:v>374</x:v>
      </x:c>
      <x:c r="E293">
        <x:f>ROUND($C293*10*VLOOKUP($B293,Sheet2!$J$5:$K$7,2,FALSE)*VLOOKUP(Sheet1!$A293,Sheet2!$B$5:$H$29,4,FALSE),0)</x:f>
        <x:v>125</x:v>
      </x:c>
      <x:c r="F293">
        <x:f>ROUND($C293*10*VLOOKUP($B293,Sheet2!$J$5:$K$7,2,FALSE)*VLOOKUP(Sheet1!$A293,Sheet2!$B$5:$H$29,5,FALSE),0)</x:f>
        <x:v>0</x:v>
      </x:c>
      <x:c r="G293">
        <x:f>ROUND($C293*10*VLOOKUP($B293,Sheet2!$J$5:$K$7,2,FALSE)*VLOOKUP(Sheet1!$A293,Sheet2!$B$5:$H$29,6,FALSE),0)</x:f>
        <x:v>0</x:v>
      </x:c>
      <x:c r="H293">
        <x:f>ROUND($C293*10*VLOOKUP($B293,Sheet2!$J$5:$K$7,2,FALSE)*VLOOKUP(Sheet1!$A293,Sheet2!$B$5:$H$29,7,FALSE),0)</x:f>
        <x:v>0</x:v>
      </x:c>
      <x:c r="I293">
        <x:f t="shared" si="4"/>
        <x:v>49820</x:v>
      </x:c>
    </x:row>
    <x:row r="294" spans="1:9" x14ac:dyDescent="0.15">
      <x:c r="A294">
        <x:v>54002</x:v>
      </x:c>
      <x:c r="B294">
        <x:v>2</x:v>
      </x:c>
      <x:c r="C294">
        <x:v>53</x:v>
      </x:c>
      <x:c r="D294">
        <x:f>ROUND($C294*10*VLOOKUP($B294,Sheet2!$J$5:$K$7,2,FALSE)*VLOOKUP(Sheet1!$A294,Sheet2!$B$5:$H$29,3,FALSE),0)</x:f>
        <x:v>382</x:v>
      </x:c>
      <x:c r="E294">
        <x:f>ROUND($C294*10*VLOOKUP($B294,Sheet2!$J$5:$K$7,2,FALSE)*VLOOKUP(Sheet1!$A294,Sheet2!$B$5:$H$29,4,FALSE),0)</x:f>
        <x:v>127</x:v>
      </x:c>
      <x:c r="F294">
        <x:f>ROUND($C294*10*VLOOKUP($B294,Sheet2!$J$5:$K$7,2,FALSE)*VLOOKUP(Sheet1!$A294,Sheet2!$B$5:$H$29,5,FALSE),0)</x:f>
        <x:v>0</x:v>
      </x:c>
      <x:c r="G294">
        <x:f>ROUND($C294*10*VLOOKUP($B294,Sheet2!$J$5:$K$7,2,FALSE)*VLOOKUP(Sheet1!$A294,Sheet2!$B$5:$H$29,6,FALSE),0)</x:f>
        <x:v>0</x:v>
      </x:c>
      <x:c r="H294">
        <x:f>ROUND($C294*10*VLOOKUP($B294,Sheet2!$J$5:$K$7,2,FALSE)*VLOOKUP(Sheet1!$A294,Sheet2!$B$5:$H$29,7,FALSE),0)</x:f>
        <x:v>0</x:v>
      </x:c>
      <x:c r="I294">
        <x:f t="shared" si="4"/>
        <x:v>51590</x:v>
      </x:c>
    </x:row>
    <x:row r="295" spans="1:9" x14ac:dyDescent="0.15">
      <x:c r="A295">
        <x:v>54002</x:v>
      </x:c>
      <x:c r="B295">
        <x:v>2</x:v>
      </x:c>
      <x:c r="C295">
        <x:v>54</x:v>
      </x:c>
      <x:c r="D295">
        <x:f>ROUND($C295*10*VLOOKUP($B295,Sheet2!$J$5:$K$7,2,FALSE)*VLOOKUP(Sheet1!$A295,Sheet2!$B$5:$H$29,3,FALSE),0)</x:f>
        <x:v>389</x:v>
      </x:c>
      <x:c r="E295">
        <x:f>ROUND($C295*10*VLOOKUP($B295,Sheet2!$J$5:$K$7,2,FALSE)*VLOOKUP(Sheet1!$A295,Sheet2!$B$5:$H$29,4,FALSE),0)</x:f>
        <x:v>130</x:v>
      </x:c>
      <x:c r="F295">
        <x:f>ROUND($C295*10*VLOOKUP($B295,Sheet2!$J$5:$K$7,2,FALSE)*VLOOKUP(Sheet1!$A295,Sheet2!$B$5:$H$29,5,FALSE),0)</x:f>
        <x:v>0</x:v>
      </x:c>
      <x:c r="G295">
        <x:f>ROUND($C295*10*VLOOKUP($B295,Sheet2!$J$5:$K$7,2,FALSE)*VLOOKUP(Sheet1!$A295,Sheet2!$B$5:$H$29,6,FALSE),0)</x:f>
        <x:v>0</x:v>
      </x:c>
      <x:c r="H295">
        <x:f>ROUND($C295*10*VLOOKUP($B295,Sheet2!$J$5:$K$7,2,FALSE)*VLOOKUP(Sheet1!$A295,Sheet2!$B$5:$H$29,7,FALSE),0)</x:f>
        <x:v>0</x:v>
      </x:c>
      <x:c r="I295">
        <x:f t="shared" si="4"/>
        <x:v>53390</x:v>
      </x:c>
    </x:row>
    <x:row r="296" spans="1:9" x14ac:dyDescent="0.15">
      <x:c r="A296">
        <x:v>54002</x:v>
      </x:c>
      <x:c r="B296">
        <x:v>2</x:v>
      </x:c>
      <x:c r="C296">
        <x:v>55</x:v>
      </x:c>
      <x:c r="D296">
        <x:f>ROUND($C296*10*VLOOKUP($B296,Sheet2!$J$5:$K$7,2,FALSE)*VLOOKUP(Sheet1!$A296,Sheet2!$B$5:$H$29,3,FALSE),0)</x:f>
        <x:v>396</x:v>
      </x:c>
      <x:c r="E296">
        <x:f>ROUND($C296*10*VLOOKUP($B296,Sheet2!$J$5:$K$7,2,FALSE)*VLOOKUP(Sheet1!$A296,Sheet2!$B$5:$H$29,4,FALSE),0)</x:f>
        <x:v>132</x:v>
      </x:c>
      <x:c r="F296">
        <x:f>ROUND($C296*10*VLOOKUP($B296,Sheet2!$J$5:$K$7,2,FALSE)*VLOOKUP(Sheet1!$A296,Sheet2!$B$5:$H$29,5,FALSE),0)</x:f>
        <x:v>0</x:v>
      </x:c>
      <x:c r="G296">
        <x:f>ROUND($C296*10*VLOOKUP($B296,Sheet2!$J$5:$K$7,2,FALSE)*VLOOKUP(Sheet1!$A296,Sheet2!$B$5:$H$29,6,FALSE),0)</x:f>
        <x:v>0</x:v>
      </x:c>
      <x:c r="H296">
        <x:f>ROUND($C296*10*VLOOKUP($B296,Sheet2!$J$5:$K$7,2,FALSE)*VLOOKUP(Sheet1!$A296,Sheet2!$B$5:$H$29,7,FALSE),0)</x:f>
        <x:v>0</x:v>
      </x:c>
      <x:c r="I296">
        <x:f t="shared" si="4"/>
        <x:v>55210</x:v>
      </x:c>
    </x:row>
    <x:row r="297" spans="1:9" x14ac:dyDescent="0.15">
      <x:c r="A297">
        <x:v>54002</x:v>
      </x:c>
      <x:c r="B297">
        <x:v>2</x:v>
      </x:c>
      <x:c r="C297">
        <x:v>56</x:v>
      </x:c>
      <x:c r="D297">
        <x:f>ROUND($C297*10*VLOOKUP($B297,Sheet2!$J$5:$K$7,2,FALSE)*VLOOKUP(Sheet1!$A297,Sheet2!$B$5:$H$29,3,FALSE),0)</x:f>
        <x:v>403</x:v>
      </x:c>
      <x:c r="E297">
        <x:f>ROUND($C297*10*VLOOKUP($B297,Sheet2!$J$5:$K$7,2,FALSE)*VLOOKUP(Sheet1!$A297,Sheet2!$B$5:$H$29,4,FALSE),0)</x:f>
        <x:v>134</x:v>
      </x:c>
      <x:c r="F297">
        <x:f>ROUND($C297*10*VLOOKUP($B297,Sheet2!$J$5:$K$7,2,FALSE)*VLOOKUP(Sheet1!$A297,Sheet2!$B$5:$H$29,5,FALSE),0)</x:f>
        <x:v>0</x:v>
      </x:c>
      <x:c r="G297">
        <x:f>ROUND($C297*10*VLOOKUP($B297,Sheet2!$J$5:$K$7,2,FALSE)*VLOOKUP(Sheet1!$A297,Sheet2!$B$5:$H$29,6,FALSE),0)</x:f>
        <x:v>0</x:v>
      </x:c>
      <x:c r="H297">
        <x:f>ROUND($C297*10*VLOOKUP($B297,Sheet2!$J$5:$K$7,2,FALSE)*VLOOKUP(Sheet1!$A297,Sheet2!$B$5:$H$29,7,FALSE),0)</x:f>
        <x:v>0</x:v>
      </x:c>
      <x:c r="I297">
        <x:f t="shared" si="4"/>
        <x:v>57060</x:v>
      </x:c>
    </x:row>
    <x:row r="298" spans="1:9" x14ac:dyDescent="0.15">
      <x:c r="A298">
        <x:v>54002</x:v>
      </x:c>
      <x:c r="B298">
        <x:v>2</x:v>
      </x:c>
      <x:c r="C298">
        <x:v>57</x:v>
      </x:c>
      <x:c r="D298">
        <x:f>ROUND($C298*10*VLOOKUP($B298,Sheet2!$J$5:$K$7,2,FALSE)*VLOOKUP(Sheet1!$A298,Sheet2!$B$5:$H$29,3,FALSE),0)</x:f>
        <x:v>410</x:v>
      </x:c>
      <x:c r="E298">
        <x:f>ROUND($C298*10*VLOOKUP($B298,Sheet2!$J$5:$K$7,2,FALSE)*VLOOKUP(Sheet1!$A298,Sheet2!$B$5:$H$29,4,FALSE),0)</x:f>
        <x:v>137</x:v>
      </x:c>
      <x:c r="F298">
        <x:f>ROUND($C298*10*VLOOKUP($B298,Sheet2!$J$5:$K$7,2,FALSE)*VLOOKUP(Sheet1!$A298,Sheet2!$B$5:$H$29,5,FALSE),0)</x:f>
        <x:v>0</x:v>
      </x:c>
      <x:c r="G298">
        <x:f>ROUND($C298*10*VLOOKUP($B298,Sheet2!$J$5:$K$7,2,FALSE)*VLOOKUP(Sheet1!$A298,Sheet2!$B$5:$H$29,6,FALSE),0)</x:f>
        <x:v>0</x:v>
      </x:c>
      <x:c r="H298">
        <x:f>ROUND($C298*10*VLOOKUP($B298,Sheet2!$J$5:$K$7,2,FALSE)*VLOOKUP(Sheet1!$A298,Sheet2!$B$5:$H$29,7,FALSE),0)</x:f>
        <x:v>0</x:v>
      </x:c>
      <x:c r="I298">
        <x:f t="shared" si="4"/>
        <x:v>58940</x:v>
      </x:c>
    </x:row>
    <x:row r="299" spans="1:9" x14ac:dyDescent="0.15">
      <x:c r="A299">
        <x:v>54002</x:v>
      </x:c>
      <x:c r="B299">
        <x:v>2</x:v>
      </x:c>
      <x:c r="C299">
        <x:v>58</x:v>
      </x:c>
      <x:c r="D299">
        <x:f>ROUND($C299*10*VLOOKUP($B299,Sheet2!$J$5:$K$7,2,FALSE)*VLOOKUP(Sheet1!$A299,Sheet2!$B$5:$H$29,3,FALSE),0)</x:f>
        <x:v>418</x:v>
      </x:c>
      <x:c r="E299">
        <x:f>ROUND($C299*10*VLOOKUP($B299,Sheet2!$J$5:$K$7,2,FALSE)*VLOOKUP(Sheet1!$A299,Sheet2!$B$5:$H$29,4,FALSE),0)</x:f>
        <x:v>139</x:v>
      </x:c>
      <x:c r="F299">
        <x:f>ROUND($C299*10*VLOOKUP($B299,Sheet2!$J$5:$K$7,2,FALSE)*VLOOKUP(Sheet1!$A299,Sheet2!$B$5:$H$29,5,FALSE),0)</x:f>
        <x:v>0</x:v>
      </x:c>
      <x:c r="G299">
        <x:f>ROUND($C299*10*VLOOKUP($B299,Sheet2!$J$5:$K$7,2,FALSE)*VLOOKUP(Sheet1!$A299,Sheet2!$B$5:$H$29,6,FALSE),0)</x:f>
        <x:v>0</x:v>
      </x:c>
      <x:c r="H299">
        <x:f>ROUND($C299*10*VLOOKUP($B299,Sheet2!$J$5:$K$7,2,FALSE)*VLOOKUP(Sheet1!$A299,Sheet2!$B$5:$H$29,7,FALSE),0)</x:f>
        <x:v>0</x:v>
      </x:c>
      <x:c r="I299">
        <x:f t="shared" si="4"/>
        <x:v>60850</x:v>
      </x:c>
    </x:row>
    <x:row r="300" spans="1:9" x14ac:dyDescent="0.15">
      <x:c r="A300">
        <x:v>54002</x:v>
      </x:c>
      <x:c r="B300">
        <x:v>2</x:v>
      </x:c>
      <x:c r="C300">
        <x:v>59</x:v>
      </x:c>
      <x:c r="D300">
        <x:f>ROUND($C300*10*VLOOKUP($B300,Sheet2!$J$5:$K$7,2,FALSE)*VLOOKUP(Sheet1!$A300,Sheet2!$B$5:$H$29,3,FALSE),0)</x:f>
        <x:v>425</x:v>
      </x:c>
      <x:c r="E300">
        <x:f>ROUND($C300*10*VLOOKUP($B300,Sheet2!$J$5:$K$7,2,FALSE)*VLOOKUP(Sheet1!$A300,Sheet2!$B$5:$H$29,4,FALSE),0)</x:f>
        <x:v>142</x:v>
      </x:c>
      <x:c r="F300">
        <x:f>ROUND($C300*10*VLOOKUP($B300,Sheet2!$J$5:$K$7,2,FALSE)*VLOOKUP(Sheet1!$A300,Sheet2!$B$5:$H$29,5,FALSE),0)</x:f>
        <x:v>0</x:v>
      </x:c>
      <x:c r="G300">
        <x:f>ROUND($C300*10*VLOOKUP($B300,Sheet2!$J$5:$K$7,2,FALSE)*VLOOKUP(Sheet1!$A300,Sheet2!$B$5:$H$29,6,FALSE),0)</x:f>
        <x:v>0</x:v>
      </x:c>
      <x:c r="H300">
        <x:f>ROUND($C300*10*VLOOKUP($B300,Sheet2!$J$5:$K$7,2,FALSE)*VLOOKUP(Sheet1!$A300,Sheet2!$B$5:$H$29,7,FALSE),0)</x:f>
        <x:v>0</x:v>
      </x:c>
      <x:c r="I300">
        <x:f t="shared" si="4"/>
        <x:v>62780</x:v>
      </x:c>
    </x:row>
    <x:row r="301" spans="1:9" x14ac:dyDescent="0.15">
      <x:c r="A301">
        <x:v>54002</x:v>
      </x:c>
      <x:c r="B301">
        <x:v>2</x:v>
      </x:c>
      <x:c r="C301">
        <x:v>60</x:v>
      </x:c>
      <x:c r="D301">
        <x:f>ROUND($C301*10*VLOOKUP($B301,Sheet2!$J$5:$K$7,2,FALSE)*VLOOKUP(Sheet1!$A301,Sheet2!$B$5:$H$29,3,FALSE),0)</x:f>
        <x:v>432</x:v>
      </x:c>
      <x:c r="E301">
        <x:f>ROUND($C301*10*VLOOKUP($B301,Sheet2!$J$5:$K$7,2,FALSE)*VLOOKUP(Sheet1!$A301,Sheet2!$B$5:$H$29,4,FALSE),0)</x:f>
        <x:v>144</x:v>
      </x:c>
      <x:c r="F301">
        <x:f>ROUND($C301*10*VLOOKUP($B301,Sheet2!$J$5:$K$7,2,FALSE)*VLOOKUP(Sheet1!$A301,Sheet2!$B$5:$H$29,5,FALSE),0)</x:f>
        <x:v>0</x:v>
      </x:c>
      <x:c r="G301">
        <x:f>ROUND($C301*10*VLOOKUP($B301,Sheet2!$J$5:$K$7,2,FALSE)*VLOOKUP(Sheet1!$A301,Sheet2!$B$5:$H$29,6,FALSE),0)</x:f>
        <x:v>0</x:v>
      </x:c>
      <x:c r="H301">
        <x:f>ROUND($C301*10*VLOOKUP($B301,Sheet2!$J$5:$K$7,2,FALSE)*VLOOKUP(Sheet1!$A301,Sheet2!$B$5:$H$29,7,FALSE),0)</x:f>
        <x:v>0</x:v>
      </x:c>
      <x:c r="I301">
        <x:f t="shared" si="4"/>
        <x:v>64740</x:v>
      </x:c>
    </x:row>
    <x:row r="302" spans="1:9" x14ac:dyDescent="0.15">
      <x:c r="A302">
        <x:v>54002</x:v>
      </x:c>
      <x:c r="B302">
        <x:v>3</x:v>
      </x:c>
      <x:c r="C302">
        <x:v>1</x:v>
      </x:c>
      <x:c r="D302">
        <x:f>ROUND($C302*10*VLOOKUP($B302,Sheet2!$J$5:$K$7,2,FALSE)*VLOOKUP(Sheet1!$A302,Sheet2!$B$5:$H$29,3,FALSE),0)</x:f>
        <x:v>12</x:v>
      </x:c>
      <x:c r="E302">
        <x:f>ROUND($C302*10*VLOOKUP($B302,Sheet2!$J$5:$K$7,2,FALSE)*VLOOKUP(Sheet1!$A302,Sheet2!$B$5:$H$29,4,FALSE),0)</x:f>
        <x:v>4</x:v>
      </x:c>
      <x:c r="F302">
        <x:f>ROUND($C302*10*VLOOKUP($B302,Sheet2!$J$5:$K$7,2,FALSE)*VLOOKUP(Sheet1!$A302,Sheet2!$B$5:$H$29,5,FALSE),0)</x:f>
        <x:v>0</x:v>
      </x:c>
      <x:c r="G302">
        <x:f>ROUND($C302*10*VLOOKUP($B302,Sheet2!$J$5:$K$7,2,FALSE)*VLOOKUP(Sheet1!$A302,Sheet2!$B$5:$H$29,6,FALSE),0)</x:f>
        <x:v>0</x:v>
      </x:c>
      <x:c r="H302">
        <x:f>ROUND($C302*10*VLOOKUP($B302,Sheet2!$J$5:$K$7,2,FALSE)*VLOOKUP(Sheet1!$A302,Sheet2!$B$5:$H$29,7,FALSE),0)</x:f>
        <x:v>0</x:v>
      </x:c>
      <x:c r="I302">
        <x:f t="shared" ref="I302:I361" si="5">ROUND(1.2*10*10.5*(C302-1)^1.8+90,-1)</x:f>
        <x:v>90</x:v>
      </x:c>
    </x:row>
    <x:row r="303" spans="1:9" x14ac:dyDescent="0.15">
      <x:c r="A303">
        <x:v>54002</x:v>
      </x:c>
      <x:c r="B303">
        <x:v>3</x:v>
      </x:c>
      <x:c r="C303">
        <x:v>2</x:v>
      </x:c>
      <x:c r="D303">
        <x:f>ROUND($C303*10*VLOOKUP($B303,Sheet2!$J$5:$K$7,2,FALSE)*VLOOKUP(Sheet1!$A303,Sheet2!$B$5:$H$29,3,FALSE),0)</x:f>
        <x:v>24</x:v>
      </x:c>
      <x:c r="E303">
        <x:f>ROUND($C303*10*VLOOKUP($B303,Sheet2!$J$5:$K$7,2,FALSE)*VLOOKUP(Sheet1!$A303,Sheet2!$B$5:$H$29,4,FALSE),0)</x:f>
        <x:v>8</x:v>
      </x:c>
      <x:c r="F303">
        <x:f>ROUND($C303*10*VLOOKUP($B303,Sheet2!$J$5:$K$7,2,FALSE)*VLOOKUP(Sheet1!$A303,Sheet2!$B$5:$H$29,5,FALSE),0)</x:f>
        <x:v>0</x:v>
      </x:c>
      <x:c r="G303">
        <x:f>ROUND($C303*10*VLOOKUP($B303,Sheet2!$J$5:$K$7,2,FALSE)*VLOOKUP(Sheet1!$A303,Sheet2!$B$5:$H$29,6,FALSE),0)</x:f>
        <x:v>0</x:v>
      </x:c>
      <x:c r="H303">
        <x:f>ROUND($C303*10*VLOOKUP($B303,Sheet2!$J$5:$K$7,2,FALSE)*VLOOKUP(Sheet1!$A303,Sheet2!$B$5:$H$29,7,FALSE),0)</x:f>
        <x:v>0</x:v>
      </x:c>
      <x:c r="I303">
        <x:f t="shared" si="5"/>
        <x:v>220</x:v>
      </x:c>
    </x:row>
    <x:row r="304" spans="1:9" x14ac:dyDescent="0.15">
      <x:c r="A304">
        <x:v>54002</x:v>
      </x:c>
      <x:c r="B304">
        <x:v>3</x:v>
      </x:c>
      <x:c r="C304">
        <x:v>3</x:v>
      </x:c>
      <x:c r="D304">
        <x:f>ROUND($C304*10*VLOOKUP($B304,Sheet2!$J$5:$K$7,2,FALSE)*VLOOKUP(Sheet1!$A304,Sheet2!$B$5:$H$29,3,FALSE),0)</x:f>
        <x:v>36</x:v>
      </x:c>
      <x:c r="E304">
        <x:f>ROUND($C304*10*VLOOKUP($B304,Sheet2!$J$5:$K$7,2,FALSE)*VLOOKUP(Sheet1!$A304,Sheet2!$B$5:$H$29,4,FALSE),0)</x:f>
        <x:v>12</x:v>
      </x:c>
      <x:c r="F304">
        <x:f>ROUND($C304*10*VLOOKUP($B304,Sheet2!$J$5:$K$7,2,FALSE)*VLOOKUP(Sheet1!$A304,Sheet2!$B$5:$H$29,5,FALSE),0)</x:f>
        <x:v>0</x:v>
      </x:c>
      <x:c r="G304">
        <x:f>ROUND($C304*10*VLOOKUP($B304,Sheet2!$J$5:$K$7,2,FALSE)*VLOOKUP(Sheet1!$A304,Sheet2!$B$5:$H$29,6,FALSE),0)</x:f>
        <x:v>0</x:v>
      </x:c>
      <x:c r="H304">
        <x:f>ROUND($C304*10*VLOOKUP($B304,Sheet2!$J$5:$K$7,2,FALSE)*VLOOKUP(Sheet1!$A304,Sheet2!$B$5:$H$29,7,FALSE),0)</x:f>
        <x:v>0</x:v>
      </x:c>
      <x:c r="I304">
        <x:f t="shared" si="5"/>
        <x:v>530</x:v>
      </x:c>
    </x:row>
    <x:row r="305" spans="1:9" x14ac:dyDescent="0.15">
      <x:c r="A305">
        <x:v>54002</x:v>
      </x:c>
      <x:c r="B305">
        <x:v>3</x:v>
      </x:c>
      <x:c r="C305">
        <x:v>4</x:v>
      </x:c>
      <x:c r="D305">
        <x:f>ROUND($C305*10*VLOOKUP($B305,Sheet2!$J$5:$K$7,2,FALSE)*VLOOKUP(Sheet1!$A305,Sheet2!$B$5:$H$29,3,FALSE),0)</x:f>
        <x:v>48</x:v>
      </x:c>
      <x:c r="E305">
        <x:f>ROUND($C305*10*VLOOKUP($B305,Sheet2!$J$5:$K$7,2,FALSE)*VLOOKUP(Sheet1!$A305,Sheet2!$B$5:$H$29,4,FALSE),0)</x:f>
        <x:v>16</x:v>
      </x:c>
      <x:c r="F305">
        <x:f>ROUND($C305*10*VLOOKUP($B305,Sheet2!$J$5:$K$7,2,FALSE)*VLOOKUP(Sheet1!$A305,Sheet2!$B$5:$H$29,5,FALSE),0)</x:f>
        <x:v>0</x:v>
      </x:c>
      <x:c r="G305">
        <x:f>ROUND($C305*10*VLOOKUP($B305,Sheet2!$J$5:$K$7,2,FALSE)*VLOOKUP(Sheet1!$A305,Sheet2!$B$5:$H$29,6,FALSE),0)</x:f>
        <x:v>0</x:v>
      </x:c>
      <x:c r="H305">
        <x:f>ROUND($C305*10*VLOOKUP($B305,Sheet2!$J$5:$K$7,2,FALSE)*VLOOKUP(Sheet1!$A305,Sheet2!$B$5:$H$29,7,FALSE),0)</x:f>
        <x:v>0</x:v>
      </x:c>
      <x:c r="I305">
        <x:f t="shared" si="5"/>
        <x:v>1000</x:v>
      </x:c>
    </x:row>
    <x:row r="306" spans="1:9" x14ac:dyDescent="0.15">
      <x:c r="A306">
        <x:v>54002</x:v>
      </x:c>
      <x:c r="B306">
        <x:v>3</x:v>
      </x:c>
      <x:c r="C306">
        <x:v>5</x:v>
      </x:c>
      <x:c r="D306">
        <x:f>ROUND($C306*10*VLOOKUP($B306,Sheet2!$J$5:$K$7,2,FALSE)*VLOOKUP(Sheet1!$A306,Sheet2!$B$5:$H$29,3,FALSE),0)</x:f>
        <x:v>60</x:v>
      </x:c>
      <x:c r="E306">
        <x:f>ROUND($C306*10*VLOOKUP($B306,Sheet2!$J$5:$K$7,2,FALSE)*VLOOKUP(Sheet1!$A306,Sheet2!$B$5:$H$29,4,FALSE),0)</x:f>
        <x:v>20</x:v>
      </x:c>
      <x:c r="F306">
        <x:f>ROUND($C306*10*VLOOKUP($B306,Sheet2!$J$5:$K$7,2,FALSE)*VLOOKUP(Sheet1!$A306,Sheet2!$B$5:$H$29,5,FALSE),0)</x:f>
        <x:v>0</x:v>
      </x:c>
      <x:c r="G306">
        <x:f>ROUND($C306*10*VLOOKUP($B306,Sheet2!$J$5:$K$7,2,FALSE)*VLOOKUP(Sheet1!$A306,Sheet2!$B$5:$H$29,6,FALSE),0)</x:f>
        <x:v>0</x:v>
      </x:c>
      <x:c r="H306">
        <x:f>ROUND($C306*10*VLOOKUP($B306,Sheet2!$J$5:$K$7,2,FALSE)*VLOOKUP(Sheet1!$A306,Sheet2!$B$5:$H$29,7,FALSE),0)</x:f>
        <x:v>0</x:v>
      </x:c>
      <x:c r="I306">
        <x:f t="shared" si="5"/>
        <x:v>1620</x:v>
      </x:c>
    </x:row>
    <x:row r="307" spans="1:9" x14ac:dyDescent="0.15">
      <x:c r="A307">
        <x:v>54002</x:v>
      </x:c>
      <x:c r="B307">
        <x:v>3</x:v>
      </x:c>
      <x:c r="C307">
        <x:v>6</x:v>
      </x:c>
      <x:c r="D307">
        <x:f>ROUND($C307*10*VLOOKUP($B307,Sheet2!$J$5:$K$7,2,FALSE)*VLOOKUP(Sheet1!$A307,Sheet2!$B$5:$H$29,3,FALSE),0)</x:f>
        <x:v>72</x:v>
      </x:c>
      <x:c r="E307">
        <x:f>ROUND($C307*10*VLOOKUP($B307,Sheet2!$J$5:$K$7,2,FALSE)*VLOOKUP(Sheet1!$A307,Sheet2!$B$5:$H$29,4,FALSE),0)</x:f>
        <x:v>24</x:v>
      </x:c>
      <x:c r="F307">
        <x:f>ROUND($C307*10*VLOOKUP($B307,Sheet2!$J$5:$K$7,2,FALSE)*VLOOKUP(Sheet1!$A307,Sheet2!$B$5:$H$29,5,FALSE),0)</x:f>
        <x:v>0</x:v>
      </x:c>
      <x:c r="G307">
        <x:f>ROUND($C307*10*VLOOKUP($B307,Sheet2!$J$5:$K$7,2,FALSE)*VLOOKUP(Sheet1!$A307,Sheet2!$B$5:$H$29,6,FALSE),0)</x:f>
        <x:v>0</x:v>
      </x:c>
      <x:c r="H307">
        <x:f>ROUND($C307*10*VLOOKUP($B307,Sheet2!$J$5:$K$7,2,FALSE)*VLOOKUP(Sheet1!$A307,Sheet2!$B$5:$H$29,7,FALSE),0)</x:f>
        <x:v>0</x:v>
      </x:c>
      <x:c r="I307">
        <x:f t="shared" si="5"/>
        <x:v>2370</x:v>
      </x:c>
    </x:row>
    <x:row r="308" spans="1:9" x14ac:dyDescent="0.15">
      <x:c r="A308">
        <x:v>54002</x:v>
      </x:c>
      <x:c r="B308">
        <x:v>3</x:v>
      </x:c>
      <x:c r="C308">
        <x:v>7</x:v>
      </x:c>
      <x:c r="D308">
        <x:f>ROUND($C308*10*VLOOKUP($B308,Sheet2!$J$5:$K$7,2,FALSE)*VLOOKUP(Sheet1!$A308,Sheet2!$B$5:$H$29,3,FALSE),0)</x:f>
        <x:v>84</x:v>
      </x:c>
      <x:c r="E308">
        <x:f>ROUND($C308*10*VLOOKUP($B308,Sheet2!$J$5:$K$7,2,FALSE)*VLOOKUP(Sheet1!$A308,Sheet2!$B$5:$H$29,4,FALSE),0)</x:f>
        <x:v>28</x:v>
      </x:c>
      <x:c r="F308">
        <x:f>ROUND($C308*10*VLOOKUP($B308,Sheet2!$J$5:$K$7,2,FALSE)*VLOOKUP(Sheet1!$A308,Sheet2!$B$5:$H$29,5,FALSE),0)</x:f>
        <x:v>0</x:v>
      </x:c>
      <x:c r="G308">
        <x:f>ROUND($C308*10*VLOOKUP($B308,Sheet2!$J$5:$K$7,2,FALSE)*VLOOKUP(Sheet1!$A308,Sheet2!$B$5:$H$29,6,FALSE),0)</x:f>
        <x:v>0</x:v>
      </x:c>
      <x:c r="H308">
        <x:f>ROUND($C308*10*VLOOKUP($B308,Sheet2!$J$5:$K$7,2,FALSE)*VLOOKUP(Sheet1!$A308,Sheet2!$B$5:$H$29,7,FALSE),0)</x:f>
        <x:v>0</x:v>
      </x:c>
      <x:c r="I308">
        <x:f t="shared" si="5"/>
        <x:v>3260</x:v>
      </x:c>
    </x:row>
    <x:row r="309" spans="1:9" x14ac:dyDescent="0.15">
      <x:c r="A309">
        <x:v>54002</x:v>
      </x:c>
      <x:c r="B309">
        <x:v>3</x:v>
      </x:c>
      <x:c r="C309">
        <x:v>8</x:v>
      </x:c>
      <x:c r="D309">
        <x:f>ROUND($C309*10*VLOOKUP($B309,Sheet2!$J$5:$K$7,2,FALSE)*VLOOKUP(Sheet1!$A309,Sheet2!$B$5:$H$29,3,FALSE),0)</x:f>
        <x:v>96</x:v>
      </x:c>
      <x:c r="E309">
        <x:f>ROUND($C309*10*VLOOKUP($B309,Sheet2!$J$5:$K$7,2,FALSE)*VLOOKUP(Sheet1!$A309,Sheet2!$B$5:$H$29,4,FALSE),0)</x:f>
        <x:v>32</x:v>
      </x:c>
      <x:c r="F309">
        <x:f>ROUND($C309*10*VLOOKUP($B309,Sheet2!$J$5:$K$7,2,FALSE)*VLOOKUP(Sheet1!$A309,Sheet2!$B$5:$H$29,5,FALSE),0)</x:f>
        <x:v>0</x:v>
      </x:c>
      <x:c r="G309">
        <x:f>ROUND($C309*10*VLOOKUP($B309,Sheet2!$J$5:$K$7,2,FALSE)*VLOOKUP(Sheet1!$A309,Sheet2!$B$5:$H$29,6,FALSE),0)</x:f>
        <x:v>0</x:v>
      </x:c>
      <x:c r="H309">
        <x:f>ROUND($C309*10*VLOOKUP($B309,Sheet2!$J$5:$K$7,2,FALSE)*VLOOKUP(Sheet1!$A309,Sheet2!$B$5:$H$29,7,FALSE),0)</x:f>
        <x:v>0</x:v>
      </x:c>
      <x:c r="I309">
        <x:f t="shared" si="5"/>
        <x:v>4270</x:v>
      </x:c>
    </x:row>
    <x:row r="310" spans="1:9" x14ac:dyDescent="0.15">
      <x:c r="A310">
        <x:v>54002</x:v>
      </x:c>
      <x:c r="B310">
        <x:v>3</x:v>
      </x:c>
      <x:c r="C310">
        <x:v>9</x:v>
      </x:c>
      <x:c r="D310">
        <x:f>ROUND($C310*10*VLOOKUP($B310,Sheet2!$J$5:$K$7,2,FALSE)*VLOOKUP(Sheet1!$A310,Sheet2!$B$5:$H$29,3,FALSE),0)</x:f>
        <x:v>108</x:v>
      </x:c>
      <x:c r="E310">
        <x:f>ROUND($C310*10*VLOOKUP($B310,Sheet2!$J$5:$K$7,2,FALSE)*VLOOKUP(Sheet1!$A310,Sheet2!$B$5:$H$29,4,FALSE),0)</x:f>
        <x:v>36</x:v>
      </x:c>
      <x:c r="F310">
        <x:f>ROUND($C310*10*VLOOKUP($B310,Sheet2!$J$5:$K$7,2,FALSE)*VLOOKUP(Sheet1!$A310,Sheet2!$B$5:$H$29,5,FALSE),0)</x:f>
        <x:v>0</x:v>
      </x:c>
      <x:c r="G310">
        <x:f>ROUND($C310*10*VLOOKUP($B310,Sheet2!$J$5:$K$7,2,FALSE)*VLOOKUP(Sheet1!$A310,Sheet2!$B$5:$H$29,6,FALSE),0)</x:f>
        <x:v>0</x:v>
      </x:c>
      <x:c r="H310">
        <x:f>ROUND($C310*10*VLOOKUP($B310,Sheet2!$J$5:$K$7,2,FALSE)*VLOOKUP(Sheet1!$A310,Sheet2!$B$5:$H$29,7,FALSE),0)</x:f>
        <x:v>0</x:v>
      </x:c>
      <x:c r="I310">
        <x:f t="shared" si="5"/>
        <x:v>5410</x:v>
      </x:c>
    </x:row>
    <x:row r="311" spans="1:9" x14ac:dyDescent="0.15">
      <x:c r="A311">
        <x:v>54002</x:v>
      </x:c>
      <x:c r="B311">
        <x:v>3</x:v>
      </x:c>
      <x:c r="C311">
        <x:v>10</x:v>
      </x:c>
      <x:c r="D311">
        <x:f>ROUND($C311*10*VLOOKUP($B311,Sheet2!$J$5:$K$7,2,FALSE)*VLOOKUP(Sheet1!$A311,Sheet2!$B$5:$H$29,3,FALSE),0)</x:f>
        <x:v>120</x:v>
      </x:c>
      <x:c r="E311">
        <x:f>ROUND($C311*10*VLOOKUP($B311,Sheet2!$J$5:$K$7,2,FALSE)*VLOOKUP(Sheet1!$A311,Sheet2!$B$5:$H$29,4,FALSE),0)</x:f>
        <x:v>40</x:v>
      </x:c>
      <x:c r="F311">
        <x:f>ROUND($C311*10*VLOOKUP($B311,Sheet2!$J$5:$K$7,2,FALSE)*VLOOKUP(Sheet1!$A311,Sheet2!$B$5:$H$29,5,FALSE),0)</x:f>
        <x:v>0</x:v>
      </x:c>
      <x:c r="G311">
        <x:f>ROUND($C311*10*VLOOKUP($B311,Sheet2!$J$5:$K$7,2,FALSE)*VLOOKUP(Sheet1!$A311,Sheet2!$B$5:$H$29,6,FALSE),0)</x:f>
        <x:v>0</x:v>
      </x:c>
      <x:c r="H311">
        <x:f>ROUND($C311*10*VLOOKUP($B311,Sheet2!$J$5:$K$7,2,FALSE)*VLOOKUP(Sheet1!$A311,Sheet2!$B$5:$H$29,7,FALSE),0)</x:f>
        <x:v>0</x:v>
      </x:c>
      <x:c r="I311">
        <x:f t="shared" si="5"/>
        <x:v>6670</x:v>
      </x:c>
    </x:row>
    <x:row r="312" spans="1:9" x14ac:dyDescent="0.15">
      <x:c r="A312">
        <x:v>54002</x:v>
      </x:c>
      <x:c r="B312">
        <x:v>3</x:v>
      </x:c>
      <x:c r="C312">
        <x:v>11</x:v>
      </x:c>
      <x:c r="D312">
        <x:f>ROUND($C312*10*VLOOKUP($B312,Sheet2!$J$5:$K$7,2,FALSE)*VLOOKUP(Sheet1!$A312,Sheet2!$B$5:$H$29,3,FALSE),0)</x:f>
        <x:v>132</x:v>
      </x:c>
      <x:c r="E312">
        <x:f>ROUND($C312*10*VLOOKUP($B312,Sheet2!$J$5:$K$7,2,FALSE)*VLOOKUP(Sheet1!$A312,Sheet2!$B$5:$H$29,4,FALSE),0)</x:f>
        <x:v>44</x:v>
      </x:c>
      <x:c r="F312">
        <x:f>ROUND($C312*10*VLOOKUP($B312,Sheet2!$J$5:$K$7,2,FALSE)*VLOOKUP(Sheet1!$A312,Sheet2!$B$5:$H$29,5,FALSE),0)</x:f>
        <x:v>0</x:v>
      </x:c>
      <x:c r="G312">
        <x:f>ROUND($C312*10*VLOOKUP($B312,Sheet2!$J$5:$K$7,2,FALSE)*VLOOKUP(Sheet1!$A312,Sheet2!$B$5:$H$29,6,FALSE),0)</x:f>
        <x:v>0</x:v>
      </x:c>
      <x:c r="H312">
        <x:f>ROUND($C312*10*VLOOKUP($B312,Sheet2!$J$5:$K$7,2,FALSE)*VLOOKUP(Sheet1!$A312,Sheet2!$B$5:$H$29,7,FALSE),0)</x:f>
        <x:v>0</x:v>
      </x:c>
      <x:c r="I312">
        <x:f t="shared" si="5"/>
        <x:v>8040</x:v>
      </x:c>
    </x:row>
    <x:row r="313" spans="1:9" x14ac:dyDescent="0.15">
      <x:c r="A313">
        <x:v>54002</x:v>
      </x:c>
      <x:c r="B313">
        <x:v>3</x:v>
      </x:c>
      <x:c r="C313">
        <x:v>12</x:v>
      </x:c>
      <x:c r="D313">
        <x:f>ROUND($C313*10*VLOOKUP($B313,Sheet2!$J$5:$K$7,2,FALSE)*VLOOKUP(Sheet1!$A313,Sheet2!$B$5:$H$29,3,FALSE),0)</x:f>
        <x:v>144</x:v>
      </x:c>
      <x:c r="E313">
        <x:f>ROUND($C313*10*VLOOKUP($B313,Sheet2!$J$5:$K$7,2,FALSE)*VLOOKUP(Sheet1!$A313,Sheet2!$B$5:$H$29,4,FALSE),0)</x:f>
        <x:v>48</x:v>
      </x:c>
      <x:c r="F313">
        <x:f>ROUND($C313*10*VLOOKUP($B313,Sheet2!$J$5:$K$7,2,FALSE)*VLOOKUP(Sheet1!$A313,Sheet2!$B$5:$H$29,5,FALSE),0)</x:f>
        <x:v>0</x:v>
      </x:c>
      <x:c r="G313">
        <x:f>ROUND($C313*10*VLOOKUP($B313,Sheet2!$J$5:$K$7,2,FALSE)*VLOOKUP(Sheet1!$A313,Sheet2!$B$5:$H$29,6,FALSE),0)</x:f>
        <x:v>0</x:v>
      </x:c>
      <x:c r="H313">
        <x:f>ROUND($C313*10*VLOOKUP($B313,Sheet2!$J$5:$K$7,2,FALSE)*VLOOKUP(Sheet1!$A313,Sheet2!$B$5:$H$29,7,FALSE),0)</x:f>
        <x:v>0</x:v>
      </x:c>
      <x:c r="I313">
        <x:f t="shared" si="5"/>
        <x:v>9530</x:v>
      </x:c>
    </x:row>
    <x:row r="314" spans="1:9" x14ac:dyDescent="0.15">
      <x:c r="A314">
        <x:v>54002</x:v>
      </x:c>
      <x:c r="B314">
        <x:v>3</x:v>
      </x:c>
      <x:c r="C314">
        <x:v>13</x:v>
      </x:c>
      <x:c r="D314">
        <x:f>ROUND($C314*10*VLOOKUP($B314,Sheet2!$J$5:$K$7,2,FALSE)*VLOOKUP(Sheet1!$A314,Sheet2!$B$5:$H$29,3,FALSE),0)</x:f>
        <x:v>156</x:v>
      </x:c>
      <x:c r="E314">
        <x:f>ROUND($C314*10*VLOOKUP($B314,Sheet2!$J$5:$K$7,2,FALSE)*VLOOKUP(Sheet1!$A314,Sheet2!$B$5:$H$29,4,FALSE),0)</x:f>
        <x:v>52</x:v>
      </x:c>
      <x:c r="F314">
        <x:f>ROUND($C314*10*VLOOKUP($B314,Sheet2!$J$5:$K$7,2,FALSE)*VLOOKUP(Sheet1!$A314,Sheet2!$B$5:$H$29,5,FALSE),0)</x:f>
        <x:v>0</x:v>
      </x:c>
      <x:c r="G314">
        <x:f>ROUND($C314*10*VLOOKUP($B314,Sheet2!$J$5:$K$7,2,FALSE)*VLOOKUP(Sheet1!$A314,Sheet2!$B$5:$H$29,6,FALSE),0)</x:f>
        <x:v>0</x:v>
      </x:c>
      <x:c r="H314">
        <x:f>ROUND($C314*10*VLOOKUP($B314,Sheet2!$J$5:$K$7,2,FALSE)*VLOOKUP(Sheet1!$A314,Sheet2!$B$5:$H$29,7,FALSE),0)</x:f>
        <x:v>0</x:v>
      </x:c>
      <x:c r="I314">
        <x:f t="shared" si="5"/>
        <x:v>11130</x:v>
      </x:c>
    </x:row>
    <x:row r="315" spans="1:9" x14ac:dyDescent="0.15">
      <x:c r="A315">
        <x:v>54002</x:v>
      </x:c>
      <x:c r="B315">
        <x:v>3</x:v>
      </x:c>
      <x:c r="C315">
        <x:v>14</x:v>
      </x:c>
      <x:c r="D315">
        <x:f>ROUND($C315*10*VLOOKUP($B315,Sheet2!$J$5:$K$7,2,FALSE)*VLOOKUP(Sheet1!$A315,Sheet2!$B$5:$H$29,3,FALSE),0)</x:f>
        <x:v>168</x:v>
      </x:c>
      <x:c r="E315">
        <x:f>ROUND($C315*10*VLOOKUP($B315,Sheet2!$J$5:$K$7,2,FALSE)*VLOOKUP(Sheet1!$A315,Sheet2!$B$5:$H$29,4,FALSE),0)</x:f>
        <x:v>56</x:v>
      </x:c>
      <x:c r="F315">
        <x:f>ROUND($C315*10*VLOOKUP($B315,Sheet2!$J$5:$K$7,2,FALSE)*VLOOKUP(Sheet1!$A315,Sheet2!$B$5:$H$29,5,FALSE),0)</x:f>
        <x:v>0</x:v>
      </x:c>
      <x:c r="G315">
        <x:f>ROUND($C315*10*VLOOKUP($B315,Sheet2!$J$5:$K$7,2,FALSE)*VLOOKUP(Sheet1!$A315,Sheet2!$B$5:$H$29,6,FALSE),0)</x:f>
        <x:v>0</x:v>
      </x:c>
      <x:c r="H315">
        <x:f>ROUND($C315*10*VLOOKUP($B315,Sheet2!$J$5:$K$7,2,FALSE)*VLOOKUP(Sheet1!$A315,Sheet2!$B$5:$H$29,7,FALSE),0)</x:f>
        <x:v>0</x:v>
      </x:c>
      <x:c r="I315">
        <x:f t="shared" si="5"/>
        <x:v>12840</x:v>
      </x:c>
    </x:row>
    <x:row r="316" spans="1:9" x14ac:dyDescent="0.15">
      <x:c r="A316">
        <x:v>54002</x:v>
      </x:c>
      <x:c r="B316">
        <x:v>3</x:v>
      </x:c>
      <x:c r="C316">
        <x:v>15</x:v>
      </x:c>
      <x:c r="D316">
        <x:f>ROUND($C316*10*VLOOKUP($B316,Sheet2!$J$5:$K$7,2,FALSE)*VLOOKUP(Sheet1!$A316,Sheet2!$B$5:$H$29,3,FALSE),0)</x:f>
        <x:v>180</x:v>
      </x:c>
      <x:c r="E316">
        <x:f>ROUND($C316*10*VLOOKUP($B316,Sheet2!$J$5:$K$7,2,FALSE)*VLOOKUP(Sheet1!$A316,Sheet2!$B$5:$H$29,4,FALSE),0)</x:f>
        <x:v>60</x:v>
      </x:c>
      <x:c r="F316">
        <x:f>ROUND($C316*10*VLOOKUP($B316,Sheet2!$J$5:$K$7,2,FALSE)*VLOOKUP(Sheet1!$A316,Sheet2!$B$5:$H$29,5,FALSE),0)</x:f>
        <x:v>0</x:v>
      </x:c>
      <x:c r="G316">
        <x:f>ROUND($C316*10*VLOOKUP($B316,Sheet2!$J$5:$K$7,2,FALSE)*VLOOKUP(Sheet1!$A316,Sheet2!$B$5:$H$29,6,FALSE),0)</x:f>
        <x:v>0</x:v>
      </x:c>
      <x:c r="H316">
        <x:f>ROUND($C316*10*VLOOKUP($B316,Sheet2!$J$5:$K$7,2,FALSE)*VLOOKUP(Sheet1!$A316,Sheet2!$B$5:$H$29,7,FALSE),0)</x:f>
        <x:v>0</x:v>
      </x:c>
      <x:c r="I316">
        <x:f t="shared" si="5"/>
        <x:v>14660</x:v>
      </x:c>
    </x:row>
    <x:row r="317" spans="1:9" x14ac:dyDescent="0.15">
      <x:c r="A317">
        <x:v>54002</x:v>
      </x:c>
      <x:c r="B317">
        <x:v>3</x:v>
      </x:c>
      <x:c r="C317">
        <x:v>16</x:v>
      </x:c>
      <x:c r="D317">
        <x:f>ROUND($C317*10*VLOOKUP($B317,Sheet2!$J$5:$K$7,2,FALSE)*VLOOKUP(Sheet1!$A317,Sheet2!$B$5:$H$29,3,FALSE),0)</x:f>
        <x:v>192</x:v>
      </x:c>
      <x:c r="E317">
        <x:f>ROUND($C317*10*VLOOKUP($B317,Sheet2!$J$5:$K$7,2,FALSE)*VLOOKUP(Sheet1!$A317,Sheet2!$B$5:$H$29,4,FALSE),0)</x:f>
        <x:v>64</x:v>
      </x:c>
      <x:c r="F317">
        <x:f>ROUND($C317*10*VLOOKUP($B317,Sheet2!$J$5:$K$7,2,FALSE)*VLOOKUP(Sheet1!$A317,Sheet2!$B$5:$H$29,5,FALSE),0)</x:f>
        <x:v>0</x:v>
      </x:c>
      <x:c r="G317">
        <x:f>ROUND($C317*10*VLOOKUP($B317,Sheet2!$J$5:$K$7,2,FALSE)*VLOOKUP(Sheet1!$A317,Sheet2!$B$5:$H$29,6,FALSE),0)</x:f>
        <x:v>0</x:v>
      </x:c>
      <x:c r="H317">
        <x:f>ROUND($C317*10*VLOOKUP($B317,Sheet2!$J$5:$K$7,2,FALSE)*VLOOKUP(Sheet1!$A317,Sheet2!$B$5:$H$29,7,FALSE),0)</x:f>
        <x:v>0</x:v>
      </x:c>
      <x:c r="I317">
        <x:f t="shared" si="5"/>
        <x:v>16580</x:v>
      </x:c>
    </x:row>
    <x:row r="318" spans="1:9" x14ac:dyDescent="0.15">
      <x:c r="A318">
        <x:v>54002</x:v>
      </x:c>
      <x:c r="B318">
        <x:v>3</x:v>
      </x:c>
      <x:c r="C318">
        <x:v>17</x:v>
      </x:c>
      <x:c r="D318">
        <x:f>ROUND($C318*10*VLOOKUP($B318,Sheet2!$J$5:$K$7,2,FALSE)*VLOOKUP(Sheet1!$A318,Sheet2!$B$5:$H$29,3,FALSE),0)</x:f>
        <x:v>204</x:v>
      </x:c>
      <x:c r="E318">
        <x:f>ROUND($C318*10*VLOOKUP($B318,Sheet2!$J$5:$K$7,2,FALSE)*VLOOKUP(Sheet1!$A318,Sheet2!$B$5:$H$29,4,FALSE),0)</x:f>
        <x:v>68</x:v>
      </x:c>
      <x:c r="F318">
        <x:f>ROUND($C318*10*VLOOKUP($B318,Sheet2!$J$5:$K$7,2,FALSE)*VLOOKUP(Sheet1!$A318,Sheet2!$B$5:$H$29,5,FALSE),0)</x:f>
        <x:v>0</x:v>
      </x:c>
      <x:c r="G318">
        <x:f>ROUND($C318*10*VLOOKUP($B318,Sheet2!$J$5:$K$7,2,FALSE)*VLOOKUP(Sheet1!$A318,Sheet2!$B$5:$H$29,6,FALSE),0)</x:f>
        <x:v>0</x:v>
      </x:c>
      <x:c r="H318">
        <x:f>ROUND($C318*10*VLOOKUP($B318,Sheet2!$J$5:$K$7,2,FALSE)*VLOOKUP(Sheet1!$A318,Sheet2!$B$5:$H$29,7,FALSE),0)</x:f>
        <x:v>0</x:v>
      </x:c>
      <x:c r="I318">
        <x:f t="shared" si="5"/>
        <x:v>18620</x:v>
      </x:c>
    </x:row>
    <x:row r="319" spans="1:9" x14ac:dyDescent="0.15">
      <x:c r="A319">
        <x:v>54002</x:v>
      </x:c>
      <x:c r="B319">
        <x:v>3</x:v>
      </x:c>
      <x:c r="C319">
        <x:v>18</x:v>
      </x:c>
      <x:c r="D319">
        <x:f>ROUND($C319*10*VLOOKUP($B319,Sheet2!$J$5:$K$7,2,FALSE)*VLOOKUP(Sheet1!$A319,Sheet2!$B$5:$H$29,3,FALSE),0)</x:f>
        <x:v>216</x:v>
      </x:c>
      <x:c r="E319">
        <x:f>ROUND($C319*10*VLOOKUP($B319,Sheet2!$J$5:$K$7,2,FALSE)*VLOOKUP(Sheet1!$A319,Sheet2!$B$5:$H$29,4,FALSE),0)</x:f>
        <x:v>72</x:v>
      </x:c>
      <x:c r="F319">
        <x:f>ROUND($C319*10*VLOOKUP($B319,Sheet2!$J$5:$K$7,2,FALSE)*VLOOKUP(Sheet1!$A319,Sheet2!$B$5:$H$29,5,FALSE),0)</x:f>
        <x:v>0</x:v>
      </x:c>
      <x:c r="G319">
        <x:f>ROUND($C319*10*VLOOKUP($B319,Sheet2!$J$5:$K$7,2,FALSE)*VLOOKUP(Sheet1!$A319,Sheet2!$B$5:$H$29,6,FALSE),0)</x:f>
        <x:v>0</x:v>
      </x:c>
      <x:c r="H319">
        <x:f>ROUND($C319*10*VLOOKUP($B319,Sheet2!$J$5:$K$7,2,FALSE)*VLOOKUP(Sheet1!$A319,Sheet2!$B$5:$H$29,7,FALSE),0)</x:f>
        <x:v>0</x:v>
      </x:c>
      <x:c r="I319">
        <x:f t="shared" si="5"/>
        <x:v>20750</x:v>
      </x:c>
    </x:row>
    <x:row r="320" spans="1:9" x14ac:dyDescent="0.15">
      <x:c r="A320">
        <x:v>54002</x:v>
      </x:c>
      <x:c r="B320">
        <x:v>3</x:v>
      </x:c>
      <x:c r="C320">
        <x:v>19</x:v>
      </x:c>
      <x:c r="D320">
        <x:f>ROUND($C320*10*VLOOKUP($B320,Sheet2!$J$5:$K$7,2,FALSE)*VLOOKUP(Sheet1!$A320,Sheet2!$B$5:$H$29,3,FALSE),0)</x:f>
        <x:v>228</x:v>
      </x:c>
      <x:c r="E320">
        <x:f>ROUND($C320*10*VLOOKUP($B320,Sheet2!$J$5:$K$7,2,FALSE)*VLOOKUP(Sheet1!$A320,Sheet2!$B$5:$H$29,4,FALSE),0)</x:f>
        <x:v>76</x:v>
      </x:c>
      <x:c r="F320">
        <x:f>ROUND($C320*10*VLOOKUP($B320,Sheet2!$J$5:$K$7,2,FALSE)*VLOOKUP(Sheet1!$A320,Sheet2!$B$5:$H$29,5,FALSE),0)</x:f>
        <x:v>0</x:v>
      </x:c>
      <x:c r="G320">
        <x:f>ROUND($C320*10*VLOOKUP($B320,Sheet2!$J$5:$K$7,2,FALSE)*VLOOKUP(Sheet1!$A320,Sheet2!$B$5:$H$29,6,FALSE),0)</x:f>
        <x:v>0</x:v>
      </x:c>
      <x:c r="H320">
        <x:f>ROUND($C320*10*VLOOKUP($B320,Sheet2!$J$5:$K$7,2,FALSE)*VLOOKUP(Sheet1!$A320,Sheet2!$B$5:$H$29,7,FALSE),0)</x:f>
        <x:v>0</x:v>
      </x:c>
      <x:c r="I320">
        <x:f t="shared" si="5"/>
        <x:v>22990</x:v>
      </x:c>
    </x:row>
    <x:row r="321" spans="1:9" x14ac:dyDescent="0.15">
      <x:c r="A321">
        <x:v>54002</x:v>
      </x:c>
      <x:c r="B321">
        <x:v>3</x:v>
      </x:c>
      <x:c r="C321">
        <x:v>20</x:v>
      </x:c>
      <x:c r="D321">
        <x:f>ROUND($C321*10*VLOOKUP($B321,Sheet2!$J$5:$K$7,2,FALSE)*VLOOKUP(Sheet1!$A321,Sheet2!$B$5:$H$29,3,FALSE),0)</x:f>
        <x:v>240</x:v>
      </x:c>
      <x:c r="E321">
        <x:f>ROUND($C321*10*VLOOKUP($B321,Sheet2!$J$5:$K$7,2,FALSE)*VLOOKUP(Sheet1!$A321,Sheet2!$B$5:$H$29,4,FALSE),0)</x:f>
        <x:v>80</x:v>
      </x:c>
      <x:c r="F321">
        <x:f>ROUND($C321*10*VLOOKUP($B321,Sheet2!$J$5:$K$7,2,FALSE)*VLOOKUP(Sheet1!$A321,Sheet2!$B$5:$H$29,5,FALSE),0)</x:f>
        <x:v>0</x:v>
      </x:c>
      <x:c r="G321">
        <x:f>ROUND($C321*10*VLOOKUP($B321,Sheet2!$J$5:$K$7,2,FALSE)*VLOOKUP(Sheet1!$A321,Sheet2!$B$5:$H$29,6,FALSE),0)</x:f>
        <x:v>0</x:v>
      </x:c>
      <x:c r="H321">
        <x:f>ROUND($C321*10*VLOOKUP($B321,Sheet2!$J$5:$K$7,2,FALSE)*VLOOKUP(Sheet1!$A321,Sheet2!$B$5:$H$29,7,FALSE),0)</x:f>
        <x:v>0</x:v>
      </x:c>
      <x:c r="I321">
        <x:f t="shared" si="5"/>
        <x:v>25330</x:v>
      </x:c>
    </x:row>
    <x:row r="322" spans="1:9" x14ac:dyDescent="0.15">
      <x:c r="A322">
        <x:v>54002</x:v>
      </x:c>
      <x:c r="B322">
        <x:v>3</x:v>
      </x:c>
      <x:c r="C322">
        <x:v>21</x:v>
      </x:c>
      <x:c r="D322">
        <x:f>ROUND($C322*10*VLOOKUP($B322,Sheet2!$J$5:$K$7,2,FALSE)*VLOOKUP(Sheet1!$A322,Sheet2!$B$5:$H$29,3,FALSE),0)</x:f>
        <x:v>252</x:v>
      </x:c>
      <x:c r="E322">
        <x:f>ROUND($C322*10*VLOOKUP($B322,Sheet2!$J$5:$K$7,2,FALSE)*VLOOKUP(Sheet1!$A322,Sheet2!$B$5:$H$29,4,FALSE),0)</x:f>
        <x:v>84</x:v>
      </x:c>
      <x:c r="F322">
        <x:f>ROUND($C322*10*VLOOKUP($B322,Sheet2!$J$5:$K$7,2,FALSE)*VLOOKUP(Sheet1!$A322,Sheet2!$B$5:$H$29,5,FALSE),0)</x:f>
        <x:v>0</x:v>
      </x:c>
      <x:c r="G322">
        <x:f>ROUND($C322*10*VLOOKUP($B322,Sheet2!$J$5:$K$7,2,FALSE)*VLOOKUP(Sheet1!$A322,Sheet2!$B$5:$H$29,6,FALSE),0)</x:f>
        <x:v>0</x:v>
      </x:c>
      <x:c r="H322">
        <x:f>ROUND($C322*10*VLOOKUP($B322,Sheet2!$J$5:$K$7,2,FALSE)*VLOOKUP(Sheet1!$A322,Sheet2!$B$5:$H$29,7,FALSE),0)</x:f>
        <x:v>0</x:v>
      </x:c>
      <x:c r="I322">
        <x:f t="shared" si="5"/>
        <x:v>27770</x:v>
      </x:c>
    </x:row>
    <x:row r="323" spans="1:9" x14ac:dyDescent="0.15">
      <x:c r="A323">
        <x:v>54002</x:v>
      </x:c>
      <x:c r="B323">
        <x:v>3</x:v>
      </x:c>
      <x:c r="C323">
        <x:v>22</x:v>
      </x:c>
      <x:c r="D323">
        <x:f>ROUND($C323*10*VLOOKUP($B323,Sheet2!$J$5:$K$7,2,FALSE)*VLOOKUP(Sheet1!$A323,Sheet2!$B$5:$H$29,3,FALSE),0)</x:f>
        <x:v>264</x:v>
      </x:c>
      <x:c r="E323">
        <x:f>ROUND($C323*10*VLOOKUP($B323,Sheet2!$J$5:$K$7,2,FALSE)*VLOOKUP(Sheet1!$A323,Sheet2!$B$5:$H$29,4,FALSE),0)</x:f>
        <x:v>88</x:v>
      </x:c>
      <x:c r="F323">
        <x:f>ROUND($C323*10*VLOOKUP($B323,Sheet2!$J$5:$K$7,2,FALSE)*VLOOKUP(Sheet1!$A323,Sheet2!$B$5:$H$29,5,FALSE),0)</x:f>
        <x:v>0</x:v>
      </x:c>
      <x:c r="G323">
        <x:f>ROUND($C323*10*VLOOKUP($B323,Sheet2!$J$5:$K$7,2,FALSE)*VLOOKUP(Sheet1!$A323,Sheet2!$B$5:$H$29,6,FALSE),0)</x:f>
        <x:v>0</x:v>
      </x:c>
      <x:c r="H323">
        <x:f>ROUND($C323*10*VLOOKUP($B323,Sheet2!$J$5:$K$7,2,FALSE)*VLOOKUP(Sheet1!$A323,Sheet2!$B$5:$H$29,7,FALSE),0)</x:f>
        <x:v>0</x:v>
      </x:c>
      <x:c r="I323">
        <x:f t="shared" si="5"/>
        <x:v>30310</x:v>
      </x:c>
    </x:row>
    <x:row r="324" spans="1:9" x14ac:dyDescent="0.15">
      <x:c r="A324">
        <x:v>54002</x:v>
      </x:c>
      <x:c r="B324">
        <x:v>3</x:v>
      </x:c>
      <x:c r="C324">
        <x:v>23</x:v>
      </x:c>
      <x:c r="D324">
        <x:f>ROUND($C324*10*VLOOKUP($B324,Sheet2!$J$5:$K$7,2,FALSE)*VLOOKUP(Sheet1!$A324,Sheet2!$B$5:$H$29,3,FALSE),0)</x:f>
        <x:v>276</x:v>
      </x:c>
      <x:c r="E324">
        <x:f>ROUND($C324*10*VLOOKUP($B324,Sheet2!$J$5:$K$7,2,FALSE)*VLOOKUP(Sheet1!$A324,Sheet2!$B$5:$H$29,4,FALSE),0)</x:f>
        <x:v>92</x:v>
      </x:c>
      <x:c r="F324">
        <x:f>ROUND($C324*10*VLOOKUP($B324,Sheet2!$J$5:$K$7,2,FALSE)*VLOOKUP(Sheet1!$A324,Sheet2!$B$5:$H$29,5,FALSE),0)</x:f>
        <x:v>0</x:v>
      </x:c>
      <x:c r="G324">
        <x:f>ROUND($C324*10*VLOOKUP($B324,Sheet2!$J$5:$K$7,2,FALSE)*VLOOKUP(Sheet1!$A324,Sheet2!$B$5:$H$29,6,FALSE),0)</x:f>
        <x:v>0</x:v>
      </x:c>
      <x:c r="H324">
        <x:f>ROUND($C324*10*VLOOKUP($B324,Sheet2!$J$5:$K$7,2,FALSE)*VLOOKUP(Sheet1!$A324,Sheet2!$B$5:$H$29,7,FALSE),0)</x:f>
        <x:v>0</x:v>
      </x:c>
      <x:c r="I324">
        <x:f t="shared" si="5"/>
        <x:v>32950</x:v>
      </x:c>
    </x:row>
    <x:row r="325" spans="1:9" x14ac:dyDescent="0.15">
      <x:c r="A325">
        <x:v>54002</x:v>
      </x:c>
      <x:c r="B325">
        <x:v>3</x:v>
      </x:c>
      <x:c r="C325">
        <x:v>24</x:v>
      </x:c>
      <x:c r="D325">
        <x:f>ROUND($C325*10*VLOOKUP($B325,Sheet2!$J$5:$K$7,2,FALSE)*VLOOKUP(Sheet1!$A325,Sheet2!$B$5:$H$29,3,FALSE),0)</x:f>
        <x:v>288</x:v>
      </x:c>
      <x:c r="E325">
        <x:f>ROUND($C325*10*VLOOKUP($B325,Sheet2!$J$5:$K$7,2,FALSE)*VLOOKUP(Sheet1!$A325,Sheet2!$B$5:$H$29,4,FALSE),0)</x:f>
        <x:v>96</x:v>
      </x:c>
      <x:c r="F325">
        <x:f>ROUND($C325*10*VLOOKUP($B325,Sheet2!$J$5:$K$7,2,FALSE)*VLOOKUP(Sheet1!$A325,Sheet2!$B$5:$H$29,5,FALSE),0)</x:f>
        <x:v>0</x:v>
      </x:c>
      <x:c r="G325">
        <x:f>ROUND($C325*10*VLOOKUP($B325,Sheet2!$J$5:$K$7,2,FALSE)*VLOOKUP(Sheet1!$A325,Sheet2!$B$5:$H$29,6,FALSE),0)</x:f>
        <x:v>0</x:v>
      </x:c>
      <x:c r="H325">
        <x:f>ROUND($C325*10*VLOOKUP($B325,Sheet2!$J$5:$K$7,2,FALSE)*VLOOKUP(Sheet1!$A325,Sheet2!$B$5:$H$29,7,FALSE),0)</x:f>
        <x:v>0</x:v>
      </x:c>
      <x:c r="I325">
        <x:f t="shared" si="5"/>
        <x:v>35690</x:v>
      </x:c>
    </x:row>
    <x:row r="326" spans="1:9" x14ac:dyDescent="0.15">
      <x:c r="A326">
        <x:v>54002</x:v>
      </x:c>
      <x:c r="B326">
        <x:v>3</x:v>
      </x:c>
      <x:c r="C326">
        <x:v>25</x:v>
      </x:c>
      <x:c r="D326">
        <x:f>ROUND($C326*10*VLOOKUP($B326,Sheet2!$J$5:$K$7,2,FALSE)*VLOOKUP(Sheet1!$A326,Sheet2!$B$5:$H$29,3,FALSE),0)</x:f>
        <x:v>300</x:v>
      </x:c>
      <x:c r="E326">
        <x:f>ROUND($C326*10*VLOOKUP($B326,Sheet2!$J$5:$K$7,2,FALSE)*VLOOKUP(Sheet1!$A326,Sheet2!$B$5:$H$29,4,FALSE),0)</x:f>
        <x:v>100</x:v>
      </x:c>
      <x:c r="F326">
        <x:f>ROUND($C326*10*VLOOKUP($B326,Sheet2!$J$5:$K$7,2,FALSE)*VLOOKUP(Sheet1!$A326,Sheet2!$B$5:$H$29,5,FALSE),0)</x:f>
        <x:v>0</x:v>
      </x:c>
      <x:c r="G326">
        <x:f>ROUND($C326*10*VLOOKUP($B326,Sheet2!$J$5:$K$7,2,FALSE)*VLOOKUP(Sheet1!$A326,Sheet2!$B$5:$H$29,6,FALSE),0)</x:f>
        <x:v>0</x:v>
      </x:c>
      <x:c r="H326">
        <x:f>ROUND($C326*10*VLOOKUP($B326,Sheet2!$J$5:$K$7,2,FALSE)*VLOOKUP(Sheet1!$A326,Sheet2!$B$5:$H$29,7,FALSE),0)</x:f>
        <x:v>0</x:v>
      </x:c>
      <x:c r="I326">
        <x:f t="shared" si="5"/>
        <x:v>38530</x:v>
      </x:c>
    </x:row>
    <x:row r="327" spans="1:9" x14ac:dyDescent="0.15">
      <x:c r="A327">
        <x:v>54002</x:v>
      </x:c>
      <x:c r="B327">
        <x:v>3</x:v>
      </x:c>
      <x:c r="C327">
        <x:v>26</x:v>
      </x:c>
      <x:c r="D327">
        <x:f>ROUND($C327*10*VLOOKUP($B327,Sheet2!$J$5:$K$7,2,FALSE)*VLOOKUP(Sheet1!$A327,Sheet2!$B$5:$H$29,3,FALSE),0)</x:f>
        <x:v>312</x:v>
      </x:c>
      <x:c r="E327">
        <x:f>ROUND($C327*10*VLOOKUP($B327,Sheet2!$J$5:$K$7,2,FALSE)*VLOOKUP(Sheet1!$A327,Sheet2!$B$5:$H$29,4,FALSE),0)</x:f>
        <x:v>104</x:v>
      </x:c>
      <x:c r="F327">
        <x:f>ROUND($C327*10*VLOOKUP($B327,Sheet2!$J$5:$K$7,2,FALSE)*VLOOKUP(Sheet1!$A327,Sheet2!$B$5:$H$29,5,FALSE),0)</x:f>
        <x:v>0</x:v>
      </x:c>
      <x:c r="G327">
        <x:f>ROUND($C327*10*VLOOKUP($B327,Sheet2!$J$5:$K$7,2,FALSE)*VLOOKUP(Sheet1!$A327,Sheet2!$B$5:$H$29,6,FALSE),0)</x:f>
        <x:v>0</x:v>
      </x:c>
      <x:c r="H327">
        <x:f>ROUND($C327*10*VLOOKUP($B327,Sheet2!$J$5:$K$7,2,FALSE)*VLOOKUP(Sheet1!$A327,Sheet2!$B$5:$H$29,7,FALSE),0)</x:f>
        <x:v>0</x:v>
      </x:c>
      <x:c r="I327">
        <x:f t="shared" si="5"/>
        <x:v>41460</x:v>
      </x:c>
    </x:row>
    <x:row r="328" spans="1:9" x14ac:dyDescent="0.15">
      <x:c r="A328">
        <x:v>54002</x:v>
      </x:c>
      <x:c r="B328">
        <x:v>3</x:v>
      </x:c>
      <x:c r="C328">
        <x:v>27</x:v>
      </x:c>
      <x:c r="D328">
        <x:f>ROUND($C328*10*VLOOKUP($B328,Sheet2!$J$5:$K$7,2,FALSE)*VLOOKUP(Sheet1!$A328,Sheet2!$B$5:$H$29,3,FALSE),0)</x:f>
        <x:v>324</x:v>
      </x:c>
      <x:c r="E328">
        <x:f>ROUND($C328*10*VLOOKUP($B328,Sheet2!$J$5:$K$7,2,FALSE)*VLOOKUP(Sheet1!$A328,Sheet2!$B$5:$H$29,4,FALSE),0)</x:f>
        <x:v>108</x:v>
      </x:c>
      <x:c r="F328">
        <x:f>ROUND($C328*10*VLOOKUP($B328,Sheet2!$J$5:$K$7,2,FALSE)*VLOOKUP(Sheet1!$A328,Sheet2!$B$5:$H$29,5,FALSE),0)</x:f>
        <x:v>0</x:v>
      </x:c>
      <x:c r="G328">
        <x:f>ROUND($C328*10*VLOOKUP($B328,Sheet2!$J$5:$K$7,2,FALSE)*VLOOKUP(Sheet1!$A328,Sheet2!$B$5:$H$29,6,FALSE),0)</x:f>
        <x:v>0</x:v>
      </x:c>
      <x:c r="H328">
        <x:f>ROUND($C328*10*VLOOKUP($B328,Sheet2!$J$5:$K$7,2,FALSE)*VLOOKUP(Sheet1!$A328,Sheet2!$B$5:$H$29,7,FALSE),0)</x:f>
        <x:v>0</x:v>
      </x:c>
      <x:c r="I328">
        <x:f t="shared" si="5"/>
        <x:v>44480</x:v>
      </x:c>
    </x:row>
    <x:row r="329" spans="1:9" x14ac:dyDescent="0.15">
      <x:c r="A329">
        <x:v>54002</x:v>
      </x:c>
      <x:c r="B329">
        <x:v>3</x:v>
      </x:c>
      <x:c r="C329">
        <x:v>28</x:v>
      </x:c>
      <x:c r="D329">
        <x:f>ROUND($C329*10*VLOOKUP($B329,Sheet2!$J$5:$K$7,2,FALSE)*VLOOKUP(Sheet1!$A329,Sheet2!$B$5:$H$29,3,FALSE),0)</x:f>
        <x:v>336</x:v>
      </x:c>
      <x:c r="E329">
        <x:f>ROUND($C329*10*VLOOKUP($B329,Sheet2!$J$5:$K$7,2,FALSE)*VLOOKUP(Sheet1!$A329,Sheet2!$B$5:$H$29,4,FALSE),0)</x:f>
        <x:v>112</x:v>
      </x:c>
      <x:c r="F329">
        <x:f>ROUND($C329*10*VLOOKUP($B329,Sheet2!$J$5:$K$7,2,FALSE)*VLOOKUP(Sheet1!$A329,Sheet2!$B$5:$H$29,5,FALSE),0)</x:f>
        <x:v>0</x:v>
      </x:c>
      <x:c r="G329">
        <x:f>ROUND($C329*10*VLOOKUP($B329,Sheet2!$J$5:$K$7,2,FALSE)*VLOOKUP(Sheet1!$A329,Sheet2!$B$5:$H$29,6,FALSE),0)</x:f>
        <x:v>0</x:v>
      </x:c>
      <x:c r="H329">
        <x:f>ROUND($C329*10*VLOOKUP($B329,Sheet2!$J$5:$K$7,2,FALSE)*VLOOKUP(Sheet1!$A329,Sheet2!$B$5:$H$29,7,FALSE),0)</x:f>
        <x:v>0</x:v>
      </x:c>
      <x:c r="I329">
        <x:f t="shared" si="5"/>
        <x:v>47600</x:v>
      </x:c>
    </x:row>
    <x:row r="330" spans="1:9" x14ac:dyDescent="0.15">
      <x:c r="A330">
        <x:v>54002</x:v>
      </x:c>
      <x:c r="B330">
        <x:v>3</x:v>
      </x:c>
      <x:c r="C330">
        <x:v>29</x:v>
      </x:c>
      <x:c r="D330">
        <x:f>ROUND($C330*10*VLOOKUP($B330,Sheet2!$J$5:$K$7,2,FALSE)*VLOOKUP(Sheet1!$A330,Sheet2!$B$5:$H$29,3,FALSE),0)</x:f>
        <x:v>348</x:v>
      </x:c>
      <x:c r="E330">
        <x:f>ROUND($C330*10*VLOOKUP($B330,Sheet2!$J$5:$K$7,2,FALSE)*VLOOKUP(Sheet1!$A330,Sheet2!$B$5:$H$29,4,FALSE),0)</x:f>
        <x:v>116</x:v>
      </x:c>
      <x:c r="F330">
        <x:f>ROUND($C330*10*VLOOKUP($B330,Sheet2!$J$5:$K$7,2,FALSE)*VLOOKUP(Sheet1!$A330,Sheet2!$B$5:$H$29,5,FALSE),0)</x:f>
        <x:v>0</x:v>
      </x:c>
      <x:c r="G330">
        <x:f>ROUND($C330*10*VLOOKUP($B330,Sheet2!$J$5:$K$7,2,FALSE)*VLOOKUP(Sheet1!$A330,Sheet2!$B$5:$H$29,6,FALSE),0)</x:f>
        <x:v>0</x:v>
      </x:c>
      <x:c r="H330">
        <x:f>ROUND($C330*10*VLOOKUP($B330,Sheet2!$J$5:$K$7,2,FALSE)*VLOOKUP(Sheet1!$A330,Sheet2!$B$5:$H$29,7,FALSE),0)</x:f>
        <x:v>0</x:v>
      </x:c>
      <x:c r="I330">
        <x:f t="shared" si="5"/>
        <x:v>50820</x:v>
      </x:c>
    </x:row>
    <x:row r="331" spans="1:9" x14ac:dyDescent="0.15">
      <x:c r="A331">
        <x:v>54002</x:v>
      </x:c>
      <x:c r="B331">
        <x:v>3</x:v>
      </x:c>
      <x:c r="C331">
        <x:v>30</x:v>
      </x:c>
      <x:c r="D331">
        <x:f>ROUND($C331*10*VLOOKUP($B331,Sheet2!$J$5:$K$7,2,FALSE)*VLOOKUP(Sheet1!$A331,Sheet2!$B$5:$H$29,3,FALSE),0)</x:f>
        <x:v>360</x:v>
      </x:c>
      <x:c r="E331">
        <x:f>ROUND($C331*10*VLOOKUP($B331,Sheet2!$J$5:$K$7,2,FALSE)*VLOOKUP(Sheet1!$A331,Sheet2!$B$5:$H$29,4,FALSE),0)</x:f>
        <x:v>120</x:v>
      </x:c>
      <x:c r="F331">
        <x:f>ROUND($C331*10*VLOOKUP($B331,Sheet2!$J$5:$K$7,2,FALSE)*VLOOKUP(Sheet1!$A331,Sheet2!$B$5:$H$29,5,FALSE),0)</x:f>
        <x:v>0</x:v>
      </x:c>
      <x:c r="G331">
        <x:f>ROUND($C331*10*VLOOKUP($B331,Sheet2!$J$5:$K$7,2,FALSE)*VLOOKUP(Sheet1!$A331,Sheet2!$B$5:$H$29,6,FALSE),0)</x:f>
        <x:v>0</x:v>
      </x:c>
      <x:c r="H331">
        <x:f>ROUND($C331*10*VLOOKUP($B331,Sheet2!$J$5:$K$7,2,FALSE)*VLOOKUP(Sheet1!$A331,Sheet2!$B$5:$H$29,7,FALSE),0)</x:f>
        <x:v>0</x:v>
      </x:c>
      <x:c r="I331">
        <x:f t="shared" si="5"/>
        <x:v>54130</x:v>
      </x:c>
    </x:row>
    <x:row r="332" spans="1:9" x14ac:dyDescent="0.15">
      <x:c r="A332">
        <x:v>54002</x:v>
      </x:c>
      <x:c r="B332">
        <x:v>3</x:v>
      </x:c>
      <x:c r="C332">
        <x:v>31</x:v>
      </x:c>
      <x:c r="D332">
        <x:f>ROUND($C332*10*VLOOKUP($B332,Sheet2!$J$5:$K$7,2,FALSE)*VLOOKUP(Sheet1!$A332,Sheet2!$B$5:$H$29,3,FALSE),0)</x:f>
        <x:v>372</x:v>
      </x:c>
      <x:c r="E332">
        <x:f>ROUND($C332*10*VLOOKUP($B332,Sheet2!$J$5:$K$7,2,FALSE)*VLOOKUP(Sheet1!$A332,Sheet2!$B$5:$H$29,4,FALSE),0)</x:f>
        <x:v>124</x:v>
      </x:c>
      <x:c r="F332">
        <x:f>ROUND($C332*10*VLOOKUP($B332,Sheet2!$J$5:$K$7,2,FALSE)*VLOOKUP(Sheet1!$A332,Sheet2!$B$5:$H$29,5,FALSE),0)</x:f>
        <x:v>0</x:v>
      </x:c>
      <x:c r="G332">
        <x:f>ROUND($C332*10*VLOOKUP($B332,Sheet2!$J$5:$K$7,2,FALSE)*VLOOKUP(Sheet1!$A332,Sheet2!$B$5:$H$29,6,FALSE),0)</x:f>
        <x:v>0</x:v>
      </x:c>
      <x:c r="H332">
        <x:f>ROUND($C332*10*VLOOKUP($B332,Sheet2!$J$5:$K$7,2,FALSE)*VLOOKUP(Sheet1!$A332,Sheet2!$B$5:$H$29,7,FALSE),0)</x:f>
        <x:v>0</x:v>
      </x:c>
      <x:c r="I332">
        <x:f t="shared" si="5"/>
        <x:v>57530</x:v>
      </x:c>
    </x:row>
    <x:row r="333" spans="1:9" x14ac:dyDescent="0.15">
      <x:c r="A333">
        <x:v>54002</x:v>
      </x:c>
      <x:c r="B333">
        <x:v>3</x:v>
      </x:c>
      <x:c r="C333">
        <x:v>32</x:v>
      </x:c>
      <x:c r="D333">
        <x:f>ROUND($C333*10*VLOOKUP($B333,Sheet2!$J$5:$K$7,2,FALSE)*VLOOKUP(Sheet1!$A333,Sheet2!$B$5:$H$29,3,FALSE),0)</x:f>
        <x:v>384</x:v>
      </x:c>
      <x:c r="E333">
        <x:f>ROUND($C333*10*VLOOKUP($B333,Sheet2!$J$5:$K$7,2,FALSE)*VLOOKUP(Sheet1!$A333,Sheet2!$B$5:$H$29,4,FALSE),0)</x:f>
        <x:v>128</x:v>
      </x:c>
      <x:c r="F333">
        <x:f>ROUND($C333*10*VLOOKUP($B333,Sheet2!$J$5:$K$7,2,FALSE)*VLOOKUP(Sheet1!$A333,Sheet2!$B$5:$H$29,5,FALSE),0)</x:f>
        <x:v>0</x:v>
      </x:c>
      <x:c r="G333">
        <x:f>ROUND($C333*10*VLOOKUP($B333,Sheet2!$J$5:$K$7,2,FALSE)*VLOOKUP(Sheet1!$A333,Sheet2!$B$5:$H$29,6,FALSE),0)</x:f>
        <x:v>0</x:v>
      </x:c>
      <x:c r="H333">
        <x:f>ROUND($C333*10*VLOOKUP($B333,Sheet2!$J$5:$K$7,2,FALSE)*VLOOKUP(Sheet1!$A333,Sheet2!$B$5:$H$29,7,FALSE),0)</x:f>
        <x:v>0</x:v>
      </x:c>
      <x:c r="I333">
        <x:f t="shared" si="5"/>
        <x:v>61020</x:v>
      </x:c>
    </x:row>
    <x:row r="334" spans="1:9" x14ac:dyDescent="0.15">
      <x:c r="A334">
        <x:v>54002</x:v>
      </x:c>
      <x:c r="B334">
        <x:v>3</x:v>
      </x:c>
      <x:c r="C334">
        <x:v>33</x:v>
      </x:c>
      <x:c r="D334">
        <x:f>ROUND($C334*10*VLOOKUP($B334,Sheet2!$J$5:$K$7,2,FALSE)*VLOOKUP(Sheet1!$A334,Sheet2!$B$5:$H$29,3,FALSE),0)</x:f>
        <x:v>396</x:v>
      </x:c>
      <x:c r="E334">
        <x:f>ROUND($C334*10*VLOOKUP($B334,Sheet2!$J$5:$K$7,2,FALSE)*VLOOKUP(Sheet1!$A334,Sheet2!$B$5:$H$29,4,FALSE),0)</x:f>
        <x:v>132</x:v>
      </x:c>
      <x:c r="F334">
        <x:f>ROUND($C334*10*VLOOKUP($B334,Sheet2!$J$5:$K$7,2,FALSE)*VLOOKUP(Sheet1!$A334,Sheet2!$B$5:$H$29,5,FALSE),0)</x:f>
        <x:v>0</x:v>
      </x:c>
      <x:c r="G334">
        <x:f>ROUND($C334*10*VLOOKUP($B334,Sheet2!$J$5:$K$7,2,FALSE)*VLOOKUP(Sheet1!$A334,Sheet2!$B$5:$H$29,6,FALSE),0)</x:f>
        <x:v>0</x:v>
      </x:c>
      <x:c r="H334">
        <x:f>ROUND($C334*10*VLOOKUP($B334,Sheet2!$J$5:$K$7,2,FALSE)*VLOOKUP(Sheet1!$A334,Sheet2!$B$5:$H$29,7,FALSE),0)</x:f>
        <x:v>0</x:v>
      </x:c>
      <x:c r="I334">
        <x:f t="shared" si="5"/>
        <x:v>64600</x:v>
      </x:c>
    </x:row>
    <x:row r="335" spans="1:9" x14ac:dyDescent="0.15">
      <x:c r="A335">
        <x:v>54002</x:v>
      </x:c>
      <x:c r="B335">
        <x:v>3</x:v>
      </x:c>
      <x:c r="C335">
        <x:v>34</x:v>
      </x:c>
      <x:c r="D335">
        <x:f>ROUND($C335*10*VLOOKUP($B335,Sheet2!$J$5:$K$7,2,FALSE)*VLOOKUP(Sheet1!$A335,Sheet2!$B$5:$H$29,3,FALSE),0)</x:f>
        <x:v>408</x:v>
      </x:c>
      <x:c r="E335">
        <x:f>ROUND($C335*10*VLOOKUP($B335,Sheet2!$J$5:$K$7,2,FALSE)*VLOOKUP(Sheet1!$A335,Sheet2!$B$5:$H$29,4,FALSE),0)</x:f>
        <x:v>136</x:v>
      </x:c>
      <x:c r="F335">
        <x:f>ROUND($C335*10*VLOOKUP($B335,Sheet2!$J$5:$K$7,2,FALSE)*VLOOKUP(Sheet1!$A335,Sheet2!$B$5:$H$29,5,FALSE),0)</x:f>
        <x:v>0</x:v>
      </x:c>
      <x:c r="G335">
        <x:f>ROUND($C335*10*VLOOKUP($B335,Sheet2!$J$5:$K$7,2,FALSE)*VLOOKUP(Sheet1!$A335,Sheet2!$B$5:$H$29,6,FALSE),0)</x:f>
        <x:v>0</x:v>
      </x:c>
      <x:c r="H335">
        <x:f>ROUND($C335*10*VLOOKUP($B335,Sheet2!$J$5:$K$7,2,FALSE)*VLOOKUP(Sheet1!$A335,Sheet2!$B$5:$H$29,7,FALSE),0)</x:f>
        <x:v>0</x:v>
      </x:c>
      <x:c r="I335">
        <x:f t="shared" si="5"/>
        <x:v>68280</x:v>
      </x:c>
    </x:row>
    <x:row r="336" spans="1:9" x14ac:dyDescent="0.15">
      <x:c r="A336">
        <x:v>54002</x:v>
      </x:c>
      <x:c r="B336">
        <x:v>3</x:v>
      </x:c>
      <x:c r="C336">
        <x:v>35</x:v>
      </x:c>
      <x:c r="D336">
        <x:f>ROUND($C336*10*VLOOKUP($B336,Sheet2!$J$5:$K$7,2,FALSE)*VLOOKUP(Sheet1!$A336,Sheet2!$B$5:$H$29,3,FALSE),0)</x:f>
        <x:v>420</x:v>
      </x:c>
      <x:c r="E336">
        <x:f>ROUND($C336*10*VLOOKUP($B336,Sheet2!$J$5:$K$7,2,FALSE)*VLOOKUP(Sheet1!$A336,Sheet2!$B$5:$H$29,4,FALSE),0)</x:f>
        <x:v>140</x:v>
      </x:c>
      <x:c r="F336">
        <x:f>ROUND($C336*10*VLOOKUP($B336,Sheet2!$J$5:$K$7,2,FALSE)*VLOOKUP(Sheet1!$A336,Sheet2!$B$5:$H$29,5,FALSE),0)</x:f>
        <x:v>0</x:v>
      </x:c>
      <x:c r="G336">
        <x:f>ROUND($C336*10*VLOOKUP($B336,Sheet2!$J$5:$K$7,2,FALSE)*VLOOKUP(Sheet1!$A336,Sheet2!$B$5:$H$29,6,FALSE),0)</x:f>
        <x:v>0</x:v>
      </x:c>
      <x:c r="H336">
        <x:f>ROUND($C336*10*VLOOKUP($B336,Sheet2!$J$5:$K$7,2,FALSE)*VLOOKUP(Sheet1!$A336,Sheet2!$B$5:$H$29,7,FALSE),0)</x:f>
        <x:v>0</x:v>
      </x:c>
      <x:c r="I336">
        <x:f t="shared" si="5"/>
        <x:v>72040</x:v>
      </x:c>
    </x:row>
    <x:row r="337" spans="1:9" x14ac:dyDescent="0.15">
      <x:c r="A337">
        <x:v>54002</x:v>
      </x:c>
      <x:c r="B337">
        <x:v>3</x:v>
      </x:c>
      <x:c r="C337">
        <x:v>36</x:v>
      </x:c>
      <x:c r="D337">
        <x:f>ROUND($C337*10*VLOOKUP($B337,Sheet2!$J$5:$K$7,2,FALSE)*VLOOKUP(Sheet1!$A337,Sheet2!$B$5:$H$29,3,FALSE),0)</x:f>
        <x:v>432</x:v>
      </x:c>
      <x:c r="E337">
        <x:f>ROUND($C337*10*VLOOKUP($B337,Sheet2!$J$5:$K$7,2,FALSE)*VLOOKUP(Sheet1!$A337,Sheet2!$B$5:$H$29,4,FALSE),0)</x:f>
        <x:v>144</x:v>
      </x:c>
      <x:c r="F337">
        <x:f>ROUND($C337*10*VLOOKUP($B337,Sheet2!$J$5:$K$7,2,FALSE)*VLOOKUP(Sheet1!$A337,Sheet2!$B$5:$H$29,5,FALSE),0)</x:f>
        <x:v>0</x:v>
      </x:c>
      <x:c r="G337">
        <x:f>ROUND($C337*10*VLOOKUP($B337,Sheet2!$J$5:$K$7,2,FALSE)*VLOOKUP(Sheet1!$A337,Sheet2!$B$5:$H$29,6,FALSE),0)</x:f>
        <x:v>0</x:v>
      </x:c>
      <x:c r="H337">
        <x:f>ROUND($C337*10*VLOOKUP($B337,Sheet2!$J$5:$K$7,2,FALSE)*VLOOKUP(Sheet1!$A337,Sheet2!$B$5:$H$29,7,FALSE),0)</x:f>
        <x:v>0</x:v>
      </x:c>
      <x:c r="I337">
        <x:f t="shared" si="5"/>
        <x:v>75890</x:v>
      </x:c>
    </x:row>
    <x:row r="338" spans="1:9" x14ac:dyDescent="0.15">
      <x:c r="A338">
        <x:v>54002</x:v>
      </x:c>
      <x:c r="B338">
        <x:v>3</x:v>
      </x:c>
      <x:c r="C338">
        <x:v>37</x:v>
      </x:c>
      <x:c r="D338">
        <x:f>ROUND($C338*10*VLOOKUP($B338,Sheet2!$J$5:$K$7,2,FALSE)*VLOOKUP(Sheet1!$A338,Sheet2!$B$5:$H$29,3,FALSE),0)</x:f>
        <x:v>444</x:v>
      </x:c>
      <x:c r="E338">
        <x:f>ROUND($C338*10*VLOOKUP($B338,Sheet2!$J$5:$K$7,2,FALSE)*VLOOKUP(Sheet1!$A338,Sheet2!$B$5:$H$29,4,FALSE),0)</x:f>
        <x:v>148</x:v>
      </x:c>
      <x:c r="F338">
        <x:f>ROUND($C338*10*VLOOKUP($B338,Sheet2!$J$5:$K$7,2,FALSE)*VLOOKUP(Sheet1!$A338,Sheet2!$B$5:$H$29,5,FALSE),0)</x:f>
        <x:v>0</x:v>
      </x:c>
      <x:c r="G338">
        <x:f>ROUND($C338*10*VLOOKUP($B338,Sheet2!$J$5:$K$7,2,FALSE)*VLOOKUP(Sheet1!$A338,Sheet2!$B$5:$H$29,6,FALSE),0)</x:f>
        <x:v>0</x:v>
      </x:c>
      <x:c r="H338">
        <x:f>ROUND($C338*10*VLOOKUP($B338,Sheet2!$J$5:$K$7,2,FALSE)*VLOOKUP(Sheet1!$A338,Sheet2!$B$5:$H$29,7,FALSE),0)</x:f>
        <x:v>0</x:v>
      </x:c>
      <x:c r="I338">
        <x:f t="shared" si="5"/>
        <x:v>79840</x:v>
      </x:c>
    </x:row>
    <x:row r="339" spans="1:9" x14ac:dyDescent="0.15">
      <x:c r="A339">
        <x:v>54002</x:v>
      </x:c>
      <x:c r="B339">
        <x:v>3</x:v>
      </x:c>
      <x:c r="C339">
        <x:v>38</x:v>
      </x:c>
      <x:c r="D339">
        <x:f>ROUND($C339*10*VLOOKUP($B339,Sheet2!$J$5:$K$7,2,FALSE)*VLOOKUP(Sheet1!$A339,Sheet2!$B$5:$H$29,3,FALSE),0)</x:f>
        <x:v>456</x:v>
      </x:c>
      <x:c r="E339">
        <x:f>ROUND($C339*10*VLOOKUP($B339,Sheet2!$J$5:$K$7,2,FALSE)*VLOOKUP(Sheet1!$A339,Sheet2!$B$5:$H$29,4,FALSE),0)</x:f>
        <x:v>152</x:v>
      </x:c>
      <x:c r="F339">
        <x:f>ROUND($C339*10*VLOOKUP($B339,Sheet2!$J$5:$K$7,2,FALSE)*VLOOKUP(Sheet1!$A339,Sheet2!$B$5:$H$29,5,FALSE),0)</x:f>
        <x:v>0</x:v>
      </x:c>
      <x:c r="G339">
        <x:f>ROUND($C339*10*VLOOKUP($B339,Sheet2!$J$5:$K$7,2,FALSE)*VLOOKUP(Sheet1!$A339,Sheet2!$B$5:$H$29,6,FALSE),0)</x:f>
        <x:v>0</x:v>
      </x:c>
      <x:c r="H339">
        <x:f>ROUND($C339*10*VLOOKUP($B339,Sheet2!$J$5:$K$7,2,FALSE)*VLOOKUP(Sheet1!$A339,Sheet2!$B$5:$H$29,7,FALSE),0)</x:f>
        <x:v>0</x:v>
      </x:c>
      <x:c r="I339">
        <x:f t="shared" si="5"/>
        <x:v>83870</x:v>
      </x:c>
    </x:row>
    <x:row r="340" spans="1:9" x14ac:dyDescent="0.15">
      <x:c r="A340">
        <x:v>54002</x:v>
      </x:c>
      <x:c r="B340">
        <x:v>3</x:v>
      </x:c>
      <x:c r="C340">
        <x:v>39</x:v>
      </x:c>
      <x:c r="D340">
        <x:f>ROUND($C340*10*VLOOKUP($B340,Sheet2!$J$5:$K$7,2,FALSE)*VLOOKUP(Sheet1!$A340,Sheet2!$B$5:$H$29,3,FALSE),0)</x:f>
        <x:v>468</x:v>
      </x:c>
      <x:c r="E340">
        <x:f>ROUND($C340*10*VLOOKUP($B340,Sheet2!$J$5:$K$7,2,FALSE)*VLOOKUP(Sheet1!$A340,Sheet2!$B$5:$H$29,4,FALSE),0)</x:f>
        <x:v>156</x:v>
      </x:c>
      <x:c r="F340">
        <x:f>ROUND($C340*10*VLOOKUP($B340,Sheet2!$J$5:$K$7,2,FALSE)*VLOOKUP(Sheet1!$A340,Sheet2!$B$5:$H$29,5,FALSE),0)</x:f>
        <x:v>0</x:v>
      </x:c>
      <x:c r="G340">
        <x:f>ROUND($C340*10*VLOOKUP($B340,Sheet2!$J$5:$K$7,2,FALSE)*VLOOKUP(Sheet1!$A340,Sheet2!$B$5:$H$29,6,FALSE),0)</x:f>
        <x:v>0</x:v>
      </x:c>
      <x:c r="H340">
        <x:f>ROUND($C340*10*VLOOKUP($B340,Sheet2!$J$5:$K$7,2,FALSE)*VLOOKUP(Sheet1!$A340,Sheet2!$B$5:$H$29,7,FALSE),0)</x:f>
        <x:v>0</x:v>
      </x:c>
      <x:c r="I340">
        <x:f t="shared" si="5"/>
        <x:v>87990</x:v>
      </x:c>
    </x:row>
    <x:row r="341" spans="1:9" x14ac:dyDescent="0.15">
      <x:c r="A341">
        <x:v>54002</x:v>
      </x:c>
      <x:c r="B341">
        <x:v>3</x:v>
      </x:c>
      <x:c r="C341">
        <x:v>40</x:v>
      </x:c>
      <x:c r="D341">
        <x:f>ROUND($C341*10*VLOOKUP($B341,Sheet2!$J$5:$K$7,2,FALSE)*VLOOKUP(Sheet1!$A341,Sheet2!$B$5:$H$29,3,FALSE),0)</x:f>
        <x:v>480</x:v>
      </x:c>
      <x:c r="E341">
        <x:f>ROUND($C341*10*VLOOKUP($B341,Sheet2!$J$5:$K$7,2,FALSE)*VLOOKUP(Sheet1!$A341,Sheet2!$B$5:$H$29,4,FALSE),0)</x:f>
        <x:v>160</x:v>
      </x:c>
      <x:c r="F341">
        <x:f>ROUND($C341*10*VLOOKUP($B341,Sheet2!$J$5:$K$7,2,FALSE)*VLOOKUP(Sheet1!$A341,Sheet2!$B$5:$H$29,5,FALSE),0)</x:f>
        <x:v>0</x:v>
      </x:c>
      <x:c r="G341">
        <x:f>ROUND($C341*10*VLOOKUP($B341,Sheet2!$J$5:$K$7,2,FALSE)*VLOOKUP(Sheet1!$A341,Sheet2!$B$5:$H$29,6,FALSE),0)</x:f>
        <x:v>0</x:v>
      </x:c>
      <x:c r="H341">
        <x:f>ROUND($C341*10*VLOOKUP($B341,Sheet2!$J$5:$K$7,2,FALSE)*VLOOKUP(Sheet1!$A341,Sheet2!$B$5:$H$29,7,FALSE),0)</x:f>
        <x:v>0</x:v>
      </x:c>
      <x:c r="I341">
        <x:f t="shared" si="5"/>
        <x:v>92200</x:v>
      </x:c>
    </x:row>
    <x:row r="342" spans="1:9" x14ac:dyDescent="0.15">
      <x:c r="A342">
        <x:v>54002</x:v>
      </x:c>
      <x:c r="B342">
        <x:v>3</x:v>
      </x:c>
      <x:c r="C342">
        <x:v>41</x:v>
      </x:c>
      <x:c r="D342">
        <x:f>ROUND($C342*10*VLOOKUP($B342,Sheet2!$J$5:$K$7,2,FALSE)*VLOOKUP(Sheet1!$A342,Sheet2!$B$5:$H$29,3,FALSE),0)</x:f>
        <x:v>492</x:v>
      </x:c>
      <x:c r="E342">
        <x:f>ROUND($C342*10*VLOOKUP($B342,Sheet2!$J$5:$K$7,2,FALSE)*VLOOKUP(Sheet1!$A342,Sheet2!$B$5:$H$29,4,FALSE),0)</x:f>
        <x:v>164</x:v>
      </x:c>
      <x:c r="F342">
        <x:f>ROUND($C342*10*VLOOKUP($B342,Sheet2!$J$5:$K$7,2,FALSE)*VLOOKUP(Sheet1!$A342,Sheet2!$B$5:$H$29,5,FALSE),0)</x:f>
        <x:v>0</x:v>
      </x:c>
      <x:c r="G342">
        <x:f>ROUND($C342*10*VLOOKUP($B342,Sheet2!$J$5:$K$7,2,FALSE)*VLOOKUP(Sheet1!$A342,Sheet2!$B$5:$H$29,6,FALSE),0)</x:f>
        <x:v>0</x:v>
      </x:c>
      <x:c r="H342">
        <x:f>ROUND($C342*10*VLOOKUP($B342,Sheet2!$J$5:$K$7,2,FALSE)*VLOOKUP(Sheet1!$A342,Sheet2!$B$5:$H$29,7,FALSE),0)</x:f>
        <x:v>0</x:v>
      </x:c>
      <x:c r="I342">
        <x:f t="shared" si="5"/>
        <x:v>96490</x:v>
      </x:c>
    </x:row>
    <x:row r="343" spans="1:9" x14ac:dyDescent="0.15">
      <x:c r="A343">
        <x:v>54002</x:v>
      </x:c>
      <x:c r="B343">
        <x:v>3</x:v>
      </x:c>
      <x:c r="C343">
        <x:v>42</x:v>
      </x:c>
      <x:c r="D343">
        <x:f>ROUND($C343*10*VLOOKUP($B343,Sheet2!$J$5:$K$7,2,FALSE)*VLOOKUP(Sheet1!$A343,Sheet2!$B$5:$H$29,3,FALSE),0)</x:f>
        <x:v>504</x:v>
      </x:c>
      <x:c r="E343">
        <x:f>ROUND($C343*10*VLOOKUP($B343,Sheet2!$J$5:$K$7,2,FALSE)*VLOOKUP(Sheet1!$A343,Sheet2!$B$5:$H$29,4,FALSE),0)</x:f>
        <x:v>168</x:v>
      </x:c>
      <x:c r="F343">
        <x:f>ROUND($C343*10*VLOOKUP($B343,Sheet2!$J$5:$K$7,2,FALSE)*VLOOKUP(Sheet1!$A343,Sheet2!$B$5:$H$29,5,FALSE),0)</x:f>
        <x:v>0</x:v>
      </x:c>
      <x:c r="G343">
        <x:f>ROUND($C343*10*VLOOKUP($B343,Sheet2!$J$5:$K$7,2,FALSE)*VLOOKUP(Sheet1!$A343,Sheet2!$B$5:$H$29,6,FALSE),0)</x:f>
        <x:v>0</x:v>
      </x:c>
      <x:c r="H343">
        <x:f>ROUND($C343*10*VLOOKUP($B343,Sheet2!$J$5:$K$7,2,FALSE)*VLOOKUP(Sheet1!$A343,Sheet2!$B$5:$H$29,7,FALSE),0)</x:f>
        <x:v>0</x:v>
      </x:c>
      <x:c r="I343">
        <x:f t="shared" si="5"/>
        <x:v>100870</x:v>
      </x:c>
    </x:row>
    <x:row r="344" spans="1:9" x14ac:dyDescent="0.15">
      <x:c r="A344">
        <x:v>54002</x:v>
      </x:c>
      <x:c r="B344">
        <x:v>3</x:v>
      </x:c>
      <x:c r="C344">
        <x:v>43</x:v>
      </x:c>
      <x:c r="D344">
        <x:f>ROUND($C344*10*VLOOKUP($B344,Sheet2!$J$5:$K$7,2,FALSE)*VLOOKUP(Sheet1!$A344,Sheet2!$B$5:$H$29,3,FALSE),0)</x:f>
        <x:v>516</x:v>
      </x:c>
      <x:c r="E344">
        <x:f>ROUND($C344*10*VLOOKUP($B344,Sheet2!$J$5:$K$7,2,FALSE)*VLOOKUP(Sheet1!$A344,Sheet2!$B$5:$H$29,4,FALSE),0)</x:f>
        <x:v>172</x:v>
      </x:c>
      <x:c r="F344">
        <x:f>ROUND($C344*10*VLOOKUP($B344,Sheet2!$J$5:$K$7,2,FALSE)*VLOOKUP(Sheet1!$A344,Sheet2!$B$5:$H$29,5,FALSE),0)</x:f>
        <x:v>0</x:v>
      </x:c>
      <x:c r="G344">
        <x:f>ROUND($C344*10*VLOOKUP($B344,Sheet2!$J$5:$K$7,2,FALSE)*VLOOKUP(Sheet1!$A344,Sheet2!$B$5:$H$29,6,FALSE),0)</x:f>
        <x:v>0</x:v>
      </x:c>
      <x:c r="H344">
        <x:f>ROUND($C344*10*VLOOKUP($B344,Sheet2!$J$5:$K$7,2,FALSE)*VLOOKUP(Sheet1!$A344,Sheet2!$B$5:$H$29,7,FALSE),0)</x:f>
        <x:v>0</x:v>
      </x:c>
      <x:c r="I344">
        <x:f t="shared" si="5"/>
        <x:v>105340</x:v>
      </x:c>
    </x:row>
    <x:row r="345" spans="1:9" x14ac:dyDescent="0.15">
      <x:c r="A345">
        <x:v>54002</x:v>
      </x:c>
      <x:c r="B345">
        <x:v>3</x:v>
      </x:c>
      <x:c r="C345">
        <x:v>44</x:v>
      </x:c>
      <x:c r="D345">
        <x:f>ROUND($C345*10*VLOOKUP($B345,Sheet2!$J$5:$K$7,2,FALSE)*VLOOKUP(Sheet1!$A345,Sheet2!$B$5:$H$29,3,FALSE),0)</x:f>
        <x:v>528</x:v>
      </x:c>
      <x:c r="E345">
        <x:f>ROUND($C345*10*VLOOKUP($B345,Sheet2!$J$5:$K$7,2,FALSE)*VLOOKUP(Sheet1!$A345,Sheet2!$B$5:$H$29,4,FALSE),0)</x:f>
        <x:v>176</x:v>
      </x:c>
      <x:c r="F345">
        <x:f>ROUND($C345*10*VLOOKUP($B345,Sheet2!$J$5:$K$7,2,FALSE)*VLOOKUP(Sheet1!$A345,Sheet2!$B$5:$H$29,5,FALSE),0)</x:f>
        <x:v>0</x:v>
      </x:c>
      <x:c r="G345">
        <x:f>ROUND($C345*10*VLOOKUP($B345,Sheet2!$J$5:$K$7,2,FALSE)*VLOOKUP(Sheet1!$A345,Sheet2!$B$5:$H$29,6,FALSE),0)</x:f>
        <x:v>0</x:v>
      </x:c>
      <x:c r="H345">
        <x:f>ROUND($C345*10*VLOOKUP($B345,Sheet2!$J$5:$K$7,2,FALSE)*VLOOKUP(Sheet1!$A345,Sheet2!$B$5:$H$29,7,FALSE),0)</x:f>
        <x:v>0</x:v>
      </x:c>
      <x:c r="I345">
        <x:f t="shared" si="5"/>
        <x:v>109890</x:v>
      </x:c>
    </x:row>
    <x:row r="346" spans="1:9" x14ac:dyDescent="0.15">
      <x:c r="A346">
        <x:v>54002</x:v>
      </x:c>
      <x:c r="B346">
        <x:v>3</x:v>
      </x:c>
      <x:c r="C346">
        <x:v>45</x:v>
      </x:c>
      <x:c r="D346">
        <x:f>ROUND($C346*10*VLOOKUP($B346,Sheet2!$J$5:$K$7,2,FALSE)*VLOOKUP(Sheet1!$A346,Sheet2!$B$5:$H$29,3,FALSE),0)</x:f>
        <x:v>540</x:v>
      </x:c>
      <x:c r="E346">
        <x:f>ROUND($C346*10*VLOOKUP($B346,Sheet2!$J$5:$K$7,2,FALSE)*VLOOKUP(Sheet1!$A346,Sheet2!$B$5:$H$29,4,FALSE),0)</x:f>
        <x:v>180</x:v>
      </x:c>
      <x:c r="F346">
        <x:f>ROUND($C346*10*VLOOKUP($B346,Sheet2!$J$5:$K$7,2,FALSE)*VLOOKUP(Sheet1!$A346,Sheet2!$B$5:$H$29,5,FALSE),0)</x:f>
        <x:v>0</x:v>
      </x:c>
      <x:c r="G346">
        <x:f>ROUND($C346*10*VLOOKUP($B346,Sheet2!$J$5:$K$7,2,FALSE)*VLOOKUP(Sheet1!$A346,Sheet2!$B$5:$H$29,6,FALSE),0)</x:f>
        <x:v>0</x:v>
      </x:c>
      <x:c r="H346">
        <x:f>ROUND($C346*10*VLOOKUP($B346,Sheet2!$J$5:$K$7,2,FALSE)*VLOOKUP(Sheet1!$A346,Sheet2!$B$5:$H$29,7,FALSE),0)</x:f>
        <x:v>0</x:v>
      </x:c>
      <x:c r="I346">
        <x:f t="shared" si="5"/>
        <x:v>114530</x:v>
      </x:c>
    </x:row>
    <x:row r="347" spans="1:9" x14ac:dyDescent="0.15">
      <x:c r="A347">
        <x:v>54002</x:v>
      </x:c>
      <x:c r="B347">
        <x:v>3</x:v>
      </x:c>
      <x:c r="C347">
        <x:v>46</x:v>
      </x:c>
      <x:c r="D347">
        <x:f>ROUND($C347*10*VLOOKUP($B347,Sheet2!$J$5:$K$7,2,FALSE)*VLOOKUP(Sheet1!$A347,Sheet2!$B$5:$H$29,3,FALSE),0)</x:f>
        <x:v>552</x:v>
      </x:c>
      <x:c r="E347">
        <x:f>ROUND($C347*10*VLOOKUP($B347,Sheet2!$J$5:$K$7,2,FALSE)*VLOOKUP(Sheet1!$A347,Sheet2!$B$5:$H$29,4,FALSE),0)</x:f>
        <x:v>184</x:v>
      </x:c>
      <x:c r="F347">
        <x:f>ROUND($C347*10*VLOOKUP($B347,Sheet2!$J$5:$K$7,2,FALSE)*VLOOKUP(Sheet1!$A347,Sheet2!$B$5:$H$29,5,FALSE),0)</x:f>
        <x:v>0</x:v>
      </x:c>
      <x:c r="G347">
        <x:f>ROUND($C347*10*VLOOKUP($B347,Sheet2!$J$5:$K$7,2,FALSE)*VLOOKUP(Sheet1!$A347,Sheet2!$B$5:$H$29,6,FALSE),0)</x:f>
        <x:v>0</x:v>
      </x:c>
      <x:c r="H347">
        <x:f>ROUND($C347*10*VLOOKUP($B347,Sheet2!$J$5:$K$7,2,FALSE)*VLOOKUP(Sheet1!$A347,Sheet2!$B$5:$H$29,7,FALSE),0)</x:f>
        <x:v>0</x:v>
      </x:c>
      <x:c r="I347">
        <x:f t="shared" si="5"/>
        <x:v>119260</x:v>
      </x:c>
    </x:row>
    <x:row r="348" spans="1:9" x14ac:dyDescent="0.15">
      <x:c r="A348">
        <x:v>54002</x:v>
      </x:c>
      <x:c r="B348">
        <x:v>3</x:v>
      </x:c>
      <x:c r="C348">
        <x:v>47</x:v>
      </x:c>
      <x:c r="D348">
        <x:f>ROUND($C348*10*VLOOKUP($B348,Sheet2!$J$5:$K$7,2,FALSE)*VLOOKUP(Sheet1!$A348,Sheet2!$B$5:$H$29,3,FALSE),0)</x:f>
        <x:v>564</x:v>
      </x:c>
      <x:c r="E348">
        <x:f>ROUND($C348*10*VLOOKUP($B348,Sheet2!$J$5:$K$7,2,FALSE)*VLOOKUP(Sheet1!$A348,Sheet2!$B$5:$H$29,4,FALSE),0)</x:f>
        <x:v>188</x:v>
      </x:c>
      <x:c r="F348">
        <x:f>ROUND($C348*10*VLOOKUP($B348,Sheet2!$J$5:$K$7,2,FALSE)*VLOOKUP(Sheet1!$A348,Sheet2!$B$5:$H$29,5,FALSE),0)</x:f>
        <x:v>0</x:v>
      </x:c>
      <x:c r="G348">
        <x:f>ROUND($C348*10*VLOOKUP($B348,Sheet2!$J$5:$K$7,2,FALSE)*VLOOKUP(Sheet1!$A348,Sheet2!$B$5:$H$29,6,FALSE),0)</x:f>
        <x:v>0</x:v>
      </x:c>
      <x:c r="H348">
        <x:f>ROUND($C348*10*VLOOKUP($B348,Sheet2!$J$5:$K$7,2,FALSE)*VLOOKUP(Sheet1!$A348,Sheet2!$B$5:$H$29,7,FALSE),0)</x:f>
        <x:v>0</x:v>
      </x:c>
      <x:c r="I348">
        <x:f t="shared" si="5"/>
        <x:v>124070</x:v>
      </x:c>
    </x:row>
    <x:row r="349" spans="1:9" x14ac:dyDescent="0.15">
      <x:c r="A349">
        <x:v>54002</x:v>
      </x:c>
      <x:c r="B349">
        <x:v>3</x:v>
      </x:c>
      <x:c r="C349">
        <x:v>48</x:v>
      </x:c>
      <x:c r="D349">
        <x:f>ROUND($C349*10*VLOOKUP($B349,Sheet2!$J$5:$K$7,2,FALSE)*VLOOKUP(Sheet1!$A349,Sheet2!$B$5:$H$29,3,FALSE),0)</x:f>
        <x:v>576</x:v>
      </x:c>
      <x:c r="E349">
        <x:f>ROUND($C349*10*VLOOKUP($B349,Sheet2!$J$5:$K$7,2,FALSE)*VLOOKUP(Sheet1!$A349,Sheet2!$B$5:$H$29,4,FALSE),0)</x:f>
        <x:v>192</x:v>
      </x:c>
      <x:c r="F349">
        <x:f>ROUND($C349*10*VLOOKUP($B349,Sheet2!$J$5:$K$7,2,FALSE)*VLOOKUP(Sheet1!$A349,Sheet2!$B$5:$H$29,5,FALSE),0)</x:f>
        <x:v>0</x:v>
      </x:c>
      <x:c r="G349">
        <x:f>ROUND($C349*10*VLOOKUP($B349,Sheet2!$J$5:$K$7,2,FALSE)*VLOOKUP(Sheet1!$A349,Sheet2!$B$5:$H$29,6,FALSE),0)</x:f>
        <x:v>0</x:v>
      </x:c>
      <x:c r="H349">
        <x:f>ROUND($C349*10*VLOOKUP($B349,Sheet2!$J$5:$K$7,2,FALSE)*VLOOKUP(Sheet1!$A349,Sheet2!$B$5:$H$29,7,FALSE),0)</x:f>
        <x:v>0</x:v>
      </x:c>
      <x:c r="I349">
        <x:f t="shared" si="5"/>
        <x:v>128960</x:v>
      </x:c>
    </x:row>
    <x:row r="350" spans="1:9" x14ac:dyDescent="0.15">
      <x:c r="A350">
        <x:v>54002</x:v>
      </x:c>
      <x:c r="B350">
        <x:v>3</x:v>
      </x:c>
      <x:c r="C350">
        <x:v>49</x:v>
      </x:c>
      <x:c r="D350">
        <x:f>ROUND($C350*10*VLOOKUP($B350,Sheet2!$J$5:$K$7,2,FALSE)*VLOOKUP(Sheet1!$A350,Sheet2!$B$5:$H$29,3,FALSE),0)</x:f>
        <x:v>588</x:v>
      </x:c>
      <x:c r="E350">
        <x:f>ROUND($C350*10*VLOOKUP($B350,Sheet2!$J$5:$K$7,2,FALSE)*VLOOKUP(Sheet1!$A350,Sheet2!$B$5:$H$29,4,FALSE),0)</x:f>
        <x:v>196</x:v>
      </x:c>
      <x:c r="F350">
        <x:f>ROUND($C350*10*VLOOKUP($B350,Sheet2!$J$5:$K$7,2,FALSE)*VLOOKUP(Sheet1!$A350,Sheet2!$B$5:$H$29,5,FALSE),0)</x:f>
        <x:v>0</x:v>
      </x:c>
      <x:c r="G350">
        <x:f>ROUND($C350*10*VLOOKUP($B350,Sheet2!$J$5:$K$7,2,FALSE)*VLOOKUP(Sheet1!$A350,Sheet2!$B$5:$H$29,6,FALSE),0)</x:f>
        <x:v>0</x:v>
      </x:c>
      <x:c r="H350">
        <x:f>ROUND($C350*10*VLOOKUP($B350,Sheet2!$J$5:$K$7,2,FALSE)*VLOOKUP(Sheet1!$A350,Sheet2!$B$5:$H$29,7,FALSE),0)</x:f>
        <x:v>0</x:v>
      </x:c>
      <x:c r="I350">
        <x:f t="shared" si="5"/>
        <x:v>133940</x:v>
      </x:c>
    </x:row>
    <x:row r="351" spans="1:9" x14ac:dyDescent="0.15">
      <x:c r="A351">
        <x:v>54002</x:v>
      </x:c>
      <x:c r="B351">
        <x:v>3</x:v>
      </x:c>
      <x:c r="C351">
        <x:v>50</x:v>
      </x:c>
      <x:c r="D351">
        <x:f>ROUND($C351*10*VLOOKUP($B351,Sheet2!$J$5:$K$7,2,FALSE)*VLOOKUP(Sheet1!$A351,Sheet2!$B$5:$H$29,3,FALSE),0)</x:f>
        <x:v>600</x:v>
      </x:c>
      <x:c r="E351">
        <x:f>ROUND($C351*10*VLOOKUP($B351,Sheet2!$J$5:$K$7,2,FALSE)*VLOOKUP(Sheet1!$A351,Sheet2!$B$5:$H$29,4,FALSE),0)</x:f>
        <x:v>200</x:v>
      </x:c>
      <x:c r="F351">
        <x:f>ROUND($C351*10*VLOOKUP($B351,Sheet2!$J$5:$K$7,2,FALSE)*VLOOKUP(Sheet1!$A351,Sheet2!$B$5:$H$29,5,FALSE),0)</x:f>
        <x:v>0</x:v>
      </x:c>
      <x:c r="G351">
        <x:f>ROUND($C351*10*VLOOKUP($B351,Sheet2!$J$5:$K$7,2,FALSE)*VLOOKUP(Sheet1!$A351,Sheet2!$B$5:$H$29,6,FALSE),0)</x:f>
        <x:v>0</x:v>
      </x:c>
      <x:c r="H351">
        <x:f>ROUND($C351*10*VLOOKUP($B351,Sheet2!$J$5:$K$7,2,FALSE)*VLOOKUP(Sheet1!$A351,Sheet2!$B$5:$H$29,7,FALSE),0)</x:f>
        <x:v>0</x:v>
      </x:c>
      <x:c r="I351">
        <x:f t="shared" si="5"/>
        <x:v>139000</x:v>
      </x:c>
    </x:row>
    <x:row r="352" spans="1:9" x14ac:dyDescent="0.15">
      <x:c r="A352">
        <x:v>54002</x:v>
      </x:c>
      <x:c r="B352">
        <x:v>3</x:v>
      </x:c>
      <x:c r="C352">
        <x:v>51</x:v>
      </x:c>
      <x:c r="D352">
        <x:f>ROUND($C352*10*VLOOKUP($B352,Sheet2!$J$5:$K$7,2,FALSE)*VLOOKUP(Sheet1!$A352,Sheet2!$B$5:$H$29,3,FALSE),0)</x:f>
        <x:v>612</x:v>
      </x:c>
      <x:c r="E352">
        <x:f>ROUND($C352*10*VLOOKUP($B352,Sheet2!$J$5:$K$7,2,FALSE)*VLOOKUP(Sheet1!$A352,Sheet2!$B$5:$H$29,4,FALSE),0)</x:f>
        <x:v>204</x:v>
      </x:c>
      <x:c r="F352">
        <x:f>ROUND($C352*10*VLOOKUP($B352,Sheet2!$J$5:$K$7,2,FALSE)*VLOOKUP(Sheet1!$A352,Sheet2!$B$5:$H$29,5,FALSE),0)</x:f>
        <x:v>0</x:v>
      </x:c>
      <x:c r="G352">
        <x:f>ROUND($C352*10*VLOOKUP($B352,Sheet2!$J$5:$K$7,2,FALSE)*VLOOKUP(Sheet1!$A352,Sheet2!$B$5:$H$29,6,FALSE),0)</x:f>
        <x:v>0</x:v>
      </x:c>
      <x:c r="H352">
        <x:f>ROUND($C352*10*VLOOKUP($B352,Sheet2!$J$5:$K$7,2,FALSE)*VLOOKUP(Sheet1!$A352,Sheet2!$B$5:$H$29,7,FALSE),0)</x:f>
        <x:v>0</x:v>
      </x:c>
      <x:c r="I352">
        <x:f t="shared" si="5"/>
        <x:v>144140</x:v>
      </x:c>
    </x:row>
    <x:row r="353" spans="1:9" x14ac:dyDescent="0.15">
      <x:c r="A353">
        <x:v>54002</x:v>
      </x:c>
      <x:c r="B353">
        <x:v>3</x:v>
      </x:c>
      <x:c r="C353">
        <x:v>52</x:v>
      </x:c>
      <x:c r="D353">
        <x:f>ROUND($C353*10*VLOOKUP($B353,Sheet2!$J$5:$K$7,2,FALSE)*VLOOKUP(Sheet1!$A353,Sheet2!$B$5:$H$29,3,FALSE),0)</x:f>
        <x:v>624</x:v>
      </x:c>
      <x:c r="E353">
        <x:f>ROUND($C353*10*VLOOKUP($B353,Sheet2!$J$5:$K$7,2,FALSE)*VLOOKUP(Sheet1!$A353,Sheet2!$B$5:$H$29,4,FALSE),0)</x:f>
        <x:v>208</x:v>
      </x:c>
      <x:c r="F353">
        <x:f>ROUND($C353*10*VLOOKUP($B353,Sheet2!$J$5:$K$7,2,FALSE)*VLOOKUP(Sheet1!$A353,Sheet2!$B$5:$H$29,5,FALSE),0)</x:f>
        <x:v>0</x:v>
      </x:c>
      <x:c r="G353">
        <x:f>ROUND($C353*10*VLOOKUP($B353,Sheet2!$J$5:$K$7,2,FALSE)*VLOOKUP(Sheet1!$A353,Sheet2!$B$5:$H$29,6,FALSE),0)</x:f>
        <x:v>0</x:v>
      </x:c>
      <x:c r="H353">
        <x:f>ROUND($C353*10*VLOOKUP($B353,Sheet2!$J$5:$K$7,2,FALSE)*VLOOKUP(Sheet1!$A353,Sheet2!$B$5:$H$29,7,FALSE),0)</x:f>
        <x:v>0</x:v>
      </x:c>
      <x:c r="I353">
        <x:f t="shared" si="5"/>
        <x:v>149370</x:v>
      </x:c>
    </x:row>
    <x:row r="354" spans="1:9" x14ac:dyDescent="0.15">
      <x:c r="A354">
        <x:v>54002</x:v>
      </x:c>
      <x:c r="B354">
        <x:v>3</x:v>
      </x:c>
      <x:c r="C354">
        <x:v>53</x:v>
      </x:c>
      <x:c r="D354">
        <x:f>ROUND($C354*10*VLOOKUP($B354,Sheet2!$J$5:$K$7,2,FALSE)*VLOOKUP(Sheet1!$A354,Sheet2!$B$5:$H$29,3,FALSE),0)</x:f>
        <x:v>636</x:v>
      </x:c>
      <x:c r="E354">
        <x:f>ROUND($C354*10*VLOOKUP($B354,Sheet2!$J$5:$K$7,2,FALSE)*VLOOKUP(Sheet1!$A354,Sheet2!$B$5:$H$29,4,FALSE),0)</x:f>
        <x:v>212</x:v>
      </x:c>
      <x:c r="F354">
        <x:f>ROUND($C354*10*VLOOKUP($B354,Sheet2!$J$5:$K$7,2,FALSE)*VLOOKUP(Sheet1!$A354,Sheet2!$B$5:$H$29,5,FALSE),0)</x:f>
        <x:v>0</x:v>
      </x:c>
      <x:c r="G354">
        <x:f>ROUND($C354*10*VLOOKUP($B354,Sheet2!$J$5:$K$7,2,FALSE)*VLOOKUP(Sheet1!$A354,Sheet2!$B$5:$H$29,6,FALSE),0)</x:f>
        <x:v>0</x:v>
      </x:c>
      <x:c r="H354">
        <x:f>ROUND($C354*10*VLOOKUP($B354,Sheet2!$J$5:$K$7,2,FALSE)*VLOOKUP(Sheet1!$A354,Sheet2!$B$5:$H$29,7,FALSE),0)</x:f>
        <x:v>0</x:v>
      </x:c>
      <x:c r="I354">
        <x:f t="shared" si="5"/>
        <x:v>154680</x:v>
      </x:c>
    </x:row>
    <x:row r="355" spans="1:9" x14ac:dyDescent="0.15">
      <x:c r="A355">
        <x:v>54002</x:v>
      </x:c>
      <x:c r="B355">
        <x:v>3</x:v>
      </x:c>
      <x:c r="C355">
        <x:v>54</x:v>
      </x:c>
      <x:c r="D355">
        <x:f>ROUND($C355*10*VLOOKUP($B355,Sheet2!$J$5:$K$7,2,FALSE)*VLOOKUP(Sheet1!$A355,Sheet2!$B$5:$H$29,3,FALSE),0)</x:f>
        <x:v>648</x:v>
      </x:c>
      <x:c r="E355">
        <x:f>ROUND($C355*10*VLOOKUP($B355,Sheet2!$J$5:$K$7,2,FALSE)*VLOOKUP(Sheet1!$A355,Sheet2!$B$5:$H$29,4,FALSE),0)</x:f>
        <x:v>216</x:v>
      </x:c>
      <x:c r="F355">
        <x:f>ROUND($C355*10*VLOOKUP($B355,Sheet2!$J$5:$K$7,2,FALSE)*VLOOKUP(Sheet1!$A355,Sheet2!$B$5:$H$29,5,FALSE),0)</x:f>
        <x:v>0</x:v>
      </x:c>
      <x:c r="G355">
        <x:f>ROUND($C355*10*VLOOKUP($B355,Sheet2!$J$5:$K$7,2,FALSE)*VLOOKUP(Sheet1!$A355,Sheet2!$B$5:$H$29,6,FALSE),0)</x:f>
        <x:v>0</x:v>
      </x:c>
      <x:c r="H355">
        <x:f>ROUND($C355*10*VLOOKUP($B355,Sheet2!$J$5:$K$7,2,FALSE)*VLOOKUP(Sheet1!$A355,Sheet2!$B$5:$H$29,7,FALSE),0)</x:f>
        <x:v>0</x:v>
      </x:c>
      <x:c r="I355">
        <x:f t="shared" si="5"/>
        <x:v>160070</x:v>
      </x:c>
    </x:row>
    <x:row r="356" spans="1:9" x14ac:dyDescent="0.15">
      <x:c r="A356">
        <x:v>54002</x:v>
      </x:c>
      <x:c r="B356">
        <x:v>3</x:v>
      </x:c>
      <x:c r="C356">
        <x:v>55</x:v>
      </x:c>
      <x:c r="D356">
        <x:f>ROUND($C356*10*VLOOKUP($B356,Sheet2!$J$5:$K$7,2,FALSE)*VLOOKUP(Sheet1!$A356,Sheet2!$B$5:$H$29,3,FALSE),0)</x:f>
        <x:v>660</x:v>
      </x:c>
      <x:c r="E356">
        <x:f>ROUND($C356*10*VLOOKUP($B356,Sheet2!$J$5:$K$7,2,FALSE)*VLOOKUP(Sheet1!$A356,Sheet2!$B$5:$H$29,4,FALSE),0)</x:f>
        <x:v>220</x:v>
      </x:c>
      <x:c r="F356">
        <x:f>ROUND($C356*10*VLOOKUP($B356,Sheet2!$J$5:$K$7,2,FALSE)*VLOOKUP(Sheet1!$A356,Sheet2!$B$5:$H$29,5,FALSE),0)</x:f>
        <x:v>0</x:v>
      </x:c>
      <x:c r="G356">
        <x:f>ROUND($C356*10*VLOOKUP($B356,Sheet2!$J$5:$K$7,2,FALSE)*VLOOKUP(Sheet1!$A356,Sheet2!$B$5:$H$29,6,FALSE),0)</x:f>
        <x:v>0</x:v>
      </x:c>
      <x:c r="H356">
        <x:f>ROUND($C356*10*VLOOKUP($B356,Sheet2!$J$5:$K$7,2,FALSE)*VLOOKUP(Sheet1!$A356,Sheet2!$B$5:$H$29,7,FALSE),0)</x:f>
        <x:v>0</x:v>
      </x:c>
      <x:c r="I356">
        <x:f t="shared" si="5"/>
        <x:v>165540</x:v>
      </x:c>
    </x:row>
    <x:row r="357" spans="1:9" x14ac:dyDescent="0.15">
      <x:c r="A357">
        <x:v>54002</x:v>
      </x:c>
      <x:c r="B357">
        <x:v>3</x:v>
      </x:c>
      <x:c r="C357">
        <x:v>56</x:v>
      </x:c>
      <x:c r="D357">
        <x:f>ROUND($C357*10*VLOOKUP($B357,Sheet2!$J$5:$K$7,2,FALSE)*VLOOKUP(Sheet1!$A357,Sheet2!$B$5:$H$29,3,FALSE),0)</x:f>
        <x:v>672</x:v>
      </x:c>
      <x:c r="E357">
        <x:f>ROUND($C357*10*VLOOKUP($B357,Sheet2!$J$5:$K$7,2,FALSE)*VLOOKUP(Sheet1!$A357,Sheet2!$B$5:$H$29,4,FALSE),0)</x:f>
        <x:v>224</x:v>
      </x:c>
      <x:c r="F357">
        <x:f>ROUND($C357*10*VLOOKUP($B357,Sheet2!$J$5:$K$7,2,FALSE)*VLOOKUP(Sheet1!$A357,Sheet2!$B$5:$H$29,5,FALSE),0)</x:f>
        <x:v>0</x:v>
      </x:c>
      <x:c r="G357">
        <x:f>ROUND($C357*10*VLOOKUP($B357,Sheet2!$J$5:$K$7,2,FALSE)*VLOOKUP(Sheet1!$A357,Sheet2!$B$5:$H$29,6,FALSE),0)</x:f>
        <x:v>0</x:v>
      </x:c>
      <x:c r="H357">
        <x:f>ROUND($C357*10*VLOOKUP($B357,Sheet2!$J$5:$K$7,2,FALSE)*VLOOKUP(Sheet1!$A357,Sheet2!$B$5:$H$29,7,FALSE),0)</x:f>
        <x:v>0</x:v>
      </x:c>
      <x:c r="I357">
        <x:f t="shared" si="5"/>
        <x:v>171100</x:v>
      </x:c>
    </x:row>
    <x:row r="358" spans="1:9" x14ac:dyDescent="0.15">
      <x:c r="A358">
        <x:v>54002</x:v>
      </x:c>
      <x:c r="B358">
        <x:v>3</x:v>
      </x:c>
      <x:c r="C358">
        <x:v>57</x:v>
      </x:c>
      <x:c r="D358">
        <x:f>ROUND($C358*10*VLOOKUP($B358,Sheet2!$J$5:$K$7,2,FALSE)*VLOOKUP(Sheet1!$A358,Sheet2!$B$5:$H$29,3,FALSE),0)</x:f>
        <x:v>684</x:v>
      </x:c>
      <x:c r="E358">
        <x:f>ROUND($C358*10*VLOOKUP($B358,Sheet2!$J$5:$K$7,2,FALSE)*VLOOKUP(Sheet1!$A358,Sheet2!$B$5:$H$29,4,FALSE),0)</x:f>
        <x:v>228</x:v>
      </x:c>
      <x:c r="F358">
        <x:f>ROUND($C358*10*VLOOKUP($B358,Sheet2!$J$5:$K$7,2,FALSE)*VLOOKUP(Sheet1!$A358,Sheet2!$B$5:$H$29,5,FALSE),0)</x:f>
        <x:v>0</x:v>
      </x:c>
      <x:c r="G358">
        <x:f>ROUND($C358*10*VLOOKUP($B358,Sheet2!$J$5:$K$7,2,FALSE)*VLOOKUP(Sheet1!$A358,Sheet2!$B$5:$H$29,6,FALSE),0)</x:f>
        <x:v>0</x:v>
      </x:c>
      <x:c r="H358">
        <x:f>ROUND($C358*10*VLOOKUP($B358,Sheet2!$J$5:$K$7,2,FALSE)*VLOOKUP(Sheet1!$A358,Sheet2!$B$5:$H$29,7,FALSE),0)</x:f>
        <x:v>0</x:v>
      </x:c>
      <x:c r="I358">
        <x:f t="shared" si="5"/>
        <x:v>176740</x:v>
      </x:c>
    </x:row>
    <x:row r="359" spans="1:9" x14ac:dyDescent="0.15">
      <x:c r="A359">
        <x:v>54002</x:v>
      </x:c>
      <x:c r="B359">
        <x:v>3</x:v>
      </x:c>
      <x:c r="C359">
        <x:v>58</x:v>
      </x:c>
      <x:c r="D359">
        <x:f>ROUND($C359*10*VLOOKUP($B359,Sheet2!$J$5:$K$7,2,FALSE)*VLOOKUP(Sheet1!$A359,Sheet2!$B$5:$H$29,3,FALSE),0)</x:f>
        <x:v>696</x:v>
      </x:c>
      <x:c r="E359">
        <x:f>ROUND($C359*10*VLOOKUP($B359,Sheet2!$J$5:$K$7,2,FALSE)*VLOOKUP(Sheet1!$A359,Sheet2!$B$5:$H$29,4,FALSE),0)</x:f>
        <x:v>232</x:v>
      </x:c>
      <x:c r="F359">
        <x:f>ROUND($C359*10*VLOOKUP($B359,Sheet2!$J$5:$K$7,2,FALSE)*VLOOKUP(Sheet1!$A359,Sheet2!$B$5:$H$29,5,FALSE),0)</x:f>
        <x:v>0</x:v>
      </x:c>
      <x:c r="G359">
        <x:f>ROUND($C359*10*VLOOKUP($B359,Sheet2!$J$5:$K$7,2,FALSE)*VLOOKUP(Sheet1!$A359,Sheet2!$B$5:$H$29,6,FALSE),0)</x:f>
        <x:v>0</x:v>
      </x:c>
      <x:c r="H359">
        <x:f>ROUND($C359*10*VLOOKUP($B359,Sheet2!$J$5:$K$7,2,FALSE)*VLOOKUP(Sheet1!$A359,Sheet2!$B$5:$H$29,7,FALSE),0)</x:f>
        <x:v>0</x:v>
      </x:c>
      <x:c r="I359">
        <x:f t="shared" si="5"/>
        <x:v>182460</x:v>
      </x:c>
    </x:row>
    <x:row r="360" spans="1:9" x14ac:dyDescent="0.15">
      <x:c r="A360">
        <x:v>54002</x:v>
      </x:c>
      <x:c r="B360">
        <x:v>3</x:v>
      </x:c>
      <x:c r="C360">
        <x:v>59</x:v>
      </x:c>
      <x:c r="D360">
        <x:f>ROUND($C360*10*VLOOKUP($B360,Sheet2!$J$5:$K$7,2,FALSE)*VLOOKUP(Sheet1!$A360,Sheet2!$B$5:$H$29,3,FALSE),0)</x:f>
        <x:v>708</x:v>
      </x:c>
      <x:c r="E360">
        <x:f>ROUND($C360*10*VLOOKUP($B360,Sheet2!$J$5:$K$7,2,FALSE)*VLOOKUP(Sheet1!$A360,Sheet2!$B$5:$H$29,4,FALSE),0)</x:f>
        <x:v>236</x:v>
      </x:c>
      <x:c r="F360">
        <x:f>ROUND($C360*10*VLOOKUP($B360,Sheet2!$J$5:$K$7,2,FALSE)*VLOOKUP(Sheet1!$A360,Sheet2!$B$5:$H$29,5,FALSE),0)</x:f>
        <x:v>0</x:v>
      </x:c>
      <x:c r="G360">
        <x:f>ROUND($C360*10*VLOOKUP($B360,Sheet2!$J$5:$K$7,2,FALSE)*VLOOKUP(Sheet1!$A360,Sheet2!$B$5:$H$29,6,FALSE),0)</x:f>
        <x:v>0</x:v>
      </x:c>
      <x:c r="H360">
        <x:f>ROUND($C360*10*VLOOKUP($B360,Sheet2!$J$5:$K$7,2,FALSE)*VLOOKUP(Sheet1!$A360,Sheet2!$B$5:$H$29,7,FALSE),0)</x:f>
        <x:v>0</x:v>
      </x:c>
      <x:c r="I360">
        <x:f t="shared" si="5"/>
        <x:v>188260</x:v>
      </x:c>
    </x:row>
    <x:row r="361" spans="1:9" x14ac:dyDescent="0.15">
      <x:c r="A361">
        <x:v>54002</x:v>
      </x:c>
      <x:c r="B361">
        <x:v>3</x:v>
      </x:c>
      <x:c r="C361">
        <x:v>60</x:v>
      </x:c>
      <x:c r="D361">
        <x:f>ROUND($C361*10*VLOOKUP($B361,Sheet2!$J$5:$K$7,2,FALSE)*VLOOKUP(Sheet1!$A361,Sheet2!$B$5:$H$29,3,FALSE),0)</x:f>
        <x:v>720</x:v>
      </x:c>
      <x:c r="E361">
        <x:f>ROUND($C361*10*VLOOKUP($B361,Sheet2!$J$5:$K$7,2,FALSE)*VLOOKUP(Sheet1!$A361,Sheet2!$B$5:$H$29,4,FALSE),0)</x:f>
        <x:v>240</x:v>
      </x:c>
      <x:c r="F361">
        <x:f>ROUND($C361*10*VLOOKUP($B361,Sheet2!$J$5:$K$7,2,FALSE)*VLOOKUP(Sheet1!$A361,Sheet2!$B$5:$H$29,5,FALSE),0)</x:f>
        <x:v>0</x:v>
      </x:c>
      <x:c r="G361">
        <x:f>ROUND($C361*10*VLOOKUP($B361,Sheet2!$J$5:$K$7,2,FALSE)*VLOOKUP(Sheet1!$A361,Sheet2!$B$5:$H$29,6,FALSE),0)</x:f>
        <x:v>0</x:v>
      </x:c>
      <x:c r="H361">
        <x:f>ROUND($C361*10*VLOOKUP($B361,Sheet2!$J$5:$K$7,2,FALSE)*VLOOKUP(Sheet1!$A361,Sheet2!$B$5:$H$29,7,FALSE),0)</x:f>
        <x:v>0</x:v>
      </x:c>
      <x:c r="I361">
        <x:f t="shared" si="5"/>
        <x:v>194140</x:v>
      </x:c>
    </x:row>
    <x:row r="362" spans="1:9" x14ac:dyDescent="0.15">
      <x:c r="A362">
        <x:v>54003</x:v>
      </x:c>
      <x:c r="B362">
        <x:v>1</x:v>
      </x:c>
      <x:c r="C362">
        <x:v>1</x:v>
      </x:c>
      <x:c r="D362">
        <x:f>ROUND($C362*10*VLOOKUP($B362,Sheet2!$J$5:$K$7,2,FALSE)*VLOOKUP(Sheet1!$A362,Sheet2!$B$5:$H$29,3,FALSE),0)</x:f>
        <x:v>6</x:v>
      </x:c>
      <x:c r="E362">
        <x:f>ROUND($C362*10*VLOOKUP($B362,Sheet2!$J$5:$K$7,2,FALSE)*VLOOKUP(Sheet1!$A362,Sheet2!$B$5:$H$29,4,FALSE),0)</x:f>
        <x:v>0</x:v>
      </x:c>
      <x:c r="F362">
        <x:f>ROUND($C362*10*VLOOKUP($B362,Sheet2!$J$5:$K$7,2,FALSE)*VLOOKUP(Sheet1!$A362,Sheet2!$B$5:$H$29,5,FALSE),0)</x:f>
        <x:v>2</x:v>
      </x:c>
      <x:c r="G362">
        <x:f>ROUND($C362*10*VLOOKUP($B362,Sheet2!$J$5:$K$7,2,FALSE)*VLOOKUP(Sheet1!$A362,Sheet2!$B$5:$H$29,6,FALSE),0)</x:f>
        <x:v>0</x:v>
      </x:c>
      <x:c r="H362">
        <x:f>ROUND($C362*10*VLOOKUP($B362,Sheet2!$J$5:$K$7,2,FALSE)*VLOOKUP(Sheet1!$A362,Sheet2!$B$5:$H$29,7,FALSE),0)</x:f>
        <x:v>0</x:v>
      </x:c>
      <x:c r="I362">
        <x:f t="shared" ref="I362:I421" si="6">ROUND(1.2*10*1.8*(C362-1)^1.8+30,-1)</x:f>
        <x:v>30</x:v>
      </x:c>
    </x:row>
    <x:row r="363" spans="1:9" x14ac:dyDescent="0.15">
      <x:c r="A363">
        <x:v>54003</x:v>
      </x:c>
      <x:c r="B363">
        <x:v>1</x:v>
      </x:c>
      <x:c r="C363">
        <x:v>2</x:v>
      </x:c>
      <x:c r="D363">
        <x:f>ROUND($C363*10*VLOOKUP($B363,Sheet2!$J$5:$K$7,2,FALSE)*VLOOKUP(Sheet1!$A363,Sheet2!$B$5:$H$29,3,FALSE),0)</x:f>
        <x:v>12</x:v>
      </x:c>
      <x:c r="E363">
        <x:f>ROUND($C363*10*VLOOKUP($B363,Sheet2!$J$5:$K$7,2,FALSE)*VLOOKUP(Sheet1!$A363,Sheet2!$B$5:$H$29,4,FALSE),0)</x:f>
        <x:v>0</x:v>
      </x:c>
      <x:c r="F363">
        <x:f>ROUND($C363*10*VLOOKUP($B363,Sheet2!$J$5:$K$7,2,FALSE)*VLOOKUP(Sheet1!$A363,Sheet2!$B$5:$H$29,5,FALSE),0)</x:f>
        <x:v>3</x:v>
      </x:c>
      <x:c r="G363">
        <x:f>ROUND($C363*10*VLOOKUP($B363,Sheet2!$J$5:$K$7,2,FALSE)*VLOOKUP(Sheet1!$A363,Sheet2!$B$5:$H$29,6,FALSE),0)</x:f>
        <x:v>0</x:v>
      </x:c>
      <x:c r="H363">
        <x:f>ROUND($C363*10*VLOOKUP($B363,Sheet2!$J$5:$K$7,2,FALSE)*VLOOKUP(Sheet1!$A363,Sheet2!$B$5:$H$29,7,FALSE),0)</x:f>
        <x:v>0</x:v>
      </x:c>
      <x:c r="I363">
        <x:f t="shared" si="6"/>
        <x:v>50</x:v>
      </x:c>
    </x:row>
    <x:row r="364" spans="1:9" x14ac:dyDescent="0.15">
      <x:c r="A364">
        <x:v>54003</x:v>
      </x:c>
      <x:c r="B364">
        <x:v>1</x:v>
      </x:c>
      <x:c r="C364">
        <x:v>3</x:v>
      </x:c>
      <x:c r="D364">
        <x:f>ROUND($C364*10*VLOOKUP($B364,Sheet2!$J$5:$K$7,2,FALSE)*VLOOKUP(Sheet1!$A364,Sheet2!$B$5:$H$29,3,FALSE),0)</x:f>
        <x:v>18</x:v>
      </x:c>
      <x:c r="E364">
        <x:f>ROUND($C364*10*VLOOKUP($B364,Sheet2!$J$5:$K$7,2,FALSE)*VLOOKUP(Sheet1!$A364,Sheet2!$B$5:$H$29,4,FALSE),0)</x:f>
        <x:v>0</x:v>
      </x:c>
      <x:c r="F364">
        <x:f>ROUND($C364*10*VLOOKUP($B364,Sheet2!$J$5:$K$7,2,FALSE)*VLOOKUP(Sheet1!$A364,Sheet2!$B$5:$H$29,5,FALSE),0)</x:f>
        <x:v>5</x:v>
      </x:c>
      <x:c r="G364">
        <x:f>ROUND($C364*10*VLOOKUP($B364,Sheet2!$J$5:$K$7,2,FALSE)*VLOOKUP(Sheet1!$A364,Sheet2!$B$5:$H$29,6,FALSE),0)</x:f>
        <x:v>0</x:v>
      </x:c>
      <x:c r="H364">
        <x:f>ROUND($C364*10*VLOOKUP($B364,Sheet2!$J$5:$K$7,2,FALSE)*VLOOKUP(Sheet1!$A364,Sheet2!$B$5:$H$29,7,FALSE),0)</x:f>
        <x:v>0</x:v>
      </x:c>
      <x:c r="I364">
        <x:f t="shared" si="6"/>
        <x:v>110</x:v>
      </x:c>
    </x:row>
    <x:row r="365" spans="1:9" x14ac:dyDescent="0.15">
      <x:c r="A365">
        <x:v>54003</x:v>
      </x:c>
      <x:c r="B365">
        <x:v>1</x:v>
      </x:c>
      <x:c r="C365">
        <x:v>4</x:v>
      </x:c>
      <x:c r="D365">
        <x:f>ROUND($C365*10*VLOOKUP($B365,Sheet2!$J$5:$K$7,2,FALSE)*VLOOKUP(Sheet1!$A365,Sheet2!$B$5:$H$29,3,FALSE),0)</x:f>
        <x:v>24</x:v>
      </x:c>
      <x:c r="E365">
        <x:f>ROUND($C365*10*VLOOKUP($B365,Sheet2!$J$5:$K$7,2,FALSE)*VLOOKUP(Sheet1!$A365,Sheet2!$B$5:$H$29,4,FALSE),0)</x:f>
        <x:v>0</x:v>
      </x:c>
      <x:c r="F365">
        <x:f>ROUND($C365*10*VLOOKUP($B365,Sheet2!$J$5:$K$7,2,FALSE)*VLOOKUP(Sheet1!$A365,Sheet2!$B$5:$H$29,5,FALSE),0)</x:f>
        <x:v>6</x:v>
      </x:c>
      <x:c r="G365">
        <x:f>ROUND($C365*10*VLOOKUP($B365,Sheet2!$J$5:$K$7,2,FALSE)*VLOOKUP(Sheet1!$A365,Sheet2!$B$5:$H$29,6,FALSE),0)</x:f>
        <x:v>0</x:v>
      </x:c>
      <x:c r="H365">
        <x:f>ROUND($C365*10*VLOOKUP($B365,Sheet2!$J$5:$K$7,2,FALSE)*VLOOKUP(Sheet1!$A365,Sheet2!$B$5:$H$29,7,FALSE),0)</x:f>
        <x:v>0</x:v>
      </x:c>
      <x:c r="I365">
        <x:f t="shared" si="6"/>
        <x:v>190</x:v>
      </x:c>
    </x:row>
    <x:row r="366" spans="1:9" x14ac:dyDescent="0.15">
      <x:c r="A366">
        <x:v>54003</x:v>
      </x:c>
      <x:c r="B366">
        <x:v>1</x:v>
      </x:c>
      <x:c r="C366">
        <x:v>5</x:v>
      </x:c>
      <x:c r="D366">
        <x:f>ROUND($C366*10*VLOOKUP($B366,Sheet2!$J$5:$K$7,2,FALSE)*VLOOKUP(Sheet1!$A366,Sheet2!$B$5:$H$29,3,FALSE),0)</x:f>
        <x:v>30</x:v>
      </x:c>
      <x:c r="E366">
        <x:f>ROUND($C366*10*VLOOKUP($B366,Sheet2!$J$5:$K$7,2,FALSE)*VLOOKUP(Sheet1!$A366,Sheet2!$B$5:$H$29,4,FALSE),0)</x:f>
        <x:v>0</x:v>
      </x:c>
      <x:c r="F366">
        <x:f>ROUND($C366*10*VLOOKUP($B366,Sheet2!$J$5:$K$7,2,FALSE)*VLOOKUP(Sheet1!$A366,Sheet2!$B$5:$H$29,5,FALSE),0)</x:f>
        <x:v>8</x:v>
      </x:c>
      <x:c r="G366">
        <x:f>ROUND($C366*10*VLOOKUP($B366,Sheet2!$J$5:$K$7,2,FALSE)*VLOOKUP(Sheet1!$A366,Sheet2!$B$5:$H$29,6,FALSE),0)</x:f>
        <x:v>0</x:v>
      </x:c>
      <x:c r="H366">
        <x:f>ROUND($C366*10*VLOOKUP($B366,Sheet2!$J$5:$K$7,2,FALSE)*VLOOKUP(Sheet1!$A366,Sheet2!$B$5:$H$29,7,FALSE),0)</x:f>
        <x:v>0</x:v>
      </x:c>
      <x:c r="I366">
        <x:f t="shared" si="6"/>
        <x:v>290</x:v>
      </x:c>
    </x:row>
    <x:row r="367" spans="1:9" x14ac:dyDescent="0.15">
      <x:c r="A367">
        <x:v>54003</x:v>
      </x:c>
      <x:c r="B367">
        <x:v>1</x:v>
      </x:c>
      <x:c r="C367">
        <x:v>6</x:v>
      </x:c>
      <x:c r="D367">
        <x:f>ROUND($C367*10*VLOOKUP($B367,Sheet2!$J$5:$K$7,2,FALSE)*VLOOKUP(Sheet1!$A367,Sheet2!$B$5:$H$29,3,FALSE),0)</x:f>
        <x:v>36</x:v>
      </x:c>
      <x:c r="E367">
        <x:f>ROUND($C367*10*VLOOKUP($B367,Sheet2!$J$5:$K$7,2,FALSE)*VLOOKUP(Sheet1!$A367,Sheet2!$B$5:$H$29,4,FALSE),0)</x:f>
        <x:v>0</x:v>
      </x:c>
      <x:c r="F367">
        <x:f>ROUND($C367*10*VLOOKUP($B367,Sheet2!$J$5:$K$7,2,FALSE)*VLOOKUP(Sheet1!$A367,Sheet2!$B$5:$H$29,5,FALSE),0)</x:f>
        <x:v>10</x:v>
      </x:c>
      <x:c r="G367">
        <x:f>ROUND($C367*10*VLOOKUP($B367,Sheet2!$J$5:$K$7,2,FALSE)*VLOOKUP(Sheet1!$A367,Sheet2!$B$5:$H$29,6,FALSE),0)</x:f>
        <x:v>0</x:v>
      </x:c>
      <x:c r="H367">
        <x:f>ROUND($C367*10*VLOOKUP($B367,Sheet2!$J$5:$K$7,2,FALSE)*VLOOKUP(Sheet1!$A367,Sheet2!$B$5:$H$29,7,FALSE),0)</x:f>
        <x:v>0</x:v>
      </x:c>
      <x:c r="I367">
        <x:f t="shared" si="6"/>
        <x:v>420</x:v>
      </x:c>
    </x:row>
    <x:row r="368" spans="1:9" x14ac:dyDescent="0.15">
      <x:c r="A368">
        <x:v>54003</x:v>
      </x:c>
      <x:c r="B368">
        <x:v>1</x:v>
      </x:c>
      <x:c r="C368">
        <x:v>7</x:v>
      </x:c>
      <x:c r="D368">
        <x:f>ROUND($C368*10*VLOOKUP($B368,Sheet2!$J$5:$K$7,2,FALSE)*VLOOKUP(Sheet1!$A368,Sheet2!$B$5:$H$29,3,FALSE),0)</x:f>
        <x:v>42</x:v>
      </x:c>
      <x:c r="E368">
        <x:f>ROUND($C368*10*VLOOKUP($B368,Sheet2!$J$5:$K$7,2,FALSE)*VLOOKUP(Sheet1!$A368,Sheet2!$B$5:$H$29,4,FALSE),0)</x:f>
        <x:v>0</x:v>
      </x:c>
      <x:c r="F368">
        <x:f>ROUND($C368*10*VLOOKUP($B368,Sheet2!$J$5:$K$7,2,FALSE)*VLOOKUP(Sheet1!$A368,Sheet2!$B$5:$H$29,5,FALSE),0)</x:f>
        <x:v>11</x:v>
      </x:c>
      <x:c r="G368">
        <x:f>ROUND($C368*10*VLOOKUP($B368,Sheet2!$J$5:$K$7,2,FALSE)*VLOOKUP(Sheet1!$A368,Sheet2!$B$5:$H$29,6,FALSE),0)</x:f>
        <x:v>0</x:v>
      </x:c>
      <x:c r="H368">
        <x:f>ROUND($C368*10*VLOOKUP($B368,Sheet2!$J$5:$K$7,2,FALSE)*VLOOKUP(Sheet1!$A368,Sheet2!$B$5:$H$29,7,FALSE),0)</x:f>
        <x:v>0</x:v>
      </x:c>
      <x:c r="I368">
        <x:f t="shared" si="6"/>
        <x:v>570</x:v>
      </x:c>
    </x:row>
    <x:row r="369" spans="1:9" x14ac:dyDescent="0.15">
      <x:c r="A369">
        <x:v>54003</x:v>
      </x:c>
      <x:c r="B369">
        <x:v>1</x:v>
      </x:c>
      <x:c r="C369">
        <x:v>8</x:v>
      </x:c>
      <x:c r="D369">
        <x:f>ROUND($C369*10*VLOOKUP($B369,Sheet2!$J$5:$K$7,2,FALSE)*VLOOKUP(Sheet1!$A369,Sheet2!$B$5:$H$29,3,FALSE),0)</x:f>
        <x:v>48</x:v>
      </x:c>
      <x:c r="E369">
        <x:f>ROUND($C369*10*VLOOKUP($B369,Sheet2!$J$5:$K$7,2,FALSE)*VLOOKUP(Sheet1!$A369,Sheet2!$B$5:$H$29,4,FALSE),0)</x:f>
        <x:v>0</x:v>
      </x:c>
      <x:c r="F369">
        <x:f>ROUND($C369*10*VLOOKUP($B369,Sheet2!$J$5:$K$7,2,FALSE)*VLOOKUP(Sheet1!$A369,Sheet2!$B$5:$H$29,5,FALSE),0)</x:f>
        <x:v>13</x:v>
      </x:c>
      <x:c r="G369">
        <x:f>ROUND($C369*10*VLOOKUP($B369,Sheet2!$J$5:$K$7,2,FALSE)*VLOOKUP(Sheet1!$A369,Sheet2!$B$5:$H$29,6,FALSE),0)</x:f>
        <x:v>0</x:v>
      </x:c>
      <x:c r="H369">
        <x:f>ROUND($C369*10*VLOOKUP($B369,Sheet2!$J$5:$K$7,2,FALSE)*VLOOKUP(Sheet1!$A369,Sheet2!$B$5:$H$29,7,FALSE),0)</x:f>
        <x:v>0</x:v>
      </x:c>
      <x:c r="I369">
        <x:f t="shared" si="6"/>
        <x:v>750</x:v>
      </x:c>
    </x:row>
    <x:row r="370" spans="1:9" x14ac:dyDescent="0.15">
      <x:c r="A370">
        <x:v>54003</x:v>
      </x:c>
      <x:c r="B370">
        <x:v>1</x:v>
      </x:c>
      <x:c r="C370">
        <x:v>9</x:v>
      </x:c>
      <x:c r="D370">
        <x:f>ROUND($C370*10*VLOOKUP($B370,Sheet2!$J$5:$K$7,2,FALSE)*VLOOKUP(Sheet1!$A370,Sheet2!$B$5:$H$29,3,FALSE),0)</x:f>
        <x:v>54</x:v>
      </x:c>
      <x:c r="E370">
        <x:f>ROUND($C370*10*VLOOKUP($B370,Sheet2!$J$5:$K$7,2,FALSE)*VLOOKUP(Sheet1!$A370,Sheet2!$B$5:$H$29,4,FALSE),0)</x:f>
        <x:v>0</x:v>
      </x:c>
      <x:c r="F370">
        <x:f>ROUND($C370*10*VLOOKUP($B370,Sheet2!$J$5:$K$7,2,FALSE)*VLOOKUP(Sheet1!$A370,Sheet2!$B$5:$H$29,5,FALSE),0)</x:f>
        <x:v>14</x:v>
      </x:c>
      <x:c r="G370">
        <x:f>ROUND($C370*10*VLOOKUP($B370,Sheet2!$J$5:$K$7,2,FALSE)*VLOOKUP(Sheet1!$A370,Sheet2!$B$5:$H$29,6,FALSE),0)</x:f>
        <x:v>0</x:v>
      </x:c>
      <x:c r="H370">
        <x:f>ROUND($C370*10*VLOOKUP($B370,Sheet2!$J$5:$K$7,2,FALSE)*VLOOKUP(Sheet1!$A370,Sheet2!$B$5:$H$29,7,FALSE),0)</x:f>
        <x:v>0</x:v>
      </x:c>
      <x:c r="I370">
        <x:f t="shared" si="6"/>
        <x:v>940</x:v>
      </x:c>
    </x:row>
    <x:row r="371" spans="1:9" x14ac:dyDescent="0.15">
      <x:c r="A371">
        <x:v>54003</x:v>
      </x:c>
      <x:c r="B371">
        <x:v>1</x:v>
      </x:c>
      <x:c r="C371">
        <x:v>10</x:v>
      </x:c>
      <x:c r="D371">
        <x:f>ROUND($C371*10*VLOOKUP($B371,Sheet2!$J$5:$K$7,2,FALSE)*VLOOKUP(Sheet1!$A371,Sheet2!$B$5:$H$29,3,FALSE),0)</x:f>
        <x:v>60</x:v>
      </x:c>
      <x:c r="E371">
        <x:f>ROUND($C371*10*VLOOKUP($B371,Sheet2!$J$5:$K$7,2,FALSE)*VLOOKUP(Sheet1!$A371,Sheet2!$B$5:$H$29,4,FALSE),0)</x:f>
        <x:v>0</x:v>
      </x:c>
      <x:c r="F371">
        <x:f>ROUND($C371*10*VLOOKUP($B371,Sheet2!$J$5:$K$7,2,FALSE)*VLOOKUP(Sheet1!$A371,Sheet2!$B$5:$H$29,5,FALSE),0)</x:f>
        <x:v>16</x:v>
      </x:c>
      <x:c r="G371">
        <x:f>ROUND($C371*10*VLOOKUP($B371,Sheet2!$J$5:$K$7,2,FALSE)*VLOOKUP(Sheet1!$A371,Sheet2!$B$5:$H$29,6,FALSE),0)</x:f>
        <x:v>0</x:v>
      </x:c>
      <x:c r="H371">
        <x:f>ROUND($C371*10*VLOOKUP($B371,Sheet2!$J$5:$K$7,2,FALSE)*VLOOKUP(Sheet1!$A371,Sheet2!$B$5:$H$29,7,FALSE),0)</x:f>
        <x:v>0</x:v>
      </x:c>
      <x:c r="I371">
        <x:f t="shared" si="6"/>
        <x:v>1160</x:v>
      </x:c>
    </x:row>
    <x:row r="372" spans="1:9" x14ac:dyDescent="0.15">
      <x:c r="A372">
        <x:v>54003</x:v>
      </x:c>
      <x:c r="B372">
        <x:v>1</x:v>
      </x:c>
      <x:c r="C372">
        <x:v>11</x:v>
      </x:c>
      <x:c r="D372">
        <x:f>ROUND($C372*10*VLOOKUP($B372,Sheet2!$J$5:$K$7,2,FALSE)*VLOOKUP(Sheet1!$A372,Sheet2!$B$5:$H$29,3,FALSE),0)</x:f>
        <x:v>66</x:v>
      </x:c>
      <x:c r="E372">
        <x:f>ROUND($C372*10*VLOOKUP($B372,Sheet2!$J$5:$K$7,2,FALSE)*VLOOKUP(Sheet1!$A372,Sheet2!$B$5:$H$29,4,FALSE),0)</x:f>
        <x:v>0</x:v>
      </x:c>
      <x:c r="F372">
        <x:f>ROUND($C372*10*VLOOKUP($B372,Sheet2!$J$5:$K$7,2,FALSE)*VLOOKUP(Sheet1!$A372,Sheet2!$B$5:$H$29,5,FALSE),0)</x:f>
        <x:v>18</x:v>
      </x:c>
      <x:c r="G372">
        <x:f>ROUND($C372*10*VLOOKUP($B372,Sheet2!$J$5:$K$7,2,FALSE)*VLOOKUP(Sheet1!$A372,Sheet2!$B$5:$H$29,6,FALSE),0)</x:f>
        <x:v>0</x:v>
      </x:c>
      <x:c r="H372">
        <x:f>ROUND($C372*10*VLOOKUP($B372,Sheet2!$J$5:$K$7,2,FALSE)*VLOOKUP(Sheet1!$A372,Sheet2!$B$5:$H$29,7,FALSE),0)</x:f>
        <x:v>0</x:v>
      </x:c>
      <x:c r="I372">
        <x:f t="shared" si="6"/>
        <x:v>1390</x:v>
      </x:c>
    </x:row>
    <x:row r="373" spans="1:9" x14ac:dyDescent="0.15">
      <x:c r="A373">
        <x:v>54003</x:v>
      </x:c>
      <x:c r="B373">
        <x:v>1</x:v>
      </x:c>
      <x:c r="C373">
        <x:v>12</x:v>
      </x:c>
      <x:c r="D373">
        <x:f>ROUND($C373*10*VLOOKUP($B373,Sheet2!$J$5:$K$7,2,FALSE)*VLOOKUP(Sheet1!$A373,Sheet2!$B$5:$H$29,3,FALSE),0)</x:f>
        <x:v>72</x:v>
      </x:c>
      <x:c r="E373">
        <x:f>ROUND($C373*10*VLOOKUP($B373,Sheet2!$J$5:$K$7,2,FALSE)*VLOOKUP(Sheet1!$A373,Sheet2!$B$5:$H$29,4,FALSE),0)</x:f>
        <x:v>0</x:v>
      </x:c>
      <x:c r="F373">
        <x:f>ROUND($C373*10*VLOOKUP($B373,Sheet2!$J$5:$K$7,2,FALSE)*VLOOKUP(Sheet1!$A373,Sheet2!$B$5:$H$29,5,FALSE),0)</x:f>
        <x:v>19</x:v>
      </x:c>
      <x:c r="G373">
        <x:f>ROUND($C373*10*VLOOKUP($B373,Sheet2!$J$5:$K$7,2,FALSE)*VLOOKUP(Sheet1!$A373,Sheet2!$B$5:$H$29,6,FALSE),0)</x:f>
        <x:v>0</x:v>
      </x:c>
      <x:c r="H373">
        <x:f>ROUND($C373*10*VLOOKUP($B373,Sheet2!$J$5:$K$7,2,FALSE)*VLOOKUP(Sheet1!$A373,Sheet2!$B$5:$H$29,7,FALSE),0)</x:f>
        <x:v>0</x:v>
      </x:c>
      <x:c r="I373">
        <x:f t="shared" si="6"/>
        <x:v>1650</x:v>
      </x:c>
    </x:row>
    <x:row r="374" spans="1:9" x14ac:dyDescent="0.15">
      <x:c r="A374">
        <x:v>54003</x:v>
      </x:c>
      <x:c r="B374">
        <x:v>1</x:v>
      </x:c>
      <x:c r="C374">
        <x:v>13</x:v>
      </x:c>
      <x:c r="D374">
        <x:f>ROUND($C374*10*VLOOKUP($B374,Sheet2!$J$5:$K$7,2,FALSE)*VLOOKUP(Sheet1!$A374,Sheet2!$B$5:$H$29,3,FALSE),0)</x:f>
        <x:v>78</x:v>
      </x:c>
      <x:c r="E374">
        <x:f>ROUND($C374*10*VLOOKUP($B374,Sheet2!$J$5:$K$7,2,FALSE)*VLOOKUP(Sheet1!$A374,Sheet2!$B$5:$H$29,4,FALSE),0)</x:f>
        <x:v>0</x:v>
      </x:c>
      <x:c r="F374">
        <x:f>ROUND($C374*10*VLOOKUP($B374,Sheet2!$J$5:$K$7,2,FALSE)*VLOOKUP(Sheet1!$A374,Sheet2!$B$5:$H$29,5,FALSE),0)</x:f>
        <x:v>21</x:v>
      </x:c>
      <x:c r="G374">
        <x:f>ROUND($C374*10*VLOOKUP($B374,Sheet2!$J$5:$K$7,2,FALSE)*VLOOKUP(Sheet1!$A374,Sheet2!$B$5:$H$29,6,FALSE),0)</x:f>
        <x:v>0</x:v>
      </x:c>
      <x:c r="H374">
        <x:f>ROUND($C374*10*VLOOKUP($B374,Sheet2!$J$5:$K$7,2,FALSE)*VLOOKUP(Sheet1!$A374,Sheet2!$B$5:$H$29,7,FALSE),0)</x:f>
        <x:v>0</x:v>
      </x:c>
      <x:c r="I374">
        <x:f t="shared" si="6"/>
        <x:v>1920</x:v>
      </x:c>
    </x:row>
    <x:row r="375" spans="1:9" x14ac:dyDescent="0.15">
      <x:c r="A375">
        <x:v>54003</x:v>
      </x:c>
      <x:c r="B375">
        <x:v>1</x:v>
      </x:c>
      <x:c r="C375">
        <x:v>14</x:v>
      </x:c>
      <x:c r="D375">
        <x:f>ROUND($C375*10*VLOOKUP($B375,Sheet2!$J$5:$K$7,2,FALSE)*VLOOKUP(Sheet1!$A375,Sheet2!$B$5:$H$29,3,FALSE),0)</x:f>
        <x:v>84</x:v>
      </x:c>
      <x:c r="E375">
        <x:f>ROUND($C375*10*VLOOKUP($B375,Sheet2!$J$5:$K$7,2,FALSE)*VLOOKUP(Sheet1!$A375,Sheet2!$B$5:$H$29,4,FALSE),0)</x:f>
        <x:v>0</x:v>
      </x:c>
      <x:c r="F375">
        <x:f>ROUND($C375*10*VLOOKUP($B375,Sheet2!$J$5:$K$7,2,FALSE)*VLOOKUP(Sheet1!$A375,Sheet2!$B$5:$H$29,5,FALSE),0)</x:f>
        <x:v>22</x:v>
      </x:c>
      <x:c r="G375">
        <x:f>ROUND($C375*10*VLOOKUP($B375,Sheet2!$J$5:$K$7,2,FALSE)*VLOOKUP(Sheet1!$A375,Sheet2!$B$5:$H$29,6,FALSE),0)</x:f>
        <x:v>0</x:v>
      </x:c>
      <x:c r="H375">
        <x:f>ROUND($C375*10*VLOOKUP($B375,Sheet2!$J$5:$K$7,2,FALSE)*VLOOKUP(Sheet1!$A375,Sheet2!$B$5:$H$29,7,FALSE),0)</x:f>
        <x:v>0</x:v>
      </x:c>
      <x:c r="I375">
        <x:f t="shared" si="6"/>
        <x:v>2220</x:v>
      </x:c>
    </x:row>
    <x:row r="376" spans="1:9" x14ac:dyDescent="0.15">
      <x:c r="A376">
        <x:v>54003</x:v>
      </x:c>
      <x:c r="B376">
        <x:v>1</x:v>
      </x:c>
      <x:c r="C376">
        <x:v>15</x:v>
      </x:c>
      <x:c r="D376">
        <x:f>ROUND($C376*10*VLOOKUP($B376,Sheet2!$J$5:$K$7,2,FALSE)*VLOOKUP(Sheet1!$A376,Sheet2!$B$5:$H$29,3,FALSE),0)</x:f>
        <x:v>90</x:v>
      </x:c>
      <x:c r="E376">
        <x:f>ROUND($C376*10*VLOOKUP($B376,Sheet2!$J$5:$K$7,2,FALSE)*VLOOKUP(Sheet1!$A376,Sheet2!$B$5:$H$29,4,FALSE),0)</x:f>
        <x:v>0</x:v>
      </x:c>
      <x:c r="F376">
        <x:f>ROUND($C376*10*VLOOKUP($B376,Sheet2!$J$5:$K$7,2,FALSE)*VLOOKUP(Sheet1!$A376,Sheet2!$B$5:$H$29,5,FALSE),0)</x:f>
        <x:v>24</x:v>
      </x:c>
      <x:c r="G376">
        <x:f>ROUND($C376*10*VLOOKUP($B376,Sheet2!$J$5:$K$7,2,FALSE)*VLOOKUP(Sheet1!$A376,Sheet2!$B$5:$H$29,6,FALSE),0)</x:f>
        <x:v>0</x:v>
      </x:c>
      <x:c r="H376">
        <x:f>ROUND($C376*10*VLOOKUP($B376,Sheet2!$J$5:$K$7,2,FALSE)*VLOOKUP(Sheet1!$A376,Sheet2!$B$5:$H$29,7,FALSE),0)</x:f>
        <x:v>0</x:v>
      </x:c>
      <x:c r="I376">
        <x:f t="shared" si="6"/>
        <x:v>2530</x:v>
      </x:c>
    </x:row>
    <x:row r="377" spans="1:9" x14ac:dyDescent="0.15">
      <x:c r="A377">
        <x:v>54003</x:v>
      </x:c>
      <x:c r="B377">
        <x:v>1</x:v>
      </x:c>
      <x:c r="C377">
        <x:v>16</x:v>
      </x:c>
      <x:c r="D377">
        <x:f>ROUND($C377*10*VLOOKUP($B377,Sheet2!$J$5:$K$7,2,FALSE)*VLOOKUP(Sheet1!$A377,Sheet2!$B$5:$H$29,3,FALSE),0)</x:f>
        <x:v>96</x:v>
      </x:c>
      <x:c r="E377">
        <x:f>ROUND($C377*10*VLOOKUP($B377,Sheet2!$J$5:$K$7,2,FALSE)*VLOOKUP(Sheet1!$A377,Sheet2!$B$5:$H$29,4,FALSE),0)</x:f>
        <x:v>0</x:v>
      </x:c>
      <x:c r="F377">
        <x:f>ROUND($C377*10*VLOOKUP($B377,Sheet2!$J$5:$K$7,2,FALSE)*VLOOKUP(Sheet1!$A377,Sheet2!$B$5:$H$29,5,FALSE),0)</x:f>
        <x:v>26</x:v>
      </x:c>
      <x:c r="G377">
        <x:f>ROUND($C377*10*VLOOKUP($B377,Sheet2!$J$5:$K$7,2,FALSE)*VLOOKUP(Sheet1!$A377,Sheet2!$B$5:$H$29,6,FALSE),0)</x:f>
        <x:v>0</x:v>
      </x:c>
      <x:c r="H377">
        <x:f>ROUND($C377*10*VLOOKUP($B377,Sheet2!$J$5:$K$7,2,FALSE)*VLOOKUP(Sheet1!$A377,Sheet2!$B$5:$H$29,7,FALSE),0)</x:f>
        <x:v>0</x:v>
      </x:c>
      <x:c r="I377">
        <x:f t="shared" si="6"/>
        <x:v>2860</x:v>
      </x:c>
    </x:row>
    <x:row r="378" spans="1:9" x14ac:dyDescent="0.15">
      <x:c r="A378">
        <x:v>54003</x:v>
      </x:c>
      <x:c r="B378">
        <x:v>1</x:v>
      </x:c>
      <x:c r="C378">
        <x:v>17</x:v>
      </x:c>
      <x:c r="D378">
        <x:f>ROUND($C378*10*VLOOKUP($B378,Sheet2!$J$5:$K$7,2,FALSE)*VLOOKUP(Sheet1!$A378,Sheet2!$B$5:$H$29,3,FALSE),0)</x:f>
        <x:v>102</x:v>
      </x:c>
      <x:c r="E378">
        <x:f>ROUND($C378*10*VLOOKUP($B378,Sheet2!$J$5:$K$7,2,FALSE)*VLOOKUP(Sheet1!$A378,Sheet2!$B$5:$H$29,4,FALSE),0)</x:f>
        <x:v>0</x:v>
      </x:c>
      <x:c r="F378">
        <x:f>ROUND($C378*10*VLOOKUP($B378,Sheet2!$J$5:$K$7,2,FALSE)*VLOOKUP(Sheet1!$A378,Sheet2!$B$5:$H$29,5,FALSE),0)</x:f>
        <x:v>27</x:v>
      </x:c>
      <x:c r="G378">
        <x:f>ROUND($C378*10*VLOOKUP($B378,Sheet2!$J$5:$K$7,2,FALSE)*VLOOKUP(Sheet1!$A378,Sheet2!$B$5:$H$29,6,FALSE),0)</x:f>
        <x:v>0</x:v>
      </x:c>
      <x:c r="H378">
        <x:f>ROUND($C378*10*VLOOKUP($B378,Sheet2!$J$5:$K$7,2,FALSE)*VLOOKUP(Sheet1!$A378,Sheet2!$B$5:$H$29,7,FALSE),0)</x:f>
        <x:v>0</x:v>
      </x:c>
      <x:c r="I378">
        <x:f t="shared" si="6"/>
        <x:v>3210</x:v>
      </x:c>
    </x:row>
    <x:row r="379" spans="1:9" x14ac:dyDescent="0.15">
      <x:c r="A379">
        <x:v>54003</x:v>
      </x:c>
      <x:c r="B379">
        <x:v>1</x:v>
      </x:c>
      <x:c r="C379">
        <x:v>18</x:v>
      </x:c>
      <x:c r="D379">
        <x:f>ROUND($C379*10*VLOOKUP($B379,Sheet2!$J$5:$K$7,2,FALSE)*VLOOKUP(Sheet1!$A379,Sheet2!$B$5:$H$29,3,FALSE),0)</x:f>
        <x:v>108</x:v>
      </x:c>
      <x:c r="E379">
        <x:f>ROUND($C379*10*VLOOKUP($B379,Sheet2!$J$5:$K$7,2,FALSE)*VLOOKUP(Sheet1!$A379,Sheet2!$B$5:$H$29,4,FALSE),0)</x:f>
        <x:v>0</x:v>
      </x:c>
      <x:c r="F379">
        <x:f>ROUND($C379*10*VLOOKUP($B379,Sheet2!$J$5:$K$7,2,FALSE)*VLOOKUP(Sheet1!$A379,Sheet2!$B$5:$H$29,5,FALSE),0)</x:f>
        <x:v>29</x:v>
      </x:c>
      <x:c r="G379">
        <x:f>ROUND($C379*10*VLOOKUP($B379,Sheet2!$J$5:$K$7,2,FALSE)*VLOOKUP(Sheet1!$A379,Sheet2!$B$5:$H$29,6,FALSE),0)</x:f>
        <x:v>0</x:v>
      </x:c>
      <x:c r="H379">
        <x:f>ROUND($C379*10*VLOOKUP($B379,Sheet2!$J$5:$K$7,2,FALSE)*VLOOKUP(Sheet1!$A379,Sheet2!$B$5:$H$29,7,FALSE),0)</x:f>
        <x:v>0</x:v>
      </x:c>
      <x:c r="I379">
        <x:f t="shared" si="6"/>
        <x:v>3570</x:v>
      </x:c>
    </x:row>
    <x:row r="380" spans="1:9" x14ac:dyDescent="0.15">
      <x:c r="A380">
        <x:v>54003</x:v>
      </x:c>
      <x:c r="B380">
        <x:v>1</x:v>
      </x:c>
      <x:c r="C380">
        <x:v>19</x:v>
      </x:c>
      <x:c r="D380">
        <x:f>ROUND($C380*10*VLOOKUP($B380,Sheet2!$J$5:$K$7,2,FALSE)*VLOOKUP(Sheet1!$A380,Sheet2!$B$5:$H$29,3,FALSE),0)</x:f>
        <x:v>114</x:v>
      </x:c>
      <x:c r="E380">
        <x:f>ROUND($C380*10*VLOOKUP($B380,Sheet2!$J$5:$K$7,2,FALSE)*VLOOKUP(Sheet1!$A380,Sheet2!$B$5:$H$29,4,FALSE),0)</x:f>
        <x:v>0</x:v>
      </x:c>
      <x:c r="F380">
        <x:f>ROUND($C380*10*VLOOKUP($B380,Sheet2!$J$5:$K$7,2,FALSE)*VLOOKUP(Sheet1!$A380,Sheet2!$B$5:$H$29,5,FALSE),0)</x:f>
        <x:v>30</x:v>
      </x:c>
      <x:c r="G380">
        <x:f>ROUND($C380*10*VLOOKUP($B380,Sheet2!$J$5:$K$7,2,FALSE)*VLOOKUP(Sheet1!$A380,Sheet2!$B$5:$H$29,6,FALSE),0)</x:f>
        <x:v>0</x:v>
      </x:c>
      <x:c r="H380">
        <x:f>ROUND($C380*10*VLOOKUP($B380,Sheet2!$J$5:$K$7,2,FALSE)*VLOOKUP(Sheet1!$A380,Sheet2!$B$5:$H$29,7,FALSE),0)</x:f>
        <x:v>0</x:v>
      </x:c>
      <x:c r="I380">
        <x:f t="shared" si="6"/>
        <x:v>3960</x:v>
      </x:c>
    </x:row>
    <x:row r="381" spans="1:9" x14ac:dyDescent="0.15">
      <x:c r="A381">
        <x:v>54003</x:v>
      </x:c>
      <x:c r="B381">
        <x:v>1</x:v>
      </x:c>
      <x:c r="C381">
        <x:v>20</x:v>
      </x:c>
      <x:c r="D381">
        <x:f>ROUND($C381*10*VLOOKUP($B381,Sheet2!$J$5:$K$7,2,FALSE)*VLOOKUP(Sheet1!$A381,Sheet2!$B$5:$H$29,3,FALSE),0)</x:f>
        <x:v>120</x:v>
      </x:c>
      <x:c r="E381">
        <x:f>ROUND($C381*10*VLOOKUP($B381,Sheet2!$J$5:$K$7,2,FALSE)*VLOOKUP(Sheet1!$A381,Sheet2!$B$5:$H$29,4,FALSE),0)</x:f>
        <x:v>0</x:v>
      </x:c>
      <x:c r="F381">
        <x:f>ROUND($C381*10*VLOOKUP($B381,Sheet2!$J$5:$K$7,2,FALSE)*VLOOKUP(Sheet1!$A381,Sheet2!$B$5:$H$29,5,FALSE),0)</x:f>
        <x:v>32</x:v>
      </x:c>
      <x:c r="G381">
        <x:f>ROUND($C381*10*VLOOKUP($B381,Sheet2!$J$5:$K$7,2,FALSE)*VLOOKUP(Sheet1!$A381,Sheet2!$B$5:$H$29,6,FALSE),0)</x:f>
        <x:v>0</x:v>
      </x:c>
      <x:c r="H381">
        <x:f>ROUND($C381*10*VLOOKUP($B381,Sheet2!$J$5:$K$7,2,FALSE)*VLOOKUP(Sheet1!$A381,Sheet2!$B$5:$H$29,7,FALSE),0)</x:f>
        <x:v>0</x:v>
      </x:c>
      <x:c r="I381">
        <x:f t="shared" si="6"/>
        <x:v>4360</x:v>
      </x:c>
    </x:row>
    <x:row r="382" spans="1:9" x14ac:dyDescent="0.15">
      <x:c r="A382">
        <x:v>54003</x:v>
      </x:c>
      <x:c r="B382">
        <x:v>1</x:v>
      </x:c>
      <x:c r="C382">
        <x:v>21</x:v>
      </x:c>
      <x:c r="D382">
        <x:f>ROUND($C382*10*VLOOKUP($B382,Sheet2!$J$5:$K$7,2,FALSE)*VLOOKUP(Sheet1!$A382,Sheet2!$B$5:$H$29,3,FALSE),0)</x:f>
        <x:v>126</x:v>
      </x:c>
      <x:c r="E382">
        <x:f>ROUND($C382*10*VLOOKUP($B382,Sheet2!$J$5:$K$7,2,FALSE)*VLOOKUP(Sheet1!$A382,Sheet2!$B$5:$H$29,4,FALSE),0)</x:f>
        <x:v>0</x:v>
      </x:c>
      <x:c r="F382">
        <x:f>ROUND($C382*10*VLOOKUP($B382,Sheet2!$J$5:$K$7,2,FALSE)*VLOOKUP(Sheet1!$A382,Sheet2!$B$5:$H$29,5,FALSE),0)</x:f>
        <x:v>34</x:v>
      </x:c>
      <x:c r="G382">
        <x:f>ROUND($C382*10*VLOOKUP($B382,Sheet2!$J$5:$K$7,2,FALSE)*VLOOKUP(Sheet1!$A382,Sheet2!$B$5:$H$29,6,FALSE),0)</x:f>
        <x:v>0</x:v>
      </x:c>
      <x:c r="H382">
        <x:f>ROUND($C382*10*VLOOKUP($B382,Sheet2!$J$5:$K$7,2,FALSE)*VLOOKUP(Sheet1!$A382,Sheet2!$B$5:$H$29,7,FALSE),0)</x:f>
        <x:v>0</x:v>
      </x:c>
      <x:c r="I382">
        <x:f t="shared" si="6"/>
        <x:v>4780</x:v>
      </x:c>
    </x:row>
    <x:row r="383" spans="1:9" x14ac:dyDescent="0.15">
      <x:c r="A383">
        <x:v>54003</x:v>
      </x:c>
      <x:c r="B383">
        <x:v>1</x:v>
      </x:c>
      <x:c r="C383">
        <x:v>22</x:v>
      </x:c>
      <x:c r="D383">
        <x:f>ROUND($C383*10*VLOOKUP($B383,Sheet2!$J$5:$K$7,2,FALSE)*VLOOKUP(Sheet1!$A383,Sheet2!$B$5:$H$29,3,FALSE),0)</x:f>
        <x:v>132</x:v>
      </x:c>
      <x:c r="E383">
        <x:f>ROUND($C383*10*VLOOKUP($B383,Sheet2!$J$5:$K$7,2,FALSE)*VLOOKUP(Sheet1!$A383,Sheet2!$B$5:$H$29,4,FALSE),0)</x:f>
        <x:v>0</x:v>
      </x:c>
      <x:c r="F383">
        <x:f>ROUND($C383*10*VLOOKUP($B383,Sheet2!$J$5:$K$7,2,FALSE)*VLOOKUP(Sheet1!$A383,Sheet2!$B$5:$H$29,5,FALSE),0)</x:f>
        <x:v>35</x:v>
      </x:c>
      <x:c r="G383">
        <x:f>ROUND($C383*10*VLOOKUP($B383,Sheet2!$J$5:$K$7,2,FALSE)*VLOOKUP(Sheet1!$A383,Sheet2!$B$5:$H$29,6,FALSE),0)</x:f>
        <x:v>0</x:v>
      </x:c>
      <x:c r="H383">
        <x:f>ROUND($C383*10*VLOOKUP($B383,Sheet2!$J$5:$K$7,2,FALSE)*VLOOKUP(Sheet1!$A383,Sheet2!$B$5:$H$29,7,FALSE),0)</x:f>
        <x:v>0</x:v>
      </x:c>
      <x:c r="I383">
        <x:f t="shared" si="6"/>
        <x:v>5210</x:v>
      </x:c>
    </x:row>
    <x:row r="384" spans="1:9" x14ac:dyDescent="0.15">
      <x:c r="A384">
        <x:v>54003</x:v>
      </x:c>
      <x:c r="B384">
        <x:v>1</x:v>
      </x:c>
      <x:c r="C384">
        <x:v>23</x:v>
      </x:c>
      <x:c r="D384">
        <x:f>ROUND($C384*10*VLOOKUP($B384,Sheet2!$J$5:$K$7,2,FALSE)*VLOOKUP(Sheet1!$A384,Sheet2!$B$5:$H$29,3,FALSE),0)</x:f>
        <x:v>138</x:v>
      </x:c>
      <x:c r="E384">
        <x:f>ROUND($C384*10*VLOOKUP($B384,Sheet2!$J$5:$K$7,2,FALSE)*VLOOKUP(Sheet1!$A384,Sheet2!$B$5:$H$29,4,FALSE),0)</x:f>
        <x:v>0</x:v>
      </x:c>
      <x:c r="F384">
        <x:f>ROUND($C384*10*VLOOKUP($B384,Sheet2!$J$5:$K$7,2,FALSE)*VLOOKUP(Sheet1!$A384,Sheet2!$B$5:$H$29,5,FALSE),0)</x:f>
        <x:v>37</x:v>
      </x:c>
      <x:c r="G384">
        <x:f>ROUND($C384*10*VLOOKUP($B384,Sheet2!$J$5:$K$7,2,FALSE)*VLOOKUP(Sheet1!$A384,Sheet2!$B$5:$H$29,6,FALSE),0)</x:f>
        <x:v>0</x:v>
      </x:c>
      <x:c r="H384">
        <x:f>ROUND($C384*10*VLOOKUP($B384,Sheet2!$J$5:$K$7,2,FALSE)*VLOOKUP(Sheet1!$A384,Sheet2!$B$5:$H$29,7,FALSE),0)</x:f>
        <x:v>0</x:v>
      </x:c>
      <x:c r="I384">
        <x:f t="shared" si="6"/>
        <x:v>5660</x:v>
      </x:c>
    </x:row>
    <x:row r="385" spans="1:9" x14ac:dyDescent="0.15">
      <x:c r="A385">
        <x:v>54003</x:v>
      </x:c>
      <x:c r="B385">
        <x:v>1</x:v>
      </x:c>
      <x:c r="C385">
        <x:v>24</x:v>
      </x:c>
      <x:c r="D385">
        <x:f>ROUND($C385*10*VLOOKUP($B385,Sheet2!$J$5:$K$7,2,FALSE)*VLOOKUP(Sheet1!$A385,Sheet2!$B$5:$H$29,3,FALSE),0)</x:f>
        <x:v>144</x:v>
      </x:c>
      <x:c r="E385">
        <x:f>ROUND($C385*10*VLOOKUP($B385,Sheet2!$J$5:$K$7,2,FALSE)*VLOOKUP(Sheet1!$A385,Sheet2!$B$5:$H$29,4,FALSE),0)</x:f>
        <x:v>0</x:v>
      </x:c>
      <x:c r="F385">
        <x:f>ROUND($C385*10*VLOOKUP($B385,Sheet2!$J$5:$K$7,2,FALSE)*VLOOKUP(Sheet1!$A385,Sheet2!$B$5:$H$29,5,FALSE),0)</x:f>
        <x:v>38</x:v>
      </x:c>
      <x:c r="G385">
        <x:f>ROUND($C385*10*VLOOKUP($B385,Sheet2!$J$5:$K$7,2,FALSE)*VLOOKUP(Sheet1!$A385,Sheet2!$B$5:$H$29,6,FALSE),0)</x:f>
        <x:v>0</x:v>
      </x:c>
      <x:c r="H385">
        <x:f>ROUND($C385*10*VLOOKUP($B385,Sheet2!$J$5:$K$7,2,FALSE)*VLOOKUP(Sheet1!$A385,Sheet2!$B$5:$H$29,7,FALSE),0)</x:f>
        <x:v>0</x:v>
      </x:c>
      <x:c r="I385">
        <x:f t="shared" si="6"/>
        <x:v>6130</x:v>
      </x:c>
    </x:row>
    <x:row r="386" spans="1:9" x14ac:dyDescent="0.15">
      <x:c r="A386">
        <x:v>54003</x:v>
      </x:c>
      <x:c r="B386">
        <x:v>1</x:v>
      </x:c>
      <x:c r="C386">
        <x:v>25</x:v>
      </x:c>
      <x:c r="D386">
        <x:f>ROUND($C386*10*VLOOKUP($B386,Sheet2!$J$5:$K$7,2,FALSE)*VLOOKUP(Sheet1!$A386,Sheet2!$B$5:$H$29,3,FALSE),0)</x:f>
        <x:v>150</x:v>
      </x:c>
      <x:c r="E386">
        <x:f>ROUND($C386*10*VLOOKUP($B386,Sheet2!$J$5:$K$7,2,FALSE)*VLOOKUP(Sheet1!$A386,Sheet2!$B$5:$H$29,4,FALSE),0)</x:f>
        <x:v>0</x:v>
      </x:c>
      <x:c r="F386">
        <x:f>ROUND($C386*10*VLOOKUP($B386,Sheet2!$J$5:$K$7,2,FALSE)*VLOOKUP(Sheet1!$A386,Sheet2!$B$5:$H$29,5,FALSE),0)</x:f>
        <x:v>40</x:v>
      </x:c>
      <x:c r="G386">
        <x:f>ROUND($C386*10*VLOOKUP($B386,Sheet2!$J$5:$K$7,2,FALSE)*VLOOKUP(Sheet1!$A386,Sheet2!$B$5:$H$29,6,FALSE),0)</x:f>
        <x:v>0</x:v>
      </x:c>
      <x:c r="H386">
        <x:f>ROUND($C386*10*VLOOKUP($B386,Sheet2!$J$5:$K$7,2,FALSE)*VLOOKUP(Sheet1!$A386,Sheet2!$B$5:$H$29,7,FALSE),0)</x:f>
        <x:v>0</x:v>
      </x:c>
      <x:c r="I386">
        <x:f t="shared" si="6"/>
        <x:v>6620</x:v>
      </x:c>
    </x:row>
    <x:row r="387" spans="1:9" x14ac:dyDescent="0.15">
      <x:c r="A387">
        <x:v>54003</x:v>
      </x:c>
      <x:c r="B387">
        <x:v>1</x:v>
      </x:c>
      <x:c r="C387">
        <x:v>26</x:v>
      </x:c>
      <x:c r="D387">
        <x:f>ROUND($C387*10*VLOOKUP($B387,Sheet2!$J$5:$K$7,2,FALSE)*VLOOKUP(Sheet1!$A387,Sheet2!$B$5:$H$29,3,FALSE),0)</x:f>
        <x:v>156</x:v>
      </x:c>
      <x:c r="E387">
        <x:f>ROUND($C387*10*VLOOKUP($B387,Sheet2!$J$5:$K$7,2,FALSE)*VLOOKUP(Sheet1!$A387,Sheet2!$B$5:$H$29,4,FALSE),0)</x:f>
        <x:v>0</x:v>
      </x:c>
      <x:c r="F387">
        <x:f>ROUND($C387*10*VLOOKUP($B387,Sheet2!$J$5:$K$7,2,FALSE)*VLOOKUP(Sheet1!$A387,Sheet2!$B$5:$H$29,5,FALSE),0)</x:f>
        <x:v>42</x:v>
      </x:c>
      <x:c r="G387">
        <x:f>ROUND($C387*10*VLOOKUP($B387,Sheet2!$J$5:$K$7,2,FALSE)*VLOOKUP(Sheet1!$A387,Sheet2!$B$5:$H$29,6,FALSE),0)</x:f>
        <x:v>0</x:v>
      </x:c>
      <x:c r="H387">
        <x:f>ROUND($C387*10*VLOOKUP($B387,Sheet2!$J$5:$K$7,2,FALSE)*VLOOKUP(Sheet1!$A387,Sheet2!$B$5:$H$29,7,FALSE),0)</x:f>
        <x:v>0</x:v>
      </x:c>
      <x:c r="I387">
        <x:f t="shared" si="6"/>
        <x:v>7120</x:v>
      </x:c>
    </x:row>
    <x:row r="388" spans="1:9" x14ac:dyDescent="0.15">
      <x:c r="A388">
        <x:v>54003</x:v>
      </x:c>
      <x:c r="B388">
        <x:v>1</x:v>
      </x:c>
      <x:c r="C388">
        <x:v>27</x:v>
      </x:c>
      <x:c r="D388">
        <x:f>ROUND($C388*10*VLOOKUP($B388,Sheet2!$J$5:$K$7,2,FALSE)*VLOOKUP(Sheet1!$A388,Sheet2!$B$5:$H$29,3,FALSE),0)</x:f>
        <x:v>162</x:v>
      </x:c>
      <x:c r="E388">
        <x:f>ROUND($C388*10*VLOOKUP($B388,Sheet2!$J$5:$K$7,2,FALSE)*VLOOKUP(Sheet1!$A388,Sheet2!$B$5:$H$29,4,FALSE),0)</x:f>
        <x:v>0</x:v>
      </x:c>
      <x:c r="F388">
        <x:f>ROUND($C388*10*VLOOKUP($B388,Sheet2!$J$5:$K$7,2,FALSE)*VLOOKUP(Sheet1!$A388,Sheet2!$B$5:$H$29,5,FALSE),0)</x:f>
        <x:v>43</x:v>
      </x:c>
      <x:c r="G388">
        <x:f>ROUND($C388*10*VLOOKUP($B388,Sheet2!$J$5:$K$7,2,FALSE)*VLOOKUP(Sheet1!$A388,Sheet2!$B$5:$H$29,6,FALSE),0)</x:f>
        <x:v>0</x:v>
      </x:c>
      <x:c r="H388">
        <x:f>ROUND($C388*10*VLOOKUP($B388,Sheet2!$J$5:$K$7,2,FALSE)*VLOOKUP(Sheet1!$A388,Sheet2!$B$5:$H$29,7,FALSE),0)</x:f>
        <x:v>0</x:v>
      </x:c>
      <x:c r="I388">
        <x:f t="shared" si="6"/>
        <x:v>7640</x:v>
      </x:c>
    </x:row>
    <x:row r="389" spans="1:9" x14ac:dyDescent="0.15">
      <x:c r="A389">
        <x:v>54003</x:v>
      </x:c>
      <x:c r="B389">
        <x:v>1</x:v>
      </x:c>
      <x:c r="C389">
        <x:v>28</x:v>
      </x:c>
      <x:c r="D389">
        <x:f>ROUND($C389*10*VLOOKUP($B389,Sheet2!$J$5:$K$7,2,FALSE)*VLOOKUP(Sheet1!$A389,Sheet2!$B$5:$H$29,3,FALSE),0)</x:f>
        <x:v>168</x:v>
      </x:c>
      <x:c r="E389">
        <x:f>ROUND($C389*10*VLOOKUP($B389,Sheet2!$J$5:$K$7,2,FALSE)*VLOOKUP(Sheet1!$A389,Sheet2!$B$5:$H$29,4,FALSE),0)</x:f>
        <x:v>0</x:v>
      </x:c>
      <x:c r="F389">
        <x:f>ROUND($C389*10*VLOOKUP($B389,Sheet2!$J$5:$K$7,2,FALSE)*VLOOKUP(Sheet1!$A389,Sheet2!$B$5:$H$29,5,FALSE),0)</x:f>
        <x:v>45</x:v>
      </x:c>
      <x:c r="G389">
        <x:f>ROUND($C389*10*VLOOKUP($B389,Sheet2!$J$5:$K$7,2,FALSE)*VLOOKUP(Sheet1!$A389,Sheet2!$B$5:$H$29,6,FALSE),0)</x:f>
        <x:v>0</x:v>
      </x:c>
      <x:c r="H389">
        <x:f>ROUND($C389*10*VLOOKUP($B389,Sheet2!$J$5:$K$7,2,FALSE)*VLOOKUP(Sheet1!$A389,Sheet2!$B$5:$H$29,7,FALSE),0)</x:f>
        <x:v>0</x:v>
      </x:c>
      <x:c r="I389">
        <x:f t="shared" si="6"/>
        <x:v>8180</x:v>
      </x:c>
    </x:row>
    <x:row r="390" spans="1:9" x14ac:dyDescent="0.15">
      <x:c r="A390">
        <x:v>54003</x:v>
      </x:c>
      <x:c r="B390">
        <x:v>1</x:v>
      </x:c>
      <x:c r="C390">
        <x:v>29</x:v>
      </x:c>
      <x:c r="D390">
        <x:f>ROUND($C390*10*VLOOKUP($B390,Sheet2!$J$5:$K$7,2,FALSE)*VLOOKUP(Sheet1!$A390,Sheet2!$B$5:$H$29,3,FALSE),0)</x:f>
        <x:v>174</x:v>
      </x:c>
      <x:c r="E390">
        <x:f>ROUND($C390*10*VLOOKUP($B390,Sheet2!$J$5:$K$7,2,FALSE)*VLOOKUP(Sheet1!$A390,Sheet2!$B$5:$H$29,4,FALSE),0)</x:f>
        <x:v>0</x:v>
      </x:c>
      <x:c r="F390">
        <x:f>ROUND($C390*10*VLOOKUP($B390,Sheet2!$J$5:$K$7,2,FALSE)*VLOOKUP(Sheet1!$A390,Sheet2!$B$5:$H$29,5,FALSE),0)</x:f>
        <x:v>46</x:v>
      </x:c>
      <x:c r="G390">
        <x:f>ROUND($C390*10*VLOOKUP($B390,Sheet2!$J$5:$K$7,2,FALSE)*VLOOKUP(Sheet1!$A390,Sheet2!$B$5:$H$29,6,FALSE),0)</x:f>
        <x:v>0</x:v>
      </x:c>
      <x:c r="H390">
        <x:f>ROUND($C390*10*VLOOKUP($B390,Sheet2!$J$5:$K$7,2,FALSE)*VLOOKUP(Sheet1!$A390,Sheet2!$B$5:$H$29,7,FALSE),0)</x:f>
        <x:v>0</x:v>
      </x:c>
      <x:c r="I390">
        <x:f t="shared" si="6"/>
        <x:v>8730</x:v>
      </x:c>
    </x:row>
    <x:row r="391" spans="1:9" x14ac:dyDescent="0.15">
      <x:c r="A391">
        <x:v>54003</x:v>
      </x:c>
      <x:c r="B391">
        <x:v>1</x:v>
      </x:c>
      <x:c r="C391">
        <x:v>30</x:v>
      </x:c>
      <x:c r="D391">
        <x:f>ROUND($C391*10*VLOOKUP($B391,Sheet2!$J$5:$K$7,2,FALSE)*VLOOKUP(Sheet1!$A391,Sheet2!$B$5:$H$29,3,FALSE),0)</x:f>
        <x:v>180</x:v>
      </x:c>
      <x:c r="E391">
        <x:f>ROUND($C391*10*VLOOKUP($B391,Sheet2!$J$5:$K$7,2,FALSE)*VLOOKUP(Sheet1!$A391,Sheet2!$B$5:$H$29,4,FALSE),0)</x:f>
        <x:v>0</x:v>
      </x:c>
      <x:c r="F391">
        <x:f>ROUND($C391*10*VLOOKUP($B391,Sheet2!$J$5:$K$7,2,FALSE)*VLOOKUP(Sheet1!$A391,Sheet2!$B$5:$H$29,5,FALSE),0)</x:f>
        <x:v>48</x:v>
      </x:c>
      <x:c r="G391">
        <x:f>ROUND($C391*10*VLOOKUP($B391,Sheet2!$J$5:$K$7,2,FALSE)*VLOOKUP(Sheet1!$A391,Sheet2!$B$5:$H$29,6,FALSE),0)</x:f>
        <x:v>0</x:v>
      </x:c>
      <x:c r="H391">
        <x:f>ROUND($C391*10*VLOOKUP($B391,Sheet2!$J$5:$K$7,2,FALSE)*VLOOKUP(Sheet1!$A391,Sheet2!$B$5:$H$29,7,FALSE),0)</x:f>
        <x:v>0</x:v>
      </x:c>
      <x:c r="I391">
        <x:f t="shared" si="6"/>
        <x:v>9290</x:v>
      </x:c>
    </x:row>
    <x:row r="392" spans="1:9" x14ac:dyDescent="0.15">
      <x:c r="A392">
        <x:v>54003</x:v>
      </x:c>
      <x:c r="B392">
        <x:v>1</x:v>
      </x:c>
      <x:c r="C392">
        <x:v>31</x:v>
      </x:c>
      <x:c r="D392">
        <x:f>ROUND($C392*10*VLOOKUP($B392,Sheet2!$J$5:$K$7,2,FALSE)*VLOOKUP(Sheet1!$A392,Sheet2!$B$5:$H$29,3,FALSE),0)</x:f>
        <x:v>186</x:v>
      </x:c>
      <x:c r="E392">
        <x:f>ROUND($C392*10*VLOOKUP($B392,Sheet2!$J$5:$K$7,2,FALSE)*VLOOKUP(Sheet1!$A392,Sheet2!$B$5:$H$29,4,FALSE),0)</x:f>
        <x:v>0</x:v>
      </x:c>
      <x:c r="F392">
        <x:f>ROUND($C392*10*VLOOKUP($B392,Sheet2!$J$5:$K$7,2,FALSE)*VLOOKUP(Sheet1!$A392,Sheet2!$B$5:$H$29,5,FALSE),0)</x:f>
        <x:v>50</x:v>
      </x:c>
      <x:c r="G392">
        <x:f>ROUND($C392*10*VLOOKUP($B392,Sheet2!$J$5:$K$7,2,FALSE)*VLOOKUP(Sheet1!$A392,Sheet2!$B$5:$H$29,6,FALSE),0)</x:f>
        <x:v>0</x:v>
      </x:c>
      <x:c r="H392">
        <x:f>ROUND($C392*10*VLOOKUP($B392,Sheet2!$J$5:$K$7,2,FALSE)*VLOOKUP(Sheet1!$A392,Sheet2!$B$5:$H$29,7,FALSE),0)</x:f>
        <x:v>0</x:v>
      </x:c>
      <x:c r="I392">
        <x:f t="shared" si="6"/>
        <x:v>9880</x:v>
      </x:c>
    </x:row>
    <x:row r="393" spans="1:9" x14ac:dyDescent="0.15">
      <x:c r="A393">
        <x:v>54003</x:v>
      </x:c>
      <x:c r="B393">
        <x:v>1</x:v>
      </x:c>
      <x:c r="C393">
        <x:v>32</x:v>
      </x:c>
      <x:c r="D393">
        <x:f>ROUND($C393*10*VLOOKUP($B393,Sheet2!$J$5:$K$7,2,FALSE)*VLOOKUP(Sheet1!$A393,Sheet2!$B$5:$H$29,3,FALSE),0)</x:f>
        <x:v>192</x:v>
      </x:c>
      <x:c r="E393">
        <x:f>ROUND($C393*10*VLOOKUP($B393,Sheet2!$J$5:$K$7,2,FALSE)*VLOOKUP(Sheet1!$A393,Sheet2!$B$5:$H$29,4,FALSE),0)</x:f>
        <x:v>0</x:v>
      </x:c>
      <x:c r="F393">
        <x:f>ROUND($C393*10*VLOOKUP($B393,Sheet2!$J$5:$K$7,2,FALSE)*VLOOKUP(Sheet1!$A393,Sheet2!$B$5:$H$29,5,FALSE),0)</x:f>
        <x:v>51</x:v>
      </x:c>
      <x:c r="G393">
        <x:f>ROUND($C393*10*VLOOKUP($B393,Sheet2!$J$5:$K$7,2,FALSE)*VLOOKUP(Sheet1!$A393,Sheet2!$B$5:$H$29,6,FALSE),0)</x:f>
        <x:v>0</x:v>
      </x:c>
      <x:c r="H393">
        <x:f>ROUND($C393*10*VLOOKUP($B393,Sheet2!$J$5:$K$7,2,FALSE)*VLOOKUP(Sheet1!$A393,Sheet2!$B$5:$H$29,7,FALSE),0)</x:f>
        <x:v>0</x:v>
      </x:c>
      <x:c r="I393">
        <x:f t="shared" si="6"/>
        <x:v>10470</x:v>
      </x:c>
    </x:row>
    <x:row r="394" spans="1:9" x14ac:dyDescent="0.15">
      <x:c r="A394">
        <x:v>54003</x:v>
      </x:c>
      <x:c r="B394">
        <x:v>1</x:v>
      </x:c>
      <x:c r="C394">
        <x:v>33</x:v>
      </x:c>
      <x:c r="D394">
        <x:f>ROUND($C394*10*VLOOKUP($B394,Sheet2!$J$5:$K$7,2,FALSE)*VLOOKUP(Sheet1!$A394,Sheet2!$B$5:$H$29,3,FALSE),0)</x:f>
        <x:v>198</x:v>
      </x:c>
      <x:c r="E394">
        <x:f>ROUND($C394*10*VLOOKUP($B394,Sheet2!$J$5:$K$7,2,FALSE)*VLOOKUP(Sheet1!$A394,Sheet2!$B$5:$H$29,4,FALSE),0)</x:f>
        <x:v>0</x:v>
      </x:c>
      <x:c r="F394">
        <x:f>ROUND($C394*10*VLOOKUP($B394,Sheet2!$J$5:$K$7,2,FALSE)*VLOOKUP(Sheet1!$A394,Sheet2!$B$5:$H$29,5,FALSE),0)</x:f>
        <x:v>53</x:v>
      </x:c>
      <x:c r="G394">
        <x:f>ROUND($C394*10*VLOOKUP($B394,Sheet2!$J$5:$K$7,2,FALSE)*VLOOKUP(Sheet1!$A394,Sheet2!$B$5:$H$29,6,FALSE),0)</x:f>
        <x:v>0</x:v>
      </x:c>
      <x:c r="H394">
        <x:f>ROUND($C394*10*VLOOKUP($B394,Sheet2!$J$5:$K$7,2,FALSE)*VLOOKUP(Sheet1!$A394,Sheet2!$B$5:$H$29,7,FALSE),0)</x:f>
        <x:v>0</x:v>
      </x:c>
      <x:c r="I394">
        <x:f t="shared" si="6"/>
        <x:v>11090</x:v>
      </x:c>
    </x:row>
    <x:row r="395" spans="1:9" x14ac:dyDescent="0.15">
      <x:c r="A395">
        <x:v>54003</x:v>
      </x:c>
      <x:c r="B395">
        <x:v>1</x:v>
      </x:c>
      <x:c r="C395">
        <x:v>34</x:v>
      </x:c>
      <x:c r="D395">
        <x:f>ROUND($C395*10*VLOOKUP($B395,Sheet2!$J$5:$K$7,2,FALSE)*VLOOKUP(Sheet1!$A395,Sheet2!$B$5:$H$29,3,FALSE),0)</x:f>
        <x:v>204</x:v>
      </x:c>
      <x:c r="E395">
        <x:f>ROUND($C395*10*VLOOKUP($B395,Sheet2!$J$5:$K$7,2,FALSE)*VLOOKUP(Sheet1!$A395,Sheet2!$B$5:$H$29,4,FALSE),0)</x:f>
        <x:v>0</x:v>
      </x:c>
      <x:c r="F395">
        <x:f>ROUND($C395*10*VLOOKUP($B395,Sheet2!$J$5:$K$7,2,FALSE)*VLOOKUP(Sheet1!$A395,Sheet2!$B$5:$H$29,5,FALSE),0)</x:f>
        <x:v>54</x:v>
      </x:c>
      <x:c r="G395">
        <x:f>ROUND($C395*10*VLOOKUP($B395,Sheet2!$J$5:$K$7,2,FALSE)*VLOOKUP(Sheet1!$A395,Sheet2!$B$5:$H$29,6,FALSE),0)</x:f>
        <x:v>0</x:v>
      </x:c>
      <x:c r="H395">
        <x:f>ROUND($C395*10*VLOOKUP($B395,Sheet2!$J$5:$K$7,2,FALSE)*VLOOKUP(Sheet1!$A395,Sheet2!$B$5:$H$29,7,FALSE),0)</x:f>
        <x:v>0</x:v>
      </x:c>
      <x:c r="I395">
        <x:f t="shared" si="6"/>
        <x:v>11720</x:v>
      </x:c>
    </x:row>
    <x:row r="396" spans="1:9" x14ac:dyDescent="0.15">
      <x:c r="A396">
        <x:v>54003</x:v>
      </x:c>
      <x:c r="B396">
        <x:v>1</x:v>
      </x:c>
      <x:c r="C396">
        <x:v>35</x:v>
      </x:c>
      <x:c r="D396">
        <x:f>ROUND($C396*10*VLOOKUP($B396,Sheet2!$J$5:$K$7,2,FALSE)*VLOOKUP(Sheet1!$A396,Sheet2!$B$5:$H$29,3,FALSE),0)</x:f>
        <x:v>210</x:v>
      </x:c>
      <x:c r="E396">
        <x:f>ROUND($C396*10*VLOOKUP($B396,Sheet2!$J$5:$K$7,2,FALSE)*VLOOKUP(Sheet1!$A396,Sheet2!$B$5:$H$29,4,FALSE),0)</x:f>
        <x:v>0</x:v>
      </x:c>
      <x:c r="F396">
        <x:f>ROUND($C396*10*VLOOKUP($B396,Sheet2!$J$5:$K$7,2,FALSE)*VLOOKUP(Sheet1!$A396,Sheet2!$B$5:$H$29,5,FALSE),0)</x:f>
        <x:v>56</x:v>
      </x:c>
      <x:c r="G396">
        <x:f>ROUND($C396*10*VLOOKUP($B396,Sheet2!$J$5:$K$7,2,FALSE)*VLOOKUP(Sheet1!$A396,Sheet2!$B$5:$H$29,6,FALSE),0)</x:f>
        <x:v>0</x:v>
      </x:c>
      <x:c r="H396">
        <x:f>ROUND($C396*10*VLOOKUP($B396,Sheet2!$J$5:$K$7,2,FALSE)*VLOOKUP(Sheet1!$A396,Sheet2!$B$5:$H$29,7,FALSE),0)</x:f>
        <x:v>0</x:v>
      </x:c>
      <x:c r="I396">
        <x:f t="shared" si="6"/>
        <x:v>12360</x:v>
      </x:c>
    </x:row>
    <x:row r="397" spans="1:9" x14ac:dyDescent="0.15">
      <x:c r="A397">
        <x:v>54003</x:v>
      </x:c>
      <x:c r="B397">
        <x:v>1</x:v>
      </x:c>
      <x:c r="C397">
        <x:v>36</x:v>
      </x:c>
      <x:c r="D397">
        <x:f>ROUND($C397*10*VLOOKUP($B397,Sheet2!$J$5:$K$7,2,FALSE)*VLOOKUP(Sheet1!$A397,Sheet2!$B$5:$H$29,3,FALSE),0)</x:f>
        <x:v>216</x:v>
      </x:c>
      <x:c r="E397">
        <x:f>ROUND($C397*10*VLOOKUP($B397,Sheet2!$J$5:$K$7,2,FALSE)*VLOOKUP(Sheet1!$A397,Sheet2!$B$5:$H$29,4,FALSE),0)</x:f>
        <x:v>0</x:v>
      </x:c>
      <x:c r="F397">
        <x:f>ROUND($C397*10*VLOOKUP($B397,Sheet2!$J$5:$K$7,2,FALSE)*VLOOKUP(Sheet1!$A397,Sheet2!$B$5:$H$29,5,FALSE),0)</x:f>
        <x:v>58</x:v>
      </x:c>
      <x:c r="G397">
        <x:f>ROUND($C397*10*VLOOKUP($B397,Sheet2!$J$5:$K$7,2,FALSE)*VLOOKUP(Sheet1!$A397,Sheet2!$B$5:$H$29,6,FALSE),0)</x:f>
        <x:v>0</x:v>
      </x:c>
      <x:c r="H397">
        <x:f>ROUND($C397*10*VLOOKUP($B397,Sheet2!$J$5:$K$7,2,FALSE)*VLOOKUP(Sheet1!$A397,Sheet2!$B$5:$H$29,7,FALSE),0)</x:f>
        <x:v>0</x:v>
      </x:c>
      <x:c r="I397">
        <x:f t="shared" si="6"/>
        <x:v>13020</x:v>
      </x:c>
    </x:row>
    <x:row r="398" spans="1:9" x14ac:dyDescent="0.15">
      <x:c r="A398">
        <x:v>54003</x:v>
      </x:c>
      <x:c r="B398">
        <x:v>1</x:v>
      </x:c>
      <x:c r="C398">
        <x:v>37</x:v>
      </x:c>
      <x:c r="D398">
        <x:f>ROUND($C398*10*VLOOKUP($B398,Sheet2!$J$5:$K$7,2,FALSE)*VLOOKUP(Sheet1!$A398,Sheet2!$B$5:$H$29,3,FALSE),0)</x:f>
        <x:v>222</x:v>
      </x:c>
      <x:c r="E398">
        <x:f>ROUND($C398*10*VLOOKUP($B398,Sheet2!$J$5:$K$7,2,FALSE)*VLOOKUP(Sheet1!$A398,Sheet2!$B$5:$H$29,4,FALSE),0)</x:f>
        <x:v>0</x:v>
      </x:c>
      <x:c r="F398">
        <x:f>ROUND($C398*10*VLOOKUP($B398,Sheet2!$J$5:$K$7,2,FALSE)*VLOOKUP(Sheet1!$A398,Sheet2!$B$5:$H$29,5,FALSE),0)</x:f>
        <x:v>59</x:v>
      </x:c>
      <x:c r="G398">
        <x:f>ROUND($C398*10*VLOOKUP($B398,Sheet2!$J$5:$K$7,2,FALSE)*VLOOKUP(Sheet1!$A398,Sheet2!$B$5:$H$29,6,FALSE),0)</x:f>
        <x:v>0</x:v>
      </x:c>
      <x:c r="H398">
        <x:f>ROUND($C398*10*VLOOKUP($B398,Sheet2!$J$5:$K$7,2,FALSE)*VLOOKUP(Sheet1!$A398,Sheet2!$B$5:$H$29,7,FALSE),0)</x:f>
        <x:v>0</x:v>
      </x:c>
      <x:c r="I398">
        <x:f t="shared" si="6"/>
        <x:v>13700</x:v>
      </x:c>
    </x:row>
    <x:row r="399" spans="1:9" x14ac:dyDescent="0.15">
      <x:c r="A399">
        <x:v>54003</x:v>
      </x:c>
      <x:c r="B399">
        <x:v>1</x:v>
      </x:c>
      <x:c r="C399">
        <x:v>38</x:v>
      </x:c>
      <x:c r="D399">
        <x:f>ROUND($C399*10*VLOOKUP($B399,Sheet2!$J$5:$K$7,2,FALSE)*VLOOKUP(Sheet1!$A399,Sheet2!$B$5:$H$29,3,FALSE),0)</x:f>
        <x:v>228</x:v>
      </x:c>
      <x:c r="E399">
        <x:f>ROUND($C399*10*VLOOKUP($B399,Sheet2!$J$5:$K$7,2,FALSE)*VLOOKUP(Sheet1!$A399,Sheet2!$B$5:$H$29,4,FALSE),0)</x:f>
        <x:v>0</x:v>
      </x:c>
      <x:c r="F399">
        <x:f>ROUND($C399*10*VLOOKUP($B399,Sheet2!$J$5:$K$7,2,FALSE)*VLOOKUP(Sheet1!$A399,Sheet2!$B$5:$H$29,5,FALSE),0)</x:f>
        <x:v>61</x:v>
      </x:c>
      <x:c r="G399">
        <x:f>ROUND($C399*10*VLOOKUP($B399,Sheet2!$J$5:$K$7,2,FALSE)*VLOOKUP(Sheet1!$A399,Sheet2!$B$5:$H$29,6,FALSE),0)</x:f>
        <x:v>0</x:v>
      </x:c>
      <x:c r="H399">
        <x:f>ROUND($C399*10*VLOOKUP($B399,Sheet2!$J$5:$K$7,2,FALSE)*VLOOKUP(Sheet1!$A399,Sheet2!$B$5:$H$29,7,FALSE),0)</x:f>
        <x:v>0</x:v>
      </x:c>
      <x:c r="I399">
        <x:f t="shared" si="6"/>
        <x:v>14390</x:v>
      </x:c>
    </x:row>
    <x:row r="400" spans="1:9" x14ac:dyDescent="0.15">
      <x:c r="A400">
        <x:v>54003</x:v>
      </x:c>
      <x:c r="B400">
        <x:v>1</x:v>
      </x:c>
      <x:c r="C400">
        <x:v>39</x:v>
      </x:c>
      <x:c r="D400">
        <x:f>ROUND($C400*10*VLOOKUP($B400,Sheet2!$J$5:$K$7,2,FALSE)*VLOOKUP(Sheet1!$A400,Sheet2!$B$5:$H$29,3,FALSE),0)</x:f>
        <x:v>234</x:v>
      </x:c>
      <x:c r="E400">
        <x:f>ROUND($C400*10*VLOOKUP($B400,Sheet2!$J$5:$K$7,2,FALSE)*VLOOKUP(Sheet1!$A400,Sheet2!$B$5:$H$29,4,FALSE),0)</x:f>
        <x:v>0</x:v>
      </x:c>
      <x:c r="F400">
        <x:f>ROUND($C400*10*VLOOKUP($B400,Sheet2!$J$5:$K$7,2,FALSE)*VLOOKUP(Sheet1!$A400,Sheet2!$B$5:$H$29,5,FALSE),0)</x:f>
        <x:v>62</x:v>
      </x:c>
      <x:c r="G400">
        <x:f>ROUND($C400*10*VLOOKUP($B400,Sheet2!$J$5:$K$7,2,FALSE)*VLOOKUP(Sheet1!$A400,Sheet2!$B$5:$H$29,6,FALSE),0)</x:f>
        <x:v>0</x:v>
      </x:c>
      <x:c r="H400">
        <x:f>ROUND($C400*10*VLOOKUP($B400,Sheet2!$J$5:$K$7,2,FALSE)*VLOOKUP(Sheet1!$A400,Sheet2!$B$5:$H$29,7,FALSE),0)</x:f>
        <x:v>0</x:v>
      </x:c>
      <x:c r="I400">
        <x:f t="shared" si="6"/>
        <x:v>15100</x:v>
      </x:c>
    </x:row>
    <x:row r="401" spans="1:9" x14ac:dyDescent="0.15">
      <x:c r="A401">
        <x:v>54003</x:v>
      </x:c>
      <x:c r="B401">
        <x:v>1</x:v>
      </x:c>
      <x:c r="C401">
        <x:v>40</x:v>
      </x:c>
      <x:c r="D401">
        <x:f>ROUND($C401*10*VLOOKUP($B401,Sheet2!$J$5:$K$7,2,FALSE)*VLOOKUP(Sheet1!$A401,Sheet2!$B$5:$H$29,3,FALSE),0)</x:f>
        <x:v>240</x:v>
      </x:c>
      <x:c r="E401">
        <x:f>ROUND($C401*10*VLOOKUP($B401,Sheet2!$J$5:$K$7,2,FALSE)*VLOOKUP(Sheet1!$A401,Sheet2!$B$5:$H$29,4,FALSE),0)</x:f>
        <x:v>0</x:v>
      </x:c>
      <x:c r="F401">
        <x:f>ROUND($C401*10*VLOOKUP($B401,Sheet2!$J$5:$K$7,2,FALSE)*VLOOKUP(Sheet1!$A401,Sheet2!$B$5:$H$29,5,FALSE),0)</x:f>
        <x:v>64</x:v>
      </x:c>
      <x:c r="G401">
        <x:f>ROUND($C401*10*VLOOKUP($B401,Sheet2!$J$5:$K$7,2,FALSE)*VLOOKUP(Sheet1!$A401,Sheet2!$B$5:$H$29,6,FALSE),0)</x:f>
        <x:v>0</x:v>
      </x:c>
      <x:c r="H401">
        <x:f>ROUND($C401*10*VLOOKUP($B401,Sheet2!$J$5:$K$7,2,FALSE)*VLOOKUP(Sheet1!$A401,Sheet2!$B$5:$H$29,7,FALSE),0)</x:f>
        <x:v>0</x:v>
      </x:c>
      <x:c r="I401">
        <x:f t="shared" si="6"/>
        <x:v>15820</x:v>
      </x:c>
    </x:row>
    <x:row r="402" spans="1:9" x14ac:dyDescent="0.15">
      <x:c r="A402">
        <x:v>54003</x:v>
      </x:c>
      <x:c r="B402">
        <x:v>1</x:v>
      </x:c>
      <x:c r="C402">
        <x:v>41</x:v>
      </x:c>
      <x:c r="D402">
        <x:f>ROUND($C402*10*VLOOKUP($B402,Sheet2!$J$5:$K$7,2,FALSE)*VLOOKUP(Sheet1!$A402,Sheet2!$B$5:$H$29,3,FALSE),0)</x:f>
        <x:v>246</x:v>
      </x:c>
      <x:c r="E402">
        <x:f>ROUND($C402*10*VLOOKUP($B402,Sheet2!$J$5:$K$7,2,FALSE)*VLOOKUP(Sheet1!$A402,Sheet2!$B$5:$H$29,4,FALSE),0)</x:f>
        <x:v>0</x:v>
      </x:c>
      <x:c r="F402">
        <x:f>ROUND($C402*10*VLOOKUP($B402,Sheet2!$J$5:$K$7,2,FALSE)*VLOOKUP(Sheet1!$A402,Sheet2!$B$5:$H$29,5,FALSE),0)</x:f>
        <x:v>66</x:v>
      </x:c>
      <x:c r="G402">
        <x:f>ROUND($C402*10*VLOOKUP($B402,Sheet2!$J$5:$K$7,2,FALSE)*VLOOKUP(Sheet1!$A402,Sheet2!$B$5:$H$29,6,FALSE),0)</x:f>
        <x:v>0</x:v>
      </x:c>
      <x:c r="H402">
        <x:f>ROUND($C402*10*VLOOKUP($B402,Sheet2!$J$5:$K$7,2,FALSE)*VLOOKUP(Sheet1!$A402,Sheet2!$B$5:$H$29,7,FALSE),0)</x:f>
        <x:v>0</x:v>
      </x:c>
      <x:c r="I402">
        <x:f t="shared" si="6"/>
        <x:v>16560</x:v>
      </x:c>
    </x:row>
    <x:row r="403" spans="1:9" x14ac:dyDescent="0.15">
      <x:c r="A403">
        <x:v>54003</x:v>
      </x:c>
      <x:c r="B403">
        <x:v>1</x:v>
      </x:c>
      <x:c r="C403">
        <x:v>42</x:v>
      </x:c>
      <x:c r="D403">
        <x:f>ROUND($C403*10*VLOOKUP($B403,Sheet2!$J$5:$K$7,2,FALSE)*VLOOKUP(Sheet1!$A403,Sheet2!$B$5:$H$29,3,FALSE),0)</x:f>
        <x:v>252</x:v>
      </x:c>
      <x:c r="E403">
        <x:f>ROUND($C403*10*VLOOKUP($B403,Sheet2!$J$5:$K$7,2,FALSE)*VLOOKUP(Sheet1!$A403,Sheet2!$B$5:$H$29,4,FALSE),0)</x:f>
        <x:v>0</x:v>
      </x:c>
      <x:c r="F403">
        <x:f>ROUND($C403*10*VLOOKUP($B403,Sheet2!$J$5:$K$7,2,FALSE)*VLOOKUP(Sheet1!$A403,Sheet2!$B$5:$H$29,5,FALSE),0)</x:f>
        <x:v>67</x:v>
      </x:c>
      <x:c r="G403">
        <x:f>ROUND($C403*10*VLOOKUP($B403,Sheet2!$J$5:$K$7,2,FALSE)*VLOOKUP(Sheet1!$A403,Sheet2!$B$5:$H$29,6,FALSE),0)</x:f>
        <x:v>0</x:v>
      </x:c>
      <x:c r="H403">
        <x:f>ROUND($C403*10*VLOOKUP($B403,Sheet2!$J$5:$K$7,2,FALSE)*VLOOKUP(Sheet1!$A403,Sheet2!$B$5:$H$29,7,FALSE),0)</x:f>
        <x:v>0</x:v>
      </x:c>
      <x:c r="I403">
        <x:f t="shared" si="6"/>
        <x:v>17310</x:v>
      </x:c>
    </x:row>
    <x:row r="404" spans="1:9" x14ac:dyDescent="0.15">
      <x:c r="A404">
        <x:v>54003</x:v>
      </x:c>
      <x:c r="B404">
        <x:v>1</x:v>
      </x:c>
      <x:c r="C404">
        <x:v>43</x:v>
      </x:c>
      <x:c r="D404">
        <x:f>ROUND($C404*10*VLOOKUP($B404,Sheet2!$J$5:$K$7,2,FALSE)*VLOOKUP(Sheet1!$A404,Sheet2!$B$5:$H$29,3,FALSE),0)</x:f>
        <x:v>258</x:v>
      </x:c>
      <x:c r="E404">
        <x:f>ROUND($C404*10*VLOOKUP($B404,Sheet2!$J$5:$K$7,2,FALSE)*VLOOKUP(Sheet1!$A404,Sheet2!$B$5:$H$29,4,FALSE),0)</x:f>
        <x:v>0</x:v>
      </x:c>
      <x:c r="F404">
        <x:f>ROUND($C404*10*VLOOKUP($B404,Sheet2!$J$5:$K$7,2,FALSE)*VLOOKUP(Sheet1!$A404,Sheet2!$B$5:$H$29,5,FALSE),0)</x:f>
        <x:v>69</x:v>
      </x:c>
      <x:c r="G404">
        <x:f>ROUND($C404*10*VLOOKUP($B404,Sheet2!$J$5:$K$7,2,FALSE)*VLOOKUP(Sheet1!$A404,Sheet2!$B$5:$H$29,6,FALSE),0)</x:f>
        <x:v>0</x:v>
      </x:c>
      <x:c r="H404">
        <x:f>ROUND($C404*10*VLOOKUP($B404,Sheet2!$J$5:$K$7,2,FALSE)*VLOOKUP(Sheet1!$A404,Sheet2!$B$5:$H$29,7,FALSE),0)</x:f>
        <x:v>0</x:v>
      </x:c>
      <x:c r="I404">
        <x:f t="shared" si="6"/>
        <x:v>18070</x:v>
      </x:c>
    </x:row>
    <x:row r="405" spans="1:9" x14ac:dyDescent="0.15">
      <x:c r="A405">
        <x:v>54003</x:v>
      </x:c>
      <x:c r="B405">
        <x:v>1</x:v>
      </x:c>
      <x:c r="C405">
        <x:v>44</x:v>
      </x:c>
      <x:c r="D405">
        <x:f>ROUND($C405*10*VLOOKUP($B405,Sheet2!$J$5:$K$7,2,FALSE)*VLOOKUP(Sheet1!$A405,Sheet2!$B$5:$H$29,3,FALSE),0)</x:f>
        <x:v>264</x:v>
      </x:c>
      <x:c r="E405">
        <x:f>ROUND($C405*10*VLOOKUP($B405,Sheet2!$J$5:$K$7,2,FALSE)*VLOOKUP(Sheet1!$A405,Sheet2!$B$5:$H$29,4,FALSE),0)</x:f>
        <x:v>0</x:v>
      </x:c>
      <x:c r="F405">
        <x:f>ROUND($C405*10*VLOOKUP($B405,Sheet2!$J$5:$K$7,2,FALSE)*VLOOKUP(Sheet1!$A405,Sheet2!$B$5:$H$29,5,FALSE),0)</x:f>
        <x:v>70</x:v>
      </x:c>
      <x:c r="G405">
        <x:f>ROUND($C405*10*VLOOKUP($B405,Sheet2!$J$5:$K$7,2,FALSE)*VLOOKUP(Sheet1!$A405,Sheet2!$B$5:$H$29,6,FALSE),0)</x:f>
        <x:v>0</x:v>
      </x:c>
      <x:c r="H405">
        <x:f>ROUND($C405*10*VLOOKUP($B405,Sheet2!$J$5:$K$7,2,FALSE)*VLOOKUP(Sheet1!$A405,Sheet2!$B$5:$H$29,7,FALSE),0)</x:f>
        <x:v>0</x:v>
      </x:c>
      <x:c r="I405">
        <x:f t="shared" si="6"/>
        <x:v>18850</x:v>
      </x:c>
    </x:row>
    <x:row r="406" spans="1:9" x14ac:dyDescent="0.15">
      <x:c r="A406">
        <x:v>54003</x:v>
      </x:c>
      <x:c r="B406">
        <x:v>1</x:v>
      </x:c>
      <x:c r="C406">
        <x:v>45</x:v>
      </x:c>
      <x:c r="D406">
        <x:f>ROUND($C406*10*VLOOKUP($B406,Sheet2!$J$5:$K$7,2,FALSE)*VLOOKUP(Sheet1!$A406,Sheet2!$B$5:$H$29,3,FALSE),0)</x:f>
        <x:v>270</x:v>
      </x:c>
      <x:c r="E406">
        <x:f>ROUND($C406*10*VLOOKUP($B406,Sheet2!$J$5:$K$7,2,FALSE)*VLOOKUP(Sheet1!$A406,Sheet2!$B$5:$H$29,4,FALSE),0)</x:f>
        <x:v>0</x:v>
      </x:c>
      <x:c r="F406">
        <x:f>ROUND($C406*10*VLOOKUP($B406,Sheet2!$J$5:$K$7,2,FALSE)*VLOOKUP(Sheet1!$A406,Sheet2!$B$5:$H$29,5,FALSE),0)</x:f>
        <x:v>72</x:v>
      </x:c>
      <x:c r="G406">
        <x:f>ROUND($C406*10*VLOOKUP($B406,Sheet2!$J$5:$K$7,2,FALSE)*VLOOKUP(Sheet1!$A406,Sheet2!$B$5:$H$29,6,FALSE),0)</x:f>
        <x:v>0</x:v>
      </x:c>
      <x:c r="H406">
        <x:f>ROUND($C406*10*VLOOKUP($B406,Sheet2!$J$5:$K$7,2,FALSE)*VLOOKUP(Sheet1!$A406,Sheet2!$B$5:$H$29,7,FALSE),0)</x:f>
        <x:v>0</x:v>
      </x:c>
      <x:c r="I406">
        <x:f t="shared" si="6"/>
        <x:v>19650</x:v>
      </x:c>
    </x:row>
    <x:row r="407" spans="1:9" x14ac:dyDescent="0.15">
      <x:c r="A407">
        <x:v>54003</x:v>
      </x:c>
      <x:c r="B407">
        <x:v>1</x:v>
      </x:c>
      <x:c r="C407">
        <x:v>46</x:v>
      </x:c>
      <x:c r="D407">
        <x:f>ROUND($C407*10*VLOOKUP($B407,Sheet2!$J$5:$K$7,2,FALSE)*VLOOKUP(Sheet1!$A407,Sheet2!$B$5:$H$29,3,FALSE),0)</x:f>
        <x:v>276</x:v>
      </x:c>
      <x:c r="E407">
        <x:f>ROUND($C407*10*VLOOKUP($B407,Sheet2!$J$5:$K$7,2,FALSE)*VLOOKUP(Sheet1!$A407,Sheet2!$B$5:$H$29,4,FALSE),0)</x:f>
        <x:v>0</x:v>
      </x:c>
      <x:c r="F407">
        <x:f>ROUND($C407*10*VLOOKUP($B407,Sheet2!$J$5:$K$7,2,FALSE)*VLOOKUP(Sheet1!$A407,Sheet2!$B$5:$H$29,5,FALSE),0)</x:f>
        <x:v>74</x:v>
      </x:c>
      <x:c r="G407">
        <x:f>ROUND($C407*10*VLOOKUP($B407,Sheet2!$J$5:$K$7,2,FALSE)*VLOOKUP(Sheet1!$A407,Sheet2!$B$5:$H$29,6,FALSE),0)</x:f>
        <x:v>0</x:v>
      </x:c>
      <x:c r="H407">
        <x:f>ROUND($C407*10*VLOOKUP($B407,Sheet2!$J$5:$K$7,2,FALSE)*VLOOKUP(Sheet1!$A407,Sheet2!$B$5:$H$29,7,FALSE),0)</x:f>
        <x:v>0</x:v>
      </x:c>
      <x:c r="I407">
        <x:f t="shared" si="6"/>
        <x:v>20460</x:v>
      </x:c>
    </x:row>
    <x:row r="408" spans="1:9" x14ac:dyDescent="0.15">
      <x:c r="A408">
        <x:v>54003</x:v>
      </x:c>
      <x:c r="B408">
        <x:v>1</x:v>
      </x:c>
      <x:c r="C408">
        <x:v>47</x:v>
      </x:c>
      <x:c r="D408">
        <x:f>ROUND($C408*10*VLOOKUP($B408,Sheet2!$J$5:$K$7,2,FALSE)*VLOOKUP(Sheet1!$A408,Sheet2!$B$5:$H$29,3,FALSE),0)</x:f>
        <x:v>282</x:v>
      </x:c>
      <x:c r="E408">
        <x:f>ROUND($C408*10*VLOOKUP($B408,Sheet2!$J$5:$K$7,2,FALSE)*VLOOKUP(Sheet1!$A408,Sheet2!$B$5:$H$29,4,FALSE),0)</x:f>
        <x:v>0</x:v>
      </x:c>
      <x:c r="F408">
        <x:f>ROUND($C408*10*VLOOKUP($B408,Sheet2!$J$5:$K$7,2,FALSE)*VLOOKUP(Sheet1!$A408,Sheet2!$B$5:$H$29,5,FALSE),0)</x:f>
        <x:v>75</x:v>
      </x:c>
      <x:c r="G408">
        <x:f>ROUND($C408*10*VLOOKUP($B408,Sheet2!$J$5:$K$7,2,FALSE)*VLOOKUP(Sheet1!$A408,Sheet2!$B$5:$H$29,6,FALSE),0)</x:f>
        <x:v>0</x:v>
      </x:c>
      <x:c r="H408">
        <x:f>ROUND($C408*10*VLOOKUP($B408,Sheet2!$J$5:$K$7,2,FALSE)*VLOOKUP(Sheet1!$A408,Sheet2!$B$5:$H$29,7,FALSE),0)</x:f>
        <x:v>0</x:v>
      </x:c>
      <x:c r="I408">
        <x:f t="shared" si="6"/>
        <x:v>21280</x:v>
      </x:c>
    </x:row>
    <x:row r="409" spans="1:9" x14ac:dyDescent="0.15">
      <x:c r="A409">
        <x:v>54003</x:v>
      </x:c>
      <x:c r="B409">
        <x:v>1</x:v>
      </x:c>
      <x:c r="C409">
        <x:v>48</x:v>
      </x:c>
      <x:c r="D409">
        <x:f>ROUND($C409*10*VLOOKUP($B409,Sheet2!$J$5:$K$7,2,FALSE)*VLOOKUP(Sheet1!$A409,Sheet2!$B$5:$H$29,3,FALSE),0)</x:f>
        <x:v>288</x:v>
      </x:c>
      <x:c r="E409">
        <x:f>ROUND($C409*10*VLOOKUP($B409,Sheet2!$J$5:$K$7,2,FALSE)*VLOOKUP(Sheet1!$A409,Sheet2!$B$5:$H$29,4,FALSE),0)</x:f>
        <x:v>0</x:v>
      </x:c>
      <x:c r="F409">
        <x:f>ROUND($C409*10*VLOOKUP($B409,Sheet2!$J$5:$K$7,2,FALSE)*VLOOKUP(Sheet1!$A409,Sheet2!$B$5:$H$29,5,FALSE),0)</x:f>
        <x:v>77</x:v>
      </x:c>
      <x:c r="G409">
        <x:f>ROUND($C409*10*VLOOKUP($B409,Sheet2!$J$5:$K$7,2,FALSE)*VLOOKUP(Sheet1!$A409,Sheet2!$B$5:$H$29,6,FALSE),0)</x:f>
        <x:v>0</x:v>
      </x:c>
      <x:c r="H409">
        <x:f>ROUND($C409*10*VLOOKUP($B409,Sheet2!$J$5:$K$7,2,FALSE)*VLOOKUP(Sheet1!$A409,Sheet2!$B$5:$H$29,7,FALSE),0)</x:f>
        <x:v>0</x:v>
      </x:c>
      <x:c r="I409">
        <x:f t="shared" si="6"/>
        <x:v>22120</x:v>
      </x:c>
    </x:row>
    <x:row r="410" spans="1:9" x14ac:dyDescent="0.15">
      <x:c r="A410">
        <x:v>54003</x:v>
      </x:c>
      <x:c r="B410">
        <x:v>1</x:v>
      </x:c>
      <x:c r="C410">
        <x:v>49</x:v>
      </x:c>
      <x:c r="D410">
        <x:f>ROUND($C410*10*VLOOKUP($B410,Sheet2!$J$5:$K$7,2,FALSE)*VLOOKUP(Sheet1!$A410,Sheet2!$B$5:$H$29,3,FALSE),0)</x:f>
        <x:v>294</x:v>
      </x:c>
      <x:c r="E410">
        <x:f>ROUND($C410*10*VLOOKUP($B410,Sheet2!$J$5:$K$7,2,FALSE)*VLOOKUP(Sheet1!$A410,Sheet2!$B$5:$H$29,4,FALSE),0)</x:f>
        <x:v>0</x:v>
      </x:c>
      <x:c r="F410">
        <x:f>ROUND($C410*10*VLOOKUP($B410,Sheet2!$J$5:$K$7,2,FALSE)*VLOOKUP(Sheet1!$A410,Sheet2!$B$5:$H$29,5,FALSE),0)</x:f>
        <x:v>78</x:v>
      </x:c>
      <x:c r="G410">
        <x:f>ROUND($C410*10*VLOOKUP($B410,Sheet2!$J$5:$K$7,2,FALSE)*VLOOKUP(Sheet1!$A410,Sheet2!$B$5:$H$29,6,FALSE),0)</x:f>
        <x:v>0</x:v>
      </x:c>
      <x:c r="H410">
        <x:f>ROUND($C410*10*VLOOKUP($B410,Sheet2!$J$5:$K$7,2,FALSE)*VLOOKUP(Sheet1!$A410,Sheet2!$B$5:$H$29,7,FALSE),0)</x:f>
        <x:v>0</x:v>
      </x:c>
      <x:c r="I410">
        <x:f t="shared" si="6"/>
        <x:v>22970</x:v>
      </x:c>
    </x:row>
    <x:row r="411" spans="1:9" x14ac:dyDescent="0.15">
      <x:c r="A411">
        <x:v>54003</x:v>
      </x:c>
      <x:c r="B411">
        <x:v>1</x:v>
      </x:c>
      <x:c r="C411">
        <x:v>50</x:v>
      </x:c>
      <x:c r="D411">
        <x:f>ROUND($C411*10*VLOOKUP($B411,Sheet2!$J$5:$K$7,2,FALSE)*VLOOKUP(Sheet1!$A411,Sheet2!$B$5:$H$29,3,FALSE),0)</x:f>
        <x:v>300</x:v>
      </x:c>
      <x:c r="E411">
        <x:f>ROUND($C411*10*VLOOKUP($B411,Sheet2!$J$5:$K$7,2,FALSE)*VLOOKUP(Sheet1!$A411,Sheet2!$B$5:$H$29,4,FALSE),0)</x:f>
        <x:v>0</x:v>
      </x:c>
      <x:c r="F411">
        <x:f>ROUND($C411*10*VLOOKUP($B411,Sheet2!$J$5:$K$7,2,FALSE)*VLOOKUP(Sheet1!$A411,Sheet2!$B$5:$H$29,5,FALSE),0)</x:f>
        <x:v>80</x:v>
      </x:c>
      <x:c r="G411">
        <x:f>ROUND($C411*10*VLOOKUP($B411,Sheet2!$J$5:$K$7,2,FALSE)*VLOOKUP(Sheet1!$A411,Sheet2!$B$5:$H$29,6,FALSE),0)</x:f>
        <x:v>0</x:v>
      </x:c>
      <x:c r="H411">
        <x:f>ROUND($C411*10*VLOOKUP($B411,Sheet2!$J$5:$K$7,2,FALSE)*VLOOKUP(Sheet1!$A411,Sheet2!$B$5:$H$29,7,FALSE),0)</x:f>
        <x:v>0</x:v>
      </x:c>
      <x:c r="I411">
        <x:f t="shared" si="6"/>
        <x:v>23840</x:v>
      </x:c>
    </x:row>
    <x:row r="412" spans="1:9" x14ac:dyDescent="0.15">
      <x:c r="A412">
        <x:v>54003</x:v>
      </x:c>
      <x:c r="B412">
        <x:v>1</x:v>
      </x:c>
      <x:c r="C412">
        <x:v>51</x:v>
      </x:c>
      <x:c r="D412">
        <x:f>ROUND($C412*10*VLOOKUP($B412,Sheet2!$J$5:$K$7,2,FALSE)*VLOOKUP(Sheet1!$A412,Sheet2!$B$5:$H$29,3,FALSE),0)</x:f>
        <x:v>306</x:v>
      </x:c>
      <x:c r="E412">
        <x:f>ROUND($C412*10*VLOOKUP($B412,Sheet2!$J$5:$K$7,2,FALSE)*VLOOKUP(Sheet1!$A412,Sheet2!$B$5:$H$29,4,FALSE),0)</x:f>
        <x:v>0</x:v>
      </x:c>
      <x:c r="F412">
        <x:f>ROUND($C412*10*VLOOKUP($B412,Sheet2!$J$5:$K$7,2,FALSE)*VLOOKUP(Sheet1!$A412,Sheet2!$B$5:$H$29,5,FALSE),0)</x:f>
        <x:v>82</x:v>
      </x:c>
      <x:c r="G412">
        <x:f>ROUND($C412*10*VLOOKUP($B412,Sheet2!$J$5:$K$7,2,FALSE)*VLOOKUP(Sheet1!$A412,Sheet2!$B$5:$H$29,6,FALSE),0)</x:f>
        <x:v>0</x:v>
      </x:c>
      <x:c r="H412">
        <x:f>ROUND($C412*10*VLOOKUP($B412,Sheet2!$J$5:$K$7,2,FALSE)*VLOOKUP(Sheet1!$A412,Sheet2!$B$5:$H$29,7,FALSE),0)</x:f>
        <x:v>0</x:v>
      </x:c>
      <x:c r="I412">
        <x:f t="shared" si="6"/>
        <x:v>24720</x:v>
      </x:c>
    </x:row>
    <x:row r="413" spans="1:9" x14ac:dyDescent="0.15">
      <x:c r="A413">
        <x:v>54003</x:v>
      </x:c>
      <x:c r="B413">
        <x:v>1</x:v>
      </x:c>
      <x:c r="C413">
        <x:v>52</x:v>
      </x:c>
      <x:c r="D413">
        <x:f>ROUND($C413*10*VLOOKUP($B413,Sheet2!$J$5:$K$7,2,FALSE)*VLOOKUP(Sheet1!$A413,Sheet2!$B$5:$H$29,3,FALSE),0)</x:f>
        <x:v>312</x:v>
      </x:c>
      <x:c r="E413">
        <x:f>ROUND($C413*10*VLOOKUP($B413,Sheet2!$J$5:$K$7,2,FALSE)*VLOOKUP(Sheet1!$A413,Sheet2!$B$5:$H$29,4,FALSE),0)</x:f>
        <x:v>0</x:v>
      </x:c>
      <x:c r="F413">
        <x:f>ROUND($C413*10*VLOOKUP($B413,Sheet2!$J$5:$K$7,2,FALSE)*VLOOKUP(Sheet1!$A413,Sheet2!$B$5:$H$29,5,FALSE),0)</x:f>
        <x:v>83</x:v>
      </x:c>
      <x:c r="G413">
        <x:f>ROUND($C413*10*VLOOKUP($B413,Sheet2!$J$5:$K$7,2,FALSE)*VLOOKUP(Sheet1!$A413,Sheet2!$B$5:$H$29,6,FALSE),0)</x:f>
        <x:v>0</x:v>
      </x:c>
      <x:c r="H413">
        <x:f>ROUND($C413*10*VLOOKUP($B413,Sheet2!$J$5:$K$7,2,FALSE)*VLOOKUP(Sheet1!$A413,Sheet2!$B$5:$H$29,7,FALSE),0)</x:f>
        <x:v>0</x:v>
      </x:c>
      <x:c r="I413">
        <x:f t="shared" si="6"/>
        <x:v>25620</x:v>
      </x:c>
    </x:row>
    <x:row r="414" spans="1:9" x14ac:dyDescent="0.15">
      <x:c r="A414">
        <x:v>54003</x:v>
      </x:c>
      <x:c r="B414">
        <x:v>1</x:v>
      </x:c>
      <x:c r="C414">
        <x:v>53</x:v>
      </x:c>
      <x:c r="D414">
        <x:f>ROUND($C414*10*VLOOKUP($B414,Sheet2!$J$5:$K$7,2,FALSE)*VLOOKUP(Sheet1!$A414,Sheet2!$B$5:$H$29,3,FALSE),0)</x:f>
        <x:v>318</x:v>
      </x:c>
      <x:c r="E414">
        <x:f>ROUND($C414*10*VLOOKUP($B414,Sheet2!$J$5:$K$7,2,FALSE)*VLOOKUP(Sheet1!$A414,Sheet2!$B$5:$H$29,4,FALSE),0)</x:f>
        <x:v>0</x:v>
      </x:c>
      <x:c r="F414">
        <x:f>ROUND($C414*10*VLOOKUP($B414,Sheet2!$J$5:$K$7,2,FALSE)*VLOOKUP(Sheet1!$A414,Sheet2!$B$5:$H$29,5,FALSE),0)</x:f>
        <x:v>85</x:v>
      </x:c>
      <x:c r="G414">
        <x:f>ROUND($C414*10*VLOOKUP($B414,Sheet2!$J$5:$K$7,2,FALSE)*VLOOKUP(Sheet1!$A414,Sheet2!$B$5:$H$29,6,FALSE),0)</x:f>
        <x:v>0</x:v>
      </x:c>
      <x:c r="H414">
        <x:f>ROUND($C414*10*VLOOKUP($B414,Sheet2!$J$5:$K$7,2,FALSE)*VLOOKUP(Sheet1!$A414,Sheet2!$B$5:$H$29,7,FALSE),0)</x:f>
        <x:v>0</x:v>
      </x:c>
      <x:c r="I414">
        <x:f t="shared" si="6"/>
        <x:v>26530</x:v>
      </x:c>
    </x:row>
    <x:row r="415" spans="1:9" x14ac:dyDescent="0.15">
      <x:c r="A415">
        <x:v>54003</x:v>
      </x:c>
      <x:c r="B415">
        <x:v>1</x:v>
      </x:c>
      <x:c r="C415">
        <x:v>54</x:v>
      </x:c>
      <x:c r="D415">
        <x:f>ROUND($C415*10*VLOOKUP($B415,Sheet2!$J$5:$K$7,2,FALSE)*VLOOKUP(Sheet1!$A415,Sheet2!$B$5:$H$29,3,FALSE),0)</x:f>
        <x:v>324</x:v>
      </x:c>
      <x:c r="E415">
        <x:f>ROUND($C415*10*VLOOKUP($B415,Sheet2!$J$5:$K$7,2,FALSE)*VLOOKUP(Sheet1!$A415,Sheet2!$B$5:$H$29,4,FALSE),0)</x:f>
        <x:v>0</x:v>
      </x:c>
      <x:c r="F415">
        <x:f>ROUND($C415*10*VLOOKUP($B415,Sheet2!$J$5:$K$7,2,FALSE)*VLOOKUP(Sheet1!$A415,Sheet2!$B$5:$H$29,5,FALSE),0)</x:f>
        <x:v>86</x:v>
      </x:c>
      <x:c r="G415">
        <x:f>ROUND($C415*10*VLOOKUP($B415,Sheet2!$J$5:$K$7,2,FALSE)*VLOOKUP(Sheet1!$A415,Sheet2!$B$5:$H$29,6,FALSE),0)</x:f>
        <x:v>0</x:v>
      </x:c>
      <x:c r="H415">
        <x:f>ROUND($C415*10*VLOOKUP($B415,Sheet2!$J$5:$K$7,2,FALSE)*VLOOKUP(Sheet1!$A415,Sheet2!$B$5:$H$29,7,FALSE),0)</x:f>
        <x:v>0</x:v>
      </x:c>
      <x:c r="I415">
        <x:f t="shared" si="6"/>
        <x:v>27460</x:v>
      </x:c>
    </x:row>
    <x:row r="416" spans="1:9" x14ac:dyDescent="0.15">
      <x:c r="A416">
        <x:v>54003</x:v>
      </x:c>
      <x:c r="B416">
        <x:v>1</x:v>
      </x:c>
      <x:c r="C416">
        <x:v>55</x:v>
      </x:c>
      <x:c r="D416">
        <x:f>ROUND($C416*10*VLOOKUP($B416,Sheet2!$J$5:$K$7,2,FALSE)*VLOOKUP(Sheet1!$A416,Sheet2!$B$5:$H$29,3,FALSE),0)</x:f>
        <x:v>330</x:v>
      </x:c>
      <x:c r="E416">
        <x:f>ROUND($C416*10*VLOOKUP($B416,Sheet2!$J$5:$K$7,2,FALSE)*VLOOKUP(Sheet1!$A416,Sheet2!$B$5:$H$29,4,FALSE),0)</x:f>
        <x:v>0</x:v>
      </x:c>
      <x:c r="F416">
        <x:f>ROUND($C416*10*VLOOKUP($B416,Sheet2!$J$5:$K$7,2,FALSE)*VLOOKUP(Sheet1!$A416,Sheet2!$B$5:$H$29,5,FALSE),0)</x:f>
        <x:v>88</x:v>
      </x:c>
      <x:c r="G416">
        <x:f>ROUND($C416*10*VLOOKUP($B416,Sheet2!$J$5:$K$7,2,FALSE)*VLOOKUP(Sheet1!$A416,Sheet2!$B$5:$H$29,6,FALSE),0)</x:f>
        <x:v>0</x:v>
      </x:c>
      <x:c r="H416">
        <x:f>ROUND($C416*10*VLOOKUP($B416,Sheet2!$J$5:$K$7,2,FALSE)*VLOOKUP(Sheet1!$A416,Sheet2!$B$5:$H$29,7,FALSE),0)</x:f>
        <x:v>0</x:v>
      </x:c>
      <x:c r="I416">
        <x:f t="shared" si="6"/>
        <x:v>28390</x:v>
      </x:c>
    </x:row>
    <x:row r="417" spans="1:9" x14ac:dyDescent="0.15">
      <x:c r="A417">
        <x:v>54003</x:v>
      </x:c>
      <x:c r="B417">
        <x:v>1</x:v>
      </x:c>
      <x:c r="C417">
        <x:v>56</x:v>
      </x:c>
      <x:c r="D417">
        <x:f>ROUND($C417*10*VLOOKUP($B417,Sheet2!$J$5:$K$7,2,FALSE)*VLOOKUP(Sheet1!$A417,Sheet2!$B$5:$H$29,3,FALSE),0)</x:f>
        <x:v>336</x:v>
      </x:c>
      <x:c r="E417">
        <x:f>ROUND($C417*10*VLOOKUP($B417,Sheet2!$J$5:$K$7,2,FALSE)*VLOOKUP(Sheet1!$A417,Sheet2!$B$5:$H$29,4,FALSE),0)</x:f>
        <x:v>0</x:v>
      </x:c>
      <x:c r="F417">
        <x:f>ROUND($C417*10*VLOOKUP($B417,Sheet2!$J$5:$K$7,2,FALSE)*VLOOKUP(Sheet1!$A417,Sheet2!$B$5:$H$29,5,FALSE),0)</x:f>
        <x:v>90</x:v>
      </x:c>
      <x:c r="G417">
        <x:f>ROUND($C417*10*VLOOKUP($B417,Sheet2!$J$5:$K$7,2,FALSE)*VLOOKUP(Sheet1!$A417,Sheet2!$B$5:$H$29,6,FALSE),0)</x:f>
        <x:v>0</x:v>
      </x:c>
      <x:c r="H417">
        <x:f>ROUND($C417*10*VLOOKUP($B417,Sheet2!$J$5:$K$7,2,FALSE)*VLOOKUP(Sheet1!$A417,Sheet2!$B$5:$H$29,7,FALSE),0)</x:f>
        <x:v>0</x:v>
      </x:c>
      <x:c r="I417">
        <x:f t="shared" si="6"/>
        <x:v>29350</x:v>
      </x:c>
    </x:row>
    <x:row r="418" spans="1:9" x14ac:dyDescent="0.15">
      <x:c r="A418">
        <x:v>54003</x:v>
      </x:c>
      <x:c r="B418">
        <x:v>1</x:v>
      </x:c>
      <x:c r="C418">
        <x:v>57</x:v>
      </x:c>
      <x:c r="D418">
        <x:f>ROUND($C418*10*VLOOKUP($B418,Sheet2!$J$5:$K$7,2,FALSE)*VLOOKUP(Sheet1!$A418,Sheet2!$B$5:$H$29,3,FALSE),0)</x:f>
        <x:v>342</x:v>
      </x:c>
      <x:c r="E418">
        <x:f>ROUND($C418*10*VLOOKUP($B418,Sheet2!$J$5:$K$7,2,FALSE)*VLOOKUP(Sheet1!$A418,Sheet2!$B$5:$H$29,4,FALSE),0)</x:f>
        <x:v>0</x:v>
      </x:c>
      <x:c r="F418">
        <x:f>ROUND($C418*10*VLOOKUP($B418,Sheet2!$J$5:$K$7,2,FALSE)*VLOOKUP(Sheet1!$A418,Sheet2!$B$5:$H$29,5,FALSE),0)</x:f>
        <x:v>91</x:v>
      </x:c>
      <x:c r="G418">
        <x:f>ROUND($C418*10*VLOOKUP($B418,Sheet2!$J$5:$K$7,2,FALSE)*VLOOKUP(Sheet1!$A418,Sheet2!$B$5:$H$29,6,FALSE),0)</x:f>
        <x:v>0</x:v>
      </x:c>
      <x:c r="H418">
        <x:f>ROUND($C418*10*VLOOKUP($B418,Sheet2!$J$5:$K$7,2,FALSE)*VLOOKUP(Sheet1!$A418,Sheet2!$B$5:$H$29,7,FALSE),0)</x:f>
        <x:v>0</x:v>
      </x:c>
      <x:c r="I418">
        <x:f t="shared" si="6"/>
        <x:v>30310</x:v>
      </x:c>
    </x:row>
    <x:row r="419" spans="1:9" x14ac:dyDescent="0.15">
      <x:c r="A419">
        <x:v>54003</x:v>
      </x:c>
      <x:c r="B419">
        <x:v>1</x:v>
      </x:c>
      <x:c r="C419">
        <x:v>58</x:v>
      </x:c>
      <x:c r="D419">
        <x:f>ROUND($C419*10*VLOOKUP($B419,Sheet2!$J$5:$K$7,2,FALSE)*VLOOKUP(Sheet1!$A419,Sheet2!$B$5:$H$29,3,FALSE),0)</x:f>
        <x:v>348</x:v>
      </x:c>
      <x:c r="E419">
        <x:f>ROUND($C419*10*VLOOKUP($B419,Sheet2!$J$5:$K$7,2,FALSE)*VLOOKUP(Sheet1!$A419,Sheet2!$B$5:$H$29,4,FALSE),0)</x:f>
        <x:v>0</x:v>
      </x:c>
      <x:c r="F419">
        <x:f>ROUND($C419*10*VLOOKUP($B419,Sheet2!$J$5:$K$7,2,FALSE)*VLOOKUP(Sheet1!$A419,Sheet2!$B$5:$H$29,5,FALSE),0)</x:f>
        <x:v>93</x:v>
      </x:c>
      <x:c r="G419">
        <x:f>ROUND($C419*10*VLOOKUP($B419,Sheet2!$J$5:$K$7,2,FALSE)*VLOOKUP(Sheet1!$A419,Sheet2!$B$5:$H$29,6,FALSE),0)</x:f>
        <x:v>0</x:v>
      </x:c>
      <x:c r="H419">
        <x:f>ROUND($C419*10*VLOOKUP($B419,Sheet2!$J$5:$K$7,2,FALSE)*VLOOKUP(Sheet1!$A419,Sheet2!$B$5:$H$29,7,FALSE),0)</x:f>
        <x:v>0</x:v>
      </x:c>
      <x:c r="I419">
        <x:f t="shared" si="6"/>
        <x:v>31290</x:v>
      </x:c>
    </x:row>
    <x:row r="420" spans="1:9" x14ac:dyDescent="0.15">
      <x:c r="A420">
        <x:v>54003</x:v>
      </x:c>
      <x:c r="B420">
        <x:v>1</x:v>
      </x:c>
      <x:c r="C420">
        <x:v>59</x:v>
      </x:c>
      <x:c r="D420">
        <x:f>ROUND($C420*10*VLOOKUP($B420,Sheet2!$J$5:$K$7,2,FALSE)*VLOOKUP(Sheet1!$A420,Sheet2!$B$5:$H$29,3,FALSE),0)</x:f>
        <x:v>354</x:v>
      </x:c>
      <x:c r="E420">
        <x:f>ROUND($C420*10*VLOOKUP($B420,Sheet2!$J$5:$K$7,2,FALSE)*VLOOKUP(Sheet1!$A420,Sheet2!$B$5:$H$29,4,FALSE),0)</x:f>
        <x:v>0</x:v>
      </x:c>
      <x:c r="F420">
        <x:f>ROUND($C420*10*VLOOKUP($B420,Sheet2!$J$5:$K$7,2,FALSE)*VLOOKUP(Sheet1!$A420,Sheet2!$B$5:$H$29,5,FALSE),0)</x:f>
        <x:v>94</x:v>
      </x:c>
      <x:c r="G420">
        <x:f>ROUND($C420*10*VLOOKUP($B420,Sheet2!$J$5:$K$7,2,FALSE)*VLOOKUP(Sheet1!$A420,Sheet2!$B$5:$H$29,6,FALSE),0)</x:f>
        <x:v>0</x:v>
      </x:c>
      <x:c r="H420">
        <x:f>ROUND($C420*10*VLOOKUP($B420,Sheet2!$J$5:$K$7,2,FALSE)*VLOOKUP(Sheet1!$A420,Sheet2!$B$5:$H$29,7,FALSE),0)</x:f>
        <x:v>0</x:v>
      </x:c>
      <x:c r="I420">
        <x:f t="shared" si="6"/>
        <x:v>32290</x:v>
      </x:c>
    </x:row>
    <x:row r="421" spans="1:9" x14ac:dyDescent="0.15">
      <x:c r="A421">
        <x:v>54003</x:v>
      </x:c>
      <x:c r="B421">
        <x:v>1</x:v>
      </x:c>
      <x:c r="C421">
        <x:v>60</x:v>
      </x:c>
      <x:c r="D421">
        <x:f>ROUND($C421*10*VLOOKUP($B421,Sheet2!$J$5:$K$7,2,FALSE)*VLOOKUP(Sheet1!$A421,Sheet2!$B$5:$H$29,3,FALSE),0)</x:f>
        <x:v>360</x:v>
      </x:c>
      <x:c r="E421">
        <x:f>ROUND($C421*10*VLOOKUP($B421,Sheet2!$J$5:$K$7,2,FALSE)*VLOOKUP(Sheet1!$A421,Sheet2!$B$5:$H$29,4,FALSE),0)</x:f>
        <x:v>0</x:v>
      </x:c>
      <x:c r="F421">
        <x:f>ROUND($C421*10*VLOOKUP($B421,Sheet2!$J$5:$K$7,2,FALSE)*VLOOKUP(Sheet1!$A421,Sheet2!$B$5:$H$29,5,FALSE),0)</x:f>
        <x:v>96</x:v>
      </x:c>
      <x:c r="G421">
        <x:f>ROUND($C421*10*VLOOKUP($B421,Sheet2!$J$5:$K$7,2,FALSE)*VLOOKUP(Sheet1!$A421,Sheet2!$B$5:$H$29,6,FALSE),0)</x:f>
        <x:v>0</x:v>
      </x:c>
      <x:c r="H421">
        <x:f>ROUND($C421*10*VLOOKUP($B421,Sheet2!$J$5:$K$7,2,FALSE)*VLOOKUP(Sheet1!$A421,Sheet2!$B$5:$H$29,7,FALSE),0)</x:f>
        <x:v>0</x:v>
      </x:c>
      <x:c r="I421">
        <x:f t="shared" si="6"/>
        <x:v>33290</x:v>
      </x:c>
    </x:row>
    <x:row r="422" spans="1:9" x14ac:dyDescent="0.15">
      <x:c r="A422">
        <x:v>54003</x:v>
      </x:c>
      <x:c r="B422">
        <x:v>2</x:v>
      </x:c>
      <x:c r="C422">
        <x:v>1</x:v>
      </x:c>
      <x:c r="D422">
        <x:f>ROUND($C422*10*VLOOKUP($B422,Sheet2!$J$5:$K$7,2,FALSE)*VLOOKUP(Sheet1!$A422,Sheet2!$B$5:$H$29,3,FALSE),0)</x:f>
        <x:v>7</x:v>
      </x:c>
      <x:c r="E422">
        <x:f>ROUND($C422*10*VLOOKUP($B422,Sheet2!$J$5:$K$7,2,FALSE)*VLOOKUP(Sheet1!$A422,Sheet2!$B$5:$H$29,4,FALSE),0)</x:f>
        <x:v>0</x:v>
      </x:c>
      <x:c r="F422">
        <x:f>ROUND($C422*10*VLOOKUP($B422,Sheet2!$J$5:$K$7,2,FALSE)*VLOOKUP(Sheet1!$A422,Sheet2!$B$5:$H$29,5,FALSE),0)</x:f>
        <x:v>2</x:v>
      </x:c>
      <x:c r="G422">
        <x:f>ROUND($C422*10*VLOOKUP($B422,Sheet2!$J$5:$K$7,2,FALSE)*VLOOKUP(Sheet1!$A422,Sheet2!$B$5:$H$29,6,FALSE),0)</x:f>
        <x:v>0</x:v>
      </x:c>
      <x:c r="H422">
        <x:f>ROUND($C422*10*VLOOKUP($B422,Sheet2!$J$5:$K$7,2,FALSE)*VLOOKUP(Sheet1!$A422,Sheet2!$B$5:$H$29,7,FALSE),0)</x:f>
        <x:v>0</x:v>
      </x:c>
      <x:c r="I422">
        <x:f t="shared" ref="I422:I481" si="7">ROUND(1.2*10*3.5*(C422-1)^1.8+60,-1)</x:f>
        <x:v>60</x:v>
      </x:c>
    </x:row>
    <x:row r="423" spans="1:9" x14ac:dyDescent="0.15">
      <x:c r="A423">
        <x:v>54003</x:v>
      </x:c>
      <x:c r="B423">
        <x:v>2</x:v>
      </x:c>
      <x:c r="C423">
        <x:v>2</x:v>
      </x:c>
      <x:c r="D423">
        <x:f>ROUND($C423*10*VLOOKUP($B423,Sheet2!$J$5:$K$7,2,FALSE)*VLOOKUP(Sheet1!$A423,Sheet2!$B$5:$H$29,3,FALSE),0)</x:f>
        <x:v>14</x:v>
      </x:c>
      <x:c r="E423">
        <x:f>ROUND($C423*10*VLOOKUP($B423,Sheet2!$J$5:$K$7,2,FALSE)*VLOOKUP(Sheet1!$A423,Sheet2!$B$5:$H$29,4,FALSE),0)</x:f>
        <x:v>0</x:v>
      </x:c>
      <x:c r="F423">
        <x:f>ROUND($C423*10*VLOOKUP($B423,Sheet2!$J$5:$K$7,2,FALSE)*VLOOKUP(Sheet1!$A423,Sheet2!$B$5:$H$29,5,FALSE),0)</x:f>
        <x:v>4</x:v>
      </x:c>
      <x:c r="G423">
        <x:f>ROUND($C423*10*VLOOKUP($B423,Sheet2!$J$5:$K$7,2,FALSE)*VLOOKUP(Sheet1!$A423,Sheet2!$B$5:$H$29,6,FALSE),0)</x:f>
        <x:v>0</x:v>
      </x:c>
      <x:c r="H423">
        <x:f>ROUND($C423*10*VLOOKUP($B423,Sheet2!$J$5:$K$7,2,FALSE)*VLOOKUP(Sheet1!$A423,Sheet2!$B$5:$H$29,7,FALSE),0)</x:f>
        <x:v>0</x:v>
      </x:c>
      <x:c r="I423">
        <x:f t="shared" si="7"/>
        <x:v>100</x:v>
      </x:c>
    </x:row>
    <x:row r="424" spans="1:9" x14ac:dyDescent="0.15">
      <x:c r="A424">
        <x:v>54003</x:v>
      </x:c>
      <x:c r="B424">
        <x:v>2</x:v>
      </x:c>
      <x:c r="C424">
        <x:v>3</x:v>
      </x:c>
      <x:c r="D424">
        <x:f>ROUND($C424*10*VLOOKUP($B424,Sheet2!$J$5:$K$7,2,FALSE)*VLOOKUP(Sheet1!$A424,Sheet2!$B$5:$H$29,3,FALSE),0)</x:f>
        <x:v>22</x:v>
      </x:c>
      <x:c r="E424">
        <x:f>ROUND($C424*10*VLOOKUP($B424,Sheet2!$J$5:$K$7,2,FALSE)*VLOOKUP(Sheet1!$A424,Sheet2!$B$5:$H$29,4,FALSE),0)</x:f>
        <x:v>0</x:v>
      </x:c>
      <x:c r="F424">
        <x:f>ROUND($C424*10*VLOOKUP($B424,Sheet2!$J$5:$K$7,2,FALSE)*VLOOKUP(Sheet1!$A424,Sheet2!$B$5:$H$29,5,FALSE),0)</x:f>
        <x:v>6</x:v>
      </x:c>
      <x:c r="G424">
        <x:f>ROUND($C424*10*VLOOKUP($B424,Sheet2!$J$5:$K$7,2,FALSE)*VLOOKUP(Sheet1!$A424,Sheet2!$B$5:$H$29,6,FALSE),0)</x:f>
        <x:v>0</x:v>
      </x:c>
      <x:c r="H424">
        <x:f>ROUND($C424*10*VLOOKUP($B424,Sheet2!$J$5:$K$7,2,FALSE)*VLOOKUP(Sheet1!$A424,Sheet2!$B$5:$H$29,7,FALSE),0)</x:f>
        <x:v>0</x:v>
      </x:c>
      <x:c r="I424">
        <x:f t="shared" si="7"/>
        <x:v>210</x:v>
      </x:c>
    </x:row>
    <x:row r="425" spans="1:9" x14ac:dyDescent="0.15">
      <x:c r="A425">
        <x:v>54003</x:v>
      </x:c>
      <x:c r="B425">
        <x:v>2</x:v>
      </x:c>
      <x:c r="C425">
        <x:v>4</x:v>
      </x:c>
      <x:c r="D425">
        <x:f>ROUND($C425*10*VLOOKUP($B425,Sheet2!$J$5:$K$7,2,FALSE)*VLOOKUP(Sheet1!$A425,Sheet2!$B$5:$H$29,3,FALSE),0)</x:f>
        <x:v>29</x:v>
      </x:c>
      <x:c r="E425">
        <x:f>ROUND($C425*10*VLOOKUP($B425,Sheet2!$J$5:$K$7,2,FALSE)*VLOOKUP(Sheet1!$A425,Sheet2!$B$5:$H$29,4,FALSE),0)</x:f>
        <x:v>0</x:v>
      </x:c>
      <x:c r="F425">
        <x:f>ROUND($C425*10*VLOOKUP($B425,Sheet2!$J$5:$K$7,2,FALSE)*VLOOKUP(Sheet1!$A425,Sheet2!$B$5:$H$29,5,FALSE),0)</x:f>
        <x:v>8</x:v>
      </x:c>
      <x:c r="G425">
        <x:f>ROUND($C425*10*VLOOKUP($B425,Sheet2!$J$5:$K$7,2,FALSE)*VLOOKUP(Sheet1!$A425,Sheet2!$B$5:$H$29,6,FALSE),0)</x:f>
        <x:v>0</x:v>
      </x:c>
      <x:c r="H425">
        <x:f>ROUND($C425*10*VLOOKUP($B425,Sheet2!$J$5:$K$7,2,FALSE)*VLOOKUP(Sheet1!$A425,Sheet2!$B$5:$H$29,7,FALSE),0)</x:f>
        <x:v>0</x:v>
      </x:c>
      <x:c r="I425">
        <x:f t="shared" si="7"/>
        <x:v>360</x:v>
      </x:c>
    </x:row>
    <x:row r="426" spans="1:9" x14ac:dyDescent="0.15">
      <x:c r="A426">
        <x:v>54003</x:v>
      </x:c>
      <x:c r="B426">
        <x:v>2</x:v>
      </x:c>
      <x:c r="C426">
        <x:v>5</x:v>
      </x:c>
      <x:c r="D426">
        <x:f>ROUND($C426*10*VLOOKUP($B426,Sheet2!$J$5:$K$7,2,FALSE)*VLOOKUP(Sheet1!$A426,Sheet2!$B$5:$H$29,3,FALSE),0)</x:f>
        <x:v>36</x:v>
      </x:c>
      <x:c r="E426">
        <x:f>ROUND($C426*10*VLOOKUP($B426,Sheet2!$J$5:$K$7,2,FALSE)*VLOOKUP(Sheet1!$A426,Sheet2!$B$5:$H$29,4,FALSE),0)</x:f>
        <x:v>0</x:v>
      </x:c>
      <x:c r="F426">
        <x:f>ROUND($C426*10*VLOOKUP($B426,Sheet2!$J$5:$K$7,2,FALSE)*VLOOKUP(Sheet1!$A426,Sheet2!$B$5:$H$29,5,FALSE),0)</x:f>
        <x:v>10</x:v>
      </x:c>
      <x:c r="G426">
        <x:f>ROUND($C426*10*VLOOKUP($B426,Sheet2!$J$5:$K$7,2,FALSE)*VLOOKUP(Sheet1!$A426,Sheet2!$B$5:$H$29,6,FALSE),0)</x:f>
        <x:v>0</x:v>
      </x:c>
      <x:c r="H426">
        <x:f>ROUND($C426*10*VLOOKUP($B426,Sheet2!$J$5:$K$7,2,FALSE)*VLOOKUP(Sheet1!$A426,Sheet2!$B$5:$H$29,7,FALSE),0)</x:f>
        <x:v>0</x:v>
      </x:c>
      <x:c r="I426">
        <x:f t="shared" si="7"/>
        <x:v>570</x:v>
      </x:c>
    </x:row>
    <x:row r="427" spans="1:9" x14ac:dyDescent="0.15">
      <x:c r="A427">
        <x:v>54003</x:v>
      </x:c>
      <x:c r="B427">
        <x:v>2</x:v>
      </x:c>
      <x:c r="C427">
        <x:v>6</x:v>
      </x:c>
      <x:c r="D427">
        <x:f>ROUND($C427*10*VLOOKUP($B427,Sheet2!$J$5:$K$7,2,FALSE)*VLOOKUP(Sheet1!$A427,Sheet2!$B$5:$H$29,3,FALSE),0)</x:f>
        <x:v>43</x:v>
      </x:c>
      <x:c r="E427">
        <x:f>ROUND($C427*10*VLOOKUP($B427,Sheet2!$J$5:$K$7,2,FALSE)*VLOOKUP(Sheet1!$A427,Sheet2!$B$5:$H$29,4,FALSE),0)</x:f>
        <x:v>0</x:v>
      </x:c>
      <x:c r="F427">
        <x:f>ROUND($C427*10*VLOOKUP($B427,Sheet2!$J$5:$K$7,2,FALSE)*VLOOKUP(Sheet1!$A427,Sheet2!$B$5:$H$29,5,FALSE),0)</x:f>
        <x:v>12</x:v>
      </x:c>
      <x:c r="G427">
        <x:f>ROUND($C427*10*VLOOKUP($B427,Sheet2!$J$5:$K$7,2,FALSE)*VLOOKUP(Sheet1!$A427,Sheet2!$B$5:$H$29,6,FALSE),0)</x:f>
        <x:v>0</x:v>
      </x:c>
      <x:c r="H427">
        <x:f>ROUND($C427*10*VLOOKUP($B427,Sheet2!$J$5:$K$7,2,FALSE)*VLOOKUP(Sheet1!$A427,Sheet2!$B$5:$H$29,7,FALSE),0)</x:f>
        <x:v>0</x:v>
      </x:c>
      <x:c r="I427">
        <x:f t="shared" si="7"/>
        <x:v>820</x:v>
      </x:c>
    </x:row>
    <x:row r="428" spans="1:9" x14ac:dyDescent="0.15">
      <x:c r="A428">
        <x:v>54003</x:v>
      </x:c>
      <x:c r="B428">
        <x:v>2</x:v>
      </x:c>
      <x:c r="C428">
        <x:v>7</x:v>
      </x:c>
      <x:c r="D428">
        <x:f>ROUND($C428*10*VLOOKUP($B428,Sheet2!$J$5:$K$7,2,FALSE)*VLOOKUP(Sheet1!$A428,Sheet2!$B$5:$H$29,3,FALSE),0)</x:f>
        <x:v>50</x:v>
      </x:c>
      <x:c r="E428">
        <x:f>ROUND($C428*10*VLOOKUP($B428,Sheet2!$J$5:$K$7,2,FALSE)*VLOOKUP(Sheet1!$A428,Sheet2!$B$5:$H$29,4,FALSE),0)</x:f>
        <x:v>0</x:v>
      </x:c>
      <x:c r="F428">
        <x:f>ROUND($C428*10*VLOOKUP($B428,Sheet2!$J$5:$K$7,2,FALSE)*VLOOKUP(Sheet1!$A428,Sheet2!$B$5:$H$29,5,FALSE),0)</x:f>
        <x:v>13</x:v>
      </x:c>
      <x:c r="G428">
        <x:f>ROUND($C428*10*VLOOKUP($B428,Sheet2!$J$5:$K$7,2,FALSE)*VLOOKUP(Sheet1!$A428,Sheet2!$B$5:$H$29,6,FALSE),0)</x:f>
        <x:v>0</x:v>
      </x:c>
      <x:c r="H428">
        <x:f>ROUND($C428*10*VLOOKUP($B428,Sheet2!$J$5:$K$7,2,FALSE)*VLOOKUP(Sheet1!$A428,Sheet2!$B$5:$H$29,7,FALSE),0)</x:f>
        <x:v>0</x:v>
      </x:c>
      <x:c r="I428">
        <x:f t="shared" si="7"/>
        <x:v>1120</x:v>
      </x:c>
    </x:row>
    <x:row r="429" spans="1:9" x14ac:dyDescent="0.15">
      <x:c r="A429">
        <x:v>54003</x:v>
      </x:c>
      <x:c r="B429">
        <x:v>2</x:v>
      </x:c>
      <x:c r="C429">
        <x:v>8</x:v>
      </x:c>
      <x:c r="D429">
        <x:f>ROUND($C429*10*VLOOKUP($B429,Sheet2!$J$5:$K$7,2,FALSE)*VLOOKUP(Sheet1!$A429,Sheet2!$B$5:$H$29,3,FALSE),0)</x:f>
        <x:v>58</x:v>
      </x:c>
      <x:c r="E429">
        <x:f>ROUND($C429*10*VLOOKUP($B429,Sheet2!$J$5:$K$7,2,FALSE)*VLOOKUP(Sheet1!$A429,Sheet2!$B$5:$H$29,4,FALSE),0)</x:f>
        <x:v>0</x:v>
      </x:c>
      <x:c r="F429">
        <x:f>ROUND($C429*10*VLOOKUP($B429,Sheet2!$J$5:$K$7,2,FALSE)*VLOOKUP(Sheet1!$A429,Sheet2!$B$5:$H$29,5,FALSE),0)</x:f>
        <x:v>15</x:v>
      </x:c>
      <x:c r="G429">
        <x:f>ROUND($C429*10*VLOOKUP($B429,Sheet2!$J$5:$K$7,2,FALSE)*VLOOKUP(Sheet1!$A429,Sheet2!$B$5:$H$29,6,FALSE),0)</x:f>
        <x:v>0</x:v>
      </x:c>
      <x:c r="H429">
        <x:f>ROUND($C429*10*VLOOKUP($B429,Sheet2!$J$5:$K$7,2,FALSE)*VLOOKUP(Sheet1!$A429,Sheet2!$B$5:$H$29,7,FALSE),0)</x:f>
        <x:v>0</x:v>
      </x:c>
      <x:c r="I429">
        <x:f t="shared" si="7"/>
        <x:v>1450</x:v>
      </x:c>
    </x:row>
    <x:row r="430" spans="1:9" x14ac:dyDescent="0.15">
      <x:c r="A430">
        <x:v>54003</x:v>
      </x:c>
      <x:c r="B430">
        <x:v>2</x:v>
      </x:c>
      <x:c r="C430">
        <x:v>9</x:v>
      </x:c>
      <x:c r="D430">
        <x:f>ROUND($C430*10*VLOOKUP($B430,Sheet2!$J$5:$K$7,2,FALSE)*VLOOKUP(Sheet1!$A430,Sheet2!$B$5:$H$29,3,FALSE),0)</x:f>
        <x:v>65</x:v>
      </x:c>
      <x:c r="E430">
        <x:f>ROUND($C430*10*VLOOKUP($B430,Sheet2!$J$5:$K$7,2,FALSE)*VLOOKUP(Sheet1!$A430,Sheet2!$B$5:$H$29,4,FALSE),0)</x:f>
        <x:v>0</x:v>
      </x:c>
      <x:c r="F430">
        <x:f>ROUND($C430*10*VLOOKUP($B430,Sheet2!$J$5:$K$7,2,FALSE)*VLOOKUP(Sheet1!$A430,Sheet2!$B$5:$H$29,5,FALSE),0)</x:f>
        <x:v>17</x:v>
      </x:c>
      <x:c r="G430">
        <x:f>ROUND($C430*10*VLOOKUP($B430,Sheet2!$J$5:$K$7,2,FALSE)*VLOOKUP(Sheet1!$A430,Sheet2!$B$5:$H$29,6,FALSE),0)</x:f>
        <x:v>0</x:v>
      </x:c>
      <x:c r="H430">
        <x:f>ROUND($C430*10*VLOOKUP($B430,Sheet2!$J$5:$K$7,2,FALSE)*VLOOKUP(Sheet1!$A430,Sheet2!$B$5:$H$29,7,FALSE),0)</x:f>
        <x:v>0</x:v>
      </x:c>
      <x:c r="I430">
        <x:f t="shared" si="7"/>
        <x:v>1830</x:v>
      </x:c>
    </x:row>
    <x:row r="431" spans="1:9" x14ac:dyDescent="0.15">
      <x:c r="A431">
        <x:v>54003</x:v>
      </x:c>
      <x:c r="B431">
        <x:v>2</x:v>
      </x:c>
      <x:c r="C431">
        <x:v>10</x:v>
      </x:c>
      <x:c r="D431">
        <x:f>ROUND($C431*10*VLOOKUP($B431,Sheet2!$J$5:$K$7,2,FALSE)*VLOOKUP(Sheet1!$A431,Sheet2!$B$5:$H$29,3,FALSE),0)</x:f>
        <x:v>72</x:v>
      </x:c>
      <x:c r="E431">
        <x:f>ROUND($C431*10*VLOOKUP($B431,Sheet2!$J$5:$K$7,2,FALSE)*VLOOKUP(Sheet1!$A431,Sheet2!$B$5:$H$29,4,FALSE),0)</x:f>
        <x:v>0</x:v>
      </x:c>
      <x:c r="F431">
        <x:f>ROUND($C431*10*VLOOKUP($B431,Sheet2!$J$5:$K$7,2,FALSE)*VLOOKUP(Sheet1!$A431,Sheet2!$B$5:$H$29,5,FALSE),0)</x:f>
        <x:v>19</x:v>
      </x:c>
      <x:c r="G431">
        <x:f>ROUND($C431*10*VLOOKUP($B431,Sheet2!$J$5:$K$7,2,FALSE)*VLOOKUP(Sheet1!$A431,Sheet2!$B$5:$H$29,6,FALSE),0)</x:f>
        <x:v>0</x:v>
      </x:c>
      <x:c r="H431">
        <x:f>ROUND($C431*10*VLOOKUP($B431,Sheet2!$J$5:$K$7,2,FALSE)*VLOOKUP(Sheet1!$A431,Sheet2!$B$5:$H$29,7,FALSE),0)</x:f>
        <x:v>0</x:v>
      </x:c>
      <x:c r="I431">
        <x:f t="shared" si="7"/>
        <x:v>2250</x:v>
      </x:c>
    </x:row>
    <x:row r="432" spans="1:9" x14ac:dyDescent="0.15">
      <x:c r="A432">
        <x:v>54003</x:v>
      </x:c>
      <x:c r="B432">
        <x:v>2</x:v>
      </x:c>
      <x:c r="C432">
        <x:v>11</x:v>
      </x:c>
      <x:c r="D432">
        <x:f>ROUND($C432*10*VLOOKUP($B432,Sheet2!$J$5:$K$7,2,FALSE)*VLOOKUP(Sheet1!$A432,Sheet2!$B$5:$H$29,3,FALSE),0)</x:f>
        <x:v>79</x:v>
      </x:c>
      <x:c r="E432">
        <x:f>ROUND($C432*10*VLOOKUP($B432,Sheet2!$J$5:$K$7,2,FALSE)*VLOOKUP(Sheet1!$A432,Sheet2!$B$5:$H$29,4,FALSE),0)</x:f>
        <x:v>0</x:v>
      </x:c>
      <x:c r="F432">
        <x:f>ROUND($C432*10*VLOOKUP($B432,Sheet2!$J$5:$K$7,2,FALSE)*VLOOKUP(Sheet1!$A432,Sheet2!$B$5:$H$29,5,FALSE),0)</x:f>
        <x:v>21</x:v>
      </x:c>
      <x:c r="G432">
        <x:f>ROUND($C432*10*VLOOKUP($B432,Sheet2!$J$5:$K$7,2,FALSE)*VLOOKUP(Sheet1!$A432,Sheet2!$B$5:$H$29,6,FALSE),0)</x:f>
        <x:v>0</x:v>
      </x:c>
      <x:c r="H432">
        <x:f>ROUND($C432*10*VLOOKUP($B432,Sheet2!$J$5:$K$7,2,FALSE)*VLOOKUP(Sheet1!$A432,Sheet2!$B$5:$H$29,7,FALSE),0)</x:f>
        <x:v>0</x:v>
      </x:c>
      <x:c r="I432">
        <x:f t="shared" si="7"/>
        <x:v>2710</x:v>
      </x:c>
    </x:row>
    <x:row r="433" spans="1:9" x14ac:dyDescent="0.15">
      <x:c r="A433">
        <x:v>54003</x:v>
      </x:c>
      <x:c r="B433">
        <x:v>2</x:v>
      </x:c>
      <x:c r="C433">
        <x:v>12</x:v>
      </x:c>
      <x:c r="D433">
        <x:f>ROUND($C433*10*VLOOKUP($B433,Sheet2!$J$5:$K$7,2,FALSE)*VLOOKUP(Sheet1!$A433,Sheet2!$B$5:$H$29,3,FALSE),0)</x:f>
        <x:v>86</x:v>
      </x:c>
      <x:c r="E433">
        <x:f>ROUND($C433*10*VLOOKUP($B433,Sheet2!$J$5:$K$7,2,FALSE)*VLOOKUP(Sheet1!$A433,Sheet2!$B$5:$H$29,4,FALSE),0)</x:f>
        <x:v>0</x:v>
      </x:c>
      <x:c r="F433">
        <x:f>ROUND($C433*10*VLOOKUP($B433,Sheet2!$J$5:$K$7,2,FALSE)*VLOOKUP(Sheet1!$A433,Sheet2!$B$5:$H$29,5,FALSE),0)</x:f>
        <x:v>23</x:v>
      </x:c>
      <x:c r="G433">
        <x:f>ROUND($C433*10*VLOOKUP($B433,Sheet2!$J$5:$K$7,2,FALSE)*VLOOKUP(Sheet1!$A433,Sheet2!$B$5:$H$29,6,FALSE),0)</x:f>
        <x:v>0</x:v>
      </x:c>
      <x:c r="H433">
        <x:f>ROUND($C433*10*VLOOKUP($B433,Sheet2!$J$5:$K$7,2,FALSE)*VLOOKUP(Sheet1!$A433,Sheet2!$B$5:$H$29,7,FALSE),0)</x:f>
        <x:v>0</x:v>
      </x:c>
      <x:c r="I433">
        <x:f t="shared" si="7"/>
        <x:v>3210</x:v>
      </x:c>
    </x:row>
    <x:row r="434" spans="1:9" x14ac:dyDescent="0.15">
      <x:c r="A434">
        <x:v>54003</x:v>
      </x:c>
      <x:c r="B434">
        <x:v>2</x:v>
      </x:c>
      <x:c r="C434">
        <x:v>13</x:v>
      </x:c>
      <x:c r="D434">
        <x:f>ROUND($C434*10*VLOOKUP($B434,Sheet2!$J$5:$K$7,2,FALSE)*VLOOKUP(Sheet1!$A434,Sheet2!$B$5:$H$29,3,FALSE),0)</x:f>
        <x:v>94</x:v>
      </x:c>
      <x:c r="E434">
        <x:f>ROUND($C434*10*VLOOKUP($B434,Sheet2!$J$5:$K$7,2,FALSE)*VLOOKUP(Sheet1!$A434,Sheet2!$B$5:$H$29,4,FALSE),0)</x:f>
        <x:v>0</x:v>
      </x:c>
      <x:c r="F434">
        <x:f>ROUND($C434*10*VLOOKUP($B434,Sheet2!$J$5:$K$7,2,FALSE)*VLOOKUP(Sheet1!$A434,Sheet2!$B$5:$H$29,5,FALSE),0)</x:f>
        <x:v>25</x:v>
      </x:c>
      <x:c r="G434">
        <x:f>ROUND($C434*10*VLOOKUP($B434,Sheet2!$J$5:$K$7,2,FALSE)*VLOOKUP(Sheet1!$A434,Sheet2!$B$5:$H$29,6,FALSE),0)</x:f>
        <x:v>0</x:v>
      </x:c>
      <x:c r="H434">
        <x:f>ROUND($C434*10*VLOOKUP($B434,Sheet2!$J$5:$K$7,2,FALSE)*VLOOKUP(Sheet1!$A434,Sheet2!$B$5:$H$29,7,FALSE),0)</x:f>
        <x:v>0</x:v>
      </x:c>
      <x:c r="I434">
        <x:f t="shared" si="7"/>
        <x:v>3740</x:v>
      </x:c>
    </x:row>
    <x:row r="435" spans="1:9" x14ac:dyDescent="0.15">
      <x:c r="A435">
        <x:v>54003</x:v>
      </x:c>
      <x:c r="B435">
        <x:v>2</x:v>
      </x:c>
      <x:c r="C435">
        <x:v>14</x:v>
      </x:c>
      <x:c r="D435">
        <x:f>ROUND($C435*10*VLOOKUP($B435,Sheet2!$J$5:$K$7,2,FALSE)*VLOOKUP(Sheet1!$A435,Sheet2!$B$5:$H$29,3,FALSE),0)</x:f>
        <x:v>101</x:v>
      </x:c>
      <x:c r="E435">
        <x:f>ROUND($C435*10*VLOOKUP($B435,Sheet2!$J$5:$K$7,2,FALSE)*VLOOKUP(Sheet1!$A435,Sheet2!$B$5:$H$29,4,FALSE),0)</x:f>
        <x:v>0</x:v>
      </x:c>
      <x:c r="F435">
        <x:f>ROUND($C435*10*VLOOKUP($B435,Sheet2!$J$5:$K$7,2,FALSE)*VLOOKUP(Sheet1!$A435,Sheet2!$B$5:$H$29,5,FALSE),0)</x:f>
        <x:v>27</x:v>
      </x:c>
      <x:c r="G435">
        <x:f>ROUND($C435*10*VLOOKUP($B435,Sheet2!$J$5:$K$7,2,FALSE)*VLOOKUP(Sheet1!$A435,Sheet2!$B$5:$H$29,6,FALSE),0)</x:f>
        <x:v>0</x:v>
      </x:c>
      <x:c r="H435">
        <x:f>ROUND($C435*10*VLOOKUP($B435,Sheet2!$J$5:$K$7,2,FALSE)*VLOOKUP(Sheet1!$A435,Sheet2!$B$5:$H$29,7,FALSE),0)</x:f>
        <x:v>0</x:v>
      </x:c>
      <x:c r="I435">
        <x:f t="shared" si="7"/>
        <x:v>4310</x:v>
      </x:c>
    </x:row>
    <x:row r="436" spans="1:9" x14ac:dyDescent="0.15">
      <x:c r="A436">
        <x:v>54003</x:v>
      </x:c>
      <x:c r="B436">
        <x:v>2</x:v>
      </x:c>
      <x:c r="C436">
        <x:v>15</x:v>
      </x:c>
      <x:c r="D436">
        <x:f>ROUND($C436*10*VLOOKUP($B436,Sheet2!$J$5:$K$7,2,FALSE)*VLOOKUP(Sheet1!$A436,Sheet2!$B$5:$H$29,3,FALSE),0)</x:f>
        <x:v>108</x:v>
      </x:c>
      <x:c r="E436">
        <x:f>ROUND($C436*10*VLOOKUP($B436,Sheet2!$J$5:$K$7,2,FALSE)*VLOOKUP(Sheet1!$A436,Sheet2!$B$5:$H$29,4,FALSE),0)</x:f>
        <x:v>0</x:v>
      </x:c>
      <x:c r="F436">
        <x:f>ROUND($C436*10*VLOOKUP($B436,Sheet2!$J$5:$K$7,2,FALSE)*VLOOKUP(Sheet1!$A436,Sheet2!$B$5:$H$29,5,FALSE),0)</x:f>
        <x:v>29</x:v>
      </x:c>
      <x:c r="G436">
        <x:f>ROUND($C436*10*VLOOKUP($B436,Sheet2!$J$5:$K$7,2,FALSE)*VLOOKUP(Sheet1!$A436,Sheet2!$B$5:$H$29,6,FALSE),0)</x:f>
        <x:v>0</x:v>
      </x:c>
      <x:c r="H436">
        <x:f>ROUND($C436*10*VLOOKUP($B436,Sheet2!$J$5:$K$7,2,FALSE)*VLOOKUP(Sheet1!$A436,Sheet2!$B$5:$H$29,7,FALSE),0)</x:f>
        <x:v>0</x:v>
      </x:c>
      <x:c r="I436">
        <x:f t="shared" si="7"/>
        <x:v>4920</x:v>
      </x:c>
    </x:row>
    <x:row r="437" spans="1:9" x14ac:dyDescent="0.15">
      <x:c r="A437">
        <x:v>54003</x:v>
      </x:c>
      <x:c r="B437">
        <x:v>2</x:v>
      </x:c>
      <x:c r="C437">
        <x:v>16</x:v>
      </x:c>
      <x:c r="D437">
        <x:f>ROUND($C437*10*VLOOKUP($B437,Sheet2!$J$5:$K$7,2,FALSE)*VLOOKUP(Sheet1!$A437,Sheet2!$B$5:$H$29,3,FALSE),0)</x:f>
        <x:v>115</x:v>
      </x:c>
      <x:c r="E437">
        <x:f>ROUND($C437*10*VLOOKUP($B437,Sheet2!$J$5:$K$7,2,FALSE)*VLOOKUP(Sheet1!$A437,Sheet2!$B$5:$H$29,4,FALSE),0)</x:f>
        <x:v>0</x:v>
      </x:c>
      <x:c r="F437">
        <x:f>ROUND($C437*10*VLOOKUP($B437,Sheet2!$J$5:$K$7,2,FALSE)*VLOOKUP(Sheet1!$A437,Sheet2!$B$5:$H$29,5,FALSE),0)</x:f>
        <x:v>31</x:v>
      </x:c>
      <x:c r="G437">
        <x:f>ROUND($C437*10*VLOOKUP($B437,Sheet2!$J$5:$K$7,2,FALSE)*VLOOKUP(Sheet1!$A437,Sheet2!$B$5:$H$29,6,FALSE),0)</x:f>
        <x:v>0</x:v>
      </x:c>
      <x:c r="H437">
        <x:f>ROUND($C437*10*VLOOKUP($B437,Sheet2!$J$5:$K$7,2,FALSE)*VLOOKUP(Sheet1!$A437,Sheet2!$B$5:$H$29,7,FALSE),0)</x:f>
        <x:v>0</x:v>
      </x:c>
      <x:c r="I437">
        <x:f t="shared" si="7"/>
        <x:v>5560</x:v>
      </x:c>
    </x:row>
    <x:row r="438" spans="1:9" x14ac:dyDescent="0.15">
      <x:c r="A438">
        <x:v>54003</x:v>
      </x:c>
      <x:c r="B438">
        <x:v>2</x:v>
      </x:c>
      <x:c r="C438">
        <x:v>17</x:v>
      </x:c>
      <x:c r="D438">
        <x:f>ROUND($C438*10*VLOOKUP($B438,Sheet2!$J$5:$K$7,2,FALSE)*VLOOKUP(Sheet1!$A438,Sheet2!$B$5:$H$29,3,FALSE),0)</x:f>
        <x:v>122</x:v>
      </x:c>
      <x:c r="E438">
        <x:f>ROUND($C438*10*VLOOKUP($B438,Sheet2!$J$5:$K$7,2,FALSE)*VLOOKUP(Sheet1!$A438,Sheet2!$B$5:$H$29,4,FALSE),0)</x:f>
        <x:v>0</x:v>
      </x:c>
      <x:c r="F438">
        <x:f>ROUND($C438*10*VLOOKUP($B438,Sheet2!$J$5:$K$7,2,FALSE)*VLOOKUP(Sheet1!$A438,Sheet2!$B$5:$H$29,5,FALSE),0)</x:f>
        <x:v>33</x:v>
      </x:c>
      <x:c r="G438">
        <x:f>ROUND($C438*10*VLOOKUP($B438,Sheet2!$J$5:$K$7,2,FALSE)*VLOOKUP(Sheet1!$A438,Sheet2!$B$5:$H$29,6,FALSE),0)</x:f>
        <x:v>0</x:v>
      </x:c>
      <x:c r="H438">
        <x:f>ROUND($C438*10*VLOOKUP($B438,Sheet2!$J$5:$K$7,2,FALSE)*VLOOKUP(Sheet1!$A438,Sheet2!$B$5:$H$29,7,FALSE),0)</x:f>
        <x:v>0</x:v>
      </x:c>
      <x:c r="I438">
        <x:f t="shared" si="7"/>
        <x:v>6240</x:v>
      </x:c>
    </x:row>
    <x:row r="439" spans="1:9" x14ac:dyDescent="0.15">
      <x:c r="A439">
        <x:v>54003</x:v>
      </x:c>
      <x:c r="B439">
        <x:v>2</x:v>
      </x:c>
      <x:c r="C439">
        <x:v>18</x:v>
      </x:c>
      <x:c r="D439">
        <x:f>ROUND($C439*10*VLOOKUP($B439,Sheet2!$J$5:$K$7,2,FALSE)*VLOOKUP(Sheet1!$A439,Sheet2!$B$5:$H$29,3,FALSE),0)</x:f>
        <x:v>130</x:v>
      </x:c>
      <x:c r="E439">
        <x:f>ROUND($C439*10*VLOOKUP($B439,Sheet2!$J$5:$K$7,2,FALSE)*VLOOKUP(Sheet1!$A439,Sheet2!$B$5:$H$29,4,FALSE),0)</x:f>
        <x:v>0</x:v>
      </x:c>
      <x:c r="F439">
        <x:f>ROUND($C439*10*VLOOKUP($B439,Sheet2!$J$5:$K$7,2,FALSE)*VLOOKUP(Sheet1!$A439,Sheet2!$B$5:$H$29,5,FALSE),0)</x:f>
        <x:v>35</x:v>
      </x:c>
      <x:c r="G439">
        <x:f>ROUND($C439*10*VLOOKUP($B439,Sheet2!$J$5:$K$7,2,FALSE)*VLOOKUP(Sheet1!$A439,Sheet2!$B$5:$H$29,6,FALSE),0)</x:f>
        <x:v>0</x:v>
      </x:c>
      <x:c r="H439">
        <x:f>ROUND($C439*10*VLOOKUP($B439,Sheet2!$J$5:$K$7,2,FALSE)*VLOOKUP(Sheet1!$A439,Sheet2!$B$5:$H$29,7,FALSE),0)</x:f>
        <x:v>0</x:v>
      </x:c>
      <x:c r="I439">
        <x:f t="shared" si="7"/>
        <x:v>6950</x:v>
      </x:c>
    </x:row>
    <x:row r="440" spans="1:9" x14ac:dyDescent="0.15">
      <x:c r="A440">
        <x:v>54003</x:v>
      </x:c>
      <x:c r="B440">
        <x:v>2</x:v>
      </x:c>
      <x:c r="C440">
        <x:v>19</x:v>
      </x:c>
      <x:c r="D440">
        <x:f>ROUND($C440*10*VLOOKUP($B440,Sheet2!$J$5:$K$7,2,FALSE)*VLOOKUP(Sheet1!$A440,Sheet2!$B$5:$H$29,3,FALSE),0)</x:f>
        <x:v>137</x:v>
      </x:c>
      <x:c r="E440">
        <x:f>ROUND($C440*10*VLOOKUP($B440,Sheet2!$J$5:$K$7,2,FALSE)*VLOOKUP(Sheet1!$A440,Sheet2!$B$5:$H$29,4,FALSE),0)</x:f>
        <x:v>0</x:v>
      </x:c>
      <x:c r="F440">
        <x:f>ROUND($C440*10*VLOOKUP($B440,Sheet2!$J$5:$K$7,2,FALSE)*VLOOKUP(Sheet1!$A440,Sheet2!$B$5:$H$29,5,FALSE),0)</x:f>
        <x:v>36</x:v>
      </x:c>
      <x:c r="G440">
        <x:f>ROUND($C440*10*VLOOKUP($B440,Sheet2!$J$5:$K$7,2,FALSE)*VLOOKUP(Sheet1!$A440,Sheet2!$B$5:$H$29,6,FALSE),0)</x:f>
        <x:v>0</x:v>
      </x:c>
      <x:c r="H440">
        <x:f>ROUND($C440*10*VLOOKUP($B440,Sheet2!$J$5:$K$7,2,FALSE)*VLOOKUP(Sheet1!$A440,Sheet2!$B$5:$H$29,7,FALSE),0)</x:f>
        <x:v>0</x:v>
      </x:c>
      <x:c r="I440">
        <x:f t="shared" si="7"/>
        <x:v>7690</x:v>
      </x:c>
    </x:row>
    <x:row r="441" spans="1:9" x14ac:dyDescent="0.15">
      <x:c r="A441">
        <x:v>54003</x:v>
      </x:c>
      <x:c r="B441">
        <x:v>2</x:v>
      </x:c>
      <x:c r="C441">
        <x:v>20</x:v>
      </x:c>
      <x:c r="D441">
        <x:f>ROUND($C441*10*VLOOKUP($B441,Sheet2!$J$5:$K$7,2,FALSE)*VLOOKUP(Sheet1!$A441,Sheet2!$B$5:$H$29,3,FALSE),0)</x:f>
        <x:v>144</x:v>
      </x:c>
      <x:c r="E441">
        <x:f>ROUND($C441*10*VLOOKUP($B441,Sheet2!$J$5:$K$7,2,FALSE)*VLOOKUP(Sheet1!$A441,Sheet2!$B$5:$H$29,4,FALSE),0)</x:f>
        <x:v>0</x:v>
      </x:c>
      <x:c r="F441">
        <x:f>ROUND($C441*10*VLOOKUP($B441,Sheet2!$J$5:$K$7,2,FALSE)*VLOOKUP(Sheet1!$A441,Sheet2!$B$5:$H$29,5,FALSE),0)</x:f>
        <x:v>38</x:v>
      </x:c>
      <x:c r="G441">
        <x:f>ROUND($C441*10*VLOOKUP($B441,Sheet2!$J$5:$K$7,2,FALSE)*VLOOKUP(Sheet1!$A441,Sheet2!$B$5:$H$29,6,FALSE),0)</x:f>
        <x:v>0</x:v>
      </x:c>
      <x:c r="H441">
        <x:f>ROUND($C441*10*VLOOKUP($B441,Sheet2!$J$5:$K$7,2,FALSE)*VLOOKUP(Sheet1!$A441,Sheet2!$B$5:$H$29,7,FALSE),0)</x:f>
        <x:v>0</x:v>
      </x:c>
      <x:c r="I441">
        <x:f t="shared" si="7"/>
        <x:v>8470</x:v>
      </x:c>
    </x:row>
    <x:row r="442" spans="1:9" x14ac:dyDescent="0.15">
      <x:c r="A442">
        <x:v>54003</x:v>
      </x:c>
      <x:c r="B442">
        <x:v>2</x:v>
      </x:c>
      <x:c r="C442">
        <x:v>21</x:v>
      </x:c>
      <x:c r="D442">
        <x:f>ROUND($C442*10*VLOOKUP($B442,Sheet2!$J$5:$K$7,2,FALSE)*VLOOKUP(Sheet1!$A442,Sheet2!$B$5:$H$29,3,FALSE),0)</x:f>
        <x:v>151</x:v>
      </x:c>
      <x:c r="E442">
        <x:f>ROUND($C442*10*VLOOKUP($B442,Sheet2!$J$5:$K$7,2,FALSE)*VLOOKUP(Sheet1!$A442,Sheet2!$B$5:$H$29,4,FALSE),0)</x:f>
        <x:v>0</x:v>
      </x:c>
      <x:c r="F442">
        <x:f>ROUND($C442*10*VLOOKUP($B442,Sheet2!$J$5:$K$7,2,FALSE)*VLOOKUP(Sheet1!$A442,Sheet2!$B$5:$H$29,5,FALSE),0)</x:f>
        <x:v>40</x:v>
      </x:c>
      <x:c r="G442">
        <x:f>ROUND($C442*10*VLOOKUP($B442,Sheet2!$J$5:$K$7,2,FALSE)*VLOOKUP(Sheet1!$A442,Sheet2!$B$5:$H$29,6,FALSE),0)</x:f>
        <x:v>0</x:v>
      </x:c>
      <x:c r="H442">
        <x:f>ROUND($C442*10*VLOOKUP($B442,Sheet2!$J$5:$K$7,2,FALSE)*VLOOKUP(Sheet1!$A442,Sheet2!$B$5:$H$29,7,FALSE),0)</x:f>
        <x:v>0</x:v>
      </x:c>
      <x:c r="I442">
        <x:f t="shared" si="7"/>
        <x:v>9290</x:v>
      </x:c>
    </x:row>
    <x:row r="443" spans="1:9" x14ac:dyDescent="0.15">
      <x:c r="A443">
        <x:v>54003</x:v>
      </x:c>
      <x:c r="B443">
        <x:v>2</x:v>
      </x:c>
      <x:c r="C443">
        <x:v>22</x:v>
      </x:c>
      <x:c r="D443">
        <x:f>ROUND($C443*10*VLOOKUP($B443,Sheet2!$J$5:$K$7,2,FALSE)*VLOOKUP(Sheet1!$A443,Sheet2!$B$5:$H$29,3,FALSE),0)</x:f>
        <x:v>158</x:v>
      </x:c>
      <x:c r="E443">
        <x:f>ROUND($C443*10*VLOOKUP($B443,Sheet2!$J$5:$K$7,2,FALSE)*VLOOKUP(Sheet1!$A443,Sheet2!$B$5:$H$29,4,FALSE),0)</x:f>
        <x:v>0</x:v>
      </x:c>
      <x:c r="F443">
        <x:f>ROUND($C443*10*VLOOKUP($B443,Sheet2!$J$5:$K$7,2,FALSE)*VLOOKUP(Sheet1!$A443,Sheet2!$B$5:$H$29,5,FALSE),0)</x:f>
        <x:v>42</x:v>
      </x:c>
      <x:c r="G443">
        <x:f>ROUND($C443*10*VLOOKUP($B443,Sheet2!$J$5:$K$7,2,FALSE)*VLOOKUP(Sheet1!$A443,Sheet2!$B$5:$H$29,6,FALSE),0)</x:f>
        <x:v>0</x:v>
      </x:c>
      <x:c r="H443">
        <x:f>ROUND($C443*10*VLOOKUP($B443,Sheet2!$J$5:$K$7,2,FALSE)*VLOOKUP(Sheet1!$A443,Sheet2!$B$5:$H$29,7,FALSE),0)</x:f>
        <x:v>0</x:v>
      </x:c>
      <x:c r="I443">
        <x:f t="shared" si="7"/>
        <x:v>10130</x:v>
      </x:c>
    </x:row>
    <x:row r="444" spans="1:9" x14ac:dyDescent="0.15">
      <x:c r="A444">
        <x:v>54003</x:v>
      </x:c>
      <x:c r="B444">
        <x:v>2</x:v>
      </x:c>
      <x:c r="C444">
        <x:v>23</x:v>
      </x:c>
      <x:c r="D444">
        <x:f>ROUND($C444*10*VLOOKUP($B444,Sheet2!$J$5:$K$7,2,FALSE)*VLOOKUP(Sheet1!$A444,Sheet2!$B$5:$H$29,3,FALSE),0)</x:f>
        <x:v>166</x:v>
      </x:c>
      <x:c r="E444">
        <x:f>ROUND($C444*10*VLOOKUP($B444,Sheet2!$J$5:$K$7,2,FALSE)*VLOOKUP(Sheet1!$A444,Sheet2!$B$5:$H$29,4,FALSE),0)</x:f>
        <x:v>0</x:v>
      </x:c>
      <x:c r="F444">
        <x:f>ROUND($C444*10*VLOOKUP($B444,Sheet2!$J$5:$K$7,2,FALSE)*VLOOKUP(Sheet1!$A444,Sheet2!$B$5:$H$29,5,FALSE),0)</x:f>
        <x:v>44</x:v>
      </x:c>
      <x:c r="G444">
        <x:f>ROUND($C444*10*VLOOKUP($B444,Sheet2!$J$5:$K$7,2,FALSE)*VLOOKUP(Sheet1!$A444,Sheet2!$B$5:$H$29,6,FALSE),0)</x:f>
        <x:v>0</x:v>
      </x:c>
      <x:c r="H444">
        <x:f>ROUND($C444*10*VLOOKUP($B444,Sheet2!$J$5:$K$7,2,FALSE)*VLOOKUP(Sheet1!$A444,Sheet2!$B$5:$H$29,7,FALSE),0)</x:f>
        <x:v>0</x:v>
      </x:c>
      <x:c r="I444">
        <x:f t="shared" si="7"/>
        <x:v>11010</x:v>
      </x:c>
    </x:row>
    <x:row r="445" spans="1:9" x14ac:dyDescent="0.15">
      <x:c r="A445">
        <x:v>54003</x:v>
      </x:c>
      <x:c r="B445">
        <x:v>2</x:v>
      </x:c>
      <x:c r="C445">
        <x:v>24</x:v>
      </x:c>
      <x:c r="D445">
        <x:f>ROUND($C445*10*VLOOKUP($B445,Sheet2!$J$5:$K$7,2,FALSE)*VLOOKUP(Sheet1!$A445,Sheet2!$B$5:$H$29,3,FALSE),0)</x:f>
        <x:v>173</x:v>
      </x:c>
      <x:c r="E445">
        <x:f>ROUND($C445*10*VLOOKUP($B445,Sheet2!$J$5:$K$7,2,FALSE)*VLOOKUP(Sheet1!$A445,Sheet2!$B$5:$H$29,4,FALSE),0)</x:f>
        <x:v>0</x:v>
      </x:c>
      <x:c r="F445">
        <x:f>ROUND($C445*10*VLOOKUP($B445,Sheet2!$J$5:$K$7,2,FALSE)*VLOOKUP(Sheet1!$A445,Sheet2!$B$5:$H$29,5,FALSE),0)</x:f>
        <x:v>46</x:v>
      </x:c>
      <x:c r="G445">
        <x:f>ROUND($C445*10*VLOOKUP($B445,Sheet2!$J$5:$K$7,2,FALSE)*VLOOKUP(Sheet1!$A445,Sheet2!$B$5:$H$29,6,FALSE),0)</x:f>
        <x:v>0</x:v>
      </x:c>
      <x:c r="H445">
        <x:f>ROUND($C445*10*VLOOKUP($B445,Sheet2!$J$5:$K$7,2,FALSE)*VLOOKUP(Sheet1!$A445,Sheet2!$B$5:$H$29,7,FALSE),0)</x:f>
        <x:v>0</x:v>
      </x:c>
      <x:c r="I445">
        <x:f t="shared" si="7"/>
        <x:v>11930</x:v>
      </x:c>
    </x:row>
    <x:row r="446" spans="1:9" x14ac:dyDescent="0.15">
      <x:c r="A446">
        <x:v>54003</x:v>
      </x:c>
      <x:c r="B446">
        <x:v>2</x:v>
      </x:c>
      <x:c r="C446">
        <x:v>25</x:v>
      </x:c>
      <x:c r="D446">
        <x:f>ROUND($C446*10*VLOOKUP($B446,Sheet2!$J$5:$K$7,2,FALSE)*VLOOKUP(Sheet1!$A446,Sheet2!$B$5:$H$29,3,FALSE),0)</x:f>
        <x:v>180</x:v>
      </x:c>
      <x:c r="E446">
        <x:f>ROUND($C446*10*VLOOKUP($B446,Sheet2!$J$5:$K$7,2,FALSE)*VLOOKUP(Sheet1!$A446,Sheet2!$B$5:$H$29,4,FALSE),0)</x:f>
        <x:v>0</x:v>
      </x:c>
      <x:c r="F446">
        <x:f>ROUND($C446*10*VLOOKUP($B446,Sheet2!$J$5:$K$7,2,FALSE)*VLOOKUP(Sheet1!$A446,Sheet2!$B$5:$H$29,5,FALSE),0)</x:f>
        <x:v>48</x:v>
      </x:c>
      <x:c r="G446">
        <x:f>ROUND($C446*10*VLOOKUP($B446,Sheet2!$J$5:$K$7,2,FALSE)*VLOOKUP(Sheet1!$A446,Sheet2!$B$5:$H$29,6,FALSE),0)</x:f>
        <x:v>0</x:v>
      </x:c>
      <x:c r="H446">
        <x:f>ROUND($C446*10*VLOOKUP($B446,Sheet2!$J$5:$K$7,2,FALSE)*VLOOKUP(Sheet1!$A446,Sheet2!$B$5:$H$29,7,FALSE),0)</x:f>
        <x:v>0</x:v>
      </x:c>
      <x:c r="I446">
        <x:f t="shared" si="7"/>
        <x:v>12870</x:v>
      </x:c>
    </x:row>
    <x:row r="447" spans="1:9" x14ac:dyDescent="0.15">
      <x:c r="A447">
        <x:v>54003</x:v>
      </x:c>
      <x:c r="B447">
        <x:v>2</x:v>
      </x:c>
      <x:c r="C447">
        <x:v>26</x:v>
      </x:c>
      <x:c r="D447">
        <x:f>ROUND($C447*10*VLOOKUP($B447,Sheet2!$J$5:$K$7,2,FALSE)*VLOOKUP(Sheet1!$A447,Sheet2!$B$5:$H$29,3,FALSE),0)</x:f>
        <x:v>187</x:v>
      </x:c>
      <x:c r="E447">
        <x:f>ROUND($C447*10*VLOOKUP($B447,Sheet2!$J$5:$K$7,2,FALSE)*VLOOKUP(Sheet1!$A447,Sheet2!$B$5:$H$29,4,FALSE),0)</x:f>
        <x:v>0</x:v>
      </x:c>
      <x:c r="F447">
        <x:f>ROUND($C447*10*VLOOKUP($B447,Sheet2!$J$5:$K$7,2,FALSE)*VLOOKUP(Sheet1!$A447,Sheet2!$B$5:$H$29,5,FALSE),0)</x:f>
        <x:v>50</x:v>
      </x:c>
      <x:c r="G447">
        <x:f>ROUND($C447*10*VLOOKUP($B447,Sheet2!$J$5:$K$7,2,FALSE)*VLOOKUP(Sheet1!$A447,Sheet2!$B$5:$H$29,6,FALSE),0)</x:f>
        <x:v>0</x:v>
      </x:c>
      <x:c r="H447">
        <x:f>ROUND($C447*10*VLOOKUP($B447,Sheet2!$J$5:$K$7,2,FALSE)*VLOOKUP(Sheet1!$A447,Sheet2!$B$5:$H$29,7,FALSE),0)</x:f>
        <x:v>0</x:v>
      </x:c>
      <x:c r="I447">
        <x:f t="shared" si="7"/>
        <x:v>13850</x:v>
      </x:c>
    </x:row>
    <x:row r="448" spans="1:9" x14ac:dyDescent="0.15">
      <x:c r="A448">
        <x:v>54003</x:v>
      </x:c>
      <x:c r="B448">
        <x:v>2</x:v>
      </x:c>
      <x:c r="C448">
        <x:v>27</x:v>
      </x:c>
      <x:c r="D448">
        <x:f>ROUND($C448*10*VLOOKUP($B448,Sheet2!$J$5:$K$7,2,FALSE)*VLOOKUP(Sheet1!$A448,Sheet2!$B$5:$H$29,3,FALSE),0)</x:f>
        <x:v>194</x:v>
      </x:c>
      <x:c r="E448">
        <x:f>ROUND($C448*10*VLOOKUP($B448,Sheet2!$J$5:$K$7,2,FALSE)*VLOOKUP(Sheet1!$A448,Sheet2!$B$5:$H$29,4,FALSE),0)</x:f>
        <x:v>0</x:v>
      </x:c>
      <x:c r="F448">
        <x:f>ROUND($C448*10*VLOOKUP($B448,Sheet2!$J$5:$K$7,2,FALSE)*VLOOKUP(Sheet1!$A448,Sheet2!$B$5:$H$29,5,FALSE),0)</x:f>
        <x:v>52</x:v>
      </x:c>
      <x:c r="G448">
        <x:f>ROUND($C448*10*VLOOKUP($B448,Sheet2!$J$5:$K$7,2,FALSE)*VLOOKUP(Sheet1!$A448,Sheet2!$B$5:$H$29,6,FALSE),0)</x:f>
        <x:v>0</x:v>
      </x:c>
      <x:c r="H448">
        <x:f>ROUND($C448*10*VLOOKUP($B448,Sheet2!$J$5:$K$7,2,FALSE)*VLOOKUP(Sheet1!$A448,Sheet2!$B$5:$H$29,7,FALSE),0)</x:f>
        <x:v>0</x:v>
      </x:c>
      <x:c r="I448">
        <x:f t="shared" si="7"/>
        <x:v>14860</x:v>
      </x:c>
    </x:row>
    <x:row r="449" spans="1:9" x14ac:dyDescent="0.15">
      <x:c r="A449">
        <x:v>54003</x:v>
      </x:c>
      <x:c r="B449">
        <x:v>2</x:v>
      </x:c>
      <x:c r="C449">
        <x:v>28</x:v>
      </x:c>
      <x:c r="D449">
        <x:f>ROUND($C449*10*VLOOKUP($B449,Sheet2!$J$5:$K$7,2,FALSE)*VLOOKUP(Sheet1!$A449,Sheet2!$B$5:$H$29,3,FALSE),0)</x:f>
        <x:v>202</x:v>
      </x:c>
      <x:c r="E449">
        <x:f>ROUND($C449*10*VLOOKUP($B449,Sheet2!$J$5:$K$7,2,FALSE)*VLOOKUP(Sheet1!$A449,Sheet2!$B$5:$H$29,4,FALSE),0)</x:f>
        <x:v>0</x:v>
      </x:c>
      <x:c r="F449">
        <x:f>ROUND($C449*10*VLOOKUP($B449,Sheet2!$J$5:$K$7,2,FALSE)*VLOOKUP(Sheet1!$A449,Sheet2!$B$5:$H$29,5,FALSE),0)</x:f>
        <x:v>54</x:v>
      </x:c>
      <x:c r="G449">
        <x:f>ROUND($C449*10*VLOOKUP($B449,Sheet2!$J$5:$K$7,2,FALSE)*VLOOKUP(Sheet1!$A449,Sheet2!$B$5:$H$29,6,FALSE),0)</x:f>
        <x:v>0</x:v>
      </x:c>
      <x:c r="H449">
        <x:f>ROUND($C449*10*VLOOKUP($B449,Sheet2!$J$5:$K$7,2,FALSE)*VLOOKUP(Sheet1!$A449,Sheet2!$B$5:$H$29,7,FALSE),0)</x:f>
        <x:v>0</x:v>
      </x:c>
      <x:c r="I449">
        <x:f t="shared" si="7"/>
        <x:v>15900</x:v>
      </x:c>
    </x:row>
    <x:row r="450" spans="1:9" x14ac:dyDescent="0.15">
      <x:c r="A450">
        <x:v>54003</x:v>
      </x:c>
      <x:c r="B450">
        <x:v>2</x:v>
      </x:c>
      <x:c r="C450">
        <x:v>29</x:v>
      </x:c>
      <x:c r="D450">
        <x:f>ROUND($C450*10*VLOOKUP($B450,Sheet2!$J$5:$K$7,2,FALSE)*VLOOKUP(Sheet1!$A450,Sheet2!$B$5:$H$29,3,FALSE),0)</x:f>
        <x:v>209</x:v>
      </x:c>
      <x:c r="E450">
        <x:f>ROUND($C450*10*VLOOKUP($B450,Sheet2!$J$5:$K$7,2,FALSE)*VLOOKUP(Sheet1!$A450,Sheet2!$B$5:$H$29,4,FALSE),0)</x:f>
        <x:v>0</x:v>
      </x:c>
      <x:c r="F450">
        <x:f>ROUND($C450*10*VLOOKUP($B450,Sheet2!$J$5:$K$7,2,FALSE)*VLOOKUP(Sheet1!$A450,Sheet2!$B$5:$H$29,5,FALSE),0)</x:f>
        <x:v>56</x:v>
      </x:c>
      <x:c r="G450">
        <x:f>ROUND($C450*10*VLOOKUP($B450,Sheet2!$J$5:$K$7,2,FALSE)*VLOOKUP(Sheet1!$A450,Sheet2!$B$5:$H$29,6,FALSE),0)</x:f>
        <x:v>0</x:v>
      </x:c>
      <x:c r="H450">
        <x:f>ROUND($C450*10*VLOOKUP($B450,Sheet2!$J$5:$K$7,2,FALSE)*VLOOKUP(Sheet1!$A450,Sheet2!$B$5:$H$29,7,FALSE),0)</x:f>
        <x:v>0</x:v>
      </x:c>
      <x:c r="I450">
        <x:f t="shared" si="7"/>
        <x:v>16970</x:v>
      </x:c>
    </x:row>
    <x:row r="451" spans="1:9" x14ac:dyDescent="0.15">
      <x:c r="A451">
        <x:v>54003</x:v>
      </x:c>
      <x:c r="B451">
        <x:v>2</x:v>
      </x:c>
      <x:c r="C451">
        <x:v>30</x:v>
      </x:c>
      <x:c r="D451">
        <x:f>ROUND($C451*10*VLOOKUP($B451,Sheet2!$J$5:$K$7,2,FALSE)*VLOOKUP(Sheet1!$A451,Sheet2!$B$5:$H$29,3,FALSE),0)</x:f>
        <x:v>216</x:v>
      </x:c>
      <x:c r="E451">
        <x:f>ROUND($C451*10*VLOOKUP($B451,Sheet2!$J$5:$K$7,2,FALSE)*VLOOKUP(Sheet1!$A451,Sheet2!$B$5:$H$29,4,FALSE),0)</x:f>
        <x:v>0</x:v>
      </x:c>
      <x:c r="F451">
        <x:f>ROUND($C451*10*VLOOKUP($B451,Sheet2!$J$5:$K$7,2,FALSE)*VLOOKUP(Sheet1!$A451,Sheet2!$B$5:$H$29,5,FALSE),0)</x:f>
        <x:v>58</x:v>
      </x:c>
      <x:c r="G451">
        <x:f>ROUND($C451*10*VLOOKUP($B451,Sheet2!$J$5:$K$7,2,FALSE)*VLOOKUP(Sheet1!$A451,Sheet2!$B$5:$H$29,6,FALSE),0)</x:f>
        <x:v>0</x:v>
      </x:c>
      <x:c r="H451">
        <x:f>ROUND($C451*10*VLOOKUP($B451,Sheet2!$J$5:$K$7,2,FALSE)*VLOOKUP(Sheet1!$A451,Sheet2!$B$5:$H$29,7,FALSE),0)</x:f>
        <x:v>0</x:v>
      </x:c>
      <x:c r="I451">
        <x:f t="shared" si="7"/>
        <x:v>18070</x:v>
      </x:c>
    </x:row>
    <x:row r="452" spans="1:9" x14ac:dyDescent="0.15">
      <x:c r="A452">
        <x:v>54003</x:v>
      </x:c>
      <x:c r="B452">
        <x:v>2</x:v>
      </x:c>
      <x:c r="C452">
        <x:v>31</x:v>
      </x:c>
      <x:c r="D452">
        <x:f>ROUND($C452*10*VLOOKUP($B452,Sheet2!$J$5:$K$7,2,FALSE)*VLOOKUP(Sheet1!$A452,Sheet2!$B$5:$H$29,3,FALSE),0)</x:f>
        <x:v>223</x:v>
      </x:c>
      <x:c r="E452">
        <x:f>ROUND($C452*10*VLOOKUP($B452,Sheet2!$J$5:$K$7,2,FALSE)*VLOOKUP(Sheet1!$A452,Sheet2!$B$5:$H$29,4,FALSE),0)</x:f>
        <x:v>0</x:v>
      </x:c>
      <x:c r="F452">
        <x:f>ROUND($C452*10*VLOOKUP($B452,Sheet2!$J$5:$K$7,2,FALSE)*VLOOKUP(Sheet1!$A452,Sheet2!$B$5:$H$29,5,FALSE),0)</x:f>
        <x:v>60</x:v>
      </x:c>
      <x:c r="G452">
        <x:f>ROUND($C452*10*VLOOKUP($B452,Sheet2!$J$5:$K$7,2,FALSE)*VLOOKUP(Sheet1!$A452,Sheet2!$B$5:$H$29,6,FALSE),0)</x:f>
        <x:v>0</x:v>
      </x:c>
      <x:c r="H452">
        <x:f>ROUND($C452*10*VLOOKUP($B452,Sheet2!$J$5:$K$7,2,FALSE)*VLOOKUP(Sheet1!$A452,Sheet2!$B$5:$H$29,7,FALSE),0)</x:f>
        <x:v>0</x:v>
      </x:c>
      <x:c r="I452">
        <x:f t="shared" si="7"/>
        <x:v>19210</x:v>
      </x:c>
    </x:row>
    <x:row r="453" spans="1:9" x14ac:dyDescent="0.15">
      <x:c r="A453">
        <x:v>54003</x:v>
      </x:c>
      <x:c r="B453">
        <x:v>2</x:v>
      </x:c>
      <x:c r="C453">
        <x:v>32</x:v>
      </x:c>
      <x:c r="D453">
        <x:f>ROUND($C453*10*VLOOKUP($B453,Sheet2!$J$5:$K$7,2,FALSE)*VLOOKUP(Sheet1!$A453,Sheet2!$B$5:$H$29,3,FALSE),0)</x:f>
        <x:v>230</x:v>
      </x:c>
      <x:c r="E453">
        <x:f>ROUND($C453*10*VLOOKUP($B453,Sheet2!$J$5:$K$7,2,FALSE)*VLOOKUP(Sheet1!$A453,Sheet2!$B$5:$H$29,4,FALSE),0)</x:f>
        <x:v>0</x:v>
      </x:c>
      <x:c r="F453">
        <x:f>ROUND($C453*10*VLOOKUP($B453,Sheet2!$J$5:$K$7,2,FALSE)*VLOOKUP(Sheet1!$A453,Sheet2!$B$5:$H$29,5,FALSE),0)</x:f>
        <x:v>61</x:v>
      </x:c>
      <x:c r="G453">
        <x:f>ROUND($C453*10*VLOOKUP($B453,Sheet2!$J$5:$K$7,2,FALSE)*VLOOKUP(Sheet1!$A453,Sheet2!$B$5:$H$29,6,FALSE),0)</x:f>
        <x:v>0</x:v>
      </x:c>
      <x:c r="H453">
        <x:f>ROUND($C453*10*VLOOKUP($B453,Sheet2!$J$5:$K$7,2,FALSE)*VLOOKUP(Sheet1!$A453,Sheet2!$B$5:$H$29,7,FALSE),0)</x:f>
        <x:v>0</x:v>
      </x:c>
      <x:c r="I453">
        <x:f t="shared" si="7"/>
        <x:v>20370</x:v>
      </x:c>
    </x:row>
    <x:row r="454" spans="1:9" x14ac:dyDescent="0.15">
      <x:c r="A454">
        <x:v>54003</x:v>
      </x:c>
      <x:c r="B454">
        <x:v>2</x:v>
      </x:c>
      <x:c r="C454">
        <x:v>33</x:v>
      </x:c>
      <x:c r="D454">
        <x:f>ROUND($C454*10*VLOOKUP($B454,Sheet2!$J$5:$K$7,2,FALSE)*VLOOKUP(Sheet1!$A454,Sheet2!$B$5:$H$29,3,FALSE),0)</x:f>
        <x:v>238</x:v>
      </x:c>
      <x:c r="E454">
        <x:f>ROUND($C454*10*VLOOKUP($B454,Sheet2!$J$5:$K$7,2,FALSE)*VLOOKUP(Sheet1!$A454,Sheet2!$B$5:$H$29,4,FALSE),0)</x:f>
        <x:v>0</x:v>
      </x:c>
      <x:c r="F454">
        <x:f>ROUND($C454*10*VLOOKUP($B454,Sheet2!$J$5:$K$7,2,FALSE)*VLOOKUP(Sheet1!$A454,Sheet2!$B$5:$H$29,5,FALSE),0)</x:f>
        <x:v>63</x:v>
      </x:c>
      <x:c r="G454">
        <x:f>ROUND($C454*10*VLOOKUP($B454,Sheet2!$J$5:$K$7,2,FALSE)*VLOOKUP(Sheet1!$A454,Sheet2!$B$5:$H$29,6,FALSE),0)</x:f>
        <x:v>0</x:v>
      </x:c>
      <x:c r="H454">
        <x:f>ROUND($C454*10*VLOOKUP($B454,Sheet2!$J$5:$K$7,2,FALSE)*VLOOKUP(Sheet1!$A454,Sheet2!$B$5:$H$29,7,FALSE),0)</x:f>
        <x:v>0</x:v>
      </x:c>
      <x:c r="I454">
        <x:f t="shared" si="7"/>
        <x:v>21560</x:v>
      </x:c>
    </x:row>
    <x:row r="455" spans="1:9" x14ac:dyDescent="0.15">
      <x:c r="A455">
        <x:v>54003</x:v>
      </x:c>
      <x:c r="B455">
        <x:v>2</x:v>
      </x:c>
      <x:c r="C455">
        <x:v>34</x:v>
      </x:c>
      <x:c r="D455">
        <x:f>ROUND($C455*10*VLOOKUP($B455,Sheet2!$J$5:$K$7,2,FALSE)*VLOOKUP(Sheet1!$A455,Sheet2!$B$5:$H$29,3,FALSE),0)</x:f>
        <x:v>245</x:v>
      </x:c>
      <x:c r="E455">
        <x:f>ROUND($C455*10*VLOOKUP($B455,Sheet2!$J$5:$K$7,2,FALSE)*VLOOKUP(Sheet1!$A455,Sheet2!$B$5:$H$29,4,FALSE),0)</x:f>
        <x:v>0</x:v>
      </x:c>
      <x:c r="F455">
        <x:f>ROUND($C455*10*VLOOKUP($B455,Sheet2!$J$5:$K$7,2,FALSE)*VLOOKUP(Sheet1!$A455,Sheet2!$B$5:$H$29,5,FALSE),0)</x:f>
        <x:v>65</x:v>
      </x:c>
      <x:c r="G455">
        <x:f>ROUND($C455*10*VLOOKUP($B455,Sheet2!$J$5:$K$7,2,FALSE)*VLOOKUP(Sheet1!$A455,Sheet2!$B$5:$H$29,6,FALSE),0)</x:f>
        <x:v>0</x:v>
      </x:c>
      <x:c r="H455">
        <x:f>ROUND($C455*10*VLOOKUP($B455,Sheet2!$J$5:$K$7,2,FALSE)*VLOOKUP(Sheet1!$A455,Sheet2!$B$5:$H$29,7,FALSE),0)</x:f>
        <x:v>0</x:v>
      </x:c>
      <x:c r="I455">
        <x:f t="shared" si="7"/>
        <x:v>22790</x:v>
      </x:c>
    </x:row>
    <x:row r="456" spans="1:9" x14ac:dyDescent="0.15">
      <x:c r="A456">
        <x:v>54003</x:v>
      </x:c>
      <x:c r="B456">
        <x:v>2</x:v>
      </x:c>
      <x:c r="C456">
        <x:v>35</x:v>
      </x:c>
      <x:c r="D456">
        <x:f>ROUND($C456*10*VLOOKUP($B456,Sheet2!$J$5:$K$7,2,FALSE)*VLOOKUP(Sheet1!$A456,Sheet2!$B$5:$H$29,3,FALSE),0)</x:f>
        <x:v>252</x:v>
      </x:c>
      <x:c r="E456">
        <x:f>ROUND($C456*10*VLOOKUP($B456,Sheet2!$J$5:$K$7,2,FALSE)*VLOOKUP(Sheet1!$A456,Sheet2!$B$5:$H$29,4,FALSE),0)</x:f>
        <x:v>0</x:v>
      </x:c>
      <x:c r="F456">
        <x:f>ROUND($C456*10*VLOOKUP($B456,Sheet2!$J$5:$K$7,2,FALSE)*VLOOKUP(Sheet1!$A456,Sheet2!$B$5:$H$29,5,FALSE),0)</x:f>
        <x:v>67</x:v>
      </x:c>
      <x:c r="G456">
        <x:f>ROUND($C456*10*VLOOKUP($B456,Sheet2!$J$5:$K$7,2,FALSE)*VLOOKUP(Sheet1!$A456,Sheet2!$B$5:$H$29,6,FALSE),0)</x:f>
        <x:v>0</x:v>
      </x:c>
      <x:c r="H456">
        <x:f>ROUND($C456*10*VLOOKUP($B456,Sheet2!$J$5:$K$7,2,FALSE)*VLOOKUP(Sheet1!$A456,Sheet2!$B$5:$H$29,7,FALSE),0)</x:f>
        <x:v>0</x:v>
      </x:c>
      <x:c r="I456">
        <x:f t="shared" si="7"/>
        <x:v>24040</x:v>
      </x:c>
    </x:row>
    <x:row r="457" spans="1:9" x14ac:dyDescent="0.15">
      <x:c r="A457">
        <x:v>54003</x:v>
      </x:c>
      <x:c r="B457">
        <x:v>2</x:v>
      </x:c>
      <x:c r="C457">
        <x:v>36</x:v>
      </x:c>
      <x:c r="D457">
        <x:f>ROUND($C457*10*VLOOKUP($B457,Sheet2!$J$5:$K$7,2,FALSE)*VLOOKUP(Sheet1!$A457,Sheet2!$B$5:$H$29,3,FALSE),0)</x:f>
        <x:v>259</x:v>
      </x:c>
      <x:c r="E457">
        <x:f>ROUND($C457*10*VLOOKUP($B457,Sheet2!$J$5:$K$7,2,FALSE)*VLOOKUP(Sheet1!$A457,Sheet2!$B$5:$H$29,4,FALSE),0)</x:f>
        <x:v>0</x:v>
      </x:c>
      <x:c r="F457">
        <x:f>ROUND($C457*10*VLOOKUP($B457,Sheet2!$J$5:$K$7,2,FALSE)*VLOOKUP(Sheet1!$A457,Sheet2!$B$5:$H$29,5,FALSE),0)</x:f>
        <x:v>69</x:v>
      </x:c>
      <x:c r="G457">
        <x:f>ROUND($C457*10*VLOOKUP($B457,Sheet2!$J$5:$K$7,2,FALSE)*VLOOKUP(Sheet1!$A457,Sheet2!$B$5:$H$29,6,FALSE),0)</x:f>
        <x:v>0</x:v>
      </x:c>
      <x:c r="H457">
        <x:f>ROUND($C457*10*VLOOKUP($B457,Sheet2!$J$5:$K$7,2,FALSE)*VLOOKUP(Sheet1!$A457,Sheet2!$B$5:$H$29,7,FALSE),0)</x:f>
        <x:v>0</x:v>
      </x:c>
      <x:c r="I457">
        <x:f t="shared" si="7"/>
        <x:v>25330</x:v>
      </x:c>
    </x:row>
    <x:row r="458" spans="1:9" x14ac:dyDescent="0.15">
      <x:c r="A458">
        <x:v>54003</x:v>
      </x:c>
      <x:c r="B458">
        <x:v>2</x:v>
      </x:c>
      <x:c r="C458">
        <x:v>37</x:v>
      </x:c>
      <x:c r="D458">
        <x:f>ROUND($C458*10*VLOOKUP($B458,Sheet2!$J$5:$K$7,2,FALSE)*VLOOKUP(Sheet1!$A458,Sheet2!$B$5:$H$29,3,FALSE),0)</x:f>
        <x:v>266</x:v>
      </x:c>
      <x:c r="E458">
        <x:f>ROUND($C458*10*VLOOKUP($B458,Sheet2!$J$5:$K$7,2,FALSE)*VLOOKUP(Sheet1!$A458,Sheet2!$B$5:$H$29,4,FALSE),0)</x:f>
        <x:v>0</x:v>
      </x:c>
      <x:c r="F458">
        <x:f>ROUND($C458*10*VLOOKUP($B458,Sheet2!$J$5:$K$7,2,FALSE)*VLOOKUP(Sheet1!$A458,Sheet2!$B$5:$H$29,5,FALSE),0)</x:f>
        <x:v>71</x:v>
      </x:c>
      <x:c r="G458">
        <x:f>ROUND($C458*10*VLOOKUP($B458,Sheet2!$J$5:$K$7,2,FALSE)*VLOOKUP(Sheet1!$A458,Sheet2!$B$5:$H$29,6,FALSE),0)</x:f>
        <x:v>0</x:v>
      </x:c>
      <x:c r="H458">
        <x:f>ROUND($C458*10*VLOOKUP($B458,Sheet2!$J$5:$K$7,2,FALSE)*VLOOKUP(Sheet1!$A458,Sheet2!$B$5:$H$29,7,FALSE),0)</x:f>
        <x:v>0</x:v>
      </x:c>
      <x:c r="I458">
        <x:f t="shared" si="7"/>
        <x:v>26640</x:v>
      </x:c>
    </x:row>
    <x:row r="459" spans="1:9" x14ac:dyDescent="0.15">
      <x:c r="A459">
        <x:v>54003</x:v>
      </x:c>
      <x:c r="B459">
        <x:v>2</x:v>
      </x:c>
      <x:c r="C459">
        <x:v>38</x:v>
      </x:c>
      <x:c r="D459">
        <x:f>ROUND($C459*10*VLOOKUP($B459,Sheet2!$J$5:$K$7,2,FALSE)*VLOOKUP(Sheet1!$A459,Sheet2!$B$5:$H$29,3,FALSE),0)</x:f>
        <x:v>274</x:v>
      </x:c>
      <x:c r="E459">
        <x:f>ROUND($C459*10*VLOOKUP($B459,Sheet2!$J$5:$K$7,2,FALSE)*VLOOKUP(Sheet1!$A459,Sheet2!$B$5:$H$29,4,FALSE),0)</x:f>
        <x:v>0</x:v>
      </x:c>
      <x:c r="F459">
        <x:f>ROUND($C459*10*VLOOKUP($B459,Sheet2!$J$5:$K$7,2,FALSE)*VLOOKUP(Sheet1!$A459,Sheet2!$B$5:$H$29,5,FALSE),0)</x:f>
        <x:v>73</x:v>
      </x:c>
      <x:c r="G459">
        <x:f>ROUND($C459*10*VLOOKUP($B459,Sheet2!$J$5:$K$7,2,FALSE)*VLOOKUP(Sheet1!$A459,Sheet2!$B$5:$H$29,6,FALSE),0)</x:f>
        <x:v>0</x:v>
      </x:c>
      <x:c r="H459">
        <x:f>ROUND($C459*10*VLOOKUP($B459,Sheet2!$J$5:$K$7,2,FALSE)*VLOOKUP(Sheet1!$A459,Sheet2!$B$5:$H$29,7,FALSE),0)</x:f>
        <x:v>0</x:v>
      </x:c>
      <x:c r="I459">
        <x:f t="shared" si="7"/>
        <x:v>27990</x:v>
      </x:c>
    </x:row>
    <x:row r="460" spans="1:9" x14ac:dyDescent="0.15">
      <x:c r="A460">
        <x:v>54003</x:v>
      </x:c>
      <x:c r="B460">
        <x:v>2</x:v>
      </x:c>
      <x:c r="C460">
        <x:v>39</x:v>
      </x:c>
      <x:c r="D460">
        <x:f>ROUND($C460*10*VLOOKUP($B460,Sheet2!$J$5:$K$7,2,FALSE)*VLOOKUP(Sheet1!$A460,Sheet2!$B$5:$H$29,3,FALSE),0)</x:f>
        <x:v>281</x:v>
      </x:c>
      <x:c r="E460">
        <x:f>ROUND($C460*10*VLOOKUP($B460,Sheet2!$J$5:$K$7,2,FALSE)*VLOOKUP(Sheet1!$A460,Sheet2!$B$5:$H$29,4,FALSE),0)</x:f>
        <x:v>0</x:v>
      </x:c>
      <x:c r="F460">
        <x:f>ROUND($C460*10*VLOOKUP($B460,Sheet2!$J$5:$K$7,2,FALSE)*VLOOKUP(Sheet1!$A460,Sheet2!$B$5:$H$29,5,FALSE),0)</x:f>
        <x:v>75</x:v>
      </x:c>
      <x:c r="G460">
        <x:f>ROUND($C460*10*VLOOKUP($B460,Sheet2!$J$5:$K$7,2,FALSE)*VLOOKUP(Sheet1!$A460,Sheet2!$B$5:$H$29,6,FALSE),0)</x:f>
        <x:v>0</x:v>
      </x:c>
      <x:c r="H460">
        <x:f>ROUND($C460*10*VLOOKUP($B460,Sheet2!$J$5:$K$7,2,FALSE)*VLOOKUP(Sheet1!$A460,Sheet2!$B$5:$H$29,7,FALSE),0)</x:f>
        <x:v>0</x:v>
      </x:c>
      <x:c r="I460">
        <x:f t="shared" si="7"/>
        <x:v>29360</x:v>
      </x:c>
    </x:row>
    <x:row r="461" spans="1:9" x14ac:dyDescent="0.15">
      <x:c r="A461">
        <x:v>54003</x:v>
      </x:c>
      <x:c r="B461">
        <x:v>2</x:v>
      </x:c>
      <x:c r="C461">
        <x:v>40</x:v>
      </x:c>
      <x:c r="D461">
        <x:f>ROUND($C461*10*VLOOKUP($B461,Sheet2!$J$5:$K$7,2,FALSE)*VLOOKUP(Sheet1!$A461,Sheet2!$B$5:$H$29,3,FALSE),0)</x:f>
        <x:v>288</x:v>
      </x:c>
      <x:c r="E461">
        <x:f>ROUND($C461*10*VLOOKUP($B461,Sheet2!$J$5:$K$7,2,FALSE)*VLOOKUP(Sheet1!$A461,Sheet2!$B$5:$H$29,4,FALSE),0)</x:f>
        <x:v>0</x:v>
      </x:c>
      <x:c r="F461">
        <x:f>ROUND($C461*10*VLOOKUP($B461,Sheet2!$J$5:$K$7,2,FALSE)*VLOOKUP(Sheet1!$A461,Sheet2!$B$5:$H$29,5,FALSE),0)</x:f>
        <x:v>77</x:v>
      </x:c>
      <x:c r="G461">
        <x:f>ROUND($C461*10*VLOOKUP($B461,Sheet2!$J$5:$K$7,2,FALSE)*VLOOKUP(Sheet1!$A461,Sheet2!$B$5:$H$29,6,FALSE),0)</x:f>
        <x:v>0</x:v>
      </x:c>
      <x:c r="H461">
        <x:f>ROUND($C461*10*VLOOKUP($B461,Sheet2!$J$5:$K$7,2,FALSE)*VLOOKUP(Sheet1!$A461,Sheet2!$B$5:$H$29,7,FALSE),0)</x:f>
        <x:v>0</x:v>
      </x:c>
      <x:c r="I461">
        <x:f t="shared" si="7"/>
        <x:v>30760</x:v>
      </x:c>
    </x:row>
    <x:row r="462" spans="1:9" x14ac:dyDescent="0.15">
      <x:c r="A462">
        <x:v>54003</x:v>
      </x:c>
      <x:c r="B462">
        <x:v>2</x:v>
      </x:c>
      <x:c r="C462">
        <x:v>41</x:v>
      </x:c>
      <x:c r="D462">
        <x:f>ROUND($C462*10*VLOOKUP($B462,Sheet2!$J$5:$K$7,2,FALSE)*VLOOKUP(Sheet1!$A462,Sheet2!$B$5:$H$29,3,FALSE),0)</x:f>
        <x:v>295</x:v>
      </x:c>
      <x:c r="E462">
        <x:f>ROUND($C462*10*VLOOKUP($B462,Sheet2!$J$5:$K$7,2,FALSE)*VLOOKUP(Sheet1!$A462,Sheet2!$B$5:$H$29,4,FALSE),0)</x:f>
        <x:v>0</x:v>
      </x:c>
      <x:c r="F462">
        <x:f>ROUND($C462*10*VLOOKUP($B462,Sheet2!$J$5:$K$7,2,FALSE)*VLOOKUP(Sheet1!$A462,Sheet2!$B$5:$H$29,5,FALSE),0)</x:f>
        <x:v>79</x:v>
      </x:c>
      <x:c r="G462">
        <x:f>ROUND($C462*10*VLOOKUP($B462,Sheet2!$J$5:$K$7,2,FALSE)*VLOOKUP(Sheet1!$A462,Sheet2!$B$5:$H$29,6,FALSE),0)</x:f>
        <x:v>0</x:v>
      </x:c>
      <x:c r="H462">
        <x:f>ROUND($C462*10*VLOOKUP($B462,Sheet2!$J$5:$K$7,2,FALSE)*VLOOKUP(Sheet1!$A462,Sheet2!$B$5:$H$29,7,FALSE),0)</x:f>
        <x:v>0</x:v>
      </x:c>
      <x:c r="I462">
        <x:f t="shared" si="7"/>
        <x:v>32190</x:v>
      </x:c>
    </x:row>
    <x:row r="463" spans="1:9" x14ac:dyDescent="0.15">
      <x:c r="A463">
        <x:v>54003</x:v>
      </x:c>
      <x:c r="B463">
        <x:v>2</x:v>
      </x:c>
      <x:c r="C463">
        <x:v>42</x:v>
      </x:c>
      <x:c r="D463">
        <x:f>ROUND($C463*10*VLOOKUP($B463,Sheet2!$J$5:$K$7,2,FALSE)*VLOOKUP(Sheet1!$A463,Sheet2!$B$5:$H$29,3,FALSE),0)</x:f>
        <x:v>302</x:v>
      </x:c>
      <x:c r="E463">
        <x:f>ROUND($C463*10*VLOOKUP($B463,Sheet2!$J$5:$K$7,2,FALSE)*VLOOKUP(Sheet1!$A463,Sheet2!$B$5:$H$29,4,FALSE),0)</x:f>
        <x:v>0</x:v>
      </x:c>
      <x:c r="F463">
        <x:f>ROUND($C463*10*VLOOKUP($B463,Sheet2!$J$5:$K$7,2,FALSE)*VLOOKUP(Sheet1!$A463,Sheet2!$B$5:$H$29,5,FALSE),0)</x:f>
        <x:v>81</x:v>
      </x:c>
      <x:c r="G463">
        <x:f>ROUND($C463*10*VLOOKUP($B463,Sheet2!$J$5:$K$7,2,FALSE)*VLOOKUP(Sheet1!$A463,Sheet2!$B$5:$H$29,6,FALSE),0)</x:f>
        <x:v>0</x:v>
      </x:c>
      <x:c r="H463">
        <x:f>ROUND($C463*10*VLOOKUP($B463,Sheet2!$J$5:$K$7,2,FALSE)*VLOOKUP(Sheet1!$A463,Sheet2!$B$5:$H$29,7,FALSE),0)</x:f>
        <x:v>0</x:v>
      </x:c>
      <x:c r="I463">
        <x:f t="shared" si="7"/>
        <x:v>33650</x:v>
      </x:c>
    </x:row>
    <x:row r="464" spans="1:9" x14ac:dyDescent="0.15">
      <x:c r="A464">
        <x:v>54003</x:v>
      </x:c>
      <x:c r="B464">
        <x:v>2</x:v>
      </x:c>
      <x:c r="C464">
        <x:v>43</x:v>
      </x:c>
      <x:c r="D464">
        <x:f>ROUND($C464*10*VLOOKUP($B464,Sheet2!$J$5:$K$7,2,FALSE)*VLOOKUP(Sheet1!$A464,Sheet2!$B$5:$H$29,3,FALSE),0)</x:f>
        <x:v>310</x:v>
      </x:c>
      <x:c r="E464">
        <x:f>ROUND($C464*10*VLOOKUP($B464,Sheet2!$J$5:$K$7,2,FALSE)*VLOOKUP(Sheet1!$A464,Sheet2!$B$5:$H$29,4,FALSE),0)</x:f>
        <x:v>0</x:v>
      </x:c>
      <x:c r="F464">
        <x:f>ROUND($C464*10*VLOOKUP($B464,Sheet2!$J$5:$K$7,2,FALSE)*VLOOKUP(Sheet1!$A464,Sheet2!$B$5:$H$29,5,FALSE),0)</x:f>
        <x:v>83</x:v>
      </x:c>
      <x:c r="G464">
        <x:f>ROUND($C464*10*VLOOKUP($B464,Sheet2!$J$5:$K$7,2,FALSE)*VLOOKUP(Sheet1!$A464,Sheet2!$B$5:$H$29,6,FALSE),0)</x:f>
        <x:v>0</x:v>
      </x:c>
      <x:c r="H464">
        <x:f>ROUND($C464*10*VLOOKUP($B464,Sheet2!$J$5:$K$7,2,FALSE)*VLOOKUP(Sheet1!$A464,Sheet2!$B$5:$H$29,7,FALSE),0)</x:f>
        <x:v>0</x:v>
      </x:c>
      <x:c r="I464">
        <x:f t="shared" si="7"/>
        <x:v>35140</x:v>
      </x:c>
    </x:row>
    <x:row r="465" spans="1:9" x14ac:dyDescent="0.15">
      <x:c r="A465">
        <x:v>54003</x:v>
      </x:c>
      <x:c r="B465">
        <x:v>2</x:v>
      </x:c>
      <x:c r="C465">
        <x:v>44</x:v>
      </x:c>
      <x:c r="D465">
        <x:f>ROUND($C465*10*VLOOKUP($B465,Sheet2!$J$5:$K$7,2,FALSE)*VLOOKUP(Sheet1!$A465,Sheet2!$B$5:$H$29,3,FALSE),0)</x:f>
        <x:v>317</x:v>
      </x:c>
      <x:c r="E465">
        <x:f>ROUND($C465*10*VLOOKUP($B465,Sheet2!$J$5:$K$7,2,FALSE)*VLOOKUP(Sheet1!$A465,Sheet2!$B$5:$H$29,4,FALSE),0)</x:f>
        <x:v>0</x:v>
      </x:c>
      <x:c r="F465">
        <x:f>ROUND($C465*10*VLOOKUP($B465,Sheet2!$J$5:$K$7,2,FALSE)*VLOOKUP(Sheet1!$A465,Sheet2!$B$5:$H$29,5,FALSE),0)</x:f>
        <x:v>84</x:v>
      </x:c>
      <x:c r="G465">
        <x:f>ROUND($C465*10*VLOOKUP($B465,Sheet2!$J$5:$K$7,2,FALSE)*VLOOKUP(Sheet1!$A465,Sheet2!$B$5:$H$29,6,FALSE),0)</x:f>
        <x:v>0</x:v>
      </x:c>
      <x:c r="H465">
        <x:f>ROUND($C465*10*VLOOKUP($B465,Sheet2!$J$5:$K$7,2,FALSE)*VLOOKUP(Sheet1!$A465,Sheet2!$B$5:$H$29,7,FALSE),0)</x:f>
        <x:v>0</x:v>
      </x:c>
      <x:c r="I465">
        <x:f t="shared" si="7"/>
        <x:v>36660</x:v>
      </x:c>
    </x:row>
    <x:row r="466" spans="1:9" x14ac:dyDescent="0.15">
      <x:c r="A466">
        <x:v>54003</x:v>
      </x:c>
      <x:c r="B466">
        <x:v>2</x:v>
      </x:c>
      <x:c r="C466">
        <x:v>45</x:v>
      </x:c>
      <x:c r="D466">
        <x:f>ROUND($C466*10*VLOOKUP($B466,Sheet2!$J$5:$K$7,2,FALSE)*VLOOKUP(Sheet1!$A466,Sheet2!$B$5:$H$29,3,FALSE),0)</x:f>
        <x:v>324</x:v>
      </x:c>
      <x:c r="E466">
        <x:f>ROUND($C466*10*VLOOKUP($B466,Sheet2!$J$5:$K$7,2,FALSE)*VLOOKUP(Sheet1!$A466,Sheet2!$B$5:$H$29,4,FALSE),0)</x:f>
        <x:v>0</x:v>
      </x:c>
      <x:c r="F466">
        <x:f>ROUND($C466*10*VLOOKUP($B466,Sheet2!$J$5:$K$7,2,FALSE)*VLOOKUP(Sheet1!$A466,Sheet2!$B$5:$H$29,5,FALSE),0)</x:f>
        <x:v>86</x:v>
      </x:c>
      <x:c r="G466">
        <x:f>ROUND($C466*10*VLOOKUP($B466,Sheet2!$J$5:$K$7,2,FALSE)*VLOOKUP(Sheet1!$A466,Sheet2!$B$5:$H$29,6,FALSE),0)</x:f>
        <x:v>0</x:v>
      </x:c>
      <x:c r="H466">
        <x:f>ROUND($C466*10*VLOOKUP($B466,Sheet2!$J$5:$K$7,2,FALSE)*VLOOKUP(Sheet1!$A466,Sheet2!$B$5:$H$29,7,FALSE),0)</x:f>
        <x:v>0</x:v>
      </x:c>
      <x:c r="I466">
        <x:f t="shared" si="7"/>
        <x:v>38210</x:v>
      </x:c>
    </x:row>
    <x:row r="467" spans="1:9" x14ac:dyDescent="0.15">
      <x:c r="A467">
        <x:v>54003</x:v>
      </x:c>
      <x:c r="B467">
        <x:v>2</x:v>
      </x:c>
      <x:c r="C467">
        <x:v>46</x:v>
      </x:c>
      <x:c r="D467">
        <x:f>ROUND($C467*10*VLOOKUP($B467,Sheet2!$J$5:$K$7,2,FALSE)*VLOOKUP(Sheet1!$A467,Sheet2!$B$5:$H$29,3,FALSE),0)</x:f>
        <x:v>331</x:v>
      </x:c>
      <x:c r="E467">
        <x:f>ROUND($C467*10*VLOOKUP($B467,Sheet2!$J$5:$K$7,2,FALSE)*VLOOKUP(Sheet1!$A467,Sheet2!$B$5:$H$29,4,FALSE),0)</x:f>
        <x:v>0</x:v>
      </x:c>
      <x:c r="F467">
        <x:f>ROUND($C467*10*VLOOKUP($B467,Sheet2!$J$5:$K$7,2,FALSE)*VLOOKUP(Sheet1!$A467,Sheet2!$B$5:$H$29,5,FALSE),0)</x:f>
        <x:v>88</x:v>
      </x:c>
      <x:c r="G467">
        <x:f>ROUND($C467*10*VLOOKUP($B467,Sheet2!$J$5:$K$7,2,FALSE)*VLOOKUP(Sheet1!$A467,Sheet2!$B$5:$H$29,6,FALSE),0)</x:f>
        <x:v>0</x:v>
      </x:c>
      <x:c r="H467">
        <x:f>ROUND($C467*10*VLOOKUP($B467,Sheet2!$J$5:$K$7,2,FALSE)*VLOOKUP(Sheet1!$A467,Sheet2!$B$5:$H$29,7,FALSE),0)</x:f>
        <x:v>0</x:v>
      </x:c>
      <x:c r="I467">
        <x:f t="shared" si="7"/>
        <x:v>39780</x:v>
      </x:c>
    </x:row>
    <x:row r="468" spans="1:9" x14ac:dyDescent="0.15">
      <x:c r="A468">
        <x:v>54003</x:v>
      </x:c>
      <x:c r="B468">
        <x:v>2</x:v>
      </x:c>
      <x:c r="C468">
        <x:v>47</x:v>
      </x:c>
      <x:c r="D468">
        <x:f>ROUND($C468*10*VLOOKUP($B468,Sheet2!$J$5:$K$7,2,FALSE)*VLOOKUP(Sheet1!$A468,Sheet2!$B$5:$H$29,3,FALSE),0)</x:f>
        <x:v>338</x:v>
      </x:c>
      <x:c r="E468">
        <x:f>ROUND($C468*10*VLOOKUP($B468,Sheet2!$J$5:$K$7,2,FALSE)*VLOOKUP(Sheet1!$A468,Sheet2!$B$5:$H$29,4,FALSE),0)</x:f>
        <x:v>0</x:v>
      </x:c>
      <x:c r="F468">
        <x:f>ROUND($C468*10*VLOOKUP($B468,Sheet2!$J$5:$K$7,2,FALSE)*VLOOKUP(Sheet1!$A468,Sheet2!$B$5:$H$29,5,FALSE),0)</x:f>
        <x:v>90</x:v>
      </x:c>
      <x:c r="G468">
        <x:f>ROUND($C468*10*VLOOKUP($B468,Sheet2!$J$5:$K$7,2,FALSE)*VLOOKUP(Sheet1!$A468,Sheet2!$B$5:$H$29,6,FALSE),0)</x:f>
        <x:v>0</x:v>
      </x:c>
      <x:c r="H468">
        <x:f>ROUND($C468*10*VLOOKUP($B468,Sheet2!$J$5:$K$7,2,FALSE)*VLOOKUP(Sheet1!$A468,Sheet2!$B$5:$H$29,7,FALSE),0)</x:f>
        <x:v>0</x:v>
      </x:c>
      <x:c r="I468">
        <x:f t="shared" si="7"/>
        <x:v>41390</x:v>
      </x:c>
    </x:row>
    <x:row r="469" spans="1:9" x14ac:dyDescent="0.15">
      <x:c r="A469">
        <x:v>54003</x:v>
      </x:c>
      <x:c r="B469">
        <x:v>2</x:v>
      </x:c>
      <x:c r="C469">
        <x:v>48</x:v>
      </x:c>
      <x:c r="D469">
        <x:f>ROUND($C469*10*VLOOKUP($B469,Sheet2!$J$5:$K$7,2,FALSE)*VLOOKUP(Sheet1!$A469,Sheet2!$B$5:$H$29,3,FALSE),0)</x:f>
        <x:v>346</x:v>
      </x:c>
      <x:c r="E469">
        <x:f>ROUND($C469*10*VLOOKUP($B469,Sheet2!$J$5:$K$7,2,FALSE)*VLOOKUP(Sheet1!$A469,Sheet2!$B$5:$H$29,4,FALSE),0)</x:f>
        <x:v>0</x:v>
      </x:c>
      <x:c r="F469">
        <x:f>ROUND($C469*10*VLOOKUP($B469,Sheet2!$J$5:$K$7,2,FALSE)*VLOOKUP(Sheet1!$A469,Sheet2!$B$5:$H$29,5,FALSE),0)</x:f>
        <x:v>92</x:v>
      </x:c>
      <x:c r="G469">
        <x:f>ROUND($C469*10*VLOOKUP($B469,Sheet2!$J$5:$K$7,2,FALSE)*VLOOKUP(Sheet1!$A469,Sheet2!$B$5:$H$29,6,FALSE),0)</x:f>
        <x:v>0</x:v>
      </x:c>
      <x:c r="H469">
        <x:f>ROUND($C469*10*VLOOKUP($B469,Sheet2!$J$5:$K$7,2,FALSE)*VLOOKUP(Sheet1!$A469,Sheet2!$B$5:$H$29,7,FALSE),0)</x:f>
        <x:v>0</x:v>
      </x:c>
      <x:c r="I469">
        <x:f t="shared" si="7"/>
        <x:v>43020</x:v>
      </x:c>
    </x:row>
    <x:row r="470" spans="1:9" x14ac:dyDescent="0.15">
      <x:c r="A470">
        <x:v>54003</x:v>
      </x:c>
      <x:c r="B470">
        <x:v>2</x:v>
      </x:c>
      <x:c r="C470">
        <x:v>49</x:v>
      </x:c>
      <x:c r="D470">
        <x:f>ROUND($C470*10*VLOOKUP($B470,Sheet2!$J$5:$K$7,2,FALSE)*VLOOKUP(Sheet1!$A470,Sheet2!$B$5:$H$29,3,FALSE),0)</x:f>
        <x:v>353</x:v>
      </x:c>
      <x:c r="E470">
        <x:f>ROUND($C470*10*VLOOKUP($B470,Sheet2!$J$5:$K$7,2,FALSE)*VLOOKUP(Sheet1!$A470,Sheet2!$B$5:$H$29,4,FALSE),0)</x:f>
        <x:v>0</x:v>
      </x:c>
      <x:c r="F470">
        <x:f>ROUND($C470*10*VLOOKUP($B470,Sheet2!$J$5:$K$7,2,FALSE)*VLOOKUP(Sheet1!$A470,Sheet2!$B$5:$H$29,5,FALSE),0)</x:f>
        <x:v>94</x:v>
      </x:c>
      <x:c r="G470">
        <x:f>ROUND($C470*10*VLOOKUP($B470,Sheet2!$J$5:$K$7,2,FALSE)*VLOOKUP(Sheet1!$A470,Sheet2!$B$5:$H$29,6,FALSE),0)</x:f>
        <x:v>0</x:v>
      </x:c>
      <x:c r="H470">
        <x:f>ROUND($C470*10*VLOOKUP($B470,Sheet2!$J$5:$K$7,2,FALSE)*VLOOKUP(Sheet1!$A470,Sheet2!$B$5:$H$29,7,FALSE),0)</x:f>
        <x:v>0</x:v>
      </x:c>
      <x:c r="I470">
        <x:f t="shared" si="7"/>
        <x:v>44680</x:v>
      </x:c>
    </x:row>
    <x:row r="471" spans="1:9" x14ac:dyDescent="0.15">
      <x:c r="A471">
        <x:v>54003</x:v>
      </x:c>
      <x:c r="B471">
        <x:v>2</x:v>
      </x:c>
      <x:c r="C471">
        <x:v>50</x:v>
      </x:c>
      <x:c r="D471">
        <x:f>ROUND($C471*10*VLOOKUP($B471,Sheet2!$J$5:$K$7,2,FALSE)*VLOOKUP(Sheet1!$A471,Sheet2!$B$5:$H$29,3,FALSE),0)</x:f>
        <x:v>360</x:v>
      </x:c>
      <x:c r="E471">
        <x:f>ROUND($C471*10*VLOOKUP($B471,Sheet2!$J$5:$K$7,2,FALSE)*VLOOKUP(Sheet1!$A471,Sheet2!$B$5:$H$29,4,FALSE),0)</x:f>
        <x:v>0</x:v>
      </x:c>
      <x:c r="F471">
        <x:f>ROUND($C471*10*VLOOKUP($B471,Sheet2!$J$5:$K$7,2,FALSE)*VLOOKUP(Sheet1!$A471,Sheet2!$B$5:$H$29,5,FALSE),0)</x:f>
        <x:v>96</x:v>
      </x:c>
      <x:c r="G471">
        <x:f>ROUND($C471*10*VLOOKUP($B471,Sheet2!$J$5:$K$7,2,FALSE)*VLOOKUP(Sheet1!$A471,Sheet2!$B$5:$H$29,6,FALSE),0)</x:f>
        <x:v>0</x:v>
      </x:c>
      <x:c r="H471">
        <x:f>ROUND($C471*10*VLOOKUP($B471,Sheet2!$J$5:$K$7,2,FALSE)*VLOOKUP(Sheet1!$A471,Sheet2!$B$5:$H$29,7,FALSE),0)</x:f>
        <x:v>0</x:v>
      </x:c>
      <x:c r="I471">
        <x:f t="shared" si="7"/>
        <x:v>46360</x:v>
      </x:c>
    </x:row>
    <x:row r="472" spans="1:9" x14ac:dyDescent="0.15">
      <x:c r="A472">
        <x:v>54003</x:v>
      </x:c>
      <x:c r="B472">
        <x:v>2</x:v>
      </x:c>
      <x:c r="C472">
        <x:v>51</x:v>
      </x:c>
      <x:c r="D472">
        <x:f>ROUND($C472*10*VLOOKUP($B472,Sheet2!$J$5:$K$7,2,FALSE)*VLOOKUP(Sheet1!$A472,Sheet2!$B$5:$H$29,3,FALSE),0)</x:f>
        <x:v>367</x:v>
      </x:c>
      <x:c r="E472">
        <x:f>ROUND($C472*10*VLOOKUP($B472,Sheet2!$J$5:$K$7,2,FALSE)*VLOOKUP(Sheet1!$A472,Sheet2!$B$5:$H$29,4,FALSE),0)</x:f>
        <x:v>0</x:v>
      </x:c>
      <x:c r="F472">
        <x:f>ROUND($C472*10*VLOOKUP($B472,Sheet2!$J$5:$K$7,2,FALSE)*VLOOKUP(Sheet1!$A472,Sheet2!$B$5:$H$29,5,FALSE),0)</x:f>
        <x:v>98</x:v>
      </x:c>
      <x:c r="G472">
        <x:f>ROUND($C472*10*VLOOKUP($B472,Sheet2!$J$5:$K$7,2,FALSE)*VLOOKUP(Sheet1!$A472,Sheet2!$B$5:$H$29,6,FALSE),0)</x:f>
        <x:v>0</x:v>
      </x:c>
      <x:c r="H472">
        <x:f>ROUND($C472*10*VLOOKUP($B472,Sheet2!$J$5:$K$7,2,FALSE)*VLOOKUP(Sheet1!$A472,Sheet2!$B$5:$H$29,7,FALSE),0)</x:f>
        <x:v>0</x:v>
      </x:c>
      <x:c r="I472">
        <x:f t="shared" si="7"/>
        <x:v>48080</x:v>
      </x:c>
    </x:row>
    <x:row r="473" spans="1:9" x14ac:dyDescent="0.15">
      <x:c r="A473">
        <x:v>54003</x:v>
      </x:c>
      <x:c r="B473">
        <x:v>2</x:v>
      </x:c>
      <x:c r="C473">
        <x:v>52</x:v>
      </x:c>
      <x:c r="D473">
        <x:f>ROUND($C473*10*VLOOKUP($B473,Sheet2!$J$5:$K$7,2,FALSE)*VLOOKUP(Sheet1!$A473,Sheet2!$B$5:$H$29,3,FALSE),0)</x:f>
        <x:v>374</x:v>
      </x:c>
      <x:c r="E473">
        <x:f>ROUND($C473*10*VLOOKUP($B473,Sheet2!$J$5:$K$7,2,FALSE)*VLOOKUP(Sheet1!$A473,Sheet2!$B$5:$H$29,4,FALSE),0)</x:f>
        <x:v>0</x:v>
      </x:c>
      <x:c r="F473">
        <x:f>ROUND($C473*10*VLOOKUP($B473,Sheet2!$J$5:$K$7,2,FALSE)*VLOOKUP(Sheet1!$A473,Sheet2!$B$5:$H$29,5,FALSE),0)</x:f>
        <x:v>100</x:v>
      </x:c>
      <x:c r="G473">
        <x:f>ROUND($C473*10*VLOOKUP($B473,Sheet2!$J$5:$K$7,2,FALSE)*VLOOKUP(Sheet1!$A473,Sheet2!$B$5:$H$29,6,FALSE),0)</x:f>
        <x:v>0</x:v>
      </x:c>
      <x:c r="H473">
        <x:f>ROUND($C473*10*VLOOKUP($B473,Sheet2!$J$5:$K$7,2,FALSE)*VLOOKUP(Sheet1!$A473,Sheet2!$B$5:$H$29,7,FALSE),0)</x:f>
        <x:v>0</x:v>
      </x:c>
      <x:c r="I473">
        <x:f t="shared" si="7"/>
        <x:v>49820</x:v>
      </x:c>
    </x:row>
    <x:row r="474" spans="1:9" x14ac:dyDescent="0.15">
      <x:c r="A474">
        <x:v>54003</x:v>
      </x:c>
      <x:c r="B474">
        <x:v>2</x:v>
      </x:c>
      <x:c r="C474">
        <x:v>53</x:v>
      </x:c>
      <x:c r="D474">
        <x:f>ROUND($C474*10*VLOOKUP($B474,Sheet2!$J$5:$K$7,2,FALSE)*VLOOKUP(Sheet1!$A474,Sheet2!$B$5:$H$29,3,FALSE),0)</x:f>
        <x:v>382</x:v>
      </x:c>
      <x:c r="E474">
        <x:f>ROUND($C474*10*VLOOKUP($B474,Sheet2!$J$5:$K$7,2,FALSE)*VLOOKUP(Sheet1!$A474,Sheet2!$B$5:$H$29,4,FALSE),0)</x:f>
        <x:v>0</x:v>
      </x:c>
      <x:c r="F474">
        <x:f>ROUND($C474*10*VLOOKUP($B474,Sheet2!$J$5:$K$7,2,FALSE)*VLOOKUP(Sheet1!$A474,Sheet2!$B$5:$H$29,5,FALSE),0)</x:f>
        <x:v>102</x:v>
      </x:c>
      <x:c r="G474">
        <x:f>ROUND($C474*10*VLOOKUP($B474,Sheet2!$J$5:$K$7,2,FALSE)*VLOOKUP(Sheet1!$A474,Sheet2!$B$5:$H$29,6,FALSE),0)</x:f>
        <x:v>0</x:v>
      </x:c>
      <x:c r="H474">
        <x:f>ROUND($C474*10*VLOOKUP($B474,Sheet2!$J$5:$K$7,2,FALSE)*VLOOKUP(Sheet1!$A474,Sheet2!$B$5:$H$29,7,FALSE),0)</x:f>
        <x:v>0</x:v>
      </x:c>
      <x:c r="I474">
        <x:f t="shared" si="7"/>
        <x:v>51590</x:v>
      </x:c>
    </x:row>
    <x:row r="475" spans="1:9" x14ac:dyDescent="0.15">
      <x:c r="A475">
        <x:v>54003</x:v>
      </x:c>
      <x:c r="B475">
        <x:v>2</x:v>
      </x:c>
      <x:c r="C475">
        <x:v>54</x:v>
      </x:c>
      <x:c r="D475">
        <x:f>ROUND($C475*10*VLOOKUP($B475,Sheet2!$J$5:$K$7,2,FALSE)*VLOOKUP(Sheet1!$A475,Sheet2!$B$5:$H$29,3,FALSE),0)</x:f>
        <x:v>389</x:v>
      </x:c>
      <x:c r="E475">
        <x:f>ROUND($C475*10*VLOOKUP($B475,Sheet2!$J$5:$K$7,2,FALSE)*VLOOKUP(Sheet1!$A475,Sheet2!$B$5:$H$29,4,FALSE),0)</x:f>
        <x:v>0</x:v>
      </x:c>
      <x:c r="F475">
        <x:f>ROUND($C475*10*VLOOKUP($B475,Sheet2!$J$5:$K$7,2,FALSE)*VLOOKUP(Sheet1!$A475,Sheet2!$B$5:$H$29,5,FALSE),0)</x:f>
        <x:v>104</x:v>
      </x:c>
      <x:c r="G475">
        <x:f>ROUND($C475*10*VLOOKUP($B475,Sheet2!$J$5:$K$7,2,FALSE)*VLOOKUP(Sheet1!$A475,Sheet2!$B$5:$H$29,6,FALSE),0)</x:f>
        <x:v>0</x:v>
      </x:c>
      <x:c r="H475">
        <x:f>ROUND($C475*10*VLOOKUP($B475,Sheet2!$J$5:$K$7,2,FALSE)*VLOOKUP(Sheet1!$A475,Sheet2!$B$5:$H$29,7,FALSE),0)</x:f>
        <x:v>0</x:v>
      </x:c>
      <x:c r="I475">
        <x:f t="shared" si="7"/>
        <x:v>53390</x:v>
      </x:c>
    </x:row>
    <x:row r="476" spans="1:9" x14ac:dyDescent="0.15">
      <x:c r="A476">
        <x:v>54003</x:v>
      </x:c>
      <x:c r="B476">
        <x:v>2</x:v>
      </x:c>
      <x:c r="C476">
        <x:v>55</x:v>
      </x:c>
      <x:c r="D476">
        <x:f>ROUND($C476*10*VLOOKUP($B476,Sheet2!$J$5:$K$7,2,FALSE)*VLOOKUP(Sheet1!$A476,Sheet2!$B$5:$H$29,3,FALSE),0)</x:f>
        <x:v>396</x:v>
      </x:c>
      <x:c r="E476">
        <x:f>ROUND($C476*10*VLOOKUP($B476,Sheet2!$J$5:$K$7,2,FALSE)*VLOOKUP(Sheet1!$A476,Sheet2!$B$5:$H$29,4,FALSE),0)</x:f>
        <x:v>0</x:v>
      </x:c>
      <x:c r="F476">
        <x:f>ROUND($C476*10*VLOOKUP($B476,Sheet2!$J$5:$K$7,2,FALSE)*VLOOKUP(Sheet1!$A476,Sheet2!$B$5:$H$29,5,FALSE),0)</x:f>
        <x:v>106</x:v>
      </x:c>
      <x:c r="G476">
        <x:f>ROUND($C476*10*VLOOKUP($B476,Sheet2!$J$5:$K$7,2,FALSE)*VLOOKUP(Sheet1!$A476,Sheet2!$B$5:$H$29,6,FALSE),0)</x:f>
        <x:v>0</x:v>
      </x:c>
      <x:c r="H476">
        <x:f>ROUND($C476*10*VLOOKUP($B476,Sheet2!$J$5:$K$7,2,FALSE)*VLOOKUP(Sheet1!$A476,Sheet2!$B$5:$H$29,7,FALSE),0)</x:f>
        <x:v>0</x:v>
      </x:c>
      <x:c r="I476">
        <x:f t="shared" si="7"/>
        <x:v>55210</x:v>
      </x:c>
    </x:row>
    <x:row r="477" spans="1:9" x14ac:dyDescent="0.15">
      <x:c r="A477">
        <x:v>54003</x:v>
      </x:c>
      <x:c r="B477">
        <x:v>2</x:v>
      </x:c>
      <x:c r="C477">
        <x:v>56</x:v>
      </x:c>
      <x:c r="D477">
        <x:f>ROUND($C477*10*VLOOKUP($B477,Sheet2!$J$5:$K$7,2,FALSE)*VLOOKUP(Sheet1!$A477,Sheet2!$B$5:$H$29,3,FALSE),0)</x:f>
        <x:v>403</x:v>
      </x:c>
      <x:c r="E477">
        <x:f>ROUND($C477*10*VLOOKUP($B477,Sheet2!$J$5:$K$7,2,FALSE)*VLOOKUP(Sheet1!$A477,Sheet2!$B$5:$H$29,4,FALSE),0)</x:f>
        <x:v>0</x:v>
      </x:c>
      <x:c r="F477">
        <x:f>ROUND($C477*10*VLOOKUP($B477,Sheet2!$J$5:$K$7,2,FALSE)*VLOOKUP(Sheet1!$A477,Sheet2!$B$5:$H$29,5,FALSE),0)</x:f>
        <x:v>108</x:v>
      </x:c>
      <x:c r="G477">
        <x:f>ROUND($C477*10*VLOOKUP($B477,Sheet2!$J$5:$K$7,2,FALSE)*VLOOKUP(Sheet1!$A477,Sheet2!$B$5:$H$29,6,FALSE),0)</x:f>
        <x:v>0</x:v>
      </x:c>
      <x:c r="H477">
        <x:f>ROUND($C477*10*VLOOKUP($B477,Sheet2!$J$5:$K$7,2,FALSE)*VLOOKUP(Sheet1!$A477,Sheet2!$B$5:$H$29,7,FALSE),0)</x:f>
        <x:v>0</x:v>
      </x:c>
      <x:c r="I477">
        <x:f t="shared" si="7"/>
        <x:v>57060</x:v>
      </x:c>
    </x:row>
    <x:row r="478" spans="1:9" x14ac:dyDescent="0.15">
      <x:c r="A478">
        <x:v>54003</x:v>
      </x:c>
      <x:c r="B478">
        <x:v>2</x:v>
      </x:c>
      <x:c r="C478">
        <x:v>57</x:v>
      </x:c>
      <x:c r="D478">
        <x:f>ROUND($C478*10*VLOOKUP($B478,Sheet2!$J$5:$K$7,2,FALSE)*VLOOKUP(Sheet1!$A478,Sheet2!$B$5:$H$29,3,FALSE),0)</x:f>
        <x:v>410</x:v>
      </x:c>
      <x:c r="E478">
        <x:f>ROUND($C478*10*VLOOKUP($B478,Sheet2!$J$5:$K$7,2,FALSE)*VLOOKUP(Sheet1!$A478,Sheet2!$B$5:$H$29,4,FALSE),0)</x:f>
        <x:v>0</x:v>
      </x:c>
      <x:c r="F478">
        <x:f>ROUND($C478*10*VLOOKUP($B478,Sheet2!$J$5:$K$7,2,FALSE)*VLOOKUP(Sheet1!$A478,Sheet2!$B$5:$H$29,5,FALSE),0)</x:f>
        <x:v>109</x:v>
      </x:c>
      <x:c r="G478">
        <x:f>ROUND($C478*10*VLOOKUP($B478,Sheet2!$J$5:$K$7,2,FALSE)*VLOOKUP(Sheet1!$A478,Sheet2!$B$5:$H$29,6,FALSE),0)</x:f>
        <x:v>0</x:v>
      </x:c>
      <x:c r="H478">
        <x:f>ROUND($C478*10*VLOOKUP($B478,Sheet2!$J$5:$K$7,2,FALSE)*VLOOKUP(Sheet1!$A478,Sheet2!$B$5:$H$29,7,FALSE),0)</x:f>
        <x:v>0</x:v>
      </x:c>
      <x:c r="I478">
        <x:f t="shared" si="7"/>
        <x:v>58940</x:v>
      </x:c>
    </x:row>
    <x:row r="479" spans="1:9" x14ac:dyDescent="0.15">
      <x:c r="A479">
        <x:v>54003</x:v>
      </x:c>
      <x:c r="B479">
        <x:v>2</x:v>
      </x:c>
      <x:c r="C479">
        <x:v>58</x:v>
      </x:c>
      <x:c r="D479">
        <x:f>ROUND($C479*10*VLOOKUP($B479,Sheet2!$J$5:$K$7,2,FALSE)*VLOOKUP(Sheet1!$A479,Sheet2!$B$5:$H$29,3,FALSE),0)</x:f>
        <x:v>418</x:v>
      </x:c>
      <x:c r="E479">
        <x:f>ROUND($C479*10*VLOOKUP($B479,Sheet2!$J$5:$K$7,2,FALSE)*VLOOKUP(Sheet1!$A479,Sheet2!$B$5:$H$29,4,FALSE),0)</x:f>
        <x:v>0</x:v>
      </x:c>
      <x:c r="F479">
        <x:f>ROUND($C479*10*VLOOKUP($B479,Sheet2!$J$5:$K$7,2,FALSE)*VLOOKUP(Sheet1!$A479,Sheet2!$B$5:$H$29,5,FALSE),0)</x:f>
        <x:v>111</x:v>
      </x:c>
      <x:c r="G479">
        <x:f>ROUND($C479*10*VLOOKUP($B479,Sheet2!$J$5:$K$7,2,FALSE)*VLOOKUP(Sheet1!$A479,Sheet2!$B$5:$H$29,6,FALSE),0)</x:f>
        <x:v>0</x:v>
      </x:c>
      <x:c r="H479">
        <x:f>ROUND($C479*10*VLOOKUP($B479,Sheet2!$J$5:$K$7,2,FALSE)*VLOOKUP(Sheet1!$A479,Sheet2!$B$5:$H$29,7,FALSE),0)</x:f>
        <x:v>0</x:v>
      </x:c>
      <x:c r="I479">
        <x:f t="shared" si="7"/>
        <x:v>60850</x:v>
      </x:c>
    </x:row>
    <x:row r="480" spans="1:9" x14ac:dyDescent="0.15">
      <x:c r="A480">
        <x:v>54003</x:v>
      </x:c>
      <x:c r="B480">
        <x:v>2</x:v>
      </x:c>
      <x:c r="C480">
        <x:v>59</x:v>
      </x:c>
      <x:c r="D480">
        <x:f>ROUND($C480*10*VLOOKUP($B480,Sheet2!$J$5:$K$7,2,FALSE)*VLOOKUP(Sheet1!$A480,Sheet2!$B$5:$H$29,3,FALSE),0)</x:f>
        <x:v>425</x:v>
      </x:c>
      <x:c r="E480">
        <x:f>ROUND($C480*10*VLOOKUP($B480,Sheet2!$J$5:$K$7,2,FALSE)*VLOOKUP(Sheet1!$A480,Sheet2!$B$5:$H$29,4,FALSE),0)</x:f>
        <x:v>0</x:v>
      </x:c>
      <x:c r="F480">
        <x:f>ROUND($C480*10*VLOOKUP($B480,Sheet2!$J$5:$K$7,2,FALSE)*VLOOKUP(Sheet1!$A480,Sheet2!$B$5:$H$29,5,FALSE),0)</x:f>
        <x:v>113</x:v>
      </x:c>
      <x:c r="G480">
        <x:f>ROUND($C480*10*VLOOKUP($B480,Sheet2!$J$5:$K$7,2,FALSE)*VLOOKUP(Sheet1!$A480,Sheet2!$B$5:$H$29,6,FALSE),0)</x:f>
        <x:v>0</x:v>
      </x:c>
      <x:c r="H480">
        <x:f>ROUND($C480*10*VLOOKUP($B480,Sheet2!$J$5:$K$7,2,FALSE)*VLOOKUP(Sheet1!$A480,Sheet2!$B$5:$H$29,7,FALSE),0)</x:f>
        <x:v>0</x:v>
      </x:c>
      <x:c r="I480">
        <x:f t="shared" si="7"/>
        <x:v>62780</x:v>
      </x:c>
    </x:row>
    <x:row r="481" spans="1:9" x14ac:dyDescent="0.15">
      <x:c r="A481">
        <x:v>54003</x:v>
      </x:c>
      <x:c r="B481">
        <x:v>2</x:v>
      </x:c>
      <x:c r="C481">
        <x:v>60</x:v>
      </x:c>
      <x:c r="D481">
        <x:f>ROUND($C481*10*VLOOKUP($B481,Sheet2!$J$5:$K$7,2,FALSE)*VLOOKUP(Sheet1!$A481,Sheet2!$B$5:$H$29,3,FALSE),0)</x:f>
        <x:v>432</x:v>
      </x:c>
      <x:c r="E481">
        <x:f>ROUND($C481*10*VLOOKUP($B481,Sheet2!$J$5:$K$7,2,FALSE)*VLOOKUP(Sheet1!$A481,Sheet2!$B$5:$H$29,4,FALSE),0)</x:f>
        <x:v>0</x:v>
      </x:c>
      <x:c r="F481">
        <x:f>ROUND($C481*10*VLOOKUP($B481,Sheet2!$J$5:$K$7,2,FALSE)*VLOOKUP(Sheet1!$A481,Sheet2!$B$5:$H$29,5,FALSE),0)</x:f>
        <x:v>115</x:v>
      </x:c>
      <x:c r="G481">
        <x:f>ROUND($C481*10*VLOOKUP($B481,Sheet2!$J$5:$K$7,2,FALSE)*VLOOKUP(Sheet1!$A481,Sheet2!$B$5:$H$29,6,FALSE),0)</x:f>
        <x:v>0</x:v>
      </x:c>
      <x:c r="H481">
        <x:f>ROUND($C481*10*VLOOKUP($B481,Sheet2!$J$5:$K$7,2,FALSE)*VLOOKUP(Sheet1!$A481,Sheet2!$B$5:$H$29,7,FALSE),0)</x:f>
        <x:v>0</x:v>
      </x:c>
      <x:c r="I481">
        <x:f t="shared" si="7"/>
        <x:v>64740</x:v>
      </x:c>
    </x:row>
    <x:row r="482" spans="1:9" x14ac:dyDescent="0.15">
      <x:c r="A482">
        <x:v>54003</x:v>
      </x:c>
      <x:c r="B482">
        <x:v>3</x:v>
      </x:c>
      <x:c r="C482">
        <x:v>1</x:v>
      </x:c>
      <x:c r="D482">
        <x:f>ROUND($C482*10*VLOOKUP($B482,Sheet2!$J$5:$K$7,2,FALSE)*VLOOKUP(Sheet1!$A482,Sheet2!$B$5:$H$29,3,FALSE),0)</x:f>
        <x:v>12</x:v>
      </x:c>
      <x:c r="E482">
        <x:f>ROUND($C482*10*VLOOKUP($B482,Sheet2!$J$5:$K$7,2,FALSE)*VLOOKUP(Sheet1!$A482,Sheet2!$B$5:$H$29,4,FALSE),0)</x:f>
        <x:v>0</x:v>
      </x:c>
      <x:c r="F482">
        <x:f>ROUND($C482*10*VLOOKUP($B482,Sheet2!$J$5:$K$7,2,FALSE)*VLOOKUP(Sheet1!$A482,Sheet2!$B$5:$H$29,5,FALSE),0)</x:f>
        <x:v>3</x:v>
      </x:c>
      <x:c r="G482">
        <x:f>ROUND($C482*10*VLOOKUP($B482,Sheet2!$J$5:$K$7,2,FALSE)*VLOOKUP(Sheet1!$A482,Sheet2!$B$5:$H$29,6,FALSE),0)</x:f>
        <x:v>0</x:v>
      </x:c>
      <x:c r="H482">
        <x:f>ROUND($C482*10*VLOOKUP($B482,Sheet2!$J$5:$K$7,2,FALSE)*VLOOKUP(Sheet1!$A482,Sheet2!$B$5:$H$29,7,FALSE),0)</x:f>
        <x:v>0</x:v>
      </x:c>
      <x:c r="I482">
        <x:f t="shared" ref="I482:I541" si="8">ROUND(1.2*10*10.5*(C482-1)^1.8+90,-1)</x:f>
        <x:v>90</x:v>
      </x:c>
    </x:row>
    <x:row r="483" spans="1:9" x14ac:dyDescent="0.15">
      <x:c r="A483">
        <x:v>54003</x:v>
      </x:c>
      <x:c r="B483">
        <x:v>3</x:v>
      </x:c>
      <x:c r="C483">
        <x:v>2</x:v>
      </x:c>
      <x:c r="D483">
        <x:f>ROUND($C483*10*VLOOKUP($B483,Sheet2!$J$5:$K$7,2,FALSE)*VLOOKUP(Sheet1!$A483,Sheet2!$B$5:$H$29,3,FALSE),0)</x:f>
        <x:v>24</x:v>
      </x:c>
      <x:c r="E483">
        <x:f>ROUND($C483*10*VLOOKUP($B483,Sheet2!$J$5:$K$7,2,FALSE)*VLOOKUP(Sheet1!$A483,Sheet2!$B$5:$H$29,4,FALSE),0)</x:f>
        <x:v>0</x:v>
      </x:c>
      <x:c r="F483">
        <x:f>ROUND($C483*10*VLOOKUP($B483,Sheet2!$J$5:$K$7,2,FALSE)*VLOOKUP(Sheet1!$A483,Sheet2!$B$5:$H$29,5,FALSE),0)</x:f>
        <x:v>6</x:v>
      </x:c>
      <x:c r="G483">
        <x:f>ROUND($C483*10*VLOOKUP($B483,Sheet2!$J$5:$K$7,2,FALSE)*VLOOKUP(Sheet1!$A483,Sheet2!$B$5:$H$29,6,FALSE),0)</x:f>
        <x:v>0</x:v>
      </x:c>
      <x:c r="H483">
        <x:f>ROUND($C483*10*VLOOKUP($B483,Sheet2!$J$5:$K$7,2,FALSE)*VLOOKUP(Sheet1!$A483,Sheet2!$B$5:$H$29,7,FALSE),0)</x:f>
        <x:v>0</x:v>
      </x:c>
      <x:c r="I483">
        <x:f t="shared" si="8"/>
        <x:v>220</x:v>
      </x:c>
    </x:row>
    <x:row r="484" spans="1:9" x14ac:dyDescent="0.15">
      <x:c r="A484">
        <x:v>54003</x:v>
      </x:c>
      <x:c r="B484">
        <x:v>3</x:v>
      </x:c>
      <x:c r="C484">
        <x:v>3</x:v>
      </x:c>
      <x:c r="D484">
        <x:f>ROUND($C484*10*VLOOKUP($B484,Sheet2!$J$5:$K$7,2,FALSE)*VLOOKUP(Sheet1!$A484,Sheet2!$B$5:$H$29,3,FALSE),0)</x:f>
        <x:v>36</x:v>
      </x:c>
      <x:c r="E484">
        <x:f>ROUND($C484*10*VLOOKUP($B484,Sheet2!$J$5:$K$7,2,FALSE)*VLOOKUP(Sheet1!$A484,Sheet2!$B$5:$H$29,4,FALSE),0)</x:f>
        <x:v>0</x:v>
      </x:c>
      <x:c r="F484">
        <x:f>ROUND($C484*10*VLOOKUP($B484,Sheet2!$J$5:$K$7,2,FALSE)*VLOOKUP(Sheet1!$A484,Sheet2!$B$5:$H$29,5,FALSE),0)</x:f>
        <x:v>10</x:v>
      </x:c>
      <x:c r="G484">
        <x:f>ROUND($C484*10*VLOOKUP($B484,Sheet2!$J$5:$K$7,2,FALSE)*VLOOKUP(Sheet1!$A484,Sheet2!$B$5:$H$29,6,FALSE),0)</x:f>
        <x:v>0</x:v>
      </x:c>
      <x:c r="H484">
        <x:f>ROUND($C484*10*VLOOKUP($B484,Sheet2!$J$5:$K$7,2,FALSE)*VLOOKUP(Sheet1!$A484,Sheet2!$B$5:$H$29,7,FALSE),0)</x:f>
        <x:v>0</x:v>
      </x:c>
      <x:c r="I484">
        <x:f t="shared" si="8"/>
        <x:v>530</x:v>
      </x:c>
    </x:row>
    <x:row r="485" spans="1:9" x14ac:dyDescent="0.15">
      <x:c r="A485">
        <x:v>54003</x:v>
      </x:c>
      <x:c r="B485">
        <x:v>3</x:v>
      </x:c>
      <x:c r="C485">
        <x:v>4</x:v>
      </x:c>
      <x:c r="D485">
        <x:f>ROUND($C485*10*VLOOKUP($B485,Sheet2!$J$5:$K$7,2,FALSE)*VLOOKUP(Sheet1!$A485,Sheet2!$B$5:$H$29,3,FALSE),0)</x:f>
        <x:v>48</x:v>
      </x:c>
      <x:c r="E485">
        <x:f>ROUND($C485*10*VLOOKUP($B485,Sheet2!$J$5:$K$7,2,FALSE)*VLOOKUP(Sheet1!$A485,Sheet2!$B$5:$H$29,4,FALSE),0)</x:f>
        <x:v>0</x:v>
      </x:c>
      <x:c r="F485">
        <x:f>ROUND($C485*10*VLOOKUP($B485,Sheet2!$J$5:$K$7,2,FALSE)*VLOOKUP(Sheet1!$A485,Sheet2!$B$5:$H$29,5,FALSE),0)</x:f>
        <x:v>13</x:v>
      </x:c>
      <x:c r="G485">
        <x:f>ROUND($C485*10*VLOOKUP($B485,Sheet2!$J$5:$K$7,2,FALSE)*VLOOKUP(Sheet1!$A485,Sheet2!$B$5:$H$29,6,FALSE),0)</x:f>
        <x:v>0</x:v>
      </x:c>
      <x:c r="H485">
        <x:f>ROUND($C485*10*VLOOKUP($B485,Sheet2!$J$5:$K$7,2,FALSE)*VLOOKUP(Sheet1!$A485,Sheet2!$B$5:$H$29,7,FALSE),0)</x:f>
        <x:v>0</x:v>
      </x:c>
      <x:c r="I485">
        <x:f t="shared" si="8"/>
        <x:v>1000</x:v>
      </x:c>
    </x:row>
    <x:row r="486" spans="1:9" x14ac:dyDescent="0.15">
      <x:c r="A486">
        <x:v>54003</x:v>
      </x:c>
      <x:c r="B486">
        <x:v>3</x:v>
      </x:c>
      <x:c r="C486">
        <x:v>5</x:v>
      </x:c>
      <x:c r="D486">
        <x:f>ROUND($C486*10*VLOOKUP($B486,Sheet2!$J$5:$K$7,2,FALSE)*VLOOKUP(Sheet1!$A486,Sheet2!$B$5:$H$29,3,FALSE),0)</x:f>
        <x:v>60</x:v>
      </x:c>
      <x:c r="E486">
        <x:f>ROUND($C486*10*VLOOKUP($B486,Sheet2!$J$5:$K$7,2,FALSE)*VLOOKUP(Sheet1!$A486,Sheet2!$B$5:$H$29,4,FALSE),0)</x:f>
        <x:v>0</x:v>
      </x:c>
      <x:c r="F486">
        <x:f>ROUND($C486*10*VLOOKUP($B486,Sheet2!$J$5:$K$7,2,FALSE)*VLOOKUP(Sheet1!$A486,Sheet2!$B$5:$H$29,5,FALSE),0)</x:f>
        <x:v>16</x:v>
      </x:c>
      <x:c r="G486">
        <x:f>ROUND($C486*10*VLOOKUP($B486,Sheet2!$J$5:$K$7,2,FALSE)*VLOOKUP(Sheet1!$A486,Sheet2!$B$5:$H$29,6,FALSE),0)</x:f>
        <x:v>0</x:v>
      </x:c>
      <x:c r="H486">
        <x:f>ROUND($C486*10*VLOOKUP($B486,Sheet2!$J$5:$K$7,2,FALSE)*VLOOKUP(Sheet1!$A486,Sheet2!$B$5:$H$29,7,FALSE),0)</x:f>
        <x:v>0</x:v>
      </x:c>
      <x:c r="I486">
        <x:f t="shared" si="8"/>
        <x:v>1620</x:v>
      </x:c>
    </x:row>
    <x:row r="487" spans="1:9" x14ac:dyDescent="0.15">
      <x:c r="A487">
        <x:v>54003</x:v>
      </x:c>
      <x:c r="B487">
        <x:v>3</x:v>
      </x:c>
      <x:c r="C487">
        <x:v>6</x:v>
      </x:c>
      <x:c r="D487">
        <x:f>ROUND($C487*10*VLOOKUP($B487,Sheet2!$J$5:$K$7,2,FALSE)*VLOOKUP(Sheet1!$A487,Sheet2!$B$5:$H$29,3,FALSE),0)</x:f>
        <x:v>72</x:v>
      </x:c>
      <x:c r="E487">
        <x:f>ROUND($C487*10*VLOOKUP($B487,Sheet2!$J$5:$K$7,2,FALSE)*VLOOKUP(Sheet1!$A487,Sheet2!$B$5:$H$29,4,FALSE),0)</x:f>
        <x:v>0</x:v>
      </x:c>
      <x:c r="F487">
        <x:f>ROUND($C487*10*VLOOKUP($B487,Sheet2!$J$5:$K$7,2,FALSE)*VLOOKUP(Sheet1!$A487,Sheet2!$B$5:$H$29,5,FALSE),0)</x:f>
        <x:v>19</x:v>
      </x:c>
      <x:c r="G487">
        <x:f>ROUND($C487*10*VLOOKUP($B487,Sheet2!$J$5:$K$7,2,FALSE)*VLOOKUP(Sheet1!$A487,Sheet2!$B$5:$H$29,6,FALSE),0)</x:f>
        <x:v>0</x:v>
      </x:c>
      <x:c r="H487">
        <x:f>ROUND($C487*10*VLOOKUP($B487,Sheet2!$J$5:$K$7,2,FALSE)*VLOOKUP(Sheet1!$A487,Sheet2!$B$5:$H$29,7,FALSE),0)</x:f>
        <x:v>0</x:v>
      </x:c>
      <x:c r="I487">
        <x:f t="shared" si="8"/>
        <x:v>2370</x:v>
      </x:c>
    </x:row>
    <x:row r="488" spans="1:9" x14ac:dyDescent="0.15">
      <x:c r="A488">
        <x:v>54003</x:v>
      </x:c>
      <x:c r="B488">
        <x:v>3</x:v>
      </x:c>
      <x:c r="C488">
        <x:v>7</x:v>
      </x:c>
      <x:c r="D488">
        <x:f>ROUND($C488*10*VLOOKUP($B488,Sheet2!$J$5:$K$7,2,FALSE)*VLOOKUP(Sheet1!$A488,Sheet2!$B$5:$H$29,3,FALSE),0)</x:f>
        <x:v>84</x:v>
      </x:c>
      <x:c r="E488">
        <x:f>ROUND($C488*10*VLOOKUP($B488,Sheet2!$J$5:$K$7,2,FALSE)*VLOOKUP(Sheet1!$A488,Sheet2!$B$5:$H$29,4,FALSE),0)</x:f>
        <x:v>0</x:v>
      </x:c>
      <x:c r="F488">
        <x:f>ROUND($C488*10*VLOOKUP($B488,Sheet2!$J$5:$K$7,2,FALSE)*VLOOKUP(Sheet1!$A488,Sheet2!$B$5:$H$29,5,FALSE),0)</x:f>
        <x:v>22</x:v>
      </x:c>
      <x:c r="G488">
        <x:f>ROUND($C488*10*VLOOKUP($B488,Sheet2!$J$5:$K$7,2,FALSE)*VLOOKUP(Sheet1!$A488,Sheet2!$B$5:$H$29,6,FALSE),0)</x:f>
        <x:v>0</x:v>
      </x:c>
      <x:c r="H488">
        <x:f>ROUND($C488*10*VLOOKUP($B488,Sheet2!$J$5:$K$7,2,FALSE)*VLOOKUP(Sheet1!$A488,Sheet2!$B$5:$H$29,7,FALSE),0)</x:f>
        <x:v>0</x:v>
      </x:c>
      <x:c r="I488">
        <x:f t="shared" si="8"/>
        <x:v>3260</x:v>
      </x:c>
    </x:row>
    <x:row r="489" spans="1:9" x14ac:dyDescent="0.15">
      <x:c r="A489">
        <x:v>54003</x:v>
      </x:c>
      <x:c r="B489">
        <x:v>3</x:v>
      </x:c>
      <x:c r="C489">
        <x:v>8</x:v>
      </x:c>
      <x:c r="D489">
        <x:f>ROUND($C489*10*VLOOKUP($B489,Sheet2!$J$5:$K$7,2,FALSE)*VLOOKUP(Sheet1!$A489,Sheet2!$B$5:$H$29,3,FALSE),0)</x:f>
        <x:v>96</x:v>
      </x:c>
      <x:c r="E489">
        <x:f>ROUND($C489*10*VLOOKUP($B489,Sheet2!$J$5:$K$7,2,FALSE)*VLOOKUP(Sheet1!$A489,Sheet2!$B$5:$H$29,4,FALSE),0)</x:f>
        <x:v>0</x:v>
      </x:c>
      <x:c r="F489">
        <x:f>ROUND($C489*10*VLOOKUP($B489,Sheet2!$J$5:$K$7,2,FALSE)*VLOOKUP(Sheet1!$A489,Sheet2!$B$5:$H$29,5,FALSE),0)</x:f>
        <x:v>26</x:v>
      </x:c>
      <x:c r="G489">
        <x:f>ROUND($C489*10*VLOOKUP($B489,Sheet2!$J$5:$K$7,2,FALSE)*VLOOKUP(Sheet1!$A489,Sheet2!$B$5:$H$29,6,FALSE),0)</x:f>
        <x:v>0</x:v>
      </x:c>
      <x:c r="H489">
        <x:f>ROUND($C489*10*VLOOKUP($B489,Sheet2!$J$5:$K$7,2,FALSE)*VLOOKUP(Sheet1!$A489,Sheet2!$B$5:$H$29,7,FALSE),0)</x:f>
        <x:v>0</x:v>
      </x:c>
      <x:c r="I489">
        <x:f t="shared" si="8"/>
        <x:v>4270</x:v>
      </x:c>
    </x:row>
    <x:row r="490" spans="1:9" x14ac:dyDescent="0.15">
      <x:c r="A490">
        <x:v>54003</x:v>
      </x:c>
      <x:c r="B490">
        <x:v>3</x:v>
      </x:c>
      <x:c r="C490">
        <x:v>9</x:v>
      </x:c>
      <x:c r="D490">
        <x:f>ROUND($C490*10*VLOOKUP($B490,Sheet2!$J$5:$K$7,2,FALSE)*VLOOKUP(Sheet1!$A490,Sheet2!$B$5:$H$29,3,FALSE),0)</x:f>
        <x:v>108</x:v>
      </x:c>
      <x:c r="E490">
        <x:f>ROUND($C490*10*VLOOKUP($B490,Sheet2!$J$5:$K$7,2,FALSE)*VLOOKUP(Sheet1!$A490,Sheet2!$B$5:$H$29,4,FALSE),0)</x:f>
        <x:v>0</x:v>
      </x:c>
      <x:c r="F490">
        <x:f>ROUND($C490*10*VLOOKUP($B490,Sheet2!$J$5:$K$7,2,FALSE)*VLOOKUP(Sheet1!$A490,Sheet2!$B$5:$H$29,5,FALSE),0)</x:f>
        <x:v>29</x:v>
      </x:c>
      <x:c r="G490">
        <x:f>ROUND($C490*10*VLOOKUP($B490,Sheet2!$J$5:$K$7,2,FALSE)*VLOOKUP(Sheet1!$A490,Sheet2!$B$5:$H$29,6,FALSE),0)</x:f>
        <x:v>0</x:v>
      </x:c>
      <x:c r="H490">
        <x:f>ROUND($C490*10*VLOOKUP($B490,Sheet2!$J$5:$K$7,2,FALSE)*VLOOKUP(Sheet1!$A490,Sheet2!$B$5:$H$29,7,FALSE),0)</x:f>
        <x:v>0</x:v>
      </x:c>
      <x:c r="I490">
        <x:f t="shared" si="8"/>
        <x:v>5410</x:v>
      </x:c>
    </x:row>
    <x:row r="491" spans="1:9" x14ac:dyDescent="0.15">
      <x:c r="A491">
        <x:v>54003</x:v>
      </x:c>
      <x:c r="B491">
        <x:v>3</x:v>
      </x:c>
      <x:c r="C491">
        <x:v>10</x:v>
      </x:c>
      <x:c r="D491">
        <x:f>ROUND($C491*10*VLOOKUP($B491,Sheet2!$J$5:$K$7,2,FALSE)*VLOOKUP(Sheet1!$A491,Sheet2!$B$5:$H$29,3,FALSE),0)</x:f>
        <x:v>120</x:v>
      </x:c>
      <x:c r="E491">
        <x:f>ROUND($C491*10*VLOOKUP($B491,Sheet2!$J$5:$K$7,2,FALSE)*VLOOKUP(Sheet1!$A491,Sheet2!$B$5:$H$29,4,FALSE),0)</x:f>
        <x:v>0</x:v>
      </x:c>
      <x:c r="F491">
        <x:f>ROUND($C491*10*VLOOKUP($B491,Sheet2!$J$5:$K$7,2,FALSE)*VLOOKUP(Sheet1!$A491,Sheet2!$B$5:$H$29,5,FALSE),0)</x:f>
        <x:v>32</x:v>
      </x:c>
      <x:c r="G491">
        <x:f>ROUND($C491*10*VLOOKUP($B491,Sheet2!$J$5:$K$7,2,FALSE)*VLOOKUP(Sheet1!$A491,Sheet2!$B$5:$H$29,6,FALSE),0)</x:f>
        <x:v>0</x:v>
      </x:c>
      <x:c r="H491">
        <x:f>ROUND($C491*10*VLOOKUP($B491,Sheet2!$J$5:$K$7,2,FALSE)*VLOOKUP(Sheet1!$A491,Sheet2!$B$5:$H$29,7,FALSE),0)</x:f>
        <x:v>0</x:v>
      </x:c>
      <x:c r="I491">
        <x:f t="shared" si="8"/>
        <x:v>6670</x:v>
      </x:c>
    </x:row>
    <x:row r="492" spans="1:9" x14ac:dyDescent="0.15">
      <x:c r="A492">
        <x:v>54003</x:v>
      </x:c>
      <x:c r="B492">
        <x:v>3</x:v>
      </x:c>
      <x:c r="C492">
        <x:v>11</x:v>
      </x:c>
      <x:c r="D492">
        <x:f>ROUND($C492*10*VLOOKUP($B492,Sheet2!$J$5:$K$7,2,FALSE)*VLOOKUP(Sheet1!$A492,Sheet2!$B$5:$H$29,3,FALSE),0)</x:f>
        <x:v>132</x:v>
      </x:c>
      <x:c r="E492">
        <x:f>ROUND($C492*10*VLOOKUP($B492,Sheet2!$J$5:$K$7,2,FALSE)*VLOOKUP(Sheet1!$A492,Sheet2!$B$5:$H$29,4,FALSE),0)</x:f>
        <x:v>0</x:v>
      </x:c>
      <x:c r="F492">
        <x:f>ROUND($C492*10*VLOOKUP($B492,Sheet2!$J$5:$K$7,2,FALSE)*VLOOKUP(Sheet1!$A492,Sheet2!$B$5:$H$29,5,FALSE),0)</x:f>
        <x:v>35</x:v>
      </x:c>
      <x:c r="G492">
        <x:f>ROUND($C492*10*VLOOKUP($B492,Sheet2!$J$5:$K$7,2,FALSE)*VLOOKUP(Sheet1!$A492,Sheet2!$B$5:$H$29,6,FALSE),0)</x:f>
        <x:v>0</x:v>
      </x:c>
      <x:c r="H492">
        <x:f>ROUND($C492*10*VLOOKUP($B492,Sheet2!$J$5:$K$7,2,FALSE)*VLOOKUP(Sheet1!$A492,Sheet2!$B$5:$H$29,7,FALSE),0)</x:f>
        <x:v>0</x:v>
      </x:c>
      <x:c r="I492">
        <x:f t="shared" si="8"/>
        <x:v>8040</x:v>
      </x:c>
    </x:row>
    <x:row r="493" spans="1:9" x14ac:dyDescent="0.15">
      <x:c r="A493">
        <x:v>54003</x:v>
      </x:c>
      <x:c r="B493">
        <x:v>3</x:v>
      </x:c>
      <x:c r="C493">
        <x:v>12</x:v>
      </x:c>
      <x:c r="D493">
        <x:f>ROUND($C493*10*VLOOKUP($B493,Sheet2!$J$5:$K$7,2,FALSE)*VLOOKUP(Sheet1!$A493,Sheet2!$B$5:$H$29,3,FALSE),0)</x:f>
        <x:v>144</x:v>
      </x:c>
      <x:c r="E493">
        <x:f>ROUND($C493*10*VLOOKUP($B493,Sheet2!$J$5:$K$7,2,FALSE)*VLOOKUP(Sheet1!$A493,Sheet2!$B$5:$H$29,4,FALSE),0)</x:f>
        <x:v>0</x:v>
      </x:c>
      <x:c r="F493">
        <x:f>ROUND($C493*10*VLOOKUP($B493,Sheet2!$J$5:$K$7,2,FALSE)*VLOOKUP(Sheet1!$A493,Sheet2!$B$5:$H$29,5,FALSE),0)</x:f>
        <x:v>38</x:v>
      </x:c>
      <x:c r="G493">
        <x:f>ROUND($C493*10*VLOOKUP($B493,Sheet2!$J$5:$K$7,2,FALSE)*VLOOKUP(Sheet1!$A493,Sheet2!$B$5:$H$29,6,FALSE),0)</x:f>
        <x:v>0</x:v>
      </x:c>
      <x:c r="H493">
        <x:f>ROUND($C493*10*VLOOKUP($B493,Sheet2!$J$5:$K$7,2,FALSE)*VLOOKUP(Sheet1!$A493,Sheet2!$B$5:$H$29,7,FALSE),0)</x:f>
        <x:v>0</x:v>
      </x:c>
      <x:c r="I493">
        <x:f t="shared" si="8"/>
        <x:v>9530</x:v>
      </x:c>
    </x:row>
    <x:row r="494" spans="1:9" x14ac:dyDescent="0.15">
      <x:c r="A494">
        <x:v>54003</x:v>
      </x:c>
      <x:c r="B494">
        <x:v>3</x:v>
      </x:c>
      <x:c r="C494">
        <x:v>13</x:v>
      </x:c>
      <x:c r="D494">
        <x:f>ROUND($C494*10*VLOOKUP($B494,Sheet2!$J$5:$K$7,2,FALSE)*VLOOKUP(Sheet1!$A494,Sheet2!$B$5:$H$29,3,FALSE),0)</x:f>
        <x:v>156</x:v>
      </x:c>
      <x:c r="E494">
        <x:f>ROUND($C494*10*VLOOKUP($B494,Sheet2!$J$5:$K$7,2,FALSE)*VLOOKUP(Sheet1!$A494,Sheet2!$B$5:$H$29,4,FALSE),0)</x:f>
        <x:v>0</x:v>
      </x:c>
      <x:c r="F494">
        <x:f>ROUND($C494*10*VLOOKUP($B494,Sheet2!$J$5:$K$7,2,FALSE)*VLOOKUP(Sheet1!$A494,Sheet2!$B$5:$H$29,5,FALSE),0)</x:f>
        <x:v>42</x:v>
      </x:c>
      <x:c r="G494">
        <x:f>ROUND($C494*10*VLOOKUP($B494,Sheet2!$J$5:$K$7,2,FALSE)*VLOOKUP(Sheet1!$A494,Sheet2!$B$5:$H$29,6,FALSE),0)</x:f>
        <x:v>0</x:v>
      </x:c>
      <x:c r="H494">
        <x:f>ROUND($C494*10*VLOOKUP($B494,Sheet2!$J$5:$K$7,2,FALSE)*VLOOKUP(Sheet1!$A494,Sheet2!$B$5:$H$29,7,FALSE),0)</x:f>
        <x:v>0</x:v>
      </x:c>
      <x:c r="I494">
        <x:f t="shared" si="8"/>
        <x:v>11130</x:v>
      </x:c>
    </x:row>
    <x:row r="495" spans="1:9" x14ac:dyDescent="0.15">
      <x:c r="A495">
        <x:v>54003</x:v>
      </x:c>
      <x:c r="B495">
        <x:v>3</x:v>
      </x:c>
      <x:c r="C495">
        <x:v>14</x:v>
      </x:c>
      <x:c r="D495">
        <x:f>ROUND($C495*10*VLOOKUP($B495,Sheet2!$J$5:$K$7,2,FALSE)*VLOOKUP(Sheet1!$A495,Sheet2!$B$5:$H$29,3,FALSE),0)</x:f>
        <x:v>168</x:v>
      </x:c>
      <x:c r="E495">
        <x:f>ROUND($C495*10*VLOOKUP($B495,Sheet2!$J$5:$K$7,2,FALSE)*VLOOKUP(Sheet1!$A495,Sheet2!$B$5:$H$29,4,FALSE),0)</x:f>
        <x:v>0</x:v>
      </x:c>
      <x:c r="F495">
        <x:f>ROUND($C495*10*VLOOKUP($B495,Sheet2!$J$5:$K$7,2,FALSE)*VLOOKUP(Sheet1!$A495,Sheet2!$B$5:$H$29,5,FALSE),0)</x:f>
        <x:v>45</x:v>
      </x:c>
      <x:c r="G495">
        <x:f>ROUND($C495*10*VLOOKUP($B495,Sheet2!$J$5:$K$7,2,FALSE)*VLOOKUP(Sheet1!$A495,Sheet2!$B$5:$H$29,6,FALSE),0)</x:f>
        <x:v>0</x:v>
      </x:c>
      <x:c r="H495">
        <x:f>ROUND($C495*10*VLOOKUP($B495,Sheet2!$J$5:$K$7,2,FALSE)*VLOOKUP(Sheet1!$A495,Sheet2!$B$5:$H$29,7,FALSE),0)</x:f>
        <x:v>0</x:v>
      </x:c>
      <x:c r="I495">
        <x:f t="shared" si="8"/>
        <x:v>12840</x:v>
      </x:c>
    </x:row>
    <x:row r="496" spans="1:9" x14ac:dyDescent="0.15">
      <x:c r="A496">
        <x:v>54003</x:v>
      </x:c>
      <x:c r="B496">
        <x:v>3</x:v>
      </x:c>
      <x:c r="C496">
        <x:v>15</x:v>
      </x:c>
      <x:c r="D496">
        <x:f>ROUND($C496*10*VLOOKUP($B496,Sheet2!$J$5:$K$7,2,FALSE)*VLOOKUP(Sheet1!$A496,Sheet2!$B$5:$H$29,3,FALSE),0)</x:f>
        <x:v>180</x:v>
      </x:c>
      <x:c r="E496">
        <x:f>ROUND($C496*10*VLOOKUP($B496,Sheet2!$J$5:$K$7,2,FALSE)*VLOOKUP(Sheet1!$A496,Sheet2!$B$5:$H$29,4,FALSE),0)</x:f>
        <x:v>0</x:v>
      </x:c>
      <x:c r="F496">
        <x:f>ROUND($C496*10*VLOOKUP($B496,Sheet2!$J$5:$K$7,2,FALSE)*VLOOKUP(Sheet1!$A496,Sheet2!$B$5:$H$29,5,FALSE),0)</x:f>
        <x:v>48</x:v>
      </x:c>
      <x:c r="G496">
        <x:f>ROUND($C496*10*VLOOKUP($B496,Sheet2!$J$5:$K$7,2,FALSE)*VLOOKUP(Sheet1!$A496,Sheet2!$B$5:$H$29,6,FALSE),0)</x:f>
        <x:v>0</x:v>
      </x:c>
      <x:c r="H496">
        <x:f>ROUND($C496*10*VLOOKUP($B496,Sheet2!$J$5:$K$7,2,FALSE)*VLOOKUP(Sheet1!$A496,Sheet2!$B$5:$H$29,7,FALSE),0)</x:f>
        <x:v>0</x:v>
      </x:c>
      <x:c r="I496">
        <x:f t="shared" si="8"/>
        <x:v>14660</x:v>
      </x:c>
    </x:row>
    <x:row r="497" spans="1:9" x14ac:dyDescent="0.15">
      <x:c r="A497">
        <x:v>54003</x:v>
      </x:c>
      <x:c r="B497">
        <x:v>3</x:v>
      </x:c>
      <x:c r="C497">
        <x:v>16</x:v>
      </x:c>
      <x:c r="D497">
        <x:f>ROUND($C497*10*VLOOKUP($B497,Sheet2!$J$5:$K$7,2,FALSE)*VLOOKUP(Sheet1!$A497,Sheet2!$B$5:$H$29,3,FALSE),0)</x:f>
        <x:v>192</x:v>
      </x:c>
      <x:c r="E497">
        <x:f>ROUND($C497*10*VLOOKUP($B497,Sheet2!$J$5:$K$7,2,FALSE)*VLOOKUP(Sheet1!$A497,Sheet2!$B$5:$H$29,4,FALSE),0)</x:f>
        <x:v>0</x:v>
      </x:c>
      <x:c r="F497">
        <x:f>ROUND($C497*10*VLOOKUP($B497,Sheet2!$J$5:$K$7,2,FALSE)*VLOOKUP(Sheet1!$A497,Sheet2!$B$5:$H$29,5,FALSE),0)</x:f>
        <x:v>51</x:v>
      </x:c>
      <x:c r="G497">
        <x:f>ROUND($C497*10*VLOOKUP($B497,Sheet2!$J$5:$K$7,2,FALSE)*VLOOKUP(Sheet1!$A497,Sheet2!$B$5:$H$29,6,FALSE),0)</x:f>
        <x:v>0</x:v>
      </x:c>
      <x:c r="H497">
        <x:f>ROUND($C497*10*VLOOKUP($B497,Sheet2!$J$5:$K$7,2,FALSE)*VLOOKUP(Sheet1!$A497,Sheet2!$B$5:$H$29,7,FALSE),0)</x:f>
        <x:v>0</x:v>
      </x:c>
      <x:c r="I497">
        <x:f t="shared" si="8"/>
        <x:v>16580</x:v>
      </x:c>
    </x:row>
    <x:row r="498" spans="1:9" x14ac:dyDescent="0.15">
      <x:c r="A498">
        <x:v>54003</x:v>
      </x:c>
      <x:c r="B498">
        <x:v>3</x:v>
      </x:c>
      <x:c r="C498">
        <x:v>17</x:v>
      </x:c>
      <x:c r="D498">
        <x:f>ROUND($C498*10*VLOOKUP($B498,Sheet2!$J$5:$K$7,2,FALSE)*VLOOKUP(Sheet1!$A498,Sheet2!$B$5:$H$29,3,FALSE),0)</x:f>
        <x:v>204</x:v>
      </x:c>
      <x:c r="E498">
        <x:f>ROUND($C498*10*VLOOKUP($B498,Sheet2!$J$5:$K$7,2,FALSE)*VLOOKUP(Sheet1!$A498,Sheet2!$B$5:$H$29,4,FALSE),0)</x:f>
        <x:v>0</x:v>
      </x:c>
      <x:c r="F498">
        <x:f>ROUND($C498*10*VLOOKUP($B498,Sheet2!$J$5:$K$7,2,FALSE)*VLOOKUP(Sheet1!$A498,Sheet2!$B$5:$H$29,5,FALSE),0)</x:f>
        <x:v>54</x:v>
      </x:c>
      <x:c r="G498">
        <x:f>ROUND($C498*10*VLOOKUP($B498,Sheet2!$J$5:$K$7,2,FALSE)*VLOOKUP(Sheet1!$A498,Sheet2!$B$5:$H$29,6,FALSE),0)</x:f>
        <x:v>0</x:v>
      </x:c>
      <x:c r="H498">
        <x:f>ROUND($C498*10*VLOOKUP($B498,Sheet2!$J$5:$K$7,2,FALSE)*VLOOKUP(Sheet1!$A498,Sheet2!$B$5:$H$29,7,FALSE),0)</x:f>
        <x:v>0</x:v>
      </x:c>
      <x:c r="I498">
        <x:f t="shared" si="8"/>
        <x:v>18620</x:v>
      </x:c>
    </x:row>
    <x:row r="499" spans="1:9" x14ac:dyDescent="0.15">
      <x:c r="A499">
        <x:v>54003</x:v>
      </x:c>
      <x:c r="B499">
        <x:v>3</x:v>
      </x:c>
      <x:c r="C499">
        <x:v>18</x:v>
      </x:c>
      <x:c r="D499">
        <x:f>ROUND($C499*10*VLOOKUP($B499,Sheet2!$J$5:$K$7,2,FALSE)*VLOOKUP(Sheet1!$A499,Sheet2!$B$5:$H$29,3,FALSE),0)</x:f>
        <x:v>216</x:v>
      </x:c>
      <x:c r="E499">
        <x:f>ROUND($C499*10*VLOOKUP($B499,Sheet2!$J$5:$K$7,2,FALSE)*VLOOKUP(Sheet1!$A499,Sheet2!$B$5:$H$29,4,FALSE),0)</x:f>
        <x:v>0</x:v>
      </x:c>
      <x:c r="F499">
        <x:f>ROUND($C499*10*VLOOKUP($B499,Sheet2!$J$5:$K$7,2,FALSE)*VLOOKUP(Sheet1!$A499,Sheet2!$B$5:$H$29,5,FALSE),0)</x:f>
        <x:v>58</x:v>
      </x:c>
      <x:c r="G499">
        <x:f>ROUND($C499*10*VLOOKUP($B499,Sheet2!$J$5:$K$7,2,FALSE)*VLOOKUP(Sheet1!$A499,Sheet2!$B$5:$H$29,6,FALSE),0)</x:f>
        <x:v>0</x:v>
      </x:c>
      <x:c r="H499">
        <x:f>ROUND($C499*10*VLOOKUP($B499,Sheet2!$J$5:$K$7,2,FALSE)*VLOOKUP(Sheet1!$A499,Sheet2!$B$5:$H$29,7,FALSE),0)</x:f>
        <x:v>0</x:v>
      </x:c>
      <x:c r="I499">
        <x:f t="shared" si="8"/>
        <x:v>20750</x:v>
      </x:c>
    </x:row>
    <x:row r="500" spans="1:9" x14ac:dyDescent="0.15">
      <x:c r="A500">
        <x:v>54003</x:v>
      </x:c>
      <x:c r="B500">
        <x:v>3</x:v>
      </x:c>
      <x:c r="C500">
        <x:v>19</x:v>
      </x:c>
      <x:c r="D500">
        <x:f>ROUND($C500*10*VLOOKUP($B500,Sheet2!$J$5:$K$7,2,FALSE)*VLOOKUP(Sheet1!$A500,Sheet2!$B$5:$H$29,3,FALSE),0)</x:f>
        <x:v>228</x:v>
      </x:c>
      <x:c r="E500">
        <x:f>ROUND($C500*10*VLOOKUP($B500,Sheet2!$J$5:$K$7,2,FALSE)*VLOOKUP(Sheet1!$A500,Sheet2!$B$5:$H$29,4,FALSE),0)</x:f>
        <x:v>0</x:v>
      </x:c>
      <x:c r="F500">
        <x:f>ROUND($C500*10*VLOOKUP($B500,Sheet2!$J$5:$K$7,2,FALSE)*VLOOKUP(Sheet1!$A500,Sheet2!$B$5:$H$29,5,FALSE),0)</x:f>
        <x:v>61</x:v>
      </x:c>
      <x:c r="G500">
        <x:f>ROUND($C500*10*VLOOKUP($B500,Sheet2!$J$5:$K$7,2,FALSE)*VLOOKUP(Sheet1!$A500,Sheet2!$B$5:$H$29,6,FALSE),0)</x:f>
        <x:v>0</x:v>
      </x:c>
      <x:c r="H500">
        <x:f>ROUND($C500*10*VLOOKUP($B500,Sheet2!$J$5:$K$7,2,FALSE)*VLOOKUP(Sheet1!$A500,Sheet2!$B$5:$H$29,7,FALSE),0)</x:f>
        <x:v>0</x:v>
      </x:c>
      <x:c r="I500">
        <x:f t="shared" si="8"/>
        <x:v>22990</x:v>
      </x:c>
    </x:row>
    <x:row r="501" spans="1:9" x14ac:dyDescent="0.15">
      <x:c r="A501">
        <x:v>54003</x:v>
      </x:c>
      <x:c r="B501">
        <x:v>3</x:v>
      </x:c>
      <x:c r="C501">
        <x:v>20</x:v>
      </x:c>
      <x:c r="D501">
        <x:f>ROUND($C501*10*VLOOKUP($B501,Sheet2!$J$5:$K$7,2,FALSE)*VLOOKUP(Sheet1!$A501,Sheet2!$B$5:$H$29,3,FALSE),0)</x:f>
        <x:v>240</x:v>
      </x:c>
      <x:c r="E501">
        <x:f>ROUND($C501*10*VLOOKUP($B501,Sheet2!$J$5:$K$7,2,FALSE)*VLOOKUP(Sheet1!$A501,Sheet2!$B$5:$H$29,4,FALSE),0)</x:f>
        <x:v>0</x:v>
      </x:c>
      <x:c r="F501">
        <x:f>ROUND($C501*10*VLOOKUP($B501,Sheet2!$J$5:$K$7,2,FALSE)*VLOOKUP(Sheet1!$A501,Sheet2!$B$5:$H$29,5,FALSE),0)</x:f>
        <x:v>64</x:v>
      </x:c>
      <x:c r="G501">
        <x:f>ROUND($C501*10*VLOOKUP($B501,Sheet2!$J$5:$K$7,2,FALSE)*VLOOKUP(Sheet1!$A501,Sheet2!$B$5:$H$29,6,FALSE),0)</x:f>
        <x:v>0</x:v>
      </x:c>
      <x:c r="H501">
        <x:f>ROUND($C501*10*VLOOKUP($B501,Sheet2!$J$5:$K$7,2,FALSE)*VLOOKUP(Sheet1!$A501,Sheet2!$B$5:$H$29,7,FALSE),0)</x:f>
        <x:v>0</x:v>
      </x:c>
      <x:c r="I501">
        <x:f t="shared" si="8"/>
        <x:v>25330</x:v>
      </x:c>
    </x:row>
    <x:row r="502" spans="1:9" x14ac:dyDescent="0.15">
      <x:c r="A502">
        <x:v>54003</x:v>
      </x:c>
      <x:c r="B502">
        <x:v>3</x:v>
      </x:c>
      <x:c r="C502">
        <x:v>21</x:v>
      </x:c>
      <x:c r="D502">
        <x:f>ROUND($C502*10*VLOOKUP($B502,Sheet2!$J$5:$K$7,2,FALSE)*VLOOKUP(Sheet1!$A502,Sheet2!$B$5:$H$29,3,FALSE),0)</x:f>
        <x:v>252</x:v>
      </x:c>
      <x:c r="E502">
        <x:f>ROUND($C502*10*VLOOKUP($B502,Sheet2!$J$5:$K$7,2,FALSE)*VLOOKUP(Sheet1!$A502,Sheet2!$B$5:$H$29,4,FALSE),0)</x:f>
        <x:v>0</x:v>
      </x:c>
      <x:c r="F502">
        <x:f>ROUND($C502*10*VLOOKUP($B502,Sheet2!$J$5:$K$7,2,FALSE)*VLOOKUP(Sheet1!$A502,Sheet2!$B$5:$H$29,5,FALSE),0)</x:f>
        <x:v>67</x:v>
      </x:c>
      <x:c r="G502">
        <x:f>ROUND($C502*10*VLOOKUP($B502,Sheet2!$J$5:$K$7,2,FALSE)*VLOOKUP(Sheet1!$A502,Sheet2!$B$5:$H$29,6,FALSE),0)</x:f>
        <x:v>0</x:v>
      </x:c>
      <x:c r="H502">
        <x:f>ROUND($C502*10*VLOOKUP($B502,Sheet2!$J$5:$K$7,2,FALSE)*VLOOKUP(Sheet1!$A502,Sheet2!$B$5:$H$29,7,FALSE),0)</x:f>
        <x:v>0</x:v>
      </x:c>
      <x:c r="I502">
        <x:f t="shared" si="8"/>
        <x:v>27770</x:v>
      </x:c>
    </x:row>
    <x:row r="503" spans="1:9" x14ac:dyDescent="0.15">
      <x:c r="A503">
        <x:v>54003</x:v>
      </x:c>
      <x:c r="B503">
        <x:v>3</x:v>
      </x:c>
      <x:c r="C503">
        <x:v>22</x:v>
      </x:c>
      <x:c r="D503">
        <x:f>ROUND($C503*10*VLOOKUP($B503,Sheet2!$J$5:$K$7,2,FALSE)*VLOOKUP(Sheet1!$A503,Sheet2!$B$5:$H$29,3,FALSE),0)</x:f>
        <x:v>264</x:v>
      </x:c>
      <x:c r="E503">
        <x:f>ROUND($C503*10*VLOOKUP($B503,Sheet2!$J$5:$K$7,2,FALSE)*VLOOKUP(Sheet1!$A503,Sheet2!$B$5:$H$29,4,FALSE),0)</x:f>
        <x:v>0</x:v>
      </x:c>
      <x:c r="F503">
        <x:f>ROUND($C503*10*VLOOKUP($B503,Sheet2!$J$5:$K$7,2,FALSE)*VLOOKUP(Sheet1!$A503,Sheet2!$B$5:$H$29,5,FALSE),0)</x:f>
        <x:v>70</x:v>
      </x:c>
      <x:c r="G503">
        <x:f>ROUND($C503*10*VLOOKUP($B503,Sheet2!$J$5:$K$7,2,FALSE)*VLOOKUP(Sheet1!$A503,Sheet2!$B$5:$H$29,6,FALSE),0)</x:f>
        <x:v>0</x:v>
      </x:c>
      <x:c r="H503">
        <x:f>ROUND($C503*10*VLOOKUP($B503,Sheet2!$J$5:$K$7,2,FALSE)*VLOOKUP(Sheet1!$A503,Sheet2!$B$5:$H$29,7,FALSE),0)</x:f>
        <x:v>0</x:v>
      </x:c>
      <x:c r="I503">
        <x:f t="shared" si="8"/>
        <x:v>30310</x:v>
      </x:c>
    </x:row>
    <x:row r="504" spans="1:9" x14ac:dyDescent="0.15">
      <x:c r="A504">
        <x:v>54003</x:v>
      </x:c>
      <x:c r="B504">
        <x:v>3</x:v>
      </x:c>
      <x:c r="C504">
        <x:v>23</x:v>
      </x:c>
      <x:c r="D504">
        <x:f>ROUND($C504*10*VLOOKUP($B504,Sheet2!$J$5:$K$7,2,FALSE)*VLOOKUP(Sheet1!$A504,Sheet2!$B$5:$H$29,3,FALSE),0)</x:f>
        <x:v>276</x:v>
      </x:c>
      <x:c r="E504">
        <x:f>ROUND($C504*10*VLOOKUP($B504,Sheet2!$J$5:$K$7,2,FALSE)*VLOOKUP(Sheet1!$A504,Sheet2!$B$5:$H$29,4,FALSE),0)</x:f>
        <x:v>0</x:v>
      </x:c>
      <x:c r="F504">
        <x:f>ROUND($C504*10*VLOOKUP($B504,Sheet2!$J$5:$K$7,2,FALSE)*VLOOKUP(Sheet1!$A504,Sheet2!$B$5:$H$29,5,FALSE),0)</x:f>
        <x:v>74</x:v>
      </x:c>
      <x:c r="G504">
        <x:f>ROUND($C504*10*VLOOKUP($B504,Sheet2!$J$5:$K$7,2,FALSE)*VLOOKUP(Sheet1!$A504,Sheet2!$B$5:$H$29,6,FALSE),0)</x:f>
        <x:v>0</x:v>
      </x:c>
      <x:c r="H504">
        <x:f>ROUND($C504*10*VLOOKUP($B504,Sheet2!$J$5:$K$7,2,FALSE)*VLOOKUP(Sheet1!$A504,Sheet2!$B$5:$H$29,7,FALSE),0)</x:f>
        <x:v>0</x:v>
      </x:c>
      <x:c r="I504">
        <x:f t="shared" si="8"/>
        <x:v>32950</x:v>
      </x:c>
    </x:row>
    <x:row r="505" spans="1:9" x14ac:dyDescent="0.15">
      <x:c r="A505">
        <x:v>54003</x:v>
      </x:c>
      <x:c r="B505">
        <x:v>3</x:v>
      </x:c>
      <x:c r="C505">
        <x:v>24</x:v>
      </x:c>
      <x:c r="D505">
        <x:f>ROUND($C505*10*VLOOKUP($B505,Sheet2!$J$5:$K$7,2,FALSE)*VLOOKUP(Sheet1!$A505,Sheet2!$B$5:$H$29,3,FALSE),0)</x:f>
        <x:v>288</x:v>
      </x:c>
      <x:c r="E505">
        <x:f>ROUND($C505*10*VLOOKUP($B505,Sheet2!$J$5:$K$7,2,FALSE)*VLOOKUP(Sheet1!$A505,Sheet2!$B$5:$H$29,4,FALSE),0)</x:f>
        <x:v>0</x:v>
      </x:c>
      <x:c r="F505">
        <x:f>ROUND($C505*10*VLOOKUP($B505,Sheet2!$J$5:$K$7,2,FALSE)*VLOOKUP(Sheet1!$A505,Sheet2!$B$5:$H$29,5,FALSE),0)</x:f>
        <x:v>77</x:v>
      </x:c>
      <x:c r="G505">
        <x:f>ROUND($C505*10*VLOOKUP($B505,Sheet2!$J$5:$K$7,2,FALSE)*VLOOKUP(Sheet1!$A505,Sheet2!$B$5:$H$29,6,FALSE),0)</x:f>
        <x:v>0</x:v>
      </x:c>
      <x:c r="H505">
        <x:f>ROUND($C505*10*VLOOKUP($B505,Sheet2!$J$5:$K$7,2,FALSE)*VLOOKUP(Sheet1!$A505,Sheet2!$B$5:$H$29,7,FALSE),0)</x:f>
        <x:v>0</x:v>
      </x:c>
      <x:c r="I505">
        <x:f t="shared" si="8"/>
        <x:v>35690</x:v>
      </x:c>
    </x:row>
    <x:row r="506" spans="1:9" x14ac:dyDescent="0.15">
      <x:c r="A506">
        <x:v>54003</x:v>
      </x:c>
      <x:c r="B506">
        <x:v>3</x:v>
      </x:c>
      <x:c r="C506">
        <x:v>25</x:v>
      </x:c>
      <x:c r="D506">
        <x:f>ROUND($C506*10*VLOOKUP($B506,Sheet2!$J$5:$K$7,2,FALSE)*VLOOKUP(Sheet1!$A506,Sheet2!$B$5:$H$29,3,FALSE),0)</x:f>
        <x:v>300</x:v>
      </x:c>
      <x:c r="E506">
        <x:f>ROUND($C506*10*VLOOKUP($B506,Sheet2!$J$5:$K$7,2,FALSE)*VLOOKUP(Sheet1!$A506,Sheet2!$B$5:$H$29,4,FALSE),0)</x:f>
        <x:v>0</x:v>
      </x:c>
      <x:c r="F506">
        <x:f>ROUND($C506*10*VLOOKUP($B506,Sheet2!$J$5:$K$7,2,FALSE)*VLOOKUP(Sheet1!$A506,Sheet2!$B$5:$H$29,5,FALSE),0)</x:f>
        <x:v>80</x:v>
      </x:c>
      <x:c r="G506">
        <x:f>ROUND($C506*10*VLOOKUP($B506,Sheet2!$J$5:$K$7,2,FALSE)*VLOOKUP(Sheet1!$A506,Sheet2!$B$5:$H$29,6,FALSE),0)</x:f>
        <x:v>0</x:v>
      </x:c>
      <x:c r="H506">
        <x:f>ROUND($C506*10*VLOOKUP($B506,Sheet2!$J$5:$K$7,2,FALSE)*VLOOKUP(Sheet1!$A506,Sheet2!$B$5:$H$29,7,FALSE),0)</x:f>
        <x:v>0</x:v>
      </x:c>
      <x:c r="I506">
        <x:f t="shared" si="8"/>
        <x:v>38530</x:v>
      </x:c>
    </x:row>
    <x:row r="507" spans="1:9" x14ac:dyDescent="0.15">
      <x:c r="A507">
        <x:v>54003</x:v>
      </x:c>
      <x:c r="B507">
        <x:v>3</x:v>
      </x:c>
      <x:c r="C507">
        <x:v>26</x:v>
      </x:c>
      <x:c r="D507">
        <x:f>ROUND($C507*10*VLOOKUP($B507,Sheet2!$J$5:$K$7,2,FALSE)*VLOOKUP(Sheet1!$A507,Sheet2!$B$5:$H$29,3,FALSE),0)</x:f>
        <x:v>312</x:v>
      </x:c>
      <x:c r="E507">
        <x:f>ROUND($C507*10*VLOOKUP($B507,Sheet2!$J$5:$K$7,2,FALSE)*VLOOKUP(Sheet1!$A507,Sheet2!$B$5:$H$29,4,FALSE),0)</x:f>
        <x:v>0</x:v>
      </x:c>
      <x:c r="F507">
        <x:f>ROUND($C507*10*VLOOKUP($B507,Sheet2!$J$5:$K$7,2,FALSE)*VLOOKUP(Sheet1!$A507,Sheet2!$B$5:$H$29,5,FALSE),0)</x:f>
        <x:v>83</x:v>
      </x:c>
      <x:c r="G507">
        <x:f>ROUND($C507*10*VLOOKUP($B507,Sheet2!$J$5:$K$7,2,FALSE)*VLOOKUP(Sheet1!$A507,Sheet2!$B$5:$H$29,6,FALSE),0)</x:f>
        <x:v>0</x:v>
      </x:c>
      <x:c r="H507">
        <x:f>ROUND($C507*10*VLOOKUP($B507,Sheet2!$J$5:$K$7,2,FALSE)*VLOOKUP(Sheet1!$A507,Sheet2!$B$5:$H$29,7,FALSE),0)</x:f>
        <x:v>0</x:v>
      </x:c>
      <x:c r="I507">
        <x:f t="shared" si="8"/>
        <x:v>41460</x:v>
      </x:c>
    </x:row>
    <x:row r="508" spans="1:9" x14ac:dyDescent="0.15">
      <x:c r="A508">
        <x:v>54003</x:v>
      </x:c>
      <x:c r="B508">
        <x:v>3</x:v>
      </x:c>
      <x:c r="C508">
        <x:v>27</x:v>
      </x:c>
      <x:c r="D508">
        <x:f>ROUND($C508*10*VLOOKUP($B508,Sheet2!$J$5:$K$7,2,FALSE)*VLOOKUP(Sheet1!$A508,Sheet2!$B$5:$H$29,3,FALSE),0)</x:f>
        <x:v>324</x:v>
      </x:c>
      <x:c r="E508">
        <x:f>ROUND($C508*10*VLOOKUP($B508,Sheet2!$J$5:$K$7,2,FALSE)*VLOOKUP(Sheet1!$A508,Sheet2!$B$5:$H$29,4,FALSE),0)</x:f>
        <x:v>0</x:v>
      </x:c>
      <x:c r="F508">
        <x:f>ROUND($C508*10*VLOOKUP($B508,Sheet2!$J$5:$K$7,2,FALSE)*VLOOKUP(Sheet1!$A508,Sheet2!$B$5:$H$29,5,FALSE),0)</x:f>
        <x:v>86</x:v>
      </x:c>
      <x:c r="G508">
        <x:f>ROUND($C508*10*VLOOKUP($B508,Sheet2!$J$5:$K$7,2,FALSE)*VLOOKUP(Sheet1!$A508,Sheet2!$B$5:$H$29,6,FALSE),0)</x:f>
        <x:v>0</x:v>
      </x:c>
      <x:c r="H508">
        <x:f>ROUND($C508*10*VLOOKUP($B508,Sheet2!$J$5:$K$7,2,FALSE)*VLOOKUP(Sheet1!$A508,Sheet2!$B$5:$H$29,7,FALSE),0)</x:f>
        <x:v>0</x:v>
      </x:c>
      <x:c r="I508">
        <x:f t="shared" si="8"/>
        <x:v>44480</x:v>
      </x:c>
    </x:row>
    <x:row r="509" spans="1:9" x14ac:dyDescent="0.15">
      <x:c r="A509">
        <x:v>54003</x:v>
      </x:c>
      <x:c r="B509">
        <x:v>3</x:v>
      </x:c>
      <x:c r="C509">
        <x:v>28</x:v>
      </x:c>
      <x:c r="D509">
        <x:f>ROUND($C509*10*VLOOKUP($B509,Sheet2!$J$5:$K$7,2,FALSE)*VLOOKUP(Sheet1!$A509,Sheet2!$B$5:$H$29,3,FALSE),0)</x:f>
        <x:v>336</x:v>
      </x:c>
      <x:c r="E509">
        <x:f>ROUND($C509*10*VLOOKUP($B509,Sheet2!$J$5:$K$7,2,FALSE)*VLOOKUP(Sheet1!$A509,Sheet2!$B$5:$H$29,4,FALSE),0)</x:f>
        <x:v>0</x:v>
      </x:c>
      <x:c r="F509">
        <x:f>ROUND($C509*10*VLOOKUP($B509,Sheet2!$J$5:$K$7,2,FALSE)*VLOOKUP(Sheet1!$A509,Sheet2!$B$5:$H$29,5,FALSE),0)</x:f>
        <x:v>90</x:v>
      </x:c>
      <x:c r="G509">
        <x:f>ROUND($C509*10*VLOOKUP($B509,Sheet2!$J$5:$K$7,2,FALSE)*VLOOKUP(Sheet1!$A509,Sheet2!$B$5:$H$29,6,FALSE),0)</x:f>
        <x:v>0</x:v>
      </x:c>
      <x:c r="H509">
        <x:f>ROUND($C509*10*VLOOKUP($B509,Sheet2!$J$5:$K$7,2,FALSE)*VLOOKUP(Sheet1!$A509,Sheet2!$B$5:$H$29,7,FALSE),0)</x:f>
        <x:v>0</x:v>
      </x:c>
      <x:c r="I509">
        <x:f t="shared" si="8"/>
        <x:v>47600</x:v>
      </x:c>
    </x:row>
    <x:row r="510" spans="1:9" x14ac:dyDescent="0.15">
      <x:c r="A510">
        <x:v>54003</x:v>
      </x:c>
      <x:c r="B510">
        <x:v>3</x:v>
      </x:c>
      <x:c r="C510">
        <x:v>29</x:v>
      </x:c>
      <x:c r="D510">
        <x:f>ROUND($C510*10*VLOOKUP($B510,Sheet2!$J$5:$K$7,2,FALSE)*VLOOKUP(Sheet1!$A510,Sheet2!$B$5:$H$29,3,FALSE),0)</x:f>
        <x:v>348</x:v>
      </x:c>
      <x:c r="E510">
        <x:f>ROUND($C510*10*VLOOKUP($B510,Sheet2!$J$5:$K$7,2,FALSE)*VLOOKUP(Sheet1!$A510,Sheet2!$B$5:$H$29,4,FALSE),0)</x:f>
        <x:v>0</x:v>
      </x:c>
      <x:c r="F510">
        <x:f>ROUND($C510*10*VLOOKUP($B510,Sheet2!$J$5:$K$7,2,FALSE)*VLOOKUP(Sheet1!$A510,Sheet2!$B$5:$H$29,5,FALSE),0)</x:f>
        <x:v>93</x:v>
      </x:c>
      <x:c r="G510">
        <x:f>ROUND($C510*10*VLOOKUP($B510,Sheet2!$J$5:$K$7,2,FALSE)*VLOOKUP(Sheet1!$A510,Sheet2!$B$5:$H$29,6,FALSE),0)</x:f>
        <x:v>0</x:v>
      </x:c>
      <x:c r="H510">
        <x:f>ROUND($C510*10*VLOOKUP($B510,Sheet2!$J$5:$K$7,2,FALSE)*VLOOKUP(Sheet1!$A510,Sheet2!$B$5:$H$29,7,FALSE),0)</x:f>
        <x:v>0</x:v>
      </x:c>
      <x:c r="I510">
        <x:f t="shared" si="8"/>
        <x:v>50820</x:v>
      </x:c>
    </x:row>
    <x:row r="511" spans="1:9" x14ac:dyDescent="0.15">
      <x:c r="A511">
        <x:v>54003</x:v>
      </x:c>
      <x:c r="B511">
        <x:v>3</x:v>
      </x:c>
      <x:c r="C511">
        <x:v>30</x:v>
      </x:c>
      <x:c r="D511">
        <x:f>ROUND($C511*10*VLOOKUP($B511,Sheet2!$J$5:$K$7,2,FALSE)*VLOOKUP(Sheet1!$A511,Sheet2!$B$5:$H$29,3,FALSE),0)</x:f>
        <x:v>360</x:v>
      </x:c>
      <x:c r="E511">
        <x:f>ROUND($C511*10*VLOOKUP($B511,Sheet2!$J$5:$K$7,2,FALSE)*VLOOKUP(Sheet1!$A511,Sheet2!$B$5:$H$29,4,FALSE),0)</x:f>
        <x:v>0</x:v>
      </x:c>
      <x:c r="F511">
        <x:f>ROUND($C511*10*VLOOKUP($B511,Sheet2!$J$5:$K$7,2,FALSE)*VLOOKUP(Sheet1!$A511,Sheet2!$B$5:$H$29,5,FALSE),0)</x:f>
        <x:v>96</x:v>
      </x:c>
      <x:c r="G511">
        <x:f>ROUND($C511*10*VLOOKUP($B511,Sheet2!$J$5:$K$7,2,FALSE)*VLOOKUP(Sheet1!$A511,Sheet2!$B$5:$H$29,6,FALSE),0)</x:f>
        <x:v>0</x:v>
      </x:c>
      <x:c r="H511">
        <x:f>ROUND($C511*10*VLOOKUP($B511,Sheet2!$J$5:$K$7,2,FALSE)*VLOOKUP(Sheet1!$A511,Sheet2!$B$5:$H$29,7,FALSE),0)</x:f>
        <x:v>0</x:v>
      </x:c>
      <x:c r="I511">
        <x:f t="shared" si="8"/>
        <x:v>54130</x:v>
      </x:c>
    </x:row>
    <x:row r="512" spans="1:9" x14ac:dyDescent="0.15">
      <x:c r="A512">
        <x:v>54003</x:v>
      </x:c>
      <x:c r="B512">
        <x:v>3</x:v>
      </x:c>
      <x:c r="C512">
        <x:v>31</x:v>
      </x:c>
      <x:c r="D512">
        <x:f>ROUND($C512*10*VLOOKUP($B512,Sheet2!$J$5:$K$7,2,FALSE)*VLOOKUP(Sheet1!$A512,Sheet2!$B$5:$H$29,3,FALSE),0)</x:f>
        <x:v>372</x:v>
      </x:c>
      <x:c r="E512">
        <x:f>ROUND($C512*10*VLOOKUP($B512,Sheet2!$J$5:$K$7,2,FALSE)*VLOOKUP(Sheet1!$A512,Sheet2!$B$5:$H$29,4,FALSE),0)</x:f>
        <x:v>0</x:v>
      </x:c>
      <x:c r="F512">
        <x:f>ROUND($C512*10*VLOOKUP($B512,Sheet2!$J$5:$K$7,2,FALSE)*VLOOKUP(Sheet1!$A512,Sheet2!$B$5:$H$29,5,FALSE),0)</x:f>
        <x:v>99</x:v>
      </x:c>
      <x:c r="G512">
        <x:f>ROUND($C512*10*VLOOKUP($B512,Sheet2!$J$5:$K$7,2,FALSE)*VLOOKUP(Sheet1!$A512,Sheet2!$B$5:$H$29,6,FALSE),0)</x:f>
        <x:v>0</x:v>
      </x:c>
      <x:c r="H512">
        <x:f>ROUND($C512*10*VLOOKUP($B512,Sheet2!$J$5:$K$7,2,FALSE)*VLOOKUP(Sheet1!$A512,Sheet2!$B$5:$H$29,7,FALSE),0)</x:f>
        <x:v>0</x:v>
      </x:c>
      <x:c r="I512">
        <x:f t="shared" si="8"/>
        <x:v>57530</x:v>
      </x:c>
    </x:row>
    <x:row r="513" spans="1:9" x14ac:dyDescent="0.15">
      <x:c r="A513">
        <x:v>54003</x:v>
      </x:c>
      <x:c r="B513">
        <x:v>3</x:v>
      </x:c>
      <x:c r="C513">
        <x:v>32</x:v>
      </x:c>
      <x:c r="D513">
        <x:f>ROUND($C513*10*VLOOKUP($B513,Sheet2!$J$5:$K$7,2,FALSE)*VLOOKUP(Sheet1!$A513,Sheet2!$B$5:$H$29,3,FALSE),0)</x:f>
        <x:v>384</x:v>
      </x:c>
      <x:c r="E513">
        <x:f>ROUND($C513*10*VLOOKUP($B513,Sheet2!$J$5:$K$7,2,FALSE)*VLOOKUP(Sheet1!$A513,Sheet2!$B$5:$H$29,4,FALSE),0)</x:f>
        <x:v>0</x:v>
      </x:c>
      <x:c r="F513">
        <x:f>ROUND($C513*10*VLOOKUP($B513,Sheet2!$J$5:$K$7,2,FALSE)*VLOOKUP(Sheet1!$A513,Sheet2!$B$5:$H$29,5,FALSE),0)</x:f>
        <x:v>102</x:v>
      </x:c>
      <x:c r="G513">
        <x:f>ROUND($C513*10*VLOOKUP($B513,Sheet2!$J$5:$K$7,2,FALSE)*VLOOKUP(Sheet1!$A513,Sheet2!$B$5:$H$29,6,FALSE),0)</x:f>
        <x:v>0</x:v>
      </x:c>
      <x:c r="H513">
        <x:f>ROUND($C513*10*VLOOKUP($B513,Sheet2!$J$5:$K$7,2,FALSE)*VLOOKUP(Sheet1!$A513,Sheet2!$B$5:$H$29,7,FALSE),0)</x:f>
        <x:v>0</x:v>
      </x:c>
      <x:c r="I513">
        <x:f t="shared" si="8"/>
        <x:v>61020</x:v>
      </x:c>
    </x:row>
    <x:row r="514" spans="1:9" x14ac:dyDescent="0.15">
      <x:c r="A514">
        <x:v>54003</x:v>
      </x:c>
      <x:c r="B514">
        <x:v>3</x:v>
      </x:c>
      <x:c r="C514">
        <x:v>33</x:v>
      </x:c>
      <x:c r="D514">
        <x:f>ROUND($C514*10*VLOOKUP($B514,Sheet2!$J$5:$K$7,2,FALSE)*VLOOKUP(Sheet1!$A514,Sheet2!$B$5:$H$29,3,FALSE),0)</x:f>
        <x:v>396</x:v>
      </x:c>
      <x:c r="E514">
        <x:f>ROUND($C514*10*VLOOKUP($B514,Sheet2!$J$5:$K$7,2,FALSE)*VLOOKUP(Sheet1!$A514,Sheet2!$B$5:$H$29,4,FALSE),0)</x:f>
        <x:v>0</x:v>
      </x:c>
      <x:c r="F514">
        <x:f>ROUND($C514*10*VLOOKUP($B514,Sheet2!$J$5:$K$7,2,FALSE)*VLOOKUP(Sheet1!$A514,Sheet2!$B$5:$H$29,5,FALSE),0)</x:f>
        <x:v>106</x:v>
      </x:c>
      <x:c r="G514">
        <x:f>ROUND($C514*10*VLOOKUP($B514,Sheet2!$J$5:$K$7,2,FALSE)*VLOOKUP(Sheet1!$A514,Sheet2!$B$5:$H$29,6,FALSE),0)</x:f>
        <x:v>0</x:v>
      </x:c>
      <x:c r="H514">
        <x:f>ROUND($C514*10*VLOOKUP($B514,Sheet2!$J$5:$K$7,2,FALSE)*VLOOKUP(Sheet1!$A514,Sheet2!$B$5:$H$29,7,FALSE),0)</x:f>
        <x:v>0</x:v>
      </x:c>
      <x:c r="I514">
        <x:f t="shared" si="8"/>
        <x:v>64600</x:v>
      </x:c>
    </x:row>
    <x:row r="515" spans="1:9" x14ac:dyDescent="0.15">
      <x:c r="A515">
        <x:v>54003</x:v>
      </x:c>
      <x:c r="B515">
        <x:v>3</x:v>
      </x:c>
      <x:c r="C515">
        <x:v>34</x:v>
      </x:c>
      <x:c r="D515">
        <x:f>ROUND($C515*10*VLOOKUP($B515,Sheet2!$J$5:$K$7,2,FALSE)*VLOOKUP(Sheet1!$A515,Sheet2!$B$5:$H$29,3,FALSE),0)</x:f>
        <x:v>408</x:v>
      </x:c>
      <x:c r="E515">
        <x:f>ROUND($C515*10*VLOOKUP($B515,Sheet2!$J$5:$K$7,2,FALSE)*VLOOKUP(Sheet1!$A515,Sheet2!$B$5:$H$29,4,FALSE),0)</x:f>
        <x:v>0</x:v>
      </x:c>
      <x:c r="F515">
        <x:f>ROUND($C515*10*VLOOKUP($B515,Sheet2!$J$5:$K$7,2,FALSE)*VLOOKUP(Sheet1!$A515,Sheet2!$B$5:$H$29,5,FALSE),0)</x:f>
        <x:v>109</x:v>
      </x:c>
      <x:c r="G515">
        <x:f>ROUND($C515*10*VLOOKUP($B515,Sheet2!$J$5:$K$7,2,FALSE)*VLOOKUP(Sheet1!$A515,Sheet2!$B$5:$H$29,6,FALSE),0)</x:f>
        <x:v>0</x:v>
      </x:c>
      <x:c r="H515">
        <x:f>ROUND($C515*10*VLOOKUP($B515,Sheet2!$J$5:$K$7,2,FALSE)*VLOOKUP(Sheet1!$A515,Sheet2!$B$5:$H$29,7,FALSE),0)</x:f>
        <x:v>0</x:v>
      </x:c>
      <x:c r="I515">
        <x:f t="shared" si="8"/>
        <x:v>68280</x:v>
      </x:c>
    </x:row>
    <x:row r="516" spans="1:9" x14ac:dyDescent="0.15">
      <x:c r="A516">
        <x:v>54003</x:v>
      </x:c>
      <x:c r="B516">
        <x:v>3</x:v>
      </x:c>
      <x:c r="C516">
        <x:v>35</x:v>
      </x:c>
      <x:c r="D516">
        <x:f>ROUND($C516*10*VLOOKUP($B516,Sheet2!$J$5:$K$7,2,FALSE)*VLOOKUP(Sheet1!$A516,Sheet2!$B$5:$H$29,3,FALSE),0)</x:f>
        <x:v>420</x:v>
      </x:c>
      <x:c r="E516">
        <x:f>ROUND($C516*10*VLOOKUP($B516,Sheet2!$J$5:$K$7,2,FALSE)*VLOOKUP(Sheet1!$A516,Sheet2!$B$5:$H$29,4,FALSE),0)</x:f>
        <x:v>0</x:v>
      </x:c>
      <x:c r="F516">
        <x:f>ROUND($C516*10*VLOOKUP($B516,Sheet2!$J$5:$K$7,2,FALSE)*VLOOKUP(Sheet1!$A516,Sheet2!$B$5:$H$29,5,FALSE),0)</x:f>
        <x:v>112</x:v>
      </x:c>
      <x:c r="G516">
        <x:f>ROUND($C516*10*VLOOKUP($B516,Sheet2!$J$5:$K$7,2,FALSE)*VLOOKUP(Sheet1!$A516,Sheet2!$B$5:$H$29,6,FALSE),0)</x:f>
        <x:v>0</x:v>
      </x:c>
      <x:c r="H516">
        <x:f>ROUND($C516*10*VLOOKUP($B516,Sheet2!$J$5:$K$7,2,FALSE)*VLOOKUP(Sheet1!$A516,Sheet2!$B$5:$H$29,7,FALSE),0)</x:f>
        <x:v>0</x:v>
      </x:c>
      <x:c r="I516">
        <x:f t="shared" si="8"/>
        <x:v>72040</x:v>
      </x:c>
    </x:row>
    <x:row r="517" spans="1:9" x14ac:dyDescent="0.15">
      <x:c r="A517">
        <x:v>54003</x:v>
      </x:c>
      <x:c r="B517">
        <x:v>3</x:v>
      </x:c>
      <x:c r="C517">
        <x:v>36</x:v>
      </x:c>
      <x:c r="D517">
        <x:f>ROUND($C517*10*VLOOKUP($B517,Sheet2!$J$5:$K$7,2,FALSE)*VLOOKUP(Sheet1!$A517,Sheet2!$B$5:$H$29,3,FALSE),0)</x:f>
        <x:v>432</x:v>
      </x:c>
      <x:c r="E517">
        <x:f>ROUND($C517*10*VLOOKUP($B517,Sheet2!$J$5:$K$7,2,FALSE)*VLOOKUP(Sheet1!$A517,Sheet2!$B$5:$H$29,4,FALSE),0)</x:f>
        <x:v>0</x:v>
      </x:c>
      <x:c r="F517">
        <x:f>ROUND($C517*10*VLOOKUP($B517,Sheet2!$J$5:$K$7,2,FALSE)*VLOOKUP(Sheet1!$A517,Sheet2!$B$5:$H$29,5,FALSE),0)</x:f>
        <x:v>115</x:v>
      </x:c>
      <x:c r="G517">
        <x:f>ROUND($C517*10*VLOOKUP($B517,Sheet2!$J$5:$K$7,2,FALSE)*VLOOKUP(Sheet1!$A517,Sheet2!$B$5:$H$29,6,FALSE),0)</x:f>
        <x:v>0</x:v>
      </x:c>
      <x:c r="H517">
        <x:f>ROUND($C517*10*VLOOKUP($B517,Sheet2!$J$5:$K$7,2,FALSE)*VLOOKUP(Sheet1!$A517,Sheet2!$B$5:$H$29,7,FALSE),0)</x:f>
        <x:v>0</x:v>
      </x:c>
      <x:c r="I517">
        <x:f t="shared" si="8"/>
        <x:v>75890</x:v>
      </x:c>
    </x:row>
    <x:row r="518" spans="1:9" x14ac:dyDescent="0.15">
      <x:c r="A518">
        <x:v>54003</x:v>
      </x:c>
      <x:c r="B518">
        <x:v>3</x:v>
      </x:c>
      <x:c r="C518">
        <x:v>37</x:v>
      </x:c>
      <x:c r="D518">
        <x:f>ROUND($C518*10*VLOOKUP($B518,Sheet2!$J$5:$K$7,2,FALSE)*VLOOKUP(Sheet1!$A518,Sheet2!$B$5:$H$29,3,FALSE),0)</x:f>
        <x:v>444</x:v>
      </x:c>
      <x:c r="E518">
        <x:f>ROUND($C518*10*VLOOKUP($B518,Sheet2!$J$5:$K$7,2,FALSE)*VLOOKUP(Sheet1!$A518,Sheet2!$B$5:$H$29,4,FALSE),0)</x:f>
        <x:v>0</x:v>
      </x:c>
      <x:c r="F518">
        <x:f>ROUND($C518*10*VLOOKUP($B518,Sheet2!$J$5:$K$7,2,FALSE)*VLOOKUP(Sheet1!$A518,Sheet2!$B$5:$H$29,5,FALSE),0)</x:f>
        <x:v>118</x:v>
      </x:c>
      <x:c r="G518">
        <x:f>ROUND($C518*10*VLOOKUP($B518,Sheet2!$J$5:$K$7,2,FALSE)*VLOOKUP(Sheet1!$A518,Sheet2!$B$5:$H$29,6,FALSE),0)</x:f>
        <x:v>0</x:v>
      </x:c>
      <x:c r="H518">
        <x:f>ROUND($C518*10*VLOOKUP($B518,Sheet2!$J$5:$K$7,2,FALSE)*VLOOKUP(Sheet1!$A518,Sheet2!$B$5:$H$29,7,FALSE),0)</x:f>
        <x:v>0</x:v>
      </x:c>
      <x:c r="I518">
        <x:f t="shared" si="8"/>
        <x:v>79840</x:v>
      </x:c>
    </x:row>
    <x:row r="519" spans="1:9" x14ac:dyDescent="0.15">
      <x:c r="A519">
        <x:v>54003</x:v>
      </x:c>
      <x:c r="B519">
        <x:v>3</x:v>
      </x:c>
      <x:c r="C519">
        <x:v>38</x:v>
      </x:c>
      <x:c r="D519">
        <x:f>ROUND($C519*10*VLOOKUP($B519,Sheet2!$J$5:$K$7,2,FALSE)*VLOOKUP(Sheet1!$A519,Sheet2!$B$5:$H$29,3,FALSE),0)</x:f>
        <x:v>456</x:v>
      </x:c>
      <x:c r="E519">
        <x:f>ROUND($C519*10*VLOOKUP($B519,Sheet2!$J$5:$K$7,2,FALSE)*VLOOKUP(Sheet1!$A519,Sheet2!$B$5:$H$29,4,FALSE),0)</x:f>
        <x:v>0</x:v>
      </x:c>
      <x:c r="F519">
        <x:f>ROUND($C519*10*VLOOKUP($B519,Sheet2!$J$5:$K$7,2,FALSE)*VLOOKUP(Sheet1!$A519,Sheet2!$B$5:$H$29,5,FALSE),0)</x:f>
        <x:v>122</x:v>
      </x:c>
      <x:c r="G519">
        <x:f>ROUND($C519*10*VLOOKUP($B519,Sheet2!$J$5:$K$7,2,FALSE)*VLOOKUP(Sheet1!$A519,Sheet2!$B$5:$H$29,6,FALSE),0)</x:f>
        <x:v>0</x:v>
      </x:c>
      <x:c r="H519">
        <x:f>ROUND($C519*10*VLOOKUP($B519,Sheet2!$J$5:$K$7,2,FALSE)*VLOOKUP(Sheet1!$A519,Sheet2!$B$5:$H$29,7,FALSE),0)</x:f>
        <x:v>0</x:v>
      </x:c>
      <x:c r="I519">
        <x:f t="shared" si="8"/>
        <x:v>83870</x:v>
      </x:c>
    </x:row>
    <x:row r="520" spans="1:9" x14ac:dyDescent="0.15">
      <x:c r="A520">
        <x:v>54003</x:v>
      </x:c>
      <x:c r="B520">
        <x:v>3</x:v>
      </x:c>
      <x:c r="C520">
        <x:v>39</x:v>
      </x:c>
      <x:c r="D520">
        <x:f>ROUND($C520*10*VLOOKUP($B520,Sheet2!$J$5:$K$7,2,FALSE)*VLOOKUP(Sheet1!$A520,Sheet2!$B$5:$H$29,3,FALSE),0)</x:f>
        <x:v>468</x:v>
      </x:c>
      <x:c r="E520">
        <x:f>ROUND($C520*10*VLOOKUP($B520,Sheet2!$J$5:$K$7,2,FALSE)*VLOOKUP(Sheet1!$A520,Sheet2!$B$5:$H$29,4,FALSE),0)</x:f>
        <x:v>0</x:v>
      </x:c>
      <x:c r="F520">
        <x:f>ROUND($C520*10*VLOOKUP($B520,Sheet2!$J$5:$K$7,2,FALSE)*VLOOKUP(Sheet1!$A520,Sheet2!$B$5:$H$29,5,FALSE),0)</x:f>
        <x:v>125</x:v>
      </x:c>
      <x:c r="G520">
        <x:f>ROUND($C520*10*VLOOKUP($B520,Sheet2!$J$5:$K$7,2,FALSE)*VLOOKUP(Sheet1!$A520,Sheet2!$B$5:$H$29,6,FALSE),0)</x:f>
        <x:v>0</x:v>
      </x:c>
      <x:c r="H520">
        <x:f>ROUND($C520*10*VLOOKUP($B520,Sheet2!$J$5:$K$7,2,FALSE)*VLOOKUP(Sheet1!$A520,Sheet2!$B$5:$H$29,7,FALSE),0)</x:f>
        <x:v>0</x:v>
      </x:c>
      <x:c r="I520">
        <x:f t="shared" si="8"/>
        <x:v>87990</x:v>
      </x:c>
    </x:row>
    <x:row r="521" spans="1:9" x14ac:dyDescent="0.15">
      <x:c r="A521">
        <x:v>54003</x:v>
      </x:c>
      <x:c r="B521">
        <x:v>3</x:v>
      </x:c>
      <x:c r="C521">
        <x:v>40</x:v>
      </x:c>
      <x:c r="D521">
        <x:f>ROUND($C521*10*VLOOKUP($B521,Sheet2!$J$5:$K$7,2,FALSE)*VLOOKUP(Sheet1!$A521,Sheet2!$B$5:$H$29,3,FALSE),0)</x:f>
        <x:v>480</x:v>
      </x:c>
      <x:c r="E521">
        <x:f>ROUND($C521*10*VLOOKUP($B521,Sheet2!$J$5:$K$7,2,FALSE)*VLOOKUP(Sheet1!$A521,Sheet2!$B$5:$H$29,4,FALSE),0)</x:f>
        <x:v>0</x:v>
      </x:c>
      <x:c r="F521">
        <x:f>ROUND($C521*10*VLOOKUP($B521,Sheet2!$J$5:$K$7,2,FALSE)*VLOOKUP(Sheet1!$A521,Sheet2!$B$5:$H$29,5,FALSE),0)</x:f>
        <x:v>128</x:v>
      </x:c>
      <x:c r="G521">
        <x:f>ROUND($C521*10*VLOOKUP($B521,Sheet2!$J$5:$K$7,2,FALSE)*VLOOKUP(Sheet1!$A521,Sheet2!$B$5:$H$29,6,FALSE),0)</x:f>
        <x:v>0</x:v>
      </x:c>
      <x:c r="H521">
        <x:f>ROUND($C521*10*VLOOKUP($B521,Sheet2!$J$5:$K$7,2,FALSE)*VLOOKUP(Sheet1!$A521,Sheet2!$B$5:$H$29,7,FALSE),0)</x:f>
        <x:v>0</x:v>
      </x:c>
      <x:c r="I521">
        <x:f t="shared" si="8"/>
        <x:v>92200</x:v>
      </x:c>
    </x:row>
    <x:row r="522" spans="1:9" x14ac:dyDescent="0.15">
      <x:c r="A522">
        <x:v>54003</x:v>
      </x:c>
      <x:c r="B522">
        <x:v>3</x:v>
      </x:c>
      <x:c r="C522">
        <x:v>41</x:v>
      </x:c>
      <x:c r="D522">
        <x:f>ROUND($C522*10*VLOOKUP($B522,Sheet2!$J$5:$K$7,2,FALSE)*VLOOKUP(Sheet1!$A522,Sheet2!$B$5:$H$29,3,FALSE),0)</x:f>
        <x:v>492</x:v>
      </x:c>
      <x:c r="E522">
        <x:f>ROUND($C522*10*VLOOKUP($B522,Sheet2!$J$5:$K$7,2,FALSE)*VLOOKUP(Sheet1!$A522,Sheet2!$B$5:$H$29,4,FALSE),0)</x:f>
        <x:v>0</x:v>
      </x:c>
      <x:c r="F522">
        <x:f>ROUND($C522*10*VLOOKUP($B522,Sheet2!$J$5:$K$7,2,FALSE)*VLOOKUP(Sheet1!$A522,Sheet2!$B$5:$H$29,5,FALSE),0)</x:f>
        <x:v>131</x:v>
      </x:c>
      <x:c r="G522">
        <x:f>ROUND($C522*10*VLOOKUP($B522,Sheet2!$J$5:$K$7,2,FALSE)*VLOOKUP(Sheet1!$A522,Sheet2!$B$5:$H$29,6,FALSE),0)</x:f>
        <x:v>0</x:v>
      </x:c>
      <x:c r="H522">
        <x:f>ROUND($C522*10*VLOOKUP($B522,Sheet2!$J$5:$K$7,2,FALSE)*VLOOKUP(Sheet1!$A522,Sheet2!$B$5:$H$29,7,FALSE),0)</x:f>
        <x:v>0</x:v>
      </x:c>
      <x:c r="I522">
        <x:f t="shared" si="8"/>
        <x:v>96490</x:v>
      </x:c>
    </x:row>
    <x:row r="523" spans="1:9" x14ac:dyDescent="0.15">
      <x:c r="A523">
        <x:v>54003</x:v>
      </x:c>
      <x:c r="B523">
        <x:v>3</x:v>
      </x:c>
      <x:c r="C523">
        <x:v>42</x:v>
      </x:c>
      <x:c r="D523">
        <x:f>ROUND($C523*10*VLOOKUP($B523,Sheet2!$J$5:$K$7,2,FALSE)*VLOOKUP(Sheet1!$A523,Sheet2!$B$5:$H$29,3,FALSE),0)</x:f>
        <x:v>504</x:v>
      </x:c>
      <x:c r="E523">
        <x:f>ROUND($C523*10*VLOOKUP($B523,Sheet2!$J$5:$K$7,2,FALSE)*VLOOKUP(Sheet1!$A523,Sheet2!$B$5:$H$29,4,FALSE),0)</x:f>
        <x:v>0</x:v>
      </x:c>
      <x:c r="F523">
        <x:f>ROUND($C523*10*VLOOKUP($B523,Sheet2!$J$5:$K$7,2,FALSE)*VLOOKUP(Sheet1!$A523,Sheet2!$B$5:$H$29,5,FALSE),0)</x:f>
        <x:v>134</x:v>
      </x:c>
      <x:c r="G523">
        <x:f>ROUND($C523*10*VLOOKUP($B523,Sheet2!$J$5:$K$7,2,FALSE)*VLOOKUP(Sheet1!$A523,Sheet2!$B$5:$H$29,6,FALSE),0)</x:f>
        <x:v>0</x:v>
      </x:c>
      <x:c r="H523">
        <x:f>ROUND($C523*10*VLOOKUP($B523,Sheet2!$J$5:$K$7,2,FALSE)*VLOOKUP(Sheet1!$A523,Sheet2!$B$5:$H$29,7,FALSE),0)</x:f>
        <x:v>0</x:v>
      </x:c>
      <x:c r="I523">
        <x:f t="shared" si="8"/>
        <x:v>100870</x:v>
      </x:c>
    </x:row>
    <x:row r="524" spans="1:9" x14ac:dyDescent="0.15">
      <x:c r="A524">
        <x:v>54003</x:v>
      </x:c>
      <x:c r="B524">
        <x:v>3</x:v>
      </x:c>
      <x:c r="C524">
        <x:v>43</x:v>
      </x:c>
      <x:c r="D524">
        <x:f>ROUND($C524*10*VLOOKUP($B524,Sheet2!$J$5:$K$7,2,FALSE)*VLOOKUP(Sheet1!$A524,Sheet2!$B$5:$H$29,3,FALSE),0)</x:f>
        <x:v>516</x:v>
      </x:c>
      <x:c r="E524">
        <x:f>ROUND($C524*10*VLOOKUP($B524,Sheet2!$J$5:$K$7,2,FALSE)*VLOOKUP(Sheet1!$A524,Sheet2!$B$5:$H$29,4,FALSE),0)</x:f>
        <x:v>0</x:v>
      </x:c>
      <x:c r="F524">
        <x:f>ROUND($C524*10*VLOOKUP($B524,Sheet2!$J$5:$K$7,2,FALSE)*VLOOKUP(Sheet1!$A524,Sheet2!$B$5:$H$29,5,FALSE),0)</x:f>
        <x:v>138</x:v>
      </x:c>
      <x:c r="G524">
        <x:f>ROUND($C524*10*VLOOKUP($B524,Sheet2!$J$5:$K$7,2,FALSE)*VLOOKUP(Sheet1!$A524,Sheet2!$B$5:$H$29,6,FALSE),0)</x:f>
        <x:v>0</x:v>
      </x:c>
      <x:c r="H524">
        <x:f>ROUND($C524*10*VLOOKUP($B524,Sheet2!$J$5:$K$7,2,FALSE)*VLOOKUP(Sheet1!$A524,Sheet2!$B$5:$H$29,7,FALSE),0)</x:f>
        <x:v>0</x:v>
      </x:c>
      <x:c r="I524">
        <x:f t="shared" si="8"/>
        <x:v>105340</x:v>
      </x:c>
    </x:row>
    <x:row r="525" spans="1:9" x14ac:dyDescent="0.15">
      <x:c r="A525">
        <x:v>54003</x:v>
      </x:c>
      <x:c r="B525">
        <x:v>3</x:v>
      </x:c>
      <x:c r="C525">
        <x:v>44</x:v>
      </x:c>
      <x:c r="D525">
        <x:f>ROUND($C525*10*VLOOKUP($B525,Sheet2!$J$5:$K$7,2,FALSE)*VLOOKUP(Sheet1!$A525,Sheet2!$B$5:$H$29,3,FALSE),0)</x:f>
        <x:v>528</x:v>
      </x:c>
      <x:c r="E525">
        <x:f>ROUND($C525*10*VLOOKUP($B525,Sheet2!$J$5:$K$7,2,FALSE)*VLOOKUP(Sheet1!$A525,Sheet2!$B$5:$H$29,4,FALSE),0)</x:f>
        <x:v>0</x:v>
      </x:c>
      <x:c r="F525">
        <x:f>ROUND($C525*10*VLOOKUP($B525,Sheet2!$J$5:$K$7,2,FALSE)*VLOOKUP(Sheet1!$A525,Sheet2!$B$5:$H$29,5,FALSE),0)</x:f>
        <x:v>141</x:v>
      </x:c>
      <x:c r="G525">
        <x:f>ROUND($C525*10*VLOOKUP($B525,Sheet2!$J$5:$K$7,2,FALSE)*VLOOKUP(Sheet1!$A525,Sheet2!$B$5:$H$29,6,FALSE),0)</x:f>
        <x:v>0</x:v>
      </x:c>
      <x:c r="H525">
        <x:f>ROUND($C525*10*VLOOKUP($B525,Sheet2!$J$5:$K$7,2,FALSE)*VLOOKUP(Sheet1!$A525,Sheet2!$B$5:$H$29,7,FALSE),0)</x:f>
        <x:v>0</x:v>
      </x:c>
      <x:c r="I525">
        <x:f t="shared" si="8"/>
        <x:v>109890</x:v>
      </x:c>
    </x:row>
    <x:row r="526" spans="1:9" x14ac:dyDescent="0.15">
      <x:c r="A526">
        <x:v>54003</x:v>
      </x:c>
      <x:c r="B526">
        <x:v>3</x:v>
      </x:c>
      <x:c r="C526">
        <x:v>45</x:v>
      </x:c>
      <x:c r="D526">
        <x:f>ROUND($C526*10*VLOOKUP($B526,Sheet2!$J$5:$K$7,2,FALSE)*VLOOKUP(Sheet1!$A526,Sheet2!$B$5:$H$29,3,FALSE),0)</x:f>
        <x:v>540</x:v>
      </x:c>
      <x:c r="E526">
        <x:f>ROUND($C526*10*VLOOKUP($B526,Sheet2!$J$5:$K$7,2,FALSE)*VLOOKUP(Sheet1!$A526,Sheet2!$B$5:$H$29,4,FALSE),0)</x:f>
        <x:v>0</x:v>
      </x:c>
      <x:c r="F526">
        <x:f>ROUND($C526*10*VLOOKUP($B526,Sheet2!$J$5:$K$7,2,FALSE)*VLOOKUP(Sheet1!$A526,Sheet2!$B$5:$H$29,5,FALSE),0)</x:f>
        <x:v>144</x:v>
      </x:c>
      <x:c r="G526">
        <x:f>ROUND($C526*10*VLOOKUP($B526,Sheet2!$J$5:$K$7,2,FALSE)*VLOOKUP(Sheet1!$A526,Sheet2!$B$5:$H$29,6,FALSE),0)</x:f>
        <x:v>0</x:v>
      </x:c>
      <x:c r="H526">
        <x:f>ROUND($C526*10*VLOOKUP($B526,Sheet2!$J$5:$K$7,2,FALSE)*VLOOKUP(Sheet1!$A526,Sheet2!$B$5:$H$29,7,FALSE),0)</x:f>
        <x:v>0</x:v>
      </x:c>
      <x:c r="I526">
        <x:f t="shared" si="8"/>
        <x:v>114530</x:v>
      </x:c>
    </x:row>
    <x:row r="527" spans="1:9" x14ac:dyDescent="0.15">
      <x:c r="A527">
        <x:v>54003</x:v>
      </x:c>
      <x:c r="B527">
        <x:v>3</x:v>
      </x:c>
      <x:c r="C527">
        <x:v>46</x:v>
      </x:c>
      <x:c r="D527">
        <x:f>ROUND($C527*10*VLOOKUP($B527,Sheet2!$J$5:$K$7,2,FALSE)*VLOOKUP(Sheet1!$A527,Sheet2!$B$5:$H$29,3,FALSE),0)</x:f>
        <x:v>552</x:v>
      </x:c>
      <x:c r="E527">
        <x:f>ROUND($C527*10*VLOOKUP($B527,Sheet2!$J$5:$K$7,2,FALSE)*VLOOKUP(Sheet1!$A527,Sheet2!$B$5:$H$29,4,FALSE),0)</x:f>
        <x:v>0</x:v>
      </x:c>
      <x:c r="F527">
        <x:f>ROUND($C527*10*VLOOKUP($B527,Sheet2!$J$5:$K$7,2,FALSE)*VLOOKUP(Sheet1!$A527,Sheet2!$B$5:$H$29,5,FALSE),0)</x:f>
        <x:v>147</x:v>
      </x:c>
      <x:c r="G527">
        <x:f>ROUND($C527*10*VLOOKUP($B527,Sheet2!$J$5:$K$7,2,FALSE)*VLOOKUP(Sheet1!$A527,Sheet2!$B$5:$H$29,6,FALSE),0)</x:f>
        <x:v>0</x:v>
      </x:c>
      <x:c r="H527">
        <x:f>ROUND($C527*10*VLOOKUP($B527,Sheet2!$J$5:$K$7,2,FALSE)*VLOOKUP(Sheet1!$A527,Sheet2!$B$5:$H$29,7,FALSE),0)</x:f>
        <x:v>0</x:v>
      </x:c>
      <x:c r="I527">
        <x:f t="shared" si="8"/>
        <x:v>119260</x:v>
      </x:c>
    </x:row>
    <x:row r="528" spans="1:9" x14ac:dyDescent="0.15">
      <x:c r="A528">
        <x:v>54003</x:v>
      </x:c>
      <x:c r="B528">
        <x:v>3</x:v>
      </x:c>
      <x:c r="C528">
        <x:v>47</x:v>
      </x:c>
      <x:c r="D528">
        <x:f>ROUND($C528*10*VLOOKUP($B528,Sheet2!$J$5:$K$7,2,FALSE)*VLOOKUP(Sheet1!$A528,Sheet2!$B$5:$H$29,3,FALSE),0)</x:f>
        <x:v>564</x:v>
      </x:c>
      <x:c r="E528">
        <x:f>ROUND($C528*10*VLOOKUP($B528,Sheet2!$J$5:$K$7,2,FALSE)*VLOOKUP(Sheet1!$A528,Sheet2!$B$5:$H$29,4,FALSE),0)</x:f>
        <x:v>0</x:v>
      </x:c>
      <x:c r="F528">
        <x:f>ROUND($C528*10*VLOOKUP($B528,Sheet2!$J$5:$K$7,2,FALSE)*VLOOKUP(Sheet1!$A528,Sheet2!$B$5:$H$29,5,FALSE),0)</x:f>
        <x:v>150</x:v>
      </x:c>
      <x:c r="G528">
        <x:f>ROUND($C528*10*VLOOKUP($B528,Sheet2!$J$5:$K$7,2,FALSE)*VLOOKUP(Sheet1!$A528,Sheet2!$B$5:$H$29,6,FALSE),0)</x:f>
        <x:v>0</x:v>
      </x:c>
      <x:c r="H528">
        <x:f>ROUND($C528*10*VLOOKUP($B528,Sheet2!$J$5:$K$7,2,FALSE)*VLOOKUP(Sheet1!$A528,Sheet2!$B$5:$H$29,7,FALSE),0)</x:f>
        <x:v>0</x:v>
      </x:c>
      <x:c r="I528">
        <x:f t="shared" si="8"/>
        <x:v>124070</x:v>
      </x:c>
    </x:row>
    <x:row r="529" spans="1:9" x14ac:dyDescent="0.15">
      <x:c r="A529">
        <x:v>54003</x:v>
      </x:c>
      <x:c r="B529">
        <x:v>3</x:v>
      </x:c>
      <x:c r="C529">
        <x:v>48</x:v>
      </x:c>
      <x:c r="D529">
        <x:f>ROUND($C529*10*VLOOKUP($B529,Sheet2!$J$5:$K$7,2,FALSE)*VLOOKUP(Sheet1!$A529,Sheet2!$B$5:$H$29,3,FALSE),0)</x:f>
        <x:v>576</x:v>
      </x:c>
      <x:c r="E529">
        <x:f>ROUND($C529*10*VLOOKUP($B529,Sheet2!$J$5:$K$7,2,FALSE)*VLOOKUP(Sheet1!$A529,Sheet2!$B$5:$H$29,4,FALSE),0)</x:f>
        <x:v>0</x:v>
      </x:c>
      <x:c r="F529">
        <x:f>ROUND($C529*10*VLOOKUP($B529,Sheet2!$J$5:$K$7,2,FALSE)*VLOOKUP(Sheet1!$A529,Sheet2!$B$5:$H$29,5,FALSE),0)</x:f>
        <x:v>154</x:v>
      </x:c>
      <x:c r="G529">
        <x:f>ROUND($C529*10*VLOOKUP($B529,Sheet2!$J$5:$K$7,2,FALSE)*VLOOKUP(Sheet1!$A529,Sheet2!$B$5:$H$29,6,FALSE),0)</x:f>
        <x:v>0</x:v>
      </x:c>
      <x:c r="H529">
        <x:f>ROUND($C529*10*VLOOKUP($B529,Sheet2!$J$5:$K$7,2,FALSE)*VLOOKUP(Sheet1!$A529,Sheet2!$B$5:$H$29,7,FALSE),0)</x:f>
        <x:v>0</x:v>
      </x:c>
      <x:c r="I529">
        <x:f t="shared" si="8"/>
        <x:v>128960</x:v>
      </x:c>
    </x:row>
    <x:row r="530" spans="1:9" x14ac:dyDescent="0.15">
      <x:c r="A530">
        <x:v>54003</x:v>
      </x:c>
      <x:c r="B530">
        <x:v>3</x:v>
      </x:c>
      <x:c r="C530">
        <x:v>49</x:v>
      </x:c>
      <x:c r="D530">
        <x:f>ROUND($C530*10*VLOOKUP($B530,Sheet2!$J$5:$K$7,2,FALSE)*VLOOKUP(Sheet1!$A530,Sheet2!$B$5:$H$29,3,FALSE),0)</x:f>
        <x:v>588</x:v>
      </x:c>
      <x:c r="E530">
        <x:f>ROUND($C530*10*VLOOKUP($B530,Sheet2!$J$5:$K$7,2,FALSE)*VLOOKUP(Sheet1!$A530,Sheet2!$B$5:$H$29,4,FALSE),0)</x:f>
        <x:v>0</x:v>
      </x:c>
      <x:c r="F530">
        <x:f>ROUND($C530*10*VLOOKUP($B530,Sheet2!$J$5:$K$7,2,FALSE)*VLOOKUP(Sheet1!$A530,Sheet2!$B$5:$H$29,5,FALSE),0)</x:f>
        <x:v>157</x:v>
      </x:c>
      <x:c r="G530">
        <x:f>ROUND($C530*10*VLOOKUP($B530,Sheet2!$J$5:$K$7,2,FALSE)*VLOOKUP(Sheet1!$A530,Sheet2!$B$5:$H$29,6,FALSE),0)</x:f>
        <x:v>0</x:v>
      </x:c>
      <x:c r="H530">
        <x:f>ROUND($C530*10*VLOOKUP($B530,Sheet2!$J$5:$K$7,2,FALSE)*VLOOKUP(Sheet1!$A530,Sheet2!$B$5:$H$29,7,FALSE),0)</x:f>
        <x:v>0</x:v>
      </x:c>
      <x:c r="I530">
        <x:f t="shared" si="8"/>
        <x:v>133940</x:v>
      </x:c>
    </x:row>
    <x:row r="531" spans="1:9" x14ac:dyDescent="0.15">
      <x:c r="A531">
        <x:v>54003</x:v>
      </x:c>
      <x:c r="B531">
        <x:v>3</x:v>
      </x:c>
      <x:c r="C531">
        <x:v>50</x:v>
      </x:c>
      <x:c r="D531">
        <x:f>ROUND($C531*10*VLOOKUP($B531,Sheet2!$J$5:$K$7,2,FALSE)*VLOOKUP(Sheet1!$A531,Sheet2!$B$5:$H$29,3,FALSE),0)</x:f>
        <x:v>600</x:v>
      </x:c>
      <x:c r="E531">
        <x:f>ROUND($C531*10*VLOOKUP($B531,Sheet2!$J$5:$K$7,2,FALSE)*VLOOKUP(Sheet1!$A531,Sheet2!$B$5:$H$29,4,FALSE),0)</x:f>
        <x:v>0</x:v>
      </x:c>
      <x:c r="F531">
        <x:f>ROUND($C531*10*VLOOKUP($B531,Sheet2!$J$5:$K$7,2,FALSE)*VLOOKUP(Sheet1!$A531,Sheet2!$B$5:$H$29,5,FALSE),0)</x:f>
        <x:v>160</x:v>
      </x:c>
      <x:c r="G531">
        <x:f>ROUND($C531*10*VLOOKUP($B531,Sheet2!$J$5:$K$7,2,FALSE)*VLOOKUP(Sheet1!$A531,Sheet2!$B$5:$H$29,6,FALSE),0)</x:f>
        <x:v>0</x:v>
      </x:c>
      <x:c r="H531">
        <x:f>ROUND($C531*10*VLOOKUP($B531,Sheet2!$J$5:$K$7,2,FALSE)*VLOOKUP(Sheet1!$A531,Sheet2!$B$5:$H$29,7,FALSE),0)</x:f>
        <x:v>0</x:v>
      </x:c>
      <x:c r="I531">
        <x:f t="shared" si="8"/>
        <x:v>139000</x:v>
      </x:c>
    </x:row>
    <x:row r="532" spans="1:9" x14ac:dyDescent="0.15">
      <x:c r="A532">
        <x:v>54003</x:v>
      </x:c>
      <x:c r="B532">
        <x:v>3</x:v>
      </x:c>
      <x:c r="C532">
        <x:v>51</x:v>
      </x:c>
      <x:c r="D532">
        <x:f>ROUND($C532*10*VLOOKUP($B532,Sheet2!$J$5:$K$7,2,FALSE)*VLOOKUP(Sheet1!$A532,Sheet2!$B$5:$H$29,3,FALSE),0)</x:f>
        <x:v>612</x:v>
      </x:c>
      <x:c r="E532">
        <x:f>ROUND($C532*10*VLOOKUP($B532,Sheet2!$J$5:$K$7,2,FALSE)*VLOOKUP(Sheet1!$A532,Sheet2!$B$5:$H$29,4,FALSE),0)</x:f>
        <x:v>0</x:v>
      </x:c>
      <x:c r="F532">
        <x:f>ROUND($C532*10*VLOOKUP($B532,Sheet2!$J$5:$K$7,2,FALSE)*VLOOKUP(Sheet1!$A532,Sheet2!$B$5:$H$29,5,FALSE),0)</x:f>
        <x:v>163</x:v>
      </x:c>
      <x:c r="G532">
        <x:f>ROUND($C532*10*VLOOKUP($B532,Sheet2!$J$5:$K$7,2,FALSE)*VLOOKUP(Sheet1!$A532,Sheet2!$B$5:$H$29,6,FALSE),0)</x:f>
        <x:v>0</x:v>
      </x:c>
      <x:c r="H532">
        <x:f>ROUND($C532*10*VLOOKUP($B532,Sheet2!$J$5:$K$7,2,FALSE)*VLOOKUP(Sheet1!$A532,Sheet2!$B$5:$H$29,7,FALSE),0)</x:f>
        <x:v>0</x:v>
      </x:c>
      <x:c r="I532">
        <x:f t="shared" si="8"/>
        <x:v>144140</x:v>
      </x:c>
    </x:row>
    <x:row r="533" spans="1:9" x14ac:dyDescent="0.15">
      <x:c r="A533">
        <x:v>54003</x:v>
      </x:c>
      <x:c r="B533">
        <x:v>3</x:v>
      </x:c>
      <x:c r="C533">
        <x:v>52</x:v>
      </x:c>
      <x:c r="D533">
        <x:f>ROUND($C533*10*VLOOKUP($B533,Sheet2!$J$5:$K$7,2,FALSE)*VLOOKUP(Sheet1!$A533,Sheet2!$B$5:$H$29,3,FALSE),0)</x:f>
        <x:v>624</x:v>
      </x:c>
      <x:c r="E533">
        <x:f>ROUND($C533*10*VLOOKUP($B533,Sheet2!$J$5:$K$7,2,FALSE)*VLOOKUP(Sheet1!$A533,Sheet2!$B$5:$H$29,4,FALSE),0)</x:f>
        <x:v>0</x:v>
      </x:c>
      <x:c r="F533">
        <x:f>ROUND($C533*10*VLOOKUP($B533,Sheet2!$J$5:$K$7,2,FALSE)*VLOOKUP(Sheet1!$A533,Sheet2!$B$5:$H$29,5,FALSE),0)</x:f>
        <x:v>166</x:v>
      </x:c>
      <x:c r="G533">
        <x:f>ROUND($C533*10*VLOOKUP($B533,Sheet2!$J$5:$K$7,2,FALSE)*VLOOKUP(Sheet1!$A533,Sheet2!$B$5:$H$29,6,FALSE),0)</x:f>
        <x:v>0</x:v>
      </x:c>
      <x:c r="H533">
        <x:f>ROUND($C533*10*VLOOKUP($B533,Sheet2!$J$5:$K$7,2,FALSE)*VLOOKUP(Sheet1!$A533,Sheet2!$B$5:$H$29,7,FALSE),0)</x:f>
        <x:v>0</x:v>
      </x:c>
      <x:c r="I533">
        <x:f t="shared" si="8"/>
        <x:v>149370</x:v>
      </x:c>
    </x:row>
    <x:row r="534" spans="1:9" x14ac:dyDescent="0.15">
      <x:c r="A534">
        <x:v>54003</x:v>
      </x:c>
      <x:c r="B534">
        <x:v>3</x:v>
      </x:c>
      <x:c r="C534">
        <x:v>53</x:v>
      </x:c>
      <x:c r="D534">
        <x:f>ROUND($C534*10*VLOOKUP($B534,Sheet2!$J$5:$K$7,2,FALSE)*VLOOKUP(Sheet1!$A534,Sheet2!$B$5:$H$29,3,FALSE),0)</x:f>
        <x:v>636</x:v>
      </x:c>
      <x:c r="E534">
        <x:f>ROUND($C534*10*VLOOKUP($B534,Sheet2!$J$5:$K$7,2,FALSE)*VLOOKUP(Sheet1!$A534,Sheet2!$B$5:$H$29,4,FALSE),0)</x:f>
        <x:v>0</x:v>
      </x:c>
      <x:c r="F534">
        <x:f>ROUND($C534*10*VLOOKUP($B534,Sheet2!$J$5:$K$7,2,FALSE)*VLOOKUP(Sheet1!$A534,Sheet2!$B$5:$H$29,5,FALSE),0)</x:f>
        <x:v>170</x:v>
      </x:c>
      <x:c r="G534">
        <x:f>ROUND($C534*10*VLOOKUP($B534,Sheet2!$J$5:$K$7,2,FALSE)*VLOOKUP(Sheet1!$A534,Sheet2!$B$5:$H$29,6,FALSE),0)</x:f>
        <x:v>0</x:v>
      </x:c>
      <x:c r="H534">
        <x:f>ROUND($C534*10*VLOOKUP($B534,Sheet2!$J$5:$K$7,2,FALSE)*VLOOKUP(Sheet1!$A534,Sheet2!$B$5:$H$29,7,FALSE),0)</x:f>
        <x:v>0</x:v>
      </x:c>
      <x:c r="I534">
        <x:f t="shared" si="8"/>
        <x:v>154680</x:v>
      </x:c>
    </x:row>
    <x:row r="535" spans="1:9" x14ac:dyDescent="0.15">
      <x:c r="A535">
        <x:v>54003</x:v>
      </x:c>
      <x:c r="B535">
        <x:v>3</x:v>
      </x:c>
      <x:c r="C535">
        <x:v>54</x:v>
      </x:c>
      <x:c r="D535">
        <x:f>ROUND($C535*10*VLOOKUP($B535,Sheet2!$J$5:$K$7,2,FALSE)*VLOOKUP(Sheet1!$A535,Sheet2!$B$5:$H$29,3,FALSE),0)</x:f>
        <x:v>648</x:v>
      </x:c>
      <x:c r="E535">
        <x:f>ROUND($C535*10*VLOOKUP($B535,Sheet2!$J$5:$K$7,2,FALSE)*VLOOKUP(Sheet1!$A535,Sheet2!$B$5:$H$29,4,FALSE),0)</x:f>
        <x:v>0</x:v>
      </x:c>
      <x:c r="F535">
        <x:f>ROUND($C535*10*VLOOKUP($B535,Sheet2!$J$5:$K$7,2,FALSE)*VLOOKUP(Sheet1!$A535,Sheet2!$B$5:$H$29,5,FALSE),0)</x:f>
        <x:v>173</x:v>
      </x:c>
      <x:c r="G535">
        <x:f>ROUND($C535*10*VLOOKUP($B535,Sheet2!$J$5:$K$7,2,FALSE)*VLOOKUP(Sheet1!$A535,Sheet2!$B$5:$H$29,6,FALSE),0)</x:f>
        <x:v>0</x:v>
      </x:c>
      <x:c r="H535">
        <x:f>ROUND($C535*10*VLOOKUP($B535,Sheet2!$J$5:$K$7,2,FALSE)*VLOOKUP(Sheet1!$A535,Sheet2!$B$5:$H$29,7,FALSE),0)</x:f>
        <x:v>0</x:v>
      </x:c>
      <x:c r="I535">
        <x:f t="shared" si="8"/>
        <x:v>160070</x:v>
      </x:c>
    </x:row>
    <x:row r="536" spans="1:9" x14ac:dyDescent="0.15">
      <x:c r="A536">
        <x:v>54003</x:v>
      </x:c>
      <x:c r="B536">
        <x:v>3</x:v>
      </x:c>
      <x:c r="C536">
        <x:v>55</x:v>
      </x:c>
      <x:c r="D536">
        <x:f>ROUND($C536*10*VLOOKUP($B536,Sheet2!$J$5:$K$7,2,FALSE)*VLOOKUP(Sheet1!$A536,Sheet2!$B$5:$H$29,3,FALSE),0)</x:f>
        <x:v>660</x:v>
      </x:c>
      <x:c r="E536">
        <x:f>ROUND($C536*10*VLOOKUP($B536,Sheet2!$J$5:$K$7,2,FALSE)*VLOOKUP(Sheet1!$A536,Sheet2!$B$5:$H$29,4,FALSE),0)</x:f>
        <x:v>0</x:v>
      </x:c>
      <x:c r="F536">
        <x:f>ROUND($C536*10*VLOOKUP($B536,Sheet2!$J$5:$K$7,2,FALSE)*VLOOKUP(Sheet1!$A536,Sheet2!$B$5:$H$29,5,FALSE),0)</x:f>
        <x:v>176</x:v>
      </x:c>
      <x:c r="G536">
        <x:f>ROUND($C536*10*VLOOKUP($B536,Sheet2!$J$5:$K$7,2,FALSE)*VLOOKUP(Sheet1!$A536,Sheet2!$B$5:$H$29,6,FALSE),0)</x:f>
        <x:v>0</x:v>
      </x:c>
      <x:c r="H536">
        <x:f>ROUND($C536*10*VLOOKUP($B536,Sheet2!$J$5:$K$7,2,FALSE)*VLOOKUP(Sheet1!$A536,Sheet2!$B$5:$H$29,7,FALSE),0)</x:f>
        <x:v>0</x:v>
      </x:c>
      <x:c r="I536">
        <x:f t="shared" si="8"/>
        <x:v>165540</x:v>
      </x:c>
    </x:row>
    <x:row r="537" spans="1:9" x14ac:dyDescent="0.15">
      <x:c r="A537">
        <x:v>54003</x:v>
      </x:c>
      <x:c r="B537">
        <x:v>3</x:v>
      </x:c>
      <x:c r="C537">
        <x:v>56</x:v>
      </x:c>
      <x:c r="D537">
        <x:f>ROUND($C537*10*VLOOKUP($B537,Sheet2!$J$5:$K$7,2,FALSE)*VLOOKUP(Sheet1!$A537,Sheet2!$B$5:$H$29,3,FALSE),0)</x:f>
        <x:v>672</x:v>
      </x:c>
      <x:c r="E537">
        <x:f>ROUND($C537*10*VLOOKUP($B537,Sheet2!$J$5:$K$7,2,FALSE)*VLOOKUP(Sheet1!$A537,Sheet2!$B$5:$H$29,4,FALSE),0)</x:f>
        <x:v>0</x:v>
      </x:c>
      <x:c r="F537">
        <x:f>ROUND($C537*10*VLOOKUP($B537,Sheet2!$J$5:$K$7,2,FALSE)*VLOOKUP(Sheet1!$A537,Sheet2!$B$5:$H$29,5,FALSE),0)</x:f>
        <x:v>179</x:v>
      </x:c>
      <x:c r="G537">
        <x:f>ROUND($C537*10*VLOOKUP($B537,Sheet2!$J$5:$K$7,2,FALSE)*VLOOKUP(Sheet1!$A537,Sheet2!$B$5:$H$29,6,FALSE),0)</x:f>
        <x:v>0</x:v>
      </x:c>
      <x:c r="H537">
        <x:f>ROUND($C537*10*VLOOKUP($B537,Sheet2!$J$5:$K$7,2,FALSE)*VLOOKUP(Sheet1!$A537,Sheet2!$B$5:$H$29,7,FALSE),0)</x:f>
        <x:v>0</x:v>
      </x:c>
      <x:c r="I537">
        <x:f t="shared" si="8"/>
        <x:v>171100</x:v>
      </x:c>
    </x:row>
    <x:row r="538" spans="1:9" x14ac:dyDescent="0.15">
      <x:c r="A538">
        <x:v>54003</x:v>
      </x:c>
      <x:c r="B538">
        <x:v>3</x:v>
      </x:c>
      <x:c r="C538">
        <x:v>57</x:v>
      </x:c>
      <x:c r="D538">
        <x:f>ROUND($C538*10*VLOOKUP($B538,Sheet2!$J$5:$K$7,2,FALSE)*VLOOKUP(Sheet1!$A538,Sheet2!$B$5:$H$29,3,FALSE),0)</x:f>
        <x:v>684</x:v>
      </x:c>
      <x:c r="E538">
        <x:f>ROUND($C538*10*VLOOKUP($B538,Sheet2!$J$5:$K$7,2,FALSE)*VLOOKUP(Sheet1!$A538,Sheet2!$B$5:$H$29,4,FALSE),0)</x:f>
        <x:v>0</x:v>
      </x:c>
      <x:c r="F538">
        <x:f>ROUND($C538*10*VLOOKUP($B538,Sheet2!$J$5:$K$7,2,FALSE)*VLOOKUP(Sheet1!$A538,Sheet2!$B$5:$H$29,5,FALSE),0)</x:f>
        <x:v>182</x:v>
      </x:c>
      <x:c r="G538">
        <x:f>ROUND($C538*10*VLOOKUP($B538,Sheet2!$J$5:$K$7,2,FALSE)*VLOOKUP(Sheet1!$A538,Sheet2!$B$5:$H$29,6,FALSE),0)</x:f>
        <x:v>0</x:v>
      </x:c>
      <x:c r="H538">
        <x:f>ROUND($C538*10*VLOOKUP($B538,Sheet2!$J$5:$K$7,2,FALSE)*VLOOKUP(Sheet1!$A538,Sheet2!$B$5:$H$29,7,FALSE),0)</x:f>
        <x:v>0</x:v>
      </x:c>
      <x:c r="I538">
        <x:f t="shared" si="8"/>
        <x:v>176740</x:v>
      </x:c>
    </x:row>
    <x:row r="539" spans="1:9" x14ac:dyDescent="0.15">
      <x:c r="A539">
        <x:v>54003</x:v>
      </x:c>
      <x:c r="B539">
        <x:v>3</x:v>
      </x:c>
      <x:c r="C539">
        <x:v>58</x:v>
      </x:c>
      <x:c r="D539">
        <x:f>ROUND($C539*10*VLOOKUP($B539,Sheet2!$J$5:$K$7,2,FALSE)*VLOOKUP(Sheet1!$A539,Sheet2!$B$5:$H$29,3,FALSE),0)</x:f>
        <x:v>696</x:v>
      </x:c>
      <x:c r="E539">
        <x:f>ROUND($C539*10*VLOOKUP($B539,Sheet2!$J$5:$K$7,2,FALSE)*VLOOKUP(Sheet1!$A539,Sheet2!$B$5:$H$29,4,FALSE),0)</x:f>
        <x:v>0</x:v>
      </x:c>
      <x:c r="F539">
        <x:f>ROUND($C539*10*VLOOKUP($B539,Sheet2!$J$5:$K$7,2,FALSE)*VLOOKUP(Sheet1!$A539,Sheet2!$B$5:$H$29,5,FALSE),0)</x:f>
        <x:v>186</x:v>
      </x:c>
      <x:c r="G539">
        <x:f>ROUND($C539*10*VLOOKUP($B539,Sheet2!$J$5:$K$7,2,FALSE)*VLOOKUP(Sheet1!$A539,Sheet2!$B$5:$H$29,6,FALSE),0)</x:f>
        <x:v>0</x:v>
      </x:c>
      <x:c r="H539">
        <x:f>ROUND($C539*10*VLOOKUP($B539,Sheet2!$J$5:$K$7,2,FALSE)*VLOOKUP(Sheet1!$A539,Sheet2!$B$5:$H$29,7,FALSE),0)</x:f>
        <x:v>0</x:v>
      </x:c>
      <x:c r="I539">
        <x:f t="shared" si="8"/>
        <x:v>182460</x:v>
      </x:c>
    </x:row>
    <x:row r="540" spans="1:9" x14ac:dyDescent="0.15">
      <x:c r="A540">
        <x:v>54003</x:v>
      </x:c>
      <x:c r="B540">
        <x:v>3</x:v>
      </x:c>
      <x:c r="C540">
        <x:v>59</x:v>
      </x:c>
      <x:c r="D540">
        <x:f>ROUND($C540*10*VLOOKUP($B540,Sheet2!$J$5:$K$7,2,FALSE)*VLOOKUP(Sheet1!$A540,Sheet2!$B$5:$H$29,3,FALSE),0)</x:f>
        <x:v>708</x:v>
      </x:c>
      <x:c r="E540">
        <x:f>ROUND($C540*10*VLOOKUP($B540,Sheet2!$J$5:$K$7,2,FALSE)*VLOOKUP(Sheet1!$A540,Sheet2!$B$5:$H$29,4,FALSE),0)</x:f>
        <x:v>0</x:v>
      </x:c>
      <x:c r="F540">
        <x:f>ROUND($C540*10*VLOOKUP($B540,Sheet2!$J$5:$K$7,2,FALSE)*VLOOKUP(Sheet1!$A540,Sheet2!$B$5:$H$29,5,FALSE),0)</x:f>
        <x:v>189</x:v>
      </x:c>
      <x:c r="G540">
        <x:f>ROUND($C540*10*VLOOKUP($B540,Sheet2!$J$5:$K$7,2,FALSE)*VLOOKUP(Sheet1!$A540,Sheet2!$B$5:$H$29,6,FALSE),0)</x:f>
        <x:v>0</x:v>
      </x:c>
      <x:c r="H540">
        <x:f>ROUND($C540*10*VLOOKUP($B540,Sheet2!$J$5:$K$7,2,FALSE)*VLOOKUP(Sheet1!$A540,Sheet2!$B$5:$H$29,7,FALSE),0)</x:f>
        <x:v>0</x:v>
      </x:c>
      <x:c r="I540">
        <x:f t="shared" si="8"/>
        <x:v>188260</x:v>
      </x:c>
    </x:row>
    <x:row r="541" spans="1:9" x14ac:dyDescent="0.15">
      <x:c r="A541">
        <x:v>54003</x:v>
      </x:c>
      <x:c r="B541">
        <x:v>3</x:v>
      </x:c>
      <x:c r="C541">
        <x:v>60</x:v>
      </x:c>
      <x:c r="D541">
        <x:f>ROUND($C541*10*VLOOKUP($B541,Sheet2!$J$5:$K$7,2,FALSE)*VLOOKUP(Sheet1!$A541,Sheet2!$B$5:$H$29,3,FALSE),0)</x:f>
        <x:v>720</x:v>
      </x:c>
      <x:c r="E541">
        <x:f>ROUND($C541*10*VLOOKUP($B541,Sheet2!$J$5:$K$7,2,FALSE)*VLOOKUP(Sheet1!$A541,Sheet2!$B$5:$H$29,4,FALSE),0)</x:f>
        <x:v>0</x:v>
      </x:c>
      <x:c r="F541">
        <x:f>ROUND($C541*10*VLOOKUP($B541,Sheet2!$J$5:$K$7,2,FALSE)*VLOOKUP(Sheet1!$A541,Sheet2!$B$5:$H$29,5,FALSE),0)</x:f>
        <x:v>192</x:v>
      </x:c>
      <x:c r="G541">
        <x:f>ROUND($C541*10*VLOOKUP($B541,Sheet2!$J$5:$K$7,2,FALSE)*VLOOKUP(Sheet1!$A541,Sheet2!$B$5:$H$29,6,FALSE),0)</x:f>
        <x:v>0</x:v>
      </x:c>
      <x:c r="H541">
        <x:f>ROUND($C541*10*VLOOKUP($B541,Sheet2!$J$5:$K$7,2,FALSE)*VLOOKUP(Sheet1!$A541,Sheet2!$B$5:$H$29,7,FALSE),0)</x:f>
        <x:v>0</x:v>
      </x:c>
      <x:c r="I541">
        <x:f t="shared" si="8"/>
        <x:v>194140</x:v>
      </x:c>
    </x:row>
    <x:row r="542" spans="1:9" x14ac:dyDescent="0.15">
      <x:c r="A542">
        <x:v>54004</x:v>
      </x:c>
      <x:c r="B542">
        <x:v>1</x:v>
      </x:c>
      <x:c r="C542">
        <x:v>1</x:v>
      </x:c>
      <x:c r="D542">
        <x:f>ROUND($C542*10*VLOOKUP($B542,Sheet2!$J$5:$K$7,2,FALSE)*VLOOKUP(Sheet1!$A542,Sheet2!$B$5:$H$29,3,FALSE),0)</x:f>
        <x:v>6</x:v>
      </x:c>
      <x:c r="E542">
        <x:f>ROUND($C542*10*VLOOKUP($B542,Sheet2!$J$5:$K$7,2,FALSE)*VLOOKUP(Sheet1!$A542,Sheet2!$B$5:$H$29,4,FALSE),0)</x:f>
        <x:v>0</x:v>
      </x:c>
      <x:c r="F542">
        <x:f>ROUND($C542*10*VLOOKUP($B542,Sheet2!$J$5:$K$7,2,FALSE)*VLOOKUP(Sheet1!$A542,Sheet2!$B$5:$H$29,5,FALSE),0)</x:f>
        <x:v>0</x:v>
      </x:c>
      <x:c r="G542">
        <x:f>ROUND($C542*10*VLOOKUP($B542,Sheet2!$J$5:$K$7,2,FALSE)*VLOOKUP(Sheet1!$A542,Sheet2!$B$5:$H$29,6,FALSE),0)</x:f>
        <x:v>2</x:v>
      </x:c>
      <x:c r="H542">
        <x:f>ROUND($C542*10*VLOOKUP($B542,Sheet2!$J$5:$K$7,2,FALSE)*VLOOKUP(Sheet1!$A542,Sheet2!$B$5:$H$29,7,FALSE),0)</x:f>
        <x:v>0</x:v>
      </x:c>
      <x:c r="I542">
        <x:f t="shared" ref="I542:I601" si="9">ROUND(1.2*10*1.8*(C542-1)^1.8+30,-1)</x:f>
        <x:v>30</x:v>
      </x:c>
    </x:row>
    <x:row r="543" spans="1:9" x14ac:dyDescent="0.15">
      <x:c r="A543">
        <x:v>54004</x:v>
      </x:c>
      <x:c r="B543">
        <x:v>1</x:v>
      </x:c>
      <x:c r="C543">
        <x:v>2</x:v>
      </x:c>
      <x:c r="D543">
        <x:f>ROUND($C543*10*VLOOKUP($B543,Sheet2!$J$5:$K$7,2,FALSE)*VLOOKUP(Sheet1!$A543,Sheet2!$B$5:$H$29,3,FALSE),0)</x:f>
        <x:v>12</x:v>
      </x:c>
      <x:c r="E543">
        <x:f>ROUND($C543*10*VLOOKUP($B543,Sheet2!$J$5:$K$7,2,FALSE)*VLOOKUP(Sheet1!$A543,Sheet2!$B$5:$H$29,4,FALSE),0)</x:f>
        <x:v>0</x:v>
      </x:c>
      <x:c r="F543">
        <x:f>ROUND($C543*10*VLOOKUP($B543,Sheet2!$J$5:$K$7,2,FALSE)*VLOOKUP(Sheet1!$A543,Sheet2!$B$5:$H$29,5,FALSE),0)</x:f>
        <x:v>0</x:v>
      </x:c>
      <x:c r="G543">
        <x:f>ROUND($C543*10*VLOOKUP($B543,Sheet2!$J$5:$K$7,2,FALSE)*VLOOKUP(Sheet1!$A543,Sheet2!$B$5:$H$29,6,FALSE),0)</x:f>
        <x:v>3</x:v>
      </x:c>
      <x:c r="H543">
        <x:f>ROUND($C543*10*VLOOKUP($B543,Sheet2!$J$5:$K$7,2,FALSE)*VLOOKUP(Sheet1!$A543,Sheet2!$B$5:$H$29,7,FALSE),0)</x:f>
        <x:v>0</x:v>
      </x:c>
      <x:c r="I543">
        <x:f t="shared" si="9"/>
        <x:v>50</x:v>
      </x:c>
    </x:row>
    <x:row r="544" spans="1:9" x14ac:dyDescent="0.15">
      <x:c r="A544">
        <x:v>54004</x:v>
      </x:c>
      <x:c r="B544">
        <x:v>1</x:v>
      </x:c>
      <x:c r="C544">
        <x:v>3</x:v>
      </x:c>
      <x:c r="D544">
        <x:f>ROUND($C544*10*VLOOKUP($B544,Sheet2!$J$5:$K$7,2,FALSE)*VLOOKUP(Sheet1!$A544,Sheet2!$B$5:$H$29,3,FALSE),0)</x:f>
        <x:v>18</x:v>
      </x:c>
      <x:c r="E544">
        <x:f>ROUND($C544*10*VLOOKUP($B544,Sheet2!$J$5:$K$7,2,FALSE)*VLOOKUP(Sheet1!$A544,Sheet2!$B$5:$H$29,4,FALSE),0)</x:f>
        <x:v>0</x:v>
      </x:c>
      <x:c r="F544">
        <x:f>ROUND($C544*10*VLOOKUP($B544,Sheet2!$J$5:$K$7,2,FALSE)*VLOOKUP(Sheet1!$A544,Sheet2!$B$5:$H$29,5,FALSE),0)</x:f>
        <x:v>0</x:v>
      </x:c>
      <x:c r="G544">
        <x:f>ROUND($C544*10*VLOOKUP($B544,Sheet2!$J$5:$K$7,2,FALSE)*VLOOKUP(Sheet1!$A544,Sheet2!$B$5:$H$29,6,FALSE),0)</x:f>
        <x:v>5</x:v>
      </x:c>
      <x:c r="H544">
        <x:f>ROUND($C544*10*VLOOKUP($B544,Sheet2!$J$5:$K$7,2,FALSE)*VLOOKUP(Sheet1!$A544,Sheet2!$B$5:$H$29,7,FALSE),0)</x:f>
        <x:v>0</x:v>
      </x:c>
      <x:c r="I544">
        <x:f t="shared" si="9"/>
        <x:v>110</x:v>
      </x:c>
    </x:row>
    <x:row r="545" spans="1:9" x14ac:dyDescent="0.15">
      <x:c r="A545">
        <x:v>54004</x:v>
      </x:c>
      <x:c r="B545">
        <x:v>1</x:v>
      </x:c>
      <x:c r="C545">
        <x:v>4</x:v>
      </x:c>
      <x:c r="D545">
        <x:f>ROUND($C545*10*VLOOKUP($B545,Sheet2!$J$5:$K$7,2,FALSE)*VLOOKUP(Sheet1!$A545,Sheet2!$B$5:$H$29,3,FALSE),0)</x:f>
        <x:v>24</x:v>
      </x:c>
      <x:c r="E545">
        <x:f>ROUND($C545*10*VLOOKUP($B545,Sheet2!$J$5:$K$7,2,FALSE)*VLOOKUP(Sheet1!$A545,Sheet2!$B$5:$H$29,4,FALSE),0)</x:f>
        <x:v>0</x:v>
      </x:c>
      <x:c r="F545">
        <x:f>ROUND($C545*10*VLOOKUP($B545,Sheet2!$J$5:$K$7,2,FALSE)*VLOOKUP(Sheet1!$A545,Sheet2!$B$5:$H$29,5,FALSE),0)</x:f>
        <x:v>0</x:v>
      </x:c>
      <x:c r="G545">
        <x:f>ROUND($C545*10*VLOOKUP($B545,Sheet2!$J$5:$K$7,2,FALSE)*VLOOKUP(Sheet1!$A545,Sheet2!$B$5:$H$29,6,FALSE),0)</x:f>
        <x:v>6</x:v>
      </x:c>
      <x:c r="H545">
        <x:f>ROUND($C545*10*VLOOKUP($B545,Sheet2!$J$5:$K$7,2,FALSE)*VLOOKUP(Sheet1!$A545,Sheet2!$B$5:$H$29,7,FALSE),0)</x:f>
        <x:v>0</x:v>
      </x:c>
      <x:c r="I545">
        <x:f t="shared" si="9"/>
        <x:v>190</x:v>
      </x:c>
    </x:row>
    <x:row r="546" spans="1:9" x14ac:dyDescent="0.15">
      <x:c r="A546">
        <x:v>54004</x:v>
      </x:c>
      <x:c r="B546">
        <x:v>1</x:v>
      </x:c>
      <x:c r="C546">
        <x:v>5</x:v>
      </x:c>
      <x:c r="D546">
        <x:f>ROUND($C546*10*VLOOKUP($B546,Sheet2!$J$5:$K$7,2,FALSE)*VLOOKUP(Sheet1!$A546,Sheet2!$B$5:$H$29,3,FALSE),0)</x:f>
        <x:v>30</x:v>
      </x:c>
      <x:c r="E546">
        <x:f>ROUND($C546*10*VLOOKUP($B546,Sheet2!$J$5:$K$7,2,FALSE)*VLOOKUP(Sheet1!$A546,Sheet2!$B$5:$H$29,4,FALSE),0)</x:f>
        <x:v>0</x:v>
      </x:c>
      <x:c r="F546">
        <x:f>ROUND($C546*10*VLOOKUP($B546,Sheet2!$J$5:$K$7,2,FALSE)*VLOOKUP(Sheet1!$A546,Sheet2!$B$5:$H$29,5,FALSE),0)</x:f>
        <x:v>0</x:v>
      </x:c>
      <x:c r="G546">
        <x:f>ROUND($C546*10*VLOOKUP($B546,Sheet2!$J$5:$K$7,2,FALSE)*VLOOKUP(Sheet1!$A546,Sheet2!$B$5:$H$29,6,FALSE),0)</x:f>
        <x:v>8</x:v>
      </x:c>
      <x:c r="H546">
        <x:f>ROUND($C546*10*VLOOKUP($B546,Sheet2!$J$5:$K$7,2,FALSE)*VLOOKUP(Sheet1!$A546,Sheet2!$B$5:$H$29,7,FALSE),0)</x:f>
        <x:v>0</x:v>
      </x:c>
      <x:c r="I546">
        <x:f t="shared" si="9"/>
        <x:v>290</x:v>
      </x:c>
    </x:row>
    <x:row r="547" spans="1:9" x14ac:dyDescent="0.15">
      <x:c r="A547">
        <x:v>54004</x:v>
      </x:c>
      <x:c r="B547">
        <x:v>1</x:v>
      </x:c>
      <x:c r="C547">
        <x:v>6</x:v>
      </x:c>
      <x:c r="D547">
        <x:f>ROUND($C547*10*VLOOKUP($B547,Sheet2!$J$5:$K$7,2,FALSE)*VLOOKUP(Sheet1!$A547,Sheet2!$B$5:$H$29,3,FALSE),0)</x:f>
        <x:v>36</x:v>
      </x:c>
      <x:c r="E547">
        <x:f>ROUND($C547*10*VLOOKUP($B547,Sheet2!$J$5:$K$7,2,FALSE)*VLOOKUP(Sheet1!$A547,Sheet2!$B$5:$H$29,4,FALSE),0)</x:f>
        <x:v>0</x:v>
      </x:c>
      <x:c r="F547">
        <x:f>ROUND($C547*10*VLOOKUP($B547,Sheet2!$J$5:$K$7,2,FALSE)*VLOOKUP(Sheet1!$A547,Sheet2!$B$5:$H$29,5,FALSE),0)</x:f>
        <x:v>0</x:v>
      </x:c>
      <x:c r="G547">
        <x:f>ROUND($C547*10*VLOOKUP($B547,Sheet2!$J$5:$K$7,2,FALSE)*VLOOKUP(Sheet1!$A547,Sheet2!$B$5:$H$29,6,FALSE),0)</x:f>
        <x:v>10</x:v>
      </x:c>
      <x:c r="H547">
        <x:f>ROUND($C547*10*VLOOKUP($B547,Sheet2!$J$5:$K$7,2,FALSE)*VLOOKUP(Sheet1!$A547,Sheet2!$B$5:$H$29,7,FALSE),0)</x:f>
        <x:v>0</x:v>
      </x:c>
      <x:c r="I547">
        <x:f t="shared" si="9"/>
        <x:v>420</x:v>
      </x:c>
    </x:row>
    <x:row r="548" spans="1:9" x14ac:dyDescent="0.15">
      <x:c r="A548">
        <x:v>54004</x:v>
      </x:c>
      <x:c r="B548">
        <x:v>1</x:v>
      </x:c>
      <x:c r="C548">
        <x:v>7</x:v>
      </x:c>
      <x:c r="D548">
        <x:f>ROUND($C548*10*VLOOKUP($B548,Sheet2!$J$5:$K$7,2,FALSE)*VLOOKUP(Sheet1!$A548,Sheet2!$B$5:$H$29,3,FALSE),0)</x:f>
        <x:v>42</x:v>
      </x:c>
      <x:c r="E548">
        <x:f>ROUND($C548*10*VLOOKUP($B548,Sheet2!$J$5:$K$7,2,FALSE)*VLOOKUP(Sheet1!$A548,Sheet2!$B$5:$H$29,4,FALSE),0)</x:f>
        <x:v>0</x:v>
      </x:c>
      <x:c r="F548">
        <x:f>ROUND($C548*10*VLOOKUP($B548,Sheet2!$J$5:$K$7,2,FALSE)*VLOOKUP(Sheet1!$A548,Sheet2!$B$5:$H$29,5,FALSE),0)</x:f>
        <x:v>0</x:v>
      </x:c>
      <x:c r="G548">
        <x:f>ROUND($C548*10*VLOOKUP($B548,Sheet2!$J$5:$K$7,2,FALSE)*VLOOKUP(Sheet1!$A548,Sheet2!$B$5:$H$29,6,FALSE),0)</x:f>
        <x:v>11</x:v>
      </x:c>
      <x:c r="H548">
        <x:f>ROUND($C548*10*VLOOKUP($B548,Sheet2!$J$5:$K$7,2,FALSE)*VLOOKUP(Sheet1!$A548,Sheet2!$B$5:$H$29,7,FALSE),0)</x:f>
        <x:v>0</x:v>
      </x:c>
      <x:c r="I548">
        <x:f t="shared" si="9"/>
        <x:v>570</x:v>
      </x:c>
    </x:row>
    <x:row r="549" spans="1:9" x14ac:dyDescent="0.15">
      <x:c r="A549">
        <x:v>54004</x:v>
      </x:c>
      <x:c r="B549">
        <x:v>1</x:v>
      </x:c>
      <x:c r="C549">
        <x:v>8</x:v>
      </x:c>
      <x:c r="D549">
        <x:f>ROUND($C549*10*VLOOKUP($B549,Sheet2!$J$5:$K$7,2,FALSE)*VLOOKUP(Sheet1!$A549,Sheet2!$B$5:$H$29,3,FALSE),0)</x:f>
        <x:v>48</x:v>
      </x:c>
      <x:c r="E549">
        <x:f>ROUND($C549*10*VLOOKUP($B549,Sheet2!$J$5:$K$7,2,FALSE)*VLOOKUP(Sheet1!$A549,Sheet2!$B$5:$H$29,4,FALSE),0)</x:f>
        <x:v>0</x:v>
      </x:c>
      <x:c r="F549">
        <x:f>ROUND($C549*10*VLOOKUP($B549,Sheet2!$J$5:$K$7,2,FALSE)*VLOOKUP(Sheet1!$A549,Sheet2!$B$5:$H$29,5,FALSE),0)</x:f>
        <x:v>0</x:v>
      </x:c>
      <x:c r="G549">
        <x:f>ROUND($C549*10*VLOOKUP($B549,Sheet2!$J$5:$K$7,2,FALSE)*VLOOKUP(Sheet1!$A549,Sheet2!$B$5:$H$29,6,FALSE),0)</x:f>
        <x:v>13</x:v>
      </x:c>
      <x:c r="H549">
        <x:f>ROUND($C549*10*VLOOKUP($B549,Sheet2!$J$5:$K$7,2,FALSE)*VLOOKUP(Sheet1!$A549,Sheet2!$B$5:$H$29,7,FALSE),0)</x:f>
        <x:v>0</x:v>
      </x:c>
      <x:c r="I549">
        <x:f t="shared" si="9"/>
        <x:v>750</x:v>
      </x:c>
    </x:row>
    <x:row r="550" spans="1:9" x14ac:dyDescent="0.15">
      <x:c r="A550">
        <x:v>54004</x:v>
      </x:c>
      <x:c r="B550">
        <x:v>1</x:v>
      </x:c>
      <x:c r="C550">
        <x:v>9</x:v>
      </x:c>
      <x:c r="D550">
        <x:f>ROUND($C550*10*VLOOKUP($B550,Sheet2!$J$5:$K$7,2,FALSE)*VLOOKUP(Sheet1!$A550,Sheet2!$B$5:$H$29,3,FALSE),0)</x:f>
        <x:v>54</x:v>
      </x:c>
      <x:c r="E550">
        <x:f>ROUND($C550*10*VLOOKUP($B550,Sheet2!$J$5:$K$7,2,FALSE)*VLOOKUP(Sheet1!$A550,Sheet2!$B$5:$H$29,4,FALSE),0)</x:f>
        <x:v>0</x:v>
      </x:c>
      <x:c r="F550">
        <x:f>ROUND($C550*10*VLOOKUP($B550,Sheet2!$J$5:$K$7,2,FALSE)*VLOOKUP(Sheet1!$A550,Sheet2!$B$5:$H$29,5,FALSE),0)</x:f>
        <x:v>0</x:v>
      </x:c>
      <x:c r="G550">
        <x:f>ROUND($C550*10*VLOOKUP($B550,Sheet2!$J$5:$K$7,2,FALSE)*VLOOKUP(Sheet1!$A550,Sheet2!$B$5:$H$29,6,FALSE),0)</x:f>
        <x:v>14</x:v>
      </x:c>
      <x:c r="H550">
        <x:f>ROUND($C550*10*VLOOKUP($B550,Sheet2!$J$5:$K$7,2,FALSE)*VLOOKUP(Sheet1!$A550,Sheet2!$B$5:$H$29,7,FALSE),0)</x:f>
        <x:v>0</x:v>
      </x:c>
      <x:c r="I550">
        <x:f t="shared" si="9"/>
        <x:v>940</x:v>
      </x:c>
    </x:row>
    <x:row r="551" spans="1:9" x14ac:dyDescent="0.15">
      <x:c r="A551">
        <x:v>54004</x:v>
      </x:c>
      <x:c r="B551">
        <x:v>1</x:v>
      </x:c>
      <x:c r="C551">
        <x:v>10</x:v>
      </x:c>
      <x:c r="D551">
        <x:f>ROUND($C551*10*VLOOKUP($B551,Sheet2!$J$5:$K$7,2,FALSE)*VLOOKUP(Sheet1!$A551,Sheet2!$B$5:$H$29,3,FALSE),0)</x:f>
        <x:v>60</x:v>
      </x:c>
      <x:c r="E551">
        <x:f>ROUND($C551*10*VLOOKUP($B551,Sheet2!$J$5:$K$7,2,FALSE)*VLOOKUP(Sheet1!$A551,Sheet2!$B$5:$H$29,4,FALSE),0)</x:f>
        <x:v>0</x:v>
      </x:c>
      <x:c r="F551">
        <x:f>ROUND($C551*10*VLOOKUP($B551,Sheet2!$J$5:$K$7,2,FALSE)*VLOOKUP(Sheet1!$A551,Sheet2!$B$5:$H$29,5,FALSE),0)</x:f>
        <x:v>0</x:v>
      </x:c>
      <x:c r="G551">
        <x:f>ROUND($C551*10*VLOOKUP($B551,Sheet2!$J$5:$K$7,2,FALSE)*VLOOKUP(Sheet1!$A551,Sheet2!$B$5:$H$29,6,FALSE),0)</x:f>
        <x:v>16</x:v>
      </x:c>
      <x:c r="H551">
        <x:f>ROUND($C551*10*VLOOKUP($B551,Sheet2!$J$5:$K$7,2,FALSE)*VLOOKUP(Sheet1!$A551,Sheet2!$B$5:$H$29,7,FALSE),0)</x:f>
        <x:v>0</x:v>
      </x:c>
      <x:c r="I551">
        <x:f t="shared" si="9"/>
        <x:v>1160</x:v>
      </x:c>
    </x:row>
    <x:row r="552" spans="1:9" x14ac:dyDescent="0.15">
      <x:c r="A552">
        <x:v>54004</x:v>
      </x:c>
      <x:c r="B552">
        <x:v>1</x:v>
      </x:c>
      <x:c r="C552">
        <x:v>11</x:v>
      </x:c>
      <x:c r="D552">
        <x:f>ROUND($C552*10*VLOOKUP($B552,Sheet2!$J$5:$K$7,2,FALSE)*VLOOKUP(Sheet1!$A552,Sheet2!$B$5:$H$29,3,FALSE),0)</x:f>
        <x:v>66</x:v>
      </x:c>
      <x:c r="E552">
        <x:f>ROUND($C552*10*VLOOKUP($B552,Sheet2!$J$5:$K$7,2,FALSE)*VLOOKUP(Sheet1!$A552,Sheet2!$B$5:$H$29,4,FALSE),0)</x:f>
        <x:v>0</x:v>
      </x:c>
      <x:c r="F552">
        <x:f>ROUND($C552*10*VLOOKUP($B552,Sheet2!$J$5:$K$7,2,FALSE)*VLOOKUP(Sheet1!$A552,Sheet2!$B$5:$H$29,5,FALSE),0)</x:f>
        <x:v>0</x:v>
      </x:c>
      <x:c r="G552">
        <x:f>ROUND($C552*10*VLOOKUP($B552,Sheet2!$J$5:$K$7,2,FALSE)*VLOOKUP(Sheet1!$A552,Sheet2!$B$5:$H$29,6,FALSE),0)</x:f>
        <x:v>18</x:v>
      </x:c>
      <x:c r="H552">
        <x:f>ROUND($C552*10*VLOOKUP($B552,Sheet2!$J$5:$K$7,2,FALSE)*VLOOKUP(Sheet1!$A552,Sheet2!$B$5:$H$29,7,FALSE),0)</x:f>
        <x:v>0</x:v>
      </x:c>
      <x:c r="I552">
        <x:f t="shared" si="9"/>
        <x:v>1390</x:v>
      </x:c>
    </x:row>
    <x:row r="553" spans="1:9" x14ac:dyDescent="0.15">
      <x:c r="A553">
        <x:v>54004</x:v>
      </x:c>
      <x:c r="B553">
        <x:v>1</x:v>
      </x:c>
      <x:c r="C553">
        <x:v>12</x:v>
      </x:c>
      <x:c r="D553">
        <x:f>ROUND($C553*10*VLOOKUP($B553,Sheet2!$J$5:$K$7,2,FALSE)*VLOOKUP(Sheet1!$A553,Sheet2!$B$5:$H$29,3,FALSE),0)</x:f>
        <x:v>72</x:v>
      </x:c>
      <x:c r="E553">
        <x:f>ROUND($C553*10*VLOOKUP($B553,Sheet2!$J$5:$K$7,2,FALSE)*VLOOKUP(Sheet1!$A553,Sheet2!$B$5:$H$29,4,FALSE),0)</x:f>
        <x:v>0</x:v>
      </x:c>
      <x:c r="F553">
        <x:f>ROUND($C553*10*VLOOKUP($B553,Sheet2!$J$5:$K$7,2,FALSE)*VLOOKUP(Sheet1!$A553,Sheet2!$B$5:$H$29,5,FALSE),0)</x:f>
        <x:v>0</x:v>
      </x:c>
      <x:c r="G553">
        <x:f>ROUND($C553*10*VLOOKUP($B553,Sheet2!$J$5:$K$7,2,FALSE)*VLOOKUP(Sheet1!$A553,Sheet2!$B$5:$H$29,6,FALSE),0)</x:f>
        <x:v>19</x:v>
      </x:c>
      <x:c r="H553">
        <x:f>ROUND($C553*10*VLOOKUP($B553,Sheet2!$J$5:$K$7,2,FALSE)*VLOOKUP(Sheet1!$A553,Sheet2!$B$5:$H$29,7,FALSE),0)</x:f>
        <x:v>0</x:v>
      </x:c>
      <x:c r="I553">
        <x:f t="shared" si="9"/>
        <x:v>1650</x:v>
      </x:c>
    </x:row>
    <x:row r="554" spans="1:9" x14ac:dyDescent="0.15">
      <x:c r="A554">
        <x:v>54004</x:v>
      </x:c>
      <x:c r="B554">
        <x:v>1</x:v>
      </x:c>
      <x:c r="C554">
        <x:v>13</x:v>
      </x:c>
      <x:c r="D554">
        <x:f>ROUND($C554*10*VLOOKUP($B554,Sheet2!$J$5:$K$7,2,FALSE)*VLOOKUP(Sheet1!$A554,Sheet2!$B$5:$H$29,3,FALSE),0)</x:f>
        <x:v>78</x:v>
      </x:c>
      <x:c r="E554">
        <x:f>ROUND($C554*10*VLOOKUP($B554,Sheet2!$J$5:$K$7,2,FALSE)*VLOOKUP(Sheet1!$A554,Sheet2!$B$5:$H$29,4,FALSE),0)</x:f>
        <x:v>0</x:v>
      </x:c>
      <x:c r="F554">
        <x:f>ROUND($C554*10*VLOOKUP($B554,Sheet2!$J$5:$K$7,2,FALSE)*VLOOKUP(Sheet1!$A554,Sheet2!$B$5:$H$29,5,FALSE),0)</x:f>
        <x:v>0</x:v>
      </x:c>
      <x:c r="G554">
        <x:f>ROUND($C554*10*VLOOKUP($B554,Sheet2!$J$5:$K$7,2,FALSE)*VLOOKUP(Sheet1!$A554,Sheet2!$B$5:$H$29,6,FALSE),0)</x:f>
        <x:v>21</x:v>
      </x:c>
      <x:c r="H554">
        <x:f>ROUND($C554*10*VLOOKUP($B554,Sheet2!$J$5:$K$7,2,FALSE)*VLOOKUP(Sheet1!$A554,Sheet2!$B$5:$H$29,7,FALSE),0)</x:f>
        <x:v>0</x:v>
      </x:c>
      <x:c r="I554">
        <x:f t="shared" si="9"/>
        <x:v>1920</x:v>
      </x:c>
    </x:row>
    <x:row r="555" spans="1:9" x14ac:dyDescent="0.15">
      <x:c r="A555">
        <x:v>54004</x:v>
      </x:c>
      <x:c r="B555">
        <x:v>1</x:v>
      </x:c>
      <x:c r="C555">
        <x:v>14</x:v>
      </x:c>
      <x:c r="D555">
        <x:f>ROUND($C555*10*VLOOKUP($B555,Sheet2!$J$5:$K$7,2,FALSE)*VLOOKUP(Sheet1!$A555,Sheet2!$B$5:$H$29,3,FALSE),0)</x:f>
        <x:v>84</x:v>
      </x:c>
      <x:c r="E555">
        <x:f>ROUND($C555*10*VLOOKUP($B555,Sheet2!$J$5:$K$7,2,FALSE)*VLOOKUP(Sheet1!$A555,Sheet2!$B$5:$H$29,4,FALSE),0)</x:f>
        <x:v>0</x:v>
      </x:c>
      <x:c r="F555">
        <x:f>ROUND($C555*10*VLOOKUP($B555,Sheet2!$J$5:$K$7,2,FALSE)*VLOOKUP(Sheet1!$A555,Sheet2!$B$5:$H$29,5,FALSE),0)</x:f>
        <x:v>0</x:v>
      </x:c>
      <x:c r="G555">
        <x:f>ROUND($C555*10*VLOOKUP($B555,Sheet2!$J$5:$K$7,2,FALSE)*VLOOKUP(Sheet1!$A555,Sheet2!$B$5:$H$29,6,FALSE),0)</x:f>
        <x:v>22</x:v>
      </x:c>
      <x:c r="H555">
        <x:f>ROUND($C555*10*VLOOKUP($B555,Sheet2!$J$5:$K$7,2,FALSE)*VLOOKUP(Sheet1!$A555,Sheet2!$B$5:$H$29,7,FALSE),0)</x:f>
        <x:v>0</x:v>
      </x:c>
      <x:c r="I555">
        <x:f t="shared" si="9"/>
        <x:v>2220</x:v>
      </x:c>
    </x:row>
    <x:row r="556" spans="1:9" x14ac:dyDescent="0.15">
      <x:c r="A556">
        <x:v>54004</x:v>
      </x:c>
      <x:c r="B556">
        <x:v>1</x:v>
      </x:c>
      <x:c r="C556">
        <x:v>15</x:v>
      </x:c>
      <x:c r="D556">
        <x:f>ROUND($C556*10*VLOOKUP($B556,Sheet2!$J$5:$K$7,2,FALSE)*VLOOKUP(Sheet1!$A556,Sheet2!$B$5:$H$29,3,FALSE),0)</x:f>
        <x:v>90</x:v>
      </x:c>
      <x:c r="E556">
        <x:f>ROUND($C556*10*VLOOKUP($B556,Sheet2!$J$5:$K$7,2,FALSE)*VLOOKUP(Sheet1!$A556,Sheet2!$B$5:$H$29,4,FALSE),0)</x:f>
        <x:v>0</x:v>
      </x:c>
      <x:c r="F556">
        <x:f>ROUND($C556*10*VLOOKUP($B556,Sheet2!$J$5:$K$7,2,FALSE)*VLOOKUP(Sheet1!$A556,Sheet2!$B$5:$H$29,5,FALSE),0)</x:f>
        <x:v>0</x:v>
      </x:c>
      <x:c r="G556">
        <x:f>ROUND($C556*10*VLOOKUP($B556,Sheet2!$J$5:$K$7,2,FALSE)*VLOOKUP(Sheet1!$A556,Sheet2!$B$5:$H$29,6,FALSE),0)</x:f>
        <x:v>24</x:v>
      </x:c>
      <x:c r="H556">
        <x:f>ROUND($C556*10*VLOOKUP($B556,Sheet2!$J$5:$K$7,2,FALSE)*VLOOKUP(Sheet1!$A556,Sheet2!$B$5:$H$29,7,FALSE),0)</x:f>
        <x:v>0</x:v>
      </x:c>
      <x:c r="I556">
        <x:f t="shared" si="9"/>
        <x:v>2530</x:v>
      </x:c>
    </x:row>
    <x:row r="557" spans="1:9" x14ac:dyDescent="0.15">
      <x:c r="A557">
        <x:v>54004</x:v>
      </x:c>
      <x:c r="B557">
        <x:v>1</x:v>
      </x:c>
      <x:c r="C557">
        <x:v>16</x:v>
      </x:c>
      <x:c r="D557">
        <x:f>ROUND($C557*10*VLOOKUP($B557,Sheet2!$J$5:$K$7,2,FALSE)*VLOOKUP(Sheet1!$A557,Sheet2!$B$5:$H$29,3,FALSE),0)</x:f>
        <x:v>96</x:v>
      </x:c>
      <x:c r="E557">
        <x:f>ROUND($C557*10*VLOOKUP($B557,Sheet2!$J$5:$K$7,2,FALSE)*VLOOKUP(Sheet1!$A557,Sheet2!$B$5:$H$29,4,FALSE),0)</x:f>
        <x:v>0</x:v>
      </x:c>
      <x:c r="F557">
        <x:f>ROUND($C557*10*VLOOKUP($B557,Sheet2!$J$5:$K$7,2,FALSE)*VLOOKUP(Sheet1!$A557,Sheet2!$B$5:$H$29,5,FALSE),0)</x:f>
        <x:v>0</x:v>
      </x:c>
      <x:c r="G557">
        <x:f>ROUND($C557*10*VLOOKUP($B557,Sheet2!$J$5:$K$7,2,FALSE)*VLOOKUP(Sheet1!$A557,Sheet2!$B$5:$H$29,6,FALSE),0)</x:f>
        <x:v>26</x:v>
      </x:c>
      <x:c r="H557">
        <x:f>ROUND($C557*10*VLOOKUP($B557,Sheet2!$J$5:$K$7,2,FALSE)*VLOOKUP(Sheet1!$A557,Sheet2!$B$5:$H$29,7,FALSE),0)</x:f>
        <x:v>0</x:v>
      </x:c>
      <x:c r="I557">
        <x:f t="shared" si="9"/>
        <x:v>2860</x:v>
      </x:c>
    </x:row>
    <x:row r="558" spans="1:9" x14ac:dyDescent="0.15">
      <x:c r="A558">
        <x:v>54004</x:v>
      </x:c>
      <x:c r="B558">
        <x:v>1</x:v>
      </x:c>
      <x:c r="C558">
        <x:v>17</x:v>
      </x:c>
      <x:c r="D558">
        <x:f>ROUND($C558*10*VLOOKUP($B558,Sheet2!$J$5:$K$7,2,FALSE)*VLOOKUP(Sheet1!$A558,Sheet2!$B$5:$H$29,3,FALSE),0)</x:f>
        <x:v>102</x:v>
      </x:c>
      <x:c r="E558">
        <x:f>ROUND($C558*10*VLOOKUP($B558,Sheet2!$J$5:$K$7,2,FALSE)*VLOOKUP(Sheet1!$A558,Sheet2!$B$5:$H$29,4,FALSE),0)</x:f>
        <x:v>0</x:v>
      </x:c>
      <x:c r="F558">
        <x:f>ROUND($C558*10*VLOOKUP($B558,Sheet2!$J$5:$K$7,2,FALSE)*VLOOKUP(Sheet1!$A558,Sheet2!$B$5:$H$29,5,FALSE),0)</x:f>
        <x:v>0</x:v>
      </x:c>
      <x:c r="G558">
        <x:f>ROUND($C558*10*VLOOKUP($B558,Sheet2!$J$5:$K$7,2,FALSE)*VLOOKUP(Sheet1!$A558,Sheet2!$B$5:$H$29,6,FALSE),0)</x:f>
        <x:v>27</x:v>
      </x:c>
      <x:c r="H558">
        <x:f>ROUND($C558*10*VLOOKUP($B558,Sheet2!$J$5:$K$7,2,FALSE)*VLOOKUP(Sheet1!$A558,Sheet2!$B$5:$H$29,7,FALSE),0)</x:f>
        <x:v>0</x:v>
      </x:c>
      <x:c r="I558">
        <x:f t="shared" si="9"/>
        <x:v>3210</x:v>
      </x:c>
    </x:row>
    <x:row r="559" spans="1:9" x14ac:dyDescent="0.15">
      <x:c r="A559">
        <x:v>54004</x:v>
      </x:c>
      <x:c r="B559">
        <x:v>1</x:v>
      </x:c>
      <x:c r="C559">
        <x:v>18</x:v>
      </x:c>
      <x:c r="D559">
        <x:f>ROUND($C559*10*VLOOKUP($B559,Sheet2!$J$5:$K$7,2,FALSE)*VLOOKUP(Sheet1!$A559,Sheet2!$B$5:$H$29,3,FALSE),0)</x:f>
        <x:v>108</x:v>
      </x:c>
      <x:c r="E559">
        <x:f>ROUND($C559*10*VLOOKUP($B559,Sheet2!$J$5:$K$7,2,FALSE)*VLOOKUP(Sheet1!$A559,Sheet2!$B$5:$H$29,4,FALSE),0)</x:f>
        <x:v>0</x:v>
      </x:c>
      <x:c r="F559">
        <x:f>ROUND($C559*10*VLOOKUP($B559,Sheet2!$J$5:$K$7,2,FALSE)*VLOOKUP(Sheet1!$A559,Sheet2!$B$5:$H$29,5,FALSE),0)</x:f>
        <x:v>0</x:v>
      </x:c>
      <x:c r="G559">
        <x:f>ROUND($C559*10*VLOOKUP($B559,Sheet2!$J$5:$K$7,2,FALSE)*VLOOKUP(Sheet1!$A559,Sheet2!$B$5:$H$29,6,FALSE),0)</x:f>
        <x:v>29</x:v>
      </x:c>
      <x:c r="H559">
        <x:f>ROUND($C559*10*VLOOKUP($B559,Sheet2!$J$5:$K$7,2,FALSE)*VLOOKUP(Sheet1!$A559,Sheet2!$B$5:$H$29,7,FALSE),0)</x:f>
        <x:v>0</x:v>
      </x:c>
      <x:c r="I559">
        <x:f t="shared" si="9"/>
        <x:v>3570</x:v>
      </x:c>
    </x:row>
    <x:row r="560" spans="1:9" x14ac:dyDescent="0.15">
      <x:c r="A560">
        <x:v>54004</x:v>
      </x:c>
      <x:c r="B560">
        <x:v>1</x:v>
      </x:c>
      <x:c r="C560">
        <x:v>19</x:v>
      </x:c>
      <x:c r="D560">
        <x:f>ROUND($C560*10*VLOOKUP($B560,Sheet2!$J$5:$K$7,2,FALSE)*VLOOKUP(Sheet1!$A560,Sheet2!$B$5:$H$29,3,FALSE),0)</x:f>
        <x:v>114</x:v>
      </x:c>
      <x:c r="E560">
        <x:f>ROUND($C560*10*VLOOKUP($B560,Sheet2!$J$5:$K$7,2,FALSE)*VLOOKUP(Sheet1!$A560,Sheet2!$B$5:$H$29,4,FALSE),0)</x:f>
        <x:v>0</x:v>
      </x:c>
      <x:c r="F560">
        <x:f>ROUND($C560*10*VLOOKUP($B560,Sheet2!$J$5:$K$7,2,FALSE)*VLOOKUP(Sheet1!$A560,Sheet2!$B$5:$H$29,5,FALSE),0)</x:f>
        <x:v>0</x:v>
      </x:c>
      <x:c r="G560">
        <x:f>ROUND($C560*10*VLOOKUP($B560,Sheet2!$J$5:$K$7,2,FALSE)*VLOOKUP(Sheet1!$A560,Sheet2!$B$5:$H$29,6,FALSE),0)</x:f>
        <x:v>30</x:v>
      </x:c>
      <x:c r="H560">
        <x:f>ROUND($C560*10*VLOOKUP($B560,Sheet2!$J$5:$K$7,2,FALSE)*VLOOKUP(Sheet1!$A560,Sheet2!$B$5:$H$29,7,FALSE),0)</x:f>
        <x:v>0</x:v>
      </x:c>
      <x:c r="I560">
        <x:f t="shared" si="9"/>
        <x:v>3960</x:v>
      </x:c>
    </x:row>
    <x:row r="561" spans="1:9" x14ac:dyDescent="0.15">
      <x:c r="A561">
        <x:v>54004</x:v>
      </x:c>
      <x:c r="B561">
        <x:v>1</x:v>
      </x:c>
      <x:c r="C561">
        <x:v>20</x:v>
      </x:c>
      <x:c r="D561">
        <x:f>ROUND($C561*10*VLOOKUP($B561,Sheet2!$J$5:$K$7,2,FALSE)*VLOOKUP(Sheet1!$A561,Sheet2!$B$5:$H$29,3,FALSE),0)</x:f>
        <x:v>120</x:v>
      </x:c>
      <x:c r="E561">
        <x:f>ROUND($C561*10*VLOOKUP($B561,Sheet2!$J$5:$K$7,2,FALSE)*VLOOKUP(Sheet1!$A561,Sheet2!$B$5:$H$29,4,FALSE),0)</x:f>
        <x:v>0</x:v>
      </x:c>
      <x:c r="F561">
        <x:f>ROUND($C561*10*VLOOKUP($B561,Sheet2!$J$5:$K$7,2,FALSE)*VLOOKUP(Sheet1!$A561,Sheet2!$B$5:$H$29,5,FALSE),0)</x:f>
        <x:v>0</x:v>
      </x:c>
      <x:c r="G561">
        <x:f>ROUND($C561*10*VLOOKUP($B561,Sheet2!$J$5:$K$7,2,FALSE)*VLOOKUP(Sheet1!$A561,Sheet2!$B$5:$H$29,6,FALSE),0)</x:f>
        <x:v>32</x:v>
      </x:c>
      <x:c r="H561">
        <x:f>ROUND($C561*10*VLOOKUP($B561,Sheet2!$J$5:$K$7,2,FALSE)*VLOOKUP(Sheet1!$A561,Sheet2!$B$5:$H$29,7,FALSE),0)</x:f>
        <x:v>0</x:v>
      </x:c>
      <x:c r="I561">
        <x:f t="shared" si="9"/>
        <x:v>4360</x:v>
      </x:c>
    </x:row>
    <x:row r="562" spans="1:9" x14ac:dyDescent="0.15">
      <x:c r="A562">
        <x:v>54004</x:v>
      </x:c>
      <x:c r="B562">
        <x:v>1</x:v>
      </x:c>
      <x:c r="C562">
        <x:v>21</x:v>
      </x:c>
      <x:c r="D562">
        <x:f>ROUND($C562*10*VLOOKUP($B562,Sheet2!$J$5:$K$7,2,FALSE)*VLOOKUP(Sheet1!$A562,Sheet2!$B$5:$H$29,3,FALSE),0)</x:f>
        <x:v>126</x:v>
      </x:c>
      <x:c r="E562">
        <x:f>ROUND($C562*10*VLOOKUP($B562,Sheet2!$J$5:$K$7,2,FALSE)*VLOOKUP(Sheet1!$A562,Sheet2!$B$5:$H$29,4,FALSE),0)</x:f>
        <x:v>0</x:v>
      </x:c>
      <x:c r="F562">
        <x:f>ROUND($C562*10*VLOOKUP($B562,Sheet2!$J$5:$K$7,2,FALSE)*VLOOKUP(Sheet1!$A562,Sheet2!$B$5:$H$29,5,FALSE),0)</x:f>
        <x:v>0</x:v>
      </x:c>
      <x:c r="G562">
        <x:f>ROUND($C562*10*VLOOKUP($B562,Sheet2!$J$5:$K$7,2,FALSE)*VLOOKUP(Sheet1!$A562,Sheet2!$B$5:$H$29,6,FALSE),0)</x:f>
        <x:v>34</x:v>
      </x:c>
      <x:c r="H562">
        <x:f>ROUND($C562*10*VLOOKUP($B562,Sheet2!$J$5:$K$7,2,FALSE)*VLOOKUP(Sheet1!$A562,Sheet2!$B$5:$H$29,7,FALSE),0)</x:f>
        <x:v>0</x:v>
      </x:c>
      <x:c r="I562">
        <x:f t="shared" si="9"/>
        <x:v>4780</x:v>
      </x:c>
    </x:row>
    <x:row r="563" spans="1:9" x14ac:dyDescent="0.15">
      <x:c r="A563">
        <x:v>54004</x:v>
      </x:c>
      <x:c r="B563">
        <x:v>1</x:v>
      </x:c>
      <x:c r="C563">
        <x:v>22</x:v>
      </x:c>
      <x:c r="D563">
        <x:f>ROUND($C563*10*VLOOKUP($B563,Sheet2!$J$5:$K$7,2,FALSE)*VLOOKUP(Sheet1!$A563,Sheet2!$B$5:$H$29,3,FALSE),0)</x:f>
        <x:v>132</x:v>
      </x:c>
      <x:c r="E563">
        <x:f>ROUND($C563*10*VLOOKUP($B563,Sheet2!$J$5:$K$7,2,FALSE)*VLOOKUP(Sheet1!$A563,Sheet2!$B$5:$H$29,4,FALSE),0)</x:f>
        <x:v>0</x:v>
      </x:c>
      <x:c r="F563">
        <x:f>ROUND($C563*10*VLOOKUP($B563,Sheet2!$J$5:$K$7,2,FALSE)*VLOOKUP(Sheet1!$A563,Sheet2!$B$5:$H$29,5,FALSE),0)</x:f>
        <x:v>0</x:v>
      </x:c>
      <x:c r="G563">
        <x:f>ROUND($C563*10*VLOOKUP($B563,Sheet2!$J$5:$K$7,2,FALSE)*VLOOKUP(Sheet1!$A563,Sheet2!$B$5:$H$29,6,FALSE),0)</x:f>
        <x:v>35</x:v>
      </x:c>
      <x:c r="H563">
        <x:f>ROUND($C563*10*VLOOKUP($B563,Sheet2!$J$5:$K$7,2,FALSE)*VLOOKUP(Sheet1!$A563,Sheet2!$B$5:$H$29,7,FALSE),0)</x:f>
        <x:v>0</x:v>
      </x:c>
      <x:c r="I563">
        <x:f t="shared" si="9"/>
        <x:v>5210</x:v>
      </x:c>
    </x:row>
    <x:row r="564" spans="1:9" x14ac:dyDescent="0.15">
      <x:c r="A564">
        <x:v>54004</x:v>
      </x:c>
      <x:c r="B564">
        <x:v>1</x:v>
      </x:c>
      <x:c r="C564">
        <x:v>23</x:v>
      </x:c>
      <x:c r="D564">
        <x:f>ROUND($C564*10*VLOOKUP($B564,Sheet2!$J$5:$K$7,2,FALSE)*VLOOKUP(Sheet1!$A564,Sheet2!$B$5:$H$29,3,FALSE),0)</x:f>
        <x:v>138</x:v>
      </x:c>
      <x:c r="E564">
        <x:f>ROUND($C564*10*VLOOKUP($B564,Sheet2!$J$5:$K$7,2,FALSE)*VLOOKUP(Sheet1!$A564,Sheet2!$B$5:$H$29,4,FALSE),0)</x:f>
        <x:v>0</x:v>
      </x:c>
      <x:c r="F564">
        <x:f>ROUND($C564*10*VLOOKUP($B564,Sheet2!$J$5:$K$7,2,FALSE)*VLOOKUP(Sheet1!$A564,Sheet2!$B$5:$H$29,5,FALSE),0)</x:f>
        <x:v>0</x:v>
      </x:c>
      <x:c r="G564">
        <x:f>ROUND($C564*10*VLOOKUP($B564,Sheet2!$J$5:$K$7,2,FALSE)*VLOOKUP(Sheet1!$A564,Sheet2!$B$5:$H$29,6,FALSE),0)</x:f>
        <x:v>37</x:v>
      </x:c>
      <x:c r="H564">
        <x:f>ROUND($C564*10*VLOOKUP($B564,Sheet2!$J$5:$K$7,2,FALSE)*VLOOKUP(Sheet1!$A564,Sheet2!$B$5:$H$29,7,FALSE),0)</x:f>
        <x:v>0</x:v>
      </x:c>
      <x:c r="I564">
        <x:f t="shared" si="9"/>
        <x:v>5660</x:v>
      </x:c>
    </x:row>
    <x:row r="565" spans="1:9" x14ac:dyDescent="0.15">
      <x:c r="A565">
        <x:v>54004</x:v>
      </x:c>
      <x:c r="B565">
        <x:v>1</x:v>
      </x:c>
      <x:c r="C565">
        <x:v>24</x:v>
      </x:c>
      <x:c r="D565">
        <x:f>ROUND($C565*10*VLOOKUP($B565,Sheet2!$J$5:$K$7,2,FALSE)*VLOOKUP(Sheet1!$A565,Sheet2!$B$5:$H$29,3,FALSE),0)</x:f>
        <x:v>144</x:v>
      </x:c>
      <x:c r="E565">
        <x:f>ROUND($C565*10*VLOOKUP($B565,Sheet2!$J$5:$K$7,2,FALSE)*VLOOKUP(Sheet1!$A565,Sheet2!$B$5:$H$29,4,FALSE),0)</x:f>
        <x:v>0</x:v>
      </x:c>
      <x:c r="F565">
        <x:f>ROUND($C565*10*VLOOKUP($B565,Sheet2!$J$5:$K$7,2,FALSE)*VLOOKUP(Sheet1!$A565,Sheet2!$B$5:$H$29,5,FALSE),0)</x:f>
        <x:v>0</x:v>
      </x:c>
      <x:c r="G565">
        <x:f>ROUND($C565*10*VLOOKUP($B565,Sheet2!$J$5:$K$7,2,FALSE)*VLOOKUP(Sheet1!$A565,Sheet2!$B$5:$H$29,6,FALSE),0)</x:f>
        <x:v>38</x:v>
      </x:c>
      <x:c r="H565">
        <x:f>ROUND($C565*10*VLOOKUP($B565,Sheet2!$J$5:$K$7,2,FALSE)*VLOOKUP(Sheet1!$A565,Sheet2!$B$5:$H$29,7,FALSE),0)</x:f>
        <x:v>0</x:v>
      </x:c>
      <x:c r="I565">
        <x:f t="shared" si="9"/>
        <x:v>6130</x:v>
      </x:c>
    </x:row>
    <x:row r="566" spans="1:9" x14ac:dyDescent="0.15">
      <x:c r="A566">
        <x:v>54004</x:v>
      </x:c>
      <x:c r="B566">
        <x:v>1</x:v>
      </x:c>
      <x:c r="C566">
        <x:v>25</x:v>
      </x:c>
      <x:c r="D566">
        <x:f>ROUND($C566*10*VLOOKUP($B566,Sheet2!$J$5:$K$7,2,FALSE)*VLOOKUP(Sheet1!$A566,Sheet2!$B$5:$H$29,3,FALSE),0)</x:f>
        <x:v>150</x:v>
      </x:c>
      <x:c r="E566">
        <x:f>ROUND($C566*10*VLOOKUP($B566,Sheet2!$J$5:$K$7,2,FALSE)*VLOOKUP(Sheet1!$A566,Sheet2!$B$5:$H$29,4,FALSE),0)</x:f>
        <x:v>0</x:v>
      </x:c>
      <x:c r="F566">
        <x:f>ROUND($C566*10*VLOOKUP($B566,Sheet2!$J$5:$K$7,2,FALSE)*VLOOKUP(Sheet1!$A566,Sheet2!$B$5:$H$29,5,FALSE),0)</x:f>
        <x:v>0</x:v>
      </x:c>
      <x:c r="G566">
        <x:f>ROUND($C566*10*VLOOKUP($B566,Sheet2!$J$5:$K$7,2,FALSE)*VLOOKUP(Sheet1!$A566,Sheet2!$B$5:$H$29,6,FALSE),0)</x:f>
        <x:v>40</x:v>
      </x:c>
      <x:c r="H566">
        <x:f>ROUND($C566*10*VLOOKUP($B566,Sheet2!$J$5:$K$7,2,FALSE)*VLOOKUP(Sheet1!$A566,Sheet2!$B$5:$H$29,7,FALSE),0)</x:f>
        <x:v>0</x:v>
      </x:c>
      <x:c r="I566">
        <x:f t="shared" si="9"/>
        <x:v>6620</x:v>
      </x:c>
    </x:row>
    <x:row r="567" spans="1:9" x14ac:dyDescent="0.15">
      <x:c r="A567">
        <x:v>54004</x:v>
      </x:c>
      <x:c r="B567">
        <x:v>1</x:v>
      </x:c>
      <x:c r="C567">
        <x:v>26</x:v>
      </x:c>
      <x:c r="D567">
        <x:f>ROUND($C567*10*VLOOKUP($B567,Sheet2!$J$5:$K$7,2,FALSE)*VLOOKUP(Sheet1!$A567,Sheet2!$B$5:$H$29,3,FALSE),0)</x:f>
        <x:v>156</x:v>
      </x:c>
      <x:c r="E567">
        <x:f>ROUND($C567*10*VLOOKUP($B567,Sheet2!$J$5:$K$7,2,FALSE)*VLOOKUP(Sheet1!$A567,Sheet2!$B$5:$H$29,4,FALSE),0)</x:f>
        <x:v>0</x:v>
      </x:c>
      <x:c r="F567">
        <x:f>ROUND($C567*10*VLOOKUP($B567,Sheet2!$J$5:$K$7,2,FALSE)*VLOOKUP(Sheet1!$A567,Sheet2!$B$5:$H$29,5,FALSE),0)</x:f>
        <x:v>0</x:v>
      </x:c>
      <x:c r="G567">
        <x:f>ROUND($C567*10*VLOOKUP($B567,Sheet2!$J$5:$K$7,2,FALSE)*VLOOKUP(Sheet1!$A567,Sheet2!$B$5:$H$29,6,FALSE),0)</x:f>
        <x:v>42</x:v>
      </x:c>
      <x:c r="H567">
        <x:f>ROUND($C567*10*VLOOKUP($B567,Sheet2!$J$5:$K$7,2,FALSE)*VLOOKUP(Sheet1!$A567,Sheet2!$B$5:$H$29,7,FALSE),0)</x:f>
        <x:v>0</x:v>
      </x:c>
      <x:c r="I567">
        <x:f t="shared" si="9"/>
        <x:v>7120</x:v>
      </x:c>
    </x:row>
    <x:row r="568" spans="1:9" x14ac:dyDescent="0.15">
      <x:c r="A568">
        <x:v>54004</x:v>
      </x:c>
      <x:c r="B568">
        <x:v>1</x:v>
      </x:c>
      <x:c r="C568">
        <x:v>27</x:v>
      </x:c>
      <x:c r="D568">
        <x:f>ROUND($C568*10*VLOOKUP($B568,Sheet2!$J$5:$K$7,2,FALSE)*VLOOKUP(Sheet1!$A568,Sheet2!$B$5:$H$29,3,FALSE),0)</x:f>
        <x:v>162</x:v>
      </x:c>
      <x:c r="E568">
        <x:f>ROUND($C568*10*VLOOKUP($B568,Sheet2!$J$5:$K$7,2,FALSE)*VLOOKUP(Sheet1!$A568,Sheet2!$B$5:$H$29,4,FALSE),0)</x:f>
        <x:v>0</x:v>
      </x:c>
      <x:c r="F568">
        <x:f>ROUND($C568*10*VLOOKUP($B568,Sheet2!$J$5:$K$7,2,FALSE)*VLOOKUP(Sheet1!$A568,Sheet2!$B$5:$H$29,5,FALSE),0)</x:f>
        <x:v>0</x:v>
      </x:c>
      <x:c r="G568">
        <x:f>ROUND($C568*10*VLOOKUP($B568,Sheet2!$J$5:$K$7,2,FALSE)*VLOOKUP(Sheet1!$A568,Sheet2!$B$5:$H$29,6,FALSE),0)</x:f>
        <x:v>43</x:v>
      </x:c>
      <x:c r="H568">
        <x:f>ROUND($C568*10*VLOOKUP($B568,Sheet2!$J$5:$K$7,2,FALSE)*VLOOKUP(Sheet1!$A568,Sheet2!$B$5:$H$29,7,FALSE),0)</x:f>
        <x:v>0</x:v>
      </x:c>
      <x:c r="I568">
        <x:f t="shared" si="9"/>
        <x:v>7640</x:v>
      </x:c>
    </x:row>
    <x:row r="569" spans="1:9" x14ac:dyDescent="0.15">
      <x:c r="A569">
        <x:v>54004</x:v>
      </x:c>
      <x:c r="B569">
        <x:v>1</x:v>
      </x:c>
      <x:c r="C569">
        <x:v>28</x:v>
      </x:c>
      <x:c r="D569">
        <x:f>ROUND($C569*10*VLOOKUP($B569,Sheet2!$J$5:$K$7,2,FALSE)*VLOOKUP(Sheet1!$A569,Sheet2!$B$5:$H$29,3,FALSE),0)</x:f>
        <x:v>168</x:v>
      </x:c>
      <x:c r="E569">
        <x:f>ROUND($C569*10*VLOOKUP($B569,Sheet2!$J$5:$K$7,2,FALSE)*VLOOKUP(Sheet1!$A569,Sheet2!$B$5:$H$29,4,FALSE),0)</x:f>
        <x:v>0</x:v>
      </x:c>
      <x:c r="F569">
        <x:f>ROUND($C569*10*VLOOKUP($B569,Sheet2!$J$5:$K$7,2,FALSE)*VLOOKUP(Sheet1!$A569,Sheet2!$B$5:$H$29,5,FALSE),0)</x:f>
        <x:v>0</x:v>
      </x:c>
      <x:c r="G569">
        <x:f>ROUND($C569*10*VLOOKUP($B569,Sheet2!$J$5:$K$7,2,FALSE)*VLOOKUP(Sheet1!$A569,Sheet2!$B$5:$H$29,6,FALSE),0)</x:f>
        <x:v>45</x:v>
      </x:c>
      <x:c r="H569">
        <x:f>ROUND($C569*10*VLOOKUP($B569,Sheet2!$J$5:$K$7,2,FALSE)*VLOOKUP(Sheet1!$A569,Sheet2!$B$5:$H$29,7,FALSE),0)</x:f>
        <x:v>0</x:v>
      </x:c>
      <x:c r="I569">
        <x:f t="shared" si="9"/>
        <x:v>8180</x:v>
      </x:c>
    </x:row>
    <x:row r="570" spans="1:9" x14ac:dyDescent="0.15">
      <x:c r="A570">
        <x:v>54004</x:v>
      </x:c>
      <x:c r="B570">
        <x:v>1</x:v>
      </x:c>
      <x:c r="C570">
        <x:v>29</x:v>
      </x:c>
      <x:c r="D570">
        <x:f>ROUND($C570*10*VLOOKUP($B570,Sheet2!$J$5:$K$7,2,FALSE)*VLOOKUP(Sheet1!$A570,Sheet2!$B$5:$H$29,3,FALSE),0)</x:f>
        <x:v>174</x:v>
      </x:c>
      <x:c r="E570">
        <x:f>ROUND($C570*10*VLOOKUP($B570,Sheet2!$J$5:$K$7,2,FALSE)*VLOOKUP(Sheet1!$A570,Sheet2!$B$5:$H$29,4,FALSE),0)</x:f>
        <x:v>0</x:v>
      </x:c>
      <x:c r="F570">
        <x:f>ROUND($C570*10*VLOOKUP($B570,Sheet2!$J$5:$K$7,2,FALSE)*VLOOKUP(Sheet1!$A570,Sheet2!$B$5:$H$29,5,FALSE),0)</x:f>
        <x:v>0</x:v>
      </x:c>
      <x:c r="G570">
        <x:f>ROUND($C570*10*VLOOKUP($B570,Sheet2!$J$5:$K$7,2,FALSE)*VLOOKUP(Sheet1!$A570,Sheet2!$B$5:$H$29,6,FALSE),0)</x:f>
        <x:v>46</x:v>
      </x:c>
      <x:c r="H570">
        <x:f>ROUND($C570*10*VLOOKUP($B570,Sheet2!$J$5:$K$7,2,FALSE)*VLOOKUP(Sheet1!$A570,Sheet2!$B$5:$H$29,7,FALSE),0)</x:f>
        <x:v>0</x:v>
      </x:c>
      <x:c r="I570">
        <x:f t="shared" si="9"/>
        <x:v>8730</x:v>
      </x:c>
    </x:row>
    <x:row r="571" spans="1:9" x14ac:dyDescent="0.15">
      <x:c r="A571">
        <x:v>54004</x:v>
      </x:c>
      <x:c r="B571">
        <x:v>1</x:v>
      </x:c>
      <x:c r="C571">
        <x:v>30</x:v>
      </x:c>
      <x:c r="D571">
        <x:f>ROUND($C571*10*VLOOKUP($B571,Sheet2!$J$5:$K$7,2,FALSE)*VLOOKUP(Sheet1!$A571,Sheet2!$B$5:$H$29,3,FALSE),0)</x:f>
        <x:v>180</x:v>
      </x:c>
      <x:c r="E571">
        <x:f>ROUND($C571*10*VLOOKUP($B571,Sheet2!$J$5:$K$7,2,FALSE)*VLOOKUP(Sheet1!$A571,Sheet2!$B$5:$H$29,4,FALSE),0)</x:f>
        <x:v>0</x:v>
      </x:c>
      <x:c r="F571">
        <x:f>ROUND($C571*10*VLOOKUP($B571,Sheet2!$J$5:$K$7,2,FALSE)*VLOOKUP(Sheet1!$A571,Sheet2!$B$5:$H$29,5,FALSE),0)</x:f>
        <x:v>0</x:v>
      </x:c>
      <x:c r="G571">
        <x:f>ROUND($C571*10*VLOOKUP($B571,Sheet2!$J$5:$K$7,2,FALSE)*VLOOKUP(Sheet1!$A571,Sheet2!$B$5:$H$29,6,FALSE),0)</x:f>
        <x:v>48</x:v>
      </x:c>
      <x:c r="H571">
        <x:f>ROUND($C571*10*VLOOKUP($B571,Sheet2!$J$5:$K$7,2,FALSE)*VLOOKUP(Sheet1!$A571,Sheet2!$B$5:$H$29,7,FALSE),0)</x:f>
        <x:v>0</x:v>
      </x:c>
      <x:c r="I571">
        <x:f t="shared" si="9"/>
        <x:v>9290</x:v>
      </x:c>
    </x:row>
    <x:row r="572" spans="1:9" x14ac:dyDescent="0.15">
      <x:c r="A572">
        <x:v>54004</x:v>
      </x:c>
      <x:c r="B572">
        <x:v>1</x:v>
      </x:c>
      <x:c r="C572">
        <x:v>31</x:v>
      </x:c>
      <x:c r="D572">
        <x:f>ROUND($C572*10*VLOOKUP($B572,Sheet2!$J$5:$K$7,2,FALSE)*VLOOKUP(Sheet1!$A572,Sheet2!$B$5:$H$29,3,FALSE),0)</x:f>
        <x:v>186</x:v>
      </x:c>
      <x:c r="E572">
        <x:f>ROUND($C572*10*VLOOKUP($B572,Sheet2!$J$5:$K$7,2,FALSE)*VLOOKUP(Sheet1!$A572,Sheet2!$B$5:$H$29,4,FALSE),0)</x:f>
        <x:v>0</x:v>
      </x:c>
      <x:c r="F572">
        <x:f>ROUND($C572*10*VLOOKUP($B572,Sheet2!$J$5:$K$7,2,FALSE)*VLOOKUP(Sheet1!$A572,Sheet2!$B$5:$H$29,5,FALSE),0)</x:f>
        <x:v>0</x:v>
      </x:c>
      <x:c r="G572">
        <x:f>ROUND($C572*10*VLOOKUP($B572,Sheet2!$J$5:$K$7,2,FALSE)*VLOOKUP(Sheet1!$A572,Sheet2!$B$5:$H$29,6,FALSE),0)</x:f>
        <x:v>50</x:v>
      </x:c>
      <x:c r="H572">
        <x:f>ROUND($C572*10*VLOOKUP($B572,Sheet2!$J$5:$K$7,2,FALSE)*VLOOKUP(Sheet1!$A572,Sheet2!$B$5:$H$29,7,FALSE),0)</x:f>
        <x:v>0</x:v>
      </x:c>
      <x:c r="I572">
        <x:f t="shared" si="9"/>
        <x:v>9880</x:v>
      </x:c>
    </x:row>
    <x:row r="573" spans="1:9" x14ac:dyDescent="0.15">
      <x:c r="A573">
        <x:v>54004</x:v>
      </x:c>
      <x:c r="B573">
        <x:v>1</x:v>
      </x:c>
      <x:c r="C573">
        <x:v>32</x:v>
      </x:c>
      <x:c r="D573">
        <x:f>ROUND($C573*10*VLOOKUP($B573,Sheet2!$J$5:$K$7,2,FALSE)*VLOOKUP(Sheet1!$A573,Sheet2!$B$5:$H$29,3,FALSE),0)</x:f>
        <x:v>192</x:v>
      </x:c>
      <x:c r="E573">
        <x:f>ROUND($C573*10*VLOOKUP($B573,Sheet2!$J$5:$K$7,2,FALSE)*VLOOKUP(Sheet1!$A573,Sheet2!$B$5:$H$29,4,FALSE),0)</x:f>
        <x:v>0</x:v>
      </x:c>
      <x:c r="F573">
        <x:f>ROUND($C573*10*VLOOKUP($B573,Sheet2!$J$5:$K$7,2,FALSE)*VLOOKUP(Sheet1!$A573,Sheet2!$B$5:$H$29,5,FALSE),0)</x:f>
        <x:v>0</x:v>
      </x:c>
      <x:c r="G573">
        <x:f>ROUND($C573*10*VLOOKUP($B573,Sheet2!$J$5:$K$7,2,FALSE)*VLOOKUP(Sheet1!$A573,Sheet2!$B$5:$H$29,6,FALSE),0)</x:f>
        <x:v>51</x:v>
      </x:c>
      <x:c r="H573">
        <x:f>ROUND($C573*10*VLOOKUP($B573,Sheet2!$J$5:$K$7,2,FALSE)*VLOOKUP(Sheet1!$A573,Sheet2!$B$5:$H$29,7,FALSE),0)</x:f>
        <x:v>0</x:v>
      </x:c>
      <x:c r="I573">
        <x:f t="shared" si="9"/>
        <x:v>10470</x:v>
      </x:c>
    </x:row>
    <x:row r="574" spans="1:9" x14ac:dyDescent="0.15">
      <x:c r="A574">
        <x:v>54004</x:v>
      </x:c>
      <x:c r="B574">
        <x:v>1</x:v>
      </x:c>
      <x:c r="C574">
        <x:v>33</x:v>
      </x:c>
      <x:c r="D574">
        <x:f>ROUND($C574*10*VLOOKUP($B574,Sheet2!$J$5:$K$7,2,FALSE)*VLOOKUP(Sheet1!$A574,Sheet2!$B$5:$H$29,3,FALSE),0)</x:f>
        <x:v>198</x:v>
      </x:c>
      <x:c r="E574">
        <x:f>ROUND($C574*10*VLOOKUP($B574,Sheet2!$J$5:$K$7,2,FALSE)*VLOOKUP(Sheet1!$A574,Sheet2!$B$5:$H$29,4,FALSE),0)</x:f>
        <x:v>0</x:v>
      </x:c>
      <x:c r="F574">
        <x:f>ROUND($C574*10*VLOOKUP($B574,Sheet2!$J$5:$K$7,2,FALSE)*VLOOKUP(Sheet1!$A574,Sheet2!$B$5:$H$29,5,FALSE),0)</x:f>
        <x:v>0</x:v>
      </x:c>
      <x:c r="G574">
        <x:f>ROUND($C574*10*VLOOKUP($B574,Sheet2!$J$5:$K$7,2,FALSE)*VLOOKUP(Sheet1!$A574,Sheet2!$B$5:$H$29,6,FALSE),0)</x:f>
        <x:v>53</x:v>
      </x:c>
      <x:c r="H574">
        <x:f>ROUND($C574*10*VLOOKUP($B574,Sheet2!$J$5:$K$7,2,FALSE)*VLOOKUP(Sheet1!$A574,Sheet2!$B$5:$H$29,7,FALSE),0)</x:f>
        <x:v>0</x:v>
      </x:c>
      <x:c r="I574">
        <x:f t="shared" si="9"/>
        <x:v>11090</x:v>
      </x:c>
    </x:row>
    <x:row r="575" spans="1:9" x14ac:dyDescent="0.15">
      <x:c r="A575">
        <x:v>54004</x:v>
      </x:c>
      <x:c r="B575">
        <x:v>1</x:v>
      </x:c>
      <x:c r="C575">
        <x:v>34</x:v>
      </x:c>
      <x:c r="D575">
        <x:f>ROUND($C575*10*VLOOKUP($B575,Sheet2!$J$5:$K$7,2,FALSE)*VLOOKUP(Sheet1!$A575,Sheet2!$B$5:$H$29,3,FALSE),0)</x:f>
        <x:v>204</x:v>
      </x:c>
      <x:c r="E575">
        <x:f>ROUND($C575*10*VLOOKUP($B575,Sheet2!$J$5:$K$7,2,FALSE)*VLOOKUP(Sheet1!$A575,Sheet2!$B$5:$H$29,4,FALSE),0)</x:f>
        <x:v>0</x:v>
      </x:c>
      <x:c r="F575">
        <x:f>ROUND($C575*10*VLOOKUP($B575,Sheet2!$J$5:$K$7,2,FALSE)*VLOOKUP(Sheet1!$A575,Sheet2!$B$5:$H$29,5,FALSE),0)</x:f>
        <x:v>0</x:v>
      </x:c>
      <x:c r="G575">
        <x:f>ROUND($C575*10*VLOOKUP($B575,Sheet2!$J$5:$K$7,2,FALSE)*VLOOKUP(Sheet1!$A575,Sheet2!$B$5:$H$29,6,FALSE),0)</x:f>
        <x:v>54</x:v>
      </x:c>
      <x:c r="H575">
        <x:f>ROUND($C575*10*VLOOKUP($B575,Sheet2!$J$5:$K$7,2,FALSE)*VLOOKUP(Sheet1!$A575,Sheet2!$B$5:$H$29,7,FALSE),0)</x:f>
        <x:v>0</x:v>
      </x:c>
      <x:c r="I575">
        <x:f t="shared" si="9"/>
        <x:v>11720</x:v>
      </x:c>
    </x:row>
    <x:row r="576" spans="1:9" x14ac:dyDescent="0.15">
      <x:c r="A576">
        <x:v>54004</x:v>
      </x:c>
      <x:c r="B576">
        <x:v>1</x:v>
      </x:c>
      <x:c r="C576">
        <x:v>35</x:v>
      </x:c>
      <x:c r="D576">
        <x:f>ROUND($C576*10*VLOOKUP($B576,Sheet2!$J$5:$K$7,2,FALSE)*VLOOKUP(Sheet1!$A576,Sheet2!$B$5:$H$29,3,FALSE),0)</x:f>
        <x:v>210</x:v>
      </x:c>
      <x:c r="E576">
        <x:f>ROUND($C576*10*VLOOKUP($B576,Sheet2!$J$5:$K$7,2,FALSE)*VLOOKUP(Sheet1!$A576,Sheet2!$B$5:$H$29,4,FALSE),0)</x:f>
        <x:v>0</x:v>
      </x:c>
      <x:c r="F576">
        <x:f>ROUND($C576*10*VLOOKUP($B576,Sheet2!$J$5:$K$7,2,FALSE)*VLOOKUP(Sheet1!$A576,Sheet2!$B$5:$H$29,5,FALSE),0)</x:f>
        <x:v>0</x:v>
      </x:c>
      <x:c r="G576">
        <x:f>ROUND($C576*10*VLOOKUP($B576,Sheet2!$J$5:$K$7,2,FALSE)*VLOOKUP(Sheet1!$A576,Sheet2!$B$5:$H$29,6,FALSE),0)</x:f>
        <x:v>56</x:v>
      </x:c>
      <x:c r="H576">
        <x:f>ROUND($C576*10*VLOOKUP($B576,Sheet2!$J$5:$K$7,2,FALSE)*VLOOKUP(Sheet1!$A576,Sheet2!$B$5:$H$29,7,FALSE),0)</x:f>
        <x:v>0</x:v>
      </x:c>
      <x:c r="I576">
        <x:f t="shared" si="9"/>
        <x:v>12360</x:v>
      </x:c>
    </x:row>
    <x:row r="577" spans="1:9" x14ac:dyDescent="0.15">
      <x:c r="A577">
        <x:v>54004</x:v>
      </x:c>
      <x:c r="B577">
        <x:v>1</x:v>
      </x:c>
      <x:c r="C577">
        <x:v>36</x:v>
      </x:c>
      <x:c r="D577">
        <x:f>ROUND($C577*10*VLOOKUP($B577,Sheet2!$J$5:$K$7,2,FALSE)*VLOOKUP(Sheet1!$A577,Sheet2!$B$5:$H$29,3,FALSE),0)</x:f>
        <x:v>216</x:v>
      </x:c>
      <x:c r="E577">
        <x:f>ROUND($C577*10*VLOOKUP($B577,Sheet2!$J$5:$K$7,2,FALSE)*VLOOKUP(Sheet1!$A577,Sheet2!$B$5:$H$29,4,FALSE),0)</x:f>
        <x:v>0</x:v>
      </x:c>
      <x:c r="F577">
        <x:f>ROUND($C577*10*VLOOKUP($B577,Sheet2!$J$5:$K$7,2,FALSE)*VLOOKUP(Sheet1!$A577,Sheet2!$B$5:$H$29,5,FALSE),0)</x:f>
        <x:v>0</x:v>
      </x:c>
      <x:c r="G577">
        <x:f>ROUND($C577*10*VLOOKUP($B577,Sheet2!$J$5:$K$7,2,FALSE)*VLOOKUP(Sheet1!$A577,Sheet2!$B$5:$H$29,6,FALSE),0)</x:f>
        <x:v>58</x:v>
      </x:c>
      <x:c r="H577">
        <x:f>ROUND($C577*10*VLOOKUP($B577,Sheet2!$J$5:$K$7,2,FALSE)*VLOOKUP(Sheet1!$A577,Sheet2!$B$5:$H$29,7,FALSE),0)</x:f>
        <x:v>0</x:v>
      </x:c>
      <x:c r="I577">
        <x:f t="shared" si="9"/>
        <x:v>13020</x:v>
      </x:c>
    </x:row>
    <x:row r="578" spans="1:9" x14ac:dyDescent="0.15">
      <x:c r="A578">
        <x:v>54004</x:v>
      </x:c>
      <x:c r="B578">
        <x:v>1</x:v>
      </x:c>
      <x:c r="C578">
        <x:v>37</x:v>
      </x:c>
      <x:c r="D578">
        <x:f>ROUND($C578*10*VLOOKUP($B578,Sheet2!$J$5:$K$7,2,FALSE)*VLOOKUP(Sheet1!$A578,Sheet2!$B$5:$H$29,3,FALSE),0)</x:f>
        <x:v>222</x:v>
      </x:c>
      <x:c r="E578">
        <x:f>ROUND($C578*10*VLOOKUP($B578,Sheet2!$J$5:$K$7,2,FALSE)*VLOOKUP(Sheet1!$A578,Sheet2!$B$5:$H$29,4,FALSE),0)</x:f>
        <x:v>0</x:v>
      </x:c>
      <x:c r="F578">
        <x:f>ROUND($C578*10*VLOOKUP($B578,Sheet2!$J$5:$K$7,2,FALSE)*VLOOKUP(Sheet1!$A578,Sheet2!$B$5:$H$29,5,FALSE),0)</x:f>
        <x:v>0</x:v>
      </x:c>
      <x:c r="G578">
        <x:f>ROUND($C578*10*VLOOKUP($B578,Sheet2!$J$5:$K$7,2,FALSE)*VLOOKUP(Sheet1!$A578,Sheet2!$B$5:$H$29,6,FALSE),0)</x:f>
        <x:v>59</x:v>
      </x:c>
      <x:c r="H578">
        <x:f>ROUND($C578*10*VLOOKUP($B578,Sheet2!$J$5:$K$7,2,FALSE)*VLOOKUP(Sheet1!$A578,Sheet2!$B$5:$H$29,7,FALSE),0)</x:f>
        <x:v>0</x:v>
      </x:c>
      <x:c r="I578">
        <x:f t="shared" si="9"/>
        <x:v>13700</x:v>
      </x:c>
    </x:row>
    <x:row r="579" spans="1:9" x14ac:dyDescent="0.15">
      <x:c r="A579">
        <x:v>54004</x:v>
      </x:c>
      <x:c r="B579">
        <x:v>1</x:v>
      </x:c>
      <x:c r="C579">
        <x:v>38</x:v>
      </x:c>
      <x:c r="D579">
        <x:f>ROUND($C579*10*VLOOKUP($B579,Sheet2!$J$5:$K$7,2,FALSE)*VLOOKUP(Sheet1!$A579,Sheet2!$B$5:$H$29,3,FALSE),0)</x:f>
        <x:v>228</x:v>
      </x:c>
      <x:c r="E579">
        <x:f>ROUND($C579*10*VLOOKUP($B579,Sheet2!$J$5:$K$7,2,FALSE)*VLOOKUP(Sheet1!$A579,Sheet2!$B$5:$H$29,4,FALSE),0)</x:f>
        <x:v>0</x:v>
      </x:c>
      <x:c r="F579">
        <x:f>ROUND($C579*10*VLOOKUP($B579,Sheet2!$J$5:$K$7,2,FALSE)*VLOOKUP(Sheet1!$A579,Sheet2!$B$5:$H$29,5,FALSE),0)</x:f>
        <x:v>0</x:v>
      </x:c>
      <x:c r="G579">
        <x:f>ROUND($C579*10*VLOOKUP($B579,Sheet2!$J$5:$K$7,2,FALSE)*VLOOKUP(Sheet1!$A579,Sheet2!$B$5:$H$29,6,FALSE),0)</x:f>
        <x:v>61</x:v>
      </x:c>
      <x:c r="H579">
        <x:f>ROUND($C579*10*VLOOKUP($B579,Sheet2!$J$5:$K$7,2,FALSE)*VLOOKUP(Sheet1!$A579,Sheet2!$B$5:$H$29,7,FALSE),0)</x:f>
        <x:v>0</x:v>
      </x:c>
      <x:c r="I579">
        <x:f t="shared" si="9"/>
        <x:v>14390</x:v>
      </x:c>
    </x:row>
    <x:row r="580" spans="1:9" x14ac:dyDescent="0.15">
      <x:c r="A580">
        <x:v>54004</x:v>
      </x:c>
      <x:c r="B580">
        <x:v>1</x:v>
      </x:c>
      <x:c r="C580">
        <x:v>39</x:v>
      </x:c>
      <x:c r="D580">
        <x:f>ROUND($C580*10*VLOOKUP($B580,Sheet2!$J$5:$K$7,2,FALSE)*VLOOKUP(Sheet1!$A580,Sheet2!$B$5:$H$29,3,FALSE),0)</x:f>
        <x:v>234</x:v>
      </x:c>
      <x:c r="E580">
        <x:f>ROUND($C580*10*VLOOKUP($B580,Sheet2!$J$5:$K$7,2,FALSE)*VLOOKUP(Sheet1!$A580,Sheet2!$B$5:$H$29,4,FALSE),0)</x:f>
        <x:v>0</x:v>
      </x:c>
      <x:c r="F580">
        <x:f>ROUND($C580*10*VLOOKUP($B580,Sheet2!$J$5:$K$7,2,FALSE)*VLOOKUP(Sheet1!$A580,Sheet2!$B$5:$H$29,5,FALSE),0)</x:f>
        <x:v>0</x:v>
      </x:c>
      <x:c r="G580">
        <x:f>ROUND($C580*10*VLOOKUP($B580,Sheet2!$J$5:$K$7,2,FALSE)*VLOOKUP(Sheet1!$A580,Sheet2!$B$5:$H$29,6,FALSE),0)</x:f>
        <x:v>62</x:v>
      </x:c>
      <x:c r="H580">
        <x:f>ROUND($C580*10*VLOOKUP($B580,Sheet2!$J$5:$K$7,2,FALSE)*VLOOKUP(Sheet1!$A580,Sheet2!$B$5:$H$29,7,FALSE),0)</x:f>
        <x:v>0</x:v>
      </x:c>
      <x:c r="I580">
        <x:f t="shared" si="9"/>
        <x:v>15100</x:v>
      </x:c>
    </x:row>
    <x:row r="581" spans="1:9" x14ac:dyDescent="0.15">
      <x:c r="A581">
        <x:v>54004</x:v>
      </x:c>
      <x:c r="B581">
        <x:v>1</x:v>
      </x:c>
      <x:c r="C581">
        <x:v>40</x:v>
      </x:c>
      <x:c r="D581">
        <x:f>ROUND($C581*10*VLOOKUP($B581,Sheet2!$J$5:$K$7,2,FALSE)*VLOOKUP(Sheet1!$A581,Sheet2!$B$5:$H$29,3,FALSE),0)</x:f>
        <x:v>240</x:v>
      </x:c>
      <x:c r="E581">
        <x:f>ROUND($C581*10*VLOOKUP($B581,Sheet2!$J$5:$K$7,2,FALSE)*VLOOKUP(Sheet1!$A581,Sheet2!$B$5:$H$29,4,FALSE),0)</x:f>
        <x:v>0</x:v>
      </x:c>
      <x:c r="F581">
        <x:f>ROUND($C581*10*VLOOKUP($B581,Sheet2!$J$5:$K$7,2,FALSE)*VLOOKUP(Sheet1!$A581,Sheet2!$B$5:$H$29,5,FALSE),0)</x:f>
        <x:v>0</x:v>
      </x:c>
      <x:c r="G581">
        <x:f>ROUND($C581*10*VLOOKUP($B581,Sheet2!$J$5:$K$7,2,FALSE)*VLOOKUP(Sheet1!$A581,Sheet2!$B$5:$H$29,6,FALSE),0)</x:f>
        <x:v>64</x:v>
      </x:c>
      <x:c r="H581">
        <x:f>ROUND($C581*10*VLOOKUP($B581,Sheet2!$J$5:$K$7,2,FALSE)*VLOOKUP(Sheet1!$A581,Sheet2!$B$5:$H$29,7,FALSE),0)</x:f>
        <x:v>0</x:v>
      </x:c>
      <x:c r="I581">
        <x:f t="shared" si="9"/>
        <x:v>15820</x:v>
      </x:c>
    </x:row>
    <x:row r="582" spans="1:9" x14ac:dyDescent="0.15">
      <x:c r="A582">
        <x:v>54004</x:v>
      </x:c>
      <x:c r="B582">
        <x:v>1</x:v>
      </x:c>
      <x:c r="C582">
        <x:v>41</x:v>
      </x:c>
      <x:c r="D582">
        <x:f>ROUND($C582*10*VLOOKUP($B582,Sheet2!$J$5:$K$7,2,FALSE)*VLOOKUP(Sheet1!$A582,Sheet2!$B$5:$H$29,3,FALSE),0)</x:f>
        <x:v>246</x:v>
      </x:c>
      <x:c r="E582">
        <x:f>ROUND($C582*10*VLOOKUP($B582,Sheet2!$J$5:$K$7,2,FALSE)*VLOOKUP(Sheet1!$A582,Sheet2!$B$5:$H$29,4,FALSE),0)</x:f>
        <x:v>0</x:v>
      </x:c>
      <x:c r="F582">
        <x:f>ROUND($C582*10*VLOOKUP($B582,Sheet2!$J$5:$K$7,2,FALSE)*VLOOKUP(Sheet1!$A582,Sheet2!$B$5:$H$29,5,FALSE),0)</x:f>
        <x:v>0</x:v>
      </x:c>
      <x:c r="G582">
        <x:f>ROUND($C582*10*VLOOKUP($B582,Sheet2!$J$5:$K$7,2,FALSE)*VLOOKUP(Sheet1!$A582,Sheet2!$B$5:$H$29,6,FALSE),0)</x:f>
        <x:v>66</x:v>
      </x:c>
      <x:c r="H582">
        <x:f>ROUND($C582*10*VLOOKUP($B582,Sheet2!$J$5:$K$7,2,FALSE)*VLOOKUP(Sheet1!$A582,Sheet2!$B$5:$H$29,7,FALSE),0)</x:f>
        <x:v>0</x:v>
      </x:c>
      <x:c r="I582">
        <x:f t="shared" si="9"/>
        <x:v>16560</x:v>
      </x:c>
    </x:row>
    <x:row r="583" spans="1:9" x14ac:dyDescent="0.15">
      <x:c r="A583">
        <x:v>54004</x:v>
      </x:c>
      <x:c r="B583">
        <x:v>1</x:v>
      </x:c>
      <x:c r="C583">
        <x:v>42</x:v>
      </x:c>
      <x:c r="D583">
        <x:f>ROUND($C583*10*VLOOKUP($B583,Sheet2!$J$5:$K$7,2,FALSE)*VLOOKUP(Sheet1!$A583,Sheet2!$B$5:$H$29,3,FALSE),0)</x:f>
        <x:v>252</x:v>
      </x:c>
      <x:c r="E583">
        <x:f>ROUND($C583*10*VLOOKUP($B583,Sheet2!$J$5:$K$7,2,FALSE)*VLOOKUP(Sheet1!$A583,Sheet2!$B$5:$H$29,4,FALSE),0)</x:f>
        <x:v>0</x:v>
      </x:c>
      <x:c r="F583">
        <x:f>ROUND($C583*10*VLOOKUP($B583,Sheet2!$J$5:$K$7,2,FALSE)*VLOOKUP(Sheet1!$A583,Sheet2!$B$5:$H$29,5,FALSE),0)</x:f>
        <x:v>0</x:v>
      </x:c>
      <x:c r="G583">
        <x:f>ROUND($C583*10*VLOOKUP($B583,Sheet2!$J$5:$K$7,2,FALSE)*VLOOKUP(Sheet1!$A583,Sheet2!$B$5:$H$29,6,FALSE),0)</x:f>
        <x:v>67</x:v>
      </x:c>
      <x:c r="H583">
        <x:f>ROUND($C583*10*VLOOKUP($B583,Sheet2!$J$5:$K$7,2,FALSE)*VLOOKUP(Sheet1!$A583,Sheet2!$B$5:$H$29,7,FALSE),0)</x:f>
        <x:v>0</x:v>
      </x:c>
      <x:c r="I583">
        <x:f t="shared" si="9"/>
        <x:v>17310</x:v>
      </x:c>
    </x:row>
    <x:row r="584" spans="1:9" x14ac:dyDescent="0.15">
      <x:c r="A584">
        <x:v>54004</x:v>
      </x:c>
      <x:c r="B584">
        <x:v>1</x:v>
      </x:c>
      <x:c r="C584">
        <x:v>43</x:v>
      </x:c>
      <x:c r="D584">
        <x:f>ROUND($C584*10*VLOOKUP($B584,Sheet2!$J$5:$K$7,2,FALSE)*VLOOKUP(Sheet1!$A584,Sheet2!$B$5:$H$29,3,FALSE),0)</x:f>
        <x:v>258</x:v>
      </x:c>
      <x:c r="E584">
        <x:f>ROUND($C584*10*VLOOKUP($B584,Sheet2!$J$5:$K$7,2,FALSE)*VLOOKUP(Sheet1!$A584,Sheet2!$B$5:$H$29,4,FALSE),0)</x:f>
        <x:v>0</x:v>
      </x:c>
      <x:c r="F584">
        <x:f>ROUND($C584*10*VLOOKUP($B584,Sheet2!$J$5:$K$7,2,FALSE)*VLOOKUP(Sheet1!$A584,Sheet2!$B$5:$H$29,5,FALSE),0)</x:f>
        <x:v>0</x:v>
      </x:c>
      <x:c r="G584">
        <x:f>ROUND($C584*10*VLOOKUP($B584,Sheet2!$J$5:$K$7,2,FALSE)*VLOOKUP(Sheet1!$A584,Sheet2!$B$5:$H$29,6,FALSE),0)</x:f>
        <x:v>69</x:v>
      </x:c>
      <x:c r="H584">
        <x:f>ROUND($C584*10*VLOOKUP($B584,Sheet2!$J$5:$K$7,2,FALSE)*VLOOKUP(Sheet1!$A584,Sheet2!$B$5:$H$29,7,FALSE),0)</x:f>
        <x:v>0</x:v>
      </x:c>
      <x:c r="I584">
        <x:f t="shared" si="9"/>
        <x:v>18070</x:v>
      </x:c>
    </x:row>
    <x:row r="585" spans="1:9" x14ac:dyDescent="0.15">
      <x:c r="A585">
        <x:v>54004</x:v>
      </x:c>
      <x:c r="B585">
        <x:v>1</x:v>
      </x:c>
      <x:c r="C585">
        <x:v>44</x:v>
      </x:c>
      <x:c r="D585">
        <x:f>ROUND($C585*10*VLOOKUP($B585,Sheet2!$J$5:$K$7,2,FALSE)*VLOOKUP(Sheet1!$A585,Sheet2!$B$5:$H$29,3,FALSE),0)</x:f>
        <x:v>264</x:v>
      </x:c>
      <x:c r="E585">
        <x:f>ROUND($C585*10*VLOOKUP($B585,Sheet2!$J$5:$K$7,2,FALSE)*VLOOKUP(Sheet1!$A585,Sheet2!$B$5:$H$29,4,FALSE),0)</x:f>
        <x:v>0</x:v>
      </x:c>
      <x:c r="F585">
        <x:f>ROUND($C585*10*VLOOKUP($B585,Sheet2!$J$5:$K$7,2,FALSE)*VLOOKUP(Sheet1!$A585,Sheet2!$B$5:$H$29,5,FALSE),0)</x:f>
        <x:v>0</x:v>
      </x:c>
      <x:c r="G585">
        <x:f>ROUND($C585*10*VLOOKUP($B585,Sheet2!$J$5:$K$7,2,FALSE)*VLOOKUP(Sheet1!$A585,Sheet2!$B$5:$H$29,6,FALSE),0)</x:f>
        <x:v>70</x:v>
      </x:c>
      <x:c r="H585">
        <x:f>ROUND($C585*10*VLOOKUP($B585,Sheet2!$J$5:$K$7,2,FALSE)*VLOOKUP(Sheet1!$A585,Sheet2!$B$5:$H$29,7,FALSE),0)</x:f>
        <x:v>0</x:v>
      </x:c>
      <x:c r="I585">
        <x:f t="shared" si="9"/>
        <x:v>18850</x:v>
      </x:c>
    </x:row>
    <x:row r="586" spans="1:9" x14ac:dyDescent="0.15">
      <x:c r="A586">
        <x:v>54004</x:v>
      </x:c>
      <x:c r="B586">
        <x:v>1</x:v>
      </x:c>
      <x:c r="C586">
        <x:v>45</x:v>
      </x:c>
      <x:c r="D586">
        <x:f>ROUND($C586*10*VLOOKUP($B586,Sheet2!$J$5:$K$7,2,FALSE)*VLOOKUP(Sheet1!$A586,Sheet2!$B$5:$H$29,3,FALSE),0)</x:f>
        <x:v>270</x:v>
      </x:c>
      <x:c r="E586">
        <x:f>ROUND($C586*10*VLOOKUP($B586,Sheet2!$J$5:$K$7,2,FALSE)*VLOOKUP(Sheet1!$A586,Sheet2!$B$5:$H$29,4,FALSE),0)</x:f>
        <x:v>0</x:v>
      </x:c>
      <x:c r="F586">
        <x:f>ROUND($C586*10*VLOOKUP($B586,Sheet2!$J$5:$K$7,2,FALSE)*VLOOKUP(Sheet1!$A586,Sheet2!$B$5:$H$29,5,FALSE),0)</x:f>
        <x:v>0</x:v>
      </x:c>
      <x:c r="G586">
        <x:f>ROUND($C586*10*VLOOKUP($B586,Sheet2!$J$5:$K$7,2,FALSE)*VLOOKUP(Sheet1!$A586,Sheet2!$B$5:$H$29,6,FALSE),0)</x:f>
        <x:v>72</x:v>
      </x:c>
      <x:c r="H586">
        <x:f>ROUND($C586*10*VLOOKUP($B586,Sheet2!$J$5:$K$7,2,FALSE)*VLOOKUP(Sheet1!$A586,Sheet2!$B$5:$H$29,7,FALSE),0)</x:f>
        <x:v>0</x:v>
      </x:c>
      <x:c r="I586">
        <x:f t="shared" si="9"/>
        <x:v>19650</x:v>
      </x:c>
    </x:row>
    <x:row r="587" spans="1:9" x14ac:dyDescent="0.15">
      <x:c r="A587">
        <x:v>54004</x:v>
      </x:c>
      <x:c r="B587">
        <x:v>1</x:v>
      </x:c>
      <x:c r="C587">
        <x:v>46</x:v>
      </x:c>
      <x:c r="D587">
        <x:f>ROUND($C587*10*VLOOKUP($B587,Sheet2!$J$5:$K$7,2,FALSE)*VLOOKUP(Sheet1!$A587,Sheet2!$B$5:$H$29,3,FALSE),0)</x:f>
        <x:v>276</x:v>
      </x:c>
      <x:c r="E587">
        <x:f>ROUND($C587*10*VLOOKUP($B587,Sheet2!$J$5:$K$7,2,FALSE)*VLOOKUP(Sheet1!$A587,Sheet2!$B$5:$H$29,4,FALSE),0)</x:f>
        <x:v>0</x:v>
      </x:c>
      <x:c r="F587">
        <x:f>ROUND($C587*10*VLOOKUP($B587,Sheet2!$J$5:$K$7,2,FALSE)*VLOOKUP(Sheet1!$A587,Sheet2!$B$5:$H$29,5,FALSE),0)</x:f>
        <x:v>0</x:v>
      </x:c>
      <x:c r="G587">
        <x:f>ROUND($C587*10*VLOOKUP($B587,Sheet2!$J$5:$K$7,2,FALSE)*VLOOKUP(Sheet1!$A587,Sheet2!$B$5:$H$29,6,FALSE),0)</x:f>
        <x:v>74</x:v>
      </x:c>
      <x:c r="H587">
        <x:f>ROUND($C587*10*VLOOKUP($B587,Sheet2!$J$5:$K$7,2,FALSE)*VLOOKUP(Sheet1!$A587,Sheet2!$B$5:$H$29,7,FALSE),0)</x:f>
        <x:v>0</x:v>
      </x:c>
      <x:c r="I587">
        <x:f t="shared" si="9"/>
        <x:v>20460</x:v>
      </x:c>
    </x:row>
    <x:row r="588" spans="1:9" x14ac:dyDescent="0.15">
      <x:c r="A588">
        <x:v>54004</x:v>
      </x:c>
      <x:c r="B588">
        <x:v>1</x:v>
      </x:c>
      <x:c r="C588">
        <x:v>47</x:v>
      </x:c>
      <x:c r="D588">
        <x:f>ROUND($C588*10*VLOOKUP($B588,Sheet2!$J$5:$K$7,2,FALSE)*VLOOKUP(Sheet1!$A588,Sheet2!$B$5:$H$29,3,FALSE),0)</x:f>
        <x:v>282</x:v>
      </x:c>
      <x:c r="E588">
        <x:f>ROUND($C588*10*VLOOKUP($B588,Sheet2!$J$5:$K$7,2,FALSE)*VLOOKUP(Sheet1!$A588,Sheet2!$B$5:$H$29,4,FALSE),0)</x:f>
        <x:v>0</x:v>
      </x:c>
      <x:c r="F588">
        <x:f>ROUND($C588*10*VLOOKUP($B588,Sheet2!$J$5:$K$7,2,FALSE)*VLOOKUP(Sheet1!$A588,Sheet2!$B$5:$H$29,5,FALSE),0)</x:f>
        <x:v>0</x:v>
      </x:c>
      <x:c r="G588">
        <x:f>ROUND($C588*10*VLOOKUP($B588,Sheet2!$J$5:$K$7,2,FALSE)*VLOOKUP(Sheet1!$A588,Sheet2!$B$5:$H$29,6,FALSE),0)</x:f>
        <x:v>75</x:v>
      </x:c>
      <x:c r="H588">
        <x:f>ROUND($C588*10*VLOOKUP($B588,Sheet2!$J$5:$K$7,2,FALSE)*VLOOKUP(Sheet1!$A588,Sheet2!$B$5:$H$29,7,FALSE),0)</x:f>
        <x:v>0</x:v>
      </x:c>
      <x:c r="I588">
        <x:f t="shared" si="9"/>
        <x:v>21280</x:v>
      </x:c>
    </x:row>
    <x:row r="589" spans="1:9" x14ac:dyDescent="0.15">
      <x:c r="A589">
        <x:v>54004</x:v>
      </x:c>
      <x:c r="B589">
        <x:v>1</x:v>
      </x:c>
      <x:c r="C589">
        <x:v>48</x:v>
      </x:c>
      <x:c r="D589">
        <x:f>ROUND($C589*10*VLOOKUP($B589,Sheet2!$J$5:$K$7,2,FALSE)*VLOOKUP(Sheet1!$A589,Sheet2!$B$5:$H$29,3,FALSE),0)</x:f>
        <x:v>288</x:v>
      </x:c>
      <x:c r="E589">
        <x:f>ROUND($C589*10*VLOOKUP($B589,Sheet2!$J$5:$K$7,2,FALSE)*VLOOKUP(Sheet1!$A589,Sheet2!$B$5:$H$29,4,FALSE),0)</x:f>
        <x:v>0</x:v>
      </x:c>
      <x:c r="F589">
        <x:f>ROUND($C589*10*VLOOKUP($B589,Sheet2!$J$5:$K$7,2,FALSE)*VLOOKUP(Sheet1!$A589,Sheet2!$B$5:$H$29,5,FALSE),0)</x:f>
        <x:v>0</x:v>
      </x:c>
      <x:c r="G589">
        <x:f>ROUND($C589*10*VLOOKUP($B589,Sheet2!$J$5:$K$7,2,FALSE)*VLOOKUP(Sheet1!$A589,Sheet2!$B$5:$H$29,6,FALSE),0)</x:f>
        <x:v>77</x:v>
      </x:c>
      <x:c r="H589">
        <x:f>ROUND($C589*10*VLOOKUP($B589,Sheet2!$J$5:$K$7,2,FALSE)*VLOOKUP(Sheet1!$A589,Sheet2!$B$5:$H$29,7,FALSE),0)</x:f>
        <x:v>0</x:v>
      </x:c>
      <x:c r="I589">
        <x:f t="shared" si="9"/>
        <x:v>22120</x:v>
      </x:c>
    </x:row>
    <x:row r="590" spans="1:9" x14ac:dyDescent="0.15">
      <x:c r="A590">
        <x:v>54004</x:v>
      </x:c>
      <x:c r="B590">
        <x:v>1</x:v>
      </x:c>
      <x:c r="C590">
        <x:v>49</x:v>
      </x:c>
      <x:c r="D590">
        <x:f>ROUND($C590*10*VLOOKUP($B590,Sheet2!$J$5:$K$7,2,FALSE)*VLOOKUP(Sheet1!$A590,Sheet2!$B$5:$H$29,3,FALSE),0)</x:f>
        <x:v>294</x:v>
      </x:c>
      <x:c r="E590">
        <x:f>ROUND($C590*10*VLOOKUP($B590,Sheet2!$J$5:$K$7,2,FALSE)*VLOOKUP(Sheet1!$A590,Sheet2!$B$5:$H$29,4,FALSE),0)</x:f>
        <x:v>0</x:v>
      </x:c>
      <x:c r="F590">
        <x:f>ROUND($C590*10*VLOOKUP($B590,Sheet2!$J$5:$K$7,2,FALSE)*VLOOKUP(Sheet1!$A590,Sheet2!$B$5:$H$29,5,FALSE),0)</x:f>
        <x:v>0</x:v>
      </x:c>
      <x:c r="G590">
        <x:f>ROUND($C590*10*VLOOKUP($B590,Sheet2!$J$5:$K$7,2,FALSE)*VLOOKUP(Sheet1!$A590,Sheet2!$B$5:$H$29,6,FALSE),0)</x:f>
        <x:v>78</x:v>
      </x:c>
      <x:c r="H590">
        <x:f>ROUND($C590*10*VLOOKUP($B590,Sheet2!$J$5:$K$7,2,FALSE)*VLOOKUP(Sheet1!$A590,Sheet2!$B$5:$H$29,7,FALSE),0)</x:f>
        <x:v>0</x:v>
      </x:c>
      <x:c r="I590">
        <x:f t="shared" si="9"/>
        <x:v>22970</x:v>
      </x:c>
    </x:row>
    <x:row r="591" spans="1:9" x14ac:dyDescent="0.15">
      <x:c r="A591">
        <x:v>54004</x:v>
      </x:c>
      <x:c r="B591">
        <x:v>1</x:v>
      </x:c>
      <x:c r="C591">
        <x:v>50</x:v>
      </x:c>
      <x:c r="D591">
        <x:f>ROUND($C591*10*VLOOKUP($B591,Sheet2!$J$5:$K$7,2,FALSE)*VLOOKUP(Sheet1!$A591,Sheet2!$B$5:$H$29,3,FALSE),0)</x:f>
        <x:v>300</x:v>
      </x:c>
      <x:c r="E591">
        <x:f>ROUND($C591*10*VLOOKUP($B591,Sheet2!$J$5:$K$7,2,FALSE)*VLOOKUP(Sheet1!$A591,Sheet2!$B$5:$H$29,4,FALSE),0)</x:f>
        <x:v>0</x:v>
      </x:c>
      <x:c r="F591">
        <x:f>ROUND($C591*10*VLOOKUP($B591,Sheet2!$J$5:$K$7,2,FALSE)*VLOOKUP(Sheet1!$A591,Sheet2!$B$5:$H$29,5,FALSE),0)</x:f>
        <x:v>0</x:v>
      </x:c>
      <x:c r="G591">
        <x:f>ROUND($C591*10*VLOOKUP($B591,Sheet2!$J$5:$K$7,2,FALSE)*VLOOKUP(Sheet1!$A591,Sheet2!$B$5:$H$29,6,FALSE),0)</x:f>
        <x:v>80</x:v>
      </x:c>
      <x:c r="H591">
        <x:f>ROUND($C591*10*VLOOKUP($B591,Sheet2!$J$5:$K$7,2,FALSE)*VLOOKUP(Sheet1!$A591,Sheet2!$B$5:$H$29,7,FALSE),0)</x:f>
        <x:v>0</x:v>
      </x:c>
      <x:c r="I591">
        <x:f t="shared" si="9"/>
        <x:v>23840</x:v>
      </x:c>
    </x:row>
    <x:row r="592" spans="1:9" x14ac:dyDescent="0.15">
      <x:c r="A592">
        <x:v>54004</x:v>
      </x:c>
      <x:c r="B592">
        <x:v>1</x:v>
      </x:c>
      <x:c r="C592">
        <x:v>51</x:v>
      </x:c>
      <x:c r="D592">
        <x:f>ROUND($C592*10*VLOOKUP($B592,Sheet2!$J$5:$K$7,2,FALSE)*VLOOKUP(Sheet1!$A592,Sheet2!$B$5:$H$29,3,FALSE),0)</x:f>
        <x:v>306</x:v>
      </x:c>
      <x:c r="E592">
        <x:f>ROUND($C592*10*VLOOKUP($B592,Sheet2!$J$5:$K$7,2,FALSE)*VLOOKUP(Sheet1!$A592,Sheet2!$B$5:$H$29,4,FALSE),0)</x:f>
        <x:v>0</x:v>
      </x:c>
      <x:c r="F592">
        <x:f>ROUND($C592*10*VLOOKUP($B592,Sheet2!$J$5:$K$7,2,FALSE)*VLOOKUP(Sheet1!$A592,Sheet2!$B$5:$H$29,5,FALSE),0)</x:f>
        <x:v>0</x:v>
      </x:c>
      <x:c r="G592">
        <x:f>ROUND($C592*10*VLOOKUP($B592,Sheet2!$J$5:$K$7,2,FALSE)*VLOOKUP(Sheet1!$A592,Sheet2!$B$5:$H$29,6,FALSE),0)</x:f>
        <x:v>82</x:v>
      </x:c>
      <x:c r="H592">
        <x:f>ROUND($C592*10*VLOOKUP($B592,Sheet2!$J$5:$K$7,2,FALSE)*VLOOKUP(Sheet1!$A592,Sheet2!$B$5:$H$29,7,FALSE),0)</x:f>
        <x:v>0</x:v>
      </x:c>
      <x:c r="I592">
        <x:f t="shared" si="9"/>
        <x:v>24720</x:v>
      </x:c>
    </x:row>
    <x:row r="593" spans="1:9" x14ac:dyDescent="0.15">
      <x:c r="A593">
        <x:v>54004</x:v>
      </x:c>
      <x:c r="B593">
        <x:v>1</x:v>
      </x:c>
      <x:c r="C593">
        <x:v>52</x:v>
      </x:c>
      <x:c r="D593">
        <x:f>ROUND($C593*10*VLOOKUP($B593,Sheet2!$J$5:$K$7,2,FALSE)*VLOOKUP(Sheet1!$A593,Sheet2!$B$5:$H$29,3,FALSE),0)</x:f>
        <x:v>312</x:v>
      </x:c>
      <x:c r="E593">
        <x:f>ROUND($C593*10*VLOOKUP($B593,Sheet2!$J$5:$K$7,2,FALSE)*VLOOKUP(Sheet1!$A593,Sheet2!$B$5:$H$29,4,FALSE),0)</x:f>
        <x:v>0</x:v>
      </x:c>
      <x:c r="F593">
        <x:f>ROUND($C593*10*VLOOKUP($B593,Sheet2!$J$5:$K$7,2,FALSE)*VLOOKUP(Sheet1!$A593,Sheet2!$B$5:$H$29,5,FALSE),0)</x:f>
        <x:v>0</x:v>
      </x:c>
      <x:c r="G593">
        <x:f>ROUND($C593*10*VLOOKUP($B593,Sheet2!$J$5:$K$7,2,FALSE)*VLOOKUP(Sheet1!$A593,Sheet2!$B$5:$H$29,6,FALSE),0)</x:f>
        <x:v>83</x:v>
      </x:c>
      <x:c r="H593">
        <x:f>ROUND($C593*10*VLOOKUP($B593,Sheet2!$J$5:$K$7,2,FALSE)*VLOOKUP(Sheet1!$A593,Sheet2!$B$5:$H$29,7,FALSE),0)</x:f>
        <x:v>0</x:v>
      </x:c>
      <x:c r="I593">
        <x:f t="shared" si="9"/>
        <x:v>25620</x:v>
      </x:c>
    </x:row>
    <x:row r="594" spans="1:9" x14ac:dyDescent="0.15">
      <x:c r="A594">
        <x:v>54004</x:v>
      </x:c>
      <x:c r="B594">
        <x:v>1</x:v>
      </x:c>
      <x:c r="C594">
        <x:v>53</x:v>
      </x:c>
      <x:c r="D594">
        <x:f>ROUND($C594*10*VLOOKUP($B594,Sheet2!$J$5:$K$7,2,FALSE)*VLOOKUP(Sheet1!$A594,Sheet2!$B$5:$H$29,3,FALSE),0)</x:f>
        <x:v>318</x:v>
      </x:c>
      <x:c r="E594">
        <x:f>ROUND($C594*10*VLOOKUP($B594,Sheet2!$J$5:$K$7,2,FALSE)*VLOOKUP(Sheet1!$A594,Sheet2!$B$5:$H$29,4,FALSE),0)</x:f>
        <x:v>0</x:v>
      </x:c>
      <x:c r="F594">
        <x:f>ROUND($C594*10*VLOOKUP($B594,Sheet2!$J$5:$K$7,2,FALSE)*VLOOKUP(Sheet1!$A594,Sheet2!$B$5:$H$29,5,FALSE),0)</x:f>
        <x:v>0</x:v>
      </x:c>
      <x:c r="G594">
        <x:f>ROUND($C594*10*VLOOKUP($B594,Sheet2!$J$5:$K$7,2,FALSE)*VLOOKUP(Sheet1!$A594,Sheet2!$B$5:$H$29,6,FALSE),0)</x:f>
        <x:v>85</x:v>
      </x:c>
      <x:c r="H594">
        <x:f>ROUND($C594*10*VLOOKUP($B594,Sheet2!$J$5:$K$7,2,FALSE)*VLOOKUP(Sheet1!$A594,Sheet2!$B$5:$H$29,7,FALSE),0)</x:f>
        <x:v>0</x:v>
      </x:c>
      <x:c r="I594">
        <x:f t="shared" si="9"/>
        <x:v>26530</x:v>
      </x:c>
    </x:row>
    <x:row r="595" spans="1:9" x14ac:dyDescent="0.15">
      <x:c r="A595">
        <x:v>54004</x:v>
      </x:c>
      <x:c r="B595">
        <x:v>1</x:v>
      </x:c>
      <x:c r="C595">
        <x:v>54</x:v>
      </x:c>
      <x:c r="D595">
        <x:f>ROUND($C595*10*VLOOKUP($B595,Sheet2!$J$5:$K$7,2,FALSE)*VLOOKUP(Sheet1!$A595,Sheet2!$B$5:$H$29,3,FALSE),0)</x:f>
        <x:v>324</x:v>
      </x:c>
      <x:c r="E595">
        <x:f>ROUND($C595*10*VLOOKUP($B595,Sheet2!$J$5:$K$7,2,FALSE)*VLOOKUP(Sheet1!$A595,Sheet2!$B$5:$H$29,4,FALSE),0)</x:f>
        <x:v>0</x:v>
      </x:c>
      <x:c r="F595">
        <x:f>ROUND($C595*10*VLOOKUP($B595,Sheet2!$J$5:$K$7,2,FALSE)*VLOOKUP(Sheet1!$A595,Sheet2!$B$5:$H$29,5,FALSE),0)</x:f>
        <x:v>0</x:v>
      </x:c>
      <x:c r="G595">
        <x:f>ROUND($C595*10*VLOOKUP($B595,Sheet2!$J$5:$K$7,2,FALSE)*VLOOKUP(Sheet1!$A595,Sheet2!$B$5:$H$29,6,FALSE),0)</x:f>
        <x:v>86</x:v>
      </x:c>
      <x:c r="H595">
        <x:f>ROUND($C595*10*VLOOKUP($B595,Sheet2!$J$5:$K$7,2,FALSE)*VLOOKUP(Sheet1!$A595,Sheet2!$B$5:$H$29,7,FALSE),0)</x:f>
        <x:v>0</x:v>
      </x:c>
      <x:c r="I595">
        <x:f t="shared" si="9"/>
        <x:v>27460</x:v>
      </x:c>
    </x:row>
    <x:row r="596" spans="1:9" x14ac:dyDescent="0.15">
      <x:c r="A596">
        <x:v>54004</x:v>
      </x:c>
      <x:c r="B596">
        <x:v>1</x:v>
      </x:c>
      <x:c r="C596">
        <x:v>55</x:v>
      </x:c>
      <x:c r="D596">
        <x:f>ROUND($C596*10*VLOOKUP($B596,Sheet2!$J$5:$K$7,2,FALSE)*VLOOKUP(Sheet1!$A596,Sheet2!$B$5:$H$29,3,FALSE),0)</x:f>
        <x:v>330</x:v>
      </x:c>
      <x:c r="E596">
        <x:f>ROUND($C596*10*VLOOKUP($B596,Sheet2!$J$5:$K$7,2,FALSE)*VLOOKUP(Sheet1!$A596,Sheet2!$B$5:$H$29,4,FALSE),0)</x:f>
        <x:v>0</x:v>
      </x:c>
      <x:c r="F596">
        <x:f>ROUND($C596*10*VLOOKUP($B596,Sheet2!$J$5:$K$7,2,FALSE)*VLOOKUP(Sheet1!$A596,Sheet2!$B$5:$H$29,5,FALSE),0)</x:f>
        <x:v>0</x:v>
      </x:c>
      <x:c r="G596">
        <x:f>ROUND($C596*10*VLOOKUP($B596,Sheet2!$J$5:$K$7,2,FALSE)*VLOOKUP(Sheet1!$A596,Sheet2!$B$5:$H$29,6,FALSE),0)</x:f>
        <x:v>88</x:v>
      </x:c>
      <x:c r="H596">
        <x:f>ROUND($C596*10*VLOOKUP($B596,Sheet2!$J$5:$K$7,2,FALSE)*VLOOKUP(Sheet1!$A596,Sheet2!$B$5:$H$29,7,FALSE),0)</x:f>
        <x:v>0</x:v>
      </x:c>
      <x:c r="I596">
        <x:f t="shared" si="9"/>
        <x:v>28390</x:v>
      </x:c>
    </x:row>
    <x:row r="597" spans="1:9" x14ac:dyDescent="0.15">
      <x:c r="A597">
        <x:v>54004</x:v>
      </x:c>
      <x:c r="B597">
        <x:v>1</x:v>
      </x:c>
      <x:c r="C597">
        <x:v>56</x:v>
      </x:c>
      <x:c r="D597">
        <x:f>ROUND($C597*10*VLOOKUP($B597,Sheet2!$J$5:$K$7,2,FALSE)*VLOOKUP(Sheet1!$A597,Sheet2!$B$5:$H$29,3,FALSE),0)</x:f>
        <x:v>336</x:v>
      </x:c>
      <x:c r="E597">
        <x:f>ROUND($C597*10*VLOOKUP($B597,Sheet2!$J$5:$K$7,2,FALSE)*VLOOKUP(Sheet1!$A597,Sheet2!$B$5:$H$29,4,FALSE),0)</x:f>
        <x:v>0</x:v>
      </x:c>
      <x:c r="F597">
        <x:f>ROUND($C597*10*VLOOKUP($B597,Sheet2!$J$5:$K$7,2,FALSE)*VLOOKUP(Sheet1!$A597,Sheet2!$B$5:$H$29,5,FALSE),0)</x:f>
        <x:v>0</x:v>
      </x:c>
      <x:c r="G597">
        <x:f>ROUND($C597*10*VLOOKUP($B597,Sheet2!$J$5:$K$7,2,FALSE)*VLOOKUP(Sheet1!$A597,Sheet2!$B$5:$H$29,6,FALSE),0)</x:f>
        <x:v>90</x:v>
      </x:c>
      <x:c r="H597">
        <x:f>ROUND($C597*10*VLOOKUP($B597,Sheet2!$J$5:$K$7,2,FALSE)*VLOOKUP(Sheet1!$A597,Sheet2!$B$5:$H$29,7,FALSE),0)</x:f>
        <x:v>0</x:v>
      </x:c>
      <x:c r="I597">
        <x:f t="shared" si="9"/>
        <x:v>29350</x:v>
      </x:c>
    </x:row>
    <x:row r="598" spans="1:9" x14ac:dyDescent="0.15">
      <x:c r="A598">
        <x:v>54004</x:v>
      </x:c>
      <x:c r="B598">
        <x:v>1</x:v>
      </x:c>
      <x:c r="C598">
        <x:v>57</x:v>
      </x:c>
      <x:c r="D598">
        <x:f>ROUND($C598*10*VLOOKUP($B598,Sheet2!$J$5:$K$7,2,FALSE)*VLOOKUP(Sheet1!$A598,Sheet2!$B$5:$H$29,3,FALSE),0)</x:f>
        <x:v>342</x:v>
      </x:c>
      <x:c r="E598">
        <x:f>ROUND($C598*10*VLOOKUP($B598,Sheet2!$J$5:$K$7,2,FALSE)*VLOOKUP(Sheet1!$A598,Sheet2!$B$5:$H$29,4,FALSE),0)</x:f>
        <x:v>0</x:v>
      </x:c>
      <x:c r="F598">
        <x:f>ROUND($C598*10*VLOOKUP($B598,Sheet2!$J$5:$K$7,2,FALSE)*VLOOKUP(Sheet1!$A598,Sheet2!$B$5:$H$29,5,FALSE),0)</x:f>
        <x:v>0</x:v>
      </x:c>
      <x:c r="G598">
        <x:f>ROUND($C598*10*VLOOKUP($B598,Sheet2!$J$5:$K$7,2,FALSE)*VLOOKUP(Sheet1!$A598,Sheet2!$B$5:$H$29,6,FALSE),0)</x:f>
        <x:v>91</x:v>
      </x:c>
      <x:c r="H598">
        <x:f>ROUND($C598*10*VLOOKUP($B598,Sheet2!$J$5:$K$7,2,FALSE)*VLOOKUP(Sheet1!$A598,Sheet2!$B$5:$H$29,7,FALSE),0)</x:f>
        <x:v>0</x:v>
      </x:c>
      <x:c r="I598">
        <x:f t="shared" si="9"/>
        <x:v>30310</x:v>
      </x:c>
    </x:row>
    <x:row r="599" spans="1:9" x14ac:dyDescent="0.15">
      <x:c r="A599">
        <x:v>54004</x:v>
      </x:c>
      <x:c r="B599">
        <x:v>1</x:v>
      </x:c>
      <x:c r="C599">
        <x:v>58</x:v>
      </x:c>
      <x:c r="D599">
        <x:f>ROUND($C599*10*VLOOKUP($B599,Sheet2!$J$5:$K$7,2,FALSE)*VLOOKUP(Sheet1!$A599,Sheet2!$B$5:$H$29,3,FALSE),0)</x:f>
        <x:v>348</x:v>
      </x:c>
      <x:c r="E599">
        <x:f>ROUND($C599*10*VLOOKUP($B599,Sheet2!$J$5:$K$7,2,FALSE)*VLOOKUP(Sheet1!$A599,Sheet2!$B$5:$H$29,4,FALSE),0)</x:f>
        <x:v>0</x:v>
      </x:c>
      <x:c r="F599">
        <x:f>ROUND($C599*10*VLOOKUP($B599,Sheet2!$J$5:$K$7,2,FALSE)*VLOOKUP(Sheet1!$A599,Sheet2!$B$5:$H$29,5,FALSE),0)</x:f>
        <x:v>0</x:v>
      </x:c>
      <x:c r="G599">
        <x:f>ROUND($C599*10*VLOOKUP($B599,Sheet2!$J$5:$K$7,2,FALSE)*VLOOKUP(Sheet1!$A599,Sheet2!$B$5:$H$29,6,FALSE),0)</x:f>
        <x:v>93</x:v>
      </x:c>
      <x:c r="H599">
        <x:f>ROUND($C599*10*VLOOKUP($B599,Sheet2!$J$5:$K$7,2,FALSE)*VLOOKUP(Sheet1!$A599,Sheet2!$B$5:$H$29,7,FALSE),0)</x:f>
        <x:v>0</x:v>
      </x:c>
      <x:c r="I599">
        <x:f t="shared" si="9"/>
        <x:v>31290</x:v>
      </x:c>
    </x:row>
    <x:row r="600" spans="1:9" x14ac:dyDescent="0.15">
      <x:c r="A600">
        <x:v>54004</x:v>
      </x:c>
      <x:c r="B600">
        <x:v>1</x:v>
      </x:c>
      <x:c r="C600">
        <x:v>59</x:v>
      </x:c>
      <x:c r="D600">
        <x:f>ROUND($C600*10*VLOOKUP($B600,Sheet2!$J$5:$K$7,2,FALSE)*VLOOKUP(Sheet1!$A600,Sheet2!$B$5:$H$29,3,FALSE),0)</x:f>
        <x:v>354</x:v>
      </x:c>
      <x:c r="E600">
        <x:f>ROUND($C600*10*VLOOKUP($B600,Sheet2!$J$5:$K$7,2,FALSE)*VLOOKUP(Sheet1!$A600,Sheet2!$B$5:$H$29,4,FALSE),0)</x:f>
        <x:v>0</x:v>
      </x:c>
      <x:c r="F600">
        <x:f>ROUND($C600*10*VLOOKUP($B600,Sheet2!$J$5:$K$7,2,FALSE)*VLOOKUP(Sheet1!$A600,Sheet2!$B$5:$H$29,5,FALSE),0)</x:f>
        <x:v>0</x:v>
      </x:c>
      <x:c r="G600">
        <x:f>ROUND($C600*10*VLOOKUP($B600,Sheet2!$J$5:$K$7,2,FALSE)*VLOOKUP(Sheet1!$A600,Sheet2!$B$5:$H$29,6,FALSE),0)</x:f>
        <x:v>94</x:v>
      </x:c>
      <x:c r="H600">
        <x:f>ROUND($C600*10*VLOOKUP($B600,Sheet2!$J$5:$K$7,2,FALSE)*VLOOKUP(Sheet1!$A600,Sheet2!$B$5:$H$29,7,FALSE),0)</x:f>
        <x:v>0</x:v>
      </x:c>
      <x:c r="I600">
        <x:f t="shared" si="9"/>
        <x:v>32290</x:v>
      </x:c>
    </x:row>
    <x:row r="601" spans="1:9" x14ac:dyDescent="0.15">
      <x:c r="A601">
        <x:v>54004</x:v>
      </x:c>
      <x:c r="B601">
        <x:v>1</x:v>
      </x:c>
      <x:c r="C601">
        <x:v>60</x:v>
      </x:c>
      <x:c r="D601">
        <x:f>ROUND($C601*10*VLOOKUP($B601,Sheet2!$J$5:$K$7,2,FALSE)*VLOOKUP(Sheet1!$A601,Sheet2!$B$5:$H$29,3,FALSE),0)</x:f>
        <x:v>360</x:v>
      </x:c>
      <x:c r="E601">
        <x:f>ROUND($C601*10*VLOOKUP($B601,Sheet2!$J$5:$K$7,2,FALSE)*VLOOKUP(Sheet1!$A601,Sheet2!$B$5:$H$29,4,FALSE),0)</x:f>
        <x:v>0</x:v>
      </x:c>
      <x:c r="F601">
        <x:f>ROUND($C601*10*VLOOKUP($B601,Sheet2!$J$5:$K$7,2,FALSE)*VLOOKUP(Sheet1!$A601,Sheet2!$B$5:$H$29,5,FALSE),0)</x:f>
        <x:v>0</x:v>
      </x:c>
      <x:c r="G601">
        <x:f>ROUND($C601*10*VLOOKUP($B601,Sheet2!$J$5:$K$7,2,FALSE)*VLOOKUP(Sheet1!$A601,Sheet2!$B$5:$H$29,6,FALSE),0)</x:f>
        <x:v>96</x:v>
      </x:c>
      <x:c r="H601">
        <x:f>ROUND($C601*10*VLOOKUP($B601,Sheet2!$J$5:$K$7,2,FALSE)*VLOOKUP(Sheet1!$A601,Sheet2!$B$5:$H$29,7,FALSE),0)</x:f>
        <x:v>0</x:v>
      </x:c>
      <x:c r="I601">
        <x:f t="shared" si="9"/>
        <x:v>33290</x:v>
      </x:c>
    </x:row>
    <x:row r="602" spans="1:9" x14ac:dyDescent="0.15">
      <x:c r="A602">
        <x:v>54004</x:v>
      </x:c>
      <x:c r="B602">
        <x:v>2</x:v>
      </x:c>
      <x:c r="C602">
        <x:v>1</x:v>
      </x:c>
      <x:c r="D602">
        <x:f>ROUND($C602*10*VLOOKUP($B602,Sheet2!$J$5:$K$7,2,FALSE)*VLOOKUP(Sheet1!$A602,Sheet2!$B$5:$H$29,3,FALSE),0)</x:f>
        <x:v>7</x:v>
      </x:c>
      <x:c r="E602">
        <x:f>ROUND($C602*10*VLOOKUP($B602,Sheet2!$J$5:$K$7,2,FALSE)*VLOOKUP(Sheet1!$A602,Sheet2!$B$5:$H$29,4,FALSE),0)</x:f>
        <x:v>0</x:v>
      </x:c>
      <x:c r="F602">
        <x:f>ROUND($C602*10*VLOOKUP($B602,Sheet2!$J$5:$K$7,2,FALSE)*VLOOKUP(Sheet1!$A602,Sheet2!$B$5:$H$29,5,FALSE),0)</x:f>
        <x:v>0</x:v>
      </x:c>
      <x:c r="G602">
        <x:f>ROUND($C602*10*VLOOKUP($B602,Sheet2!$J$5:$K$7,2,FALSE)*VLOOKUP(Sheet1!$A602,Sheet2!$B$5:$H$29,6,FALSE),0)</x:f>
        <x:v>2</x:v>
      </x:c>
      <x:c r="H602">
        <x:f>ROUND($C602*10*VLOOKUP($B602,Sheet2!$J$5:$K$7,2,FALSE)*VLOOKUP(Sheet1!$A602,Sheet2!$B$5:$H$29,7,FALSE),0)</x:f>
        <x:v>0</x:v>
      </x:c>
      <x:c r="I602">
        <x:f t="shared" ref="I602:I661" si="10">ROUND(1.2*10*3.5*(C602-1)^1.8+60,-1)</x:f>
        <x:v>60</x:v>
      </x:c>
    </x:row>
    <x:row r="603" spans="1:9" x14ac:dyDescent="0.15">
      <x:c r="A603">
        <x:v>54004</x:v>
      </x:c>
      <x:c r="B603">
        <x:v>2</x:v>
      </x:c>
      <x:c r="C603">
        <x:v>2</x:v>
      </x:c>
      <x:c r="D603">
        <x:f>ROUND($C603*10*VLOOKUP($B603,Sheet2!$J$5:$K$7,2,FALSE)*VLOOKUP(Sheet1!$A603,Sheet2!$B$5:$H$29,3,FALSE),0)</x:f>
        <x:v>14</x:v>
      </x:c>
      <x:c r="E603">
        <x:f>ROUND($C603*10*VLOOKUP($B603,Sheet2!$J$5:$K$7,2,FALSE)*VLOOKUP(Sheet1!$A603,Sheet2!$B$5:$H$29,4,FALSE),0)</x:f>
        <x:v>0</x:v>
      </x:c>
      <x:c r="F603">
        <x:f>ROUND($C603*10*VLOOKUP($B603,Sheet2!$J$5:$K$7,2,FALSE)*VLOOKUP(Sheet1!$A603,Sheet2!$B$5:$H$29,5,FALSE),0)</x:f>
        <x:v>0</x:v>
      </x:c>
      <x:c r="G603">
        <x:f>ROUND($C603*10*VLOOKUP($B603,Sheet2!$J$5:$K$7,2,FALSE)*VLOOKUP(Sheet1!$A603,Sheet2!$B$5:$H$29,6,FALSE),0)</x:f>
        <x:v>4</x:v>
      </x:c>
      <x:c r="H603">
        <x:f>ROUND($C603*10*VLOOKUP($B603,Sheet2!$J$5:$K$7,2,FALSE)*VLOOKUP(Sheet1!$A603,Sheet2!$B$5:$H$29,7,FALSE),0)</x:f>
        <x:v>0</x:v>
      </x:c>
      <x:c r="I603">
        <x:f t="shared" si="10"/>
        <x:v>100</x:v>
      </x:c>
    </x:row>
    <x:row r="604" spans="1:9" x14ac:dyDescent="0.15">
      <x:c r="A604">
        <x:v>54004</x:v>
      </x:c>
      <x:c r="B604">
        <x:v>2</x:v>
      </x:c>
      <x:c r="C604">
        <x:v>3</x:v>
      </x:c>
      <x:c r="D604">
        <x:f>ROUND($C604*10*VLOOKUP($B604,Sheet2!$J$5:$K$7,2,FALSE)*VLOOKUP(Sheet1!$A604,Sheet2!$B$5:$H$29,3,FALSE),0)</x:f>
        <x:v>22</x:v>
      </x:c>
      <x:c r="E604">
        <x:f>ROUND($C604*10*VLOOKUP($B604,Sheet2!$J$5:$K$7,2,FALSE)*VLOOKUP(Sheet1!$A604,Sheet2!$B$5:$H$29,4,FALSE),0)</x:f>
        <x:v>0</x:v>
      </x:c>
      <x:c r="F604">
        <x:f>ROUND($C604*10*VLOOKUP($B604,Sheet2!$J$5:$K$7,2,FALSE)*VLOOKUP(Sheet1!$A604,Sheet2!$B$5:$H$29,5,FALSE),0)</x:f>
        <x:v>0</x:v>
      </x:c>
      <x:c r="G604">
        <x:f>ROUND($C604*10*VLOOKUP($B604,Sheet2!$J$5:$K$7,2,FALSE)*VLOOKUP(Sheet1!$A604,Sheet2!$B$5:$H$29,6,FALSE),0)</x:f>
        <x:v>6</x:v>
      </x:c>
      <x:c r="H604">
        <x:f>ROUND($C604*10*VLOOKUP($B604,Sheet2!$J$5:$K$7,2,FALSE)*VLOOKUP(Sheet1!$A604,Sheet2!$B$5:$H$29,7,FALSE),0)</x:f>
        <x:v>0</x:v>
      </x:c>
      <x:c r="I604">
        <x:f t="shared" si="10"/>
        <x:v>210</x:v>
      </x:c>
    </x:row>
    <x:row r="605" spans="1:9" x14ac:dyDescent="0.15">
      <x:c r="A605">
        <x:v>54004</x:v>
      </x:c>
      <x:c r="B605">
        <x:v>2</x:v>
      </x:c>
      <x:c r="C605">
        <x:v>4</x:v>
      </x:c>
      <x:c r="D605">
        <x:f>ROUND($C605*10*VLOOKUP($B605,Sheet2!$J$5:$K$7,2,FALSE)*VLOOKUP(Sheet1!$A605,Sheet2!$B$5:$H$29,3,FALSE),0)</x:f>
        <x:v>29</x:v>
      </x:c>
      <x:c r="E605">
        <x:f>ROUND($C605*10*VLOOKUP($B605,Sheet2!$J$5:$K$7,2,FALSE)*VLOOKUP(Sheet1!$A605,Sheet2!$B$5:$H$29,4,FALSE),0)</x:f>
        <x:v>0</x:v>
      </x:c>
      <x:c r="F605">
        <x:f>ROUND($C605*10*VLOOKUP($B605,Sheet2!$J$5:$K$7,2,FALSE)*VLOOKUP(Sheet1!$A605,Sheet2!$B$5:$H$29,5,FALSE),0)</x:f>
        <x:v>0</x:v>
      </x:c>
      <x:c r="G605">
        <x:f>ROUND($C605*10*VLOOKUP($B605,Sheet2!$J$5:$K$7,2,FALSE)*VLOOKUP(Sheet1!$A605,Sheet2!$B$5:$H$29,6,FALSE),0)</x:f>
        <x:v>8</x:v>
      </x:c>
      <x:c r="H605">
        <x:f>ROUND($C605*10*VLOOKUP($B605,Sheet2!$J$5:$K$7,2,FALSE)*VLOOKUP(Sheet1!$A605,Sheet2!$B$5:$H$29,7,FALSE),0)</x:f>
        <x:v>0</x:v>
      </x:c>
      <x:c r="I605">
        <x:f t="shared" si="10"/>
        <x:v>360</x:v>
      </x:c>
    </x:row>
    <x:row r="606" spans="1:9" x14ac:dyDescent="0.15">
      <x:c r="A606">
        <x:v>54004</x:v>
      </x:c>
      <x:c r="B606">
        <x:v>2</x:v>
      </x:c>
      <x:c r="C606">
        <x:v>5</x:v>
      </x:c>
      <x:c r="D606">
        <x:f>ROUND($C606*10*VLOOKUP($B606,Sheet2!$J$5:$K$7,2,FALSE)*VLOOKUP(Sheet1!$A606,Sheet2!$B$5:$H$29,3,FALSE),0)</x:f>
        <x:v>36</x:v>
      </x:c>
      <x:c r="E606">
        <x:f>ROUND($C606*10*VLOOKUP($B606,Sheet2!$J$5:$K$7,2,FALSE)*VLOOKUP(Sheet1!$A606,Sheet2!$B$5:$H$29,4,FALSE),0)</x:f>
        <x:v>0</x:v>
      </x:c>
      <x:c r="F606">
        <x:f>ROUND($C606*10*VLOOKUP($B606,Sheet2!$J$5:$K$7,2,FALSE)*VLOOKUP(Sheet1!$A606,Sheet2!$B$5:$H$29,5,FALSE),0)</x:f>
        <x:v>0</x:v>
      </x:c>
      <x:c r="G606">
        <x:f>ROUND($C606*10*VLOOKUP($B606,Sheet2!$J$5:$K$7,2,FALSE)*VLOOKUP(Sheet1!$A606,Sheet2!$B$5:$H$29,6,FALSE),0)</x:f>
        <x:v>10</x:v>
      </x:c>
      <x:c r="H606">
        <x:f>ROUND($C606*10*VLOOKUP($B606,Sheet2!$J$5:$K$7,2,FALSE)*VLOOKUP(Sheet1!$A606,Sheet2!$B$5:$H$29,7,FALSE),0)</x:f>
        <x:v>0</x:v>
      </x:c>
      <x:c r="I606">
        <x:f t="shared" si="10"/>
        <x:v>570</x:v>
      </x:c>
    </x:row>
    <x:row r="607" spans="1:9" x14ac:dyDescent="0.15">
      <x:c r="A607">
        <x:v>54004</x:v>
      </x:c>
      <x:c r="B607">
        <x:v>2</x:v>
      </x:c>
      <x:c r="C607">
        <x:v>6</x:v>
      </x:c>
      <x:c r="D607">
        <x:f>ROUND($C607*10*VLOOKUP($B607,Sheet2!$J$5:$K$7,2,FALSE)*VLOOKUP(Sheet1!$A607,Sheet2!$B$5:$H$29,3,FALSE),0)</x:f>
        <x:v>43</x:v>
      </x:c>
      <x:c r="E607">
        <x:f>ROUND($C607*10*VLOOKUP($B607,Sheet2!$J$5:$K$7,2,FALSE)*VLOOKUP(Sheet1!$A607,Sheet2!$B$5:$H$29,4,FALSE),0)</x:f>
        <x:v>0</x:v>
      </x:c>
      <x:c r="F607">
        <x:f>ROUND($C607*10*VLOOKUP($B607,Sheet2!$J$5:$K$7,2,FALSE)*VLOOKUP(Sheet1!$A607,Sheet2!$B$5:$H$29,5,FALSE),0)</x:f>
        <x:v>0</x:v>
      </x:c>
      <x:c r="G607">
        <x:f>ROUND($C607*10*VLOOKUP($B607,Sheet2!$J$5:$K$7,2,FALSE)*VLOOKUP(Sheet1!$A607,Sheet2!$B$5:$H$29,6,FALSE),0)</x:f>
        <x:v>12</x:v>
      </x:c>
      <x:c r="H607">
        <x:f>ROUND($C607*10*VLOOKUP($B607,Sheet2!$J$5:$K$7,2,FALSE)*VLOOKUP(Sheet1!$A607,Sheet2!$B$5:$H$29,7,FALSE),0)</x:f>
        <x:v>0</x:v>
      </x:c>
      <x:c r="I607">
        <x:f t="shared" si="10"/>
        <x:v>820</x:v>
      </x:c>
    </x:row>
    <x:row r="608" spans="1:9" x14ac:dyDescent="0.15">
      <x:c r="A608">
        <x:v>54004</x:v>
      </x:c>
      <x:c r="B608">
        <x:v>2</x:v>
      </x:c>
      <x:c r="C608">
        <x:v>7</x:v>
      </x:c>
      <x:c r="D608">
        <x:f>ROUND($C608*10*VLOOKUP($B608,Sheet2!$J$5:$K$7,2,FALSE)*VLOOKUP(Sheet1!$A608,Sheet2!$B$5:$H$29,3,FALSE),0)</x:f>
        <x:v>50</x:v>
      </x:c>
      <x:c r="E608">
        <x:f>ROUND($C608*10*VLOOKUP($B608,Sheet2!$J$5:$K$7,2,FALSE)*VLOOKUP(Sheet1!$A608,Sheet2!$B$5:$H$29,4,FALSE),0)</x:f>
        <x:v>0</x:v>
      </x:c>
      <x:c r="F608">
        <x:f>ROUND($C608*10*VLOOKUP($B608,Sheet2!$J$5:$K$7,2,FALSE)*VLOOKUP(Sheet1!$A608,Sheet2!$B$5:$H$29,5,FALSE),0)</x:f>
        <x:v>0</x:v>
      </x:c>
      <x:c r="G608">
        <x:f>ROUND($C608*10*VLOOKUP($B608,Sheet2!$J$5:$K$7,2,FALSE)*VLOOKUP(Sheet1!$A608,Sheet2!$B$5:$H$29,6,FALSE),0)</x:f>
        <x:v>13</x:v>
      </x:c>
      <x:c r="H608">
        <x:f>ROUND($C608*10*VLOOKUP($B608,Sheet2!$J$5:$K$7,2,FALSE)*VLOOKUP(Sheet1!$A608,Sheet2!$B$5:$H$29,7,FALSE),0)</x:f>
        <x:v>0</x:v>
      </x:c>
      <x:c r="I608">
        <x:f t="shared" si="10"/>
        <x:v>1120</x:v>
      </x:c>
    </x:row>
    <x:row r="609" spans="1:9" x14ac:dyDescent="0.15">
      <x:c r="A609">
        <x:v>54004</x:v>
      </x:c>
      <x:c r="B609">
        <x:v>2</x:v>
      </x:c>
      <x:c r="C609">
        <x:v>8</x:v>
      </x:c>
      <x:c r="D609">
        <x:f>ROUND($C609*10*VLOOKUP($B609,Sheet2!$J$5:$K$7,2,FALSE)*VLOOKUP(Sheet1!$A609,Sheet2!$B$5:$H$29,3,FALSE),0)</x:f>
        <x:v>58</x:v>
      </x:c>
      <x:c r="E609">
        <x:f>ROUND($C609*10*VLOOKUP($B609,Sheet2!$J$5:$K$7,2,FALSE)*VLOOKUP(Sheet1!$A609,Sheet2!$B$5:$H$29,4,FALSE),0)</x:f>
        <x:v>0</x:v>
      </x:c>
      <x:c r="F609">
        <x:f>ROUND($C609*10*VLOOKUP($B609,Sheet2!$J$5:$K$7,2,FALSE)*VLOOKUP(Sheet1!$A609,Sheet2!$B$5:$H$29,5,FALSE),0)</x:f>
        <x:v>0</x:v>
      </x:c>
      <x:c r="G609">
        <x:f>ROUND($C609*10*VLOOKUP($B609,Sheet2!$J$5:$K$7,2,FALSE)*VLOOKUP(Sheet1!$A609,Sheet2!$B$5:$H$29,6,FALSE),0)</x:f>
        <x:v>15</x:v>
      </x:c>
      <x:c r="H609">
        <x:f>ROUND($C609*10*VLOOKUP($B609,Sheet2!$J$5:$K$7,2,FALSE)*VLOOKUP(Sheet1!$A609,Sheet2!$B$5:$H$29,7,FALSE),0)</x:f>
        <x:v>0</x:v>
      </x:c>
      <x:c r="I609">
        <x:f t="shared" si="10"/>
        <x:v>1450</x:v>
      </x:c>
    </x:row>
    <x:row r="610" spans="1:9" x14ac:dyDescent="0.15">
      <x:c r="A610">
        <x:v>54004</x:v>
      </x:c>
      <x:c r="B610">
        <x:v>2</x:v>
      </x:c>
      <x:c r="C610">
        <x:v>9</x:v>
      </x:c>
      <x:c r="D610">
        <x:f>ROUND($C610*10*VLOOKUP($B610,Sheet2!$J$5:$K$7,2,FALSE)*VLOOKUP(Sheet1!$A610,Sheet2!$B$5:$H$29,3,FALSE),0)</x:f>
        <x:v>65</x:v>
      </x:c>
      <x:c r="E610">
        <x:f>ROUND($C610*10*VLOOKUP($B610,Sheet2!$J$5:$K$7,2,FALSE)*VLOOKUP(Sheet1!$A610,Sheet2!$B$5:$H$29,4,FALSE),0)</x:f>
        <x:v>0</x:v>
      </x:c>
      <x:c r="F610">
        <x:f>ROUND($C610*10*VLOOKUP($B610,Sheet2!$J$5:$K$7,2,FALSE)*VLOOKUP(Sheet1!$A610,Sheet2!$B$5:$H$29,5,FALSE),0)</x:f>
        <x:v>0</x:v>
      </x:c>
      <x:c r="G610">
        <x:f>ROUND($C610*10*VLOOKUP($B610,Sheet2!$J$5:$K$7,2,FALSE)*VLOOKUP(Sheet1!$A610,Sheet2!$B$5:$H$29,6,FALSE),0)</x:f>
        <x:v>17</x:v>
      </x:c>
      <x:c r="H610">
        <x:f>ROUND($C610*10*VLOOKUP($B610,Sheet2!$J$5:$K$7,2,FALSE)*VLOOKUP(Sheet1!$A610,Sheet2!$B$5:$H$29,7,FALSE),0)</x:f>
        <x:v>0</x:v>
      </x:c>
      <x:c r="I610">
        <x:f t="shared" si="10"/>
        <x:v>1830</x:v>
      </x:c>
    </x:row>
    <x:row r="611" spans="1:9" x14ac:dyDescent="0.15">
      <x:c r="A611">
        <x:v>54004</x:v>
      </x:c>
      <x:c r="B611">
        <x:v>2</x:v>
      </x:c>
      <x:c r="C611">
        <x:v>10</x:v>
      </x:c>
      <x:c r="D611">
        <x:f>ROUND($C611*10*VLOOKUP($B611,Sheet2!$J$5:$K$7,2,FALSE)*VLOOKUP(Sheet1!$A611,Sheet2!$B$5:$H$29,3,FALSE),0)</x:f>
        <x:v>72</x:v>
      </x:c>
      <x:c r="E611">
        <x:f>ROUND($C611*10*VLOOKUP($B611,Sheet2!$J$5:$K$7,2,FALSE)*VLOOKUP(Sheet1!$A611,Sheet2!$B$5:$H$29,4,FALSE),0)</x:f>
        <x:v>0</x:v>
      </x:c>
      <x:c r="F611">
        <x:f>ROUND($C611*10*VLOOKUP($B611,Sheet2!$J$5:$K$7,2,FALSE)*VLOOKUP(Sheet1!$A611,Sheet2!$B$5:$H$29,5,FALSE),0)</x:f>
        <x:v>0</x:v>
      </x:c>
      <x:c r="G611">
        <x:f>ROUND($C611*10*VLOOKUP($B611,Sheet2!$J$5:$K$7,2,FALSE)*VLOOKUP(Sheet1!$A611,Sheet2!$B$5:$H$29,6,FALSE),0)</x:f>
        <x:v>19</x:v>
      </x:c>
      <x:c r="H611">
        <x:f>ROUND($C611*10*VLOOKUP($B611,Sheet2!$J$5:$K$7,2,FALSE)*VLOOKUP(Sheet1!$A611,Sheet2!$B$5:$H$29,7,FALSE),0)</x:f>
        <x:v>0</x:v>
      </x:c>
      <x:c r="I611">
        <x:f t="shared" si="10"/>
        <x:v>2250</x:v>
      </x:c>
    </x:row>
    <x:row r="612" spans="1:9" x14ac:dyDescent="0.15">
      <x:c r="A612">
        <x:v>54004</x:v>
      </x:c>
      <x:c r="B612">
        <x:v>2</x:v>
      </x:c>
      <x:c r="C612">
        <x:v>11</x:v>
      </x:c>
      <x:c r="D612">
        <x:f>ROUND($C612*10*VLOOKUP($B612,Sheet2!$J$5:$K$7,2,FALSE)*VLOOKUP(Sheet1!$A612,Sheet2!$B$5:$H$29,3,FALSE),0)</x:f>
        <x:v>79</x:v>
      </x:c>
      <x:c r="E612">
        <x:f>ROUND($C612*10*VLOOKUP($B612,Sheet2!$J$5:$K$7,2,FALSE)*VLOOKUP(Sheet1!$A612,Sheet2!$B$5:$H$29,4,FALSE),0)</x:f>
        <x:v>0</x:v>
      </x:c>
      <x:c r="F612">
        <x:f>ROUND($C612*10*VLOOKUP($B612,Sheet2!$J$5:$K$7,2,FALSE)*VLOOKUP(Sheet1!$A612,Sheet2!$B$5:$H$29,5,FALSE),0)</x:f>
        <x:v>0</x:v>
      </x:c>
      <x:c r="G612">
        <x:f>ROUND($C612*10*VLOOKUP($B612,Sheet2!$J$5:$K$7,2,FALSE)*VLOOKUP(Sheet1!$A612,Sheet2!$B$5:$H$29,6,FALSE),0)</x:f>
        <x:v>21</x:v>
      </x:c>
      <x:c r="H612">
        <x:f>ROUND($C612*10*VLOOKUP($B612,Sheet2!$J$5:$K$7,2,FALSE)*VLOOKUP(Sheet1!$A612,Sheet2!$B$5:$H$29,7,FALSE),0)</x:f>
        <x:v>0</x:v>
      </x:c>
      <x:c r="I612">
        <x:f t="shared" si="10"/>
        <x:v>2710</x:v>
      </x:c>
    </x:row>
    <x:row r="613" spans="1:9" x14ac:dyDescent="0.15">
      <x:c r="A613">
        <x:v>54004</x:v>
      </x:c>
      <x:c r="B613">
        <x:v>2</x:v>
      </x:c>
      <x:c r="C613">
        <x:v>12</x:v>
      </x:c>
      <x:c r="D613">
        <x:f>ROUND($C613*10*VLOOKUP($B613,Sheet2!$J$5:$K$7,2,FALSE)*VLOOKUP(Sheet1!$A613,Sheet2!$B$5:$H$29,3,FALSE),0)</x:f>
        <x:v>86</x:v>
      </x:c>
      <x:c r="E613">
        <x:f>ROUND($C613*10*VLOOKUP($B613,Sheet2!$J$5:$K$7,2,FALSE)*VLOOKUP(Sheet1!$A613,Sheet2!$B$5:$H$29,4,FALSE),0)</x:f>
        <x:v>0</x:v>
      </x:c>
      <x:c r="F613">
        <x:f>ROUND($C613*10*VLOOKUP($B613,Sheet2!$J$5:$K$7,2,FALSE)*VLOOKUP(Sheet1!$A613,Sheet2!$B$5:$H$29,5,FALSE),0)</x:f>
        <x:v>0</x:v>
      </x:c>
      <x:c r="G613">
        <x:f>ROUND($C613*10*VLOOKUP($B613,Sheet2!$J$5:$K$7,2,FALSE)*VLOOKUP(Sheet1!$A613,Sheet2!$B$5:$H$29,6,FALSE),0)</x:f>
        <x:v>23</x:v>
      </x:c>
      <x:c r="H613">
        <x:f>ROUND($C613*10*VLOOKUP($B613,Sheet2!$J$5:$K$7,2,FALSE)*VLOOKUP(Sheet1!$A613,Sheet2!$B$5:$H$29,7,FALSE),0)</x:f>
        <x:v>0</x:v>
      </x:c>
      <x:c r="I613">
        <x:f t="shared" si="10"/>
        <x:v>3210</x:v>
      </x:c>
    </x:row>
    <x:row r="614" spans="1:9" x14ac:dyDescent="0.15">
      <x:c r="A614">
        <x:v>54004</x:v>
      </x:c>
      <x:c r="B614">
        <x:v>2</x:v>
      </x:c>
      <x:c r="C614">
        <x:v>13</x:v>
      </x:c>
      <x:c r="D614">
        <x:f>ROUND($C614*10*VLOOKUP($B614,Sheet2!$J$5:$K$7,2,FALSE)*VLOOKUP(Sheet1!$A614,Sheet2!$B$5:$H$29,3,FALSE),0)</x:f>
        <x:v>94</x:v>
      </x:c>
      <x:c r="E614">
        <x:f>ROUND($C614*10*VLOOKUP($B614,Sheet2!$J$5:$K$7,2,FALSE)*VLOOKUP(Sheet1!$A614,Sheet2!$B$5:$H$29,4,FALSE),0)</x:f>
        <x:v>0</x:v>
      </x:c>
      <x:c r="F614">
        <x:f>ROUND($C614*10*VLOOKUP($B614,Sheet2!$J$5:$K$7,2,FALSE)*VLOOKUP(Sheet1!$A614,Sheet2!$B$5:$H$29,5,FALSE),0)</x:f>
        <x:v>0</x:v>
      </x:c>
      <x:c r="G614">
        <x:f>ROUND($C614*10*VLOOKUP($B614,Sheet2!$J$5:$K$7,2,FALSE)*VLOOKUP(Sheet1!$A614,Sheet2!$B$5:$H$29,6,FALSE),0)</x:f>
        <x:v>25</x:v>
      </x:c>
      <x:c r="H614">
        <x:f>ROUND($C614*10*VLOOKUP($B614,Sheet2!$J$5:$K$7,2,FALSE)*VLOOKUP(Sheet1!$A614,Sheet2!$B$5:$H$29,7,FALSE),0)</x:f>
        <x:v>0</x:v>
      </x:c>
      <x:c r="I614">
        <x:f t="shared" si="10"/>
        <x:v>3740</x:v>
      </x:c>
    </x:row>
    <x:row r="615" spans="1:9" x14ac:dyDescent="0.15">
      <x:c r="A615">
        <x:v>54004</x:v>
      </x:c>
      <x:c r="B615">
        <x:v>2</x:v>
      </x:c>
      <x:c r="C615">
        <x:v>14</x:v>
      </x:c>
      <x:c r="D615">
        <x:f>ROUND($C615*10*VLOOKUP($B615,Sheet2!$J$5:$K$7,2,FALSE)*VLOOKUP(Sheet1!$A615,Sheet2!$B$5:$H$29,3,FALSE),0)</x:f>
        <x:v>101</x:v>
      </x:c>
      <x:c r="E615">
        <x:f>ROUND($C615*10*VLOOKUP($B615,Sheet2!$J$5:$K$7,2,FALSE)*VLOOKUP(Sheet1!$A615,Sheet2!$B$5:$H$29,4,FALSE),0)</x:f>
        <x:v>0</x:v>
      </x:c>
      <x:c r="F615">
        <x:f>ROUND($C615*10*VLOOKUP($B615,Sheet2!$J$5:$K$7,2,FALSE)*VLOOKUP(Sheet1!$A615,Sheet2!$B$5:$H$29,5,FALSE),0)</x:f>
        <x:v>0</x:v>
      </x:c>
      <x:c r="G615">
        <x:f>ROUND($C615*10*VLOOKUP($B615,Sheet2!$J$5:$K$7,2,FALSE)*VLOOKUP(Sheet1!$A615,Sheet2!$B$5:$H$29,6,FALSE),0)</x:f>
        <x:v>27</x:v>
      </x:c>
      <x:c r="H615">
        <x:f>ROUND($C615*10*VLOOKUP($B615,Sheet2!$J$5:$K$7,2,FALSE)*VLOOKUP(Sheet1!$A615,Sheet2!$B$5:$H$29,7,FALSE),0)</x:f>
        <x:v>0</x:v>
      </x:c>
      <x:c r="I615">
        <x:f t="shared" si="10"/>
        <x:v>4310</x:v>
      </x:c>
    </x:row>
    <x:row r="616" spans="1:9" x14ac:dyDescent="0.15">
      <x:c r="A616">
        <x:v>54004</x:v>
      </x:c>
      <x:c r="B616">
        <x:v>2</x:v>
      </x:c>
      <x:c r="C616">
        <x:v>15</x:v>
      </x:c>
      <x:c r="D616">
        <x:f>ROUND($C616*10*VLOOKUP($B616,Sheet2!$J$5:$K$7,2,FALSE)*VLOOKUP(Sheet1!$A616,Sheet2!$B$5:$H$29,3,FALSE),0)</x:f>
        <x:v>108</x:v>
      </x:c>
      <x:c r="E616">
        <x:f>ROUND($C616*10*VLOOKUP($B616,Sheet2!$J$5:$K$7,2,FALSE)*VLOOKUP(Sheet1!$A616,Sheet2!$B$5:$H$29,4,FALSE),0)</x:f>
        <x:v>0</x:v>
      </x:c>
      <x:c r="F616">
        <x:f>ROUND($C616*10*VLOOKUP($B616,Sheet2!$J$5:$K$7,2,FALSE)*VLOOKUP(Sheet1!$A616,Sheet2!$B$5:$H$29,5,FALSE),0)</x:f>
        <x:v>0</x:v>
      </x:c>
      <x:c r="G616">
        <x:f>ROUND($C616*10*VLOOKUP($B616,Sheet2!$J$5:$K$7,2,FALSE)*VLOOKUP(Sheet1!$A616,Sheet2!$B$5:$H$29,6,FALSE),0)</x:f>
        <x:v>29</x:v>
      </x:c>
      <x:c r="H616">
        <x:f>ROUND($C616*10*VLOOKUP($B616,Sheet2!$J$5:$K$7,2,FALSE)*VLOOKUP(Sheet1!$A616,Sheet2!$B$5:$H$29,7,FALSE),0)</x:f>
        <x:v>0</x:v>
      </x:c>
      <x:c r="I616">
        <x:f t="shared" si="10"/>
        <x:v>4920</x:v>
      </x:c>
    </x:row>
    <x:row r="617" spans="1:9" x14ac:dyDescent="0.15">
      <x:c r="A617">
        <x:v>54004</x:v>
      </x:c>
      <x:c r="B617">
        <x:v>2</x:v>
      </x:c>
      <x:c r="C617">
        <x:v>16</x:v>
      </x:c>
      <x:c r="D617">
        <x:f>ROUND($C617*10*VLOOKUP($B617,Sheet2!$J$5:$K$7,2,FALSE)*VLOOKUP(Sheet1!$A617,Sheet2!$B$5:$H$29,3,FALSE),0)</x:f>
        <x:v>115</x:v>
      </x:c>
      <x:c r="E617">
        <x:f>ROUND($C617*10*VLOOKUP($B617,Sheet2!$J$5:$K$7,2,FALSE)*VLOOKUP(Sheet1!$A617,Sheet2!$B$5:$H$29,4,FALSE),0)</x:f>
        <x:v>0</x:v>
      </x:c>
      <x:c r="F617">
        <x:f>ROUND($C617*10*VLOOKUP($B617,Sheet2!$J$5:$K$7,2,FALSE)*VLOOKUP(Sheet1!$A617,Sheet2!$B$5:$H$29,5,FALSE),0)</x:f>
        <x:v>0</x:v>
      </x:c>
      <x:c r="G617">
        <x:f>ROUND($C617*10*VLOOKUP($B617,Sheet2!$J$5:$K$7,2,FALSE)*VLOOKUP(Sheet1!$A617,Sheet2!$B$5:$H$29,6,FALSE),0)</x:f>
        <x:v>31</x:v>
      </x:c>
      <x:c r="H617">
        <x:f>ROUND($C617*10*VLOOKUP($B617,Sheet2!$J$5:$K$7,2,FALSE)*VLOOKUP(Sheet1!$A617,Sheet2!$B$5:$H$29,7,FALSE),0)</x:f>
        <x:v>0</x:v>
      </x:c>
      <x:c r="I617">
        <x:f t="shared" si="10"/>
        <x:v>5560</x:v>
      </x:c>
    </x:row>
    <x:row r="618" spans="1:9" x14ac:dyDescent="0.15">
      <x:c r="A618">
        <x:v>54004</x:v>
      </x:c>
      <x:c r="B618">
        <x:v>2</x:v>
      </x:c>
      <x:c r="C618">
        <x:v>17</x:v>
      </x:c>
      <x:c r="D618">
        <x:f>ROUND($C618*10*VLOOKUP($B618,Sheet2!$J$5:$K$7,2,FALSE)*VLOOKUP(Sheet1!$A618,Sheet2!$B$5:$H$29,3,FALSE),0)</x:f>
        <x:v>122</x:v>
      </x:c>
      <x:c r="E618">
        <x:f>ROUND($C618*10*VLOOKUP($B618,Sheet2!$J$5:$K$7,2,FALSE)*VLOOKUP(Sheet1!$A618,Sheet2!$B$5:$H$29,4,FALSE),0)</x:f>
        <x:v>0</x:v>
      </x:c>
      <x:c r="F618">
        <x:f>ROUND($C618*10*VLOOKUP($B618,Sheet2!$J$5:$K$7,2,FALSE)*VLOOKUP(Sheet1!$A618,Sheet2!$B$5:$H$29,5,FALSE),0)</x:f>
        <x:v>0</x:v>
      </x:c>
      <x:c r="G618">
        <x:f>ROUND($C618*10*VLOOKUP($B618,Sheet2!$J$5:$K$7,2,FALSE)*VLOOKUP(Sheet1!$A618,Sheet2!$B$5:$H$29,6,FALSE),0)</x:f>
        <x:v>33</x:v>
      </x:c>
      <x:c r="H618">
        <x:f>ROUND($C618*10*VLOOKUP($B618,Sheet2!$J$5:$K$7,2,FALSE)*VLOOKUP(Sheet1!$A618,Sheet2!$B$5:$H$29,7,FALSE),0)</x:f>
        <x:v>0</x:v>
      </x:c>
      <x:c r="I618">
        <x:f t="shared" si="10"/>
        <x:v>6240</x:v>
      </x:c>
    </x:row>
    <x:row r="619" spans="1:9" x14ac:dyDescent="0.15">
      <x:c r="A619">
        <x:v>54004</x:v>
      </x:c>
      <x:c r="B619">
        <x:v>2</x:v>
      </x:c>
      <x:c r="C619">
        <x:v>18</x:v>
      </x:c>
      <x:c r="D619">
        <x:f>ROUND($C619*10*VLOOKUP($B619,Sheet2!$J$5:$K$7,2,FALSE)*VLOOKUP(Sheet1!$A619,Sheet2!$B$5:$H$29,3,FALSE),0)</x:f>
        <x:v>130</x:v>
      </x:c>
      <x:c r="E619">
        <x:f>ROUND($C619*10*VLOOKUP($B619,Sheet2!$J$5:$K$7,2,FALSE)*VLOOKUP(Sheet1!$A619,Sheet2!$B$5:$H$29,4,FALSE),0)</x:f>
        <x:v>0</x:v>
      </x:c>
      <x:c r="F619">
        <x:f>ROUND($C619*10*VLOOKUP($B619,Sheet2!$J$5:$K$7,2,FALSE)*VLOOKUP(Sheet1!$A619,Sheet2!$B$5:$H$29,5,FALSE),0)</x:f>
        <x:v>0</x:v>
      </x:c>
      <x:c r="G619">
        <x:f>ROUND($C619*10*VLOOKUP($B619,Sheet2!$J$5:$K$7,2,FALSE)*VLOOKUP(Sheet1!$A619,Sheet2!$B$5:$H$29,6,FALSE),0)</x:f>
        <x:v>35</x:v>
      </x:c>
      <x:c r="H619">
        <x:f>ROUND($C619*10*VLOOKUP($B619,Sheet2!$J$5:$K$7,2,FALSE)*VLOOKUP(Sheet1!$A619,Sheet2!$B$5:$H$29,7,FALSE),0)</x:f>
        <x:v>0</x:v>
      </x:c>
      <x:c r="I619">
        <x:f t="shared" si="10"/>
        <x:v>6950</x:v>
      </x:c>
    </x:row>
    <x:row r="620" spans="1:9" x14ac:dyDescent="0.15">
      <x:c r="A620">
        <x:v>54004</x:v>
      </x:c>
      <x:c r="B620">
        <x:v>2</x:v>
      </x:c>
      <x:c r="C620">
        <x:v>19</x:v>
      </x:c>
      <x:c r="D620">
        <x:f>ROUND($C620*10*VLOOKUP($B620,Sheet2!$J$5:$K$7,2,FALSE)*VLOOKUP(Sheet1!$A620,Sheet2!$B$5:$H$29,3,FALSE),0)</x:f>
        <x:v>137</x:v>
      </x:c>
      <x:c r="E620">
        <x:f>ROUND($C620*10*VLOOKUP($B620,Sheet2!$J$5:$K$7,2,FALSE)*VLOOKUP(Sheet1!$A620,Sheet2!$B$5:$H$29,4,FALSE),0)</x:f>
        <x:v>0</x:v>
      </x:c>
      <x:c r="F620">
        <x:f>ROUND($C620*10*VLOOKUP($B620,Sheet2!$J$5:$K$7,2,FALSE)*VLOOKUP(Sheet1!$A620,Sheet2!$B$5:$H$29,5,FALSE),0)</x:f>
        <x:v>0</x:v>
      </x:c>
      <x:c r="G620">
        <x:f>ROUND($C620*10*VLOOKUP($B620,Sheet2!$J$5:$K$7,2,FALSE)*VLOOKUP(Sheet1!$A620,Sheet2!$B$5:$H$29,6,FALSE),0)</x:f>
        <x:v>36</x:v>
      </x:c>
      <x:c r="H620">
        <x:f>ROUND($C620*10*VLOOKUP($B620,Sheet2!$J$5:$K$7,2,FALSE)*VLOOKUP(Sheet1!$A620,Sheet2!$B$5:$H$29,7,FALSE),0)</x:f>
        <x:v>0</x:v>
      </x:c>
      <x:c r="I620">
        <x:f t="shared" si="10"/>
        <x:v>7690</x:v>
      </x:c>
    </x:row>
    <x:row r="621" spans="1:9" x14ac:dyDescent="0.15">
      <x:c r="A621">
        <x:v>54004</x:v>
      </x:c>
      <x:c r="B621">
        <x:v>2</x:v>
      </x:c>
      <x:c r="C621">
        <x:v>20</x:v>
      </x:c>
      <x:c r="D621">
        <x:f>ROUND($C621*10*VLOOKUP($B621,Sheet2!$J$5:$K$7,2,FALSE)*VLOOKUP(Sheet1!$A621,Sheet2!$B$5:$H$29,3,FALSE),0)</x:f>
        <x:v>144</x:v>
      </x:c>
      <x:c r="E621">
        <x:f>ROUND($C621*10*VLOOKUP($B621,Sheet2!$J$5:$K$7,2,FALSE)*VLOOKUP(Sheet1!$A621,Sheet2!$B$5:$H$29,4,FALSE),0)</x:f>
        <x:v>0</x:v>
      </x:c>
      <x:c r="F621">
        <x:f>ROUND($C621*10*VLOOKUP($B621,Sheet2!$J$5:$K$7,2,FALSE)*VLOOKUP(Sheet1!$A621,Sheet2!$B$5:$H$29,5,FALSE),0)</x:f>
        <x:v>0</x:v>
      </x:c>
      <x:c r="G621">
        <x:f>ROUND($C621*10*VLOOKUP($B621,Sheet2!$J$5:$K$7,2,FALSE)*VLOOKUP(Sheet1!$A621,Sheet2!$B$5:$H$29,6,FALSE),0)</x:f>
        <x:v>38</x:v>
      </x:c>
      <x:c r="H621">
        <x:f>ROUND($C621*10*VLOOKUP($B621,Sheet2!$J$5:$K$7,2,FALSE)*VLOOKUP(Sheet1!$A621,Sheet2!$B$5:$H$29,7,FALSE),0)</x:f>
        <x:v>0</x:v>
      </x:c>
      <x:c r="I621">
        <x:f t="shared" si="10"/>
        <x:v>8470</x:v>
      </x:c>
    </x:row>
    <x:row r="622" spans="1:9" x14ac:dyDescent="0.15">
      <x:c r="A622">
        <x:v>54004</x:v>
      </x:c>
      <x:c r="B622">
        <x:v>2</x:v>
      </x:c>
      <x:c r="C622">
        <x:v>21</x:v>
      </x:c>
      <x:c r="D622">
        <x:f>ROUND($C622*10*VLOOKUP($B622,Sheet2!$J$5:$K$7,2,FALSE)*VLOOKUP(Sheet1!$A622,Sheet2!$B$5:$H$29,3,FALSE),0)</x:f>
        <x:v>151</x:v>
      </x:c>
      <x:c r="E622">
        <x:f>ROUND($C622*10*VLOOKUP($B622,Sheet2!$J$5:$K$7,2,FALSE)*VLOOKUP(Sheet1!$A622,Sheet2!$B$5:$H$29,4,FALSE),0)</x:f>
        <x:v>0</x:v>
      </x:c>
      <x:c r="F622">
        <x:f>ROUND($C622*10*VLOOKUP($B622,Sheet2!$J$5:$K$7,2,FALSE)*VLOOKUP(Sheet1!$A622,Sheet2!$B$5:$H$29,5,FALSE),0)</x:f>
        <x:v>0</x:v>
      </x:c>
      <x:c r="G622">
        <x:f>ROUND($C622*10*VLOOKUP($B622,Sheet2!$J$5:$K$7,2,FALSE)*VLOOKUP(Sheet1!$A622,Sheet2!$B$5:$H$29,6,FALSE),0)</x:f>
        <x:v>40</x:v>
      </x:c>
      <x:c r="H622">
        <x:f>ROUND($C622*10*VLOOKUP($B622,Sheet2!$J$5:$K$7,2,FALSE)*VLOOKUP(Sheet1!$A622,Sheet2!$B$5:$H$29,7,FALSE),0)</x:f>
        <x:v>0</x:v>
      </x:c>
      <x:c r="I622">
        <x:f t="shared" si="10"/>
        <x:v>9290</x:v>
      </x:c>
    </x:row>
    <x:row r="623" spans="1:9" x14ac:dyDescent="0.15">
      <x:c r="A623">
        <x:v>54004</x:v>
      </x:c>
      <x:c r="B623">
        <x:v>2</x:v>
      </x:c>
      <x:c r="C623">
        <x:v>22</x:v>
      </x:c>
      <x:c r="D623">
        <x:f>ROUND($C623*10*VLOOKUP($B623,Sheet2!$J$5:$K$7,2,FALSE)*VLOOKUP(Sheet1!$A623,Sheet2!$B$5:$H$29,3,FALSE),0)</x:f>
        <x:v>158</x:v>
      </x:c>
      <x:c r="E623">
        <x:f>ROUND($C623*10*VLOOKUP($B623,Sheet2!$J$5:$K$7,2,FALSE)*VLOOKUP(Sheet1!$A623,Sheet2!$B$5:$H$29,4,FALSE),0)</x:f>
        <x:v>0</x:v>
      </x:c>
      <x:c r="F623">
        <x:f>ROUND($C623*10*VLOOKUP($B623,Sheet2!$J$5:$K$7,2,FALSE)*VLOOKUP(Sheet1!$A623,Sheet2!$B$5:$H$29,5,FALSE),0)</x:f>
        <x:v>0</x:v>
      </x:c>
      <x:c r="G623">
        <x:f>ROUND($C623*10*VLOOKUP($B623,Sheet2!$J$5:$K$7,2,FALSE)*VLOOKUP(Sheet1!$A623,Sheet2!$B$5:$H$29,6,FALSE),0)</x:f>
        <x:v>42</x:v>
      </x:c>
      <x:c r="H623">
        <x:f>ROUND($C623*10*VLOOKUP($B623,Sheet2!$J$5:$K$7,2,FALSE)*VLOOKUP(Sheet1!$A623,Sheet2!$B$5:$H$29,7,FALSE),0)</x:f>
        <x:v>0</x:v>
      </x:c>
      <x:c r="I623">
        <x:f t="shared" si="10"/>
        <x:v>10130</x:v>
      </x:c>
    </x:row>
    <x:row r="624" spans="1:9" x14ac:dyDescent="0.15">
      <x:c r="A624">
        <x:v>54004</x:v>
      </x:c>
      <x:c r="B624">
        <x:v>2</x:v>
      </x:c>
      <x:c r="C624">
        <x:v>23</x:v>
      </x:c>
      <x:c r="D624">
        <x:f>ROUND($C624*10*VLOOKUP($B624,Sheet2!$J$5:$K$7,2,FALSE)*VLOOKUP(Sheet1!$A624,Sheet2!$B$5:$H$29,3,FALSE),0)</x:f>
        <x:v>166</x:v>
      </x:c>
      <x:c r="E624">
        <x:f>ROUND($C624*10*VLOOKUP($B624,Sheet2!$J$5:$K$7,2,FALSE)*VLOOKUP(Sheet1!$A624,Sheet2!$B$5:$H$29,4,FALSE),0)</x:f>
        <x:v>0</x:v>
      </x:c>
      <x:c r="F624">
        <x:f>ROUND($C624*10*VLOOKUP($B624,Sheet2!$J$5:$K$7,2,FALSE)*VLOOKUP(Sheet1!$A624,Sheet2!$B$5:$H$29,5,FALSE),0)</x:f>
        <x:v>0</x:v>
      </x:c>
      <x:c r="G624">
        <x:f>ROUND($C624*10*VLOOKUP($B624,Sheet2!$J$5:$K$7,2,FALSE)*VLOOKUP(Sheet1!$A624,Sheet2!$B$5:$H$29,6,FALSE),0)</x:f>
        <x:v>44</x:v>
      </x:c>
      <x:c r="H624">
        <x:f>ROUND($C624*10*VLOOKUP($B624,Sheet2!$J$5:$K$7,2,FALSE)*VLOOKUP(Sheet1!$A624,Sheet2!$B$5:$H$29,7,FALSE),0)</x:f>
        <x:v>0</x:v>
      </x:c>
      <x:c r="I624">
        <x:f t="shared" si="10"/>
        <x:v>11010</x:v>
      </x:c>
    </x:row>
    <x:row r="625" spans="1:9" x14ac:dyDescent="0.15">
      <x:c r="A625">
        <x:v>54004</x:v>
      </x:c>
      <x:c r="B625">
        <x:v>2</x:v>
      </x:c>
      <x:c r="C625">
        <x:v>24</x:v>
      </x:c>
      <x:c r="D625">
        <x:f>ROUND($C625*10*VLOOKUP($B625,Sheet2!$J$5:$K$7,2,FALSE)*VLOOKUP(Sheet1!$A625,Sheet2!$B$5:$H$29,3,FALSE),0)</x:f>
        <x:v>173</x:v>
      </x:c>
      <x:c r="E625">
        <x:f>ROUND($C625*10*VLOOKUP($B625,Sheet2!$J$5:$K$7,2,FALSE)*VLOOKUP(Sheet1!$A625,Sheet2!$B$5:$H$29,4,FALSE),0)</x:f>
        <x:v>0</x:v>
      </x:c>
      <x:c r="F625">
        <x:f>ROUND($C625*10*VLOOKUP($B625,Sheet2!$J$5:$K$7,2,FALSE)*VLOOKUP(Sheet1!$A625,Sheet2!$B$5:$H$29,5,FALSE),0)</x:f>
        <x:v>0</x:v>
      </x:c>
      <x:c r="G625">
        <x:f>ROUND($C625*10*VLOOKUP($B625,Sheet2!$J$5:$K$7,2,FALSE)*VLOOKUP(Sheet1!$A625,Sheet2!$B$5:$H$29,6,FALSE),0)</x:f>
        <x:v>46</x:v>
      </x:c>
      <x:c r="H625">
        <x:f>ROUND($C625*10*VLOOKUP($B625,Sheet2!$J$5:$K$7,2,FALSE)*VLOOKUP(Sheet1!$A625,Sheet2!$B$5:$H$29,7,FALSE),0)</x:f>
        <x:v>0</x:v>
      </x:c>
      <x:c r="I625">
        <x:f t="shared" si="10"/>
        <x:v>11930</x:v>
      </x:c>
    </x:row>
    <x:row r="626" spans="1:9" x14ac:dyDescent="0.15">
      <x:c r="A626">
        <x:v>54004</x:v>
      </x:c>
      <x:c r="B626">
        <x:v>2</x:v>
      </x:c>
      <x:c r="C626">
        <x:v>25</x:v>
      </x:c>
      <x:c r="D626">
        <x:f>ROUND($C626*10*VLOOKUP($B626,Sheet2!$J$5:$K$7,2,FALSE)*VLOOKUP(Sheet1!$A626,Sheet2!$B$5:$H$29,3,FALSE),0)</x:f>
        <x:v>180</x:v>
      </x:c>
      <x:c r="E626">
        <x:f>ROUND($C626*10*VLOOKUP($B626,Sheet2!$J$5:$K$7,2,FALSE)*VLOOKUP(Sheet1!$A626,Sheet2!$B$5:$H$29,4,FALSE),0)</x:f>
        <x:v>0</x:v>
      </x:c>
      <x:c r="F626">
        <x:f>ROUND($C626*10*VLOOKUP($B626,Sheet2!$J$5:$K$7,2,FALSE)*VLOOKUP(Sheet1!$A626,Sheet2!$B$5:$H$29,5,FALSE),0)</x:f>
        <x:v>0</x:v>
      </x:c>
      <x:c r="G626">
        <x:f>ROUND($C626*10*VLOOKUP($B626,Sheet2!$J$5:$K$7,2,FALSE)*VLOOKUP(Sheet1!$A626,Sheet2!$B$5:$H$29,6,FALSE),0)</x:f>
        <x:v>48</x:v>
      </x:c>
      <x:c r="H626">
        <x:f>ROUND($C626*10*VLOOKUP($B626,Sheet2!$J$5:$K$7,2,FALSE)*VLOOKUP(Sheet1!$A626,Sheet2!$B$5:$H$29,7,FALSE),0)</x:f>
        <x:v>0</x:v>
      </x:c>
      <x:c r="I626">
        <x:f t="shared" si="10"/>
        <x:v>12870</x:v>
      </x:c>
    </x:row>
    <x:row r="627" spans="1:9" x14ac:dyDescent="0.15">
      <x:c r="A627">
        <x:v>54004</x:v>
      </x:c>
      <x:c r="B627">
        <x:v>2</x:v>
      </x:c>
      <x:c r="C627">
        <x:v>26</x:v>
      </x:c>
      <x:c r="D627">
        <x:f>ROUND($C627*10*VLOOKUP($B627,Sheet2!$J$5:$K$7,2,FALSE)*VLOOKUP(Sheet1!$A627,Sheet2!$B$5:$H$29,3,FALSE),0)</x:f>
        <x:v>187</x:v>
      </x:c>
      <x:c r="E627">
        <x:f>ROUND($C627*10*VLOOKUP($B627,Sheet2!$J$5:$K$7,2,FALSE)*VLOOKUP(Sheet1!$A627,Sheet2!$B$5:$H$29,4,FALSE),0)</x:f>
        <x:v>0</x:v>
      </x:c>
      <x:c r="F627">
        <x:f>ROUND($C627*10*VLOOKUP($B627,Sheet2!$J$5:$K$7,2,FALSE)*VLOOKUP(Sheet1!$A627,Sheet2!$B$5:$H$29,5,FALSE),0)</x:f>
        <x:v>0</x:v>
      </x:c>
      <x:c r="G627">
        <x:f>ROUND($C627*10*VLOOKUP($B627,Sheet2!$J$5:$K$7,2,FALSE)*VLOOKUP(Sheet1!$A627,Sheet2!$B$5:$H$29,6,FALSE),0)</x:f>
        <x:v>50</x:v>
      </x:c>
      <x:c r="H627">
        <x:f>ROUND($C627*10*VLOOKUP($B627,Sheet2!$J$5:$K$7,2,FALSE)*VLOOKUP(Sheet1!$A627,Sheet2!$B$5:$H$29,7,FALSE),0)</x:f>
        <x:v>0</x:v>
      </x:c>
      <x:c r="I627">
        <x:f t="shared" si="10"/>
        <x:v>13850</x:v>
      </x:c>
    </x:row>
    <x:row r="628" spans="1:9" x14ac:dyDescent="0.15">
      <x:c r="A628">
        <x:v>54004</x:v>
      </x:c>
      <x:c r="B628">
        <x:v>2</x:v>
      </x:c>
      <x:c r="C628">
        <x:v>27</x:v>
      </x:c>
      <x:c r="D628">
        <x:f>ROUND($C628*10*VLOOKUP($B628,Sheet2!$J$5:$K$7,2,FALSE)*VLOOKUP(Sheet1!$A628,Sheet2!$B$5:$H$29,3,FALSE),0)</x:f>
        <x:v>194</x:v>
      </x:c>
      <x:c r="E628">
        <x:f>ROUND($C628*10*VLOOKUP($B628,Sheet2!$J$5:$K$7,2,FALSE)*VLOOKUP(Sheet1!$A628,Sheet2!$B$5:$H$29,4,FALSE),0)</x:f>
        <x:v>0</x:v>
      </x:c>
      <x:c r="F628">
        <x:f>ROUND($C628*10*VLOOKUP($B628,Sheet2!$J$5:$K$7,2,FALSE)*VLOOKUP(Sheet1!$A628,Sheet2!$B$5:$H$29,5,FALSE),0)</x:f>
        <x:v>0</x:v>
      </x:c>
      <x:c r="G628">
        <x:f>ROUND($C628*10*VLOOKUP($B628,Sheet2!$J$5:$K$7,2,FALSE)*VLOOKUP(Sheet1!$A628,Sheet2!$B$5:$H$29,6,FALSE),0)</x:f>
        <x:v>52</x:v>
      </x:c>
      <x:c r="H628">
        <x:f>ROUND($C628*10*VLOOKUP($B628,Sheet2!$J$5:$K$7,2,FALSE)*VLOOKUP(Sheet1!$A628,Sheet2!$B$5:$H$29,7,FALSE),0)</x:f>
        <x:v>0</x:v>
      </x:c>
      <x:c r="I628">
        <x:f t="shared" si="10"/>
        <x:v>14860</x:v>
      </x:c>
    </x:row>
    <x:row r="629" spans="1:9" x14ac:dyDescent="0.15">
      <x:c r="A629">
        <x:v>54004</x:v>
      </x:c>
      <x:c r="B629">
        <x:v>2</x:v>
      </x:c>
      <x:c r="C629">
        <x:v>28</x:v>
      </x:c>
      <x:c r="D629">
        <x:f>ROUND($C629*10*VLOOKUP($B629,Sheet2!$J$5:$K$7,2,FALSE)*VLOOKUP(Sheet1!$A629,Sheet2!$B$5:$H$29,3,FALSE),0)</x:f>
        <x:v>202</x:v>
      </x:c>
      <x:c r="E629">
        <x:f>ROUND($C629*10*VLOOKUP($B629,Sheet2!$J$5:$K$7,2,FALSE)*VLOOKUP(Sheet1!$A629,Sheet2!$B$5:$H$29,4,FALSE),0)</x:f>
        <x:v>0</x:v>
      </x:c>
      <x:c r="F629">
        <x:f>ROUND($C629*10*VLOOKUP($B629,Sheet2!$J$5:$K$7,2,FALSE)*VLOOKUP(Sheet1!$A629,Sheet2!$B$5:$H$29,5,FALSE),0)</x:f>
        <x:v>0</x:v>
      </x:c>
      <x:c r="G629">
        <x:f>ROUND($C629*10*VLOOKUP($B629,Sheet2!$J$5:$K$7,2,FALSE)*VLOOKUP(Sheet1!$A629,Sheet2!$B$5:$H$29,6,FALSE),0)</x:f>
        <x:v>54</x:v>
      </x:c>
      <x:c r="H629">
        <x:f>ROUND($C629*10*VLOOKUP($B629,Sheet2!$J$5:$K$7,2,FALSE)*VLOOKUP(Sheet1!$A629,Sheet2!$B$5:$H$29,7,FALSE),0)</x:f>
        <x:v>0</x:v>
      </x:c>
      <x:c r="I629">
        <x:f t="shared" si="10"/>
        <x:v>15900</x:v>
      </x:c>
    </x:row>
    <x:row r="630" spans="1:9" x14ac:dyDescent="0.15">
      <x:c r="A630">
        <x:v>54004</x:v>
      </x:c>
      <x:c r="B630">
        <x:v>2</x:v>
      </x:c>
      <x:c r="C630">
        <x:v>29</x:v>
      </x:c>
      <x:c r="D630">
        <x:f>ROUND($C630*10*VLOOKUP($B630,Sheet2!$J$5:$K$7,2,FALSE)*VLOOKUP(Sheet1!$A630,Sheet2!$B$5:$H$29,3,FALSE),0)</x:f>
        <x:v>209</x:v>
      </x:c>
      <x:c r="E630">
        <x:f>ROUND($C630*10*VLOOKUP($B630,Sheet2!$J$5:$K$7,2,FALSE)*VLOOKUP(Sheet1!$A630,Sheet2!$B$5:$H$29,4,FALSE),0)</x:f>
        <x:v>0</x:v>
      </x:c>
      <x:c r="F630">
        <x:f>ROUND($C630*10*VLOOKUP($B630,Sheet2!$J$5:$K$7,2,FALSE)*VLOOKUP(Sheet1!$A630,Sheet2!$B$5:$H$29,5,FALSE),0)</x:f>
        <x:v>0</x:v>
      </x:c>
      <x:c r="G630">
        <x:f>ROUND($C630*10*VLOOKUP($B630,Sheet2!$J$5:$K$7,2,FALSE)*VLOOKUP(Sheet1!$A630,Sheet2!$B$5:$H$29,6,FALSE),0)</x:f>
        <x:v>56</x:v>
      </x:c>
      <x:c r="H630">
        <x:f>ROUND($C630*10*VLOOKUP($B630,Sheet2!$J$5:$K$7,2,FALSE)*VLOOKUP(Sheet1!$A630,Sheet2!$B$5:$H$29,7,FALSE),0)</x:f>
        <x:v>0</x:v>
      </x:c>
      <x:c r="I630">
        <x:f t="shared" si="10"/>
        <x:v>16970</x:v>
      </x:c>
    </x:row>
    <x:row r="631" spans="1:9" x14ac:dyDescent="0.15">
      <x:c r="A631">
        <x:v>54004</x:v>
      </x:c>
      <x:c r="B631">
        <x:v>2</x:v>
      </x:c>
      <x:c r="C631">
        <x:v>30</x:v>
      </x:c>
      <x:c r="D631">
        <x:f>ROUND($C631*10*VLOOKUP($B631,Sheet2!$J$5:$K$7,2,FALSE)*VLOOKUP(Sheet1!$A631,Sheet2!$B$5:$H$29,3,FALSE),0)</x:f>
        <x:v>216</x:v>
      </x:c>
      <x:c r="E631">
        <x:f>ROUND($C631*10*VLOOKUP($B631,Sheet2!$J$5:$K$7,2,FALSE)*VLOOKUP(Sheet1!$A631,Sheet2!$B$5:$H$29,4,FALSE),0)</x:f>
        <x:v>0</x:v>
      </x:c>
      <x:c r="F631">
        <x:f>ROUND($C631*10*VLOOKUP($B631,Sheet2!$J$5:$K$7,2,FALSE)*VLOOKUP(Sheet1!$A631,Sheet2!$B$5:$H$29,5,FALSE),0)</x:f>
        <x:v>0</x:v>
      </x:c>
      <x:c r="G631">
        <x:f>ROUND($C631*10*VLOOKUP($B631,Sheet2!$J$5:$K$7,2,FALSE)*VLOOKUP(Sheet1!$A631,Sheet2!$B$5:$H$29,6,FALSE),0)</x:f>
        <x:v>58</x:v>
      </x:c>
      <x:c r="H631">
        <x:f>ROUND($C631*10*VLOOKUP($B631,Sheet2!$J$5:$K$7,2,FALSE)*VLOOKUP(Sheet1!$A631,Sheet2!$B$5:$H$29,7,FALSE),0)</x:f>
        <x:v>0</x:v>
      </x:c>
      <x:c r="I631">
        <x:f t="shared" si="10"/>
        <x:v>18070</x:v>
      </x:c>
    </x:row>
    <x:row r="632" spans="1:9" x14ac:dyDescent="0.15">
      <x:c r="A632">
        <x:v>54004</x:v>
      </x:c>
      <x:c r="B632">
        <x:v>2</x:v>
      </x:c>
      <x:c r="C632">
        <x:v>31</x:v>
      </x:c>
      <x:c r="D632">
        <x:f>ROUND($C632*10*VLOOKUP($B632,Sheet2!$J$5:$K$7,2,FALSE)*VLOOKUP(Sheet1!$A632,Sheet2!$B$5:$H$29,3,FALSE),0)</x:f>
        <x:v>223</x:v>
      </x:c>
      <x:c r="E632">
        <x:f>ROUND($C632*10*VLOOKUP($B632,Sheet2!$J$5:$K$7,2,FALSE)*VLOOKUP(Sheet1!$A632,Sheet2!$B$5:$H$29,4,FALSE),0)</x:f>
        <x:v>0</x:v>
      </x:c>
      <x:c r="F632">
        <x:f>ROUND($C632*10*VLOOKUP($B632,Sheet2!$J$5:$K$7,2,FALSE)*VLOOKUP(Sheet1!$A632,Sheet2!$B$5:$H$29,5,FALSE),0)</x:f>
        <x:v>0</x:v>
      </x:c>
      <x:c r="G632">
        <x:f>ROUND($C632*10*VLOOKUP($B632,Sheet2!$J$5:$K$7,2,FALSE)*VLOOKUP(Sheet1!$A632,Sheet2!$B$5:$H$29,6,FALSE),0)</x:f>
        <x:v>60</x:v>
      </x:c>
      <x:c r="H632">
        <x:f>ROUND($C632*10*VLOOKUP($B632,Sheet2!$J$5:$K$7,2,FALSE)*VLOOKUP(Sheet1!$A632,Sheet2!$B$5:$H$29,7,FALSE),0)</x:f>
        <x:v>0</x:v>
      </x:c>
      <x:c r="I632">
        <x:f t="shared" si="10"/>
        <x:v>19210</x:v>
      </x:c>
    </x:row>
    <x:row r="633" spans="1:9" x14ac:dyDescent="0.15">
      <x:c r="A633">
        <x:v>54004</x:v>
      </x:c>
      <x:c r="B633">
        <x:v>2</x:v>
      </x:c>
      <x:c r="C633">
        <x:v>32</x:v>
      </x:c>
      <x:c r="D633">
        <x:f>ROUND($C633*10*VLOOKUP($B633,Sheet2!$J$5:$K$7,2,FALSE)*VLOOKUP(Sheet1!$A633,Sheet2!$B$5:$H$29,3,FALSE),0)</x:f>
        <x:v>230</x:v>
      </x:c>
      <x:c r="E633">
        <x:f>ROUND($C633*10*VLOOKUP($B633,Sheet2!$J$5:$K$7,2,FALSE)*VLOOKUP(Sheet1!$A633,Sheet2!$B$5:$H$29,4,FALSE),0)</x:f>
        <x:v>0</x:v>
      </x:c>
      <x:c r="F633">
        <x:f>ROUND($C633*10*VLOOKUP($B633,Sheet2!$J$5:$K$7,2,FALSE)*VLOOKUP(Sheet1!$A633,Sheet2!$B$5:$H$29,5,FALSE),0)</x:f>
        <x:v>0</x:v>
      </x:c>
      <x:c r="G633">
        <x:f>ROUND($C633*10*VLOOKUP($B633,Sheet2!$J$5:$K$7,2,FALSE)*VLOOKUP(Sheet1!$A633,Sheet2!$B$5:$H$29,6,FALSE),0)</x:f>
        <x:v>61</x:v>
      </x:c>
      <x:c r="H633">
        <x:f>ROUND($C633*10*VLOOKUP($B633,Sheet2!$J$5:$K$7,2,FALSE)*VLOOKUP(Sheet1!$A633,Sheet2!$B$5:$H$29,7,FALSE),0)</x:f>
        <x:v>0</x:v>
      </x:c>
      <x:c r="I633">
        <x:f t="shared" si="10"/>
        <x:v>20370</x:v>
      </x:c>
    </x:row>
    <x:row r="634" spans="1:9" x14ac:dyDescent="0.15">
      <x:c r="A634">
        <x:v>54004</x:v>
      </x:c>
      <x:c r="B634">
        <x:v>2</x:v>
      </x:c>
      <x:c r="C634">
        <x:v>33</x:v>
      </x:c>
      <x:c r="D634">
        <x:f>ROUND($C634*10*VLOOKUP($B634,Sheet2!$J$5:$K$7,2,FALSE)*VLOOKUP(Sheet1!$A634,Sheet2!$B$5:$H$29,3,FALSE),0)</x:f>
        <x:v>238</x:v>
      </x:c>
      <x:c r="E634">
        <x:f>ROUND($C634*10*VLOOKUP($B634,Sheet2!$J$5:$K$7,2,FALSE)*VLOOKUP(Sheet1!$A634,Sheet2!$B$5:$H$29,4,FALSE),0)</x:f>
        <x:v>0</x:v>
      </x:c>
      <x:c r="F634">
        <x:f>ROUND($C634*10*VLOOKUP($B634,Sheet2!$J$5:$K$7,2,FALSE)*VLOOKUP(Sheet1!$A634,Sheet2!$B$5:$H$29,5,FALSE),0)</x:f>
        <x:v>0</x:v>
      </x:c>
      <x:c r="G634">
        <x:f>ROUND($C634*10*VLOOKUP($B634,Sheet2!$J$5:$K$7,2,FALSE)*VLOOKUP(Sheet1!$A634,Sheet2!$B$5:$H$29,6,FALSE),0)</x:f>
        <x:v>63</x:v>
      </x:c>
      <x:c r="H634">
        <x:f>ROUND($C634*10*VLOOKUP($B634,Sheet2!$J$5:$K$7,2,FALSE)*VLOOKUP(Sheet1!$A634,Sheet2!$B$5:$H$29,7,FALSE),0)</x:f>
        <x:v>0</x:v>
      </x:c>
      <x:c r="I634">
        <x:f t="shared" si="10"/>
        <x:v>21560</x:v>
      </x:c>
    </x:row>
    <x:row r="635" spans="1:9" x14ac:dyDescent="0.15">
      <x:c r="A635">
        <x:v>54004</x:v>
      </x:c>
      <x:c r="B635">
        <x:v>2</x:v>
      </x:c>
      <x:c r="C635">
        <x:v>34</x:v>
      </x:c>
      <x:c r="D635">
        <x:f>ROUND($C635*10*VLOOKUP($B635,Sheet2!$J$5:$K$7,2,FALSE)*VLOOKUP(Sheet1!$A635,Sheet2!$B$5:$H$29,3,FALSE),0)</x:f>
        <x:v>245</x:v>
      </x:c>
      <x:c r="E635">
        <x:f>ROUND($C635*10*VLOOKUP($B635,Sheet2!$J$5:$K$7,2,FALSE)*VLOOKUP(Sheet1!$A635,Sheet2!$B$5:$H$29,4,FALSE),0)</x:f>
        <x:v>0</x:v>
      </x:c>
      <x:c r="F635">
        <x:f>ROUND($C635*10*VLOOKUP($B635,Sheet2!$J$5:$K$7,2,FALSE)*VLOOKUP(Sheet1!$A635,Sheet2!$B$5:$H$29,5,FALSE),0)</x:f>
        <x:v>0</x:v>
      </x:c>
      <x:c r="G635">
        <x:f>ROUND($C635*10*VLOOKUP($B635,Sheet2!$J$5:$K$7,2,FALSE)*VLOOKUP(Sheet1!$A635,Sheet2!$B$5:$H$29,6,FALSE),0)</x:f>
        <x:v>65</x:v>
      </x:c>
      <x:c r="H635">
        <x:f>ROUND($C635*10*VLOOKUP($B635,Sheet2!$J$5:$K$7,2,FALSE)*VLOOKUP(Sheet1!$A635,Sheet2!$B$5:$H$29,7,FALSE),0)</x:f>
        <x:v>0</x:v>
      </x:c>
      <x:c r="I635">
        <x:f t="shared" si="10"/>
        <x:v>22790</x:v>
      </x:c>
    </x:row>
    <x:row r="636" spans="1:9" x14ac:dyDescent="0.15">
      <x:c r="A636">
        <x:v>54004</x:v>
      </x:c>
      <x:c r="B636">
        <x:v>2</x:v>
      </x:c>
      <x:c r="C636">
        <x:v>35</x:v>
      </x:c>
      <x:c r="D636">
        <x:f>ROUND($C636*10*VLOOKUP($B636,Sheet2!$J$5:$K$7,2,FALSE)*VLOOKUP(Sheet1!$A636,Sheet2!$B$5:$H$29,3,FALSE),0)</x:f>
        <x:v>252</x:v>
      </x:c>
      <x:c r="E636">
        <x:f>ROUND($C636*10*VLOOKUP($B636,Sheet2!$J$5:$K$7,2,FALSE)*VLOOKUP(Sheet1!$A636,Sheet2!$B$5:$H$29,4,FALSE),0)</x:f>
        <x:v>0</x:v>
      </x:c>
      <x:c r="F636">
        <x:f>ROUND($C636*10*VLOOKUP($B636,Sheet2!$J$5:$K$7,2,FALSE)*VLOOKUP(Sheet1!$A636,Sheet2!$B$5:$H$29,5,FALSE),0)</x:f>
        <x:v>0</x:v>
      </x:c>
      <x:c r="G636">
        <x:f>ROUND($C636*10*VLOOKUP($B636,Sheet2!$J$5:$K$7,2,FALSE)*VLOOKUP(Sheet1!$A636,Sheet2!$B$5:$H$29,6,FALSE),0)</x:f>
        <x:v>67</x:v>
      </x:c>
      <x:c r="H636">
        <x:f>ROUND($C636*10*VLOOKUP($B636,Sheet2!$J$5:$K$7,2,FALSE)*VLOOKUP(Sheet1!$A636,Sheet2!$B$5:$H$29,7,FALSE),0)</x:f>
        <x:v>0</x:v>
      </x:c>
      <x:c r="I636">
        <x:f t="shared" si="10"/>
        <x:v>24040</x:v>
      </x:c>
    </x:row>
    <x:row r="637" spans="1:9" x14ac:dyDescent="0.15">
      <x:c r="A637">
        <x:v>54004</x:v>
      </x:c>
      <x:c r="B637">
        <x:v>2</x:v>
      </x:c>
      <x:c r="C637">
        <x:v>36</x:v>
      </x:c>
      <x:c r="D637">
        <x:f>ROUND($C637*10*VLOOKUP($B637,Sheet2!$J$5:$K$7,2,FALSE)*VLOOKUP(Sheet1!$A637,Sheet2!$B$5:$H$29,3,FALSE),0)</x:f>
        <x:v>259</x:v>
      </x:c>
      <x:c r="E637">
        <x:f>ROUND($C637*10*VLOOKUP($B637,Sheet2!$J$5:$K$7,2,FALSE)*VLOOKUP(Sheet1!$A637,Sheet2!$B$5:$H$29,4,FALSE),0)</x:f>
        <x:v>0</x:v>
      </x:c>
      <x:c r="F637">
        <x:f>ROUND($C637*10*VLOOKUP($B637,Sheet2!$J$5:$K$7,2,FALSE)*VLOOKUP(Sheet1!$A637,Sheet2!$B$5:$H$29,5,FALSE),0)</x:f>
        <x:v>0</x:v>
      </x:c>
      <x:c r="G637">
        <x:f>ROUND($C637*10*VLOOKUP($B637,Sheet2!$J$5:$K$7,2,FALSE)*VLOOKUP(Sheet1!$A637,Sheet2!$B$5:$H$29,6,FALSE),0)</x:f>
        <x:v>69</x:v>
      </x:c>
      <x:c r="H637">
        <x:f>ROUND($C637*10*VLOOKUP($B637,Sheet2!$J$5:$K$7,2,FALSE)*VLOOKUP(Sheet1!$A637,Sheet2!$B$5:$H$29,7,FALSE),0)</x:f>
        <x:v>0</x:v>
      </x:c>
      <x:c r="I637">
        <x:f t="shared" si="10"/>
        <x:v>25330</x:v>
      </x:c>
    </x:row>
    <x:row r="638" spans="1:9" x14ac:dyDescent="0.15">
      <x:c r="A638">
        <x:v>54004</x:v>
      </x:c>
      <x:c r="B638">
        <x:v>2</x:v>
      </x:c>
      <x:c r="C638">
        <x:v>37</x:v>
      </x:c>
      <x:c r="D638">
        <x:f>ROUND($C638*10*VLOOKUP($B638,Sheet2!$J$5:$K$7,2,FALSE)*VLOOKUP(Sheet1!$A638,Sheet2!$B$5:$H$29,3,FALSE),0)</x:f>
        <x:v>266</x:v>
      </x:c>
      <x:c r="E638">
        <x:f>ROUND($C638*10*VLOOKUP($B638,Sheet2!$J$5:$K$7,2,FALSE)*VLOOKUP(Sheet1!$A638,Sheet2!$B$5:$H$29,4,FALSE),0)</x:f>
        <x:v>0</x:v>
      </x:c>
      <x:c r="F638">
        <x:f>ROUND($C638*10*VLOOKUP($B638,Sheet2!$J$5:$K$7,2,FALSE)*VLOOKUP(Sheet1!$A638,Sheet2!$B$5:$H$29,5,FALSE),0)</x:f>
        <x:v>0</x:v>
      </x:c>
      <x:c r="G638">
        <x:f>ROUND($C638*10*VLOOKUP($B638,Sheet2!$J$5:$K$7,2,FALSE)*VLOOKUP(Sheet1!$A638,Sheet2!$B$5:$H$29,6,FALSE),0)</x:f>
        <x:v>71</x:v>
      </x:c>
      <x:c r="H638">
        <x:f>ROUND($C638*10*VLOOKUP($B638,Sheet2!$J$5:$K$7,2,FALSE)*VLOOKUP(Sheet1!$A638,Sheet2!$B$5:$H$29,7,FALSE),0)</x:f>
        <x:v>0</x:v>
      </x:c>
      <x:c r="I638">
        <x:f t="shared" si="10"/>
        <x:v>26640</x:v>
      </x:c>
    </x:row>
    <x:row r="639" spans="1:9" x14ac:dyDescent="0.15">
      <x:c r="A639">
        <x:v>54004</x:v>
      </x:c>
      <x:c r="B639">
        <x:v>2</x:v>
      </x:c>
      <x:c r="C639">
        <x:v>38</x:v>
      </x:c>
      <x:c r="D639">
        <x:f>ROUND($C639*10*VLOOKUP($B639,Sheet2!$J$5:$K$7,2,FALSE)*VLOOKUP(Sheet1!$A639,Sheet2!$B$5:$H$29,3,FALSE),0)</x:f>
        <x:v>274</x:v>
      </x:c>
      <x:c r="E639">
        <x:f>ROUND($C639*10*VLOOKUP($B639,Sheet2!$J$5:$K$7,2,FALSE)*VLOOKUP(Sheet1!$A639,Sheet2!$B$5:$H$29,4,FALSE),0)</x:f>
        <x:v>0</x:v>
      </x:c>
      <x:c r="F639">
        <x:f>ROUND($C639*10*VLOOKUP($B639,Sheet2!$J$5:$K$7,2,FALSE)*VLOOKUP(Sheet1!$A639,Sheet2!$B$5:$H$29,5,FALSE),0)</x:f>
        <x:v>0</x:v>
      </x:c>
      <x:c r="G639">
        <x:f>ROUND($C639*10*VLOOKUP($B639,Sheet2!$J$5:$K$7,2,FALSE)*VLOOKUP(Sheet1!$A639,Sheet2!$B$5:$H$29,6,FALSE),0)</x:f>
        <x:v>73</x:v>
      </x:c>
      <x:c r="H639">
        <x:f>ROUND($C639*10*VLOOKUP($B639,Sheet2!$J$5:$K$7,2,FALSE)*VLOOKUP(Sheet1!$A639,Sheet2!$B$5:$H$29,7,FALSE),0)</x:f>
        <x:v>0</x:v>
      </x:c>
      <x:c r="I639">
        <x:f t="shared" si="10"/>
        <x:v>27990</x:v>
      </x:c>
    </x:row>
    <x:row r="640" spans="1:9" x14ac:dyDescent="0.15">
      <x:c r="A640">
        <x:v>54004</x:v>
      </x:c>
      <x:c r="B640">
        <x:v>2</x:v>
      </x:c>
      <x:c r="C640">
        <x:v>39</x:v>
      </x:c>
      <x:c r="D640">
        <x:f>ROUND($C640*10*VLOOKUP($B640,Sheet2!$J$5:$K$7,2,FALSE)*VLOOKUP(Sheet1!$A640,Sheet2!$B$5:$H$29,3,FALSE),0)</x:f>
        <x:v>281</x:v>
      </x:c>
      <x:c r="E640">
        <x:f>ROUND($C640*10*VLOOKUP($B640,Sheet2!$J$5:$K$7,2,FALSE)*VLOOKUP(Sheet1!$A640,Sheet2!$B$5:$H$29,4,FALSE),0)</x:f>
        <x:v>0</x:v>
      </x:c>
      <x:c r="F640">
        <x:f>ROUND($C640*10*VLOOKUP($B640,Sheet2!$J$5:$K$7,2,FALSE)*VLOOKUP(Sheet1!$A640,Sheet2!$B$5:$H$29,5,FALSE),0)</x:f>
        <x:v>0</x:v>
      </x:c>
      <x:c r="G640">
        <x:f>ROUND($C640*10*VLOOKUP($B640,Sheet2!$J$5:$K$7,2,FALSE)*VLOOKUP(Sheet1!$A640,Sheet2!$B$5:$H$29,6,FALSE),0)</x:f>
        <x:v>75</x:v>
      </x:c>
      <x:c r="H640">
        <x:f>ROUND($C640*10*VLOOKUP($B640,Sheet2!$J$5:$K$7,2,FALSE)*VLOOKUP(Sheet1!$A640,Sheet2!$B$5:$H$29,7,FALSE),0)</x:f>
        <x:v>0</x:v>
      </x:c>
      <x:c r="I640">
        <x:f t="shared" si="10"/>
        <x:v>29360</x:v>
      </x:c>
    </x:row>
    <x:row r="641" spans="1:9" x14ac:dyDescent="0.15">
      <x:c r="A641">
        <x:v>54004</x:v>
      </x:c>
      <x:c r="B641">
        <x:v>2</x:v>
      </x:c>
      <x:c r="C641">
        <x:v>40</x:v>
      </x:c>
      <x:c r="D641">
        <x:f>ROUND($C641*10*VLOOKUP($B641,Sheet2!$J$5:$K$7,2,FALSE)*VLOOKUP(Sheet1!$A641,Sheet2!$B$5:$H$29,3,FALSE),0)</x:f>
        <x:v>288</x:v>
      </x:c>
      <x:c r="E641">
        <x:f>ROUND($C641*10*VLOOKUP($B641,Sheet2!$J$5:$K$7,2,FALSE)*VLOOKUP(Sheet1!$A641,Sheet2!$B$5:$H$29,4,FALSE),0)</x:f>
        <x:v>0</x:v>
      </x:c>
      <x:c r="F641">
        <x:f>ROUND($C641*10*VLOOKUP($B641,Sheet2!$J$5:$K$7,2,FALSE)*VLOOKUP(Sheet1!$A641,Sheet2!$B$5:$H$29,5,FALSE),0)</x:f>
        <x:v>0</x:v>
      </x:c>
      <x:c r="G641">
        <x:f>ROUND($C641*10*VLOOKUP($B641,Sheet2!$J$5:$K$7,2,FALSE)*VLOOKUP(Sheet1!$A641,Sheet2!$B$5:$H$29,6,FALSE),0)</x:f>
        <x:v>77</x:v>
      </x:c>
      <x:c r="H641">
        <x:f>ROUND($C641*10*VLOOKUP($B641,Sheet2!$J$5:$K$7,2,FALSE)*VLOOKUP(Sheet1!$A641,Sheet2!$B$5:$H$29,7,FALSE),0)</x:f>
        <x:v>0</x:v>
      </x:c>
      <x:c r="I641">
        <x:f t="shared" si="10"/>
        <x:v>30760</x:v>
      </x:c>
    </x:row>
    <x:row r="642" spans="1:9" x14ac:dyDescent="0.15">
      <x:c r="A642">
        <x:v>54004</x:v>
      </x:c>
      <x:c r="B642">
        <x:v>2</x:v>
      </x:c>
      <x:c r="C642">
        <x:v>41</x:v>
      </x:c>
      <x:c r="D642">
        <x:f>ROUND($C642*10*VLOOKUP($B642,Sheet2!$J$5:$K$7,2,FALSE)*VLOOKUP(Sheet1!$A642,Sheet2!$B$5:$H$29,3,FALSE),0)</x:f>
        <x:v>295</x:v>
      </x:c>
      <x:c r="E642">
        <x:f>ROUND($C642*10*VLOOKUP($B642,Sheet2!$J$5:$K$7,2,FALSE)*VLOOKUP(Sheet1!$A642,Sheet2!$B$5:$H$29,4,FALSE),0)</x:f>
        <x:v>0</x:v>
      </x:c>
      <x:c r="F642">
        <x:f>ROUND($C642*10*VLOOKUP($B642,Sheet2!$J$5:$K$7,2,FALSE)*VLOOKUP(Sheet1!$A642,Sheet2!$B$5:$H$29,5,FALSE),0)</x:f>
        <x:v>0</x:v>
      </x:c>
      <x:c r="G642">
        <x:f>ROUND($C642*10*VLOOKUP($B642,Sheet2!$J$5:$K$7,2,FALSE)*VLOOKUP(Sheet1!$A642,Sheet2!$B$5:$H$29,6,FALSE),0)</x:f>
        <x:v>79</x:v>
      </x:c>
      <x:c r="H642">
        <x:f>ROUND($C642*10*VLOOKUP($B642,Sheet2!$J$5:$K$7,2,FALSE)*VLOOKUP(Sheet1!$A642,Sheet2!$B$5:$H$29,7,FALSE),0)</x:f>
        <x:v>0</x:v>
      </x:c>
      <x:c r="I642">
        <x:f t="shared" si="10"/>
        <x:v>32190</x:v>
      </x:c>
    </x:row>
    <x:row r="643" spans="1:9" x14ac:dyDescent="0.15">
      <x:c r="A643">
        <x:v>54004</x:v>
      </x:c>
      <x:c r="B643">
        <x:v>2</x:v>
      </x:c>
      <x:c r="C643">
        <x:v>42</x:v>
      </x:c>
      <x:c r="D643">
        <x:f>ROUND($C643*10*VLOOKUP($B643,Sheet2!$J$5:$K$7,2,FALSE)*VLOOKUP(Sheet1!$A643,Sheet2!$B$5:$H$29,3,FALSE),0)</x:f>
        <x:v>302</x:v>
      </x:c>
      <x:c r="E643">
        <x:f>ROUND($C643*10*VLOOKUP($B643,Sheet2!$J$5:$K$7,2,FALSE)*VLOOKUP(Sheet1!$A643,Sheet2!$B$5:$H$29,4,FALSE),0)</x:f>
        <x:v>0</x:v>
      </x:c>
      <x:c r="F643">
        <x:f>ROUND($C643*10*VLOOKUP($B643,Sheet2!$J$5:$K$7,2,FALSE)*VLOOKUP(Sheet1!$A643,Sheet2!$B$5:$H$29,5,FALSE),0)</x:f>
        <x:v>0</x:v>
      </x:c>
      <x:c r="G643">
        <x:f>ROUND($C643*10*VLOOKUP($B643,Sheet2!$J$5:$K$7,2,FALSE)*VLOOKUP(Sheet1!$A643,Sheet2!$B$5:$H$29,6,FALSE),0)</x:f>
        <x:v>81</x:v>
      </x:c>
      <x:c r="H643">
        <x:f>ROUND($C643*10*VLOOKUP($B643,Sheet2!$J$5:$K$7,2,FALSE)*VLOOKUP(Sheet1!$A643,Sheet2!$B$5:$H$29,7,FALSE),0)</x:f>
        <x:v>0</x:v>
      </x:c>
      <x:c r="I643">
        <x:f t="shared" si="10"/>
        <x:v>33650</x:v>
      </x:c>
    </x:row>
    <x:row r="644" spans="1:9" x14ac:dyDescent="0.15">
      <x:c r="A644">
        <x:v>54004</x:v>
      </x:c>
      <x:c r="B644">
        <x:v>2</x:v>
      </x:c>
      <x:c r="C644">
        <x:v>43</x:v>
      </x:c>
      <x:c r="D644">
        <x:f>ROUND($C644*10*VLOOKUP($B644,Sheet2!$J$5:$K$7,2,FALSE)*VLOOKUP(Sheet1!$A644,Sheet2!$B$5:$H$29,3,FALSE),0)</x:f>
        <x:v>310</x:v>
      </x:c>
      <x:c r="E644">
        <x:f>ROUND($C644*10*VLOOKUP($B644,Sheet2!$J$5:$K$7,2,FALSE)*VLOOKUP(Sheet1!$A644,Sheet2!$B$5:$H$29,4,FALSE),0)</x:f>
        <x:v>0</x:v>
      </x:c>
      <x:c r="F644">
        <x:f>ROUND($C644*10*VLOOKUP($B644,Sheet2!$J$5:$K$7,2,FALSE)*VLOOKUP(Sheet1!$A644,Sheet2!$B$5:$H$29,5,FALSE),0)</x:f>
        <x:v>0</x:v>
      </x:c>
      <x:c r="G644">
        <x:f>ROUND($C644*10*VLOOKUP($B644,Sheet2!$J$5:$K$7,2,FALSE)*VLOOKUP(Sheet1!$A644,Sheet2!$B$5:$H$29,6,FALSE),0)</x:f>
        <x:v>83</x:v>
      </x:c>
      <x:c r="H644">
        <x:f>ROUND($C644*10*VLOOKUP($B644,Sheet2!$J$5:$K$7,2,FALSE)*VLOOKUP(Sheet1!$A644,Sheet2!$B$5:$H$29,7,FALSE),0)</x:f>
        <x:v>0</x:v>
      </x:c>
      <x:c r="I644">
        <x:f t="shared" si="10"/>
        <x:v>35140</x:v>
      </x:c>
    </x:row>
    <x:row r="645" spans="1:9" x14ac:dyDescent="0.15">
      <x:c r="A645">
        <x:v>54004</x:v>
      </x:c>
      <x:c r="B645">
        <x:v>2</x:v>
      </x:c>
      <x:c r="C645">
        <x:v>44</x:v>
      </x:c>
      <x:c r="D645">
        <x:f>ROUND($C645*10*VLOOKUP($B645,Sheet2!$J$5:$K$7,2,FALSE)*VLOOKUP(Sheet1!$A645,Sheet2!$B$5:$H$29,3,FALSE),0)</x:f>
        <x:v>317</x:v>
      </x:c>
      <x:c r="E645">
        <x:f>ROUND($C645*10*VLOOKUP($B645,Sheet2!$J$5:$K$7,2,FALSE)*VLOOKUP(Sheet1!$A645,Sheet2!$B$5:$H$29,4,FALSE),0)</x:f>
        <x:v>0</x:v>
      </x:c>
      <x:c r="F645">
        <x:f>ROUND($C645*10*VLOOKUP($B645,Sheet2!$J$5:$K$7,2,FALSE)*VLOOKUP(Sheet1!$A645,Sheet2!$B$5:$H$29,5,FALSE),0)</x:f>
        <x:v>0</x:v>
      </x:c>
      <x:c r="G645">
        <x:f>ROUND($C645*10*VLOOKUP($B645,Sheet2!$J$5:$K$7,2,FALSE)*VLOOKUP(Sheet1!$A645,Sheet2!$B$5:$H$29,6,FALSE),0)</x:f>
        <x:v>84</x:v>
      </x:c>
      <x:c r="H645">
        <x:f>ROUND($C645*10*VLOOKUP($B645,Sheet2!$J$5:$K$7,2,FALSE)*VLOOKUP(Sheet1!$A645,Sheet2!$B$5:$H$29,7,FALSE),0)</x:f>
        <x:v>0</x:v>
      </x:c>
      <x:c r="I645">
        <x:f t="shared" si="10"/>
        <x:v>36660</x:v>
      </x:c>
    </x:row>
    <x:row r="646" spans="1:9" x14ac:dyDescent="0.15">
      <x:c r="A646">
        <x:v>54004</x:v>
      </x:c>
      <x:c r="B646">
        <x:v>2</x:v>
      </x:c>
      <x:c r="C646">
        <x:v>45</x:v>
      </x:c>
      <x:c r="D646">
        <x:f>ROUND($C646*10*VLOOKUP($B646,Sheet2!$J$5:$K$7,2,FALSE)*VLOOKUP(Sheet1!$A646,Sheet2!$B$5:$H$29,3,FALSE),0)</x:f>
        <x:v>324</x:v>
      </x:c>
      <x:c r="E646">
        <x:f>ROUND($C646*10*VLOOKUP($B646,Sheet2!$J$5:$K$7,2,FALSE)*VLOOKUP(Sheet1!$A646,Sheet2!$B$5:$H$29,4,FALSE),0)</x:f>
        <x:v>0</x:v>
      </x:c>
      <x:c r="F646">
        <x:f>ROUND($C646*10*VLOOKUP($B646,Sheet2!$J$5:$K$7,2,FALSE)*VLOOKUP(Sheet1!$A646,Sheet2!$B$5:$H$29,5,FALSE),0)</x:f>
        <x:v>0</x:v>
      </x:c>
      <x:c r="G646">
        <x:f>ROUND($C646*10*VLOOKUP($B646,Sheet2!$J$5:$K$7,2,FALSE)*VLOOKUP(Sheet1!$A646,Sheet2!$B$5:$H$29,6,FALSE),0)</x:f>
        <x:v>86</x:v>
      </x:c>
      <x:c r="H646">
        <x:f>ROUND($C646*10*VLOOKUP($B646,Sheet2!$J$5:$K$7,2,FALSE)*VLOOKUP(Sheet1!$A646,Sheet2!$B$5:$H$29,7,FALSE),0)</x:f>
        <x:v>0</x:v>
      </x:c>
      <x:c r="I646">
        <x:f t="shared" si="10"/>
        <x:v>38210</x:v>
      </x:c>
    </x:row>
    <x:row r="647" spans="1:9" x14ac:dyDescent="0.15">
      <x:c r="A647">
        <x:v>54004</x:v>
      </x:c>
      <x:c r="B647">
        <x:v>2</x:v>
      </x:c>
      <x:c r="C647">
        <x:v>46</x:v>
      </x:c>
      <x:c r="D647">
        <x:f>ROUND($C647*10*VLOOKUP($B647,Sheet2!$J$5:$K$7,2,FALSE)*VLOOKUP(Sheet1!$A647,Sheet2!$B$5:$H$29,3,FALSE),0)</x:f>
        <x:v>331</x:v>
      </x:c>
      <x:c r="E647">
        <x:f>ROUND($C647*10*VLOOKUP($B647,Sheet2!$J$5:$K$7,2,FALSE)*VLOOKUP(Sheet1!$A647,Sheet2!$B$5:$H$29,4,FALSE),0)</x:f>
        <x:v>0</x:v>
      </x:c>
      <x:c r="F647">
        <x:f>ROUND($C647*10*VLOOKUP($B647,Sheet2!$J$5:$K$7,2,FALSE)*VLOOKUP(Sheet1!$A647,Sheet2!$B$5:$H$29,5,FALSE),0)</x:f>
        <x:v>0</x:v>
      </x:c>
      <x:c r="G647">
        <x:f>ROUND($C647*10*VLOOKUP($B647,Sheet2!$J$5:$K$7,2,FALSE)*VLOOKUP(Sheet1!$A647,Sheet2!$B$5:$H$29,6,FALSE),0)</x:f>
        <x:v>88</x:v>
      </x:c>
      <x:c r="H647">
        <x:f>ROUND($C647*10*VLOOKUP($B647,Sheet2!$J$5:$K$7,2,FALSE)*VLOOKUP(Sheet1!$A647,Sheet2!$B$5:$H$29,7,FALSE),0)</x:f>
        <x:v>0</x:v>
      </x:c>
      <x:c r="I647">
        <x:f t="shared" si="10"/>
        <x:v>39780</x:v>
      </x:c>
    </x:row>
    <x:row r="648" spans="1:9" x14ac:dyDescent="0.15">
      <x:c r="A648">
        <x:v>54004</x:v>
      </x:c>
      <x:c r="B648">
        <x:v>2</x:v>
      </x:c>
      <x:c r="C648">
        <x:v>47</x:v>
      </x:c>
      <x:c r="D648">
        <x:f>ROUND($C648*10*VLOOKUP($B648,Sheet2!$J$5:$K$7,2,FALSE)*VLOOKUP(Sheet1!$A648,Sheet2!$B$5:$H$29,3,FALSE),0)</x:f>
        <x:v>338</x:v>
      </x:c>
      <x:c r="E648">
        <x:f>ROUND($C648*10*VLOOKUP($B648,Sheet2!$J$5:$K$7,2,FALSE)*VLOOKUP(Sheet1!$A648,Sheet2!$B$5:$H$29,4,FALSE),0)</x:f>
        <x:v>0</x:v>
      </x:c>
      <x:c r="F648">
        <x:f>ROUND($C648*10*VLOOKUP($B648,Sheet2!$J$5:$K$7,2,FALSE)*VLOOKUP(Sheet1!$A648,Sheet2!$B$5:$H$29,5,FALSE),0)</x:f>
        <x:v>0</x:v>
      </x:c>
      <x:c r="G648">
        <x:f>ROUND($C648*10*VLOOKUP($B648,Sheet2!$J$5:$K$7,2,FALSE)*VLOOKUP(Sheet1!$A648,Sheet2!$B$5:$H$29,6,FALSE),0)</x:f>
        <x:v>90</x:v>
      </x:c>
      <x:c r="H648">
        <x:f>ROUND($C648*10*VLOOKUP($B648,Sheet2!$J$5:$K$7,2,FALSE)*VLOOKUP(Sheet1!$A648,Sheet2!$B$5:$H$29,7,FALSE),0)</x:f>
        <x:v>0</x:v>
      </x:c>
      <x:c r="I648">
        <x:f t="shared" si="10"/>
        <x:v>41390</x:v>
      </x:c>
    </x:row>
    <x:row r="649" spans="1:9" x14ac:dyDescent="0.15">
      <x:c r="A649">
        <x:v>54004</x:v>
      </x:c>
      <x:c r="B649">
        <x:v>2</x:v>
      </x:c>
      <x:c r="C649">
        <x:v>48</x:v>
      </x:c>
      <x:c r="D649">
        <x:f>ROUND($C649*10*VLOOKUP($B649,Sheet2!$J$5:$K$7,2,FALSE)*VLOOKUP(Sheet1!$A649,Sheet2!$B$5:$H$29,3,FALSE),0)</x:f>
        <x:v>346</x:v>
      </x:c>
      <x:c r="E649">
        <x:f>ROUND($C649*10*VLOOKUP($B649,Sheet2!$J$5:$K$7,2,FALSE)*VLOOKUP(Sheet1!$A649,Sheet2!$B$5:$H$29,4,FALSE),0)</x:f>
        <x:v>0</x:v>
      </x:c>
      <x:c r="F649">
        <x:f>ROUND($C649*10*VLOOKUP($B649,Sheet2!$J$5:$K$7,2,FALSE)*VLOOKUP(Sheet1!$A649,Sheet2!$B$5:$H$29,5,FALSE),0)</x:f>
        <x:v>0</x:v>
      </x:c>
      <x:c r="G649">
        <x:f>ROUND($C649*10*VLOOKUP($B649,Sheet2!$J$5:$K$7,2,FALSE)*VLOOKUP(Sheet1!$A649,Sheet2!$B$5:$H$29,6,FALSE),0)</x:f>
        <x:v>92</x:v>
      </x:c>
      <x:c r="H649">
        <x:f>ROUND($C649*10*VLOOKUP($B649,Sheet2!$J$5:$K$7,2,FALSE)*VLOOKUP(Sheet1!$A649,Sheet2!$B$5:$H$29,7,FALSE),0)</x:f>
        <x:v>0</x:v>
      </x:c>
      <x:c r="I649">
        <x:f t="shared" si="10"/>
        <x:v>43020</x:v>
      </x:c>
    </x:row>
    <x:row r="650" spans="1:9" x14ac:dyDescent="0.15">
      <x:c r="A650">
        <x:v>54004</x:v>
      </x:c>
      <x:c r="B650">
        <x:v>2</x:v>
      </x:c>
      <x:c r="C650">
        <x:v>49</x:v>
      </x:c>
      <x:c r="D650">
        <x:f>ROUND($C650*10*VLOOKUP($B650,Sheet2!$J$5:$K$7,2,FALSE)*VLOOKUP(Sheet1!$A650,Sheet2!$B$5:$H$29,3,FALSE),0)</x:f>
        <x:v>353</x:v>
      </x:c>
      <x:c r="E650">
        <x:f>ROUND($C650*10*VLOOKUP($B650,Sheet2!$J$5:$K$7,2,FALSE)*VLOOKUP(Sheet1!$A650,Sheet2!$B$5:$H$29,4,FALSE),0)</x:f>
        <x:v>0</x:v>
      </x:c>
      <x:c r="F650">
        <x:f>ROUND($C650*10*VLOOKUP($B650,Sheet2!$J$5:$K$7,2,FALSE)*VLOOKUP(Sheet1!$A650,Sheet2!$B$5:$H$29,5,FALSE),0)</x:f>
        <x:v>0</x:v>
      </x:c>
      <x:c r="G650">
        <x:f>ROUND($C650*10*VLOOKUP($B650,Sheet2!$J$5:$K$7,2,FALSE)*VLOOKUP(Sheet1!$A650,Sheet2!$B$5:$H$29,6,FALSE),0)</x:f>
        <x:v>94</x:v>
      </x:c>
      <x:c r="H650">
        <x:f>ROUND($C650*10*VLOOKUP($B650,Sheet2!$J$5:$K$7,2,FALSE)*VLOOKUP(Sheet1!$A650,Sheet2!$B$5:$H$29,7,FALSE),0)</x:f>
        <x:v>0</x:v>
      </x:c>
      <x:c r="I650">
        <x:f t="shared" si="10"/>
        <x:v>44680</x:v>
      </x:c>
    </x:row>
    <x:row r="651" spans="1:9" x14ac:dyDescent="0.15">
      <x:c r="A651">
        <x:v>54004</x:v>
      </x:c>
      <x:c r="B651">
        <x:v>2</x:v>
      </x:c>
      <x:c r="C651">
        <x:v>50</x:v>
      </x:c>
      <x:c r="D651">
        <x:f>ROUND($C651*10*VLOOKUP($B651,Sheet2!$J$5:$K$7,2,FALSE)*VLOOKUP(Sheet1!$A651,Sheet2!$B$5:$H$29,3,FALSE),0)</x:f>
        <x:v>360</x:v>
      </x:c>
      <x:c r="E651">
        <x:f>ROUND($C651*10*VLOOKUP($B651,Sheet2!$J$5:$K$7,2,FALSE)*VLOOKUP(Sheet1!$A651,Sheet2!$B$5:$H$29,4,FALSE),0)</x:f>
        <x:v>0</x:v>
      </x:c>
      <x:c r="F651">
        <x:f>ROUND($C651*10*VLOOKUP($B651,Sheet2!$J$5:$K$7,2,FALSE)*VLOOKUP(Sheet1!$A651,Sheet2!$B$5:$H$29,5,FALSE),0)</x:f>
        <x:v>0</x:v>
      </x:c>
      <x:c r="G651">
        <x:f>ROUND($C651*10*VLOOKUP($B651,Sheet2!$J$5:$K$7,2,FALSE)*VLOOKUP(Sheet1!$A651,Sheet2!$B$5:$H$29,6,FALSE),0)</x:f>
        <x:v>96</x:v>
      </x:c>
      <x:c r="H651">
        <x:f>ROUND($C651*10*VLOOKUP($B651,Sheet2!$J$5:$K$7,2,FALSE)*VLOOKUP(Sheet1!$A651,Sheet2!$B$5:$H$29,7,FALSE),0)</x:f>
        <x:v>0</x:v>
      </x:c>
      <x:c r="I651">
        <x:f t="shared" si="10"/>
        <x:v>46360</x:v>
      </x:c>
    </x:row>
    <x:row r="652" spans="1:9" x14ac:dyDescent="0.15">
      <x:c r="A652">
        <x:v>54004</x:v>
      </x:c>
      <x:c r="B652">
        <x:v>2</x:v>
      </x:c>
      <x:c r="C652">
        <x:v>51</x:v>
      </x:c>
      <x:c r="D652">
        <x:f>ROUND($C652*10*VLOOKUP($B652,Sheet2!$J$5:$K$7,2,FALSE)*VLOOKUP(Sheet1!$A652,Sheet2!$B$5:$H$29,3,FALSE),0)</x:f>
        <x:v>367</x:v>
      </x:c>
      <x:c r="E652">
        <x:f>ROUND($C652*10*VLOOKUP($B652,Sheet2!$J$5:$K$7,2,FALSE)*VLOOKUP(Sheet1!$A652,Sheet2!$B$5:$H$29,4,FALSE),0)</x:f>
        <x:v>0</x:v>
      </x:c>
      <x:c r="F652">
        <x:f>ROUND($C652*10*VLOOKUP($B652,Sheet2!$J$5:$K$7,2,FALSE)*VLOOKUP(Sheet1!$A652,Sheet2!$B$5:$H$29,5,FALSE),0)</x:f>
        <x:v>0</x:v>
      </x:c>
      <x:c r="G652">
        <x:f>ROUND($C652*10*VLOOKUP($B652,Sheet2!$J$5:$K$7,2,FALSE)*VLOOKUP(Sheet1!$A652,Sheet2!$B$5:$H$29,6,FALSE),0)</x:f>
        <x:v>98</x:v>
      </x:c>
      <x:c r="H652">
        <x:f>ROUND($C652*10*VLOOKUP($B652,Sheet2!$J$5:$K$7,2,FALSE)*VLOOKUP(Sheet1!$A652,Sheet2!$B$5:$H$29,7,FALSE),0)</x:f>
        <x:v>0</x:v>
      </x:c>
      <x:c r="I652">
        <x:f t="shared" si="10"/>
        <x:v>48080</x:v>
      </x:c>
    </x:row>
    <x:row r="653" spans="1:9" x14ac:dyDescent="0.15">
      <x:c r="A653">
        <x:v>54004</x:v>
      </x:c>
      <x:c r="B653">
        <x:v>2</x:v>
      </x:c>
      <x:c r="C653">
        <x:v>52</x:v>
      </x:c>
      <x:c r="D653">
        <x:f>ROUND($C653*10*VLOOKUP($B653,Sheet2!$J$5:$K$7,2,FALSE)*VLOOKUP(Sheet1!$A653,Sheet2!$B$5:$H$29,3,FALSE),0)</x:f>
        <x:v>374</x:v>
      </x:c>
      <x:c r="E653">
        <x:f>ROUND($C653*10*VLOOKUP($B653,Sheet2!$J$5:$K$7,2,FALSE)*VLOOKUP(Sheet1!$A653,Sheet2!$B$5:$H$29,4,FALSE),0)</x:f>
        <x:v>0</x:v>
      </x:c>
      <x:c r="F653">
        <x:f>ROUND($C653*10*VLOOKUP($B653,Sheet2!$J$5:$K$7,2,FALSE)*VLOOKUP(Sheet1!$A653,Sheet2!$B$5:$H$29,5,FALSE),0)</x:f>
        <x:v>0</x:v>
      </x:c>
      <x:c r="G653">
        <x:f>ROUND($C653*10*VLOOKUP($B653,Sheet2!$J$5:$K$7,2,FALSE)*VLOOKUP(Sheet1!$A653,Sheet2!$B$5:$H$29,6,FALSE),0)</x:f>
        <x:v>100</x:v>
      </x:c>
      <x:c r="H653">
        <x:f>ROUND($C653*10*VLOOKUP($B653,Sheet2!$J$5:$K$7,2,FALSE)*VLOOKUP(Sheet1!$A653,Sheet2!$B$5:$H$29,7,FALSE),0)</x:f>
        <x:v>0</x:v>
      </x:c>
      <x:c r="I653">
        <x:f t="shared" si="10"/>
        <x:v>49820</x:v>
      </x:c>
    </x:row>
    <x:row r="654" spans="1:9" x14ac:dyDescent="0.15">
      <x:c r="A654">
        <x:v>54004</x:v>
      </x:c>
      <x:c r="B654">
        <x:v>2</x:v>
      </x:c>
      <x:c r="C654">
        <x:v>53</x:v>
      </x:c>
      <x:c r="D654">
        <x:f>ROUND($C654*10*VLOOKUP($B654,Sheet2!$J$5:$K$7,2,FALSE)*VLOOKUP(Sheet1!$A654,Sheet2!$B$5:$H$29,3,FALSE),0)</x:f>
        <x:v>382</x:v>
      </x:c>
      <x:c r="E654">
        <x:f>ROUND($C654*10*VLOOKUP($B654,Sheet2!$J$5:$K$7,2,FALSE)*VLOOKUP(Sheet1!$A654,Sheet2!$B$5:$H$29,4,FALSE),0)</x:f>
        <x:v>0</x:v>
      </x:c>
      <x:c r="F654">
        <x:f>ROUND($C654*10*VLOOKUP($B654,Sheet2!$J$5:$K$7,2,FALSE)*VLOOKUP(Sheet1!$A654,Sheet2!$B$5:$H$29,5,FALSE),0)</x:f>
        <x:v>0</x:v>
      </x:c>
      <x:c r="G654">
        <x:f>ROUND($C654*10*VLOOKUP($B654,Sheet2!$J$5:$K$7,2,FALSE)*VLOOKUP(Sheet1!$A654,Sheet2!$B$5:$H$29,6,FALSE),0)</x:f>
        <x:v>102</x:v>
      </x:c>
      <x:c r="H654">
        <x:f>ROUND($C654*10*VLOOKUP($B654,Sheet2!$J$5:$K$7,2,FALSE)*VLOOKUP(Sheet1!$A654,Sheet2!$B$5:$H$29,7,FALSE),0)</x:f>
        <x:v>0</x:v>
      </x:c>
      <x:c r="I654">
        <x:f t="shared" si="10"/>
        <x:v>51590</x:v>
      </x:c>
    </x:row>
    <x:row r="655" spans="1:9" x14ac:dyDescent="0.15">
      <x:c r="A655">
        <x:v>54004</x:v>
      </x:c>
      <x:c r="B655">
        <x:v>2</x:v>
      </x:c>
      <x:c r="C655">
        <x:v>54</x:v>
      </x:c>
      <x:c r="D655">
        <x:f>ROUND($C655*10*VLOOKUP($B655,Sheet2!$J$5:$K$7,2,FALSE)*VLOOKUP(Sheet1!$A655,Sheet2!$B$5:$H$29,3,FALSE),0)</x:f>
        <x:v>389</x:v>
      </x:c>
      <x:c r="E655">
        <x:f>ROUND($C655*10*VLOOKUP($B655,Sheet2!$J$5:$K$7,2,FALSE)*VLOOKUP(Sheet1!$A655,Sheet2!$B$5:$H$29,4,FALSE),0)</x:f>
        <x:v>0</x:v>
      </x:c>
      <x:c r="F655">
        <x:f>ROUND($C655*10*VLOOKUP($B655,Sheet2!$J$5:$K$7,2,FALSE)*VLOOKUP(Sheet1!$A655,Sheet2!$B$5:$H$29,5,FALSE),0)</x:f>
        <x:v>0</x:v>
      </x:c>
      <x:c r="G655">
        <x:f>ROUND($C655*10*VLOOKUP($B655,Sheet2!$J$5:$K$7,2,FALSE)*VLOOKUP(Sheet1!$A655,Sheet2!$B$5:$H$29,6,FALSE),0)</x:f>
        <x:v>104</x:v>
      </x:c>
      <x:c r="H655">
        <x:f>ROUND($C655*10*VLOOKUP($B655,Sheet2!$J$5:$K$7,2,FALSE)*VLOOKUP(Sheet1!$A655,Sheet2!$B$5:$H$29,7,FALSE),0)</x:f>
        <x:v>0</x:v>
      </x:c>
      <x:c r="I655">
        <x:f t="shared" si="10"/>
        <x:v>53390</x:v>
      </x:c>
    </x:row>
    <x:row r="656" spans="1:9" x14ac:dyDescent="0.15">
      <x:c r="A656">
        <x:v>54004</x:v>
      </x:c>
      <x:c r="B656">
        <x:v>2</x:v>
      </x:c>
      <x:c r="C656">
        <x:v>55</x:v>
      </x:c>
      <x:c r="D656">
        <x:f>ROUND($C656*10*VLOOKUP($B656,Sheet2!$J$5:$K$7,2,FALSE)*VLOOKUP(Sheet1!$A656,Sheet2!$B$5:$H$29,3,FALSE),0)</x:f>
        <x:v>396</x:v>
      </x:c>
      <x:c r="E656">
        <x:f>ROUND($C656*10*VLOOKUP($B656,Sheet2!$J$5:$K$7,2,FALSE)*VLOOKUP(Sheet1!$A656,Sheet2!$B$5:$H$29,4,FALSE),0)</x:f>
        <x:v>0</x:v>
      </x:c>
      <x:c r="F656">
        <x:f>ROUND($C656*10*VLOOKUP($B656,Sheet2!$J$5:$K$7,2,FALSE)*VLOOKUP(Sheet1!$A656,Sheet2!$B$5:$H$29,5,FALSE),0)</x:f>
        <x:v>0</x:v>
      </x:c>
      <x:c r="G656">
        <x:f>ROUND($C656*10*VLOOKUP($B656,Sheet2!$J$5:$K$7,2,FALSE)*VLOOKUP(Sheet1!$A656,Sheet2!$B$5:$H$29,6,FALSE),0)</x:f>
        <x:v>106</x:v>
      </x:c>
      <x:c r="H656">
        <x:f>ROUND($C656*10*VLOOKUP($B656,Sheet2!$J$5:$K$7,2,FALSE)*VLOOKUP(Sheet1!$A656,Sheet2!$B$5:$H$29,7,FALSE),0)</x:f>
        <x:v>0</x:v>
      </x:c>
      <x:c r="I656">
        <x:f t="shared" si="10"/>
        <x:v>55210</x:v>
      </x:c>
    </x:row>
    <x:row r="657" spans="1:9" x14ac:dyDescent="0.15">
      <x:c r="A657">
        <x:v>54004</x:v>
      </x:c>
      <x:c r="B657">
        <x:v>2</x:v>
      </x:c>
      <x:c r="C657">
        <x:v>56</x:v>
      </x:c>
      <x:c r="D657">
        <x:f>ROUND($C657*10*VLOOKUP($B657,Sheet2!$J$5:$K$7,2,FALSE)*VLOOKUP(Sheet1!$A657,Sheet2!$B$5:$H$29,3,FALSE),0)</x:f>
        <x:v>403</x:v>
      </x:c>
      <x:c r="E657">
        <x:f>ROUND($C657*10*VLOOKUP($B657,Sheet2!$J$5:$K$7,2,FALSE)*VLOOKUP(Sheet1!$A657,Sheet2!$B$5:$H$29,4,FALSE),0)</x:f>
        <x:v>0</x:v>
      </x:c>
      <x:c r="F657">
        <x:f>ROUND($C657*10*VLOOKUP($B657,Sheet2!$J$5:$K$7,2,FALSE)*VLOOKUP(Sheet1!$A657,Sheet2!$B$5:$H$29,5,FALSE),0)</x:f>
        <x:v>0</x:v>
      </x:c>
      <x:c r="G657">
        <x:f>ROUND($C657*10*VLOOKUP($B657,Sheet2!$J$5:$K$7,2,FALSE)*VLOOKUP(Sheet1!$A657,Sheet2!$B$5:$H$29,6,FALSE),0)</x:f>
        <x:v>108</x:v>
      </x:c>
      <x:c r="H657">
        <x:f>ROUND($C657*10*VLOOKUP($B657,Sheet2!$J$5:$K$7,2,FALSE)*VLOOKUP(Sheet1!$A657,Sheet2!$B$5:$H$29,7,FALSE),0)</x:f>
        <x:v>0</x:v>
      </x:c>
      <x:c r="I657">
        <x:f t="shared" si="10"/>
        <x:v>57060</x:v>
      </x:c>
    </x:row>
    <x:row r="658" spans="1:9" x14ac:dyDescent="0.15">
      <x:c r="A658">
        <x:v>54004</x:v>
      </x:c>
      <x:c r="B658">
        <x:v>2</x:v>
      </x:c>
      <x:c r="C658">
        <x:v>57</x:v>
      </x:c>
      <x:c r="D658">
        <x:f>ROUND($C658*10*VLOOKUP($B658,Sheet2!$J$5:$K$7,2,FALSE)*VLOOKUP(Sheet1!$A658,Sheet2!$B$5:$H$29,3,FALSE),0)</x:f>
        <x:v>410</x:v>
      </x:c>
      <x:c r="E658">
        <x:f>ROUND($C658*10*VLOOKUP($B658,Sheet2!$J$5:$K$7,2,FALSE)*VLOOKUP(Sheet1!$A658,Sheet2!$B$5:$H$29,4,FALSE),0)</x:f>
        <x:v>0</x:v>
      </x:c>
      <x:c r="F658">
        <x:f>ROUND($C658*10*VLOOKUP($B658,Sheet2!$J$5:$K$7,2,FALSE)*VLOOKUP(Sheet1!$A658,Sheet2!$B$5:$H$29,5,FALSE),0)</x:f>
        <x:v>0</x:v>
      </x:c>
      <x:c r="G658">
        <x:f>ROUND($C658*10*VLOOKUP($B658,Sheet2!$J$5:$K$7,2,FALSE)*VLOOKUP(Sheet1!$A658,Sheet2!$B$5:$H$29,6,FALSE),0)</x:f>
        <x:v>109</x:v>
      </x:c>
      <x:c r="H658">
        <x:f>ROUND($C658*10*VLOOKUP($B658,Sheet2!$J$5:$K$7,2,FALSE)*VLOOKUP(Sheet1!$A658,Sheet2!$B$5:$H$29,7,FALSE),0)</x:f>
        <x:v>0</x:v>
      </x:c>
      <x:c r="I658">
        <x:f t="shared" si="10"/>
        <x:v>58940</x:v>
      </x:c>
    </x:row>
    <x:row r="659" spans="1:9" x14ac:dyDescent="0.15">
      <x:c r="A659">
        <x:v>54004</x:v>
      </x:c>
      <x:c r="B659">
        <x:v>2</x:v>
      </x:c>
      <x:c r="C659">
        <x:v>58</x:v>
      </x:c>
      <x:c r="D659">
        <x:f>ROUND($C659*10*VLOOKUP($B659,Sheet2!$J$5:$K$7,2,FALSE)*VLOOKUP(Sheet1!$A659,Sheet2!$B$5:$H$29,3,FALSE),0)</x:f>
        <x:v>418</x:v>
      </x:c>
      <x:c r="E659">
        <x:f>ROUND($C659*10*VLOOKUP($B659,Sheet2!$J$5:$K$7,2,FALSE)*VLOOKUP(Sheet1!$A659,Sheet2!$B$5:$H$29,4,FALSE),0)</x:f>
        <x:v>0</x:v>
      </x:c>
      <x:c r="F659">
        <x:f>ROUND($C659*10*VLOOKUP($B659,Sheet2!$J$5:$K$7,2,FALSE)*VLOOKUP(Sheet1!$A659,Sheet2!$B$5:$H$29,5,FALSE),0)</x:f>
        <x:v>0</x:v>
      </x:c>
      <x:c r="G659">
        <x:f>ROUND($C659*10*VLOOKUP($B659,Sheet2!$J$5:$K$7,2,FALSE)*VLOOKUP(Sheet1!$A659,Sheet2!$B$5:$H$29,6,FALSE),0)</x:f>
        <x:v>111</x:v>
      </x:c>
      <x:c r="H659">
        <x:f>ROUND($C659*10*VLOOKUP($B659,Sheet2!$J$5:$K$7,2,FALSE)*VLOOKUP(Sheet1!$A659,Sheet2!$B$5:$H$29,7,FALSE),0)</x:f>
        <x:v>0</x:v>
      </x:c>
      <x:c r="I659">
        <x:f t="shared" si="10"/>
        <x:v>60850</x:v>
      </x:c>
    </x:row>
    <x:row r="660" spans="1:9" x14ac:dyDescent="0.15">
      <x:c r="A660">
        <x:v>54004</x:v>
      </x:c>
      <x:c r="B660">
        <x:v>2</x:v>
      </x:c>
      <x:c r="C660">
        <x:v>59</x:v>
      </x:c>
      <x:c r="D660">
        <x:f>ROUND($C660*10*VLOOKUP($B660,Sheet2!$J$5:$K$7,2,FALSE)*VLOOKUP(Sheet1!$A660,Sheet2!$B$5:$H$29,3,FALSE),0)</x:f>
        <x:v>425</x:v>
      </x:c>
      <x:c r="E660">
        <x:f>ROUND($C660*10*VLOOKUP($B660,Sheet2!$J$5:$K$7,2,FALSE)*VLOOKUP(Sheet1!$A660,Sheet2!$B$5:$H$29,4,FALSE),0)</x:f>
        <x:v>0</x:v>
      </x:c>
      <x:c r="F660">
        <x:f>ROUND($C660*10*VLOOKUP($B660,Sheet2!$J$5:$K$7,2,FALSE)*VLOOKUP(Sheet1!$A660,Sheet2!$B$5:$H$29,5,FALSE),0)</x:f>
        <x:v>0</x:v>
      </x:c>
      <x:c r="G660">
        <x:f>ROUND($C660*10*VLOOKUP($B660,Sheet2!$J$5:$K$7,2,FALSE)*VLOOKUP(Sheet1!$A660,Sheet2!$B$5:$H$29,6,FALSE),0)</x:f>
        <x:v>113</x:v>
      </x:c>
      <x:c r="H660">
        <x:f>ROUND($C660*10*VLOOKUP($B660,Sheet2!$J$5:$K$7,2,FALSE)*VLOOKUP(Sheet1!$A660,Sheet2!$B$5:$H$29,7,FALSE),0)</x:f>
        <x:v>0</x:v>
      </x:c>
      <x:c r="I660">
        <x:f t="shared" si="10"/>
        <x:v>62780</x:v>
      </x:c>
    </x:row>
    <x:row r="661" spans="1:9" x14ac:dyDescent="0.15">
      <x:c r="A661">
        <x:v>54004</x:v>
      </x:c>
      <x:c r="B661">
        <x:v>2</x:v>
      </x:c>
      <x:c r="C661">
        <x:v>60</x:v>
      </x:c>
      <x:c r="D661">
        <x:f>ROUND($C661*10*VLOOKUP($B661,Sheet2!$J$5:$K$7,2,FALSE)*VLOOKUP(Sheet1!$A661,Sheet2!$B$5:$H$29,3,FALSE),0)</x:f>
        <x:v>432</x:v>
      </x:c>
      <x:c r="E661">
        <x:f>ROUND($C661*10*VLOOKUP($B661,Sheet2!$J$5:$K$7,2,FALSE)*VLOOKUP(Sheet1!$A661,Sheet2!$B$5:$H$29,4,FALSE),0)</x:f>
        <x:v>0</x:v>
      </x:c>
      <x:c r="F661">
        <x:f>ROUND($C661*10*VLOOKUP($B661,Sheet2!$J$5:$K$7,2,FALSE)*VLOOKUP(Sheet1!$A661,Sheet2!$B$5:$H$29,5,FALSE),0)</x:f>
        <x:v>0</x:v>
      </x:c>
      <x:c r="G661">
        <x:f>ROUND($C661*10*VLOOKUP($B661,Sheet2!$J$5:$K$7,2,FALSE)*VLOOKUP(Sheet1!$A661,Sheet2!$B$5:$H$29,6,FALSE),0)</x:f>
        <x:v>115</x:v>
      </x:c>
      <x:c r="H661">
        <x:f>ROUND($C661*10*VLOOKUP($B661,Sheet2!$J$5:$K$7,2,FALSE)*VLOOKUP(Sheet1!$A661,Sheet2!$B$5:$H$29,7,FALSE),0)</x:f>
        <x:v>0</x:v>
      </x:c>
      <x:c r="I661">
        <x:f t="shared" si="10"/>
        <x:v>64740</x:v>
      </x:c>
    </x:row>
    <x:row r="662" spans="1:9" x14ac:dyDescent="0.15">
      <x:c r="A662">
        <x:v>54004</x:v>
      </x:c>
      <x:c r="B662">
        <x:v>3</x:v>
      </x:c>
      <x:c r="C662">
        <x:v>1</x:v>
      </x:c>
      <x:c r="D662">
        <x:f>ROUND($C662*10*VLOOKUP($B662,Sheet2!$J$5:$K$7,2,FALSE)*VLOOKUP(Sheet1!$A662,Sheet2!$B$5:$H$29,3,FALSE),0)</x:f>
        <x:v>12</x:v>
      </x:c>
      <x:c r="E662">
        <x:f>ROUND($C662*10*VLOOKUP($B662,Sheet2!$J$5:$K$7,2,FALSE)*VLOOKUP(Sheet1!$A662,Sheet2!$B$5:$H$29,4,FALSE),0)</x:f>
        <x:v>0</x:v>
      </x:c>
      <x:c r="F662">
        <x:f>ROUND($C662*10*VLOOKUP($B662,Sheet2!$J$5:$K$7,2,FALSE)*VLOOKUP(Sheet1!$A662,Sheet2!$B$5:$H$29,5,FALSE),0)</x:f>
        <x:v>0</x:v>
      </x:c>
      <x:c r="G662">
        <x:f>ROUND($C662*10*VLOOKUP($B662,Sheet2!$J$5:$K$7,2,FALSE)*VLOOKUP(Sheet1!$A662,Sheet2!$B$5:$H$29,6,FALSE),0)</x:f>
        <x:v>3</x:v>
      </x:c>
      <x:c r="H662">
        <x:f>ROUND($C662*10*VLOOKUP($B662,Sheet2!$J$5:$K$7,2,FALSE)*VLOOKUP(Sheet1!$A662,Sheet2!$B$5:$H$29,7,FALSE),0)</x:f>
        <x:v>0</x:v>
      </x:c>
      <x:c r="I662">
        <x:f t="shared" ref="I662:I721" si="11">ROUND(1.2*10*10.5*(C662-1)^1.8+90,-1)</x:f>
        <x:v>90</x:v>
      </x:c>
    </x:row>
    <x:row r="663" spans="1:9" x14ac:dyDescent="0.15">
      <x:c r="A663">
        <x:v>54004</x:v>
      </x:c>
      <x:c r="B663">
        <x:v>3</x:v>
      </x:c>
      <x:c r="C663">
        <x:v>2</x:v>
      </x:c>
      <x:c r="D663">
        <x:f>ROUND($C663*10*VLOOKUP($B663,Sheet2!$J$5:$K$7,2,FALSE)*VLOOKUP(Sheet1!$A663,Sheet2!$B$5:$H$29,3,FALSE),0)</x:f>
        <x:v>24</x:v>
      </x:c>
      <x:c r="E663">
        <x:f>ROUND($C663*10*VLOOKUP($B663,Sheet2!$J$5:$K$7,2,FALSE)*VLOOKUP(Sheet1!$A663,Sheet2!$B$5:$H$29,4,FALSE),0)</x:f>
        <x:v>0</x:v>
      </x:c>
      <x:c r="F663">
        <x:f>ROUND($C663*10*VLOOKUP($B663,Sheet2!$J$5:$K$7,2,FALSE)*VLOOKUP(Sheet1!$A663,Sheet2!$B$5:$H$29,5,FALSE),0)</x:f>
        <x:v>0</x:v>
      </x:c>
      <x:c r="G663">
        <x:f>ROUND($C663*10*VLOOKUP($B663,Sheet2!$J$5:$K$7,2,FALSE)*VLOOKUP(Sheet1!$A663,Sheet2!$B$5:$H$29,6,FALSE),0)</x:f>
        <x:v>6</x:v>
      </x:c>
      <x:c r="H663">
        <x:f>ROUND($C663*10*VLOOKUP($B663,Sheet2!$J$5:$K$7,2,FALSE)*VLOOKUP(Sheet1!$A663,Sheet2!$B$5:$H$29,7,FALSE),0)</x:f>
        <x:v>0</x:v>
      </x:c>
      <x:c r="I663">
        <x:f t="shared" si="11"/>
        <x:v>220</x:v>
      </x:c>
    </x:row>
    <x:row r="664" spans="1:9" x14ac:dyDescent="0.15">
      <x:c r="A664">
        <x:v>54004</x:v>
      </x:c>
      <x:c r="B664">
        <x:v>3</x:v>
      </x:c>
      <x:c r="C664">
        <x:v>3</x:v>
      </x:c>
      <x:c r="D664">
        <x:f>ROUND($C664*10*VLOOKUP($B664,Sheet2!$J$5:$K$7,2,FALSE)*VLOOKUP(Sheet1!$A664,Sheet2!$B$5:$H$29,3,FALSE),0)</x:f>
        <x:v>36</x:v>
      </x:c>
      <x:c r="E664">
        <x:f>ROUND($C664*10*VLOOKUP($B664,Sheet2!$J$5:$K$7,2,FALSE)*VLOOKUP(Sheet1!$A664,Sheet2!$B$5:$H$29,4,FALSE),0)</x:f>
        <x:v>0</x:v>
      </x:c>
      <x:c r="F664">
        <x:f>ROUND($C664*10*VLOOKUP($B664,Sheet2!$J$5:$K$7,2,FALSE)*VLOOKUP(Sheet1!$A664,Sheet2!$B$5:$H$29,5,FALSE),0)</x:f>
        <x:v>0</x:v>
      </x:c>
      <x:c r="G664">
        <x:f>ROUND($C664*10*VLOOKUP($B664,Sheet2!$J$5:$K$7,2,FALSE)*VLOOKUP(Sheet1!$A664,Sheet2!$B$5:$H$29,6,FALSE),0)</x:f>
        <x:v>10</x:v>
      </x:c>
      <x:c r="H664">
        <x:f>ROUND($C664*10*VLOOKUP($B664,Sheet2!$J$5:$K$7,2,FALSE)*VLOOKUP(Sheet1!$A664,Sheet2!$B$5:$H$29,7,FALSE),0)</x:f>
        <x:v>0</x:v>
      </x:c>
      <x:c r="I664">
        <x:f t="shared" si="11"/>
        <x:v>530</x:v>
      </x:c>
    </x:row>
    <x:row r="665" spans="1:9" x14ac:dyDescent="0.15">
      <x:c r="A665">
        <x:v>54004</x:v>
      </x:c>
      <x:c r="B665">
        <x:v>3</x:v>
      </x:c>
      <x:c r="C665">
        <x:v>4</x:v>
      </x:c>
      <x:c r="D665">
        <x:f>ROUND($C665*10*VLOOKUP($B665,Sheet2!$J$5:$K$7,2,FALSE)*VLOOKUP(Sheet1!$A665,Sheet2!$B$5:$H$29,3,FALSE),0)</x:f>
        <x:v>48</x:v>
      </x:c>
      <x:c r="E665">
        <x:f>ROUND($C665*10*VLOOKUP($B665,Sheet2!$J$5:$K$7,2,FALSE)*VLOOKUP(Sheet1!$A665,Sheet2!$B$5:$H$29,4,FALSE),0)</x:f>
        <x:v>0</x:v>
      </x:c>
      <x:c r="F665">
        <x:f>ROUND($C665*10*VLOOKUP($B665,Sheet2!$J$5:$K$7,2,FALSE)*VLOOKUP(Sheet1!$A665,Sheet2!$B$5:$H$29,5,FALSE),0)</x:f>
        <x:v>0</x:v>
      </x:c>
      <x:c r="G665">
        <x:f>ROUND($C665*10*VLOOKUP($B665,Sheet2!$J$5:$K$7,2,FALSE)*VLOOKUP(Sheet1!$A665,Sheet2!$B$5:$H$29,6,FALSE),0)</x:f>
        <x:v>13</x:v>
      </x:c>
      <x:c r="H665">
        <x:f>ROUND($C665*10*VLOOKUP($B665,Sheet2!$J$5:$K$7,2,FALSE)*VLOOKUP(Sheet1!$A665,Sheet2!$B$5:$H$29,7,FALSE),0)</x:f>
        <x:v>0</x:v>
      </x:c>
      <x:c r="I665">
        <x:f t="shared" si="11"/>
        <x:v>1000</x:v>
      </x:c>
    </x:row>
    <x:row r="666" spans="1:9" x14ac:dyDescent="0.15">
      <x:c r="A666">
        <x:v>54004</x:v>
      </x:c>
      <x:c r="B666">
        <x:v>3</x:v>
      </x:c>
      <x:c r="C666">
        <x:v>5</x:v>
      </x:c>
      <x:c r="D666">
        <x:f>ROUND($C666*10*VLOOKUP($B666,Sheet2!$J$5:$K$7,2,FALSE)*VLOOKUP(Sheet1!$A666,Sheet2!$B$5:$H$29,3,FALSE),0)</x:f>
        <x:v>60</x:v>
      </x:c>
      <x:c r="E666">
        <x:f>ROUND($C666*10*VLOOKUP($B666,Sheet2!$J$5:$K$7,2,FALSE)*VLOOKUP(Sheet1!$A666,Sheet2!$B$5:$H$29,4,FALSE),0)</x:f>
        <x:v>0</x:v>
      </x:c>
      <x:c r="F666">
        <x:f>ROUND($C666*10*VLOOKUP($B666,Sheet2!$J$5:$K$7,2,FALSE)*VLOOKUP(Sheet1!$A666,Sheet2!$B$5:$H$29,5,FALSE),0)</x:f>
        <x:v>0</x:v>
      </x:c>
      <x:c r="G666">
        <x:f>ROUND($C666*10*VLOOKUP($B666,Sheet2!$J$5:$K$7,2,FALSE)*VLOOKUP(Sheet1!$A666,Sheet2!$B$5:$H$29,6,FALSE),0)</x:f>
        <x:v>16</x:v>
      </x:c>
      <x:c r="H666">
        <x:f>ROUND($C666*10*VLOOKUP($B666,Sheet2!$J$5:$K$7,2,FALSE)*VLOOKUP(Sheet1!$A666,Sheet2!$B$5:$H$29,7,FALSE),0)</x:f>
        <x:v>0</x:v>
      </x:c>
      <x:c r="I666">
        <x:f t="shared" si="11"/>
        <x:v>1620</x:v>
      </x:c>
    </x:row>
    <x:row r="667" spans="1:9" x14ac:dyDescent="0.15">
      <x:c r="A667">
        <x:v>54004</x:v>
      </x:c>
      <x:c r="B667">
        <x:v>3</x:v>
      </x:c>
      <x:c r="C667">
        <x:v>6</x:v>
      </x:c>
      <x:c r="D667">
        <x:f>ROUND($C667*10*VLOOKUP($B667,Sheet2!$J$5:$K$7,2,FALSE)*VLOOKUP(Sheet1!$A667,Sheet2!$B$5:$H$29,3,FALSE),0)</x:f>
        <x:v>72</x:v>
      </x:c>
      <x:c r="E667">
        <x:f>ROUND($C667*10*VLOOKUP($B667,Sheet2!$J$5:$K$7,2,FALSE)*VLOOKUP(Sheet1!$A667,Sheet2!$B$5:$H$29,4,FALSE),0)</x:f>
        <x:v>0</x:v>
      </x:c>
      <x:c r="F667">
        <x:f>ROUND($C667*10*VLOOKUP($B667,Sheet2!$J$5:$K$7,2,FALSE)*VLOOKUP(Sheet1!$A667,Sheet2!$B$5:$H$29,5,FALSE),0)</x:f>
        <x:v>0</x:v>
      </x:c>
      <x:c r="G667">
        <x:f>ROUND($C667*10*VLOOKUP($B667,Sheet2!$J$5:$K$7,2,FALSE)*VLOOKUP(Sheet1!$A667,Sheet2!$B$5:$H$29,6,FALSE),0)</x:f>
        <x:v>19</x:v>
      </x:c>
      <x:c r="H667">
        <x:f>ROUND($C667*10*VLOOKUP($B667,Sheet2!$J$5:$K$7,2,FALSE)*VLOOKUP(Sheet1!$A667,Sheet2!$B$5:$H$29,7,FALSE),0)</x:f>
        <x:v>0</x:v>
      </x:c>
      <x:c r="I667">
        <x:f t="shared" si="11"/>
        <x:v>2370</x:v>
      </x:c>
    </x:row>
    <x:row r="668" spans="1:9" x14ac:dyDescent="0.15">
      <x:c r="A668">
        <x:v>54004</x:v>
      </x:c>
      <x:c r="B668">
        <x:v>3</x:v>
      </x:c>
      <x:c r="C668">
        <x:v>7</x:v>
      </x:c>
      <x:c r="D668">
        <x:f>ROUND($C668*10*VLOOKUP($B668,Sheet2!$J$5:$K$7,2,FALSE)*VLOOKUP(Sheet1!$A668,Sheet2!$B$5:$H$29,3,FALSE),0)</x:f>
        <x:v>84</x:v>
      </x:c>
      <x:c r="E668">
        <x:f>ROUND($C668*10*VLOOKUP($B668,Sheet2!$J$5:$K$7,2,FALSE)*VLOOKUP(Sheet1!$A668,Sheet2!$B$5:$H$29,4,FALSE),0)</x:f>
        <x:v>0</x:v>
      </x:c>
      <x:c r="F668">
        <x:f>ROUND($C668*10*VLOOKUP($B668,Sheet2!$J$5:$K$7,2,FALSE)*VLOOKUP(Sheet1!$A668,Sheet2!$B$5:$H$29,5,FALSE),0)</x:f>
        <x:v>0</x:v>
      </x:c>
      <x:c r="G668">
        <x:f>ROUND($C668*10*VLOOKUP($B668,Sheet2!$J$5:$K$7,2,FALSE)*VLOOKUP(Sheet1!$A668,Sheet2!$B$5:$H$29,6,FALSE),0)</x:f>
        <x:v>22</x:v>
      </x:c>
      <x:c r="H668">
        <x:f>ROUND($C668*10*VLOOKUP($B668,Sheet2!$J$5:$K$7,2,FALSE)*VLOOKUP(Sheet1!$A668,Sheet2!$B$5:$H$29,7,FALSE),0)</x:f>
        <x:v>0</x:v>
      </x:c>
      <x:c r="I668">
        <x:f t="shared" si="11"/>
        <x:v>3260</x:v>
      </x:c>
    </x:row>
    <x:row r="669" spans="1:9" x14ac:dyDescent="0.15">
      <x:c r="A669">
        <x:v>54004</x:v>
      </x:c>
      <x:c r="B669">
        <x:v>3</x:v>
      </x:c>
      <x:c r="C669">
        <x:v>8</x:v>
      </x:c>
      <x:c r="D669">
        <x:f>ROUND($C669*10*VLOOKUP($B669,Sheet2!$J$5:$K$7,2,FALSE)*VLOOKUP(Sheet1!$A669,Sheet2!$B$5:$H$29,3,FALSE),0)</x:f>
        <x:v>96</x:v>
      </x:c>
      <x:c r="E669">
        <x:f>ROUND($C669*10*VLOOKUP($B669,Sheet2!$J$5:$K$7,2,FALSE)*VLOOKUP(Sheet1!$A669,Sheet2!$B$5:$H$29,4,FALSE),0)</x:f>
        <x:v>0</x:v>
      </x:c>
      <x:c r="F669">
        <x:f>ROUND($C669*10*VLOOKUP($B669,Sheet2!$J$5:$K$7,2,FALSE)*VLOOKUP(Sheet1!$A669,Sheet2!$B$5:$H$29,5,FALSE),0)</x:f>
        <x:v>0</x:v>
      </x:c>
      <x:c r="G669">
        <x:f>ROUND($C669*10*VLOOKUP($B669,Sheet2!$J$5:$K$7,2,FALSE)*VLOOKUP(Sheet1!$A669,Sheet2!$B$5:$H$29,6,FALSE),0)</x:f>
        <x:v>26</x:v>
      </x:c>
      <x:c r="H669">
        <x:f>ROUND($C669*10*VLOOKUP($B669,Sheet2!$J$5:$K$7,2,FALSE)*VLOOKUP(Sheet1!$A669,Sheet2!$B$5:$H$29,7,FALSE),0)</x:f>
        <x:v>0</x:v>
      </x:c>
      <x:c r="I669">
        <x:f t="shared" si="11"/>
        <x:v>4270</x:v>
      </x:c>
    </x:row>
    <x:row r="670" spans="1:9" x14ac:dyDescent="0.15">
      <x:c r="A670">
        <x:v>54004</x:v>
      </x:c>
      <x:c r="B670">
        <x:v>3</x:v>
      </x:c>
      <x:c r="C670">
        <x:v>9</x:v>
      </x:c>
      <x:c r="D670">
        <x:f>ROUND($C670*10*VLOOKUP($B670,Sheet2!$J$5:$K$7,2,FALSE)*VLOOKUP(Sheet1!$A670,Sheet2!$B$5:$H$29,3,FALSE),0)</x:f>
        <x:v>108</x:v>
      </x:c>
      <x:c r="E670">
        <x:f>ROUND($C670*10*VLOOKUP($B670,Sheet2!$J$5:$K$7,2,FALSE)*VLOOKUP(Sheet1!$A670,Sheet2!$B$5:$H$29,4,FALSE),0)</x:f>
        <x:v>0</x:v>
      </x:c>
      <x:c r="F670">
        <x:f>ROUND($C670*10*VLOOKUP($B670,Sheet2!$J$5:$K$7,2,FALSE)*VLOOKUP(Sheet1!$A670,Sheet2!$B$5:$H$29,5,FALSE),0)</x:f>
        <x:v>0</x:v>
      </x:c>
      <x:c r="G670">
        <x:f>ROUND($C670*10*VLOOKUP($B670,Sheet2!$J$5:$K$7,2,FALSE)*VLOOKUP(Sheet1!$A670,Sheet2!$B$5:$H$29,6,FALSE),0)</x:f>
        <x:v>29</x:v>
      </x:c>
      <x:c r="H670">
        <x:f>ROUND($C670*10*VLOOKUP($B670,Sheet2!$J$5:$K$7,2,FALSE)*VLOOKUP(Sheet1!$A670,Sheet2!$B$5:$H$29,7,FALSE),0)</x:f>
        <x:v>0</x:v>
      </x:c>
      <x:c r="I670">
        <x:f t="shared" si="11"/>
        <x:v>5410</x:v>
      </x:c>
    </x:row>
    <x:row r="671" spans="1:9" x14ac:dyDescent="0.15">
      <x:c r="A671">
        <x:v>54004</x:v>
      </x:c>
      <x:c r="B671">
        <x:v>3</x:v>
      </x:c>
      <x:c r="C671">
        <x:v>10</x:v>
      </x:c>
      <x:c r="D671">
        <x:f>ROUND($C671*10*VLOOKUP($B671,Sheet2!$J$5:$K$7,2,FALSE)*VLOOKUP(Sheet1!$A671,Sheet2!$B$5:$H$29,3,FALSE),0)</x:f>
        <x:v>120</x:v>
      </x:c>
      <x:c r="E671">
        <x:f>ROUND($C671*10*VLOOKUP($B671,Sheet2!$J$5:$K$7,2,FALSE)*VLOOKUP(Sheet1!$A671,Sheet2!$B$5:$H$29,4,FALSE),0)</x:f>
        <x:v>0</x:v>
      </x:c>
      <x:c r="F671">
        <x:f>ROUND($C671*10*VLOOKUP($B671,Sheet2!$J$5:$K$7,2,FALSE)*VLOOKUP(Sheet1!$A671,Sheet2!$B$5:$H$29,5,FALSE),0)</x:f>
        <x:v>0</x:v>
      </x:c>
      <x:c r="G671">
        <x:f>ROUND($C671*10*VLOOKUP($B671,Sheet2!$J$5:$K$7,2,FALSE)*VLOOKUP(Sheet1!$A671,Sheet2!$B$5:$H$29,6,FALSE),0)</x:f>
        <x:v>32</x:v>
      </x:c>
      <x:c r="H671">
        <x:f>ROUND($C671*10*VLOOKUP($B671,Sheet2!$J$5:$K$7,2,FALSE)*VLOOKUP(Sheet1!$A671,Sheet2!$B$5:$H$29,7,FALSE),0)</x:f>
        <x:v>0</x:v>
      </x:c>
      <x:c r="I671">
        <x:f t="shared" si="11"/>
        <x:v>6670</x:v>
      </x:c>
    </x:row>
    <x:row r="672" spans="1:9" x14ac:dyDescent="0.15">
      <x:c r="A672">
        <x:v>54004</x:v>
      </x:c>
      <x:c r="B672">
        <x:v>3</x:v>
      </x:c>
      <x:c r="C672">
        <x:v>11</x:v>
      </x:c>
      <x:c r="D672">
        <x:f>ROUND($C672*10*VLOOKUP($B672,Sheet2!$J$5:$K$7,2,FALSE)*VLOOKUP(Sheet1!$A672,Sheet2!$B$5:$H$29,3,FALSE),0)</x:f>
        <x:v>132</x:v>
      </x:c>
      <x:c r="E672">
        <x:f>ROUND($C672*10*VLOOKUP($B672,Sheet2!$J$5:$K$7,2,FALSE)*VLOOKUP(Sheet1!$A672,Sheet2!$B$5:$H$29,4,FALSE),0)</x:f>
        <x:v>0</x:v>
      </x:c>
      <x:c r="F672">
        <x:f>ROUND($C672*10*VLOOKUP($B672,Sheet2!$J$5:$K$7,2,FALSE)*VLOOKUP(Sheet1!$A672,Sheet2!$B$5:$H$29,5,FALSE),0)</x:f>
        <x:v>0</x:v>
      </x:c>
      <x:c r="G672">
        <x:f>ROUND($C672*10*VLOOKUP($B672,Sheet2!$J$5:$K$7,2,FALSE)*VLOOKUP(Sheet1!$A672,Sheet2!$B$5:$H$29,6,FALSE),0)</x:f>
        <x:v>35</x:v>
      </x:c>
      <x:c r="H672">
        <x:f>ROUND($C672*10*VLOOKUP($B672,Sheet2!$J$5:$K$7,2,FALSE)*VLOOKUP(Sheet1!$A672,Sheet2!$B$5:$H$29,7,FALSE),0)</x:f>
        <x:v>0</x:v>
      </x:c>
      <x:c r="I672">
        <x:f t="shared" si="11"/>
        <x:v>8040</x:v>
      </x:c>
    </x:row>
    <x:row r="673" spans="1:9" x14ac:dyDescent="0.15">
      <x:c r="A673">
        <x:v>54004</x:v>
      </x:c>
      <x:c r="B673">
        <x:v>3</x:v>
      </x:c>
      <x:c r="C673">
        <x:v>12</x:v>
      </x:c>
      <x:c r="D673">
        <x:f>ROUND($C673*10*VLOOKUP($B673,Sheet2!$J$5:$K$7,2,FALSE)*VLOOKUP(Sheet1!$A673,Sheet2!$B$5:$H$29,3,FALSE),0)</x:f>
        <x:v>144</x:v>
      </x:c>
      <x:c r="E673">
        <x:f>ROUND($C673*10*VLOOKUP($B673,Sheet2!$J$5:$K$7,2,FALSE)*VLOOKUP(Sheet1!$A673,Sheet2!$B$5:$H$29,4,FALSE),0)</x:f>
        <x:v>0</x:v>
      </x:c>
      <x:c r="F673">
        <x:f>ROUND($C673*10*VLOOKUP($B673,Sheet2!$J$5:$K$7,2,FALSE)*VLOOKUP(Sheet1!$A673,Sheet2!$B$5:$H$29,5,FALSE),0)</x:f>
        <x:v>0</x:v>
      </x:c>
      <x:c r="G673">
        <x:f>ROUND($C673*10*VLOOKUP($B673,Sheet2!$J$5:$K$7,2,FALSE)*VLOOKUP(Sheet1!$A673,Sheet2!$B$5:$H$29,6,FALSE),0)</x:f>
        <x:v>38</x:v>
      </x:c>
      <x:c r="H673">
        <x:f>ROUND($C673*10*VLOOKUP($B673,Sheet2!$J$5:$K$7,2,FALSE)*VLOOKUP(Sheet1!$A673,Sheet2!$B$5:$H$29,7,FALSE),0)</x:f>
        <x:v>0</x:v>
      </x:c>
      <x:c r="I673">
        <x:f t="shared" si="11"/>
        <x:v>9530</x:v>
      </x:c>
    </x:row>
    <x:row r="674" spans="1:9" x14ac:dyDescent="0.15">
      <x:c r="A674">
        <x:v>54004</x:v>
      </x:c>
      <x:c r="B674">
        <x:v>3</x:v>
      </x:c>
      <x:c r="C674">
        <x:v>13</x:v>
      </x:c>
      <x:c r="D674">
        <x:f>ROUND($C674*10*VLOOKUP($B674,Sheet2!$J$5:$K$7,2,FALSE)*VLOOKUP(Sheet1!$A674,Sheet2!$B$5:$H$29,3,FALSE),0)</x:f>
        <x:v>156</x:v>
      </x:c>
      <x:c r="E674">
        <x:f>ROUND($C674*10*VLOOKUP($B674,Sheet2!$J$5:$K$7,2,FALSE)*VLOOKUP(Sheet1!$A674,Sheet2!$B$5:$H$29,4,FALSE),0)</x:f>
        <x:v>0</x:v>
      </x:c>
      <x:c r="F674">
        <x:f>ROUND($C674*10*VLOOKUP($B674,Sheet2!$J$5:$K$7,2,FALSE)*VLOOKUP(Sheet1!$A674,Sheet2!$B$5:$H$29,5,FALSE),0)</x:f>
        <x:v>0</x:v>
      </x:c>
      <x:c r="G674">
        <x:f>ROUND($C674*10*VLOOKUP($B674,Sheet2!$J$5:$K$7,2,FALSE)*VLOOKUP(Sheet1!$A674,Sheet2!$B$5:$H$29,6,FALSE),0)</x:f>
        <x:v>42</x:v>
      </x:c>
      <x:c r="H674">
        <x:f>ROUND($C674*10*VLOOKUP($B674,Sheet2!$J$5:$K$7,2,FALSE)*VLOOKUP(Sheet1!$A674,Sheet2!$B$5:$H$29,7,FALSE),0)</x:f>
        <x:v>0</x:v>
      </x:c>
      <x:c r="I674">
        <x:f t="shared" si="11"/>
        <x:v>11130</x:v>
      </x:c>
    </x:row>
    <x:row r="675" spans="1:9" x14ac:dyDescent="0.15">
      <x:c r="A675">
        <x:v>54004</x:v>
      </x:c>
      <x:c r="B675">
        <x:v>3</x:v>
      </x:c>
      <x:c r="C675">
        <x:v>14</x:v>
      </x:c>
      <x:c r="D675">
        <x:f>ROUND($C675*10*VLOOKUP($B675,Sheet2!$J$5:$K$7,2,FALSE)*VLOOKUP(Sheet1!$A675,Sheet2!$B$5:$H$29,3,FALSE),0)</x:f>
        <x:v>168</x:v>
      </x:c>
      <x:c r="E675">
        <x:f>ROUND($C675*10*VLOOKUP($B675,Sheet2!$J$5:$K$7,2,FALSE)*VLOOKUP(Sheet1!$A675,Sheet2!$B$5:$H$29,4,FALSE),0)</x:f>
        <x:v>0</x:v>
      </x:c>
      <x:c r="F675">
        <x:f>ROUND($C675*10*VLOOKUP($B675,Sheet2!$J$5:$K$7,2,FALSE)*VLOOKUP(Sheet1!$A675,Sheet2!$B$5:$H$29,5,FALSE),0)</x:f>
        <x:v>0</x:v>
      </x:c>
      <x:c r="G675">
        <x:f>ROUND($C675*10*VLOOKUP($B675,Sheet2!$J$5:$K$7,2,FALSE)*VLOOKUP(Sheet1!$A675,Sheet2!$B$5:$H$29,6,FALSE),0)</x:f>
        <x:v>45</x:v>
      </x:c>
      <x:c r="H675">
        <x:f>ROUND($C675*10*VLOOKUP($B675,Sheet2!$J$5:$K$7,2,FALSE)*VLOOKUP(Sheet1!$A675,Sheet2!$B$5:$H$29,7,FALSE),0)</x:f>
        <x:v>0</x:v>
      </x:c>
      <x:c r="I675">
        <x:f t="shared" si="11"/>
        <x:v>12840</x:v>
      </x:c>
    </x:row>
    <x:row r="676" spans="1:9" x14ac:dyDescent="0.15">
      <x:c r="A676">
        <x:v>54004</x:v>
      </x:c>
      <x:c r="B676">
        <x:v>3</x:v>
      </x:c>
      <x:c r="C676">
        <x:v>15</x:v>
      </x:c>
      <x:c r="D676">
        <x:f>ROUND($C676*10*VLOOKUP($B676,Sheet2!$J$5:$K$7,2,FALSE)*VLOOKUP(Sheet1!$A676,Sheet2!$B$5:$H$29,3,FALSE),0)</x:f>
        <x:v>180</x:v>
      </x:c>
      <x:c r="E676">
        <x:f>ROUND($C676*10*VLOOKUP($B676,Sheet2!$J$5:$K$7,2,FALSE)*VLOOKUP(Sheet1!$A676,Sheet2!$B$5:$H$29,4,FALSE),0)</x:f>
        <x:v>0</x:v>
      </x:c>
      <x:c r="F676">
        <x:f>ROUND($C676*10*VLOOKUP($B676,Sheet2!$J$5:$K$7,2,FALSE)*VLOOKUP(Sheet1!$A676,Sheet2!$B$5:$H$29,5,FALSE),0)</x:f>
        <x:v>0</x:v>
      </x:c>
      <x:c r="G676">
        <x:f>ROUND($C676*10*VLOOKUP($B676,Sheet2!$J$5:$K$7,2,FALSE)*VLOOKUP(Sheet1!$A676,Sheet2!$B$5:$H$29,6,FALSE),0)</x:f>
        <x:v>48</x:v>
      </x:c>
      <x:c r="H676">
        <x:f>ROUND($C676*10*VLOOKUP($B676,Sheet2!$J$5:$K$7,2,FALSE)*VLOOKUP(Sheet1!$A676,Sheet2!$B$5:$H$29,7,FALSE),0)</x:f>
        <x:v>0</x:v>
      </x:c>
      <x:c r="I676">
        <x:f t="shared" si="11"/>
        <x:v>14660</x:v>
      </x:c>
    </x:row>
    <x:row r="677" spans="1:9" x14ac:dyDescent="0.15">
      <x:c r="A677">
        <x:v>54004</x:v>
      </x:c>
      <x:c r="B677">
        <x:v>3</x:v>
      </x:c>
      <x:c r="C677">
        <x:v>16</x:v>
      </x:c>
      <x:c r="D677">
        <x:f>ROUND($C677*10*VLOOKUP($B677,Sheet2!$J$5:$K$7,2,FALSE)*VLOOKUP(Sheet1!$A677,Sheet2!$B$5:$H$29,3,FALSE),0)</x:f>
        <x:v>192</x:v>
      </x:c>
      <x:c r="E677">
        <x:f>ROUND($C677*10*VLOOKUP($B677,Sheet2!$J$5:$K$7,2,FALSE)*VLOOKUP(Sheet1!$A677,Sheet2!$B$5:$H$29,4,FALSE),0)</x:f>
        <x:v>0</x:v>
      </x:c>
      <x:c r="F677">
        <x:f>ROUND($C677*10*VLOOKUP($B677,Sheet2!$J$5:$K$7,2,FALSE)*VLOOKUP(Sheet1!$A677,Sheet2!$B$5:$H$29,5,FALSE),0)</x:f>
        <x:v>0</x:v>
      </x:c>
      <x:c r="G677">
        <x:f>ROUND($C677*10*VLOOKUP($B677,Sheet2!$J$5:$K$7,2,FALSE)*VLOOKUP(Sheet1!$A677,Sheet2!$B$5:$H$29,6,FALSE),0)</x:f>
        <x:v>51</x:v>
      </x:c>
      <x:c r="H677">
        <x:f>ROUND($C677*10*VLOOKUP($B677,Sheet2!$J$5:$K$7,2,FALSE)*VLOOKUP(Sheet1!$A677,Sheet2!$B$5:$H$29,7,FALSE),0)</x:f>
        <x:v>0</x:v>
      </x:c>
      <x:c r="I677">
        <x:f t="shared" si="11"/>
        <x:v>16580</x:v>
      </x:c>
    </x:row>
    <x:row r="678" spans="1:9" x14ac:dyDescent="0.15">
      <x:c r="A678">
        <x:v>54004</x:v>
      </x:c>
      <x:c r="B678">
        <x:v>3</x:v>
      </x:c>
      <x:c r="C678">
        <x:v>17</x:v>
      </x:c>
      <x:c r="D678">
        <x:f>ROUND($C678*10*VLOOKUP($B678,Sheet2!$J$5:$K$7,2,FALSE)*VLOOKUP(Sheet1!$A678,Sheet2!$B$5:$H$29,3,FALSE),0)</x:f>
        <x:v>204</x:v>
      </x:c>
      <x:c r="E678">
        <x:f>ROUND($C678*10*VLOOKUP($B678,Sheet2!$J$5:$K$7,2,FALSE)*VLOOKUP(Sheet1!$A678,Sheet2!$B$5:$H$29,4,FALSE),0)</x:f>
        <x:v>0</x:v>
      </x:c>
      <x:c r="F678">
        <x:f>ROUND($C678*10*VLOOKUP($B678,Sheet2!$J$5:$K$7,2,FALSE)*VLOOKUP(Sheet1!$A678,Sheet2!$B$5:$H$29,5,FALSE),0)</x:f>
        <x:v>0</x:v>
      </x:c>
      <x:c r="G678">
        <x:f>ROUND($C678*10*VLOOKUP($B678,Sheet2!$J$5:$K$7,2,FALSE)*VLOOKUP(Sheet1!$A678,Sheet2!$B$5:$H$29,6,FALSE),0)</x:f>
        <x:v>54</x:v>
      </x:c>
      <x:c r="H678">
        <x:f>ROUND($C678*10*VLOOKUP($B678,Sheet2!$J$5:$K$7,2,FALSE)*VLOOKUP(Sheet1!$A678,Sheet2!$B$5:$H$29,7,FALSE),0)</x:f>
        <x:v>0</x:v>
      </x:c>
      <x:c r="I678">
        <x:f t="shared" si="11"/>
        <x:v>18620</x:v>
      </x:c>
    </x:row>
    <x:row r="679" spans="1:9" x14ac:dyDescent="0.15">
      <x:c r="A679">
        <x:v>54004</x:v>
      </x:c>
      <x:c r="B679">
        <x:v>3</x:v>
      </x:c>
      <x:c r="C679">
        <x:v>18</x:v>
      </x:c>
      <x:c r="D679">
        <x:f>ROUND($C679*10*VLOOKUP($B679,Sheet2!$J$5:$K$7,2,FALSE)*VLOOKUP(Sheet1!$A679,Sheet2!$B$5:$H$29,3,FALSE),0)</x:f>
        <x:v>216</x:v>
      </x:c>
      <x:c r="E679">
        <x:f>ROUND($C679*10*VLOOKUP($B679,Sheet2!$J$5:$K$7,2,FALSE)*VLOOKUP(Sheet1!$A679,Sheet2!$B$5:$H$29,4,FALSE),0)</x:f>
        <x:v>0</x:v>
      </x:c>
      <x:c r="F679">
        <x:f>ROUND($C679*10*VLOOKUP($B679,Sheet2!$J$5:$K$7,2,FALSE)*VLOOKUP(Sheet1!$A679,Sheet2!$B$5:$H$29,5,FALSE),0)</x:f>
        <x:v>0</x:v>
      </x:c>
      <x:c r="G679">
        <x:f>ROUND($C679*10*VLOOKUP($B679,Sheet2!$J$5:$K$7,2,FALSE)*VLOOKUP(Sheet1!$A679,Sheet2!$B$5:$H$29,6,FALSE),0)</x:f>
        <x:v>58</x:v>
      </x:c>
      <x:c r="H679">
        <x:f>ROUND($C679*10*VLOOKUP($B679,Sheet2!$J$5:$K$7,2,FALSE)*VLOOKUP(Sheet1!$A679,Sheet2!$B$5:$H$29,7,FALSE),0)</x:f>
        <x:v>0</x:v>
      </x:c>
      <x:c r="I679">
        <x:f t="shared" si="11"/>
        <x:v>20750</x:v>
      </x:c>
    </x:row>
    <x:row r="680" spans="1:9" x14ac:dyDescent="0.15">
      <x:c r="A680">
        <x:v>54004</x:v>
      </x:c>
      <x:c r="B680">
        <x:v>3</x:v>
      </x:c>
      <x:c r="C680">
        <x:v>19</x:v>
      </x:c>
      <x:c r="D680">
        <x:f>ROUND($C680*10*VLOOKUP($B680,Sheet2!$J$5:$K$7,2,FALSE)*VLOOKUP(Sheet1!$A680,Sheet2!$B$5:$H$29,3,FALSE),0)</x:f>
        <x:v>228</x:v>
      </x:c>
      <x:c r="E680">
        <x:f>ROUND($C680*10*VLOOKUP($B680,Sheet2!$J$5:$K$7,2,FALSE)*VLOOKUP(Sheet1!$A680,Sheet2!$B$5:$H$29,4,FALSE),0)</x:f>
        <x:v>0</x:v>
      </x:c>
      <x:c r="F680">
        <x:f>ROUND($C680*10*VLOOKUP($B680,Sheet2!$J$5:$K$7,2,FALSE)*VLOOKUP(Sheet1!$A680,Sheet2!$B$5:$H$29,5,FALSE),0)</x:f>
        <x:v>0</x:v>
      </x:c>
      <x:c r="G680">
        <x:f>ROUND($C680*10*VLOOKUP($B680,Sheet2!$J$5:$K$7,2,FALSE)*VLOOKUP(Sheet1!$A680,Sheet2!$B$5:$H$29,6,FALSE),0)</x:f>
        <x:v>61</x:v>
      </x:c>
      <x:c r="H680">
        <x:f>ROUND($C680*10*VLOOKUP($B680,Sheet2!$J$5:$K$7,2,FALSE)*VLOOKUP(Sheet1!$A680,Sheet2!$B$5:$H$29,7,FALSE),0)</x:f>
        <x:v>0</x:v>
      </x:c>
      <x:c r="I680">
        <x:f t="shared" si="11"/>
        <x:v>22990</x:v>
      </x:c>
    </x:row>
    <x:row r="681" spans="1:9" x14ac:dyDescent="0.15">
      <x:c r="A681">
        <x:v>54004</x:v>
      </x:c>
      <x:c r="B681">
        <x:v>3</x:v>
      </x:c>
      <x:c r="C681">
        <x:v>20</x:v>
      </x:c>
      <x:c r="D681">
        <x:f>ROUND($C681*10*VLOOKUP($B681,Sheet2!$J$5:$K$7,2,FALSE)*VLOOKUP(Sheet1!$A681,Sheet2!$B$5:$H$29,3,FALSE),0)</x:f>
        <x:v>240</x:v>
      </x:c>
      <x:c r="E681">
        <x:f>ROUND($C681*10*VLOOKUP($B681,Sheet2!$J$5:$K$7,2,FALSE)*VLOOKUP(Sheet1!$A681,Sheet2!$B$5:$H$29,4,FALSE),0)</x:f>
        <x:v>0</x:v>
      </x:c>
      <x:c r="F681">
        <x:f>ROUND($C681*10*VLOOKUP($B681,Sheet2!$J$5:$K$7,2,FALSE)*VLOOKUP(Sheet1!$A681,Sheet2!$B$5:$H$29,5,FALSE),0)</x:f>
        <x:v>0</x:v>
      </x:c>
      <x:c r="G681">
        <x:f>ROUND($C681*10*VLOOKUP($B681,Sheet2!$J$5:$K$7,2,FALSE)*VLOOKUP(Sheet1!$A681,Sheet2!$B$5:$H$29,6,FALSE),0)</x:f>
        <x:v>64</x:v>
      </x:c>
      <x:c r="H681">
        <x:f>ROUND($C681*10*VLOOKUP($B681,Sheet2!$J$5:$K$7,2,FALSE)*VLOOKUP(Sheet1!$A681,Sheet2!$B$5:$H$29,7,FALSE),0)</x:f>
        <x:v>0</x:v>
      </x:c>
      <x:c r="I681">
        <x:f t="shared" si="11"/>
        <x:v>25330</x:v>
      </x:c>
    </x:row>
    <x:row r="682" spans="1:9" x14ac:dyDescent="0.15">
      <x:c r="A682">
        <x:v>54004</x:v>
      </x:c>
      <x:c r="B682">
        <x:v>3</x:v>
      </x:c>
      <x:c r="C682">
        <x:v>21</x:v>
      </x:c>
      <x:c r="D682">
        <x:f>ROUND($C682*10*VLOOKUP($B682,Sheet2!$J$5:$K$7,2,FALSE)*VLOOKUP(Sheet1!$A682,Sheet2!$B$5:$H$29,3,FALSE),0)</x:f>
        <x:v>252</x:v>
      </x:c>
      <x:c r="E682">
        <x:f>ROUND($C682*10*VLOOKUP($B682,Sheet2!$J$5:$K$7,2,FALSE)*VLOOKUP(Sheet1!$A682,Sheet2!$B$5:$H$29,4,FALSE),0)</x:f>
        <x:v>0</x:v>
      </x:c>
      <x:c r="F682">
        <x:f>ROUND($C682*10*VLOOKUP($B682,Sheet2!$J$5:$K$7,2,FALSE)*VLOOKUP(Sheet1!$A682,Sheet2!$B$5:$H$29,5,FALSE),0)</x:f>
        <x:v>0</x:v>
      </x:c>
      <x:c r="G682">
        <x:f>ROUND($C682*10*VLOOKUP($B682,Sheet2!$J$5:$K$7,2,FALSE)*VLOOKUP(Sheet1!$A682,Sheet2!$B$5:$H$29,6,FALSE),0)</x:f>
        <x:v>67</x:v>
      </x:c>
      <x:c r="H682">
        <x:f>ROUND($C682*10*VLOOKUP($B682,Sheet2!$J$5:$K$7,2,FALSE)*VLOOKUP(Sheet1!$A682,Sheet2!$B$5:$H$29,7,FALSE),0)</x:f>
        <x:v>0</x:v>
      </x:c>
      <x:c r="I682">
        <x:f t="shared" si="11"/>
        <x:v>27770</x:v>
      </x:c>
    </x:row>
    <x:row r="683" spans="1:9" x14ac:dyDescent="0.15">
      <x:c r="A683">
        <x:v>54004</x:v>
      </x:c>
      <x:c r="B683">
        <x:v>3</x:v>
      </x:c>
      <x:c r="C683">
        <x:v>22</x:v>
      </x:c>
      <x:c r="D683">
        <x:f>ROUND($C683*10*VLOOKUP($B683,Sheet2!$J$5:$K$7,2,FALSE)*VLOOKUP(Sheet1!$A683,Sheet2!$B$5:$H$29,3,FALSE),0)</x:f>
        <x:v>264</x:v>
      </x:c>
      <x:c r="E683">
        <x:f>ROUND($C683*10*VLOOKUP($B683,Sheet2!$J$5:$K$7,2,FALSE)*VLOOKUP(Sheet1!$A683,Sheet2!$B$5:$H$29,4,FALSE),0)</x:f>
        <x:v>0</x:v>
      </x:c>
      <x:c r="F683">
        <x:f>ROUND($C683*10*VLOOKUP($B683,Sheet2!$J$5:$K$7,2,FALSE)*VLOOKUP(Sheet1!$A683,Sheet2!$B$5:$H$29,5,FALSE),0)</x:f>
        <x:v>0</x:v>
      </x:c>
      <x:c r="G683">
        <x:f>ROUND($C683*10*VLOOKUP($B683,Sheet2!$J$5:$K$7,2,FALSE)*VLOOKUP(Sheet1!$A683,Sheet2!$B$5:$H$29,6,FALSE),0)</x:f>
        <x:v>70</x:v>
      </x:c>
      <x:c r="H683">
        <x:f>ROUND($C683*10*VLOOKUP($B683,Sheet2!$J$5:$K$7,2,FALSE)*VLOOKUP(Sheet1!$A683,Sheet2!$B$5:$H$29,7,FALSE),0)</x:f>
        <x:v>0</x:v>
      </x:c>
      <x:c r="I683">
        <x:f t="shared" si="11"/>
        <x:v>30310</x:v>
      </x:c>
    </x:row>
    <x:row r="684" spans="1:9" x14ac:dyDescent="0.15">
      <x:c r="A684">
        <x:v>54004</x:v>
      </x:c>
      <x:c r="B684">
        <x:v>3</x:v>
      </x:c>
      <x:c r="C684">
        <x:v>23</x:v>
      </x:c>
      <x:c r="D684">
        <x:f>ROUND($C684*10*VLOOKUP($B684,Sheet2!$J$5:$K$7,2,FALSE)*VLOOKUP(Sheet1!$A684,Sheet2!$B$5:$H$29,3,FALSE),0)</x:f>
        <x:v>276</x:v>
      </x:c>
      <x:c r="E684">
        <x:f>ROUND($C684*10*VLOOKUP($B684,Sheet2!$J$5:$K$7,2,FALSE)*VLOOKUP(Sheet1!$A684,Sheet2!$B$5:$H$29,4,FALSE),0)</x:f>
        <x:v>0</x:v>
      </x:c>
      <x:c r="F684">
        <x:f>ROUND($C684*10*VLOOKUP($B684,Sheet2!$J$5:$K$7,2,FALSE)*VLOOKUP(Sheet1!$A684,Sheet2!$B$5:$H$29,5,FALSE),0)</x:f>
        <x:v>0</x:v>
      </x:c>
      <x:c r="G684">
        <x:f>ROUND($C684*10*VLOOKUP($B684,Sheet2!$J$5:$K$7,2,FALSE)*VLOOKUP(Sheet1!$A684,Sheet2!$B$5:$H$29,6,FALSE),0)</x:f>
        <x:v>74</x:v>
      </x:c>
      <x:c r="H684">
        <x:f>ROUND($C684*10*VLOOKUP($B684,Sheet2!$J$5:$K$7,2,FALSE)*VLOOKUP(Sheet1!$A684,Sheet2!$B$5:$H$29,7,FALSE),0)</x:f>
        <x:v>0</x:v>
      </x:c>
      <x:c r="I684">
        <x:f t="shared" si="11"/>
        <x:v>32950</x:v>
      </x:c>
    </x:row>
    <x:row r="685" spans="1:9" x14ac:dyDescent="0.15">
      <x:c r="A685">
        <x:v>54004</x:v>
      </x:c>
      <x:c r="B685">
        <x:v>3</x:v>
      </x:c>
      <x:c r="C685">
        <x:v>24</x:v>
      </x:c>
      <x:c r="D685">
        <x:f>ROUND($C685*10*VLOOKUP($B685,Sheet2!$J$5:$K$7,2,FALSE)*VLOOKUP(Sheet1!$A685,Sheet2!$B$5:$H$29,3,FALSE),0)</x:f>
        <x:v>288</x:v>
      </x:c>
      <x:c r="E685">
        <x:f>ROUND($C685*10*VLOOKUP($B685,Sheet2!$J$5:$K$7,2,FALSE)*VLOOKUP(Sheet1!$A685,Sheet2!$B$5:$H$29,4,FALSE),0)</x:f>
        <x:v>0</x:v>
      </x:c>
      <x:c r="F685">
        <x:f>ROUND($C685*10*VLOOKUP($B685,Sheet2!$J$5:$K$7,2,FALSE)*VLOOKUP(Sheet1!$A685,Sheet2!$B$5:$H$29,5,FALSE),0)</x:f>
        <x:v>0</x:v>
      </x:c>
      <x:c r="G685">
        <x:f>ROUND($C685*10*VLOOKUP($B685,Sheet2!$J$5:$K$7,2,FALSE)*VLOOKUP(Sheet1!$A685,Sheet2!$B$5:$H$29,6,FALSE),0)</x:f>
        <x:v>77</x:v>
      </x:c>
      <x:c r="H685">
        <x:f>ROUND($C685*10*VLOOKUP($B685,Sheet2!$J$5:$K$7,2,FALSE)*VLOOKUP(Sheet1!$A685,Sheet2!$B$5:$H$29,7,FALSE),0)</x:f>
        <x:v>0</x:v>
      </x:c>
      <x:c r="I685">
        <x:f t="shared" si="11"/>
        <x:v>35690</x:v>
      </x:c>
    </x:row>
    <x:row r="686" spans="1:9" x14ac:dyDescent="0.15">
      <x:c r="A686">
        <x:v>54004</x:v>
      </x:c>
      <x:c r="B686">
        <x:v>3</x:v>
      </x:c>
      <x:c r="C686">
        <x:v>25</x:v>
      </x:c>
      <x:c r="D686">
        <x:f>ROUND($C686*10*VLOOKUP($B686,Sheet2!$J$5:$K$7,2,FALSE)*VLOOKUP(Sheet1!$A686,Sheet2!$B$5:$H$29,3,FALSE),0)</x:f>
        <x:v>300</x:v>
      </x:c>
      <x:c r="E686">
        <x:f>ROUND($C686*10*VLOOKUP($B686,Sheet2!$J$5:$K$7,2,FALSE)*VLOOKUP(Sheet1!$A686,Sheet2!$B$5:$H$29,4,FALSE),0)</x:f>
        <x:v>0</x:v>
      </x:c>
      <x:c r="F686">
        <x:f>ROUND($C686*10*VLOOKUP($B686,Sheet2!$J$5:$K$7,2,FALSE)*VLOOKUP(Sheet1!$A686,Sheet2!$B$5:$H$29,5,FALSE),0)</x:f>
        <x:v>0</x:v>
      </x:c>
      <x:c r="G686">
        <x:f>ROUND($C686*10*VLOOKUP($B686,Sheet2!$J$5:$K$7,2,FALSE)*VLOOKUP(Sheet1!$A686,Sheet2!$B$5:$H$29,6,FALSE),0)</x:f>
        <x:v>80</x:v>
      </x:c>
      <x:c r="H686">
        <x:f>ROUND($C686*10*VLOOKUP($B686,Sheet2!$J$5:$K$7,2,FALSE)*VLOOKUP(Sheet1!$A686,Sheet2!$B$5:$H$29,7,FALSE),0)</x:f>
        <x:v>0</x:v>
      </x:c>
      <x:c r="I686">
        <x:f t="shared" si="11"/>
        <x:v>38530</x:v>
      </x:c>
    </x:row>
    <x:row r="687" spans="1:9" x14ac:dyDescent="0.15">
      <x:c r="A687">
        <x:v>54004</x:v>
      </x:c>
      <x:c r="B687">
        <x:v>3</x:v>
      </x:c>
      <x:c r="C687">
        <x:v>26</x:v>
      </x:c>
      <x:c r="D687">
        <x:f>ROUND($C687*10*VLOOKUP($B687,Sheet2!$J$5:$K$7,2,FALSE)*VLOOKUP(Sheet1!$A687,Sheet2!$B$5:$H$29,3,FALSE),0)</x:f>
        <x:v>312</x:v>
      </x:c>
      <x:c r="E687">
        <x:f>ROUND($C687*10*VLOOKUP($B687,Sheet2!$J$5:$K$7,2,FALSE)*VLOOKUP(Sheet1!$A687,Sheet2!$B$5:$H$29,4,FALSE),0)</x:f>
        <x:v>0</x:v>
      </x:c>
      <x:c r="F687">
        <x:f>ROUND($C687*10*VLOOKUP($B687,Sheet2!$J$5:$K$7,2,FALSE)*VLOOKUP(Sheet1!$A687,Sheet2!$B$5:$H$29,5,FALSE),0)</x:f>
        <x:v>0</x:v>
      </x:c>
      <x:c r="G687">
        <x:f>ROUND($C687*10*VLOOKUP($B687,Sheet2!$J$5:$K$7,2,FALSE)*VLOOKUP(Sheet1!$A687,Sheet2!$B$5:$H$29,6,FALSE),0)</x:f>
        <x:v>83</x:v>
      </x:c>
      <x:c r="H687">
        <x:f>ROUND($C687*10*VLOOKUP($B687,Sheet2!$J$5:$K$7,2,FALSE)*VLOOKUP(Sheet1!$A687,Sheet2!$B$5:$H$29,7,FALSE),0)</x:f>
        <x:v>0</x:v>
      </x:c>
      <x:c r="I687">
        <x:f t="shared" si="11"/>
        <x:v>41460</x:v>
      </x:c>
    </x:row>
    <x:row r="688" spans="1:9" x14ac:dyDescent="0.15">
      <x:c r="A688">
        <x:v>54004</x:v>
      </x:c>
      <x:c r="B688">
        <x:v>3</x:v>
      </x:c>
      <x:c r="C688">
        <x:v>27</x:v>
      </x:c>
      <x:c r="D688">
        <x:f>ROUND($C688*10*VLOOKUP($B688,Sheet2!$J$5:$K$7,2,FALSE)*VLOOKUP(Sheet1!$A688,Sheet2!$B$5:$H$29,3,FALSE),0)</x:f>
        <x:v>324</x:v>
      </x:c>
      <x:c r="E688">
        <x:f>ROUND($C688*10*VLOOKUP($B688,Sheet2!$J$5:$K$7,2,FALSE)*VLOOKUP(Sheet1!$A688,Sheet2!$B$5:$H$29,4,FALSE),0)</x:f>
        <x:v>0</x:v>
      </x:c>
      <x:c r="F688">
        <x:f>ROUND($C688*10*VLOOKUP($B688,Sheet2!$J$5:$K$7,2,FALSE)*VLOOKUP(Sheet1!$A688,Sheet2!$B$5:$H$29,5,FALSE),0)</x:f>
        <x:v>0</x:v>
      </x:c>
      <x:c r="G688">
        <x:f>ROUND($C688*10*VLOOKUP($B688,Sheet2!$J$5:$K$7,2,FALSE)*VLOOKUP(Sheet1!$A688,Sheet2!$B$5:$H$29,6,FALSE),0)</x:f>
        <x:v>86</x:v>
      </x:c>
      <x:c r="H688">
        <x:f>ROUND($C688*10*VLOOKUP($B688,Sheet2!$J$5:$K$7,2,FALSE)*VLOOKUP(Sheet1!$A688,Sheet2!$B$5:$H$29,7,FALSE),0)</x:f>
        <x:v>0</x:v>
      </x:c>
      <x:c r="I688">
        <x:f t="shared" si="11"/>
        <x:v>44480</x:v>
      </x:c>
    </x:row>
    <x:row r="689" spans="1:9" x14ac:dyDescent="0.15">
      <x:c r="A689">
        <x:v>54004</x:v>
      </x:c>
      <x:c r="B689">
        <x:v>3</x:v>
      </x:c>
      <x:c r="C689">
        <x:v>28</x:v>
      </x:c>
      <x:c r="D689">
        <x:f>ROUND($C689*10*VLOOKUP($B689,Sheet2!$J$5:$K$7,2,FALSE)*VLOOKUP(Sheet1!$A689,Sheet2!$B$5:$H$29,3,FALSE),0)</x:f>
        <x:v>336</x:v>
      </x:c>
      <x:c r="E689">
        <x:f>ROUND($C689*10*VLOOKUP($B689,Sheet2!$J$5:$K$7,2,FALSE)*VLOOKUP(Sheet1!$A689,Sheet2!$B$5:$H$29,4,FALSE),0)</x:f>
        <x:v>0</x:v>
      </x:c>
      <x:c r="F689">
        <x:f>ROUND($C689*10*VLOOKUP($B689,Sheet2!$J$5:$K$7,2,FALSE)*VLOOKUP(Sheet1!$A689,Sheet2!$B$5:$H$29,5,FALSE),0)</x:f>
        <x:v>0</x:v>
      </x:c>
      <x:c r="G689">
        <x:f>ROUND($C689*10*VLOOKUP($B689,Sheet2!$J$5:$K$7,2,FALSE)*VLOOKUP(Sheet1!$A689,Sheet2!$B$5:$H$29,6,FALSE),0)</x:f>
        <x:v>90</x:v>
      </x:c>
      <x:c r="H689">
        <x:f>ROUND($C689*10*VLOOKUP($B689,Sheet2!$J$5:$K$7,2,FALSE)*VLOOKUP(Sheet1!$A689,Sheet2!$B$5:$H$29,7,FALSE),0)</x:f>
        <x:v>0</x:v>
      </x:c>
      <x:c r="I689">
        <x:f t="shared" si="11"/>
        <x:v>47600</x:v>
      </x:c>
    </x:row>
    <x:row r="690" spans="1:9" x14ac:dyDescent="0.15">
      <x:c r="A690">
        <x:v>54004</x:v>
      </x:c>
      <x:c r="B690">
        <x:v>3</x:v>
      </x:c>
      <x:c r="C690">
        <x:v>29</x:v>
      </x:c>
      <x:c r="D690">
        <x:f>ROUND($C690*10*VLOOKUP($B690,Sheet2!$J$5:$K$7,2,FALSE)*VLOOKUP(Sheet1!$A690,Sheet2!$B$5:$H$29,3,FALSE),0)</x:f>
        <x:v>348</x:v>
      </x:c>
      <x:c r="E690">
        <x:f>ROUND($C690*10*VLOOKUP($B690,Sheet2!$J$5:$K$7,2,FALSE)*VLOOKUP(Sheet1!$A690,Sheet2!$B$5:$H$29,4,FALSE),0)</x:f>
        <x:v>0</x:v>
      </x:c>
      <x:c r="F690">
        <x:f>ROUND($C690*10*VLOOKUP($B690,Sheet2!$J$5:$K$7,2,FALSE)*VLOOKUP(Sheet1!$A690,Sheet2!$B$5:$H$29,5,FALSE),0)</x:f>
        <x:v>0</x:v>
      </x:c>
      <x:c r="G690">
        <x:f>ROUND($C690*10*VLOOKUP($B690,Sheet2!$J$5:$K$7,2,FALSE)*VLOOKUP(Sheet1!$A690,Sheet2!$B$5:$H$29,6,FALSE),0)</x:f>
        <x:v>93</x:v>
      </x:c>
      <x:c r="H690">
        <x:f>ROUND($C690*10*VLOOKUP($B690,Sheet2!$J$5:$K$7,2,FALSE)*VLOOKUP(Sheet1!$A690,Sheet2!$B$5:$H$29,7,FALSE),0)</x:f>
        <x:v>0</x:v>
      </x:c>
      <x:c r="I690">
        <x:f t="shared" si="11"/>
        <x:v>50820</x:v>
      </x:c>
    </x:row>
    <x:row r="691" spans="1:9" x14ac:dyDescent="0.15">
      <x:c r="A691">
        <x:v>54004</x:v>
      </x:c>
      <x:c r="B691">
        <x:v>3</x:v>
      </x:c>
      <x:c r="C691">
        <x:v>30</x:v>
      </x:c>
      <x:c r="D691">
        <x:f>ROUND($C691*10*VLOOKUP($B691,Sheet2!$J$5:$K$7,2,FALSE)*VLOOKUP(Sheet1!$A691,Sheet2!$B$5:$H$29,3,FALSE),0)</x:f>
        <x:v>360</x:v>
      </x:c>
      <x:c r="E691">
        <x:f>ROUND($C691*10*VLOOKUP($B691,Sheet2!$J$5:$K$7,2,FALSE)*VLOOKUP(Sheet1!$A691,Sheet2!$B$5:$H$29,4,FALSE),0)</x:f>
        <x:v>0</x:v>
      </x:c>
      <x:c r="F691">
        <x:f>ROUND($C691*10*VLOOKUP($B691,Sheet2!$J$5:$K$7,2,FALSE)*VLOOKUP(Sheet1!$A691,Sheet2!$B$5:$H$29,5,FALSE),0)</x:f>
        <x:v>0</x:v>
      </x:c>
      <x:c r="G691">
        <x:f>ROUND($C691*10*VLOOKUP($B691,Sheet2!$J$5:$K$7,2,FALSE)*VLOOKUP(Sheet1!$A691,Sheet2!$B$5:$H$29,6,FALSE),0)</x:f>
        <x:v>96</x:v>
      </x:c>
      <x:c r="H691">
        <x:f>ROUND($C691*10*VLOOKUP($B691,Sheet2!$J$5:$K$7,2,FALSE)*VLOOKUP(Sheet1!$A691,Sheet2!$B$5:$H$29,7,FALSE),0)</x:f>
        <x:v>0</x:v>
      </x:c>
      <x:c r="I691">
        <x:f t="shared" si="11"/>
        <x:v>54130</x:v>
      </x:c>
    </x:row>
    <x:row r="692" spans="1:9" x14ac:dyDescent="0.15">
      <x:c r="A692">
        <x:v>54004</x:v>
      </x:c>
      <x:c r="B692">
        <x:v>3</x:v>
      </x:c>
      <x:c r="C692">
        <x:v>31</x:v>
      </x:c>
      <x:c r="D692">
        <x:f>ROUND($C692*10*VLOOKUP($B692,Sheet2!$J$5:$K$7,2,FALSE)*VLOOKUP(Sheet1!$A692,Sheet2!$B$5:$H$29,3,FALSE),0)</x:f>
        <x:v>372</x:v>
      </x:c>
      <x:c r="E692">
        <x:f>ROUND($C692*10*VLOOKUP($B692,Sheet2!$J$5:$K$7,2,FALSE)*VLOOKUP(Sheet1!$A692,Sheet2!$B$5:$H$29,4,FALSE),0)</x:f>
        <x:v>0</x:v>
      </x:c>
      <x:c r="F692">
        <x:f>ROUND($C692*10*VLOOKUP($B692,Sheet2!$J$5:$K$7,2,FALSE)*VLOOKUP(Sheet1!$A692,Sheet2!$B$5:$H$29,5,FALSE),0)</x:f>
        <x:v>0</x:v>
      </x:c>
      <x:c r="G692">
        <x:f>ROUND($C692*10*VLOOKUP($B692,Sheet2!$J$5:$K$7,2,FALSE)*VLOOKUP(Sheet1!$A692,Sheet2!$B$5:$H$29,6,FALSE),0)</x:f>
        <x:v>99</x:v>
      </x:c>
      <x:c r="H692">
        <x:f>ROUND($C692*10*VLOOKUP($B692,Sheet2!$J$5:$K$7,2,FALSE)*VLOOKUP(Sheet1!$A692,Sheet2!$B$5:$H$29,7,FALSE),0)</x:f>
        <x:v>0</x:v>
      </x:c>
      <x:c r="I692">
        <x:f t="shared" si="11"/>
        <x:v>57530</x:v>
      </x:c>
    </x:row>
    <x:row r="693" spans="1:9" x14ac:dyDescent="0.15">
      <x:c r="A693">
        <x:v>54004</x:v>
      </x:c>
      <x:c r="B693">
        <x:v>3</x:v>
      </x:c>
      <x:c r="C693">
        <x:v>32</x:v>
      </x:c>
      <x:c r="D693">
        <x:f>ROUND($C693*10*VLOOKUP($B693,Sheet2!$J$5:$K$7,2,FALSE)*VLOOKUP(Sheet1!$A693,Sheet2!$B$5:$H$29,3,FALSE),0)</x:f>
        <x:v>384</x:v>
      </x:c>
      <x:c r="E693">
        <x:f>ROUND($C693*10*VLOOKUP($B693,Sheet2!$J$5:$K$7,2,FALSE)*VLOOKUP(Sheet1!$A693,Sheet2!$B$5:$H$29,4,FALSE),0)</x:f>
        <x:v>0</x:v>
      </x:c>
      <x:c r="F693">
        <x:f>ROUND($C693*10*VLOOKUP($B693,Sheet2!$J$5:$K$7,2,FALSE)*VLOOKUP(Sheet1!$A693,Sheet2!$B$5:$H$29,5,FALSE),0)</x:f>
        <x:v>0</x:v>
      </x:c>
      <x:c r="G693">
        <x:f>ROUND($C693*10*VLOOKUP($B693,Sheet2!$J$5:$K$7,2,FALSE)*VLOOKUP(Sheet1!$A693,Sheet2!$B$5:$H$29,6,FALSE),0)</x:f>
        <x:v>102</x:v>
      </x:c>
      <x:c r="H693">
        <x:f>ROUND($C693*10*VLOOKUP($B693,Sheet2!$J$5:$K$7,2,FALSE)*VLOOKUP(Sheet1!$A693,Sheet2!$B$5:$H$29,7,FALSE),0)</x:f>
        <x:v>0</x:v>
      </x:c>
      <x:c r="I693">
        <x:f t="shared" si="11"/>
        <x:v>61020</x:v>
      </x:c>
    </x:row>
    <x:row r="694" spans="1:9" x14ac:dyDescent="0.15">
      <x:c r="A694">
        <x:v>54004</x:v>
      </x:c>
      <x:c r="B694">
        <x:v>3</x:v>
      </x:c>
      <x:c r="C694">
        <x:v>33</x:v>
      </x:c>
      <x:c r="D694">
        <x:f>ROUND($C694*10*VLOOKUP($B694,Sheet2!$J$5:$K$7,2,FALSE)*VLOOKUP(Sheet1!$A694,Sheet2!$B$5:$H$29,3,FALSE),0)</x:f>
        <x:v>396</x:v>
      </x:c>
      <x:c r="E694">
        <x:f>ROUND($C694*10*VLOOKUP($B694,Sheet2!$J$5:$K$7,2,FALSE)*VLOOKUP(Sheet1!$A694,Sheet2!$B$5:$H$29,4,FALSE),0)</x:f>
        <x:v>0</x:v>
      </x:c>
      <x:c r="F694">
        <x:f>ROUND($C694*10*VLOOKUP($B694,Sheet2!$J$5:$K$7,2,FALSE)*VLOOKUP(Sheet1!$A694,Sheet2!$B$5:$H$29,5,FALSE),0)</x:f>
        <x:v>0</x:v>
      </x:c>
      <x:c r="G694">
        <x:f>ROUND($C694*10*VLOOKUP($B694,Sheet2!$J$5:$K$7,2,FALSE)*VLOOKUP(Sheet1!$A694,Sheet2!$B$5:$H$29,6,FALSE),0)</x:f>
        <x:v>106</x:v>
      </x:c>
      <x:c r="H694">
        <x:f>ROUND($C694*10*VLOOKUP($B694,Sheet2!$J$5:$K$7,2,FALSE)*VLOOKUP(Sheet1!$A694,Sheet2!$B$5:$H$29,7,FALSE),0)</x:f>
        <x:v>0</x:v>
      </x:c>
      <x:c r="I694">
        <x:f t="shared" si="11"/>
        <x:v>64600</x:v>
      </x:c>
    </x:row>
    <x:row r="695" spans="1:9" x14ac:dyDescent="0.15">
      <x:c r="A695">
        <x:v>54004</x:v>
      </x:c>
      <x:c r="B695">
        <x:v>3</x:v>
      </x:c>
      <x:c r="C695">
        <x:v>34</x:v>
      </x:c>
      <x:c r="D695">
        <x:f>ROUND($C695*10*VLOOKUP($B695,Sheet2!$J$5:$K$7,2,FALSE)*VLOOKUP(Sheet1!$A695,Sheet2!$B$5:$H$29,3,FALSE),0)</x:f>
        <x:v>408</x:v>
      </x:c>
      <x:c r="E695">
        <x:f>ROUND($C695*10*VLOOKUP($B695,Sheet2!$J$5:$K$7,2,FALSE)*VLOOKUP(Sheet1!$A695,Sheet2!$B$5:$H$29,4,FALSE),0)</x:f>
        <x:v>0</x:v>
      </x:c>
      <x:c r="F695">
        <x:f>ROUND($C695*10*VLOOKUP($B695,Sheet2!$J$5:$K$7,2,FALSE)*VLOOKUP(Sheet1!$A695,Sheet2!$B$5:$H$29,5,FALSE),0)</x:f>
        <x:v>0</x:v>
      </x:c>
      <x:c r="G695">
        <x:f>ROUND($C695*10*VLOOKUP($B695,Sheet2!$J$5:$K$7,2,FALSE)*VLOOKUP(Sheet1!$A695,Sheet2!$B$5:$H$29,6,FALSE),0)</x:f>
        <x:v>109</x:v>
      </x:c>
      <x:c r="H695">
        <x:f>ROUND($C695*10*VLOOKUP($B695,Sheet2!$J$5:$K$7,2,FALSE)*VLOOKUP(Sheet1!$A695,Sheet2!$B$5:$H$29,7,FALSE),0)</x:f>
        <x:v>0</x:v>
      </x:c>
      <x:c r="I695">
        <x:f t="shared" si="11"/>
        <x:v>68280</x:v>
      </x:c>
    </x:row>
    <x:row r="696" spans="1:9" x14ac:dyDescent="0.15">
      <x:c r="A696">
        <x:v>54004</x:v>
      </x:c>
      <x:c r="B696">
        <x:v>3</x:v>
      </x:c>
      <x:c r="C696">
        <x:v>35</x:v>
      </x:c>
      <x:c r="D696">
        <x:f>ROUND($C696*10*VLOOKUP($B696,Sheet2!$J$5:$K$7,2,FALSE)*VLOOKUP(Sheet1!$A696,Sheet2!$B$5:$H$29,3,FALSE),0)</x:f>
        <x:v>420</x:v>
      </x:c>
      <x:c r="E696">
        <x:f>ROUND($C696*10*VLOOKUP($B696,Sheet2!$J$5:$K$7,2,FALSE)*VLOOKUP(Sheet1!$A696,Sheet2!$B$5:$H$29,4,FALSE),0)</x:f>
        <x:v>0</x:v>
      </x:c>
      <x:c r="F696">
        <x:f>ROUND($C696*10*VLOOKUP($B696,Sheet2!$J$5:$K$7,2,FALSE)*VLOOKUP(Sheet1!$A696,Sheet2!$B$5:$H$29,5,FALSE),0)</x:f>
        <x:v>0</x:v>
      </x:c>
      <x:c r="G696">
        <x:f>ROUND($C696*10*VLOOKUP($B696,Sheet2!$J$5:$K$7,2,FALSE)*VLOOKUP(Sheet1!$A696,Sheet2!$B$5:$H$29,6,FALSE),0)</x:f>
        <x:v>112</x:v>
      </x:c>
      <x:c r="H696">
        <x:f>ROUND($C696*10*VLOOKUP($B696,Sheet2!$J$5:$K$7,2,FALSE)*VLOOKUP(Sheet1!$A696,Sheet2!$B$5:$H$29,7,FALSE),0)</x:f>
        <x:v>0</x:v>
      </x:c>
      <x:c r="I696">
        <x:f t="shared" si="11"/>
        <x:v>72040</x:v>
      </x:c>
    </x:row>
    <x:row r="697" spans="1:9" x14ac:dyDescent="0.15">
      <x:c r="A697">
        <x:v>54004</x:v>
      </x:c>
      <x:c r="B697">
        <x:v>3</x:v>
      </x:c>
      <x:c r="C697">
        <x:v>36</x:v>
      </x:c>
      <x:c r="D697">
        <x:f>ROUND($C697*10*VLOOKUP($B697,Sheet2!$J$5:$K$7,2,FALSE)*VLOOKUP(Sheet1!$A697,Sheet2!$B$5:$H$29,3,FALSE),0)</x:f>
        <x:v>432</x:v>
      </x:c>
      <x:c r="E697">
        <x:f>ROUND($C697*10*VLOOKUP($B697,Sheet2!$J$5:$K$7,2,FALSE)*VLOOKUP(Sheet1!$A697,Sheet2!$B$5:$H$29,4,FALSE),0)</x:f>
        <x:v>0</x:v>
      </x:c>
      <x:c r="F697">
        <x:f>ROUND($C697*10*VLOOKUP($B697,Sheet2!$J$5:$K$7,2,FALSE)*VLOOKUP(Sheet1!$A697,Sheet2!$B$5:$H$29,5,FALSE),0)</x:f>
        <x:v>0</x:v>
      </x:c>
      <x:c r="G697">
        <x:f>ROUND($C697*10*VLOOKUP($B697,Sheet2!$J$5:$K$7,2,FALSE)*VLOOKUP(Sheet1!$A697,Sheet2!$B$5:$H$29,6,FALSE),0)</x:f>
        <x:v>115</x:v>
      </x:c>
      <x:c r="H697">
        <x:f>ROUND($C697*10*VLOOKUP($B697,Sheet2!$J$5:$K$7,2,FALSE)*VLOOKUP(Sheet1!$A697,Sheet2!$B$5:$H$29,7,FALSE),0)</x:f>
        <x:v>0</x:v>
      </x:c>
      <x:c r="I697">
        <x:f t="shared" si="11"/>
        <x:v>75890</x:v>
      </x:c>
    </x:row>
    <x:row r="698" spans="1:9" x14ac:dyDescent="0.15">
      <x:c r="A698">
        <x:v>54004</x:v>
      </x:c>
      <x:c r="B698">
        <x:v>3</x:v>
      </x:c>
      <x:c r="C698">
        <x:v>37</x:v>
      </x:c>
      <x:c r="D698">
        <x:f>ROUND($C698*10*VLOOKUP($B698,Sheet2!$J$5:$K$7,2,FALSE)*VLOOKUP(Sheet1!$A698,Sheet2!$B$5:$H$29,3,FALSE),0)</x:f>
        <x:v>444</x:v>
      </x:c>
      <x:c r="E698">
        <x:f>ROUND($C698*10*VLOOKUP($B698,Sheet2!$J$5:$K$7,2,FALSE)*VLOOKUP(Sheet1!$A698,Sheet2!$B$5:$H$29,4,FALSE),0)</x:f>
        <x:v>0</x:v>
      </x:c>
      <x:c r="F698">
        <x:f>ROUND($C698*10*VLOOKUP($B698,Sheet2!$J$5:$K$7,2,FALSE)*VLOOKUP(Sheet1!$A698,Sheet2!$B$5:$H$29,5,FALSE),0)</x:f>
        <x:v>0</x:v>
      </x:c>
      <x:c r="G698">
        <x:f>ROUND($C698*10*VLOOKUP($B698,Sheet2!$J$5:$K$7,2,FALSE)*VLOOKUP(Sheet1!$A698,Sheet2!$B$5:$H$29,6,FALSE),0)</x:f>
        <x:v>118</x:v>
      </x:c>
      <x:c r="H698">
        <x:f>ROUND($C698*10*VLOOKUP($B698,Sheet2!$J$5:$K$7,2,FALSE)*VLOOKUP(Sheet1!$A698,Sheet2!$B$5:$H$29,7,FALSE),0)</x:f>
        <x:v>0</x:v>
      </x:c>
      <x:c r="I698">
        <x:f t="shared" si="11"/>
        <x:v>79840</x:v>
      </x:c>
    </x:row>
    <x:row r="699" spans="1:9" x14ac:dyDescent="0.15">
      <x:c r="A699">
        <x:v>54004</x:v>
      </x:c>
      <x:c r="B699">
        <x:v>3</x:v>
      </x:c>
      <x:c r="C699">
        <x:v>38</x:v>
      </x:c>
      <x:c r="D699">
        <x:f>ROUND($C699*10*VLOOKUP($B699,Sheet2!$J$5:$K$7,2,FALSE)*VLOOKUP(Sheet1!$A699,Sheet2!$B$5:$H$29,3,FALSE),0)</x:f>
        <x:v>456</x:v>
      </x:c>
      <x:c r="E699">
        <x:f>ROUND($C699*10*VLOOKUP($B699,Sheet2!$J$5:$K$7,2,FALSE)*VLOOKUP(Sheet1!$A699,Sheet2!$B$5:$H$29,4,FALSE),0)</x:f>
        <x:v>0</x:v>
      </x:c>
      <x:c r="F699">
        <x:f>ROUND($C699*10*VLOOKUP($B699,Sheet2!$J$5:$K$7,2,FALSE)*VLOOKUP(Sheet1!$A699,Sheet2!$B$5:$H$29,5,FALSE),0)</x:f>
        <x:v>0</x:v>
      </x:c>
      <x:c r="G699">
        <x:f>ROUND($C699*10*VLOOKUP($B699,Sheet2!$J$5:$K$7,2,FALSE)*VLOOKUP(Sheet1!$A699,Sheet2!$B$5:$H$29,6,FALSE),0)</x:f>
        <x:v>122</x:v>
      </x:c>
      <x:c r="H699">
        <x:f>ROUND($C699*10*VLOOKUP($B699,Sheet2!$J$5:$K$7,2,FALSE)*VLOOKUP(Sheet1!$A699,Sheet2!$B$5:$H$29,7,FALSE),0)</x:f>
        <x:v>0</x:v>
      </x:c>
      <x:c r="I699">
        <x:f t="shared" si="11"/>
        <x:v>83870</x:v>
      </x:c>
    </x:row>
    <x:row r="700" spans="1:9" x14ac:dyDescent="0.15">
      <x:c r="A700">
        <x:v>54004</x:v>
      </x:c>
      <x:c r="B700">
        <x:v>3</x:v>
      </x:c>
      <x:c r="C700">
        <x:v>39</x:v>
      </x:c>
      <x:c r="D700">
        <x:f>ROUND($C700*10*VLOOKUP($B700,Sheet2!$J$5:$K$7,2,FALSE)*VLOOKUP(Sheet1!$A700,Sheet2!$B$5:$H$29,3,FALSE),0)</x:f>
        <x:v>468</x:v>
      </x:c>
      <x:c r="E700">
        <x:f>ROUND($C700*10*VLOOKUP($B700,Sheet2!$J$5:$K$7,2,FALSE)*VLOOKUP(Sheet1!$A700,Sheet2!$B$5:$H$29,4,FALSE),0)</x:f>
        <x:v>0</x:v>
      </x:c>
      <x:c r="F700">
        <x:f>ROUND($C700*10*VLOOKUP($B700,Sheet2!$J$5:$K$7,2,FALSE)*VLOOKUP(Sheet1!$A700,Sheet2!$B$5:$H$29,5,FALSE),0)</x:f>
        <x:v>0</x:v>
      </x:c>
      <x:c r="G700">
        <x:f>ROUND($C700*10*VLOOKUP($B700,Sheet2!$J$5:$K$7,2,FALSE)*VLOOKUP(Sheet1!$A700,Sheet2!$B$5:$H$29,6,FALSE),0)</x:f>
        <x:v>125</x:v>
      </x:c>
      <x:c r="H700">
        <x:f>ROUND($C700*10*VLOOKUP($B700,Sheet2!$J$5:$K$7,2,FALSE)*VLOOKUP(Sheet1!$A700,Sheet2!$B$5:$H$29,7,FALSE),0)</x:f>
        <x:v>0</x:v>
      </x:c>
      <x:c r="I700">
        <x:f t="shared" si="11"/>
        <x:v>87990</x:v>
      </x:c>
    </x:row>
    <x:row r="701" spans="1:9" x14ac:dyDescent="0.15">
      <x:c r="A701">
        <x:v>54004</x:v>
      </x:c>
      <x:c r="B701">
        <x:v>3</x:v>
      </x:c>
      <x:c r="C701">
        <x:v>40</x:v>
      </x:c>
      <x:c r="D701">
        <x:f>ROUND($C701*10*VLOOKUP($B701,Sheet2!$J$5:$K$7,2,FALSE)*VLOOKUP(Sheet1!$A701,Sheet2!$B$5:$H$29,3,FALSE),0)</x:f>
        <x:v>480</x:v>
      </x:c>
      <x:c r="E701">
        <x:f>ROUND($C701*10*VLOOKUP($B701,Sheet2!$J$5:$K$7,2,FALSE)*VLOOKUP(Sheet1!$A701,Sheet2!$B$5:$H$29,4,FALSE),0)</x:f>
        <x:v>0</x:v>
      </x:c>
      <x:c r="F701">
        <x:f>ROUND($C701*10*VLOOKUP($B701,Sheet2!$J$5:$K$7,2,FALSE)*VLOOKUP(Sheet1!$A701,Sheet2!$B$5:$H$29,5,FALSE),0)</x:f>
        <x:v>0</x:v>
      </x:c>
      <x:c r="G701">
        <x:f>ROUND($C701*10*VLOOKUP($B701,Sheet2!$J$5:$K$7,2,FALSE)*VLOOKUP(Sheet1!$A701,Sheet2!$B$5:$H$29,6,FALSE),0)</x:f>
        <x:v>128</x:v>
      </x:c>
      <x:c r="H701">
        <x:f>ROUND($C701*10*VLOOKUP($B701,Sheet2!$J$5:$K$7,2,FALSE)*VLOOKUP(Sheet1!$A701,Sheet2!$B$5:$H$29,7,FALSE),0)</x:f>
        <x:v>0</x:v>
      </x:c>
      <x:c r="I701">
        <x:f t="shared" si="11"/>
        <x:v>92200</x:v>
      </x:c>
    </x:row>
    <x:row r="702" spans="1:9" x14ac:dyDescent="0.15">
      <x:c r="A702">
        <x:v>54004</x:v>
      </x:c>
      <x:c r="B702">
        <x:v>3</x:v>
      </x:c>
      <x:c r="C702">
        <x:v>41</x:v>
      </x:c>
      <x:c r="D702">
        <x:f>ROUND($C702*10*VLOOKUP($B702,Sheet2!$J$5:$K$7,2,FALSE)*VLOOKUP(Sheet1!$A702,Sheet2!$B$5:$H$29,3,FALSE),0)</x:f>
        <x:v>492</x:v>
      </x:c>
      <x:c r="E702">
        <x:f>ROUND($C702*10*VLOOKUP($B702,Sheet2!$J$5:$K$7,2,FALSE)*VLOOKUP(Sheet1!$A702,Sheet2!$B$5:$H$29,4,FALSE),0)</x:f>
        <x:v>0</x:v>
      </x:c>
      <x:c r="F702">
        <x:f>ROUND($C702*10*VLOOKUP($B702,Sheet2!$J$5:$K$7,2,FALSE)*VLOOKUP(Sheet1!$A702,Sheet2!$B$5:$H$29,5,FALSE),0)</x:f>
        <x:v>0</x:v>
      </x:c>
      <x:c r="G702">
        <x:f>ROUND($C702*10*VLOOKUP($B702,Sheet2!$J$5:$K$7,2,FALSE)*VLOOKUP(Sheet1!$A702,Sheet2!$B$5:$H$29,6,FALSE),0)</x:f>
        <x:v>131</x:v>
      </x:c>
      <x:c r="H702">
        <x:f>ROUND($C702*10*VLOOKUP($B702,Sheet2!$J$5:$K$7,2,FALSE)*VLOOKUP(Sheet1!$A702,Sheet2!$B$5:$H$29,7,FALSE),0)</x:f>
        <x:v>0</x:v>
      </x:c>
      <x:c r="I702">
        <x:f t="shared" si="11"/>
        <x:v>96490</x:v>
      </x:c>
    </x:row>
    <x:row r="703" spans="1:9" x14ac:dyDescent="0.15">
      <x:c r="A703">
        <x:v>54004</x:v>
      </x:c>
      <x:c r="B703">
        <x:v>3</x:v>
      </x:c>
      <x:c r="C703">
        <x:v>42</x:v>
      </x:c>
      <x:c r="D703">
        <x:f>ROUND($C703*10*VLOOKUP($B703,Sheet2!$J$5:$K$7,2,FALSE)*VLOOKUP(Sheet1!$A703,Sheet2!$B$5:$H$29,3,FALSE),0)</x:f>
        <x:v>504</x:v>
      </x:c>
      <x:c r="E703">
        <x:f>ROUND($C703*10*VLOOKUP($B703,Sheet2!$J$5:$K$7,2,FALSE)*VLOOKUP(Sheet1!$A703,Sheet2!$B$5:$H$29,4,FALSE),0)</x:f>
        <x:v>0</x:v>
      </x:c>
      <x:c r="F703">
        <x:f>ROUND($C703*10*VLOOKUP($B703,Sheet2!$J$5:$K$7,2,FALSE)*VLOOKUP(Sheet1!$A703,Sheet2!$B$5:$H$29,5,FALSE),0)</x:f>
        <x:v>0</x:v>
      </x:c>
      <x:c r="G703">
        <x:f>ROUND($C703*10*VLOOKUP($B703,Sheet2!$J$5:$K$7,2,FALSE)*VLOOKUP(Sheet1!$A703,Sheet2!$B$5:$H$29,6,FALSE),0)</x:f>
        <x:v>134</x:v>
      </x:c>
      <x:c r="H703">
        <x:f>ROUND($C703*10*VLOOKUP($B703,Sheet2!$J$5:$K$7,2,FALSE)*VLOOKUP(Sheet1!$A703,Sheet2!$B$5:$H$29,7,FALSE),0)</x:f>
        <x:v>0</x:v>
      </x:c>
      <x:c r="I703">
        <x:f t="shared" si="11"/>
        <x:v>100870</x:v>
      </x:c>
    </x:row>
    <x:row r="704" spans="1:9" x14ac:dyDescent="0.15">
      <x:c r="A704">
        <x:v>54004</x:v>
      </x:c>
      <x:c r="B704">
        <x:v>3</x:v>
      </x:c>
      <x:c r="C704">
        <x:v>43</x:v>
      </x:c>
      <x:c r="D704">
        <x:f>ROUND($C704*10*VLOOKUP($B704,Sheet2!$J$5:$K$7,2,FALSE)*VLOOKUP(Sheet1!$A704,Sheet2!$B$5:$H$29,3,FALSE),0)</x:f>
        <x:v>516</x:v>
      </x:c>
      <x:c r="E704">
        <x:f>ROUND($C704*10*VLOOKUP($B704,Sheet2!$J$5:$K$7,2,FALSE)*VLOOKUP(Sheet1!$A704,Sheet2!$B$5:$H$29,4,FALSE),0)</x:f>
        <x:v>0</x:v>
      </x:c>
      <x:c r="F704">
        <x:f>ROUND($C704*10*VLOOKUP($B704,Sheet2!$J$5:$K$7,2,FALSE)*VLOOKUP(Sheet1!$A704,Sheet2!$B$5:$H$29,5,FALSE),0)</x:f>
        <x:v>0</x:v>
      </x:c>
      <x:c r="G704">
        <x:f>ROUND($C704*10*VLOOKUP($B704,Sheet2!$J$5:$K$7,2,FALSE)*VLOOKUP(Sheet1!$A704,Sheet2!$B$5:$H$29,6,FALSE),0)</x:f>
        <x:v>138</x:v>
      </x:c>
      <x:c r="H704">
        <x:f>ROUND($C704*10*VLOOKUP($B704,Sheet2!$J$5:$K$7,2,FALSE)*VLOOKUP(Sheet1!$A704,Sheet2!$B$5:$H$29,7,FALSE),0)</x:f>
        <x:v>0</x:v>
      </x:c>
      <x:c r="I704">
        <x:f t="shared" si="11"/>
        <x:v>105340</x:v>
      </x:c>
    </x:row>
    <x:row r="705" spans="1:9" x14ac:dyDescent="0.15">
      <x:c r="A705">
        <x:v>54004</x:v>
      </x:c>
      <x:c r="B705">
        <x:v>3</x:v>
      </x:c>
      <x:c r="C705">
        <x:v>44</x:v>
      </x:c>
      <x:c r="D705">
        <x:f>ROUND($C705*10*VLOOKUP($B705,Sheet2!$J$5:$K$7,2,FALSE)*VLOOKUP(Sheet1!$A705,Sheet2!$B$5:$H$29,3,FALSE),0)</x:f>
        <x:v>528</x:v>
      </x:c>
      <x:c r="E705">
        <x:f>ROUND($C705*10*VLOOKUP($B705,Sheet2!$J$5:$K$7,2,FALSE)*VLOOKUP(Sheet1!$A705,Sheet2!$B$5:$H$29,4,FALSE),0)</x:f>
        <x:v>0</x:v>
      </x:c>
      <x:c r="F705">
        <x:f>ROUND($C705*10*VLOOKUP($B705,Sheet2!$J$5:$K$7,2,FALSE)*VLOOKUP(Sheet1!$A705,Sheet2!$B$5:$H$29,5,FALSE),0)</x:f>
        <x:v>0</x:v>
      </x:c>
      <x:c r="G705">
        <x:f>ROUND($C705*10*VLOOKUP($B705,Sheet2!$J$5:$K$7,2,FALSE)*VLOOKUP(Sheet1!$A705,Sheet2!$B$5:$H$29,6,FALSE),0)</x:f>
        <x:v>141</x:v>
      </x:c>
      <x:c r="H705">
        <x:f>ROUND($C705*10*VLOOKUP($B705,Sheet2!$J$5:$K$7,2,FALSE)*VLOOKUP(Sheet1!$A705,Sheet2!$B$5:$H$29,7,FALSE),0)</x:f>
        <x:v>0</x:v>
      </x:c>
      <x:c r="I705">
        <x:f t="shared" si="11"/>
        <x:v>109890</x:v>
      </x:c>
    </x:row>
    <x:row r="706" spans="1:9" x14ac:dyDescent="0.15">
      <x:c r="A706">
        <x:v>54004</x:v>
      </x:c>
      <x:c r="B706">
        <x:v>3</x:v>
      </x:c>
      <x:c r="C706">
        <x:v>45</x:v>
      </x:c>
      <x:c r="D706">
        <x:f>ROUND($C706*10*VLOOKUP($B706,Sheet2!$J$5:$K$7,2,FALSE)*VLOOKUP(Sheet1!$A706,Sheet2!$B$5:$H$29,3,FALSE),0)</x:f>
        <x:v>540</x:v>
      </x:c>
      <x:c r="E706">
        <x:f>ROUND($C706*10*VLOOKUP($B706,Sheet2!$J$5:$K$7,2,FALSE)*VLOOKUP(Sheet1!$A706,Sheet2!$B$5:$H$29,4,FALSE),0)</x:f>
        <x:v>0</x:v>
      </x:c>
      <x:c r="F706">
        <x:f>ROUND($C706*10*VLOOKUP($B706,Sheet2!$J$5:$K$7,2,FALSE)*VLOOKUP(Sheet1!$A706,Sheet2!$B$5:$H$29,5,FALSE),0)</x:f>
        <x:v>0</x:v>
      </x:c>
      <x:c r="G706">
        <x:f>ROUND($C706*10*VLOOKUP($B706,Sheet2!$J$5:$K$7,2,FALSE)*VLOOKUP(Sheet1!$A706,Sheet2!$B$5:$H$29,6,FALSE),0)</x:f>
        <x:v>144</x:v>
      </x:c>
      <x:c r="H706">
        <x:f>ROUND($C706*10*VLOOKUP($B706,Sheet2!$J$5:$K$7,2,FALSE)*VLOOKUP(Sheet1!$A706,Sheet2!$B$5:$H$29,7,FALSE),0)</x:f>
        <x:v>0</x:v>
      </x:c>
      <x:c r="I706">
        <x:f t="shared" si="11"/>
        <x:v>114530</x:v>
      </x:c>
    </x:row>
    <x:row r="707" spans="1:9" x14ac:dyDescent="0.15">
      <x:c r="A707">
        <x:v>54004</x:v>
      </x:c>
      <x:c r="B707">
        <x:v>3</x:v>
      </x:c>
      <x:c r="C707">
        <x:v>46</x:v>
      </x:c>
      <x:c r="D707">
        <x:f>ROUND($C707*10*VLOOKUP($B707,Sheet2!$J$5:$K$7,2,FALSE)*VLOOKUP(Sheet1!$A707,Sheet2!$B$5:$H$29,3,FALSE),0)</x:f>
        <x:v>552</x:v>
      </x:c>
      <x:c r="E707">
        <x:f>ROUND($C707*10*VLOOKUP($B707,Sheet2!$J$5:$K$7,2,FALSE)*VLOOKUP(Sheet1!$A707,Sheet2!$B$5:$H$29,4,FALSE),0)</x:f>
        <x:v>0</x:v>
      </x:c>
      <x:c r="F707">
        <x:f>ROUND($C707*10*VLOOKUP($B707,Sheet2!$J$5:$K$7,2,FALSE)*VLOOKUP(Sheet1!$A707,Sheet2!$B$5:$H$29,5,FALSE),0)</x:f>
        <x:v>0</x:v>
      </x:c>
      <x:c r="G707">
        <x:f>ROUND($C707*10*VLOOKUP($B707,Sheet2!$J$5:$K$7,2,FALSE)*VLOOKUP(Sheet1!$A707,Sheet2!$B$5:$H$29,6,FALSE),0)</x:f>
        <x:v>147</x:v>
      </x:c>
      <x:c r="H707">
        <x:f>ROUND($C707*10*VLOOKUP($B707,Sheet2!$J$5:$K$7,2,FALSE)*VLOOKUP(Sheet1!$A707,Sheet2!$B$5:$H$29,7,FALSE),0)</x:f>
        <x:v>0</x:v>
      </x:c>
      <x:c r="I707">
        <x:f t="shared" si="11"/>
        <x:v>119260</x:v>
      </x:c>
    </x:row>
    <x:row r="708" spans="1:9" x14ac:dyDescent="0.15">
      <x:c r="A708">
        <x:v>54004</x:v>
      </x:c>
      <x:c r="B708">
        <x:v>3</x:v>
      </x:c>
      <x:c r="C708">
        <x:v>47</x:v>
      </x:c>
      <x:c r="D708">
        <x:f>ROUND($C708*10*VLOOKUP($B708,Sheet2!$J$5:$K$7,2,FALSE)*VLOOKUP(Sheet1!$A708,Sheet2!$B$5:$H$29,3,FALSE),0)</x:f>
        <x:v>564</x:v>
      </x:c>
      <x:c r="E708">
        <x:f>ROUND($C708*10*VLOOKUP($B708,Sheet2!$J$5:$K$7,2,FALSE)*VLOOKUP(Sheet1!$A708,Sheet2!$B$5:$H$29,4,FALSE),0)</x:f>
        <x:v>0</x:v>
      </x:c>
      <x:c r="F708">
        <x:f>ROUND($C708*10*VLOOKUP($B708,Sheet2!$J$5:$K$7,2,FALSE)*VLOOKUP(Sheet1!$A708,Sheet2!$B$5:$H$29,5,FALSE),0)</x:f>
        <x:v>0</x:v>
      </x:c>
      <x:c r="G708">
        <x:f>ROUND($C708*10*VLOOKUP($B708,Sheet2!$J$5:$K$7,2,FALSE)*VLOOKUP(Sheet1!$A708,Sheet2!$B$5:$H$29,6,FALSE),0)</x:f>
        <x:v>150</x:v>
      </x:c>
      <x:c r="H708">
        <x:f>ROUND($C708*10*VLOOKUP($B708,Sheet2!$J$5:$K$7,2,FALSE)*VLOOKUP(Sheet1!$A708,Sheet2!$B$5:$H$29,7,FALSE),0)</x:f>
        <x:v>0</x:v>
      </x:c>
      <x:c r="I708">
        <x:f t="shared" si="11"/>
        <x:v>124070</x:v>
      </x:c>
    </x:row>
    <x:row r="709" spans="1:9" x14ac:dyDescent="0.15">
      <x:c r="A709">
        <x:v>54004</x:v>
      </x:c>
      <x:c r="B709">
        <x:v>3</x:v>
      </x:c>
      <x:c r="C709">
        <x:v>48</x:v>
      </x:c>
      <x:c r="D709">
        <x:f>ROUND($C709*10*VLOOKUP($B709,Sheet2!$J$5:$K$7,2,FALSE)*VLOOKUP(Sheet1!$A709,Sheet2!$B$5:$H$29,3,FALSE),0)</x:f>
        <x:v>576</x:v>
      </x:c>
      <x:c r="E709">
        <x:f>ROUND($C709*10*VLOOKUP($B709,Sheet2!$J$5:$K$7,2,FALSE)*VLOOKUP(Sheet1!$A709,Sheet2!$B$5:$H$29,4,FALSE),0)</x:f>
        <x:v>0</x:v>
      </x:c>
      <x:c r="F709">
        <x:f>ROUND($C709*10*VLOOKUP($B709,Sheet2!$J$5:$K$7,2,FALSE)*VLOOKUP(Sheet1!$A709,Sheet2!$B$5:$H$29,5,FALSE),0)</x:f>
        <x:v>0</x:v>
      </x:c>
      <x:c r="G709">
        <x:f>ROUND($C709*10*VLOOKUP($B709,Sheet2!$J$5:$K$7,2,FALSE)*VLOOKUP(Sheet1!$A709,Sheet2!$B$5:$H$29,6,FALSE),0)</x:f>
        <x:v>154</x:v>
      </x:c>
      <x:c r="H709">
        <x:f>ROUND($C709*10*VLOOKUP($B709,Sheet2!$J$5:$K$7,2,FALSE)*VLOOKUP(Sheet1!$A709,Sheet2!$B$5:$H$29,7,FALSE),0)</x:f>
        <x:v>0</x:v>
      </x:c>
      <x:c r="I709">
        <x:f t="shared" si="11"/>
        <x:v>128960</x:v>
      </x:c>
    </x:row>
    <x:row r="710" spans="1:9" x14ac:dyDescent="0.15">
      <x:c r="A710">
        <x:v>54004</x:v>
      </x:c>
      <x:c r="B710">
        <x:v>3</x:v>
      </x:c>
      <x:c r="C710">
        <x:v>49</x:v>
      </x:c>
      <x:c r="D710">
        <x:f>ROUND($C710*10*VLOOKUP($B710,Sheet2!$J$5:$K$7,2,FALSE)*VLOOKUP(Sheet1!$A710,Sheet2!$B$5:$H$29,3,FALSE),0)</x:f>
        <x:v>588</x:v>
      </x:c>
      <x:c r="E710">
        <x:f>ROUND($C710*10*VLOOKUP($B710,Sheet2!$J$5:$K$7,2,FALSE)*VLOOKUP(Sheet1!$A710,Sheet2!$B$5:$H$29,4,FALSE),0)</x:f>
        <x:v>0</x:v>
      </x:c>
      <x:c r="F710">
        <x:f>ROUND($C710*10*VLOOKUP($B710,Sheet2!$J$5:$K$7,2,FALSE)*VLOOKUP(Sheet1!$A710,Sheet2!$B$5:$H$29,5,FALSE),0)</x:f>
        <x:v>0</x:v>
      </x:c>
      <x:c r="G710">
        <x:f>ROUND($C710*10*VLOOKUP($B710,Sheet2!$J$5:$K$7,2,FALSE)*VLOOKUP(Sheet1!$A710,Sheet2!$B$5:$H$29,6,FALSE),0)</x:f>
        <x:v>157</x:v>
      </x:c>
      <x:c r="H710">
        <x:f>ROUND($C710*10*VLOOKUP($B710,Sheet2!$J$5:$K$7,2,FALSE)*VLOOKUP(Sheet1!$A710,Sheet2!$B$5:$H$29,7,FALSE),0)</x:f>
        <x:v>0</x:v>
      </x:c>
      <x:c r="I710">
        <x:f t="shared" si="11"/>
        <x:v>133940</x:v>
      </x:c>
    </x:row>
    <x:row r="711" spans="1:9" x14ac:dyDescent="0.15">
      <x:c r="A711">
        <x:v>54004</x:v>
      </x:c>
      <x:c r="B711">
        <x:v>3</x:v>
      </x:c>
      <x:c r="C711">
        <x:v>50</x:v>
      </x:c>
      <x:c r="D711">
        <x:f>ROUND($C711*10*VLOOKUP($B711,Sheet2!$J$5:$K$7,2,FALSE)*VLOOKUP(Sheet1!$A711,Sheet2!$B$5:$H$29,3,FALSE),0)</x:f>
        <x:v>600</x:v>
      </x:c>
      <x:c r="E711">
        <x:f>ROUND($C711*10*VLOOKUP($B711,Sheet2!$J$5:$K$7,2,FALSE)*VLOOKUP(Sheet1!$A711,Sheet2!$B$5:$H$29,4,FALSE),0)</x:f>
        <x:v>0</x:v>
      </x:c>
      <x:c r="F711">
        <x:f>ROUND($C711*10*VLOOKUP($B711,Sheet2!$J$5:$K$7,2,FALSE)*VLOOKUP(Sheet1!$A711,Sheet2!$B$5:$H$29,5,FALSE),0)</x:f>
        <x:v>0</x:v>
      </x:c>
      <x:c r="G711">
        <x:f>ROUND($C711*10*VLOOKUP($B711,Sheet2!$J$5:$K$7,2,FALSE)*VLOOKUP(Sheet1!$A711,Sheet2!$B$5:$H$29,6,FALSE),0)</x:f>
        <x:v>160</x:v>
      </x:c>
      <x:c r="H711">
        <x:f>ROUND($C711*10*VLOOKUP($B711,Sheet2!$J$5:$K$7,2,FALSE)*VLOOKUP(Sheet1!$A711,Sheet2!$B$5:$H$29,7,FALSE),0)</x:f>
        <x:v>0</x:v>
      </x:c>
      <x:c r="I711">
        <x:f t="shared" si="11"/>
        <x:v>139000</x:v>
      </x:c>
    </x:row>
    <x:row r="712" spans="1:9" x14ac:dyDescent="0.15">
      <x:c r="A712">
        <x:v>54004</x:v>
      </x:c>
      <x:c r="B712">
        <x:v>3</x:v>
      </x:c>
      <x:c r="C712">
        <x:v>51</x:v>
      </x:c>
      <x:c r="D712">
        <x:f>ROUND($C712*10*VLOOKUP($B712,Sheet2!$J$5:$K$7,2,FALSE)*VLOOKUP(Sheet1!$A712,Sheet2!$B$5:$H$29,3,FALSE),0)</x:f>
        <x:v>612</x:v>
      </x:c>
      <x:c r="E712">
        <x:f>ROUND($C712*10*VLOOKUP($B712,Sheet2!$J$5:$K$7,2,FALSE)*VLOOKUP(Sheet1!$A712,Sheet2!$B$5:$H$29,4,FALSE),0)</x:f>
        <x:v>0</x:v>
      </x:c>
      <x:c r="F712">
        <x:f>ROUND($C712*10*VLOOKUP($B712,Sheet2!$J$5:$K$7,2,FALSE)*VLOOKUP(Sheet1!$A712,Sheet2!$B$5:$H$29,5,FALSE),0)</x:f>
        <x:v>0</x:v>
      </x:c>
      <x:c r="G712">
        <x:f>ROUND($C712*10*VLOOKUP($B712,Sheet2!$J$5:$K$7,2,FALSE)*VLOOKUP(Sheet1!$A712,Sheet2!$B$5:$H$29,6,FALSE),0)</x:f>
        <x:v>163</x:v>
      </x:c>
      <x:c r="H712">
        <x:f>ROUND($C712*10*VLOOKUP($B712,Sheet2!$J$5:$K$7,2,FALSE)*VLOOKUP(Sheet1!$A712,Sheet2!$B$5:$H$29,7,FALSE),0)</x:f>
        <x:v>0</x:v>
      </x:c>
      <x:c r="I712">
        <x:f t="shared" si="11"/>
        <x:v>144140</x:v>
      </x:c>
    </x:row>
    <x:row r="713" spans="1:9" x14ac:dyDescent="0.15">
      <x:c r="A713">
        <x:v>54004</x:v>
      </x:c>
      <x:c r="B713">
        <x:v>3</x:v>
      </x:c>
      <x:c r="C713">
        <x:v>52</x:v>
      </x:c>
      <x:c r="D713">
        <x:f>ROUND($C713*10*VLOOKUP($B713,Sheet2!$J$5:$K$7,2,FALSE)*VLOOKUP(Sheet1!$A713,Sheet2!$B$5:$H$29,3,FALSE),0)</x:f>
        <x:v>624</x:v>
      </x:c>
      <x:c r="E713">
        <x:f>ROUND($C713*10*VLOOKUP($B713,Sheet2!$J$5:$K$7,2,FALSE)*VLOOKUP(Sheet1!$A713,Sheet2!$B$5:$H$29,4,FALSE),0)</x:f>
        <x:v>0</x:v>
      </x:c>
      <x:c r="F713">
        <x:f>ROUND($C713*10*VLOOKUP($B713,Sheet2!$J$5:$K$7,2,FALSE)*VLOOKUP(Sheet1!$A713,Sheet2!$B$5:$H$29,5,FALSE),0)</x:f>
        <x:v>0</x:v>
      </x:c>
      <x:c r="G713">
        <x:f>ROUND($C713*10*VLOOKUP($B713,Sheet2!$J$5:$K$7,2,FALSE)*VLOOKUP(Sheet1!$A713,Sheet2!$B$5:$H$29,6,FALSE),0)</x:f>
        <x:v>166</x:v>
      </x:c>
      <x:c r="H713">
        <x:f>ROUND($C713*10*VLOOKUP($B713,Sheet2!$J$5:$K$7,2,FALSE)*VLOOKUP(Sheet1!$A713,Sheet2!$B$5:$H$29,7,FALSE),0)</x:f>
        <x:v>0</x:v>
      </x:c>
      <x:c r="I713">
        <x:f t="shared" si="11"/>
        <x:v>149370</x:v>
      </x:c>
    </x:row>
    <x:row r="714" spans="1:9" x14ac:dyDescent="0.15">
      <x:c r="A714">
        <x:v>54004</x:v>
      </x:c>
      <x:c r="B714">
        <x:v>3</x:v>
      </x:c>
      <x:c r="C714">
        <x:v>53</x:v>
      </x:c>
      <x:c r="D714">
        <x:f>ROUND($C714*10*VLOOKUP($B714,Sheet2!$J$5:$K$7,2,FALSE)*VLOOKUP(Sheet1!$A714,Sheet2!$B$5:$H$29,3,FALSE),0)</x:f>
        <x:v>636</x:v>
      </x:c>
      <x:c r="E714">
        <x:f>ROUND($C714*10*VLOOKUP($B714,Sheet2!$J$5:$K$7,2,FALSE)*VLOOKUP(Sheet1!$A714,Sheet2!$B$5:$H$29,4,FALSE),0)</x:f>
        <x:v>0</x:v>
      </x:c>
      <x:c r="F714">
        <x:f>ROUND($C714*10*VLOOKUP($B714,Sheet2!$J$5:$K$7,2,FALSE)*VLOOKUP(Sheet1!$A714,Sheet2!$B$5:$H$29,5,FALSE),0)</x:f>
        <x:v>0</x:v>
      </x:c>
      <x:c r="G714">
        <x:f>ROUND($C714*10*VLOOKUP($B714,Sheet2!$J$5:$K$7,2,FALSE)*VLOOKUP(Sheet1!$A714,Sheet2!$B$5:$H$29,6,FALSE),0)</x:f>
        <x:v>170</x:v>
      </x:c>
      <x:c r="H714">
        <x:f>ROUND($C714*10*VLOOKUP($B714,Sheet2!$J$5:$K$7,2,FALSE)*VLOOKUP(Sheet1!$A714,Sheet2!$B$5:$H$29,7,FALSE),0)</x:f>
        <x:v>0</x:v>
      </x:c>
      <x:c r="I714">
        <x:f t="shared" si="11"/>
        <x:v>154680</x:v>
      </x:c>
    </x:row>
    <x:row r="715" spans="1:9" x14ac:dyDescent="0.15">
      <x:c r="A715">
        <x:v>54004</x:v>
      </x:c>
      <x:c r="B715">
        <x:v>3</x:v>
      </x:c>
      <x:c r="C715">
        <x:v>54</x:v>
      </x:c>
      <x:c r="D715">
        <x:f>ROUND($C715*10*VLOOKUP($B715,Sheet2!$J$5:$K$7,2,FALSE)*VLOOKUP(Sheet1!$A715,Sheet2!$B$5:$H$29,3,FALSE),0)</x:f>
        <x:v>648</x:v>
      </x:c>
      <x:c r="E715">
        <x:f>ROUND($C715*10*VLOOKUP($B715,Sheet2!$J$5:$K$7,2,FALSE)*VLOOKUP(Sheet1!$A715,Sheet2!$B$5:$H$29,4,FALSE),0)</x:f>
        <x:v>0</x:v>
      </x:c>
      <x:c r="F715">
        <x:f>ROUND($C715*10*VLOOKUP($B715,Sheet2!$J$5:$K$7,2,FALSE)*VLOOKUP(Sheet1!$A715,Sheet2!$B$5:$H$29,5,FALSE),0)</x:f>
        <x:v>0</x:v>
      </x:c>
      <x:c r="G715">
        <x:f>ROUND($C715*10*VLOOKUP($B715,Sheet2!$J$5:$K$7,2,FALSE)*VLOOKUP(Sheet1!$A715,Sheet2!$B$5:$H$29,6,FALSE),0)</x:f>
        <x:v>173</x:v>
      </x:c>
      <x:c r="H715">
        <x:f>ROUND($C715*10*VLOOKUP($B715,Sheet2!$J$5:$K$7,2,FALSE)*VLOOKUP(Sheet1!$A715,Sheet2!$B$5:$H$29,7,FALSE),0)</x:f>
        <x:v>0</x:v>
      </x:c>
      <x:c r="I715">
        <x:f t="shared" si="11"/>
        <x:v>160070</x:v>
      </x:c>
    </x:row>
    <x:row r="716" spans="1:9" x14ac:dyDescent="0.15">
      <x:c r="A716">
        <x:v>54004</x:v>
      </x:c>
      <x:c r="B716">
        <x:v>3</x:v>
      </x:c>
      <x:c r="C716">
        <x:v>55</x:v>
      </x:c>
      <x:c r="D716">
        <x:f>ROUND($C716*10*VLOOKUP($B716,Sheet2!$J$5:$K$7,2,FALSE)*VLOOKUP(Sheet1!$A716,Sheet2!$B$5:$H$29,3,FALSE),0)</x:f>
        <x:v>660</x:v>
      </x:c>
      <x:c r="E716">
        <x:f>ROUND($C716*10*VLOOKUP($B716,Sheet2!$J$5:$K$7,2,FALSE)*VLOOKUP(Sheet1!$A716,Sheet2!$B$5:$H$29,4,FALSE),0)</x:f>
        <x:v>0</x:v>
      </x:c>
      <x:c r="F716">
        <x:f>ROUND($C716*10*VLOOKUP($B716,Sheet2!$J$5:$K$7,2,FALSE)*VLOOKUP(Sheet1!$A716,Sheet2!$B$5:$H$29,5,FALSE),0)</x:f>
        <x:v>0</x:v>
      </x:c>
      <x:c r="G716">
        <x:f>ROUND($C716*10*VLOOKUP($B716,Sheet2!$J$5:$K$7,2,FALSE)*VLOOKUP(Sheet1!$A716,Sheet2!$B$5:$H$29,6,FALSE),0)</x:f>
        <x:v>176</x:v>
      </x:c>
      <x:c r="H716">
        <x:f>ROUND($C716*10*VLOOKUP($B716,Sheet2!$J$5:$K$7,2,FALSE)*VLOOKUP(Sheet1!$A716,Sheet2!$B$5:$H$29,7,FALSE),0)</x:f>
        <x:v>0</x:v>
      </x:c>
      <x:c r="I716">
        <x:f t="shared" si="11"/>
        <x:v>165540</x:v>
      </x:c>
    </x:row>
    <x:row r="717" spans="1:9" x14ac:dyDescent="0.15">
      <x:c r="A717">
        <x:v>54004</x:v>
      </x:c>
      <x:c r="B717">
        <x:v>3</x:v>
      </x:c>
      <x:c r="C717">
        <x:v>56</x:v>
      </x:c>
      <x:c r="D717">
        <x:f>ROUND($C717*10*VLOOKUP($B717,Sheet2!$J$5:$K$7,2,FALSE)*VLOOKUP(Sheet1!$A717,Sheet2!$B$5:$H$29,3,FALSE),0)</x:f>
        <x:v>672</x:v>
      </x:c>
      <x:c r="E717">
        <x:f>ROUND($C717*10*VLOOKUP($B717,Sheet2!$J$5:$K$7,2,FALSE)*VLOOKUP(Sheet1!$A717,Sheet2!$B$5:$H$29,4,FALSE),0)</x:f>
        <x:v>0</x:v>
      </x:c>
      <x:c r="F717">
        <x:f>ROUND($C717*10*VLOOKUP($B717,Sheet2!$J$5:$K$7,2,FALSE)*VLOOKUP(Sheet1!$A717,Sheet2!$B$5:$H$29,5,FALSE),0)</x:f>
        <x:v>0</x:v>
      </x:c>
      <x:c r="G717">
        <x:f>ROUND($C717*10*VLOOKUP($B717,Sheet2!$J$5:$K$7,2,FALSE)*VLOOKUP(Sheet1!$A717,Sheet2!$B$5:$H$29,6,FALSE),0)</x:f>
        <x:v>179</x:v>
      </x:c>
      <x:c r="H717">
        <x:f>ROUND($C717*10*VLOOKUP($B717,Sheet2!$J$5:$K$7,2,FALSE)*VLOOKUP(Sheet1!$A717,Sheet2!$B$5:$H$29,7,FALSE),0)</x:f>
        <x:v>0</x:v>
      </x:c>
      <x:c r="I717">
        <x:f t="shared" si="11"/>
        <x:v>171100</x:v>
      </x:c>
    </x:row>
    <x:row r="718" spans="1:9" x14ac:dyDescent="0.15">
      <x:c r="A718">
        <x:v>54004</x:v>
      </x:c>
      <x:c r="B718">
        <x:v>3</x:v>
      </x:c>
      <x:c r="C718">
        <x:v>57</x:v>
      </x:c>
      <x:c r="D718">
        <x:f>ROUND($C718*10*VLOOKUP($B718,Sheet2!$J$5:$K$7,2,FALSE)*VLOOKUP(Sheet1!$A718,Sheet2!$B$5:$H$29,3,FALSE),0)</x:f>
        <x:v>684</x:v>
      </x:c>
      <x:c r="E718">
        <x:f>ROUND($C718*10*VLOOKUP($B718,Sheet2!$J$5:$K$7,2,FALSE)*VLOOKUP(Sheet1!$A718,Sheet2!$B$5:$H$29,4,FALSE),0)</x:f>
        <x:v>0</x:v>
      </x:c>
      <x:c r="F718">
        <x:f>ROUND($C718*10*VLOOKUP($B718,Sheet2!$J$5:$K$7,2,FALSE)*VLOOKUP(Sheet1!$A718,Sheet2!$B$5:$H$29,5,FALSE),0)</x:f>
        <x:v>0</x:v>
      </x:c>
      <x:c r="G718">
        <x:f>ROUND($C718*10*VLOOKUP($B718,Sheet2!$J$5:$K$7,2,FALSE)*VLOOKUP(Sheet1!$A718,Sheet2!$B$5:$H$29,6,FALSE),0)</x:f>
        <x:v>182</x:v>
      </x:c>
      <x:c r="H718">
        <x:f>ROUND($C718*10*VLOOKUP($B718,Sheet2!$J$5:$K$7,2,FALSE)*VLOOKUP(Sheet1!$A718,Sheet2!$B$5:$H$29,7,FALSE),0)</x:f>
        <x:v>0</x:v>
      </x:c>
      <x:c r="I718">
        <x:f t="shared" si="11"/>
        <x:v>176740</x:v>
      </x:c>
    </x:row>
    <x:row r="719" spans="1:9" x14ac:dyDescent="0.15">
      <x:c r="A719">
        <x:v>54004</x:v>
      </x:c>
      <x:c r="B719">
        <x:v>3</x:v>
      </x:c>
      <x:c r="C719">
        <x:v>58</x:v>
      </x:c>
      <x:c r="D719">
        <x:f>ROUND($C719*10*VLOOKUP($B719,Sheet2!$J$5:$K$7,2,FALSE)*VLOOKUP(Sheet1!$A719,Sheet2!$B$5:$H$29,3,FALSE),0)</x:f>
        <x:v>696</x:v>
      </x:c>
      <x:c r="E719">
        <x:f>ROUND($C719*10*VLOOKUP($B719,Sheet2!$J$5:$K$7,2,FALSE)*VLOOKUP(Sheet1!$A719,Sheet2!$B$5:$H$29,4,FALSE),0)</x:f>
        <x:v>0</x:v>
      </x:c>
      <x:c r="F719">
        <x:f>ROUND($C719*10*VLOOKUP($B719,Sheet2!$J$5:$K$7,2,FALSE)*VLOOKUP(Sheet1!$A719,Sheet2!$B$5:$H$29,5,FALSE),0)</x:f>
        <x:v>0</x:v>
      </x:c>
      <x:c r="G719">
        <x:f>ROUND($C719*10*VLOOKUP($B719,Sheet2!$J$5:$K$7,2,FALSE)*VLOOKUP(Sheet1!$A719,Sheet2!$B$5:$H$29,6,FALSE),0)</x:f>
        <x:v>186</x:v>
      </x:c>
      <x:c r="H719">
        <x:f>ROUND($C719*10*VLOOKUP($B719,Sheet2!$J$5:$K$7,2,FALSE)*VLOOKUP(Sheet1!$A719,Sheet2!$B$5:$H$29,7,FALSE),0)</x:f>
        <x:v>0</x:v>
      </x:c>
      <x:c r="I719">
        <x:f t="shared" si="11"/>
        <x:v>182460</x:v>
      </x:c>
    </x:row>
    <x:row r="720" spans="1:9" x14ac:dyDescent="0.15">
      <x:c r="A720">
        <x:v>54004</x:v>
      </x:c>
      <x:c r="B720">
        <x:v>3</x:v>
      </x:c>
      <x:c r="C720">
        <x:v>59</x:v>
      </x:c>
      <x:c r="D720">
        <x:f>ROUND($C720*10*VLOOKUP($B720,Sheet2!$J$5:$K$7,2,FALSE)*VLOOKUP(Sheet1!$A720,Sheet2!$B$5:$H$29,3,FALSE),0)</x:f>
        <x:v>708</x:v>
      </x:c>
      <x:c r="E720">
        <x:f>ROUND($C720*10*VLOOKUP($B720,Sheet2!$J$5:$K$7,2,FALSE)*VLOOKUP(Sheet1!$A720,Sheet2!$B$5:$H$29,4,FALSE),0)</x:f>
        <x:v>0</x:v>
      </x:c>
      <x:c r="F720">
        <x:f>ROUND($C720*10*VLOOKUP($B720,Sheet2!$J$5:$K$7,2,FALSE)*VLOOKUP(Sheet1!$A720,Sheet2!$B$5:$H$29,5,FALSE),0)</x:f>
        <x:v>0</x:v>
      </x:c>
      <x:c r="G720">
        <x:f>ROUND($C720*10*VLOOKUP($B720,Sheet2!$J$5:$K$7,2,FALSE)*VLOOKUP(Sheet1!$A720,Sheet2!$B$5:$H$29,6,FALSE),0)</x:f>
        <x:v>189</x:v>
      </x:c>
      <x:c r="H720">
        <x:f>ROUND($C720*10*VLOOKUP($B720,Sheet2!$J$5:$K$7,2,FALSE)*VLOOKUP(Sheet1!$A720,Sheet2!$B$5:$H$29,7,FALSE),0)</x:f>
        <x:v>0</x:v>
      </x:c>
      <x:c r="I720">
        <x:f t="shared" si="11"/>
        <x:v>188260</x:v>
      </x:c>
    </x:row>
    <x:row r="721" spans="1:9" x14ac:dyDescent="0.15">
      <x:c r="A721">
        <x:v>54004</x:v>
      </x:c>
      <x:c r="B721">
        <x:v>3</x:v>
      </x:c>
      <x:c r="C721">
        <x:v>60</x:v>
      </x:c>
      <x:c r="D721">
        <x:f>ROUND($C721*10*VLOOKUP($B721,Sheet2!$J$5:$K$7,2,FALSE)*VLOOKUP(Sheet1!$A721,Sheet2!$B$5:$H$29,3,FALSE),0)</x:f>
        <x:v>720</x:v>
      </x:c>
      <x:c r="E721">
        <x:f>ROUND($C721*10*VLOOKUP($B721,Sheet2!$J$5:$K$7,2,FALSE)*VLOOKUP(Sheet1!$A721,Sheet2!$B$5:$H$29,4,FALSE),0)</x:f>
        <x:v>0</x:v>
      </x:c>
      <x:c r="F721">
        <x:f>ROUND($C721*10*VLOOKUP($B721,Sheet2!$J$5:$K$7,2,FALSE)*VLOOKUP(Sheet1!$A721,Sheet2!$B$5:$H$29,5,FALSE),0)</x:f>
        <x:v>0</x:v>
      </x:c>
      <x:c r="G721">
        <x:f>ROUND($C721*10*VLOOKUP($B721,Sheet2!$J$5:$K$7,2,FALSE)*VLOOKUP(Sheet1!$A721,Sheet2!$B$5:$H$29,6,FALSE),0)</x:f>
        <x:v>192</x:v>
      </x:c>
      <x:c r="H721">
        <x:f>ROUND($C721*10*VLOOKUP($B721,Sheet2!$J$5:$K$7,2,FALSE)*VLOOKUP(Sheet1!$A721,Sheet2!$B$5:$H$29,7,FALSE),0)</x:f>
        <x:v>0</x:v>
      </x:c>
      <x:c r="I721">
        <x:f t="shared" si="11"/>
        <x:v>194140</x:v>
      </x:c>
    </x:row>
    <x:row r="722" spans="1:9" x14ac:dyDescent="0.15">
      <x:c r="A722">
        <x:v>54005</x:v>
      </x:c>
      <x:c r="B722">
        <x:v>1</x:v>
      </x:c>
      <x:c r="C722">
        <x:v>1</x:v>
      </x:c>
      <x:c r="D722">
        <x:f>ROUND($C722*10*VLOOKUP($B722,Sheet2!$J$5:$K$7,2,FALSE)*VLOOKUP(Sheet1!$A722,Sheet2!$B$5:$H$29,3,FALSE),0)</x:f>
        <x:v>6</x:v>
      </x:c>
      <x:c r="E722">
        <x:f>ROUND($C722*10*VLOOKUP($B722,Sheet2!$J$5:$K$7,2,FALSE)*VLOOKUP(Sheet1!$A722,Sheet2!$B$5:$H$29,4,FALSE),0)</x:f>
        <x:v>0</x:v>
      </x:c>
      <x:c r="F722">
        <x:f>ROUND($C722*10*VLOOKUP($B722,Sheet2!$J$5:$K$7,2,FALSE)*VLOOKUP(Sheet1!$A722,Sheet2!$B$5:$H$29,5,FALSE),0)</x:f>
        <x:v>0</x:v>
      </x:c>
      <x:c r="G722">
        <x:f>ROUND($C722*10*VLOOKUP($B722,Sheet2!$J$5:$K$7,2,FALSE)*VLOOKUP(Sheet1!$A722,Sheet2!$B$5:$H$29,6,FALSE),0)</x:f>
        <x:v>0</x:v>
      </x:c>
      <x:c r="H722">
        <x:f>ROUND($C722*10*VLOOKUP($B722,Sheet2!$J$5:$K$7,2,FALSE)*VLOOKUP(Sheet1!$A722,Sheet2!$B$5:$H$29,7,FALSE),0)</x:f>
        <x:v>10</x:v>
      </x:c>
      <x:c r="I722">
        <x:f t="shared" ref="I722:I781" si="12">ROUND(1.2*10*1.8*(C722-1)^1.8+30,-1)</x:f>
        <x:v>30</x:v>
      </x:c>
    </x:row>
    <x:row r="723" spans="1:9" x14ac:dyDescent="0.15">
      <x:c r="A723">
        <x:v>54005</x:v>
      </x:c>
      <x:c r="B723">
        <x:v>1</x:v>
      </x:c>
      <x:c r="C723">
        <x:v>2</x:v>
      </x:c>
      <x:c r="D723">
        <x:f>ROUND($C723*10*VLOOKUP($B723,Sheet2!$J$5:$K$7,2,FALSE)*VLOOKUP(Sheet1!$A723,Sheet2!$B$5:$H$29,3,FALSE),0)</x:f>
        <x:v>12</x:v>
      </x:c>
      <x:c r="E723">
        <x:f>ROUND($C723*10*VLOOKUP($B723,Sheet2!$J$5:$K$7,2,FALSE)*VLOOKUP(Sheet1!$A723,Sheet2!$B$5:$H$29,4,FALSE),0)</x:f>
        <x:v>0</x:v>
      </x:c>
      <x:c r="F723">
        <x:f>ROUND($C723*10*VLOOKUP($B723,Sheet2!$J$5:$K$7,2,FALSE)*VLOOKUP(Sheet1!$A723,Sheet2!$B$5:$H$29,5,FALSE),0)</x:f>
        <x:v>0</x:v>
      </x:c>
      <x:c r="G723">
        <x:f>ROUND($C723*10*VLOOKUP($B723,Sheet2!$J$5:$K$7,2,FALSE)*VLOOKUP(Sheet1!$A723,Sheet2!$B$5:$H$29,6,FALSE),0)</x:f>
        <x:v>0</x:v>
      </x:c>
      <x:c r="H723">
        <x:f>ROUND($C723*10*VLOOKUP($B723,Sheet2!$J$5:$K$7,2,FALSE)*VLOOKUP(Sheet1!$A723,Sheet2!$B$5:$H$29,7,FALSE),0)</x:f>
        <x:v>20</x:v>
      </x:c>
      <x:c r="I723">
        <x:f t="shared" si="12"/>
        <x:v>50</x:v>
      </x:c>
    </x:row>
    <x:row r="724" spans="1:9" x14ac:dyDescent="0.15">
      <x:c r="A724">
        <x:v>54005</x:v>
      </x:c>
      <x:c r="B724">
        <x:v>1</x:v>
      </x:c>
      <x:c r="C724">
        <x:v>3</x:v>
      </x:c>
      <x:c r="D724">
        <x:f>ROUND($C724*10*VLOOKUP($B724,Sheet2!$J$5:$K$7,2,FALSE)*VLOOKUP(Sheet1!$A724,Sheet2!$B$5:$H$29,3,FALSE),0)</x:f>
        <x:v>18</x:v>
      </x:c>
      <x:c r="E724">
        <x:f>ROUND($C724*10*VLOOKUP($B724,Sheet2!$J$5:$K$7,2,FALSE)*VLOOKUP(Sheet1!$A724,Sheet2!$B$5:$H$29,4,FALSE),0)</x:f>
        <x:v>0</x:v>
      </x:c>
      <x:c r="F724">
        <x:f>ROUND($C724*10*VLOOKUP($B724,Sheet2!$J$5:$K$7,2,FALSE)*VLOOKUP(Sheet1!$A724,Sheet2!$B$5:$H$29,5,FALSE),0)</x:f>
        <x:v>0</x:v>
      </x:c>
      <x:c r="G724">
        <x:f>ROUND($C724*10*VLOOKUP($B724,Sheet2!$J$5:$K$7,2,FALSE)*VLOOKUP(Sheet1!$A724,Sheet2!$B$5:$H$29,6,FALSE),0)</x:f>
        <x:v>0</x:v>
      </x:c>
      <x:c r="H724">
        <x:f>ROUND($C724*10*VLOOKUP($B724,Sheet2!$J$5:$K$7,2,FALSE)*VLOOKUP(Sheet1!$A724,Sheet2!$B$5:$H$29,7,FALSE),0)</x:f>
        <x:v>30</x:v>
      </x:c>
      <x:c r="I724">
        <x:f t="shared" si="12"/>
        <x:v>110</x:v>
      </x:c>
    </x:row>
    <x:row r="725" spans="1:9" x14ac:dyDescent="0.15">
      <x:c r="A725">
        <x:v>54005</x:v>
      </x:c>
      <x:c r="B725">
        <x:v>1</x:v>
      </x:c>
      <x:c r="C725">
        <x:v>4</x:v>
      </x:c>
      <x:c r="D725">
        <x:f>ROUND($C725*10*VLOOKUP($B725,Sheet2!$J$5:$K$7,2,FALSE)*VLOOKUP(Sheet1!$A725,Sheet2!$B$5:$H$29,3,FALSE),0)</x:f>
        <x:v>24</x:v>
      </x:c>
      <x:c r="E725">
        <x:f>ROUND($C725*10*VLOOKUP($B725,Sheet2!$J$5:$K$7,2,FALSE)*VLOOKUP(Sheet1!$A725,Sheet2!$B$5:$H$29,4,FALSE),0)</x:f>
        <x:v>0</x:v>
      </x:c>
      <x:c r="F725">
        <x:f>ROUND($C725*10*VLOOKUP($B725,Sheet2!$J$5:$K$7,2,FALSE)*VLOOKUP(Sheet1!$A725,Sheet2!$B$5:$H$29,5,FALSE),0)</x:f>
        <x:v>0</x:v>
      </x:c>
      <x:c r="G725">
        <x:f>ROUND($C725*10*VLOOKUP($B725,Sheet2!$J$5:$K$7,2,FALSE)*VLOOKUP(Sheet1!$A725,Sheet2!$B$5:$H$29,6,FALSE),0)</x:f>
        <x:v>0</x:v>
      </x:c>
      <x:c r="H725">
        <x:f>ROUND($C725*10*VLOOKUP($B725,Sheet2!$J$5:$K$7,2,FALSE)*VLOOKUP(Sheet1!$A725,Sheet2!$B$5:$H$29,7,FALSE),0)</x:f>
        <x:v>40</x:v>
      </x:c>
      <x:c r="I725">
        <x:f t="shared" si="12"/>
        <x:v>190</x:v>
      </x:c>
    </x:row>
    <x:row r="726" spans="1:9" x14ac:dyDescent="0.15">
      <x:c r="A726">
        <x:v>54005</x:v>
      </x:c>
      <x:c r="B726">
        <x:v>1</x:v>
      </x:c>
      <x:c r="C726">
        <x:v>5</x:v>
      </x:c>
      <x:c r="D726">
        <x:f>ROUND($C726*10*VLOOKUP($B726,Sheet2!$J$5:$K$7,2,FALSE)*VLOOKUP(Sheet1!$A726,Sheet2!$B$5:$H$29,3,FALSE),0)</x:f>
        <x:v>30</x:v>
      </x:c>
      <x:c r="E726">
        <x:f>ROUND($C726*10*VLOOKUP($B726,Sheet2!$J$5:$K$7,2,FALSE)*VLOOKUP(Sheet1!$A726,Sheet2!$B$5:$H$29,4,FALSE),0)</x:f>
        <x:v>0</x:v>
      </x:c>
      <x:c r="F726">
        <x:f>ROUND($C726*10*VLOOKUP($B726,Sheet2!$J$5:$K$7,2,FALSE)*VLOOKUP(Sheet1!$A726,Sheet2!$B$5:$H$29,5,FALSE),0)</x:f>
        <x:v>0</x:v>
      </x:c>
      <x:c r="G726">
        <x:f>ROUND($C726*10*VLOOKUP($B726,Sheet2!$J$5:$K$7,2,FALSE)*VLOOKUP(Sheet1!$A726,Sheet2!$B$5:$H$29,6,FALSE),0)</x:f>
        <x:v>0</x:v>
      </x:c>
      <x:c r="H726">
        <x:f>ROUND($C726*10*VLOOKUP($B726,Sheet2!$J$5:$K$7,2,FALSE)*VLOOKUP(Sheet1!$A726,Sheet2!$B$5:$H$29,7,FALSE),0)</x:f>
        <x:v>50</x:v>
      </x:c>
      <x:c r="I726">
        <x:f t="shared" si="12"/>
        <x:v>290</x:v>
      </x:c>
    </x:row>
    <x:row r="727" spans="1:9" x14ac:dyDescent="0.15">
      <x:c r="A727">
        <x:v>54005</x:v>
      </x:c>
      <x:c r="B727">
        <x:v>1</x:v>
      </x:c>
      <x:c r="C727">
        <x:v>6</x:v>
      </x:c>
      <x:c r="D727">
        <x:f>ROUND($C727*10*VLOOKUP($B727,Sheet2!$J$5:$K$7,2,FALSE)*VLOOKUP(Sheet1!$A727,Sheet2!$B$5:$H$29,3,FALSE),0)</x:f>
        <x:v>36</x:v>
      </x:c>
      <x:c r="E727">
        <x:f>ROUND($C727*10*VLOOKUP($B727,Sheet2!$J$5:$K$7,2,FALSE)*VLOOKUP(Sheet1!$A727,Sheet2!$B$5:$H$29,4,FALSE),0)</x:f>
        <x:v>0</x:v>
      </x:c>
      <x:c r="F727">
        <x:f>ROUND($C727*10*VLOOKUP($B727,Sheet2!$J$5:$K$7,2,FALSE)*VLOOKUP(Sheet1!$A727,Sheet2!$B$5:$H$29,5,FALSE),0)</x:f>
        <x:v>0</x:v>
      </x:c>
      <x:c r="G727">
        <x:f>ROUND($C727*10*VLOOKUP($B727,Sheet2!$J$5:$K$7,2,FALSE)*VLOOKUP(Sheet1!$A727,Sheet2!$B$5:$H$29,6,FALSE),0)</x:f>
        <x:v>0</x:v>
      </x:c>
      <x:c r="H727">
        <x:f>ROUND($C727*10*VLOOKUP($B727,Sheet2!$J$5:$K$7,2,FALSE)*VLOOKUP(Sheet1!$A727,Sheet2!$B$5:$H$29,7,FALSE),0)</x:f>
        <x:v>60</x:v>
      </x:c>
      <x:c r="I727">
        <x:f t="shared" si="12"/>
        <x:v>420</x:v>
      </x:c>
    </x:row>
    <x:row r="728" spans="1:9" x14ac:dyDescent="0.15">
      <x:c r="A728">
        <x:v>54005</x:v>
      </x:c>
      <x:c r="B728">
        <x:v>1</x:v>
      </x:c>
      <x:c r="C728">
        <x:v>7</x:v>
      </x:c>
      <x:c r="D728">
        <x:f>ROUND($C728*10*VLOOKUP($B728,Sheet2!$J$5:$K$7,2,FALSE)*VLOOKUP(Sheet1!$A728,Sheet2!$B$5:$H$29,3,FALSE),0)</x:f>
        <x:v>42</x:v>
      </x:c>
      <x:c r="E728">
        <x:f>ROUND($C728*10*VLOOKUP($B728,Sheet2!$J$5:$K$7,2,FALSE)*VLOOKUP(Sheet1!$A728,Sheet2!$B$5:$H$29,4,FALSE),0)</x:f>
        <x:v>0</x:v>
      </x:c>
      <x:c r="F728">
        <x:f>ROUND($C728*10*VLOOKUP($B728,Sheet2!$J$5:$K$7,2,FALSE)*VLOOKUP(Sheet1!$A728,Sheet2!$B$5:$H$29,5,FALSE),0)</x:f>
        <x:v>0</x:v>
      </x:c>
      <x:c r="G728">
        <x:f>ROUND($C728*10*VLOOKUP($B728,Sheet2!$J$5:$K$7,2,FALSE)*VLOOKUP(Sheet1!$A728,Sheet2!$B$5:$H$29,6,FALSE),0)</x:f>
        <x:v>0</x:v>
      </x:c>
      <x:c r="H728">
        <x:f>ROUND($C728*10*VLOOKUP($B728,Sheet2!$J$5:$K$7,2,FALSE)*VLOOKUP(Sheet1!$A728,Sheet2!$B$5:$H$29,7,FALSE),0)</x:f>
        <x:v>70</x:v>
      </x:c>
      <x:c r="I728">
        <x:f t="shared" si="12"/>
        <x:v>570</x:v>
      </x:c>
    </x:row>
    <x:row r="729" spans="1:9" x14ac:dyDescent="0.15">
      <x:c r="A729">
        <x:v>54005</x:v>
      </x:c>
      <x:c r="B729">
        <x:v>1</x:v>
      </x:c>
      <x:c r="C729">
        <x:v>8</x:v>
      </x:c>
      <x:c r="D729">
        <x:f>ROUND($C729*10*VLOOKUP($B729,Sheet2!$J$5:$K$7,2,FALSE)*VLOOKUP(Sheet1!$A729,Sheet2!$B$5:$H$29,3,FALSE),0)</x:f>
        <x:v>48</x:v>
      </x:c>
      <x:c r="E729">
        <x:f>ROUND($C729*10*VLOOKUP($B729,Sheet2!$J$5:$K$7,2,FALSE)*VLOOKUP(Sheet1!$A729,Sheet2!$B$5:$H$29,4,FALSE),0)</x:f>
        <x:v>0</x:v>
      </x:c>
      <x:c r="F729">
        <x:f>ROUND($C729*10*VLOOKUP($B729,Sheet2!$J$5:$K$7,2,FALSE)*VLOOKUP(Sheet1!$A729,Sheet2!$B$5:$H$29,5,FALSE),0)</x:f>
        <x:v>0</x:v>
      </x:c>
      <x:c r="G729">
        <x:f>ROUND($C729*10*VLOOKUP($B729,Sheet2!$J$5:$K$7,2,FALSE)*VLOOKUP(Sheet1!$A729,Sheet2!$B$5:$H$29,6,FALSE),0)</x:f>
        <x:v>0</x:v>
      </x:c>
      <x:c r="H729">
        <x:f>ROUND($C729*10*VLOOKUP($B729,Sheet2!$J$5:$K$7,2,FALSE)*VLOOKUP(Sheet1!$A729,Sheet2!$B$5:$H$29,7,FALSE),0)</x:f>
        <x:v>80</x:v>
      </x:c>
      <x:c r="I729">
        <x:f t="shared" si="12"/>
        <x:v>750</x:v>
      </x:c>
    </x:row>
    <x:row r="730" spans="1:9" x14ac:dyDescent="0.15">
      <x:c r="A730">
        <x:v>54005</x:v>
      </x:c>
      <x:c r="B730">
        <x:v>1</x:v>
      </x:c>
      <x:c r="C730">
        <x:v>9</x:v>
      </x:c>
      <x:c r="D730">
        <x:f>ROUND($C730*10*VLOOKUP($B730,Sheet2!$J$5:$K$7,2,FALSE)*VLOOKUP(Sheet1!$A730,Sheet2!$B$5:$H$29,3,FALSE),0)</x:f>
        <x:v>54</x:v>
      </x:c>
      <x:c r="E730">
        <x:f>ROUND($C730*10*VLOOKUP($B730,Sheet2!$J$5:$K$7,2,FALSE)*VLOOKUP(Sheet1!$A730,Sheet2!$B$5:$H$29,4,FALSE),0)</x:f>
        <x:v>0</x:v>
      </x:c>
      <x:c r="F730">
        <x:f>ROUND($C730*10*VLOOKUP($B730,Sheet2!$J$5:$K$7,2,FALSE)*VLOOKUP(Sheet1!$A730,Sheet2!$B$5:$H$29,5,FALSE),0)</x:f>
        <x:v>0</x:v>
      </x:c>
      <x:c r="G730">
        <x:f>ROUND($C730*10*VLOOKUP($B730,Sheet2!$J$5:$K$7,2,FALSE)*VLOOKUP(Sheet1!$A730,Sheet2!$B$5:$H$29,6,FALSE),0)</x:f>
        <x:v>0</x:v>
      </x:c>
      <x:c r="H730">
        <x:f>ROUND($C730*10*VLOOKUP($B730,Sheet2!$J$5:$K$7,2,FALSE)*VLOOKUP(Sheet1!$A730,Sheet2!$B$5:$H$29,7,FALSE),0)</x:f>
        <x:v>90</x:v>
      </x:c>
      <x:c r="I730">
        <x:f t="shared" si="12"/>
        <x:v>940</x:v>
      </x:c>
    </x:row>
    <x:row r="731" spans="1:9" x14ac:dyDescent="0.15">
      <x:c r="A731">
        <x:v>54005</x:v>
      </x:c>
      <x:c r="B731">
        <x:v>1</x:v>
      </x:c>
      <x:c r="C731">
        <x:v>10</x:v>
      </x:c>
      <x:c r="D731">
        <x:f>ROUND($C731*10*VLOOKUP($B731,Sheet2!$J$5:$K$7,2,FALSE)*VLOOKUP(Sheet1!$A731,Sheet2!$B$5:$H$29,3,FALSE),0)</x:f>
        <x:v>60</x:v>
      </x:c>
      <x:c r="E731">
        <x:f>ROUND($C731*10*VLOOKUP($B731,Sheet2!$J$5:$K$7,2,FALSE)*VLOOKUP(Sheet1!$A731,Sheet2!$B$5:$H$29,4,FALSE),0)</x:f>
        <x:v>0</x:v>
      </x:c>
      <x:c r="F731">
        <x:f>ROUND($C731*10*VLOOKUP($B731,Sheet2!$J$5:$K$7,2,FALSE)*VLOOKUP(Sheet1!$A731,Sheet2!$B$5:$H$29,5,FALSE),0)</x:f>
        <x:v>0</x:v>
      </x:c>
      <x:c r="G731">
        <x:f>ROUND($C731*10*VLOOKUP($B731,Sheet2!$J$5:$K$7,2,FALSE)*VLOOKUP(Sheet1!$A731,Sheet2!$B$5:$H$29,6,FALSE),0)</x:f>
        <x:v>0</x:v>
      </x:c>
      <x:c r="H731">
        <x:f>ROUND($C731*10*VLOOKUP($B731,Sheet2!$J$5:$K$7,2,FALSE)*VLOOKUP(Sheet1!$A731,Sheet2!$B$5:$H$29,7,FALSE),0)</x:f>
        <x:v>100</x:v>
      </x:c>
      <x:c r="I731">
        <x:f t="shared" si="12"/>
        <x:v>1160</x:v>
      </x:c>
    </x:row>
    <x:row r="732" spans="1:9" x14ac:dyDescent="0.15">
      <x:c r="A732">
        <x:v>54005</x:v>
      </x:c>
      <x:c r="B732">
        <x:v>1</x:v>
      </x:c>
      <x:c r="C732">
        <x:v>11</x:v>
      </x:c>
      <x:c r="D732">
        <x:f>ROUND($C732*10*VLOOKUP($B732,Sheet2!$J$5:$K$7,2,FALSE)*VLOOKUP(Sheet1!$A732,Sheet2!$B$5:$H$29,3,FALSE),0)</x:f>
        <x:v>66</x:v>
      </x:c>
      <x:c r="E732">
        <x:f>ROUND($C732*10*VLOOKUP($B732,Sheet2!$J$5:$K$7,2,FALSE)*VLOOKUP(Sheet1!$A732,Sheet2!$B$5:$H$29,4,FALSE),0)</x:f>
        <x:v>0</x:v>
      </x:c>
      <x:c r="F732">
        <x:f>ROUND($C732*10*VLOOKUP($B732,Sheet2!$J$5:$K$7,2,FALSE)*VLOOKUP(Sheet1!$A732,Sheet2!$B$5:$H$29,5,FALSE),0)</x:f>
        <x:v>0</x:v>
      </x:c>
      <x:c r="G732">
        <x:f>ROUND($C732*10*VLOOKUP($B732,Sheet2!$J$5:$K$7,2,FALSE)*VLOOKUP(Sheet1!$A732,Sheet2!$B$5:$H$29,6,FALSE),0)</x:f>
        <x:v>0</x:v>
      </x:c>
      <x:c r="H732">
        <x:f>ROUND($C732*10*VLOOKUP($B732,Sheet2!$J$5:$K$7,2,FALSE)*VLOOKUP(Sheet1!$A732,Sheet2!$B$5:$H$29,7,FALSE),0)</x:f>
        <x:v>110</x:v>
      </x:c>
      <x:c r="I732">
        <x:f t="shared" si="12"/>
        <x:v>1390</x:v>
      </x:c>
    </x:row>
    <x:row r="733" spans="1:9" x14ac:dyDescent="0.15">
      <x:c r="A733">
        <x:v>54005</x:v>
      </x:c>
      <x:c r="B733">
        <x:v>1</x:v>
      </x:c>
      <x:c r="C733">
        <x:v>12</x:v>
      </x:c>
      <x:c r="D733">
        <x:f>ROUND($C733*10*VLOOKUP($B733,Sheet2!$J$5:$K$7,2,FALSE)*VLOOKUP(Sheet1!$A733,Sheet2!$B$5:$H$29,3,FALSE),0)</x:f>
        <x:v>72</x:v>
      </x:c>
      <x:c r="E733">
        <x:f>ROUND($C733*10*VLOOKUP($B733,Sheet2!$J$5:$K$7,2,FALSE)*VLOOKUP(Sheet1!$A733,Sheet2!$B$5:$H$29,4,FALSE),0)</x:f>
        <x:v>0</x:v>
      </x:c>
      <x:c r="F733">
        <x:f>ROUND($C733*10*VLOOKUP($B733,Sheet2!$J$5:$K$7,2,FALSE)*VLOOKUP(Sheet1!$A733,Sheet2!$B$5:$H$29,5,FALSE),0)</x:f>
        <x:v>0</x:v>
      </x:c>
      <x:c r="G733">
        <x:f>ROUND($C733*10*VLOOKUP($B733,Sheet2!$J$5:$K$7,2,FALSE)*VLOOKUP(Sheet1!$A733,Sheet2!$B$5:$H$29,6,FALSE),0)</x:f>
        <x:v>0</x:v>
      </x:c>
      <x:c r="H733">
        <x:f>ROUND($C733*10*VLOOKUP($B733,Sheet2!$J$5:$K$7,2,FALSE)*VLOOKUP(Sheet1!$A733,Sheet2!$B$5:$H$29,7,FALSE),0)</x:f>
        <x:v>120</x:v>
      </x:c>
      <x:c r="I733">
        <x:f t="shared" si="12"/>
        <x:v>1650</x:v>
      </x:c>
    </x:row>
    <x:row r="734" spans="1:9" x14ac:dyDescent="0.15">
      <x:c r="A734">
        <x:v>54005</x:v>
      </x:c>
      <x:c r="B734">
        <x:v>1</x:v>
      </x:c>
      <x:c r="C734">
        <x:v>13</x:v>
      </x:c>
      <x:c r="D734">
        <x:f>ROUND($C734*10*VLOOKUP($B734,Sheet2!$J$5:$K$7,2,FALSE)*VLOOKUP(Sheet1!$A734,Sheet2!$B$5:$H$29,3,FALSE),0)</x:f>
        <x:v>78</x:v>
      </x:c>
      <x:c r="E734">
        <x:f>ROUND($C734*10*VLOOKUP($B734,Sheet2!$J$5:$K$7,2,FALSE)*VLOOKUP(Sheet1!$A734,Sheet2!$B$5:$H$29,4,FALSE),0)</x:f>
        <x:v>0</x:v>
      </x:c>
      <x:c r="F734">
        <x:f>ROUND($C734*10*VLOOKUP($B734,Sheet2!$J$5:$K$7,2,FALSE)*VLOOKUP(Sheet1!$A734,Sheet2!$B$5:$H$29,5,FALSE),0)</x:f>
        <x:v>0</x:v>
      </x:c>
      <x:c r="G734">
        <x:f>ROUND($C734*10*VLOOKUP($B734,Sheet2!$J$5:$K$7,2,FALSE)*VLOOKUP(Sheet1!$A734,Sheet2!$B$5:$H$29,6,FALSE),0)</x:f>
        <x:v>0</x:v>
      </x:c>
      <x:c r="H734">
        <x:f>ROUND($C734*10*VLOOKUP($B734,Sheet2!$J$5:$K$7,2,FALSE)*VLOOKUP(Sheet1!$A734,Sheet2!$B$5:$H$29,7,FALSE),0)</x:f>
        <x:v>130</x:v>
      </x:c>
      <x:c r="I734">
        <x:f t="shared" si="12"/>
        <x:v>1920</x:v>
      </x:c>
    </x:row>
    <x:row r="735" spans="1:9" x14ac:dyDescent="0.15">
      <x:c r="A735">
        <x:v>54005</x:v>
      </x:c>
      <x:c r="B735">
        <x:v>1</x:v>
      </x:c>
      <x:c r="C735">
        <x:v>14</x:v>
      </x:c>
      <x:c r="D735">
        <x:f>ROUND($C735*10*VLOOKUP($B735,Sheet2!$J$5:$K$7,2,FALSE)*VLOOKUP(Sheet1!$A735,Sheet2!$B$5:$H$29,3,FALSE),0)</x:f>
        <x:v>84</x:v>
      </x:c>
      <x:c r="E735">
        <x:f>ROUND($C735*10*VLOOKUP($B735,Sheet2!$J$5:$K$7,2,FALSE)*VLOOKUP(Sheet1!$A735,Sheet2!$B$5:$H$29,4,FALSE),0)</x:f>
        <x:v>0</x:v>
      </x:c>
      <x:c r="F735">
        <x:f>ROUND($C735*10*VLOOKUP($B735,Sheet2!$J$5:$K$7,2,FALSE)*VLOOKUP(Sheet1!$A735,Sheet2!$B$5:$H$29,5,FALSE),0)</x:f>
        <x:v>0</x:v>
      </x:c>
      <x:c r="G735">
        <x:f>ROUND($C735*10*VLOOKUP($B735,Sheet2!$J$5:$K$7,2,FALSE)*VLOOKUP(Sheet1!$A735,Sheet2!$B$5:$H$29,6,FALSE),0)</x:f>
        <x:v>0</x:v>
      </x:c>
      <x:c r="H735">
        <x:f>ROUND($C735*10*VLOOKUP($B735,Sheet2!$J$5:$K$7,2,FALSE)*VLOOKUP(Sheet1!$A735,Sheet2!$B$5:$H$29,7,FALSE),0)</x:f>
        <x:v>140</x:v>
      </x:c>
      <x:c r="I735">
        <x:f t="shared" si="12"/>
        <x:v>2220</x:v>
      </x:c>
    </x:row>
    <x:row r="736" spans="1:9" x14ac:dyDescent="0.15">
      <x:c r="A736">
        <x:v>54005</x:v>
      </x:c>
      <x:c r="B736">
        <x:v>1</x:v>
      </x:c>
      <x:c r="C736">
        <x:v>15</x:v>
      </x:c>
      <x:c r="D736">
        <x:f>ROUND($C736*10*VLOOKUP($B736,Sheet2!$J$5:$K$7,2,FALSE)*VLOOKUP(Sheet1!$A736,Sheet2!$B$5:$H$29,3,FALSE),0)</x:f>
        <x:v>90</x:v>
      </x:c>
      <x:c r="E736">
        <x:f>ROUND($C736*10*VLOOKUP($B736,Sheet2!$J$5:$K$7,2,FALSE)*VLOOKUP(Sheet1!$A736,Sheet2!$B$5:$H$29,4,FALSE),0)</x:f>
        <x:v>0</x:v>
      </x:c>
      <x:c r="F736">
        <x:f>ROUND($C736*10*VLOOKUP($B736,Sheet2!$J$5:$K$7,2,FALSE)*VLOOKUP(Sheet1!$A736,Sheet2!$B$5:$H$29,5,FALSE),0)</x:f>
        <x:v>0</x:v>
      </x:c>
      <x:c r="G736">
        <x:f>ROUND($C736*10*VLOOKUP($B736,Sheet2!$J$5:$K$7,2,FALSE)*VLOOKUP(Sheet1!$A736,Sheet2!$B$5:$H$29,6,FALSE),0)</x:f>
        <x:v>0</x:v>
      </x:c>
      <x:c r="H736">
        <x:f>ROUND($C736*10*VLOOKUP($B736,Sheet2!$J$5:$K$7,2,FALSE)*VLOOKUP(Sheet1!$A736,Sheet2!$B$5:$H$29,7,FALSE),0)</x:f>
        <x:v>150</x:v>
      </x:c>
      <x:c r="I736">
        <x:f t="shared" si="12"/>
        <x:v>2530</x:v>
      </x:c>
    </x:row>
    <x:row r="737" spans="1:9" x14ac:dyDescent="0.15">
      <x:c r="A737">
        <x:v>54005</x:v>
      </x:c>
      <x:c r="B737">
        <x:v>1</x:v>
      </x:c>
      <x:c r="C737">
        <x:v>16</x:v>
      </x:c>
      <x:c r="D737">
        <x:f>ROUND($C737*10*VLOOKUP($B737,Sheet2!$J$5:$K$7,2,FALSE)*VLOOKUP(Sheet1!$A737,Sheet2!$B$5:$H$29,3,FALSE),0)</x:f>
        <x:v>96</x:v>
      </x:c>
      <x:c r="E737">
        <x:f>ROUND($C737*10*VLOOKUP($B737,Sheet2!$J$5:$K$7,2,FALSE)*VLOOKUP(Sheet1!$A737,Sheet2!$B$5:$H$29,4,FALSE),0)</x:f>
        <x:v>0</x:v>
      </x:c>
      <x:c r="F737">
        <x:f>ROUND($C737*10*VLOOKUP($B737,Sheet2!$J$5:$K$7,2,FALSE)*VLOOKUP(Sheet1!$A737,Sheet2!$B$5:$H$29,5,FALSE),0)</x:f>
        <x:v>0</x:v>
      </x:c>
      <x:c r="G737">
        <x:f>ROUND($C737*10*VLOOKUP($B737,Sheet2!$J$5:$K$7,2,FALSE)*VLOOKUP(Sheet1!$A737,Sheet2!$B$5:$H$29,6,FALSE),0)</x:f>
        <x:v>0</x:v>
      </x:c>
      <x:c r="H737">
        <x:f>ROUND($C737*10*VLOOKUP($B737,Sheet2!$J$5:$K$7,2,FALSE)*VLOOKUP(Sheet1!$A737,Sheet2!$B$5:$H$29,7,FALSE),0)</x:f>
        <x:v>160</x:v>
      </x:c>
      <x:c r="I737">
        <x:f t="shared" si="12"/>
        <x:v>2860</x:v>
      </x:c>
    </x:row>
    <x:row r="738" spans="1:9" x14ac:dyDescent="0.15">
      <x:c r="A738">
        <x:v>54005</x:v>
      </x:c>
      <x:c r="B738">
        <x:v>1</x:v>
      </x:c>
      <x:c r="C738">
        <x:v>17</x:v>
      </x:c>
      <x:c r="D738">
        <x:f>ROUND($C738*10*VLOOKUP($B738,Sheet2!$J$5:$K$7,2,FALSE)*VLOOKUP(Sheet1!$A738,Sheet2!$B$5:$H$29,3,FALSE),0)</x:f>
        <x:v>102</x:v>
      </x:c>
      <x:c r="E738">
        <x:f>ROUND($C738*10*VLOOKUP($B738,Sheet2!$J$5:$K$7,2,FALSE)*VLOOKUP(Sheet1!$A738,Sheet2!$B$5:$H$29,4,FALSE),0)</x:f>
        <x:v>0</x:v>
      </x:c>
      <x:c r="F738">
        <x:f>ROUND($C738*10*VLOOKUP($B738,Sheet2!$J$5:$K$7,2,FALSE)*VLOOKUP(Sheet1!$A738,Sheet2!$B$5:$H$29,5,FALSE),0)</x:f>
        <x:v>0</x:v>
      </x:c>
      <x:c r="G738">
        <x:f>ROUND($C738*10*VLOOKUP($B738,Sheet2!$J$5:$K$7,2,FALSE)*VLOOKUP(Sheet1!$A738,Sheet2!$B$5:$H$29,6,FALSE),0)</x:f>
        <x:v>0</x:v>
      </x:c>
      <x:c r="H738">
        <x:f>ROUND($C738*10*VLOOKUP($B738,Sheet2!$J$5:$K$7,2,FALSE)*VLOOKUP(Sheet1!$A738,Sheet2!$B$5:$H$29,7,FALSE),0)</x:f>
        <x:v>170</x:v>
      </x:c>
      <x:c r="I738">
        <x:f t="shared" si="12"/>
        <x:v>3210</x:v>
      </x:c>
    </x:row>
    <x:row r="739" spans="1:9" x14ac:dyDescent="0.15">
      <x:c r="A739">
        <x:v>54005</x:v>
      </x:c>
      <x:c r="B739">
        <x:v>1</x:v>
      </x:c>
      <x:c r="C739">
        <x:v>18</x:v>
      </x:c>
      <x:c r="D739">
        <x:f>ROUND($C739*10*VLOOKUP($B739,Sheet2!$J$5:$K$7,2,FALSE)*VLOOKUP(Sheet1!$A739,Sheet2!$B$5:$H$29,3,FALSE),0)</x:f>
        <x:v>108</x:v>
      </x:c>
      <x:c r="E739">
        <x:f>ROUND($C739*10*VLOOKUP($B739,Sheet2!$J$5:$K$7,2,FALSE)*VLOOKUP(Sheet1!$A739,Sheet2!$B$5:$H$29,4,FALSE),0)</x:f>
        <x:v>0</x:v>
      </x:c>
      <x:c r="F739">
        <x:f>ROUND($C739*10*VLOOKUP($B739,Sheet2!$J$5:$K$7,2,FALSE)*VLOOKUP(Sheet1!$A739,Sheet2!$B$5:$H$29,5,FALSE),0)</x:f>
        <x:v>0</x:v>
      </x:c>
      <x:c r="G739">
        <x:f>ROUND($C739*10*VLOOKUP($B739,Sheet2!$J$5:$K$7,2,FALSE)*VLOOKUP(Sheet1!$A739,Sheet2!$B$5:$H$29,6,FALSE),0)</x:f>
        <x:v>0</x:v>
      </x:c>
      <x:c r="H739">
        <x:f>ROUND($C739*10*VLOOKUP($B739,Sheet2!$J$5:$K$7,2,FALSE)*VLOOKUP(Sheet1!$A739,Sheet2!$B$5:$H$29,7,FALSE),0)</x:f>
        <x:v>180</x:v>
      </x:c>
      <x:c r="I739">
        <x:f t="shared" si="12"/>
        <x:v>3570</x:v>
      </x:c>
    </x:row>
    <x:row r="740" spans="1:9" x14ac:dyDescent="0.15">
      <x:c r="A740">
        <x:v>54005</x:v>
      </x:c>
      <x:c r="B740">
        <x:v>1</x:v>
      </x:c>
      <x:c r="C740">
        <x:v>19</x:v>
      </x:c>
      <x:c r="D740">
        <x:f>ROUND($C740*10*VLOOKUP($B740,Sheet2!$J$5:$K$7,2,FALSE)*VLOOKUP(Sheet1!$A740,Sheet2!$B$5:$H$29,3,FALSE),0)</x:f>
        <x:v>114</x:v>
      </x:c>
      <x:c r="E740">
        <x:f>ROUND($C740*10*VLOOKUP($B740,Sheet2!$J$5:$K$7,2,FALSE)*VLOOKUP(Sheet1!$A740,Sheet2!$B$5:$H$29,4,FALSE),0)</x:f>
        <x:v>0</x:v>
      </x:c>
      <x:c r="F740">
        <x:f>ROUND($C740*10*VLOOKUP($B740,Sheet2!$J$5:$K$7,2,FALSE)*VLOOKUP(Sheet1!$A740,Sheet2!$B$5:$H$29,5,FALSE),0)</x:f>
        <x:v>0</x:v>
      </x:c>
      <x:c r="G740">
        <x:f>ROUND($C740*10*VLOOKUP($B740,Sheet2!$J$5:$K$7,2,FALSE)*VLOOKUP(Sheet1!$A740,Sheet2!$B$5:$H$29,6,FALSE),0)</x:f>
        <x:v>0</x:v>
      </x:c>
      <x:c r="H740">
        <x:f>ROUND($C740*10*VLOOKUP($B740,Sheet2!$J$5:$K$7,2,FALSE)*VLOOKUP(Sheet1!$A740,Sheet2!$B$5:$H$29,7,FALSE),0)</x:f>
        <x:v>190</x:v>
      </x:c>
      <x:c r="I740">
        <x:f t="shared" si="12"/>
        <x:v>3960</x:v>
      </x:c>
    </x:row>
    <x:row r="741" spans="1:9" x14ac:dyDescent="0.15">
      <x:c r="A741">
        <x:v>54005</x:v>
      </x:c>
      <x:c r="B741">
        <x:v>1</x:v>
      </x:c>
      <x:c r="C741">
        <x:v>20</x:v>
      </x:c>
      <x:c r="D741">
        <x:f>ROUND($C741*10*VLOOKUP($B741,Sheet2!$J$5:$K$7,2,FALSE)*VLOOKUP(Sheet1!$A741,Sheet2!$B$5:$H$29,3,FALSE),0)</x:f>
        <x:v>120</x:v>
      </x:c>
      <x:c r="E741">
        <x:f>ROUND($C741*10*VLOOKUP($B741,Sheet2!$J$5:$K$7,2,FALSE)*VLOOKUP(Sheet1!$A741,Sheet2!$B$5:$H$29,4,FALSE),0)</x:f>
        <x:v>0</x:v>
      </x:c>
      <x:c r="F741">
        <x:f>ROUND($C741*10*VLOOKUP($B741,Sheet2!$J$5:$K$7,2,FALSE)*VLOOKUP(Sheet1!$A741,Sheet2!$B$5:$H$29,5,FALSE),0)</x:f>
        <x:v>0</x:v>
      </x:c>
      <x:c r="G741">
        <x:f>ROUND($C741*10*VLOOKUP($B741,Sheet2!$J$5:$K$7,2,FALSE)*VLOOKUP(Sheet1!$A741,Sheet2!$B$5:$H$29,6,FALSE),0)</x:f>
        <x:v>0</x:v>
      </x:c>
      <x:c r="H741">
        <x:f>ROUND($C741*10*VLOOKUP($B741,Sheet2!$J$5:$K$7,2,FALSE)*VLOOKUP(Sheet1!$A741,Sheet2!$B$5:$H$29,7,FALSE),0)</x:f>
        <x:v>200</x:v>
      </x:c>
      <x:c r="I741">
        <x:f t="shared" si="12"/>
        <x:v>4360</x:v>
      </x:c>
    </x:row>
    <x:row r="742" spans="1:9" x14ac:dyDescent="0.15">
      <x:c r="A742">
        <x:v>54005</x:v>
      </x:c>
      <x:c r="B742">
        <x:v>1</x:v>
      </x:c>
      <x:c r="C742">
        <x:v>21</x:v>
      </x:c>
      <x:c r="D742">
        <x:f>ROUND($C742*10*VLOOKUP($B742,Sheet2!$J$5:$K$7,2,FALSE)*VLOOKUP(Sheet1!$A742,Sheet2!$B$5:$H$29,3,FALSE),0)</x:f>
        <x:v>126</x:v>
      </x:c>
      <x:c r="E742">
        <x:f>ROUND($C742*10*VLOOKUP($B742,Sheet2!$J$5:$K$7,2,FALSE)*VLOOKUP(Sheet1!$A742,Sheet2!$B$5:$H$29,4,FALSE),0)</x:f>
        <x:v>0</x:v>
      </x:c>
      <x:c r="F742">
        <x:f>ROUND($C742*10*VLOOKUP($B742,Sheet2!$J$5:$K$7,2,FALSE)*VLOOKUP(Sheet1!$A742,Sheet2!$B$5:$H$29,5,FALSE),0)</x:f>
        <x:v>0</x:v>
      </x:c>
      <x:c r="G742">
        <x:f>ROUND($C742*10*VLOOKUP($B742,Sheet2!$J$5:$K$7,2,FALSE)*VLOOKUP(Sheet1!$A742,Sheet2!$B$5:$H$29,6,FALSE),0)</x:f>
        <x:v>0</x:v>
      </x:c>
      <x:c r="H742">
        <x:f>ROUND($C742*10*VLOOKUP($B742,Sheet2!$J$5:$K$7,2,FALSE)*VLOOKUP(Sheet1!$A742,Sheet2!$B$5:$H$29,7,FALSE),0)</x:f>
        <x:v>210</x:v>
      </x:c>
      <x:c r="I742">
        <x:f t="shared" si="12"/>
        <x:v>4780</x:v>
      </x:c>
    </x:row>
    <x:row r="743" spans="1:9" x14ac:dyDescent="0.15">
      <x:c r="A743">
        <x:v>54005</x:v>
      </x:c>
      <x:c r="B743">
        <x:v>1</x:v>
      </x:c>
      <x:c r="C743">
        <x:v>22</x:v>
      </x:c>
      <x:c r="D743">
        <x:f>ROUND($C743*10*VLOOKUP($B743,Sheet2!$J$5:$K$7,2,FALSE)*VLOOKUP(Sheet1!$A743,Sheet2!$B$5:$H$29,3,FALSE),0)</x:f>
        <x:v>132</x:v>
      </x:c>
      <x:c r="E743">
        <x:f>ROUND($C743*10*VLOOKUP($B743,Sheet2!$J$5:$K$7,2,FALSE)*VLOOKUP(Sheet1!$A743,Sheet2!$B$5:$H$29,4,FALSE),0)</x:f>
        <x:v>0</x:v>
      </x:c>
      <x:c r="F743">
        <x:f>ROUND($C743*10*VLOOKUP($B743,Sheet2!$J$5:$K$7,2,FALSE)*VLOOKUP(Sheet1!$A743,Sheet2!$B$5:$H$29,5,FALSE),0)</x:f>
        <x:v>0</x:v>
      </x:c>
      <x:c r="G743">
        <x:f>ROUND($C743*10*VLOOKUP($B743,Sheet2!$J$5:$K$7,2,FALSE)*VLOOKUP(Sheet1!$A743,Sheet2!$B$5:$H$29,6,FALSE),0)</x:f>
        <x:v>0</x:v>
      </x:c>
      <x:c r="H743">
        <x:f>ROUND($C743*10*VLOOKUP($B743,Sheet2!$J$5:$K$7,2,FALSE)*VLOOKUP(Sheet1!$A743,Sheet2!$B$5:$H$29,7,FALSE),0)</x:f>
        <x:v>220</x:v>
      </x:c>
      <x:c r="I743">
        <x:f t="shared" si="12"/>
        <x:v>5210</x:v>
      </x:c>
    </x:row>
    <x:row r="744" spans="1:9" x14ac:dyDescent="0.15">
      <x:c r="A744">
        <x:v>54005</x:v>
      </x:c>
      <x:c r="B744">
        <x:v>1</x:v>
      </x:c>
      <x:c r="C744">
        <x:v>23</x:v>
      </x:c>
      <x:c r="D744">
        <x:f>ROUND($C744*10*VLOOKUP($B744,Sheet2!$J$5:$K$7,2,FALSE)*VLOOKUP(Sheet1!$A744,Sheet2!$B$5:$H$29,3,FALSE),0)</x:f>
        <x:v>138</x:v>
      </x:c>
      <x:c r="E744">
        <x:f>ROUND($C744*10*VLOOKUP($B744,Sheet2!$J$5:$K$7,2,FALSE)*VLOOKUP(Sheet1!$A744,Sheet2!$B$5:$H$29,4,FALSE),0)</x:f>
        <x:v>0</x:v>
      </x:c>
      <x:c r="F744">
        <x:f>ROUND($C744*10*VLOOKUP($B744,Sheet2!$J$5:$K$7,2,FALSE)*VLOOKUP(Sheet1!$A744,Sheet2!$B$5:$H$29,5,FALSE),0)</x:f>
        <x:v>0</x:v>
      </x:c>
      <x:c r="G744">
        <x:f>ROUND($C744*10*VLOOKUP($B744,Sheet2!$J$5:$K$7,2,FALSE)*VLOOKUP(Sheet1!$A744,Sheet2!$B$5:$H$29,6,FALSE),0)</x:f>
        <x:v>0</x:v>
      </x:c>
      <x:c r="H744">
        <x:f>ROUND($C744*10*VLOOKUP($B744,Sheet2!$J$5:$K$7,2,FALSE)*VLOOKUP(Sheet1!$A744,Sheet2!$B$5:$H$29,7,FALSE),0)</x:f>
        <x:v>230</x:v>
      </x:c>
      <x:c r="I744">
        <x:f t="shared" si="12"/>
        <x:v>5660</x:v>
      </x:c>
    </x:row>
    <x:row r="745" spans="1:9" x14ac:dyDescent="0.15">
      <x:c r="A745">
        <x:v>54005</x:v>
      </x:c>
      <x:c r="B745">
        <x:v>1</x:v>
      </x:c>
      <x:c r="C745">
        <x:v>24</x:v>
      </x:c>
      <x:c r="D745">
        <x:f>ROUND($C745*10*VLOOKUP($B745,Sheet2!$J$5:$K$7,2,FALSE)*VLOOKUP(Sheet1!$A745,Sheet2!$B$5:$H$29,3,FALSE),0)</x:f>
        <x:v>144</x:v>
      </x:c>
      <x:c r="E745">
        <x:f>ROUND($C745*10*VLOOKUP($B745,Sheet2!$J$5:$K$7,2,FALSE)*VLOOKUP(Sheet1!$A745,Sheet2!$B$5:$H$29,4,FALSE),0)</x:f>
        <x:v>0</x:v>
      </x:c>
      <x:c r="F745">
        <x:f>ROUND($C745*10*VLOOKUP($B745,Sheet2!$J$5:$K$7,2,FALSE)*VLOOKUP(Sheet1!$A745,Sheet2!$B$5:$H$29,5,FALSE),0)</x:f>
        <x:v>0</x:v>
      </x:c>
      <x:c r="G745">
        <x:f>ROUND($C745*10*VLOOKUP($B745,Sheet2!$J$5:$K$7,2,FALSE)*VLOOKUP(Sheet1!$A745,Sheet2!$B$5:$H$29,6,FALSE),0)</x:f>
        <x:v>0</x:v>
      </x:c>
      <x:c r="H745">
        <x:f>ROUND($C745*10*VLOOKUP($B745,Sheet2!$J$5:$K$7,2,FALSE)*VLOOKUP(Sheet1!$A745,Sheet2!$B$5:$H$29,7,FALSE),0)</x:f>
        <x:v>240</x:v>
      </x:c>
      <x:c r="I745">
        <x:f t="shared" si="12"/>
        <x:v>6130</x:v>
      </x:c>
    </x:row>
    <x:row r="746" spans="1:9" x14ac:dyDescent="0.15">
      <x:c r="A746">
        <x:v>54005</x:v>
      </x:c>
      <x:c r="B746">
        <x:v>1</x:v>
      </x:c>
      <x:c r="C746">
        <x:v>25</x:v>
      </x:c>
      <x:c r="D746">
        <x:f>ROUND($C746*10*VLOOKUP($B746,Sheet2!$J$5:$K$7,2,FALSE)*VLOOKUP(Sheet1!$A746,Sheet2!$B$5:$H$29,3,FALSE),0)</x:f>
        <x:v>150</x:v>
      </x:c>
      <x:c r="E746">
        <x:f>ROUND($C746*10*VLOOKUP($B746,Sheet2!$J$5:$K$7,2,FALSE)*VLOOKUP(Sheet1!$A746,Sheet2!$B$5:$H$29,4,FALSE),0)</x:f>
        <x:v>0</x:v>
      </x:c>
      <x:c r="F746">
        <x:f>ROUND($C746*10*VLOOKUP($B746,Sheet2!$J$5:$K$7,2,FALSE)*VLOOKUP(Sheet1!$A746,Sheet2!$B$5:$H$29,5,FALSE),0)</x:f>
        <x:v>0</x:v>
      </x:c>
      <x:c r="G746">
        <x:f>ROUND($C746*10*VLOOKUP($B746,Sheet2!$J$5:$K$7,2,FALSE)*VLOOKUP(Sheet1!$A746,Sheet2!$B$5:$H$29,6,FALSE),0)</x:f>
        <x:v>0</x:v>
      </x:c>
      <x:c r="H746">
        <x:f>ROUND($C746*10*VLOOKUP($B746,Sheet2!$J$5:$K$7,2,FALSE)*VLOOKUP(Sheet1!$A746,Sheet2!$B$5:$H$29,7,FALSE),0)</x:f>
        <x:v>250</x:v>
      </x:c>
      <x:c r="I746">
        <x:f t="shared" si="12"/>
        <x:v>6620</x:v>
      </x:c>
    </x:row>
    <x:row r="747" spans="1:9" x14ac:dyDescent="0.15">
      <x:c r="A747">
        <x:v>54005</x:v>
      </x:c>
      <x:c r="B747">
        <x:v>1</x:v>
      </x:c>
      <x:c r="C747">
        <x:v>26</x:v>
      </x:c>
      <x:c r="D747">
        <x:f>ROUND($C747*10*VLOOKUP($B747,Sheet2!$J$5:$K$7,2,FALSE)*VLOOKUP(Sheet1!$A747,Sheet2!$B$5:$H$29,3,FALSE),0)</x:f>
        <x:v>156</x:v>
      </x:c>
      <x:c r="E747">
        <x:f>ROUND($C747*10*VLOOKUP($B747,Sheet2!$J$5:$K$7,2,FALSE)*VLOOKUP(Sheet1!$A747,Sheet2!$B$5:$H$29,4,FALSE),0)</x:f>
        <x:v>0</x:v>
      </x:c>
      <x:c r="F747">
        <x:f>ROUND($C747*10*VLOOKUP($B747,Sheet2!$J$5:$K$7,2,FALSE)*VLOOKUP(Sheet1!$A747,Sheet2!$B$5:$H$29,5,FALSE),0)</x:f>
        <x:v>0</x:v>
      </x:c>
      <x:c r="G747">
        <x:f>ROUND($C747*10*VLOOKUP($B747,Sheet2!$J$5:$K$7,2,FALSE)*VLOOKUP(Sheet1!$A747,Sheet2!$B$5:$H$29,6,FALSE),0)</x:f>
        <x:v>0</x:v>
      </x:c>
      <x:c r="H747">
        <x:f>ROUND($C747*10*VLOOKUP($B747,Sheet2!$J$5:$K$7,2,FALSE)*VLOOKUP(Sheet1!$A747,Sheet2!$B$5:$H$29,7,FALSE),0)</x:f>
        <x:v>260</x:v>
      </x:c>
      <x:c r="I747">
        <x:f t="shared" si="12"/>
        <x:v>7120</x:v>
      </x:c>
    </x:row>
    <x:row r="748" spans="1:9" x14ac:dyDescent="0.15">
      <x:c r="A748">
        <x:v>54005</x:v>
      </x:c>
      <x:c r="B748">
        <x:v>1</x:v>
      </x:c>
      <x:c r="C748">
        <x:v>27</x:v>
      </x:c>
      <x:c r="D748">
        <x:f>ROUND($C748*10*VLOOKUP($B748,Sheet2!$J$5:$K$7,2,FALSE)*VLOOKUP(Sheet1!$A748,Sheet2!$B$5:$H$29,3,FALSE),0)</x:f>
        <x:v>162</x:v>
      </x:c>
      <x:c r="E748">
        <x:f>ROUND($C748*10*VLOOKUP($B748,Sheet2!$J$5:$K$7,2,FALSE)*VLOOKUP(Sheet1!$A748,Sheet2!$B$5:$H$29,4,FALSE),0)</x:f>
        <x:v>0</x:v>
      </x:c>
      <x:c r="F748">
        <x:f>ROUND($C748*10*VLOOKUP($B748,Sheet2!$J$5:$K$7,2,FALSE)*VLOOKUP(Sheet1!$A748,Sheet2!$B$5:$H$29,5,FALSE),0)</x:f>
        <x:v>0</x:v>
      </x:c>
      <x:c r="G748">
        <x:f>ROUND($C748*10*VLOOKUP($B748,Sheet2!$J$5:$K$7,2,FALSE)*VLOOKUP(Sheet1!$A748,Sheet2!$B$5:$H$29,6,FALSE),0)</x:f>
        <x:v>0</x:v>
      </x:c>
      <x:c r="H748">
        <x:f>ROUND($C748*10*VLOOKUP($B748,Sheet2!$J$5:$K$7,2,FALSE)*VLOOKUP(Sheet1!$A748,Sheet2!$B$5:$H$29,7,FALSE),0)</x:f>
        <x:v>270</x:v>
      </x:c>
      <x:c r="I748">
        <x:f t="shared" si="12"/>
        <x:v>7640</x:v>
      </x:c>
    </x:row>
    <x:row r="749" spans="1:9" x14ac:dyDescent="0.15">
      <x:c r="A749">
        <x:v>54005</x:v>
      </x:c>
      <x:c r="B749">
        <x:v>1</x:v>
      </x:c>
      <x:c r="C749">
        <x:v>28</x:v>
      </x:c>
      <x:c r="D749">
        <x:f>ROUND($C749*10*VLOOKUP($B749,Sheet2!$J$5:$K$7,2,FALSE)*VLOOKUP(Sheet1!$A749,Sheet2!$B$5:$H$29,3,FALSE),0)</x:f>
        <x:v>168</x:v>
      </x:c>
      <x:c r="E749">
        <x:f>ROUND($C749*10*VLOOKUP($B749,Sheet2!$J$5:$K$7,2,FALSE)*VLOOKUP(Sheet1!$A749,Sheet2!$B$5:$H$29,4,FALSE),0)</x:f>
        <x:v>0</x:v>
      </x:c>
      <x:c r="F749">
        <x:f>ROUND($C749*10*VLOOKUP($B749,Sheet2!$J$5:$K$7,2,FALSE)*VLOOKUP(Sheet1!$A749,Sheet2!$B$5:$H$29,5,FALSE),0)</x:f>
        <x:v>0</x:v>
      </x:c>
      <x:c r="G749">
        <x:f>ROUND($C749*10*VLOOKUP($B749,Sheet2!$J$5:$K$7,2,FALSE)*VLOOKUP(Sheet1!$A749,Sheet2!$B$5:$H$29,6,FALSE),0)</x:f>
        <x:v>0</x:v>
      </x:c>
      <x:c r="H749">
        <x:f>ROUND($C749*10*VLOOKUP($B749,Sheet2!$J$5:$K$7,2,FALSE)*VLOOKUP(Sheet1!$A749,Sheet2!$B$5:$H$29,7,FALSE),0)</x:f>
        <x:v>280</x:v>
      </x:c>
      <x:c r="I749">
        <x:f t="shared" si="12"/>
        <x:v>8180</x:v>
      </x:c>
    </x:row>
    <x:row r="750" spans="1:9" x14ac:dyDescent="0.15">
      <x:c r="A750">
        <x:v>54005</x:v>
      </x:c>
      <x:c r="B750">
        <x:v>1</x:v>
      </x:c>
      <x:c r="C750">
        <x:v>29</x:v>
      </x:c>
      <x:c r="D750">
        <x:f>ROUND($C750*10*VLOOKUP($B750,Sheet2!$J$5:$K$7,2,FALSE)*VLOOKUP(Sheet1!$A750,Sheet2!$B$5:$H$29,3,FALSE),0)</x:f>
        <x:v>174</x:v>
      </x:c>
      <x:c r="E750">
        <x:f>ROUND($C750*10*VLOOKUP($B750,Sheet2!$J$5:$K$7,2,FALSE)*VLOOKUP(Sheet1!$A750,Sheet2!$B$5:$H$29,4,FALSE),0)</x:f>
        <x:v>0</x:v>
      </x:c>
      <x:c r="F750">
        <x:f>ROUND($C750*10*VLOOKUP($B750,Sheet2!$J$5:$K$7,2,FALSE)*VLOOKUP(Sheet1!$A750,Sheet2!$B$5:$H$29,5,FALSE),0)</x:f>
        <x:v>0</x:v>
      </x:c>
      <x:c r="G750">
        <x:f>ROUND($C750*10*VLOOKUP($B750,Sheet2!$J$5:$K$7,2,FALSE)*VLOOKUP(Sheet1!$A750,Sheet2!$B$5:$H$29,6,FALSE),0)</x:f>
        <x:v>0</x:v>
      </x:c>
      <x:c r="H750">
        <x:f>ROUND($C750*10*VLOOKUP($B750,Sheet2!$J$5:$K$7,2,FALSE)*VLOOKUP(Sheet1!$A750,Sheet2!$B$5:$H$29,7,FALSE),0)</x:f>
        <x:v>290</x:v>
      </x:c>
      <x:c r="I750">
        <x:f t="shared" si="12"/>
        <x:v>8730</x:v>
      </x:c>
    </x:row>
    <x:row r="751" spans="1:9" x14ac:dyDescent="0.15">
      <x:c r="A751">
        <x:v>54005</x:v>
      </x:c>
      <x:c r="B751">
        <x:v>1</x:v>
      </x:c>
      <x:c r="C751">
        <x:v>30</x:v>
      </x:c>
      <x:c r="D751">
        <x:f>ROUND($C751*10*VLOOKUP($B751,Sheet2!$J$5:$K$7,2,FALSE)*VLOOKUP(Sheet1!$A751,Sheet2!$B$5:$H$29,3,FALSE),0)</x:f>
        <x:v>180</x:v>
      </x:c>
      <x:c r="E751">
        <x:f>ROUND($C751*10*VLOOKUP($B751,Sheet2!$J$5:$K$7,2,FALSE)*VLOOKUP(Sheet1!$A751,Sheet2!$B$5:$H$29,4,FALSE),0)</x:f>
        <x:v>0</x:v>
      </x:c>
      <x:c r="F751">
        <x:f>ROUND($C751*10*VLOOKUP($B751,Sheet2!$J$5:$K$7,2,FALSE)*VLOOKUP(Sheet1!$A751,Sheet2!$B$5:$H$29,5,FALSE),0)</x:f>
        <x:v>0</x:v>
      </x:c>
      <x:c r="G751">
        <x:f>ROUND($C751*10*VLOOKUP($B751,Sheet2!$J$5:$K$7,2,FALSE)*VLOOKUP(Sheet1!$A751,Sheet2!$B$5:$H$29,6,FALSE),0)</x:f>
        <x:v>0</x:v>
      </x:c>
      <x:c r="H751">
        <x:f>ROUND($C751*10*VLOOKUP($B751,Sheet2!$J$5:$K$7,2,FALSE)*VLOOKUP(Sheet1!$A751,Sheet2!$B$5:$H$29,7,FALSE),0)</x:f>
        <x:v>300</x:v>
      </x:c>
      <x:c r="I751">
        <x:f t="shared" si="12"/>
        <x:v>9290</x:v>
      </x:c>
    </x:row>
    <x:row r="752" spans="1:9" x14ac:dyDescent="0.15">
      <x:c r="A752">
        <x:v>54005</x:v>
      </x:c>
      <x:c r="B752">
        <x:v>1</x:v>
      </x:c>
      <x:c r="C752">
        <x:v>31</x:v>
      </x:c>
      <x:c r="D752">
        <x:f>ROUND($C752*10*VLOOKUP($B752,Sheet2!$J$5:$K$7,2,FALSE)*VLOOKUP(Sheet1!$A752,Sheet2!$B$5:$H$29,3,FALSE),0)</x:f>
        <x:v>186</x:v>
      </x:c>
      <x:c r="E752">
        <x:f>ROUND($C752*10*VLOOKUP($B752,Sheet2!$J$5:$K$7,2,FALSE)*VLOOKUP(Sheet1!$A752,Sheet2!$B$5:$H$29,4,FALSE),0)</x:f>
        <x:v>0</x:v>
      </x:c>
      <x:c r="F752">
        <x:f>ROUND($C752*10*VLOOKUP($B752,Sheet2!$J$5:$K$7,2,FALSE)*VLOOKUP(Sheet1!$A752,Sheet2!$B$5:$H$29,5,FALSE),0)</x:f>
        <x:v>0</x:v>
      </x:c>
      <x:c r="G752">
        <x:f>ROUND($C752*10*VLOOKUP($B752,Sheet2!$J$5:$K$7,2,FALSE)*VLOOKUP(Sheet1!$A752,Sheet2!$B$5:$H$29,6,FALSE),0)</x:f>
        <x:v>0</x:v>
      </x:c>
      <x:c r="H752">
        <x:f>ROUND($C752*10*VLOOKUP($B752,Sheet2!$J$5:$K$7,2,FALSE)*VLOOKUP(Sheet1!$A752,Sheet2!$B$5:$H$29,7,FALSE),0)</x:f>
        <x:v>310</x:v>
      </x:c>
      <x:c r="I752">
        <x:f t="shared" si="12"/>
        <x:v>9880</x:v>
      </x:c>
    </x:row>
    <x:row r="753" spans="1:9" x14ac:dyDescent="0.15">
      <x:c r="A753">
        <x:v>54005</x:v>
      </x:c>
      <x:c r="B753">
        <x:v>1</x:v>
      </x:c>
      <x:c r="C753">
        <x:v>32</x:v>
      </x:c>
      <x:c r="D753">
        <x:f>ROUND($C753*10*VLOOKUP($B753,Sheet2!$J$5:$K$7,2,FALSE)*VLOOKUP(Sheet1!$A753,Sheet2!$B$5:$H$29,3,FALSE),0)</x:f>
        <x:v>192</x:v>
      </x:c>
      <x:c r="E753">
        <x:f>ROUND($C753*10*VLOOKUP($B753,Sheet2!$J$5:$K$7,2,FALSE)*VLOOKUP(Sheet1!$A753,Sheet2!$B$5:$H$29,4,FALSE),0)</x:f>
        <x:v>0</x:v>
      </x:c>
      <x:c r="F753">
        <x:f>ROUND($C753*10*VLOOKUP($B753,Sheet2!$J$5:$K$7,2,FALSE)*VLOOKUP(Sheet1!$A753,Sheet2!$B$5:$H$29,5,FALSE),0)</x:f>
        <x:v>0</x:v>
      </x:c>
      <x:c r="G753">
        <x:f>ROUND($C753*10*VLOOKUP($B753,Sheet2!$J$5:$K$7,2,FALSE)*VLOOKUP(Sheet1!$A753,Sheet2!$B$5:$H$29,6,FALSE),0)</x:f>
        <x:v>0</x:v>
      </x:c>
      <x:c r="H753">
        <x:f>ROUND($C753*10*VLOOKUP($B753,Sheet2!$J$5:$K$7,2,FALSE)*VLOOKUP(Sheet1!$A753,Sheet2!$B$5:$H$29,7,FALSE),0)</x:f>
        <x:v>320</x:v>
      </x:c>
      <x:c r="I753">
        <x:f t="shared" si="12"/>
        <x:v>10470</x:v>
      </x:c>
    </x:row>
    <x:row r="754" spans="1:9" x14ac:dyDescent="0.15">
      <x:c r="A754">
        <x:v>54005</x:v>
      </x:c>
      <x:c r="B754">
        <x:v>1</x:v>
      </x:c>
      <x:c r="C754">
        <x:v>33</x:v>
      </x:c>
      <x:c r="D754">
        <x:f>ROUND($C754*10*VLOOKUP($B754,Sheet2!$J$5:$K$7,2,FALSE)*VLOOKUP(Sheet1!$A754,Sheet2!$B$5:$H$29,3,FALSE),0)</x:f>
        <x:v>198</x:v>
      </x:c>
      <x:c r="E754">
        <x:f>ROUND($C754*10*VLOOKUP($B754,Sheet2!$J$5:$K$7,2,FALSE)*VLOOKUP(Sheet1!$A754,Sheet2!$B$5:$H$29,4,FALSE),0)</x:f>
        <x:v>0</x:v>
      </x:c>
      <x:c r="F754">
        <x:f>ROUND($C754*10*VLOOKUP($B754,Sheet2!$J$5:$K$7,2,FALSE)*VLOOKUP(Sheet1!$A754,Sheet2!$B$5:$H$29,5,FALSE),0)</x:f>
        <x:v>0</x:v>
      </x:c>
      <x:c r="G754">
        <x:f>ROUND($C754*10*VLOOKUP($B754,Sheet2!$J$5:$K$7,2,FALSE)*VLOOKUP(Sheet1!$A754,Sheet2!$B$5:$H$29,6,FALSE),0)</x:f>
        <x:v>0</x:v>
      </x:c>
      <x:c r="H754">
        <x:f>ROUND($C754*10*VLOOKUP($B754,Sheet2!$J$5:$K$7,2,FALSE)*VLOOKUP(Sheet1!$A754,Sheet2!$B$5:$H$29,7,FALSE),0)</x:f>
        <x:v>330</x:v>
      </x:c>
      <x:c r="I754">
        <x:f t="shared" si="12"/>
        <x:v>11090</x:v>
      </x:c>
    </x:row>
    <x:row r="755" spans="1:9" x14ac:dyDescent="0.15">
      <x:c r="A755">
        <x:v>54005</x:v>
      </x:c>
      <x:c r="B755">
        <x:v>1</x:v>
      </x:c>
      <x:c r="C755">
        <x:v>34</x:v>
      </x:c>
      <x:c r="D755">
        <x:f>ROUND($C755*10*VLOOKUP($B755,Sheet2!$J$5:$K$7,2,FALSE)*VLOOKUP(Sheet1!$A755,Sheet2!$B$5:$H$29,3,FALSE),0)</x:f>
        <x:v>204</x:v>
      </x:c>
      <x:c r="E755">
        <x:f>ROUND($C755*10*VLOOKUP($B755,Sheet2!$J$5:$K$7,2,FALSE)*VLOOKUP(Sheet1!$A755,Sheet2!$B$5:$H$29,4,FALSE),0)</x:f>
        <x:v>0</x:v>
      </x:c>
      <x:c r="F755">
        <x:f>ROUND($C755*10*VLOOKUP($B755,Sheet2!$J$5:$K$7,2,FALSE)*VLOOKUP(Sheet1!$A755,Sheet2!$B$5:$H$29,5,FALSE),0)</x:f>
        <x:v>0</x:v>
      </x:c>
      <x:c r="G755">
        <x:f>ROUND($C755*10*VLOOKUP($B755,Sheet2!$J$5:$K$7,2,FALSE)*VLOOKUP(Sheet1!$A755,Sheet2!$B$5:$H$29,6,FALSE),0)</x:f>
        <x:v>0</x:v>
      </x:c>
      <x:c r="H755">
        <x:f>ROUND($C755*10*VLOOKUP($B755,Sheet2!$J$5:$K$7,2,FALSE)*VLOOKUP(Sheet1!$A755,Sheet2!$B$5:$H$29,7,FALSE),0)</x:f>
        <x:v>340</x:v>
      </x:c>
      <x:c r="I755">
        <x:f t="shared" si="12"/>
        <x:v>11720</x:v>
      </x:c>
    </x:row>
    <x:row r="756" spans="1:9" x14ac:dyDescent="0.15">
      <x:c r="A756">
        <x:v>54005</x:v>
      </x:c>
      <x:c r="B756">
        <x:v>1</x:v>
      </x:c>
      <x:c r="C756">
        <x:v>35</x:v>
      </x:c>
      <x:c r="D756">
        <x:f>ROUND($C756*10*VLOOKUP($B756,Sheet2!$J$5:$K$7,2,FALSE)*VLOOKUP(Sheet1!$A756,Sheet2!$B$5:$H$29,3,FALSE),0)</x:f>
        <x:v>210</x:v>
      </x:c>
      <x:c r="E756">
        <x:f>ROUND($C756*10*VLOOKUP($B756,Sheet2!$J$5:$K$7,2,FALSE)*VLOOKUP(Sheet1!$A756,Sheet2!$B$5:$H$29,4,FALSE),0)</x:f>
        <x:v>0</x:v>
      </x:c>
      <x:c r="F756">
        <x:f>ROUND($C756*10*VLOOKUP($B756,Sheet2!$J$5:$K$7,2,FALSE)*VLOOKUP(Sheet1!$A756,Sheet2!$B$5:$H$29,5,FALSE),0)</x:f>
        <x:v>0</x:v>
      </x:c>
      <x:c r="G756">
        <x:f>ROUND($C756*10*VLOOKUP($B756,Sheet2!$J$5:$K$7,2,FALSE)*VLOOKUP(Sheet1!$A756,Sheet2!$B$5:$H$29,6,FALSE),0)</x:f>
        <x:v>0</x:v>
      </x:c>
      <x:c r="H756">
        <x:f>ROUND($C756*10*VLOOKUP($B756,Sheet2!$J$5:$K$7,2,FALSE)*VLOOKUP(Sheet1!$A756,Sheet2!$B$5:$H$29,7,FALSE),0)</x:f>
        <x:v>350</x:v>
      </x:c>
      <x:c r="I756">
        <x:f t="shared" si="12"/>
        <x:v>12360</x:v>
      </x:c>
    </x:row>
    <x:row r="757" spans="1:9" x14ac:dyDescent="0.15">
      <x:c r="A757">
        <x:v>54005</x:v>
      </x:c>
      <x:c r="B757">
        <x:v>1</x:v>
      </x:c>
      <x:c r="C757">
        <x:v>36</x:v>
      </x:c>
      <x:c r="D757">
        <x:f>ROUND($C757*10*VLOOKUP($B757,Sheet2!$J$5:$K$7,2,FALSE)*VLOOKUP(Sheet1!$A757,Sheet2!$B$5:$H$29,3,FALSE),0)</x:f>
        <x:v>216</x:v>
      </x:c>
      <x:c r="E757">
        <x:f>ROUND($C757*10*VLOOKUP($B757,Sheet2!$J$5:$K$7,2,FALSE)*VLOOKUP(Sheet1!$A757,Sheet2!$B$5:$H$29,4,FALSE),0)</x:f>
        <x:v>0</x:v>
      </x:c>
      <x:c r="F757">
        <x:f>ROUND($C757*10*VLOOKUP($B757,Sheet2!$J$5:$K$7,2,FALSE)*VLOOKUP(Sheet1!$A757,Sheet2!$B$5:$H$29,5,FALSE),0)</x:f>
        <x:v>0</x:v>
      </x:c>
      <x:c r="G757">
        <x:f>ROUND($C757*10*VLOOKUP($B757,Sheet2!$J$5:$K$7,2,FALSE)*VLOOKUP(Sheet1!$A757,Sheet2!$B$5:$H$29,6,FALSE),0)</x:f>
        <x:v>0</x:v>
      </x:c>
      <x:c r="H757">
        <x:f>ROUND($C757*10*VLOOKUP($B757,Sheet2!$J$5:$K$7,2,FALSE)*VLOOKUP(Sheet1!$A757,Sheet2!$B$5:$H$29,7,FALSE),0)</x:f>
        <x:v>360</x:v>
      </x:c>
      <x:c r="I757">
        <x:f t="shared" si="12"/>
        <x:v>13020</x:v>
      </x:c>
    </x:row>
    <x:row r="758" spans="1:9" x14ac:dyDescent="0.15">
      <x:c r="A758">
        <x:v>54005</x:v>
      </x:c>
      <x:c r="B758">
        <x:v>1</x:v>
      </x:c>
      <x:c r="C758">
        <x:v>37</x:v>
      </x:c>
      <x:c r="D758">
        <x:f>ROUND($C758*10*VLOOKUP($B758,Sheet2!$J$5:$K$7,2,FALSE)*VLOOKUP(Sheet1!$A758,Sheet2!$B$5:$H$29,3,FALSE),0)</x:f>
        <x:v>222</x:v>
      </x:c>
      <x:c r="E758">
        <x:f>ROUND($C758*10*VLOOKUP($B758,Sheet2!$J$5:$K$7,2,FALSE)*VLOOKUP(Sheet1!$A758,Sheet2!$B$5:$H$29,4,FALSE),0)</x:f>
        <x:v>0</x:v>
      </x:c>
      <x:c r="F758">
        <x:f>ROUND($C758*10*VLOOKUP($B758,Sheet2!$J$5:$K$7,2,FALSE)*VLOOKUP(Sheet1!$A758,Sheet2!$B$5:$H$29,5,FALSE),0)</x:f>
        <x:v>0</x:v>
      </x:c>
      <x:c r="G758">
        <x:f>ROUND($C758*10*VLOOKUP($B758,Sheet2!$J$5:$K$7,2,FALSE)*VLOOKUP(Sheet1!$A758,Sheet2!$B$5:$H$29,6,FALSE),0)</x:f>
        <x:v>0</x:v>
      </x:c>
      <x:c r="H758">
        <x:f>ROUND($C758*10*VLOOKUP($B758,Sheet2!$J$5:$K$7,2,FALSE)*VLOOKUP(Sheet1!$A758,Sheet2!$B$5:$H$29,7,FALSE),0)</x:f>
        <x:v>370</x:v>
      </x:c>
      <x:c r="I758">
        <x:f t="shared" si="12"/>
        <x:v>13700</x:v>
      </x:c>
    </x:row>
    <x:row r="759" spans="1:9" x14ac:dyDescent="0.15">
      <x:c r="A759">
        <x:v>54005</x:v>
      </x:c>
      <x:c r="B759">
        <x:v>1</x:v>
      </x:c>
      <x:c r="C759">
        <x:v>38</x:v>
      </x:c>
      <x:c r="D759">
        <x:f>ROUND($C759*10*VLOOKUP($B759,Sheet2!$J$5:$K$7,2,FALSE)*VLOOKUP(Sheet1!$A759,Sheet2!$B$5:$H$29,3,FALSE),0)</x:f>
        <x:v>228</x:v>
      </x:c>
      <x:c r="E759">
        <x:f>ROUND($C759*10*VLOOKUP($B759,Sheet2!$J$5:$K$7,2,FALSE)*VLOOKUP(Sheet1!$A759,Sheet2!$B$5:$H$29,4,FALSE),0)</x:f>
        <x:v>0</x:v>
      </x:c>
      <x:c r="F759">
        <x:f>ROUND($C759*10*VLOOKUP($B759,Sheet2!$J$5:$K$7,2,FALSE)*VLOOKUP(Sheet1!$A759,Sheet2!$B$5:$H$29,5,FALSE),0)</x:f>
        <x:v>0</x:v>
      </x:c>
      <x:c r="G759">
        <x:f>ROUND($C759*10*VLOOKUP($B759,Sheet2!$J$5:$K$7,2,FALSE)*VLOOKUP(Sheet1!$A759,Sheet2!$B$5:$H$29,6,FALSE),0)</x:f>
        <x:v>0</x:v>
      </x:c>
      <x:c r="H759">
        <x:f>ROUND($C759*10*VLOOKUP($B759,Sheet2!$J$5:$K$7,2,FALSE)*VLOOKUP(Sheet1!$A759,Sheet2!$B$5:$H$29,7,FALSE),0)</x:f>
        <x:v>380</x:v>
      </x:c>
      <x:c r="I759">
        <x:f t="shared" si="12"/>
        <x:v>14390</x:v>
      </x:c>
    </x:row>
    <x:row r="760" spans="1:9" x14ac:dyDescent="0.15">
      <x:c r="A760">
        <x:v>54005</x:v>
      </x:c>
      <x:c r="B760">
        <x:v>1</x:v>
      </x:c>
      <x:c r="C760">
        <x:v>39</x:v>
      </x:c>
      <x:c r="D760">
        <x:f>ROUND($C760*10*VLOOKUP($B760,Sheet2!$J$5:$K$7,2,FALSE)*VLOOKUP(Sheet1!$A760,Sheet2!$B$5:$H$29,3,FALSE),0)</x:f>
        <x:v>234</x:v>
      </x:c>
      <x:c r="E760">
        <x:f>ROUND($C760*10*VLOOKUP($B760,Sheet2!$J$5:$K$7,2,FALSE)*VLOOKUP(Sheet1!$A760,Sheet2!$B$5:$H$29,4,FALSE),0)</x:f>
        <x:v>0</x:v>
      </x:c>
      <x:c r="F760">
        <x:f>ROUND($C760*10*VLOOKUP($B760,Sheet2!$J$5:$K$7,2,FALSE)*VLOOKUP(Sheet1!$A760,Sheet2!$B$5:$H$29,5,FALSE),0)</x:f>
        <x:v>0</x:v>
      </x:c>
      <x:c r="G760">
        <x:f>ROUND($C760*10*VLOOKUP($B760,Sheet2!$J$5:$K$7,2,FALSE)*VLOOKUP(Sheet1!$A760,Sheet2!$B$5:$H$29,6,FALSE),0)</x:f>
        <x:v>0</x:v>
      </x:c>
      <x:c r="H760">
        <x:f>ROUND($C760*10*VLOOKUP($B760,Sheet2!$J$5:$K$7,2,FALSE)*VLOOKUP(Sheet1!$A760,Sheet2!$B$5:$H$29,7,FALSE),0)</x:f>
        <x:v>390</x:v>
      </x:c>
      <x:c r="I760">
        <x:f t="shared" si="12"/>
        <x:v>15100</x:v>
      </x:c>
    </x:row>
    <x:row r="761" spans="1:9" x14ac:dyDescent="0.15">
      <x:c r="A761">
        <x:v>54005</x:v>
      </x:c>
      <x:c r="B761">
        <x:v>1</x:v>
      </x:c>
      <x:c r="C761">
        <x:v>40</x:v>
      </x:c>
      <x:c r="D761">
        <x:f>ROUND($C761*10*VLOOKUP($B761,Sheet2!$J$5:$K$7,2,FALSE)*VLOOKUP(Sheet1!$A761,Sheet2!$B$5:$H$29,3,FALSE),0)</x:f>
        <x:v>240</x:v>
      </x:c>
      <x:c r="E761">
        <x:f>ROUND($C761*10*VLOOKUP($B761,Sheet2!$J$5:$K$7,2,FALSE)*VLOOKUP(Sheet1!$A761,Sheet2!$B$5:$H$29,4,FALSE),0)</x:f>
        <x:v>0</x:v>
      </x:c>
      <x:c r="F761">
        <x:f>ROUND($C761*10*VLOOKUP($B761,Sheet2!$J$5:$K$7,2,FALSE)*VLOOKUP(Sheet1!$A761,Sheet2!$B$5:$H$29,5,FALSE),0)</x:f>
        <x:v>0</x:v>
      </x:c>
      <x:c r="G761">
        <x:f>ROUND($C761*10*VLOOKUP($B761,Sheet2!$J$5:$K$7,2,FALSE)*VLOOKUP(Sheet1!$A761,Sheet2!$B$5:$H$29,6,FALSE),0)</x:f>
        <x:v>0</x:v>
      </x:c>
      <x:c r="H761">
        <x:f>ROUND($C761*10*VLOOKUP($B761,Sheet2!$J$5:$K$7,2,FALSE)*VLOOKUP(Sheet1!$A761,Sheet2!$B$5:$H$29,7,FALSE),0)</x:f>
        <x:v>400</x:v>
      </x:c>
      <x:c r="I761">
        <x:f t="shared" si="12"/>
        <x:v>15820</x:v>
      </x:c>
    </x:row>
    <x:row r="762" spans="1:9" x14ac:dyDescent="0.15">
      <x:c r="A762">
        <x:v>54005</x:v>
      </x:c>
      <x:c r="B762">
        <x:v>1</x:v>
      </x:c>
      <x:c r="C762">
        <x:v>41</x:v>
      </x:c>
      <x:c r="D762">
        <x:f>ROUND($C762*10*VLOOKUP($B762,Sheet2!$J$5:$K$7,2,FALSE)*VLOOKUP(Sheet1!$A762,Sheet2!$B$5:$H$29,3,FALSE),0)</x:f>
        <x:v>246</x:v>
      </x:c>
      <x:c r="E762">
        <x:f>ROUND($C762*10*VLOOKUP($B762,Sheet2!$J$5:$K$7,2,FALSE)*VLOOKUP(Sheet1!$A762,Sheet2!$B$5:$H$29,4,FALSE),0)</x:f>
        <x:v>0</x:v>
      </x:c>
      <x:c r="F762">
        <x:f>ROUND($C762*10*VLOOKUP($B762,Sheet2!$J$5:$K$7,2,FALSE)*VLOOKUP(Sheet1!$A762,Sheet2!$B$5:$H$29,5,FALSE),0)</x:f>
        <x:v>0</x:v>
      </x:c>
      <x:c r="G762">
        <x:f>ROUND($C762*10*VLOOKUP($B762,Sheet2!$J$5:$K$7,2,FALSE)*VLOOKUP(Sheet1!$A762,Sheet2!$B$5:$H$29,6,FALSE),0)</x:f>
        <x:v>0</x:v>
      </x:c>
      <x:c r="H762">
        <x:f>ROUND($C762*10*VLOOKUP($B762,Sheet2!$J$5:$K$7,2,FALSE)*VLOOKUP(Sheet1!$A762,Sheet2!$B$5:$H$29,7,FALSE),0)</x:f>
        <x:v>410</x:v>
      </x:c>
      <x:c r="I762">
        <x:f t="shared" si="12"/>
        <x:v>16560</x:v>
      </x:c>
    </x:row>
    <x:row r="763" spans="1:9" x14ac:dyDescent="0.15">
      <x:c r="A763">
        <x:v>54005</x:v>
      </x:c>
      <x:c r="B763">
        <x:v>1</x:v>
      </x:c>
      <x:c r="C763">
        <x:v>42</x:v>
      </x:c>
      <x:c r="D763">
        <x:f>ROUND($C763*10*VLOOKUP($B763,Sheet2!$J$5:$K$7,2,FALSE)*VLOOKUP(Sheet1!$A763,Sheet2!$B$5:$H$29,3,FALSE),0)</x:f>
        <x:v>252</x:v>
      </x:c>
      <x:c r="E763">
        <x:f>ROUND($C763*10*VLOOKUP($B763,Sheet2!$J$5:$K$7,2,FALSE)*VLOOKUP(Sheet1!$A763,Sheet2!$B$5:$H$29,4,FALSE),0)</x:f>
        <x:v>0</x:v>
      </x:c>
      <x:c r="F763">
        <x:f>ROUND($C763*10*VLOOKUP($B763,Sheet2!$J$5:$K$7,2,FALSE)*VLOOKUP(Sheet1!$A763,Sheet2!$B$5:$H$29,5,FALSE),0)</x:f>
        <x:v>0</x:v>
      </x:c>
      <x:c r="G763">
        <x:f>ROUND($C763*10*VLOOKUP($B763,Sheet2!$J$5:$K$7,2,FALSE)*VLOOKUP(Sheet1!$A763,Sheet2!$B$5:$H$29,6,FALSE),0)</x:f>
        <x:v>0</x:v>
      </x:c>
      <x:c r="H763">
        <x:f>ROUND($C763*10*VLOOKUP($B763,Sheet2!$J$5:$K$7,2,FALSE)*VLOOKUP(Sheet1!$A763,Sheet2!$B$5:$H$29,7,FALSE),0)</x:f>
        <x:v>420</x:v>
      </x:c>
      <x:c r="I763">
        <x:f t="shared" si="12"/>
        <x:v>17310</x:v>
      </x:c>
    </x:row>
    <x:row r="764" spans="1:9" x14ac:dyDescent="0.15">
      <x:c r="A764">
        <x:v>54005</x:v>
      </x:c>
      <x:c r="B764">
        <x:v>1</x:v>
      </x:c>
      <x:c r="C764">
        <x:v>43</x:v>
      </x:c>
      <x:c r="D764">
        <x:f>ROUND($C764*10*VLOOKUP($B764,Sheet2!$J$5:$K$7,2,FALSE)*VLOOKUP(Sheet1!$A764,Sheet2!$B$5:$H$29,3,FALSE),0)</x:f>
        <x:v>258</x:v>
      </x:c>
      <x:c r="E764">
        <x:f>ROUND($C764*10*VLOOKUP($B764,Sheet2!$J$5:$K$7,2,FALSE)*VLOOKUP(Sheet1!$A764,Sheet2!$B$5:$H$29,4,FALSE),0)</x:f>
        <x:v>0</x:v>
      </x:c>
      <x:c r="F764">
        <x:f>ROUND($C764*10*VLOOKUP($B764,Sheet2!$J$5:$K$7,2,FALSE)*VLOOKUP(Sheet1!$A764,Sheet2!$B$5:$H$29,5,FALSE),0)</x:f>
        <x:v>0</x:v>
      </x:c>
      <x:c r="G764">
        <x:f>ROUND($C764*10*VLOOKUP($B764,Sheet2!$J$5:$K$7,2,FALSE)*VLOOKUP(Sheet1!$A764,Sheet2!$B$5:$H$29,6,FALSE),0)</x:f>
        <x:v>0</x:v>
      </x:c>
      <x:c r="H764">
        <x:f>ROUND($C764*10*VLOOKUP($B764,Sheet2!$J$5:$K$7,2,FALSE)*VLOOKUP(Sheet1!$A764,Sheet2!$B$5:$H$29,7,FALSE),0)</x:f>
        <x:v>430</x:v>
      </x:c>
      <x:c r="I764">
        <x:f t="shared" si="12"/>
        <x:v>18070</x:v>
      </x:c>
    </x:row>
    <x:row r="765" spans="1:9" x14ac:dyDescent="0.15">
      <x:c r="A765">
        <x:v>54005</x:v>
      </x:c>
      <x:c r="B765">
        <x:v>1</x:v>
      </x:c>
      <x:c r="C765">
        <x:v>44</x:v>
      </x:c>
      <x:c r="D765">
        <x:f>ROUND($C765*10*VLOOKUP($B765,Sheet2!$J$5:$K$7,2,FALSE)*VLOOKUP(Sheet1!$A765,Sheet2!$B$5:$H$29,3,FALSE),0)</x:f>
        <x:v>264</x:v>
      </x:c>
      <x:c r="E765">
        <x:f>ROUND($C765*10*VLOOKUP($B765,Sheet2!$J$5:$K$7,2,FALSE)*VLOOKUP(Sheet1!$A765,Sheet2!$B$5:$H$29,4,FALSE),0)</x:f>
        <x:v>0</x:v>
      </x:c>
      <x:c r="F765">
        <x:f>ROUND($C765*10*VLOOKUP($B765,Sheet2!$J$5:$K$7,2,FALSE)*VLOOKUP(Sheet1!$A765,Sheet2!$B$5:$H$29,5,FALSE),0)</x:f>
        <x:v>0</x:v>
      </x:c>
      <x:c r="G765">
        <x:f>ROUND($C765*10*VLOOKUP($B765,Sheet2!$J$5:$K$7,2,FALSE)*VLOOKUP(Sheet1!$A765,Sheet2!$B$5:$H$29,6,FALSE),0)</x:f>
        <x:v>0</x:v>
      </x:c>
      <x:c r="H765">
        <x:f>ROUND($C765*10*VLOOKUP($B765,Sheet2!$J$5:$K$7,2,FALSE)*VLOOKUP(Sheet1!$A765,Sheet2!$B$5:$H$29,7,FALSE),0)</x:f>
        <x:v>440</x:v>
      </x:c>
      <x:c r="I765">
        <x:f t="shared" si="12"/>
        <x:v>18850</x:v>
      </x:c>
    </x:row>
    <x:row r="766" spans="1:9" x14ac:dyDescent="0.15">
      <x:c r="A766">
        <x:v>54005</x:v>
      </x:c>
      <x:c r="B766">
        <x:v>1</x:v>
      </x:c>
      <x:c r="C766">
        <x:v>45</x:v>
      </x:c>
      <x:c r="D766">
        <x:f>ROUND($C766*10*VLOOKUP($B766,Sheet2!$J$5:$K$7,2,FALSE)*VLOOKUP(Sheet1!$A766,Sheet2!$B$5:$H$29,3,FALSE),0)</x:f>
        <x:v>270</x:v>
      </x:c>
      <x:c r="E766">
        <x:f>ROUND($C766*10*VLOOKUP($B766,Sheet2!$J$5:$K$7,2,FALSE)*VLOOKUP(Sheet1!$A766,Sheet2!$B$5:$H$29,4,FALSE),0)</x:f>
        <x:v>0</x:v>
      </x:c>
      <x:c r="F766">
        <x:f>ROUND($C766*10*VLOOKUP($B766,Sheet2!$J$5:$K$7,2,FALSE)*VLOOKUP(Sheet1!$A766,Sheet2!$B$5:$H$29,5,FALSE),0)</x:f>
        <x:v>0</x:v>
      </x:c>
      <x:c r="G766">
        <x:f>ROUND($C766*10*VLOOKUP($B766,Sheet2!$J$5:$K$7,2,FALSE)*VLOOKUP(Sheet1!$A766,Sheet2!$B$5:$H$29,6,FALSE),0)</x:f>
        <x:v>0</x:v>
      </x:c>
      <x:c r="H766">
        <x:f>ROUND($C766*10*VLOOKUP($B766,Sheet2!$J$5:$K$7,2,FALSE)*VLOOKUP(Sheet1!$A766,Sheet2!$B$5:$H$29,7,FALSE),0)</x:f>
        <x:v>450</x:v>
      </x:c>
      <x:c r="I766">
        <x:f t="shared" si="12"/>
        <x:v>19650</x:v>
      </x:c>
    </x:row>
    <x:row r="767" spans="1:9" x14ac:dyDescent="0.15">
      <x:c r="A767">
        <x:v>54005</x:v>
      </x:c>
      <x:c r="B767">
        <x:v>1</x:v>
      </x:c>
      <x:c r="C767">
        <x:v>46</x:v>
      </x:c>
      <x:c r="D767">
        <x:f>ROUND($C767*10*VLOOKUP($B767,Sheet2!$J$5:$K$7,2,FALSE)*VLOOKUP(Sheet1!$A767,Sheet2!$B$5:$H$29,3,FALSE),0)</x:f>
        <x:v>276</x:v>
      </x:c>
      <x:c r="E767">
        <x:f>ROUND($C767*10*VLOOKUP($B767,Sheet2!$J$5:$K$7,2,FALSE)*VLOOKUP(Sheet1!$A767,Sheet2!$B$5:$H$29,4,FALSE),0)</x:f>
        <x:v>0</x:v>
      </x:c>
      <x:c r="F767">
        <x:f>ROUND($C767*10*VLOOKUP($B767,Sheet2!$J$5:$K$7,2,FALSE)*VLOOKUP(Sheet1!$A767,Sheet2!$B$5:$H$29,5,FALSE),0)</x:f>
        <x:v>0</x:v>
      </x:c>
      <x:c r="G767">
        <x:f>ROUND($C767*10*VLOOKUP($B767,Sheet2!$J$5:$K$7,2,FALSE)*VLOOKUP(Sheet1!$A767,Sheet2!$B$5:$H$29,6,FALSE),0)</x:f>
        <x:v>0</x:v>
      </x:c>
      <x:c r="H767">
        <x:f>ROUND($C767*10*VLOOKUP($B767,Sheet2!$J$5:$K$7,2,FALSE)*VLOOKUP(Sheet1!$A767,Sheet2!$B$5:$H$29,7,FALSE),0)</x:f>
        <x:v>460</x:v>
      </x:c>
      <x:c r="I767">
        <x:f t="shared" si="12"/>
        <x:v>20460</x:v>
      </x:c>
    </x:row>
    <x:row r="768" spans="1:9" x14ac:dyDescent="0.15">
      <x:c r="A768">
        <x:v>54005</x:v>
      </x:c>
      <x:c r="B768">
        <x:v>1</x:v>
      </x:c>
      <x:c r="C768">
        <x:v>47</x:v>
      </x:c>
      <x:c r="D768">
        <x:f>ROUND($C768*10*VLOOKUP($B768,Sheet2!$J$5:$K$7,2,FALSE)*VLOOKUP(Sheet1!$A768,Sheet2!$B$5:$H$29,3,FALSE),0)</x:f>
        <x:v>282</x:v>
      </x:c>
      <x:c r="E768">
        <x:f>ROUND($C768*10*VLOOKUP($B768,Sheet2!$J$5:$K$7,2,FALSE)*VLOOKUP(Sheet1!$A768,Sheet2!$B$5:$H$29,4,FALSE),0)</x:f>
        <x:v>0</x:v>
      </x:c>
      <x:c r="F768">
        <x:f>ROUND($C768*10*VLOOKUP($B768,Sheet2!$J$5:$K$7,2,FALSE)*VLOOKUP(Sheet1!$A768,Sheet2!$B$5:$H$29,5,FALSE),0)</x:f>
        <x:v>0</x:v>
      </x:c>
      <x:c r="G768">
        <x:f>ROUND($C768*10*VLOOKUP($B768,Sheet2!$J$5:$K$7,2,FALSE)*VLOOKUP(Sheet1!$A768,Sheet2!$B$5:$H$29,6,FALSE),0)</x:f>
        <x:v>0</x:v>
      </x:c>
      <x:c r="H768">
        <x:f>ROUND($C768*10*VLOOKUP($B768,Sheet2!$J$5:$K$7,2,FALSE)*VLOOKUP(Sheet1!$A768,Sheet2!$B$5:$H$29,7,FALSE),0)</x:f>
        <x:v>470</x:v>
      </x:c>
      <x:c r="I768">
        <x:f t="shared" si="12"/>
        <x:v>21280</x:v>
      </x:c>
    </x:row>
    <x:row r="769" spans="1:9" x14ac:dyDescent="0.15">
      <x:c r="A769">
        <x:v>54005</x:v>
      </x:c>
      <x:c r="B769">
        <x:v>1</x:v>
      </x:c>
      <x:c r="C769">
        <x:v>48</x:v>
      </x:c>
      <x:c r="D769">
        <x:f>ROUND($C769*10*VLOOKUP($B769,Sheet2!$J$5:$K$7,2,FALSE)*VLOOKUP(Sheet1!$A769,Sheet2!$B$5:$H$29,3,FALSE),0)</x:f>
        <x:v>288</x:v>
      </x:c>
      <x:c r="E769">
        <x:f>ROUND($C769*10*VLOOKUP($B769,Sheet2!$J$5:$K$7,2,FALSE)*VLOOKUP(Sheet1!$A769,Sheet2!$B$5:$H$29,4,FALSE),0)</x:f>
        <x:v>0</x:v>
      </x:c>
      <x:c r="F769">
        <x:f>ROUND($C769*10*VLOOKUP($B769,Sheet2!$J$5:$K$7,2,FALSE)*VLOOKUP(Sheet1!$A769,Sheet2!$B$5:$H$29,5,FALSE),0)</x:f>
        <x:v>0</x:v>
      </x:c>
      <x:c r="G769">
        <x:f>ROUND($C769*10*VLOOKUP($B769,Sheet2!$J$5:$K$7,2,FALSE)*VLOOKUP(Sheet1!$A769,Sheet2!$B$5:$H$29,6,FALSE),0)</x:f>
        <x:v>0</x:v>
      </x:c>
      <x:c r="H769">
        <x:f>ROUND($C769*10*VLOOKUP($B769,Sheet2!$J$5:$K$7,2,FALSE)*VLOOKUP(Sheet1!$A769,Sheet2!$B$5:$H$29,7,FALSE),0)</x:f>
        <x:v>480</x:v>
      </x:c>
      <x:c r="I769">
        <x:f t="shared" si="12"/>
        <x:v>22120</x:v>
      </x:c>
    </x:row>
    <x:row r="770" spans="1:9" x14ac:dyDescent="0.15">
      <x:c r="A770">
        <x:v>54005</x:v>
      </x:c>
      <x:c r="B770">
        <x:v>1</x:v>
      </x:c>
      <x:c r="C770">
        <x:v>49</x:v>
      </x:c>
      <x:c r="D770">
        <x:f>ROUND($C770*10*VLOOKUP($B770,Sheet2!$J$5:$K$7,2,FALSE)*VLOOKUP(Sheet1!$A770,Sheet2!$B$5:$H$29,3,FALSE),0)</x:f>
        <x:v>294</x:v>
      </x:c>
      <x:c r="E770">
        <x:f>ROUND($C770*10*VLOOKUP($B770,Sheet2!$J$5:$K$7,2,FALSE)*VLOOKUP(Sheet1!$A770,Sheet2!$B$5:$H$29,4,FALSE),0)</x:f>
        <x:v>0</x:v>
      </x:c>
      <x:c r="F770">
        <x:f>ROUND($C770*10*VLOOKUP($B770,Sheet2!$J$5:$K$7,2,FALSE)*VLOOKUP(Sheet1!$A770,Sheet2!$B$5:$H$29,5,FALSE),0)</x:f>
        <x:v>0</x:v>
      </x:c>
      <x:c r="G770">
        <x:f>ROUND($C770*10*VLOOKUP($B770,Sheet2!$J$5:$K$7,2,FALSE)*VLOOKUP(Sheet1!$A770,Sheet2!$B$5:$H$29,6,FALSE),0)</x:f>
        <x:v>0</x:v>
      </x:c>
      <x:c r="H770">
        <x:f>ROUND($C770*10*VLOOKUP($B770,Sheet2!$J$5:$K$7,2,FALSE)*VLOOKUP(Sheet1!$A770,Sheet2!$B$5:$H$29,7,FALSE),0)</x:f>
        <x:v>490</x:v>
      </x:c>
      <x:c r="I770">
        <x:f t="shared" si="12"/>
        <x:v>22970</x:v>
      </x:c>
    </x:row>
    <x:row r="771" spans="1:9" x14ac:dyDescent="0.15">
      <x:c r="A771">
        <x:v>54005</x:v>
      </x:c>
      <x:c r="B771">
        <x:v>1</x:v>
      </x:c>
      <x:c r="C771">
        <x:v>50</x:v>
      </x:c>
      <x:c r="D771">
        <x:f>ROUND($C771*10*VLOOKUP($B771,Sheet2!$J$5:$K$7,2,FALSE)*VLOOKUP(Sheet1!$A771,Sheet2!$B$5:$H$29,3,FALSE),0)</x:f>
        <x:v>300</x:v>
      </x:c>
      <x:c r="E771">
        <x:f>ROUND($C771*10*VLOOKUP($B771,Sheet2!$J$5:$K$7,2,FALSE)*VLOOKUP(Sheet1!$A771,Sheet2!$B$5:$H$29,4,FALSE),0)</x:f>
        <x:v>0</x:v>
      </x:c>
      <x:c r="F771">
        <x:f>ROUND($C771*10*VLOOKUP($B771,Sheet2!$J$5:$K$7,2,FALSE)*VLOOKUP(Sheet1!$A771,Sheet2!$B$5:$H$29,5,FALSE),0)</x:f>
        <x:v>0</x:v>
      </x:c>
      <x:c r="G771">
        <x:f>ROUND($C771*10*VLOOKUP($B771,Sheet2!$J$5:$K$7,2,FALSE)*VLOOKUP(Sheet1!$A771,Sheet2!$B$5:$H$29,6,FALSE),0)</x:f>
        <x:v>0</x:v>
      </x:c>
      <x:c r="H771">
        <x:f>ROUND($C771*10*VLOOKUP($B771,Sheet2!$J$5:$K$7,2,FALSE)*VLOOKUP(Sheet1!$A771,Sheet2!$B$5:$H$29,7,FALSE),0)</x:f>
        <x:v>500</x:v>
      </x:c>
      <x:c r="I771">
        <x:f t="shared" si="12"/>
        <x:v>23840</x:v>
      </x:c>
    </x:row>
    <x:row r="772" spans="1:9" x14ac:dyDescent="0.15">
      <x:c r="A772">
        <x:v>54005</x:v>
      </x:c>
      <x:c r="B772">
        <x:v>1</x:v>
      </x:c>
      <x:c r="C772">
        <x:v>51</x:v>
      </x:c>
      <x:c r="D772">
        <x:f>ROUND($C772*10*VLOOKUP($B772,Sheet2!$J$5:$K$7,2,FALSE)*VLOOKUP(Sheet1!$A772,Sheet2!$B$5:$H$29,3,FALSE),0)</x:f>
        <x:v>306</x:v>
      </x:c>
      <x:c r="E772">
        <x:f>ROUND($C772*10*VLOOKUP($B772,Sheet2!$J$5:$K$7,2,FALSE)*VLOOKUP(Sheet1!$A772,Sheet2!$B$5:$H$29,4,FALSE),0)</x:f>
        <x:v>0</x:v>
      </x:c>
      <x:c r="F772">
        <x:f>ROUND($C772*10*VLOOKUP($B772,Sheet2!$J$5:$K$7,2,FALSE)*VLOOKUP(Sheet1!$A772,Sheet2!$B$5:$H$29,5,FALSE),0)</x:f>
        <x:v>0</x:v>
      </x:c>
      <x:c r="G772">
        <x:f>ROUND($C772*10*VLOOKUP($B772,Sheet2!$J$5:$K$7,2,FALSE)*VLOOKUP(Sheet1!$A772,Sheet2!$B$5:$H$29,6,FALSE),0)</x:f>
        <x:v>0</x:v>
      </x:c>
      <x:c r="H772">
        <x:f>ROUND($C772*10*VLOOKUP($B772,Sheet2!$J$5:$K$7,2,FALSE)*VLOOKUP(Sheet1!$A772,Sheet2!$B$5:$H$29,7,FALSE),0)</x:f>
        <x:v>510</x:v>
      </x:c>
      <x:c r="I772">
        <x:f t="shared" si="12"/>
        <x:v>24720</x:v>
      </x:c>
    </x:row>
    <x:row r="773" spans="1:9" x14ac:dyDescent="0.15">
      <x:c r="A773">
        <x:v>54005</x:v>
      </x:c>
      <x:c r="B773">
        <x:v>1</x:v>
      </x:c>
      <x:c r="C773">
        <x:v>52</x:v>
      </x:c>
      <x:c r="D773">
        <x:f>ROUND($C773*10*VLOOKUP($B773,Sheet2!$J$5:$K$7,2,FALSE)*VLOOKUP(Sheet1!$A773,Sheet2!$B$5:$H$29,3,FALSE),0)</x:f>
        <x:v>312</x:v>
      </x:c>
      <x:c r="E773">
        <x:f>ROUND($C773*10*VLOOKUP($B773,Sheet2!$J$5:$K$7,2,FALSE)*VLOOKUP(Sheet1!$A773,Sheet2!$B$5:$H$29,4,FALSE),0)</x:f>
        <x:v>0</x:v>
      </x:c>
      <x:c r="F773">
        <x:f>ROUND($C773*10*VLOOKUP($B773,Sheet2!$J$5:$K$7,2,FALSE)*VLOOKUP(Sheet1!$A773,Sheet2!$B$5:$H$29,5,FALSE),0)</x:f>
        <x:v>0</x:v>
      </x:c>
      <x:c r="G773">
        <x:f>ROUND($C773*10*VLOOKUP($B773,Sheet2!$J$5:$K$7,2,FALSE)*VLOOKUP(Sheet1!$A773,Sheet2!$B$5:$H$29,6,FALSE),0)</x:f>
        <x:v>0</x:v>
      </x:c>
      <x:c r="H773">
        <x:f>ROUND($C773*10*VLOOKUP($B773,Sheet2!$J$5:$K$7,2,FALSE)*VLOOKUP(Sheet1!$A773,Sheet2!$B$5:$H$29,7,FALSE),0)</x:f>
        <x:v>520</x:v>
      </x:c>
      <x:c r="I773">
        <x:f t="shared" si="12"/>
        <x:v>25620</x:v>
      </x:c>
    </x:row>
    <x:row r="774" spans="1:9" x14ac:dyDescent="0.15">
      <x:c r="A774">
        <x:v>54005</x:v>
      </x:c>
      <x:c r="B774">
        <x:v>1</x:v>
      </x:c>
      <x:c r="C774">
        <x:v>53</x:v>
      </x:c>
      <x:c r="D774">
        <x:f>ROUND($C774*10*VLOOKUP($B774,Sheet2!$J$5:$K$7,2,FALSE)*VLOOKUP(Sheet1!$A774,Sheet2!$B$5:$H$29,3,FALSE),0)</x:f>
        <x:v>318</x:v>
      </x:c>
      <x:c r="E774">
        <x:f>ROUND($C774*10*VLOOKUP($B774,Sheet2!$J$5:$K$7,2,FALSE)*VLOOKUP(Sheet1!$A774,Sheet2!$B$5:$H$29,4,FALSE),0)</x:f>
        <x:v>0</x:v>
      </x:c>
      <x:c r="F774">
        <x:f>ROUND($C774*10*VLOOKUP($B774,Sheet2!$J$5:$K$7,2,FALSE)*VLOOKUP(Sheet1!$A774,Sheet2!$B$5:$H$29,5,FALSE),0)</x:f>
        <x:v>0</x:v>
      </x:c>
      <x:c r="G774">
        <x:f>ROUND($C774*10*VLOOKUP($B774,Sheet2!$J$5:$K$7,2,FALSE)*VLOOKUP(Sheet1!$A774,Sheet2!$B$5:$H$29,6,FALSE),0)</x:f>
        <x:v>0</x:v>
      </x:c>
      <x:c r="H774">
        <x:f>ROUND($C774*10*VLOOKUP($B774,Sheet2!$J$5:$K$7,2,FALSE)*VLOOKUP(Sheet1!$A774,Sheet2!$B$5:$H$29,7,FALSE),0)</x:f>
        <x:v>530</x:v>
      </x:c>
      <x:c r="I774">
        <x:f t="shared" si="12"/>
        <x:v>26530</x:v>
      </x:c>
    </x:row>
    <x:row r="775" spans="1:9" x14ac:dyDescent="0.15">
      <x:c r="A775">
        <x:v>54005</x:v>
      </x:c>
      <x:c r="B775">
        <x:v>1</x:v>
      </x:c>
      <x:c r="C775">
        <x:v>54</x:v>
      </x:c>
      <x:c r="D775">
        <x:f>ROUND($C775*10*VLOOKUP($B775,Sheet2!$J$5:$K$7,2,FALSE)*VLOOKUP(Sheet1!$A775,Sheet2!$B$5:$H$29,3,FALSE),0)</x:f>
        <x:v>324</x:v>
      </x:c>
      <x:c r="E775">
        <x:f>ROUND($C775*10*VLOOKUP($B775,Sheet2!$J$5:$K$7,2,FALSE)*VLOOKUP(Sheet1!$A775,Sheet2!$B$5:$H$29,4,FALSE),0)</x:f>
        <x:v>0</x:v>
      </x:c>
      <x:c r="F775">
        <x:f>ROUND($C775*10*VLOOKUP($B775,Sheet2!$J$5:$K$7,2,FALSE)*VLOOKUP(Sheet1!$A775,Sheet2!$B$5:$H$29,5,FALSE),0)</x:f>
        <x:v>0</x:v>
      </x:c>
      <x:c r="G775">
        <x:f>ROUND($C775*10*VLOOKUP($B775,Sheet2!$J$5:$K$7,2,FALSE)*VLOOKUP(Sheet1!$A775,Sheet2!$B$5:$H$29,6,FALSE),0)</x:f>
        <x:v>0</x:v>
      </x:c>
      <x:c r="H775">
        <x:f>ROUND($C775*10*VLOOKUP($B775,Sheet2!$J$5:$K$7,2,FALSE)*VLOOKUP(Sheet1!$A775,Sheet2!$B$5:$H$29,7,FALSE),0)</x:f>
        <x:v>540</x:v>
      </x:c>
      <x:c r="I775">
        <x:f t="shared" si="12"/>
        <x:v>27460</x:v>
      </x:c>
    </x:row>
    <x:row r="776" spans="1:9" x14ac:dyDescent="0.15">
      <x:c r="A776">
        <x:v>54005</x:v>
      </x:c>
      <x:c r="B776">
        <x:v>1</x:v>
      </x:c>
      <x:c r="C776">
        <x:v>55</x:v>
      </x:c>
      <x:c r="D776">
        <x:f>ROUND($C776*10*VLOOKUP($B776,Sheet2!$J$5:$K$7,2,FALSE)*VLOOKUP(Sheet1!$A776,Sheet2!$B$5:$H$29,3,FALSE),0)</x:f>
        <x:v>330</x:v>
      </x:c>
      <x:c r="E776">
        <x:f>ROUND($C776*10*VLOOKUP($B776,Sheet2!$J$5:$K$7,2,FALSE)*VLOOKUP(Sheet1!$A776,Sheet2!$B$5:$H$29,4,FALSE),0)</x:f>
        <x:v>0</x:v>
      </x:c>
      <x:c r="F776">
        <x:f>ROUND($C776*10*VLOOKUP($B776,Sheet2!$J$5:$K$7,2,FALSE)*VLOOKUP(Sheet1!$A776,Sheet2!$B$5:$H$29,5,FALSE),0)</x:f>
        <x:v>0</x:v>
      </x:c>
      <x:c r="G776">
        <x:f>ROUND($C776*10*VLOOKUP($B776,Sheet2!$J$5:$K$7,2,FALSE)*VLOOKUP(Sheet1!$A776,Sheet2!$B$5:$H$29,6,FALSE),0)</x:f>
        <x:v>0</x:v>
      </x:c>
      <x:c r="H776">
        <x:f>ROUND($C776*10*VLOOKUP($B776,Sheet2!$J$5:$K$7,2,FALSE)*VLOOKUP(Sheet1!$A776,Sheet2!$B$5:$H$29,7,FALSE),0)</x:f>
        <x:v>550</x:v>
      </x:c>
      <x:c r="I776">
        <x:f t="shared" si="12"/>
        <x:v>28390</x:v>
      </x:c>
    </x:row>
    <x:row r="777" spans="1:9" x14ac:dyDescent="0.15">
      <x:c r="A777">
        <x:v>54005</x:v>
      </x:c>
      <x:c r="B777">
        <x:v>1</x:v>
      </x:c>
      <x:c r="C777">
        <x:v>56</x:v>
      </x:c>
      <x:c r="D777">
        <x:f>ROUND($C777*10*VLOOKUP($B777,Sheet2!$J$5:$K$7,2,FALSE)*VLOOKUP(Sheet1!$A777,Sheet2!$B$5:$H$29,3,FALSE),0)</x:f>
        <x:v>336</x:v>
      </x:c>
      <x:c r="E777">
        <x:f>ROUND($C777*10*VLOOKUP($B777,Sheet2!$J$5:$K$7,2,FALSE)*VLOOKUP(Sheet1!$A777,Sheet2!$B$5:$H$29,4,FALSE),0)</x:f>
        <x:v>0</x:v>
      </x:c>
      <x:c r="F777">
        <x:f>ROUND($C777*10*VLOOKUP($B777,Sheet2!$J$5:$K$7,2,FALSE)*VLOOKUP(Sheet1!$A777,Sheet2!$B$5:$H$29,5,FALSE),0)</x:f>
        <x:v>0</x:v>
      </x:c>
      <x:c r="G777">
        <x:f>ROUND($C777*10*VLOOKUP($B777,Sheet2!$J$5:$K$7,2,FALSE)*VLOOKUP(Sheet1!$A777,Sheet2!$B$5:$H$29,6,FALSE),0)</x:f>
        <x:v>0</x:v>
      </x:c>
      <x:c r="H777">
        <x:f>ROUND($C777*10*VLOOKUP($B777,Sheet2!$J$5:$K$7,2,FALSE)*VLOOKUP(Sheet1!$A777,Sheet2!$B$5:$H$29,7,FALSE),0)</x:f>
        <x:v>560</x:v>
      </x:c>
      <x:c r="I777">
        <x:f t="shared" si="12"/>
        <x:v>29350</x:v>
      </x:c>
    </x:row>
    <x:row r="778" spans="1:9" x14ac:dyDescent="0.15">
      <x:c r="A778">
        <x:v>54005</x:v>
      </x:c>
      <x:c r="B778">
        <x:v>1</x:v>
      </x:c>
      <x:c r="C778">
        <x:v>57</x:v>
      </x:c>
      <x:c r="D778">
        <x:f>ROUND($C778*10*VLOOKUP($B778,Sheet2!$J$5:$K$7,2,FALSE)*VLOOKUP(Sheet1!$A778,Sheet2!$B$5:$H$29,3,FALSE),0)</x:f>
        <x:v>342</x:v>
      </x:c>
      <x:c r="E778">
        <x:f>ROUND($C778*10*VLOOKUP($B778,Sheet2!$J$5:$K$7,2,FALSE)*VLOOKUP(Sheet1!$A778,Sheet2!$B$5:$H$29,4,FALSE),0)</x:f>
        <x:v>0</x:v>
      </x:c>
      <x:c r="F778">
        <x:f>ROUND($C778*10*VLOOKUP($B778,Sheet2!$J$5:$K$7,2,FALSE)*VLOOKUP(Sheet1!$A778,Sheet2!$B$5:$H$29,5,FALSE),0)</x:f>
        <x:v>0</x:v>
      </x:c>
      <x:c r="G778">
        <x:f>ROUND($C778*10*VLOOKUP($B778,Sheet2!$J$5:$K$7,2,FALSE)*VLOOKUP(Sheet1!$A778,Sheet2!$B$5:$H$29,6,FALSE),0)</x:f>
        <x:v>0</x:v>
      </x:c>
      <x:c r="H778">
        <x:f>ROUND($C778*10*VLOOKUP($B778,Sheet2!$J$5:$K$7,2,FALSE)*VLOOKUP(Sheet1!$A778,Sheet2!$B$5:$H$29,7,FALSE),0)</x:f>
        <x:v>570</x:v>
      </x:c>
      <x:c r="I778">
        <x:f t="shared" si="12"/>
        <x:v>30310</x:v>
      </x:c>
    </x:row>
    <x:row r="779" spans="1:9" x14ac:dyDescent="0.15">
      <x:c r="A779">
        <x:v>54005</x:v>
      </x:c>
      <x:c r="B779">
        <x:v>1</x:v>
      </x:c>
      <x:c r="C779">
        <x:v>58</x:v>
      </x:c>
      <x:c r="D779">
        <x:f>ROUND($C779*10*VLOOKUP($B779,Sheet2!$J$5:$K$7,2,FALSE)*VLOOKUP(Sheet1!$A779,Sheet2!$B$5:$H$29,3,FALSE),0)</x:f>
        <x:v>348</x:v>
      </x:c>
      <x:c r="E779">
        <x:f>ROUND($C779*10*VLOOKUP($B779,Sheet2!$J$5:$K$7,2,FALSE)*VLOOKUP(Sheet1!$A779,Sheet2!$B$5:$H$29,4,FALSE),0)</x:f>
        <x:v>0</x:v>
      </x:c>
      <x:c r="F779">
        <x:f>ROUND($C779*10*VLOOKUP($B779,Sheet2!$J$5:$K$7,2,FALSE)*VLOOKUP(Sheet1!$A779,Sheet2!$B$5:$H$29,5,FALSE),0)</x:f>
        <x:v>0</x:v>
      </x:c>
      <x:c r="G779">
        <x:f>ROUND($C779*10*VLOOKUP($B779,Sheet2!$J$5:$K$7,2,FALSE)*VLOOKUP(Sheet1!$A779,Sheet2!$B$5:$H$29,6,FALSE),0)</x:f>
        <x:v>0</x:v>
      </x:c>
      <x:c r="H779">
        <x:f>ROUND($C779*10*VLOOKUP($B779,Sheet2!$J$5:$K$7,2,FALSE)*VLOOKUP(Sheet1!$A779,Sheet2!$B$5:$H$29,7,FALSE),0)</x:f>
        <x:v>580</x:v>
      </x:c>
      <x:c r="I779">
        <x:f t="shared" si="12"/>
        <x:v>31290</x:v>
      </x:c>
    </x:row>
    <x:row r="780" spans="1:9" x14ac:dyDescent="0.15">
      <x:c r="A780">
        <x:v>54005</x:v>
      </x:c>
      <x:c r="B780">
        <x:v>1</x:v>
      </x:c>
      <x:c r="C780">
        <x:v>59</x:v>
      </x:c>
      <x:c r="D780">
        <x:f>ROUND($C780*10*VLOOKUP($B780,Sheet2!$J$5:$K$7,2,FALSE)*VLOOKUP(Sheet1!$A780,Sheet2!$B$5:$H$29,3,FALSE),0)</x:f>
        <x:v>354</x:v>
      </x:c>
      <x:c r="E780">
        <x:f>ROUND($C780*10*VLOOKUP($B780,Sheet2!$J$5:$K$7,2,FALSE)*VLOOKUP(Sheet1!$A780,Sheet2!$B$5:$H$29,4,FALSE),0)</x:f>
        <x:v>0</x:v>
      </x:c>
      <x:c r="F780">
        <x:f>ROUND($C780*10*VLOOKUP($B780,Sheet2!$J$5:$K$7,2,FALSE)*VLOOKUP(Sheet1!$A780,Sheet2!$B$5:$H$29,5,FALSE),0)</x:f>
        <x:v>0</x:v>
      </x:c>
      <x:c r="G780">
        <x:f>ROUND($C780*10*VLOOKUP($B780,Sheet2!$J$5:$K$7,2,FALSE)*VLOOKUP(Sheet1!$A780,Sheet2!$B$5:$H$29,6,FALSE),0)</x:f>
        <x:v>0</x:v>
      </x:c>
      <x:c r="H780">
        <x:f>ROUND($C780*10*VLOOKUP($B780,Sheet2!$J$5:$K$7,2,FALSE)*VLOOKUP(Sheet1!$A780,Sheet2!$B$5:$H$29,7,FALSE),0)</x:f>
        <x:v>590</x:v>
      </x:c>
      <x:c r="I780">
        <x:f t="shared" si="12"/>
        <x:v>32290</x:v>
      </x:c>
    </x:row>
    <x:row r="781" spans="1:9" x14ac:dyDescent="0.15">
      <x:c r="A781">
        <x:v>54005</x:v>
      </x:c>
      <x:c r="B781">
        <x:v>1</x:v>
      </x:c>
      <x:c r="C781">
        <x:v>60</x:v>
      </x:c>
      <x:c r="D781">
        <x:f>ROUND($C781*10*VLOOKUP($B781,Sheet2!$J$5:$K$7,2,FALSE)*VLOOKUP(Sheet1!$A781,Sheet2!$B$5:$H$29,3,FALSE),0)</x:f>
        <x:v>360</x:v>
      </x:c>
      <x:c r="E781">
        <x:f>ROUND($C781*10*VLOOKUP($B781,Sheet2!$J$5:$K$7,2,FALSE)*VLOOKUP(Sheet1!$A781,Sheet2!$B$5:$H$29,4,FALSE),0)</x:f>
        <x:v>0</x:v>
      </x:c>
      <x:c r="F781">
        <x:f>ROUND($C781*10*VLOOKUP($B781,Sheet2!$J$5:$K$7,2,FALSE)*VLOOKUP(Sheet1!$A781,Sheet2!$B$5:$H$29,5,FALSE),0)</x:f>
        <x:v>0</x:v>
      </x:c>
      <x:c r="G781">
        <x:f>ROUND($C781*10*VLOOKUP($B781,Sheet2!$J$5:$K$7,2,FALSE)*VLOOKUP(Sheet1!$A781,Sheet2!$B$5:$H$29,6,FALSE),0)</x:f>
        <x:v>0</x:v>
      </x:c>
      <x:c r="H781">
        <x:f>ROUND($C781*10*VLOOKUP($B781,Sheet2!$J$5:$K$7,2,FALSE)*VLOOKUP(Sheet1!$A781,Sheet2!$B$5:$H$29,7,FALSE),0)</x:f>
        <x:v>600</x:v>
      </x:c>
      <x:c r="I781">
        <x:f t="shared" si="12"/>
        <x:v>33290</x:v>
      </x:c>
    </x:row>
    <x:row r="782" spans="1:9" x14ac:dyDescent="0.15">
      <x:c r="A782">
        <x:v>54005</x:v>
      </x:c>
      <x:c r="B782">
        <x:v>2</x:v>
      </x:c>
      <x:c r="C782">
        <x:v>1</x:v>
      </x:c>
      <x:c r="D782">
        <x:f>ROUND($C782*10*VLOOKUP($B782,Sheet2!$J$5:$K$7,2,FALSE)*VLOOKUP(Sheet1!$A782,Sheet2!$B$5:$H$29,3,FALSE),0)</x:f>
        <x:v>7</x:v>
      </x:c>
      <x:c r="E782">
        <x:f>ROUND($C782*10*VLOOKUP($B782,Sheet2!$J$5:$K$7,2,FALSE)*VLOOKUP(Sheet1!$A782,Sheet2!$B$5:$H$29,4,FALSE),0)</x:f>
        <x:v>0</x:v>
      </x:c>
      <x:c r="F782">
        <x:f>ROUND($C782*10*VLOOKUP($B782,Sheet2!$J$5:$K$7,2,FALSE)*VLOOKUP(Sheet1!$A782,Sheet2!$B$5:$H$29,5,FALSE),0)</x:f>
        <x:v>0</x:v>
      </x:c>
      <x:c r="G782">
        <x:f>ROUND($C782*10*VLOOKUP($B782,Sheet2!$J$5:$K$7,2,FALSE)*VLOOKUP(Sheet1!$A782,Sheet2!$B$5:$H$29,6,FALSE),0)</x:f>
        <x:v>0</x:v>
      </x:c>
      <x:c r="H782">
        <x:f>ROUND($C782*10*VLOOKUP($B782,Sheet2!$J$5:$K$7,2,FALSE)*VLOOKUP(Sheet1!$A782,Sheet2!$B$5:$H$29,7,FALSE),0)</x:f>
        <x:v>12</x:v>
      </x:c>
      <x:c r="I782">
        <x:f t="shared" ref="I782:I841" si="13">ROUND(1.2*10*3.5*(C782-1)^1.8+60,-1)</x:f>
        <x:v>60</x:v>
      </x:c>
    </x:row>
    <x:row r="783" spans="1:9" x14ac:dyDescent="0.15">
      <x:c r="A783">
        <x:v>54005</x:v>
      </x:c>
      <x:c r="B783">
        <x:v>2</x:v>
      </x:c>
      <x:c r="C783">
        <x:v>2</x:v>
      </x:c>
      <x:c r="D783">
        <x:f>ROUND($C783*10*VLOOKUP($B783,Sheet2!$J$5:$K$7,2,FALSE)*VLOOKUP(Sheet1!$A783,Sheet2!$B$5:$H$29,3,FALSE),0)</x:f>
        <x:v>14</x:v>
      </x:c>
      <x:c r="E783">
        <x:f>ROUND($C783*10*VLOOKUP($B783,Sheet2!$J$5:$K$7,2,FALSE)*VLOOKUP(Sheet1!$A783,Sheet2!$B$5:$H$29,4,FALSE),0)</x:f>
        <x:v>0</x:v>
      </x:c>
      <x:c r="F783">
        <x:f>ROUND($C783*10*VLOOKUP($B783,Sheet2!$J$5:$K$7,2,FALSE)*VLOOKUP(Sheet1!$A783,Sheet2!$B$5:$H$29,5,FALSE),0)</x:f>
        <x:v>0</x:v>
      </x:c>
      <x:c r="G783">
        <x:f>ROUND($C783*10*VLOOKUP($B783,Sheet2!$J$5:$K$7,2,FALSE)*VLOOKUP(Sheet1!$A783,Sheet2!$B$5:$H$29,6,FALSE),0)</x:f>
        <x:v>0</x:v>
      </x:c>
      <x:c r="H783">
        <x:f>ROUND($C783*10*VLOOKUP($B783,Sheet2!$J$5:$K$7,2,FALSE)*VLOOKUP(Sheet1!$A783,Sheet2!$B$5:$H$29,7,FALSE),0)</x:f>
        <x:v>24</x:v>
      </x:c>
      <x:c r="I783">
        <x:f t="shared" si="13"/>
        <x:v>100</x:v>
      </x:c>
    </x:row>
    <x:row r="784" spans="1:9" x14ac:dyDescent="0.15">
      <x:c r="A784">
        <x:v>54005</x:v>
      </x:c>
      <x:c r="B784">
        <x:v>2</x:v>
      </x:c>
      <x:c r="C784">
        <x:v>3</x:v>
      </x:c>
      <x:c r="D784">
        <x:f>ROUND($C784*10*VLOOKUP($B784,Sheet2!$J$5:$K$7,2,FALSE)*VLOOKUP(Sheet1!$A784,Sheet2!$B$5:$H$29,3,FALSE),0)</x:f>
        <x:v>22</x:v>
      </x:c>
      <x:c r="E784">
        <x:f>ROUND($C784*10*VLOOKUP($B784,Sheet2!$J$5:$K$7,2,FALSE)*VLOOKUP(Sheet1!$A784,Sheet2!$B$5:$H$29,4,FALSE),0)</x:f>
        <x:v>0</x:v>
      </x:c>
      <x:c r="F784">
        <x:f>ROUND($C784*10*VLOOKUP($B784,Sheet2!$J$5:$K$7,2,FALSE)*VLOOKUP(Sheet1!$A784,Sheet2!$B$5:$H$29,5,FALSE),0)</x:f>
        <x:v>0</x:v>
      </x:c>
      <x:c r="G784">
        <x:f>ROUND($C784*10*VLOOKUP($B784,Sheet2!$J$5:$K$7,2,FALSE)*VLOOKUP(Sheet1!$A784,Sheet2!$B$5:$H$29,6,FALSE),0)</x:f>
        <x:v>0</x:v>
      </x:c>
      <x:c r="H784">
        <x:f>ROUND($C784*10*VLOOKUP($B784,Sheet2!$J$5:$K$7,2,FALSE)*VLOOKUP(Sheet1!$A784,Sheet2!$B$5:$H$29,7,FALSE),0)</x:f>
        <x:v>36</x:v>
      </x:c>
      <x:c r="I784">
        <x:f t="shared" si="13"/>
        <x:v>210</x:v>
      </x:c>
    </x:row>
    <x:row r="785" spans="1:9" x14ac:dyDescent="0.15">
      <x:c r="A785">
        <x:v>54005</x:v>
      </x:c>
      <x:c r="B785">
        <x:v>2</x:v>
      </x:c>
      <x:c r="C785">
        <x:v>4</x:v>
      </x:c>
      <x:c r="D785">
        <x:f>ROUND($C785*10*VLOOKUP($B785,Sheet2!$J$5:$K$7,2,FALSE)*VLOOKUP(Sheet1!$A785,Sheet2!$B$5:$H$29,3,FALSE),0)</x:f>
        <x:v>29</x:v>
      </x:c>
      <x:c r="E785">
        <x:f>ROUND($C785*10*VLOOKUP($B785,Sheet2!$J$5:$K$7,2,FALSE)*VLOOKUP(Sheet1!$A785,Sheet2!$B$5:$H$29,4,FALSE),0)</x:f>
        <x:v>0</x:v>
      </x:c>
      <x:c r="F785">
        <x:f>ROUND($C785*10*VLOOKUP($B785,Sheet2!$J$5:$K$7,2,FALSE)*VLOOKUP(Sheet1!$A785,Sheet2!$B$5:$H$29,5,FALSE),0)</x:f>
        <x:v>0</x:v>
      </x:c>
      <x:c r="G785">
        <x:f>ROUND($C785*10*VLOOKUP($B785,Sheet2!$J$5:$K$7,2,FALSE)*VLOOKUP(Sheet1!$A785,Sheet2!$B$5:$H$29,6,FALSE),0)</x:f>
        <x:v>0</x:v>
      </x:c>
      <x:c r="H785">
        <x:f>ROUND($C785*10*VLOOKUP($B785,Sheet2!$J$5:$K$7,2,FALSE)*VLOOKUP(Sheet1!$A785,Sheet2!$B$5:$H$29,7,FALSE),0)</x:f>
        <x:v>48</x:v>
      </x:c>
      <x:c r="I785">
        <x:f t="shared" si="13"/>
        <x:v>360</x:v>
      </x:c>
    </x:row>
    <x:row r="786" spans="1:9" x14ac:dyDescent="0.15">
      <x:c r="A786">
        <x:v>54005</x:v>
      </x:c>
      <x:c r="B786">
        <x:v>2</x:v>
      </x:c>
      <x:c r="C786">
        <x:v>5</x:v>
      </x:c>
      <x:c r="D786">
        <x:f>ROUND($C786*10*VLOOKUP($B786,Sheet2!$J$5:$K$7,2,FALSE)*VLOOKUP(Sheet1!$A786,Sheet2!$B$5:$H$29,3,FALSE),0)</x:f>
        <x:v>36</x:v>
      </x:c>
      <x:c r="E786">
        <x:f>ROUND($C786*10*VLOOKUP($B786,Sheet2!$J$5:$K$7,2,FALSE)*VLOOKUP(Sheet1!$A786,Sheet2!$B$5:$H$29,4,FALSE),0)</x:f>
        <x:v>0</x:v>
      </x:c>
      <x:c r="F786">
        <x:f>ROUND($C786*10*VLOOKUP($B786,Sheet2!$J$5:$K$7,2,FALSE)*VLOOKUP(Sheet1!$A786,Sheet2!$B$5:$H$29,5,FALSE),0)</x:f>
        <x:v>0</x:v>
      </x:c>
      <x:c r="G786">
        <x:f>ROUND($C786*10*VLOOKUP($B786,Sheet2!$J$5:$K$7,2,FALSE)*VLOOKUP(Sheet1!$A786,Sheet2!$B$5:$H$29,6,FALSE),0)</x:f>
        <x:v>0</x:v>
      </x:c>
      <x:c r="H786">
        <x:f>ROUND($C786*10*VLOOKUP($B786,Sheet2!$J$5:$K$7,2,FALSE)*VLOOKUP(Sheet1!$A786,Sheet2!$B$5:$H$29,7,FALSE),0)</x:f>
        <x:v>60</x:v>
      </x:c>
      <x:c r="I786">
        <x:f t="shared" si="13"/>
        <x:v>570</x:v>
      </x:c>
    </x:row>
    <x:row r="787" spans="1:9" x14ac:dyDescent="0.15">
      <x:c r="A787">
        <x:v>54005</x:v>
      </x:c>
      <x:c r="B787">
        <x:v>2</x:v>
      </x:c>
      <x:c r="C787">
        <x:v>6</x:v>
      </x:c>
      <x:c r="D787">
        <x:f>ROUND($C787*10*VLOOKUP($B787,Sheet2!$J$5:$K$7,2,FALSE)*VLOOKUP(Sheet1!$A787,Sheet2!$B$5:$H$29,3,FALSE),0)</x:f>
        <x:v>43</x:v>
      </x:c>
      <x:c r="E787">
        <x:f>ROUND($C787*10*VLOOKUP($B787,Sheet2!$J$5:$K$7,2,FALSE)*VLOOKUP(Sheet1!$A787,Sheet2!$B$5:$H$29,4,FALSE),0)</x:f>
        <x:v>0</x:v>
      </x:c>
      <x:c r="F787">
        <x:f>ROUND($C787*10*VLOOKUP($B787,Sheet2!$J$5:$K$7,2,FALSE)*VLOOKUP(Sheet1!$A787,Sheet2!$B$5:$H$29,5,FALSE),0)</x:f>
        <x:v>0</x:v>
      </x:c>
      <x:c r="G787">
        <x:f>ROUND($C787*10*VLOOKUP($B787,Sheet2!$J$5:$K$7,2,FALSE)*VLOOKUP(Sheet1!$A787,Sheet2!$B$5:$H$29,6,FALSE),0)</x:f>
        <x:v>0</x:v>
      </x:c>
      <x:c r="H787">
        <x:f>ROUND($C787*10*VLOOKUP($B787,Sheet2!$J$5:$K$7,2,FALSE)*VLOOKUP(Sheet1!$A787,Sheet2!$B$5:$H$29,7,FALSE),0)</x:f>
        <x:v>72</x:v>
      </x:c>
      <x:c r="I787">
        <x:f t="shared" si="13"/>
        <x:v>820</x:v>
      </x:c>
    </x:row>
    <x:row r="788" spans="1:9" x14ac:dyDescent="0.15">
      <x:c r="A788">
        <x:v>54005</x:v>
      </x:c>
      <x:c r="B788">
        <x:v>2</x:v>
      </x:c>
      <x:c r="C788">
        <x:v>7</x:v>
      </x:c>
      <x:c r="D788">
        <x:f>ROUND($C788*10*VLOOKUP($B788,Sheet2!$J$5:$K$7,2,FALSE)*VLOOKUP(Sheet1!$A788,Sheet2!$B$5:$H$29,3,FALSE),0)</x:f>
        <x:v>50</x:v>
      </x:c>
      <x:c r="E788">
        <x:f>ROUND($C788*10*VLOOKUP($B788,Sheet2!$J$5:$K$7,2,FALSE)*VLOOKUP(Sheet1!$A788,Sheet2!$B$5:$H$29,4,FALSE),0)</x:f>
        <x:v>0</x:v>
      </x:c>
      <x:c r="F788">
        <x:f>ROUND($C788*10*VLOOKUP($B788,Sheet2!$J$5:$K$7,2,FALSE)*VLOOKUP(Sheet1!$A788,Sheet2!$B$5:$H$29,5,FALSE),0)</x:f>
        <x:v>0</x:v>
      </x:c>
      <x:c r="G788">
        <x:f>ROUND($C788*10*VLOOKUP($B788,Sheet2!$J$5:$K$7,2,FALSE)*VLOOKUP(Sheet1!$A788,Sheet2!$B$5:$H$29,6,FALSE),0)</x:f>
        <x:v>0</x:v>
      </x:c>
      <x:c r="H788">
        <x:f>ROUND($C788*10*VLOOKUP($B788,Sheet2!$J$5:$K$7,2,FALSE)*VLOOKUP(Sheet1!$A788,Sheet2!$B$5:$H$29,7,FALSE),0)</x:f>
        <x:v>84</x:v>
      </x:c>
      <x:c r="I788">
        <x:f t="shared" si="13"/>
        <x:v>1120</x:v>
      </x:c>
    </x:row>
    <x:row r="789" spans="1:9" x14ac:dyDescent="0.15">
      <x:c r="A789">
        <x:v>54005</x:v>
      </x:c>
      <x:c r="B789">
        <x:v>2</x:v>
      </x:c>
      <x:c r="C789">
        <x:v>8</x:v>
      </x:c>
      <x:c r="D789">
        <x:f>ROUND($C789*10*VLOOKUP($B789,Sheet2!$J$5:$K$7,2,FALSE)*VLOOKUP(Sheet1!$A789,Sheet2!$B$5:$H$29,3,FALSE),0)</x:f>
        <x:v>58</x:v>
      </x:c>
      <x:c r="E789">
        <x:f>ROUND($C789*10*VLOOKUP($B789,Sheet2!$J$5:$K$7,2,FALSE)*VLOOKUP(Sheet1!$A789,Sheet2!$B$5:$H$29,4,FALSE),0)</x:f>
        <x:v>0</x:v>
      </x:c>
      <x:c r="F789">
        <x:f>ROUND($C789*10*VLOOKUP($B789,Sheet2!$J$5:$K$7,2,FALSE)*VLOOKUP(Sheet1!$A789,Sheet2!$B$5:$H$29,5,FALSE),0)</x:f>
        <x:v>0</x:v>
      </x:c>
      <x:c r="G789">
        <x:f>ROUND($C789*10*VLOOKUP($B789,Sheet2!$J$5:$K$7,2,FALSE)*VLOOKUP(Sheet1!$A789,Sheet2!$B$5:$H$29,6,FALSE),0)</x:f>
        <x:v>0</x:v>
      </x:c>
      <x:c r="H789">
        <x:f>ROUND($C789*10*VLOOKUP($B789,Sheet2!$J$5:$K$7,2,FALSE)*VLOOKUP(Sheet1!$A789,Sheet2!$B$5:$H$29,7,FALSE),0)</x:f>
        <x:v>96</x:v>
      </x:c>
      <x:c r="I789">
        <x:f t="shared" si="13"/>
        <x:v>1450</x:v>
      </x:c>
    </x:row>
    <x:row r="790" spans="1:9" x14ac:dyDescent="0.15">
      <x:c r="A790">
        <x:v>54005</x:v>
      </x:c>
      <x:c r="B790">
        <x:v>2</x:v>
      </x:c>
      <x:c r="C790">
        <x:v>9</x:v>
      </x:c>
      <x:c r="D790">
        <x:f>ROUND($C790*10*VLOOKUP($B790,Sheet2!$J$5:$K$7,2,FALSE)*VLOOKUP(Sheet1!$A790,Sheet2!$B$5:$H$29,3,FALSE),0)</x:f>
        <x:v>65</x:v>
      </x:c>
      <x:c r="E790">
        <x:f>ROUND($C790*10*VLOOKUP($B790,Sheet2!$J$5:$K$7,2,FALSE)*VLOOKUP(Sheet1!$A790,Sheet2!$B$5:$H$29,4,FALSE),0)</x:f>
        <x:v>0</x:v>
      </x:c>
      <x:c r="F790">
        <x:f>ROUND($C790*10*VLOOKUP($B790,Sheet2!$J$5:$K$7,2,FALSE)*VLOOKUP(Sheet1!$A790,Sheet2!$B$5:$H$29,5,FALSE),0)</x:f>
        <x:v>0</x:v>
      </x:c>
      <x:c r="G790">
        <x:f>ROUND($C790*10*VLOOKUP($B790,Sheet2!$J$5:$K$7,2,FALSE)*VLOOKUP(Sheet1!$A790,Sheet2!$B$5:$H$29,6,FALSE),0)</x:f>
        <x:v>0</x:v>
      </x:c>
      <x:c r="H790">
        <x:f>ROUND($C790*10*VLOOKUP($B790,Sheet2!$J$5:$K$7,2,FALSE)*VLOOKUP(Sheet1!$A790,Sheet2!$B$5:$H$29,7,FALSE),0)</x:f>
        <x:v>108</x:v>
      </x:c>
      <x:c r="I790">
        <x:f t="shared" si="13"/>
        <x:v>1830</x:v>
      </x:c>
    </x:row>
    <x:row r="791" spans="1:9" x14ac:dyDescent="0.15">
      <x:c r="A791">
        <x:v>54005</x:v>
      </x:c>
      <x:c r="B791">
        <x:v>2</x:v>
      </x:c>
      <x:c r="C791">
        <x:v>10</x:v>
      </x:c>
      <x:c r="D791">
        <x:f>ROUND($C791*10*VLOOKUP($B791,Sheet2!$J$5:$K$7,2,FALSE)*VLOOKUP(Sheet1!$A791,Sheet2!$B$5:$H$29,3,FALSE),0)</x:f>
        <x:v>72</x:v>
      </x:c>
      <x:c r="E791">
        <x:f>ROUND($C791*10*VLOOKUP($B791,Sheet2!$J$5:$K$7,2,FALSE)*VLOOKUP(Sheet1!$A791,Sheet2!$B$5:$H$29,4,FALSE),0)</x:f>
        <x:v>0</x:v>
      </x:c>
      <x:c r="F791">
        <x:f>ROUND($C791*10*VLOOKUP($B791,Sheet2!$J$5:$K$7,2,FALSE)*VLOOKUP(Sheet1!$A791,Sheet2!$B$5:$H$29,5,FALSE),0)</x:f>
        <x:v>0</x:v>
      </x:c>
      <x:c r="G791">
        <x:f>ROUND($C791*10*VLOOKUP($B791,Sheet2!$J$5:$K$7,2,FALSE)*VLOOKUP(Sheet1!$A791,Sheet2!$B$5:$H$29,6,FALSE),0)</x:f>
        <x:v>0</x:v>
      </x:c>
      <x:c r="H791">
        <x:f>ROUND($C791*10*VLOOKUP($B791,Sheet2!$J$5:$K$7,2,FALSE)*VLOOKUP(Sheet1!$A791,Sheet2!$B$5:$H$29,7,FALSE),0)</x:f>
        <x:v>120</x:v>
      </x:c>
      <x:c r="I791">
        <x:f t="shared" si="13"/>
        <x:v>2250</x:v>
      </x:c>
    </x:row>
    <x:row r="792" spans="1:9" x14ac:dyDescent="0.15">
      <x:c r="A792">
        <x:v>54005</x:v>
      </x:c>
      <x:c r="B792">
        <x:v>2</x:v>
      </x:c>
      <x:c r="C792">
        <x:v>11</x:v>
      </x:c>
      <x:c r="D792">
        <x:f>ROUND($C792*10*VLOOKUP($B792,Sheet2!$J$5:$K$7,2,FALSE)*VLOOKUP(Sheet1!$A792,Sheet2!$B$5:$H$29,3,FALSE),0)</x:f>
        <x:v>79</x:v>
      </x:c>
      <x:c r="E792">
        <x:f>ROUND($C792*10*VLOOKUP($B792,Sheet2!$J$5:$K$7,2,FALSE)*VLOOKUP(Sheet1!$A792,Sheet2!$B$5:$H$29,4,FALSE),0)</x:f>
        <x:v>0</x:v>
      </x:c>
      <x:c r="F792">
        <x:f>ROUND($C792*10*VLOOKUP($B792,Sheet2!$J$5:$K$7,2,FALSE)*VLOOKUP(Sheet1!$A792,Sheet2!$B$5:$H$29,5,FALSE),0)</x:f>
        <x:v>0</x:v>
      </x:c>
      <x:c r="G792">
        <x:f>ROUND($C792*10*VLOOKUP($B792,Sheet2!$J$5:$K$7,2,FALSE)*VLOOKUP(Sheet1!$A792,Sheet2!$B$5:$H$29,6,FALSE),0)</x:f>
        <x:v>0</x:v>
      </x:c>
      <x:c r="H792">
        <x:f>ROUND($C792*10*VLOOKUP($B792,Sheet2!$J$5:$K$7,2,FALSE)*VLOOKUP(Sheet1!$A792,Sheet2!$B$5:$H$29,7,FALSE),0)</x:f>
        <x:v>132</x:v>
      </x:c>
      <x:c r="I792">
        <x:f t="shared" si="13"/>
        <x:v>2710</x:v>
      </x:c>
    </x:row>
    <x:row r="793" spans="1:9" x14ac:dyDescent="0.15">
      <x:c r="A793">
        <x:v>54005</x:v>
      </x:c>
      <x:c r="B793">
        <x:v>2</x:v>
      </x:c>
      <x:c r="C793">
        <x:v>12</x:v>
      </x:c>
      <x:c r="D793">
        <x:f>ROUND($C793*10*VLOOKUP($B793,Sheet2!$J$5:$K$7,2,FALSE)*VLOOKUP(Sheet1!$A793,Sheet2!$B$5:$H$29,3,FALSE),0)</x:f>
        <x:v>86</x:v>
      </x:c>
      <x:c r="E793">
        <x:f>ROUND($C793*10*VLOOKUP($B793,Sheet2!$J$5:$K$7,2,FALSE)*VLOOKUP(Sheet1!$A793,Sheet2!$B$5:$H$29,4,FALSE),0)</x:f>
        <x:v>0</x:v>
      </x:c>
      <x:c r="F793">
        <x:f>ROUND($C793*10*VLOOKUP($B793,Sheet2!$J$5:$K$7,2,FALSE)*VLOOKUP(Sheet1!$A793,Sheet2!$B$5:$H$29,5,FALSE),0)</x:f>
        <x:v>0</x:v>
      </x:c>
      <x:c r="G793">
        <x:f>ROUND($C793*10*VLOOKUP($B793,Sheet2!$J$5:$K$7,2,FALSE)*VLOOKUP(Sheet1!$A793,Sheet2!$B$5:$H$29,6,FALSE),0)</x:f>
        <x:v>0</x:v>
      </x:c>
      <x:c r="H793">
        <x:f>ROUND($C793*10*VLOOKUP($B793,Sheet2!$J$5:$K$7,2,FALSE)*VLOOKUP(Sheet1!$A793,Sheet2!$B$5:$H$29,7,FALSE),0)</x:f>
        <x:v>144</x:v>
      </x:c>
      <x:c r="I793">
        <x:f t="shared" si="13"/>
        <x:v>3210</x:v>
      </x:c>
    </x:row>
    <x:row r="794" spans="1:9" x14ac:dyDescent="0.15">
      <x:c r="A794">
        <x:v>54005</x:v>
      </x:c>
      <x:c r="B794">
        <x:v>2</x:v>
      </x:c>
      <x:c r="C794">
        <x:v>13</x:v>
      </x:c>
      <x:c r="D794">
        <x:f>ROUND($C794*10*VLOOKUP($B794,Sheet2!$J$5:$K$7,2,FALSE)*VLOOKUP(Sheet1!$A794,Sheet2!$B$5:$H$29,3,FALSE),0)</x:f>
        <x:v>94</x:v>
      </x:c>
      <x:c r="E794">
        <x:f>ROUND($C794*10*VLOOKUP($B794,Sheet2!$J$5:$K$7,2,FALSE)*VLOOKUP(Sheet1!$A794,Sheet2!$B$5:$H$29,4,FALSE),0)</x:f>
        <x:v>0</x:v>
      </x:c>
      <x:c r="F794">
        <x:f>ROUND($C794*10*VLOOKUP($B794,Sheet2!$J$5:$K$7,2,FALSE)*VLOOKUP(Sheet1!$A794,Sheet2!$B$5:$H$29,5,FALSE),0)</x:f>
        <x:v>0</x:v>
      </x:c>
      <x:c r="G794">
        <x:f>ROUND($C794*10*VLOOKUP($B794,Sheet2!$J$5:$K$7,2,FALSE)*VLOOKUP(Sheet1!$A794,Sheet2!$B$5:$H$29,6,FALSE),0)</x:f>
        <x:v>0</x:v>
      </x:c>
      <x:c r="H794">
        <x:f>ROUND($C794*10*VLOOKUP($B794,Sheet2!$J$5:$K$7,2,FALSE)*VLOOKUP(Sheet1!$A794,Sheet2!$B$5:$H$29,7,FALSE),0)</x:f>
        <x:v>156</x:v>
      </x:c>
      <x:c r="I794">
        <x:f t="shared" si="13"/>
        <x:v>3740</x:v>
      </x:c>
    </x:row>
    <x:row r="795" spans="1:9" x14ac:dyDescent="0.15">
      <x:c r="A795">
        <x:v>54005</x:v>
      </x:c>
      <x:c r="B795">
        <x:v>2</x:v>
      </x:c>
      <x:c r="C795">
        <x:v>14</x:v>
      </x:c>
      <x:c r="D795">
        <x:f>ROUND($C795*10*VLOOKUP($B795,Sheet2!$J$5:$K$7,2,FALSE)*VLOOKUP(Sheet1!$A795,Sheet2!$B$5:$H$29,3,FALSE),0)</x:f>
        <x:v>101</x:v>
      </x:c>
      <x:c r="E795">
        <x:f>ROUND($C795*10*VLOOKUP($B795,Sheet2!$J$5:$K$7,2,FALSE)*VLOOKUP(Sheet1!$A795,Sheet2!$B$5:$H$29,4,FALSE),0)</x:f>
        <x:v>0</x:v>
      </x:c>
      <x:c r="F795">
        <x:f>ROUND($C795*10*VLOOKUP($B795,Sheet2!$J$5:$K$7,2,FALSE)*VLOOKUP(Sheet1!$A795,Sheet2!$B$5:$H$29,5,FALSE),0)</x:f>
        <x:v>0</x:v>
      </x:c>
      <x:c r="G795">
        <x:f>ROUND($C795*10*VLOOKUP($B795,Sheet2!$J$5:$K$7,2,FALSE)*VLOOKUP(Sheet1!$A795,Sheet2!$B$5:$H$29,6,FALSE),0)</x:f>
        <x:v>0</x:v>
      </x:c>
      <x:c r="H795">
        <x:f>ROUND($C795*10*VLOOKUP($B795,Sheet2!$J$5:$K$7,2,FALSE)*VLOOKUP(Sheet1!$A795,Sheet2!$B$5:$H$29,7,FALSE),0)</x:f>
        <x:v>168</x:v>
      </x:c>
      <x:c r="I795">
        <x:f t="shared" si="13"/>
        <x:v>4310</x:v>
      </x:c>
    </x:row>
    <x:row r="796" spans="1:9" x14ac:dyDescent="0.15">
      <x:c r="A796">
        <x:v>54005</x:v>
      </x:c>
      <x:c r="B796">
        <x:v>2</x:v>
      </x:c>
      <x:c r="C796">
        <x:v>15</x:v>
      </x:c>
      <x:c r="D796">
        <x:f>ROUND($C796*10*VLOOKUP($B796,Sheet2!$J$5:$K$7,2,FALSE)*VLOOKUP(Sheet1!$A796,Sheet2!$B$5:$H$29,3,FALSE),0)</x:f>
        <x:v>108</x:v>
      </x:c>
      <x:c r="E796">
        <x:f>ROUND($C796*10*VLOOKUP($B796,Sheet2!$J$5:$K$7,2,FALSE)*VLOOKUP(Sheet1!$A796,Sheet2!$B$5:$H$29,4,FALSE),0)</x:f>
        <x:v>0</x:v>
      </x:c>
      <x:c r="F796">
        <x:f>ROUND($C796*10*VLOOKUP($B796,Sheet2!$J$5:$K$7,2,FALSE)*VLOOKUP(Sheet1!$A796,Sheet2!$B$5:$H$29,5,FALSE),0)</x:f>
        <x:v>0</x:v>
      </x:c>
      <x:c r="G796">
        <x:f>ROUND($C796*10*VLOOKUP($B796,Sheet2!$J$5:$K$7,2,FALSE)*VLOOKUP(Sheet1!$A796,Sheet2!$B$5:$H$29,6,FALSE),0)</x:f>
        <x:v>0</x:v>
      </x:c>
      <x:c r="H796">
        <x:f>ROUND($C796*10*VLOOKUP($B796,Sheet2!$J$5:$K$7,2,FALSE)*VLOOKUP(Sheet1!$A796,Sheet2!$B$5:$H$29,7,FALSE),0)</x:f>
        <x:v>180</x:v>
      </x:c>
      <x:c r="I796">
        <x:f t="shared" si="13"/>
        <x:v>4920</x:v>
      </x:c>
    </x:row>
    <x:row r="797" spans="1:9" x14ac:dyDescent="0.15">
      <x:c r="A797">
        <x:v>54005</x:v>
      </x:c>
      <x:c r="B797">
        <x:v>2</x:v>
      </x:c>
      <x:c r="C797">
        <x:v>16</x:v>
      </x:c>
      <x:c r="D797">
        <x:f>ROUND($C797*10*VLOOKUP($B797,Sheet2!$J$5:$K$7,2,FALSE)*VLOOKUP(Sheet1!$A797,Sheet2!$B$5:$H$29,3,FALSE),0)</x:f>
        <x:v>115</x:v>
      </x:c>
      <x:c r="E797">
        <x:f>ROUND($C797*10*VLOOKUP($B797,Sheet2!$J$5:$K$7,2,FALSE)*VLOOKUP(Sheet1!$A797,Sheet2!$B$5:$H$29,4,FALSE),0)</x:f>
        <x:v>0</x:v>
      </x:c>
      <x:c r="F797">
        <x:f>ROUND($C797*10*VLOOKUP($B797,Sheet2!$J$5:$K$7,2,FALSE)*VLOOKUP(Sheet1!$A797,Sheet2!$B$5:$H$29,5,FALSE),0)</x:f>
        <x:v>0</x:v>
      </x:c>
      <x:c r="G797">
        <x:f>ROUND($C797*10*VLOOKUP($B797,Sheet2!$J$5:$K$7,2,FALSE)*VLOOKUP(Sheet1!$A797,Sheet2!$B$5:$H$29,6,FALSE),0)</x:f>
        <x:v>0</x:v>
      </x:c>
      <x:c r="H797">
        <x:f>ROUND($C797*10*VLOOKUP($B797,Sheet2!$J$5:$K$7,2,FALSE)*VLOOKUP(Sheet1!$A797,Sheet2!$B$5:$H$29,7,FALSE),0)</x:f>
        <x:v>192</x:v>
      </x:c>
      <x:c r="I797">
        <x:f t="shared" si="13"/>
        <x:v>5560</x:v>
      </x:c>
    </x:row>
    <x:row r="798" spans="1:9" x14ac:dyDescent="0.15">
      <x:c r="A798">
        <x:v>54005</x:v>
      </x:c>
      <x:c r="B798">
        <x:v>2</x:v>
      </x:c>
      <x:c r="C798">
        <x:v>17</x:v>
      </x:c>
      <x:c r="D798">
        <x:f>ROUND($C798*10*VLOOKUP($B798,Sheet2!$J$5:$K$7,2,FALSE)*VLOOKUP(Sheet1!$A798,Sheet2!$B$5:$H$29,3,FALSE),0)</x:f>
        <x:v>122</x:v>
      </x:c>
      <x:c r="E798">
        <x:f>ROUND($C798*10*VLOOKUP($B798,Sheet2!$J$5:$K$7,2,FALSE)*VLOOKUP(Sheet1!$A798,Sheet2!$B$5:$H$29,4,FALSE),0)</x:f>
        <x:v>0</x:v>
      </x:c>
      <x:c r="F798">
        <x:f>ROUND($C798*10*VLOOKUP($B798,Sheet2!$J$5:$K$7,2,FALSE)*VLOOKUP(Sheet1!$A798,Sheet2!$B$5:$H$29,5,FALSE),0)</x:f>
        <x:v>0</x:v>
      </x:c>
      <x:c r="G798">
        <x:f>ROUND($C798*10*VLOOKUP($B798,Sheet2!$J$5:$K$7,2,FALSE)*VLOOKUP(Sheet1!$A798,Sheet2!$B$5:$H$29,6,FALSE),0)</x:f>
        <x:v>0</x:v>
      </x:c>
      <x:c r="H798">
        <x:f>ROUND($C798*10*VLOOKUP($B798,Sheet2!$J$5:$K$7,2,FALSE)*VLOOKUP(Sheet1!$A798,Sheet2!$B$5:$H$29,7,FALSE),0)</x:f>
        <x:v>204</x:v>
      </x:c>
      <x:c r="I798">
        <x:f t="shared" si="13"/>
        <x:v>6240</x:v>
      </x:c>
    </x:row>
    <x:row r="799" spans="1:9" x14ac:dyDescent="0.15">
      <x:c r="A799">
        <x:v>54005</x:v>
      </x:c>
      <x:c r="B799">
        <x:v>2</x:v>
      </x:c>
      <x:c r="C799">
        <x:v>18</x:v>
      </x:c>
      <x:c r="D799">
        <x:f>ROUND($C799*10*VLOOKUP($B799,Sheet2!$J$5:$K$7,2,FALSE)*VLOOKUP(Sheet1!$A799,Sheet2!$B$5:$H$29,3,FALSE),0)</x:f>
        <x:v>130</x:v>
      </x:c>
      <x:c r="E799">
        <x:f>ROUND($C799*10*VLOOKUP($B799,Sheet2!$J$5:$K$7,2,FALSE)*VLOOKUP(Sheet1!$A799,Sheet2!$B$5:$H$29,4,FALSE),0)</x:f>
        <x:v>0</x:v>
      </x:c>
      <x:c r="F799">
        <x:f>ROUND($C799*10*VLOOKUP($B799,Sheet2!$J$5:$K$7,2,FALSE)*VLOOKUP(Sheet1!$A799,Sheet2!$B$5:$H$29,5,FALSE),0)</x:f>
        <x:v>0</x:v>
      </x:c>
      <x:c r="G799">
        <x:f>ROUND($C799*10*VLOOKUP($B799,Sheet2!$J$5:$K$7,2,FALSE)*VLOOKUP(Sheet1!$A799,Sheet2!$B$5:$H$29,6,FALSE),0)</x:f>
        <x:v>0</x:v>
      </x:c>
      <x:c r="H799">
        <x:f>ROUND($C799*10*VLOOKUP($B799,Sheet2!$J$5:$K$7,2,FALSE)*VLOOKUP(Sheet1!$A799,Sheet2!$B$5:$H$29,7,FALSE),0)</x:f>
        <x:v>216</x:v>
      </x:c>
      <x:c r="I799">
        <x:f t="shared" si="13"/>
        <x:v>6950</x:v>
      </x:c>
    </x:row>
    <x:row r="800" spans="1:9" x14ac:dyDescent="0.15">
      <x:c r="A800">
        <x:v>54005</x:v>
      </x:c>
      <x:c r="B800">
        <x:v>2</x:v>
      </x:c>
      <x:c r="C800">
        <x:v>19</x:v>
      </x:c>
      <x:c r="D800">
        <x:f>ROUND($C800*10*VLOOKUP($B800,Sheet2!$J$5:$K$7,2,FALSE)*VLOOKUP(Sheet1!$A800,Sheet2!$B$5:$H$29,3,FALSE),0)</x:f>
        <x:v>137</x:v>
      </x:c>
      <x:c r="E800">
        <x:f>ROUND($C800*10*VLOOKUP($B800,Sheet2!$J$5:$K$7,2,FALSE)*VLOOKUP(Sheet1!$A800,Sheet2!$B$5:$H$29,4,FALSE),0)</x:f>
        <x:v>0</x:v>
      </x:c>
      <x:c r="F800">
        <x:f>ROUND($C800*10*VLOOKUP($B800,Sheet2!$J$5:$K$7,2,FALSE)*VLOOKUP(Sheet1!$A800,Sheet2!$B$5:$H$29,5,FALSE),0)</x:f>
        <x:v>0</x:v>
      </x:c>
      <x:c r="G800">
        <x:f>ROUND($C800*10*VLOOKUP($B800,Sheet2!$J$5:$K$7,2,FALSE)*VLOOKUP(Sheet1!$A800,Sheet2!$B$5:$H$29,6,FALSE),0)</x:f>
        <x:v>0</x:v>
      </x:c>
      <x:c r="H800">
        <x:f>ROUND($C800*10*VLOOKUP($B800,Sheet2!$J$5:$K$7,2,FALSE)*VLOOKUP(Sheet1!$A800,Sheet2!$B$5:$H$29,7,FALSE),0)</x:f>
        <x:v>228</x:v>
      </x:c>
      <x:c r="I800">
        <x:f t="shared" si="13"/>
        <x:v>7690</x:v>
      </x:c>
    </x:row>
    <x:row r="801" spans="1:9" x14ac:dyDescent="0.15">
      <x:c r="A801">
        <x:v>54005</x:v>
      </x:c>
      <x:c r="B801">
        <x:v>2</x:v>
      </x:c>
      <x:c r="C801">
        <x:v>20</x:v>
      </x:c>
      <x:c r="D801">
        <x:f>ROUND($C801*10*VLOOKUP($B801,Sheet2!$J$5:$K$7,2,FALSE)*VLOOKUP(Sheet1!$A801,Sheet2!$B$5:$H$29,3,FALSE),0)</x:f>
        <x:v>144</x:v>
      </x:c>
      <x:c r="E801">
        <x:f>ROUND($C801*10*VLOOKUP($B801,Sheet2!$J$5:$K$7,2,FALSE)*VLOOKUP(Sheet1!$A801,Sheet2!$B$5:$H$29,4,FALSE),0)</x:f>
        <x:v>0</x:v>
      </x:c>
      <x:c r="F801">
        <x:f>ROUND($C801*10*VLOOKUP($B801,Sheet2!$J$5:$K$7,2,FALSE)*VLOOKUP(Sheet1!$A801,Sheet2!$B$5:$H$29,5,FALSE),0)</x:f>
        <x:v>0</x:v>
      </x:c>
      <x:c r="G801">
        <x:f>ROUND($C801*10*VLOOKUP($B801,Sheet2!$J$5:$K$7,2,FALSE)*VLOOKUP(Sheet1!$A801,Sheet2!$B$5:$H$29,6,FALSE),0)</x:f>
        <x:v>0</x:v>
      </x:c>
      <x:c r="H801">
        <x:f>ROUND($C801*10*VLOOKUP($B801,Sheet2!$J$5:$K$7,2,FALSE)*VLOOKUP(Sheet1!$A801,Sheet2!$B$5:$H$29,7,FALSE),0)</x:f>
        <x:v>240</x:v>
      </x:c>
      <x:c r="I801">
        <x:f t="shared" si="13"/>
        <x:v>8470</x:v>
      </x:c>
    </x:row>
    <x:row r="802" spans="1:9" x14ac:dyDescent="0.15">
      <x:c r="A802">
        <x:v>54005</x:v>
      </x:c>
      <x:c r="B802">
        <x:v>2</x:v>
      </x:c>
      <x:c r="C802">
        <x:v>21</x:v>
      </x:c>
      <x:c r="D802">
        <x:f>ROUND($C802*10*VLOOKUP($B802,Sheet2!$J$5:$K$7,2,FALSE)*VLOOKUP(Sheet1!$A802,Sheet2!$B$5:$H$29,3,FALSE),0)</x:f>
        <x:v>151</x:v>
      </x:c>
      <x:c r="E802">
        <x:f>ROUND($C802*10*VLOOKUP($B802,Sheet2!$J$5:$K$7,2,FALSE)*VLOOKUP(Sheet1!$A802,Sheet2!$B$5:$H$29,4,FALSE),0)</x:f>
        <x:v>0</x:v>
      </x:c>
      <x:c r="F802">
        <x:f>ROUND($C802*10*VLOOKUP($B802,Sheet2!$J$5:$K$7,2,FALSE)*VLOOKUP(Sheet1!$A802,Sheet2!$B$5:$H$29,5,FALSE),0)</x:f>
        <x:v>0</x:v>
      </x:c>
      <x:c r="G802">
        <x:f>ROUND($C802*10*VLOOKUP($B802,Sheet2!$J$5:$K$7,2,FALSE)*VLOOKUP(Sheet1!$A802,Sheet2!$B$5:$H$29,6,FALSE),0)</x:f>
        <x:v>0</x:v>
      </x:c>
      <x:c r="H802">
        <x:f>ROUND($C802*10*VLOOKUP($B802,Sheet2!$J$5:$K$7,2,FALSE)*VLOOKUP(Sheet1!$A802,Sheet2!$B$5:$H$29,7,FALSE),0)</x:f>
        <x:v>252</x:v>
      </x:c>
      <x:c r="I802">
        <x:f t="shared" si="13"/>
        <x:v>9290</x:v>
      </x:c>
    </x:row>
    <x:row r="803" spans="1:9" x14ac:dyDescent="0.15">
      <x:c r="A803">
        <x:v>54005</x:v>
      </x:c>
      <x:c r="B803">
        <x:v>2</x:v>
      </x:c>
      <x:c r="C803">
        <x:v>22</x:v>
      </x:c>
      <x:c r="D803">
        <x:f>ROUND($C803*10*VLOOKUP($B803,Sheet2!$J$5:$K$7,2,FALSE)*VLOOKUP(Sheet1!$A803,Sheet2!$B$5:$H$29,3,FALSE),0)</x:f>
        <x:v>158</x:v>
      </x:c>
      <x:c r="E803">
        <x:f>ROUND($C803*10*VLOOKUP($B803,Sheet2!$J$5:$K$7,2,FALSE)*VLOOKUP(Sheet1!$A803,Sheet2!$B$5:$H$29,4,FALSE),0)</x:f>
        <x:v>0</x:v>
      </x:c>
      <x:c r="F803">
        <x:f>ROUND($C803*10*VLOOKUP($B803,Sheet2!$J$5:$K$7,2,FALSE)*VLOOKUP(Sheet1!$A803,Sheet2!$B$5:$H$29,5,FALSE),0)</x:f>
        <x:v>0</x:v>
      </x:c>
      <x:c r="G803">
        <x:f>ROUND($C803*10*VLOOKUP($B803,Sheet2!$J$5:$K$7,2,FALSE)*VLOOKUP(Sheet1!$A803,Sheet2!$B$5:$H$29,6,FALSE),0)</x:f>
        <x:v>0</x:v>
      </x:c>
      <x:c r="H803">
        <x:f>ROUND($C803*10*VLOOKUP($B803,Sheet2!$J$5:$K$7,2,FALSE)*VLOOKUP(Sheet1!$A803,Sheet2!$B$5:$H$29,7,FALSE),0)</x:f>
        <x:v>264</x:v>
      </x:c>
      <x:c r="I803">
        <x:f t="shared" si="13"/>
        <x:v>10130</x:v>
      </x:c>
    </x:row>
    <x:row r="804" spans="1:9" x14ac:dyDescent="0.15">
      <x:c r="A804">
        <x:v>54005</x:v>
      </x:c>
      <x:c r="B804">
        <x:v>2</x:v>
      </x:c>
      <x:c r="C804">
        <x:v>23</x:v>
      </x:c>
      <x:c r="D804">
        <x:f>ROUND($C804*10*VLOOKUP($B804,Sheet2!$J$5:$K$7,2,FALSE)*VLOOKUP(Sheet1!$A804,Sheet2!$B$5:$H$29,3,FALSE),0)</x:f>
        <x:v>166</x:v>
      </x:c>
      <x:c r="E804">
        <x:f>ROUND($C804*10*VLOOKUP($B804,Sheet2!$J$5:$K$7,2,FALSE)*VLOOKUP(Sheet1!$A804,Sheet2!$B$5:$H$29,4,FALSE),0)</x:f>
        <x:v>0</x:v>
      </x:c>
      <x:c r="F804">
        <x:f>ROUND($C804*10*VLOOKUP($B804,Sheet2!$J$5:$K$7,2,FALSE)*VLOOKUP(Sheet1!$A804,Sheet2!$B$5:$H$29,5,FALSE),0)</x:f>
        <x:v>0</x:v>
      </x:c>
      <x:c r="G804">
        <x:f>ROUND($C804*10*VLOOKUP($B804,Sheet2!$J$5:$K$7,2,FALSE)*VLOOKUP(Sheet1!$A804,Sheet2!$B$5:$H$29,6,FALSE),0)</x:f>
        <x:v>0</x:v>
      </x:c>
      <x:c r="H804">
        <x:f>ROUND($C804*10*VLOOKUP($B804,Sheet2!$J$5:$K$7,2,FALSE)*VLOOKUP(Sheet1!$A804,Sheet2!$B$5:$H$29,7,FALSE),0)</x:f>
        <x:v>276</x:v>
      </x:c>
      <x:c r="I804">
        <x:f t="shared" si="13"/>
        <x:v>11010</x:v>
      </x:c>
    </x:row>
    <x:row r="805" spans="1:9" x14ac:dyDescent="0.15">
      <x:c r="A805">
        <x:v>54005</x:v>
      </x:c>
      <x:c r="B805">
        <x:v>2</x:v>
      </x:c>
      <x:c r="C805">
        <x:v>24</x:v>
      </x:c>
      <x:c r="D805">
        <x:f>ROUND($C805*10*VLOOKUP($B805,Sheet2!$J$5:$K$7,2,FALSE)*VLOOKUP(Sheet1!$A805,Sheet2!$B$5:$H$29,3,FALSE),0)</x:f>
        <x:v>173</x:v>
      </x:c>
      <x:c r="E805">
        <x:f>ROUND($C805*10*VLOOKUP($B805,Sheet2!$J$5:$K$7,2,FALSE)*VLOOKUP(Sheet1!$A805,Sheet2!$B$5:$H$29,4,FALSE),0)</x:f>
        <x:v>0</x:v>
      </x:c>
      <x:c r="F805">
        <x:f>ROUND($C805*10*VLOOKUP($B805,Sheet2!$J$5:$K$7,2,FALSE)*VLOOKUP(Sheet1!$A805,Sheet2!$B$5:$H$29,5,FALSE),0)</x:f>
        <x:v>0</x:v>
      </x:c>
      <x:c r="G805">
        <x:f>ROUND($C805*10*VLOOKUP($B805,Sheet2!$J$5:$K$7,2,FALSE)*VLOOKUP(Sheet1!$A805,Sheet2!$B$5:$H$29,6,FALSE),0)</x:f>
        <x:v>0</x:v>
      </x:c>
      <x:c r="H805">
        <x:f>ROUND($C805*10*VLOOKUP($B805,Sheet2!$J$5:$K$7,2,FALSE)*VLOOKUP(Sheet1!$A805,Sheet2!$B$5:$H$29,7,FALSE),0)</x:f>
        <x:v>288</x:v>
      </x:c>
      <x:c r="I805">
        <x:f t="shared" si="13"/>
        <x:v>11930</x:v>
      </x:c>
    </x:row>
    <x:row r="806" spans="1:9" x14ac:dyDescent="0.15">
      <x:c r="A806">
        <x:v>54005</x:v>
      </x:c>
      <x:c r="B806">
        <x:v>2</x:v>
      </x:c>
      <x:c r="C806">
        <x:v>25</x:v>
      </x:c>
      <x:c r="D806">
        <x:f>ROUND($C806*10*VLOOKUP($B806,Sheet2!$J$5:$K$7,2,FALSE)*VLOOKUP(Sheet1!$A806,Sheet2!$B$5:$H$29,3,FALSE),0)</x:f>
        <x:v>180</x:v>
      </x:c>
      <x:c r="E806">
        <x:f>ROUND($C806*10*VLOOKUP($B806,Sheet2!$J$5:$K$7,2,FALSE)*VLOOKUP(Sheet1!$A806,Sheet2!$B$5:$H$29,4,FALSE),0)</x:f>
        <x:v>0</x:v>
      </x:c>
      <x:c r="F806">
        <x:f>ROUND($C806*10*VLOOKUP($B806,Sheet2!$J$5:$K$7,2,FALSE)*VLOOKUP(Sheet1!$A806,Sheet2!$B$5:$H$29,5,FALSE),0)</x:f>
        <x:v>0</x:v>
      </x:c>
      <x:c r="G806">
        <x:f>ROUND($C806*10*VLOOKUP($B806,Sheet2!$J$5:$K$7,2,FALSE)*VLOOKUP(Sheet1!$A806,Sheet2!$B$5:$H$29,6,FALSE),0)</x:f>
        <x:v>0</x:v>
      </x:c>
      <x:c r="H806">
        <x:f>ROUND($C806*10*VLOOKUP($B806,Sheet2!$J$5:$K$7,2,FALSE)*VLOOKUP(Sheet1!$A806,Sheet2!$B$5:$H$29,7,FALSE),0)</x:f>
        <x:v>300</x:v>
      </x:c>
      <x:c r="I806">
        <x:f t="shared" si="13"/>
        <x:v>12870</x:v>
      </x:c>
    </x:row>
    <x:row r="807" spans="1:9" x14ac:dyDescent="0.15">
      <x:c r="A807">
        <x:v>54005</x:v>
      </x:c>
      <x:c r="B807">
        <x:v>2</x:v>
      </x:c>
      <x:c r="C807">
        <x:v>26</x:v>
      </x:c>
      <x:c r="D807">
        <x:f>ROUND($C807*10*VLOOKUP($B807,Sheet2!$J$5:$K$7,2,FALSE)*VLOOKUP(Sheet1!$A807,Sheet2!$B$5:$H$29,3,FALSE),0)</x:f>
        <x:v>187</x:v>
      </x:c>
      <x:c r="E807">
        <x:f>ROUND($C807*10*VLOOKUP($B807,Sheet2!$J$5:$K$7,2,FALSE)*VLOOKUP(Sheet1!$A807,Sheet2!$B$5:$H$29,4,FALSE),0)</x:f>
        <x:v>0</x:v>
      </x:c>
      <x:c r="F807">
        <x:f>ROUND($C807*10*VLOOKUP($B807,Sheet2!$J$5:$K$7,2,FALSE)*VLOOKUP(Sheet1!$A807,Sheet2!$B$5:$H$29,5,FALSE),0)</x:f>
        <x:v>0</x:v>
      </x:c>
      <x:c r="G807">
        <x:f>ROUND($C807*10*VLOOKUP($B807,Sheet2!$J$5:$K$7,2,FALSE)*VLOOKUP(Sheet1!$A807,Sheet2!$B$5:$H$29,6,FALSE),0)</x:f>
        <x:v>0</x:v>
      </x:c>
      <x:c r="H807">
        <x:f>ROUND($C807*10*VLOOKUP($B807,Sheet2!$J$5:$K$7,2,FALSE)*VLOOKUP(Sheet1!$A807,Sheet2!$B$5:$H$29,7,FALSE),0)</x:f>
        <x:v>312</x:v>
      </x:c>
      <x:c r="I807">
        <x:f t="shared" si="13"/>
        <x:v>13850</x:v>
      </x:c>
    </x:row>
    <x:row r="808" spans="1:9" x14ac:dyDescent="0.15">
      <x:c r="A808">
        <x:v>54005</x:v>
      </x:c>
      <x:c r="B808">
        <x:v>2</x:v>
      </x:c>
      <x:c r="C808">
        <x:v>27</x:v>
      </x:c>
      <x:c r="D808">
        <x:f>ROUND($C808*10*VLOOKUP($B808,Sheet2!$J$5:$K$7,2,FALSE)*VLOOKUP(Sheet1!$A808,Sheet2!$B$5:$H$29,3,FALSE),0)</x:f>
        <x:v>194</x:v>
      </x:c>
      <x:c r="E808">
        <x:f>ROUND($C808*10*VLOOKUP($B808,Sheet2!$J$5:$K$7,2,FALSE)*VLOOKUP(Sheet1!$A808,Sheet2!$B$5:$H$29,4,FALSE),0)</x:f>
        <x:v>0</x:v>
      </x:c>
      <x:c r="F808">
        <x:f>ROUND($C808*10*VLOOKUP($B808,Sheet2!$J$5:$K$7,2,FALSE)*VLOOKUP(Sheet1!$A808,Sheet2!$B$5:$H$29,5,FALSE),0)</x:f>
        <x:v>0</x:v>
      </x:c>
      <x:c r="G808">
        <x:f>ROUND($C808*10*VLOOKUP($B808,Sheet2!$J$5:$K$7,2,FALSE)*VLOOKUP(Sheet1!$A808,Sheet2!$B$5:$H$29,6,FALSE),0)</x:f>
        <x:v>0</x:v>
      </x:c>
      <x:c r="H808">
        <x:f>ROUND($C808*10*VLOOKUP($B808,Sheet2!$J$5:$K$7,2,FALSE)*VLOOKUP(Sheet1!$A808,Sheet2!$B$5:$H$29,7,FALSE),0)</x:f>
        <x:v>324</x:v>
      </x:c>
      <x:c r="I808">
        <x:f t="shared" si="13"/>
        <x:v>14860</x:v>
      </x:c>
    </x:row>
    <x:row r="809" spans="1:9" x14ac:dyDescent="0.15">
      <x:c r="A809">
        <x:v>54005</x:v>
      </x:c>
      <x:c r="B809">
        <x:v>2</x:v>
      </x:c>
      <x:c r="C809">
        <x:v>28</x:v>
      </x:c>
      <x:c r="D809">
        <x:f>ROUND($C809*10*VLOOKUP($B809,Sheet2!$J$5:$K$7,2,FALSE)*VLOOKUP(Sheet1!$A809,Sheet2!$B$5:$H$29,3,FALSE),0)</x:f>
        <x:v>202</x:v>
      </x:c>
      <x:c r="E809">
        <x:f>ROUND($C809*10*VLOOKUP($B809,Sheet2!$J$5:$K$7,2,FALSE)*VLOOKUP(Sheet1!$A809,Sheet2!$B$5:$H$29,4,FALSE),0)</x:f>
        <x:v>0</x:v>
      </x:c>
      <x:c r="F809">
        <x:f>ROUND($C809*10*VLOOKUP($B809,Sheet2!$J$5:$K$7,2,FALSE)*VLOOKUP(Sheet1!$A809,Sheet2!$B$5:$H$29,5,FALSE),0)</x:f>
        <x:v>0</x:v>
      </x:c>
      <x:c r="G809">
        <x:f>ROUND($C809*10*VLOOKUP($B809,Sheet2!$J$5:$K$7,2,FALSE)*VLOOKUP(Sheet1!$A809,Sheet2!$B$5:$H$29,6,FALSE),0)</x:f>
        <x:v>0</x:v>
      </x:c>
      <x:c r="H809">
        <x:f>ROUND($C809*10*VLOOKUP($B809,Sheet2!$J$5:$K$7,2,FALSE)*VLOOKUP(Sheet1!$A809,Sheet2!$B$5:$H$29,7,FALSE),0)</x:f>
        <x:v>336</x:v>
      </x:c>
      <x:c r="I809">
        <x:f t="shared" si="13"/>
        <x:v>15900</x:v>
      </x:c>
    </x:row>
    <x:row r="810" spans="1:9" x14ac:dyDescent="0.15">
      <x:c r="A810">
        <x:v>54005</x:v>
      </x:c>
      <x:c r="B810">
        <x:v>2</x:v>
      </x:c>
      <x:c r="C810">
        <x:v>29</x:v>
      </x:c>
      <x:c r="D810">
        <x:f>ROUND($C810*10*VLOOKUP($B810,Sheet2!$J$5:$K$7,2,FALSE)*VLOOKUP(Sheet1!$A810,Sheet2!$B$5:$H$29,3,FALSE),0)</x:f>
        <x:v>209</x:v>
      </x:c>
      <x:c r="E810">
        <x:f>ROUND($C810*10*VLOOKUP($B810,Sheet2!$J$5:$K$7,2,FALSE)*VLOOKUP(Sheet1!$A810,Sheet2!$B$5:$H$29,4,FALSE),0)</x:f>
        <x:v>0</x:v>
      </x:c>
      <x:c r="F810">
        <x:f>ROUND($C810*10*VLOOKUP($B810,Sheet2!$J$5:$K$7,2,FALSE)*VLOOKUP(Sheet1!$A810,Sheet2!$B$5:$H$29,5,FALSE),0)</x:f>
        <x:v>0</x:v>
      </x:c>
      <x:c r="G810">
        <x:f>ROUND($C810*10*VLOOKUP($B810,Sheet2!$J$5:$K$7,2,FALSE)*VLOOKUP(Sheet1!$A810,Sheet2!$B$5:$H$29,6,FALSE),0)</x:f>
        <x:v>0</x:v>
      </x:c>
      <x:c r="H810">
        <x:f>ROUND($C810*10*VLOOKUP($B810,Sheet2!$J$5:$K$7,2,FALSE)*VLOOKUP(Sheet1!$A810,Sheet2!$B$5:$H$29,7,FALSE),0)</x:f>
        <x:v>348</x:v>
      </x:c>
      <x:c r="I810">
        <x:f t="shared" si="13"/>
        <x:v>16970</x:v>
      </x:c>
    </x:row>
    <x:row r="811" spans="1:9" x14ac:dyDescent="0.15">
      <x:c r="A811">
        <x:v>54005</x:v>
      </x:c>
      <x:c r="B811">
        <x:v>2</x:v>
      </x:c>
      <x:c r="C811">
        <x:v>30</x:v>
      </x:c>
      <x:c r="D811">
        <x:f>ROUND($C811*10*VLOOKUP($B811,Sheet2!$J$5:$K$7,2,FALSE)*VLOOKUP(Sheet1!$A811,Sheet2!$B$5:$H$29,3,FALSE),0)</x:f>
        <x:v>216</x:v>
      </x:c>
      <x:c r="E811">
        <x:f>ROUND($C811*10*VLOOKUP($B811,Sheet2!$J$5:$K$7,2,FALSE)*VLOOKUP(Sheet1!$A811,Sheet2!$B$5:$H$29,4,FALSE),0)</x:f>
        <x:v>0</x:v>
      </x:c>
      <x:c r="F811">
        <x:f>ROUND($C811*10*VLOOKUP($B811,Sheet2!$J$5:$K$7,2,FALSE)*VLOOKUP(Sheet1!$A811,Sheet2!$B$5:$H$29,5,FALSE),0)</x:f>
        <x:v>0</x:v>
      </x:c>
      <x:c r="G811">
        <x:f>ROUND($C811*10*VLOOKUP($B811,Sheet2!$J$5:$K$7,2,FALSE)*VLOOKUP(Sheet1!$A811,Sheet2!$B$5:$H$29,6,FALSE),0)</x:f>
        <x:v>0</x:v>
      </x:c>
      <x:c r="H811">
        <x:f>ROUND($C811*10*VLOOKUP($B811,Sheet2!$J$5:$K$7,2,FALSE)*VLOOKUP(Sheet1!$A811,Sheet2!$B$5:$H$29,7,FALSE),0)</x:f>
        <x:v>360</x:v>
      </x:c>
      <x:c r="I811">
        <x:f t="shared" si="13"/>
        <x:v>18070</x:v>
      </x:c>
    </x:row>
    <x:row r="812" spans="1:9" x14ac:dyDescent="0.15">
      <x:c r="A812">
        <x:v>54005</x:v>
      </x:c>
      <x:c r="B812">
        <x:v>2</x:v>
      </x:c>
      <x:c r="C812">
        <x:v>31</x:v>
      </x:c>
      <x:c r="D812">
        <x:f>ROUND($C812*10*VLOOKUP($B812,Sheet2!$J$5:$K$7,2,FALSE)*VLOOKUP(Sheet1!$A812,Sheet2!$B$5:$H$29,3,FALSE),0)</x:f>
        <x:v>223</x:v>
      </x:c>
      <x:c r="E812">
        <x:f>ROUND($C812*10*VLOOKUP($B812,Sheet2!$J$5:$K$7,2,FALSE)*VLOOKUP(Sheet1!$A812,Sheet2!$B$5:$H$29,4,FALSE),0)</x:f>
        <x:v>0</x:v>
      </x:c>
      <x:c r="F812">
        <x:f>ROUND($C812*10*VLOOKUP($B812,Sheet2!$J$5:$K$7,2,FALSE)*VLOOKUP(Sheet1!$A812,Sheet2!$B$5:$H$29,5,FALSE),0)</x:f>
        <x:v>0</x:v>
      </x:c>
      <x:c r="G812">
        <x:f>ROUND($C812*10*VLOOKUP($B812,Sheet2!$J$5:$K$7,2,FALSE)*VLOOKUP(Sheet1!$A812,Sheet2!$B$5:$H$29,6,FALSE),0)</x:f>
        <x:v>0</x:v>
      </x:c>
      <x:c r="H812">
        <x:f>ROUND($C812*10*VLOOKUP($B812,Sheet2!$J$5:$K$7,2,FALSE)*VLOOKUP(Sheet1!$A812,Sheet2!$B$5:$H$29,7,FALSE),0)</x:f>
        <x:v>372</x:v>
      </x:c>
      <x:c r="I812">
        <x:f t="shared" si="13"/>
        <x:v>19210</x:v>
      </x:c>
    </x:row>
    <x:row r="813" spans="1:9" x14ac:dyDescent="0.15">
      <x:c r="A813">
        <x:v>54005</x:v>
      </x:c>
      <x:c r="B813">
        <x:v>2</x:v>
      </x:c>
      <x:c r="C813">
        <x:v>32</x:v>
      </x:c>
      <x:c r="D813">
        <x:f>ROUND($C813*10*VLOOKUP($B813,Sheet2!$J$5:$K$7,2,FALSE)*VLOOKUP(Sheet1!$A813,Sheet2!$B$5:$H$29,3,FALSE),0)</x:f>
        <x:v>230</x:v>
      </x:c>
      <x:c r="E813">
        <x:f>ROUND($C813*10*VLOOKUP($B813,Sheet2!$J$5:$K$7,2,FALSE)*VLOOKUP(Sheet1!$A813,Sheet2!$B$5:$H$29,4,FALSE),0)</x:f>
        <x:v>0</x:v>
      </x:c>
      <x:c r="F813">
        <x:f>ROUND($C813*10*VLOOKUP($B813,Sheet2!$J$5:$K$7,2,FALSE)*VLOOKUP(Sheet1!$A813,Sheet2!$B$5:$H$29,5,FALSE),0)</x:f>
        <x:v>0</x:v>
      </x:c>
      <x:c r="G813">
        <x:f>ROUND($C813*10*VLOOKUP($B813,Sheet2!$J$5:$K$7,2,FALSE)*VLOOKUP(Sheet1!$A813,Sheet2!$B$5:$H$29,6,FALSE),0)</x:f>
        <x:v>0</x:v>
      </x:c>
      <x:c r="H813">
        <x:f>ROUND($C813*10*VLOOKUP($B813,Sheet2!$J$5:$K$7,2,FALSE)*VLOOKUP(Sheet1!$A813,Sheet2!$B$5:$H$29,7,FALSE),0)</x:f>
        <x:v>384</x:v>
      </x:c>
      <x:c r="I813">
        <x:f t="shared" si="13"/>
        <x:v>20370</x:v>
      </x:c>
    </x:row>
    <x:row r="814" spans="1:9" x14ac:dyDescent="0.15">
      <x:c r="A814">
        <x:v>54005</x:v>
      </x:c>
      <x:c r="B814">
        <x:v>2</x:v>
      </x:c>
      <x:c r="C814">
        <x:v>33</x:v>
      </x:c>
      <x:c r="D814">
        <x:f>ROUND($C814*10*VLOOKUP($B814,Sheet2!$J$5:$K$7,2,FALSE)*VLOOKUP(Sheet1!$A814,Sheet2!$B$5:$H$29,3,FALSE),0)</x:f>
        <x:v>238</x:v>
      </x:c>
      <x:c r="E814">
        <x:f>ROUND($C814*10*VLOOKUP($B814,Sheet2!$J$5:$K$7,2,FALSE)*VLOOKUP(Sheet1!$A814,Sheet2!$B$5:$H$29,4,FALSE),0)</x:f>
        <x:v>0</x:v>
      </x:c>
      <x:c r="F814">
        <x:f>ROUND($C814*10*VLOOKUP($B814,Sheet2!$J$5:$K$7,2,FALSE)*VLOOKUP(Sheet1!$A814,Sheet2!$B$5:$H$29,5,FALSE),0)</x:f>
        <x:v>0</x:v>
      </x:c>
      <x:c r="G814">
        <x:f>ROUND($C814*10*VLOOKUP($B814,Sheet2!$J$5:$K$7,2,FALSE)*VLOOKUP(Sheet1!$A814,Sheet2!$B$5:$H$29,6,FALSE),0)</x:f>
        <x:v>0</x:v>
      </x:c>
      <x:c r="H814">
        <x:f>ROUND($C814*10*VLOOKUP($B814,Sheet2!$J$5:$K$7,2,FALSE)*VLOOKUP(Sheet1!$A814,Sheet2!$B$5:$H$29,7,FALSE),0)</x:f>
        <x:v>396</x:v>
      </x:c>
      <x:c r="I814">
        <x:f t="shared" si="13"/>
        <x:v>21560</x:v>
      </x:c>
    </x:row>
    <x:row r="815" spans="1:9" x14ac:dyDescent="0.15">
      <x:c r="A815">
        <x:v>54005</x:v>
      </x:c>
      <x:c r="B815">
        <x:v>2</x:v>
      </x:c>
      <x:c r="C815">
        <x:v>34</x:v>
      </x:c>
      <x:c r="D815">
        <x:f>ROUND($C815*10*VLOOKUP($B815,Sheet2!$J$5:$K$7,2,FALSE)*VLOOKUP(Sheet1!$A815,Sheet2!$B$5:$H$29,3,FALSE),0)</x:f>
        <x:v>245</x:v>
      </x:c>
      <x:c r="E815">
        <x:f>ROUND($C815*10*VLOOKUP($B815,Sheet2!$J$5:$K$7,2,FALSE)*VLOOKUP(Sheet1!$A815,Sheet2!$B$5:$H$29,4,FALSE),0)</x:f>
        <x:v>0</x:v>
      </x:c>
      <x:c r="F815">
        <x:f>ROUND($C815*10*VLOOKUP($B815,Sheet2!$J$5:$K$7,2,FALSE)*VLOOKUP(Sheet1!$A815,Sheet2!$B$5:$H$29,5,FALSE),0)</x:f>
        <x:v>0</x:v>
      </x:c>
      <x:c r="G815">
        <x:f>ROUND($C815*10*VLOOKUP($B815,Sheet2!$J$5:$K$7,2,FALSE)*VLOOKUP(Sheet1!$A815,Sheet2!$B$5:$H$29,6,FALSE),0)</x:f>
        <x:v>0</x:v>
      </x:c>
      <x:c r="H815">
        <x:f>ROUND($C815*10*VLOOKUP($B815,Sheet2!$J$5:$K$7,2,FALSE)*VLOOKUP(Sheet1!$A815,Sheet2!$B$5:$H$29,7,FALSE),0)</x:f>
        <x:v>408</x:v>
      </x:c>
      <x:c r="I815">
        <x:f t="shared" si="13"/>
        <x:v>22790</x:v>
      </x:c>
    </x:row>
    <x:row r="816" spans="1:9" x14ac:dyDescent="0.15">
      <x:c r="A816">
        <x:v>54005</x:v>
      </x:c>
      <x:c r="B816">
        <x:v>2</x:v>
      </x:c>
      <x:c r="C816">
        <x:v>35</x:v>
      </x:c>
      <x:c r="D816">
        <x:f>ROUND($C816*10*VLOOKUP($B816,Sheet2!$J$5:$K$7,2,FALSE)*VLOOKUP(Sheet1!$A816,Sheet2!$B$5:$H$29,3,FALSE),0)</x:f>
        <x:v>252</x:v>
      </x:c>
      <x:c r="E816">
        <x:f>ROUND($C816*10*VLOOKUP($B816,Sheet2!$J$5:$K$7,2,FALSE)*VLOOKUP(Sheet1!$A816,Sheet2!$B$5:$H$29,4,FALSE),0)</x:f>
        <x:v>0</x:v>
      </x:c>
      <x:c r="F816">
        <x:f>ROUND($C816*10*VLOOKUP($B816,Sheet2!$J$5:$K$7,2,FALSE)*VLOOKUP(Sheet1!$A816,Sheet2!$B$5:$H$29,5,FALSE),0)</x:f>
        <x:v>0</x:v>
      </x:c>
      <x:c r="G816">
        <x:f>ROUND($C816*10*VLOOKUP($B816,Sheet2!$J$5:$K$7,2,FALSE)*VLOOKUP(Sheet1!$A816,Sheet2!$B$5:$H$29,6,FALSE),0)</x:f>
        <x:v>0</x:v>
      </x:c>
      <x:c r="H816">
        <x:f>ROUND($C816*10*VLOOKUP($B816,Sheet2!$J$5:$K$7,2,FALSE)*VLOOKUP(Sheet1!$A816,Sheet2!$B$5:$H$29,7,FALSE),0)</x:f>
        <x:v>420</x:v>
      </x:c>
      <x:c r="I816">
        <x:f t="shared" si="13"/>
        <x:v>24040</x:v>
      </x:c>
    </x:row>
    <x:row r="817" spans="1:9" x14ac:dyDescent="0.15">
      <x:c r="A817">
        <x:v>54005</x:v>
      </x:c>
      <x:c r="B817">
        <x:v>2</x:v>
      </x:c>
      <x:c r="C817">
        <x:v>36</x:v>
      </x:c>
      <x:c r="D817">
        <x:f>ROUND($C817*10*VLOOKUP($B817,Sheet2!$J$5:$K$7,2,FALSE)*VLOOKUP(Sheet1!$A817,Sheet2!$B$5:$H$29,3,FALSE),0)</x:f>
        <x:v>259</x:v>
      </x:c>
      <x:c r="E817">
        <x:f>ROUND($C817*10*VLOOKUP($B817,Sheet2!$J$5:$K$7,2,FALSE)*VLOOKUP(Sheet1!$A817,Sheet2!$B$5:$H$29,4,FALSE),0)</x:f>
        <x:v>0</x:v>
      </x:c>
      <x:c r="F817">
        <x:f>ROUND($C817*10*VLOOKUP($B817,Sheet2!$J$5:$K$7,2,FALSE)*VLOOKUP(Sheet1!$A817,Sheet2!$B$5:$H$29,5,FALSE),0)</x:f>
        <x:v>0</x:v>
      </x:c>
      <x:c r="G817">
        <x:f>ROUND($C817*10*VLOOKUP($B817,Sheet2!$J$5:$K$7,2,FALSE)*VLOOKUP(Sheet1!$A817,Sheet2!$B$5:$H$29,6,FALSE),0)</x:f>
        <x:v>0</x:v>
      </x:c>
      <x:c r="H817">
        <x:f>ROUND($C817*10*VLOOKUP($B817,Sheet2!$J$5:$K$7,2,FALSE)*VLOOKUP(Sheet1!$A817,Sheet2!$B$5:$H$29,7,FALSE),0)</x:f>
        <x:v>432</x:v>
      </x:c>
      <x:c r="I817">
        <x:f t="shared" si="13"/>
        <x:v>25330</x:v>
      </x:c>
    </x:row>
    <x:row r="818" spans="1:9" x14ac:dyDescent="0.15">
      <x:c r="A818">
        <x:v>54005</x:v>
      </x:c>
      <x:c r="B818">
        <x:v>2</x:v>
      </x:c>
      <x:c r="C818">
        <x:v>37</x:v>
      </x:c>
      <x:c r="D818">
        <x:f>ROUND($C818*10*VLOOKUP($B818,Sheet2!$J$5:$K$7,2,FALSE)*VLOOKUP(Sheet1!$A818,Sheet2!$B$5:$H$29,3,FALSE),0)</x:f>
        <x:v>266</x:v>
      </x:c>
      <x:c r="E818">
        <x:f>ROUND($C818*10*VLOOKUP($B818,Sheet2!$J$5:$K$7,2,FALSE)*VLOOKUP(Sheet1!$A818,Sheet2!$B$5:$H$29,4,FALSE),0)</x:f>
        <x:v>0</x:v>
      </x:c>
      <x:c r="F818">
        <x:f>ROUND($C818*10*VLOOKUP($B818,Sheet2!$J$5:$K$7,2,FALSE)*VLOOKUP(Sheet1!$A818,Sheet2!$B$5:$H$29,5,FALSE),0)</x:f>
        <x:v>0</x:v>
      </x:c>
      <x:c r="G818">
        <x:f>ROUND($C818*10*VLOOKUP($B818,Sheet2!$J$5:$K$7,2,FALSE)*VLOOKUP(Sheet1!$A818,Sheet2!$B$5:$H$29,6,FALSE),0)</x:f>
        <x:v>0</x:v>
      </x:c>
      <x:c r="H818">
        <x:f>ROUND($C818*10*VLOOKUP($B818,Sheet2!$J$5:$K$7,2,FALSE)*VLOOKUP(Sheet1!$A818,Sheet2!$B$5:$H$29,7,FALSE),0)</x:f>
        <x:v>444</x:v>
      </x:c>
      <x:c r="I818">
        <x:f t="shared" si="13"/>
        <x:v>26640</x:v>
      </x:c>
    </x:row>
    <x:row r="819" spans="1:9" x14ac:dyDescent="0.15">
      <x:c r="A819">
        <x:v>54005</x:v>
      </x:c>
      <x:c r="B819">
        <x:v>2</x:v>
      </x:c>
      <x:c r="C819">
        <x:v>38</x:v>
      </x:c>
      <x:c r="D819">
        <x:f>ROUND($C819*10*VLOOKUP($B819,Sheet2!$J$5:$K$7,2,FALSE)*VLOOKUP(Sheet1!$A819,Sheet2!$B$5:$H$29,3,FALSE),0)</x:f>
        <x:v>274</x:v>
      </x:c>
      <x:c r="E819">
        <x:f>ROUND($C819*10*VLOOKUP($B819,Sheet2!$J$5:$K$7,2,FALSE)*VLOOKUP(Sheet1!$A819,Sheet2!$B$5:$H$29,4,FALSE),0)</x:f>
        <x:v>0</x:v>
      </x:c>
      <x:c r="F819">
        <x:f>ROUND($C819*10*VLOOKUP($B819,Sheet2!$J$5:$K$7,2,FALSE)*VLOOKUP(Sheet1!$A819,Sheet2!$B$5:$H$29,5,FALSE),0)</x:f>
        <x:v>0</x:v>
      </x:c>
      <x:c r="G819">
        <x:f>ROUND($C819*10*VLOOKUP($B819,Sheet2!$J$5:$K$7,2,FALSE)*VLOOKUP(Sheet1!$A819,Sheet2!$B$5:$H$29,6,FALSE),0)</x:f>
        <x:v>0</x:v>
      </x:c>
      <x:c r="H819">
        <x:f>ROUND($C819*10*VLOOKUP($B819,Sheet2!$J$5:$K$7,2,FALSE)*VLOOKUP(Sheet1!$A819,Sheet2!$B$5:$H$29,7,FALSE),0)</x:f>
        <x:v>456</x:v>
      </x:c>
      <x:c r="I819">
        <x:f t="shared" si="13"/>
        <x:v>27990</x:v>
      </x:c>
    </x:row>
    <x:row r="820" spans="1:9" x14ac:dyDescent="0.15">
      <x:c r="A820">
        <x:v>54005</x:v>
      </x:c>
      <x:c r="B820">
        <x:v>2</x:v>
      </x:c>
      <x:c r="C820">
        <x:v>39</x:v>
      </x:c>
      <x:c r="D820">
        <x:f>ROUND($C820*10*VLOOKUP($B820,Sheet2!$J$5:$K$7,2,FALSE)*VLOOKUP(Sheet1!$A820,Sheet2!$B$5:$H$29,3,FALSE),0)</x:f>
        <x:v>281</x:v>
      </x:c>
      <x:c r="E820">
        <x:f>ROUND($C820*10*VLOOKUP($B820,Sheet2!$J$5:$K$7,2,FALSE)*VLOOKUP(Sheet1!$A820,Sheet2!$B$5:$H$29,4,FALSE),0)</x:f>
        <x:v>0</x:v>
      </x:c>
      <x:c r="F820">
        <x:f>ROUND($C820*10*VLOOKUP($B820,Sheet2!$J$5:$K$7,2,FALSE)*VLOOKUP(Sheet1!$A820,Sheet2!$B$5:$H$29,5,FALSE),0)</x:f>
        <x:v>0</x:v>
      </x:c>
      <x:c r="G820">
        <x:f>ROUND($C820*10*VLOOKUP($B820,Sheet2!$J$5:$K$7,2,FALSE)*VLOOKUP(Sheet1!$A820,Sheet2!$B$5:$H$29,6,FALSE),0)</x:f>
        <x:v>0</x:v>
      </x:c>
      <x:c r="H820">
        <x:f>ROUND($C820*10*VLOOKUP($B820,Sheet2!$J$5:$K$7,2,FALSE)*VLOOKUP(Sheet1!$A820,Sheet2!$B$5:$H$29,7,FALSE),0)</x:f>
        <x:v>468</x:v>
      </x:c>
      <x:c r="I820">
        <x:f t="shared" si="13"/>
        <x:v>29360</x:v>
      </x:c>
    </x:row>
    <x:row r="821" spans="1:9" x14ac:dyDescent="0.15">
      <x:c r="A821">
        <x:v>54005</x:v>
      </x:c>
      <x:c r="B821">
        <x:v>2</x:v>
      </x:c>
      <x:c r="C821">
        <x:v>40</x:v>
      </x:c>
      <x:c r="D821">
        <x:f>ROUND($C821*10*VLOOKUP($B821,Sheet2!$J$5:$K$7,2,FALSE)*VLOOKUP(Sheet1!$A821,Sheet2!$B$5:$H$29,3,FALSE),0)</x:f>
        <x:v>288</x:v>
      </x:c>
      <x:c r="E821">
        <x:f>ROUND($C821*10*VLOOKUP($B821,Sheet2!$J$5:$K$7,2,FALSE)*VLOOKUP(Sheet1!$A821,Sheet2!$B$5:$H$29,4,FALSE),0)</x:f>
        <x:v>0</x:v>
      </x:c>
      <x:c r="F821">
        <x:f>ROUND($C821*10*VLOOKUP($B821,Sheet2!$J$5:$K$7,2,FALSE)*VLOOKUP(Sheet1!$A821,Sheet2!$B$5:$H$29,5,FALSE),0)</x:f>
        <x:v>0</x:v>
      </x:c>
      <x:c r="G821">
        <x:f>ROUND($C821*10*VLOOKUP($B821,Sheet2!$J$5:$K$7,2,FALSE)*VLOOKUP(Sheet1!$A821,Sheet2!$B$5:$H$29,6,FALSE),0)</x:f>
        <x:v>0</x:v>
      </x:c>
      <x:c r="H821">
        <x:f>ROUND($C821*10*VLOOKUP($B821,Sheet2!$J$5:$K$7,2,FALSE)*VLOOKUP(Sheet1!$A821,Sheet2!$B$5:$H$29,7,FALSE),0)</x:f>
        <x:v>480</x:v>
      </x:c>
      <x:c r="I821">
        <x:f t="shared" si="13"/>
        <x:v>30760</x:v>
      </x:c>
    </x:row>
    <x:row r="822" spans="1:9" x14ac:dyDescent="0.15">
      <x:c r="A822">
        <x:v>54005</x:v>
      </x:c>
      <x:c r="B822">
        <x:v>2</x:v>
      </x:c>
      <x:c r="C822">
        <x:v>41</x:v>
      </x:c>
      <x:c r="D822">
        <x:f>ROUND($C822*10*VLOOKUP($B822,Sheet2!$J$5:$K$7,2,FALSE)*VLOOKUP(Sheet1!$A822,Sheet2!$B$5:$H$29,3,FALSE),0)</x:f>
        <x:v>295</x:v>
      </x:c>
      <x:c r="E822">
        <x:f>ROUND($C822*10*VLOOKUP($B822,Sheet2!$J$5:$K$7,2,FALSE)*VLOOKUP(Sheet1!$A822,Sheet2!$B$5:$H$29,4,FALSE),0)</x:f>
        <x:v>0</x:v>
      </x:c>
      <x:c r="F822">
        <x:f>ROUND($C822*10*VLOOKUP($B822,Sheet2!$J$5:$K$7,2,FALSE)*VLOOKUP(Sheet1!$A822,Sheet2!$B$5:$H$29,5,FALSE),0)</x:f>
        <x:v>0</x:v>
      </x:c>
      <x:c r="G822">
        <x:f>ROUND($C822*10*VLOOKUP($B822,Sheet2!$J$5:$K$7,2,FALSE)*VLOOKUP(Sheet1!$A822,Sheet2!$B$5:$H$29,6,FALSE),0)</x:f>
        <x:v>0</x:v>
      </x:c>
      <x:c r="H822">
        <x:f>ROUND($C822*10*VLOOKUP($B822,Sheet2!$J$5:$K$7,2,FALSE)*VLOOKUP(Sheet1!$A822,Sheet2!$B$5:$H$29,7,FALSE),0)</x:f>
        <x:v>492</x:v>
      </x:c>
      <x:c r="I822">
        <x:f t="shared" si="13"/>
        <x:v>32190</x:v>
      </x:c>
    </x:row>
    <x:row r="823" spans="1:9" x14ac:dyDescent="0.15">
      <x:c r="A823">
        <x:v>54005</x:v>
      </x:c>
      <x:c r="B823">
        <x:v>2</x:v>
      </x:c>
      <x:c r="C823">
        <x:v>42</x:v>
      </x:c>
      <x:c r="D823">
        <x:f>ROUND($C823*10*VLOOKUP($B823,Sheet2!$J$5:$K$7,2,FALSE)*VLOOKUP(Sheet1!$A823,Sheet2!$B$5:$H$29,3,FALSE),0)</x:f>
        <x:v>302</x:v>
      </x:c>
      <x:c r="E823">
        <x:f>ROUND($C823*10*VLOOKUP($B823,Sheet2!$J$5:$K$7,2,FALSE)*VLOOKUP(Sheet1!$A823,Sheet2!$B$5:$H$29,4,FALSE),0)</x:f>
        <x:v>0</x:v>
      </x:c>
      <x:c r="F823">
        <x:f>ROUND($C823*10*VLOOKUP($B823,Sheet2!$J$5:$K$7,2,FALSE)*VLOOKUP(Sheet1!$A823,Sheet2!$B$5:$H$29,5,FALSE),0)</x:f>
        <x:v>0</x:v>
      </x:c>
      <x:c r="G823">
        <x:f>ROUND($C823*10*VLOOKUP($B823,Sheet2!$J$5:$K$7,2,FALSE)*VLOOKUP(Sheet1!$A823,Sheet2!$B$5:$H$29,6,FALSE),0)</x:f>
        <x:v>0</x:v>
      </x:c>
      <x:c r="H823">
        <x:f>ROUND($C823*10*VLOOKUP($B823,Sheet2!$J$5:$K$7,2,FALSE)*VLOOKUP(Sheet1!$A823,Sheet2!$B$5:$H$29,7,FALSE),0)</x:f>
        <x:v>504</x:v>
      </x:c>
      <x:c r="I823">
        <x:f t="shared" si="13"/>
        <x:v>33650</x:v>
      </x:c>
    </x:row>
    <x:row r="824" spans="1:9" x14ac:dyDescent="0.15">
      <x:c r="A824">
        <x:v>54005</x:v>
      </x:c>
      <x:c r="B824">
        <x:v>2</x:v>
      </x:c>
      <x:c r="C824">
        <x:v>43</x:v>
      </x:c>
      <x:c r="D824">
        <x:f>ROUND($C824*10*VLOOKUP($B824,Sheet2!$J$5:$K$7,2,FALSE)*VLOOKUP(Sheet1!$A824,Sheet2!$B$5:$H$29,3,FALSE),0)</x:f>
        <x:v>310</x:v>
      </x:c>
      <x:c r="E824">
        <x:f>ROUND($C824*10*VLOOKUP($B824,Sheet2!$J$5:$K$7,2,FALSE)*VLOOKUP(Sheet1!$A824,Sheet2!$B$5:$H$29,4,FALSE),0)</x:f>
        <x:v>0</x:v>
      </x:c>
      <x:c r="F824">
        <x:f>ROUND($C824*10*VLOOKUP($B824,Sheet2!$J$5:$K$7,2,FALSE)*VLOOKUP(Sheet1!$A824,Sheet2!$B$5:$H$29,5,FALSE),0)</x:f>
        <x:v>0</x:v>
      </x:c>
      <x:c r="G824">
        <x:f>ROUND($C824*10*VLOOKUP($B824,Sheet2!$J$5:$K$7,2,FALSE)*VLOOKUP(Sheet1!$A824,Sheet2!$B$5:$H$29,6,FALSE),0)</x:f>
        <x:v>0</x:v>
      </x:c>
      <x:c r="H824">
        <x:f>ROUND($C824*10*VLOOKUP($B824,Sheet2!$J$5:$K$7,2,FALSE)*VLOOKUP(Sheet1!$A824,Sheet2!$B$5:$H$29,7,FALSE),0)</x:f>
        <x:v>516</x:v>
      </x:c>
      <x:c r="I824">
        <x:f t="shared" si="13"/>
        <x:v>35140</x:v>
      </x:c>
    </x:row>
    <x:row r="825" spans="1:9" x14ac:dyDescent="0.15">
      <x:c r="A825">
        <x:v>54005</x:v>
      </x:c>
      <x:c r="B825">
        <x:v>2</x:v>
      </x:c>
      <x:c r="C825">
        <x:v>44</x:v>
      </x:c>
      <x:c r="D825">
        <x:f>ROUND($C825*10*VLOOKUP($B825,Sheet2!$J$5:$K$7,2,FALSE)*VLOOKUP(Sheet1!$A825,Sheet2!$B$5:$H$29,3,FALSE),0)</x:f>
        <x:v>317</x:v>
      </x:c>
      <x:c r="E825">
        <x:f>ROUND($C825*10*VLOOKUP($B825,Sheet2!$J$5:$K$7,2,FALSE)*VLOOKUP(Sheet1!$A825,Sheet2!$B$5:$H$29,4,FALSE),0)</x:f>
        <x:v>0</x:v>
      </x:c>
      <x:c r="F825">
        <x:f>ROUND($C825*10*VLOOKUP($B825,Sheet2!$J$5:$K$7,2,FALSE)*VLOOKUP(Sheet1!$A825,Sheet2!$B$5:$H$29,5,FALSE),0)</x:f>
        <x:v>0</x:v>
      </x:c>
      <x:c r="G825">
        <x:f>ROUND($C825*10*VLOOKUP($B825,Sheet2!$J$5:$K$7,2,FALSE)*VLOOKUP(Sheet1!$A825,Sheet2!$B$5:$H$29,6,FALSE),0)</x:f>
        <x:v>0</x:v>
      </x:c>
      <x:c r="H825">
        <x:f>ROUND($C825*10*VLOOKUP($B825,Sheet2!$J$5:$K$7,2,FALSE)*VLOOKUP(Sheet1!$A825,Sheet2!$B$5:$H$29,7,FALSE),0)</x:f>
        <x:v>528</x:v>
      </x:c>
      <x:c r="I825">
        <x:f t="shared" si="13"/>
        <x:v>36660</x:v>
      </x:c>
    </x:row>
    <x:row r="826" spans="1:9" x14ac:dyDescent="0.15">
      <x:c r="A826">
        <x:v>54005</x:v>
      </x:c>
      <x:c r="B826">
        <x:v>2</x:v>
      </x:c>
      <x:c r="C826">
        <x:v>45</x:v>
      </x:c>
      <x:c r="D826">
        <x:f>ROUND($C826*10*VLOOKUP($B826,Sheet2!$J$5:$K$7,2,FALSE)*VLOOKUP(Sheet1!$A826,Sheet2!$B$5:$H$29,3,FALSE),0)</x:f>
        <x:v>324</x:v>
      </x:c>
      <x:c r="E826">
        <x:f>ROUND($C826*10*VLOOKUP($B826,Sheet2!$J$5:$K$7,2,FALSE)*VLOOKUP(Sheet1!$A826,Sheet2!$B$5:$H$29,4,FALSE),0)</x:f>
        <x:v>0</x:v>
      </x:c>
      <x:c r="F826">
        <x:f>ROUND($C826*10*VLOOKUP($B826,Sheet2!$J$5:$K$7,2,FALSE)*VLOOKUP(Sheet1!$A826,Sheet2!$B$5:$H$29,5,FALSE),0)</x:f>
        <x:v>0</x:v>
      </x:c>
      <x:c r="G826">
        <x:f>ROUND($C826*10*VLOOKUP($B826,Sheet2!$J$5:$K$7,2,FALSE)*VLOOKUP(Sheet1!$A826,Sheet2!$B$5:$H$29,6,FALSE),0)</x:f>
        <x:v>0</x:v>
      </x:c>
      <x:c r="H826">
        <x:f>ROUND($C826*10*VLOOKUP($B826,Sheet2!$J$5:$K$7,2,FALSE)*VLOOKUP(Sheet1!$A826,Sheet2!$B$5:$H$29,7,FALSE),0)</x:f>
        <x:v>540</x:v>
      </x:c>
      <x:c r="I826">
        <x:f t="shared" si="13"/>
        <x:v>38210</x:v>
      </x:c>
    </x:row>
    <x:row r="827" spans="1:9" x14ac:dyDescent="0.15">
      <x:c r="A827">
        <x:v>54005</x:v>
      </x:c>
      <x:c r="B827">
        <x:v>2</x:v>
      </x:c>
      <x:c r="C827">
        <x:v>46</x:v>
      </x:c>
      <x:c r="D827">
        <x:f>ROUND($C827*10*VLOOKUP($B827,Sheet2!$J$5:$K$7,2,FALSE)*VLOOKUP(Sheet1!$A827,Sheet2!$B$5:$H$29,3,FALSE),0)</x:f>
        <x:v>331</x:v>
      </x:c>
      <x:c r="E827">
        <x:f>ROUND($C827*10*VLOOKUP($B827,Sheet2!$J$5:$K$7,2,FALSE)*VLOOKUP(Sheet1!$A827,Sheet2!$B$5:$H$29,4,FALSE),0)</x:f>
        <x:v>0</x:v>
      </x:c>
      <x:c r="F827">
        <x:f>ROUND($C827*10*VLOOKUP($B827,Sheet2!$J$5:$K$7,2,FALSE)*VLOOKUP(Sheet1!$A827,Sheet2!$B$5:$H$29,5,FALSE),0)</x:f>
        <x:v>0</x:v>
      </x:c>
      <x:c r="G827">
        <x:f>ROUND($C827*10*VLOOKUP($B827,Sheet2!$J$5:$K$7,2,FALSE)*VLOOKUP(Sheet1!$A827,Sheet2!$B$5:$H$29,6,FALSE),0)</x:f>
        <x:v>0</x:v>
      </x:c>
      <x:c r="H827">
        <x:f>ROUND($C827*10*VLOOKUP($B827,Sheet2!$J$5:$K$7,2,FALSE)*VLOOKUP(Sheet1!$A827,Sheet2!$B$5:$H$29,7,FALSE),0)</x:f>
        <x:v>552</x:v>
      </x:c>
      <x:c r="I827">
        <x:f t="shared" si="13"/>
        <x:v>39780</x:v>
      </x:c>
    </x:row>
    <x:row r="828" spans="1:9" x14ac:dyDescent="0.15">
      <x:c r="A828">
        <x:v>54005</x:v>
      </x:c>
      <x:c r="B828">
        <x:v>2</x:v>
      </x:c>
      <x:c r="C828">
        <x:v>47</x:v>
      </x:c>
      <x:c r="D828">
        <x:f>ROUND($C828*10*VLOOKUP($B828,Sheet2!$J$5:$K$7,2,FALSE)*VLOOKUP(Sheet1!$A828,Sheet2!$B$5:$H$29,3,FALSE),0)</x:f>
        <x:v>338</x:v>
      </x:c>
      <x:c r="E828">
        <x:f>ROUND($C828*10*VLOOKUP($B828,Sheet2!$J$5:$K$7,2,FALSE)*VLOOKUP(Sheet1!$A828,Sheet2!$B$5:$H$29,4,FALSE),0)</x:f>
        <x:v>0</x:v>
      </x:c>
      <x:c r="F828">
        <x:f>ROUND($C828*10*VLOOKUP($B828,Sheet2!$J$5:$K$7,2,FALSE)*VLOOKUP(Sheet1!$A828,Sheet2!$B$5:$H$29,5,FALSE),0)</x:f>
        <x:v>0</x:v>
      </x:c>
      <x:c r="G828">
        <x:f>ROUND($C828*10*VLOOKUP($B828,Sheet2!$J$5:$K$7,2,FALSE)*VLOOKUP(Sheet1!$A828,Sheet2!$B$5:$H$29,6,FALSE),0)</x:f>
        <x:v>0</x:v>
      </x:c>
      <x:c r="H828">
        <x:f>ROUND($C828*10*VLOOKUP($B828,Sheet2!$J$5:$K$7,2,FALSE)*VLOOKUP(Sheet1!$A828,Sheet2!$B$5:$H$29,7,FALSE),0)</x:f>
        <x:v>564</x:v>
      </x:c>
      <x:c r="I828">
        <x:f t="shared" si="13"/>
        <x:v>41390</x:v>
      </x:c>
    </x:row>
    <x:row r="829" spans="1:9" x14ac:dyDescent="0.15">
      <x:c r="A829">
        <x:v>54005</x:v>
      </x:c>
      <x:c r="B829">
        <x:v>2</x:v>
      </x:c>
      <x:c r="C829">
        <x:v>48</x:v>
      </x:c>
      <x:c r="D829">
        <x:f>ROUND($C829*10*VLOOKUP($B829,Sheet2!$J$5:$K$7,2,FALSE)*VLOOKUP(Sheet1!$A829,Sheet2!$B$5:$H$29,3,FALSE),0)</x:f>
        <x:v>346</x:v>
      </x:c>
      <x:c r="E829">
        <x:f>ROUND($C829*10*VLOOKUP($B829,Sheet2!$J$5:$K$7,2,FALSE)*VLOOKUP(Sheet1!$A829,Sheet2!$B$5:$H$29,4,FALSE),0)</x:f>
        <x:v>0</x:v>
      </x:c>
      <x:c r="F829">
        <x:f>ROUND($C829*10*VLOOKUP($B829,Sheet2!$J$5:$K$7,2,FALSE)*VLOOKUP(Sheet1!$A829,Sheet2!$B$5:$H$29,5,FALSE),0)</x:f>
        <x:v>0</x:v>
      </x:c>
      <x:c r="G829">
        <x:f>ROUND($C829*10*VLOOKUP($B829,Sheet2!$J$5:$K$7,2,FALSE)*VLOOKUP(Sheet1!$A829,Sheet2!$B$5:$H$29,6,FALSE),0)</x:f>
        <x:v>0</x:v>
      </x:c>
      <x:c r="H829">
        <x:f>ROUND($C829*10*VLOOKUP($B829,Sheet2!$J$5:$K$7,2,FALSE)*VLOOKUP(Sheet1!$A829,Sheet2!$B$5:$H$29,7,FALSE),0)</x:f>
        <x:v>576</x:v>
      </x:c>
      <x:c r="I829">
        <x:f t="shared" si="13"/>
        <x:v>43020</x:v>
      </x:c>
    </x:row>
    <x:row r="830" spans="1:9" x14ac:dyDescent="0.15">
      <x:c r="A830">
        <x:v>54005</x:v>
      </x:c>
      <x:c r="B830">
        <x:v>2</x:v>
      </x:c>
      <x:c r="C830">
        <x:v>49</x:v>
      </x:c>
      <x:c r="D830">
        <x:f>ROUND($C830*10*VLOOKUP($B830,Sheet2!$J$5:$K$7,2,FALSE)*VLOOKUP(Sheet1!$A830,Sheet2!$B$5:$H$29,3,FALSE),0)</x:f>
        <x:v>353</x:v>
      </x:c>
      <x:c r="E830">
        <x:f>ROUND($C830*10*VLOOKUP($B830,Sheet2!$J$5:$K$7,2,FALSE)*VLOOKUP(Sheet1!$A830,Sheet2!$B$5:$H$29,4,FALSE),0)</x:f>
        <x:v>0</x:v>
      </x:c>
      <x:c r="F830">
        <x:f>ROUND($C830*10*VLOOKUP($B830,Sheet2!$J$5:$K$7,2,FALSE)*VLOOKUP(Sheet1!$A830,Sheet2!$B$5:$H$29,5,FALSE),0)</x:f>
        <x:v>0</x:v>
      </x:c>
      <x:c r="G830">
        <x:f>ROUND($C830*10*VLOOKUP($B830,Sheet2!$J$5:$K$7,2,FALSE)*VLOOKUP(Sheet1!$A830,Sheet2!$B$5:$H$29,6,FALSE),0)</x:f>
        <x:v>0</x:v>
      </x:c>
      <x:c r="H830">
        <x:f>ROUND($C830*10*VLOOKUP($B830,Sheet2!$J$5:$K$7,2,FALSE)*VLOOKUP(Sheet1!$A830,Sheet2!$B$5:$H$29,7,FALSE),0)</x:f>
        <x:v>588</x:v>
      </x:c>
      <x:c r="I830">
        <x:f t="shared" si="13"/>
        <x:v>44680</x:v>
      </x:c>
    </x:row>
    <x:row r="831" spans="1:9" x14ac:dyDescent="0.15">
      <x:c r="A831">
        <x:v>54005</x:v>
      </x:c>
      <x:c r="B831">
        <x:v>2</x:v>
      </x:c>
      <x:c r="C831">
        <x:v>50</x:v>
      </x:c>
      <x:c r="D831">
        <x:f>ROUND($C831*10*VLOOKUP($B831,Sheet2!$J$5:$K$7,2,FALSE)*VLOOKUP(Sheet1!$A831,Sheet2!$B$5:$H$29,3,FALSE),0)</x:f>
        <x:v>360</x:v>
      </x:c>
      <x:c r="E831">
        <x:f>ROUND($C831*10*VLOOKUP($B831,Sheet2!$J$5:$K$7,2,FALSE)*VLOOKUP(Sheet1!$A831,Sheet2!$B$5:$H$29,4,FALSE),0)</x:f>
        <x:v>0</x:v>
      </x:c>
      <x:c r="F831">
        <x:f>ROUND($C831*10*VLOOKUP($B831,Sheet2!$J$5:$K$7,2,FALSE)*VLOOKUP(Sheet1!$A831,Sheet2!$B$5:$H$29,5,FALSE),0)</x:f>
        <x:v>0</x:v>
      </x:c>
      <x:c r="G831">
        <x:f>ROUND($C831*10*VLOOKUP($B831,Sheet2!$J$5:$K$7,2,FALSE)*VLOOKUP(Sheet1!$A831,Sheet2!$B$5:$H$29,6,FALSE),0)</x:f>
        <x:v>0</x:v>
      </x:c>
      <x:c r="H831">
        <x:f>ROUND($C831*10*VLOOKUP($B831,Sheet2!$J$5:$K$7,2,FALSE)*VLOOKUP(Sheet1!$A831,Sheet2!$B$5:$H$29,7,FALSE),0)</x:f>
        <x:v>600</x:v>
      </x:c>
      <x:c r="I831">
        <x:f t="shared" si="13"/>
        <x:v>46360</x:v>
      </x:c>
    </x:row>
    <x:row r="832" spans="1:9" x14ac:dyDescent="0.15">
      <x:c r="A832">
        <x:v>54005</x:v>
      </x:c>
      <x:c r="B832">
        <x:v>2</x:v>
      </x:c>
      <x:c r="C832">
        <x:v>51</x:v>
      </x:c>
      <x:c r="D832">
        <x:f>ROUND($C832*10*VLOOKUP($B832,Sheet2!$J$5:$K$7,2,FALSE)*VLOOKUP(Sheet1!$A832,Sheet2!$B$5:$H$29,3,FALSE),0)</x:f>
        <x:v>367</x:v>
      </x:c>
      <x:c r="E832">
        <x:f>ROUND($C832*10*VLOOKUP($B832,Sheet2!$J$5:$K$7,2,FALSE)*VLOOKUP(Sheet1!$A832,Sheet2!$B$5:$H$29,4,FALSE),0)</x:f>
        <x:v>0</x:v>
      </x:c>
      <x:c r="F832">
        <x:f>ROUND($C832*10*VLOOKUP($B832,Sheet2!$J$5:$K$7,2,FALSE)*VLOOKUP(Sheet1!$A832,Sheet2!$B$5:$H$29,5,FALSE),0)</x:f>
        <x:v>0</x:v>
      </x:c>
      <x:c r="G832">
        <x:f>ROUND($C832*10*VLOOKUP($B832,Sheet2!$J$5:$K$7,2,FALSE)*VLOOKUP(Sheet1!$A832,Sheet2!$B$5:$H$29,6,FALSE),0)</x:f>
        <x:v>0</x:v>
      </x:c>
      <x:c r="H832">
        <x:f>ROUND($C832*10*VLOOKUP($B832,Sheet2!$J$5:$K$7,2,FALSE)*VLOOKUP(Sheet1!$A832,Sheet2!$B$5:$H$29,7,FALSE),0)</x:f>
        <x:v>612</x:v>
      </x:c>
      <x:c r="I832">
        <x:f t="shared" si="13"/>
        <x:v>48080</x:v>
      </x:c>
    </x:row>
    <x:row r="833" spans="1:9" x14ac:dyDescent="0.15">
      <x:c r="A833">
        <x:v>54005</x:v>
      </x:c>
      <x:c r="B833">
        <x:v>2</x:v>
      </x:c>
      <x:c r="C833">
        <x:v>52</x:v>
      </x:c>
      <x:c r="D833">
        <x:f>ROUND($C833*10*VLOOKUP($B833,Sheet2!$J$5:$K$7,2,FALSE)*VLOOKUP(Sheet1!$A833,Sheet2!$B$5:$H$29,3,FALSE),0)</x:f>
        <x:v>374</x:v>
      </x:c>
      <x:c r="E833">
        <x:f>ROUND($C833*10*VLOOKUP($B833,Sheet2!$J$5:$K$7,2,FALSE)*VLOOKUP(Sheet1!$A833,Sheet2!$B$5:$H$29,4,FALSE),0)</x:f>
        <x:v>0</x:v>
      </x:c>
      <x:c r="F833">
        <x:f>ROUND($C833*10*VLOOKUP($B833,Sheet2!$J$5:$K$7,2,FALSE)*VLOOKUP(Sheet1!$A833,Sheet2!$B$5:$H$29,5,FALSE),0)</x:f>
        <x:v>0</x:v>
      </x:c>
      <x:c r="G833">
        <x:f>ROUND($C833*10*VLOOKUP($B833,Sheet2!$J$5:$K$7,2,FALSE)*VLOOKUP(Sheet1!$A833,Sheet2!$B$5:$H$29,6,FALSE),0)</x:f>
        <x:v>0</x:v>
      </x:c>
      <x:c r="H833">
        <x:f>ROUND($C833*10*VLOOKUP($B833,Sheet2!$J$5:$K$7,2,FALSE)*VLOOKUP(Sheet1!$A833,Sheet2!$B$5:$H$29,7,FALSE),0)</x:f>
        <x:v>624</x:v>
      </x:c>
      <x:c r="I833">
        <x:f t="shared" si="13"/>
        <x:v>49820</x:v>
      </x:c>
    </x:row>
    <x:row r="834" spans="1:9" x14ac:dyDescent="0.15">
      <x:c r="A834">
        <x:v>54005</x:v>
      </x:c>
      <x:c r="B834">
        <x:v>2</x:v>
      </x:c>
      <x:c r="C834">
        <x:v>53</x:v>
      </x:c>
      <x:c r="D834">
        <x:f>ROUND($C834*10*VLOOKUP($B834,Sheet2!$J$5:$K$7,2,FALSE)*VLOOKUP(Sheet1!$A834,Sheet2!$B$5:$H$29,3,FALSE),0)</x:f>
        <x:v>382</x:v>
      </x:c>
      <x:c r="E834">
        <x:f>ROUND($C834*10*VLOOKUP($B834,Sheet2!$J$5:$K$7,2,FALSE)*VLOOKUP(Sheet1!$A834,Sheet2!$B$5:$H$29,4,FALSE),0)</x:f>
        <x:v>0</x:v>
      </x:c>
      <x:c r="F834">
        <x:f>ROUND($C834*10*VLOOKUP($B834,Sheet2!$J$5:$K$7,2,FALSE)*VLOOKUP(Sheet1!$A834,Sheet2!$B$5:$H$29,5,FALSE),0)</x:f>
        <x:v>0</x:v>
      </x:c>
      <x:c r="G834">
        <x:f>ROUND($C834*10*VLOOKUP($B834,Sheet2!$J$5:$K$7,2,FALSE)*VLOOKUP(Sheet1!$A834,Sheet2!$B$5:$H$29,6,FALSE),0)</x:f>
        <x:v>0</x:v>
      </x:c>
      <x:c r="H834">
        <x:f>ROUND($C834*10*VLOOKUP($B834,Sheet2!$J$5:$K$7,2,FALSE)*VLOOKUP(Sheet1!$A834,Sheet2!$B$5:$H$29,7,FALSE),0)</x:f>
        <x:v>636</x:v>
      </x:c>
      <x:c r="I834">
        <x:f t="shared" si="13"/>
        <x:v>51590</x:v>
      </x:c>
    </x:row>
    <x:row r="835" spans="1:9" x14ac:dyDescent="0.15">
      <x:c r="A835">
        <x:v>54005</x:v>
      </x:c>
      <x:c r="B835">
        <x:v>2</x:v>
      </x:c>
      <x:c r="C835">
        <x:v>54</x:v>
      </x:c>
      <x:c r="D835">
        <x:f>ROUND($C835*10*VLOOKUP($B835,Sheet2!$J$5:$K$7,2,FALSE)*VLOOKUP(Sheet1!$A835,Sheet2!$B$5:$H$29,3,FALSE),0)</x:f>
        <x:v>389</x:v>
      </x:c>
      <x:c r="E835">
        <x:f>ROUND($C835*10*VLOOKUP($B835,Sheet2!$J$5:$K$7,2,FALSE)*VLOOKUP(Sheet1!$A835,Sheet2!$B$5:$H$29,4,FALSE),0)</x:f>
        <x:v>0</x:v>
      </x:c>
      <x:c r="F835">
        <x:f>ROUND($C835*10*VLOOKUP($B835,Sheet2!$J$5:$K$7,2,FALSE)*VLOOKUP(Sheet1!$A835,Sheet2!$B$5:$H$29,5,FALSE),0)</x:f>
        <x:v>0</x:v>
      </x:c>
      <x:c r="G835">
        <x:f>ROUND($C835*10*VLOOKUP($B835,Sheet2!$J$5:$K$7,2,FALSE)*VLOOKUP(Sheet1!$A835,Sheet2!$B$5:$H$29,6,FALSE),0)</x:f>
        <x:v>0</x:v>
      </x:c>
      <x:c r="H835">
        <x:f>ROUND($C835*10*VLOOKUP($B835,Sheet2!$J$5:$K$7,2,FALSE)*VLOOKUP(Sheet1!$A835,Sheet2!$B$5:$H$29,7,FALSE),0)</x:f>
        <x:v>648</x:v>
      </x:c>
      <x:c r="I835">
        <x:f t="shared" si="13"/>
        <x:v>53390</x:v>
      </x:c>
    </x:row>
    <x:row r="836" spans="1:9" x14ac:dyDescent="0.15">
      <x:c r="A836">
        <x:v>54005</x:v>
      </x:c>
      <x:c r="B836">
        <x:v>2</x:v>
      </x:c>
      <x:c r="C836">
        <x:v>55</x:v>
      </x:c>
      <x:c r="D836">
        <x:f>ROUND($C836*10*VLOOKUP($B836,Sheet2!$J$5:$K$7,2,FALSE)*VLOOKUP(Sheet1!$A836,Sheet2!$B$5:$H$29,3,FALSE),0)</x:f>
        <x:v>396</x:v>
      </x:c>
      <x:c r="E836">
        <x:f>ROUND($C836*10*VLOOKUP($B836,Sheet2!$J$5:$K$7,2,FALSE)*VLOOKUP(Sheet1!$A836,Sheet2!$B$5:$H$29,4,FALSE),0)</x:f>
        <x:v>0</x:v>
      </x:c>
      <x:c r="F836">
        <x:f>ROUND($C836*10*VLOOKUP($B836,Sheet2!$J$5:$K$7,2,FALSE)*VLOOKUP(Sheet1!$A836,Sheet2!$B$5:$H$29,5,FALSE),0)</x:f>
        <x:v>0</x:v>
      </x:c>
      <x:c r="G836">
        <x:f>ROUND($C836*10*VLOOKUP($B836,Sheet2!$J$5:$K$7,2,FALSE)*VLOOKUP(Sheet1!$A836,Sheet2!$B$5:$H$29,6,FALSE),0)</x:f>
        <x:v>0</x:v>
      </x:c>
      <x:c r="H836">
        <x:f>ROUND($C836*10*VLOOKUP($B836,Sheet2!$J$5:$K$7,2,FALSE)*VLOOKUP(Sheet1!$A836,Sheet2!$B$5:$H$29,7,FALSE),0)</x:f>
        <x:v>660</x:v>
      </x:c>
      <x:c r="I836">
        <x:f t="shared" si="13"/>
        <x:v>55210</x:v>
      </x:c>
    </x:row>
    <x:row r="837" spans="1:9" x14ac:dyDescent="0.15">
      <x:c r="A837">
        <x:v>54005</x:v>
      </x:c>
      <x:c r="B837">
        <x:v>2</x:v>
      </x:c>
      <x:c r="C837">
        <x:v>56</x:v>
      </x:c>
      <x:c r="D837">
        <x:f>ROUND($C837*10*VLOOKUP($B837,Sheet2!$J$5:$K$7,2,FALSE)*VLOOKUP(Sheet1!$A837,Sheet2!$B$5:$H$29,3,FALSE),0)</x:f>
        <x:v>403</x:v>
      </x:c>
      <x:c r="E837">
        <x:f>ROUND($C837*10*VLOOKUP($B837,Sheet2!$J$5:$K$7,2,FALSE)*VLOOKUP(Sheet1!$A837,Sheet2!$B$5:$H$29,4,FALSE),0)</x:f>
        <x:v>0</x:v>
      </x:c>
      <x:c r="F837">
        <x:f>ROUND($C837*10*VLOOKUP($B837,Sheet2!$J$5:$K$7,2,FALSE)*VLOOKUP(Sheet1!$A837,Sheet2!$B$5:$H$29,5,FALSE),0)</x:f>
        <x:v>0</x:v>
      </x:c>
      <x:c r="G837">
        <x:f>ROUND($C837*10*VLOOKUP($B837,Sheet2!$J$5:$K$7,2,FALSE)*VLOOKUP(Sheet1!$A837,Sheet2!$B$5:$H$29,6,FALSE),0)</x:f>
        <x:v>0</x:v>
      </x:c>
      <x:c r="H837">
        <x:f>ROUND($C837*10*VLOOKUP($B837,Sheet2!$J$5:$K$7,2,FALSE)*VLOOKUP(Sheet1!$A837,Sheet2!$B$5:$H$29,7,FALSE),0)</x:f>
        <x:v>672</x:v>
      </x:c>
      <x:c r="I837">
        <x:f t="shared" si="13"/>
        <x:v>57060</x:v>
      </x:c>
    </x:row>
    <x:row r="838" spans="1:9" x14ac:dyDescent="0.15">
      <x:c r="A838">
        <x:v>54005</x:v>
      </x:c>
      <x:c r="B838">
        <x:v>2</x:v>
      </x:c>
      <x:c r="C838">
        <x:v>57</x:v>
      </x:c>
      <x:c r="D838">
        <x:f>ROUND($C838*10*VLOOKUP($B838,Sheet2!$J$5:$K$7,2,FALSE)*VLOOKUP(Sheet1!$A838,Sheet2!$B$5:$H$29,3,FALSE),0)</x:f>
        <x:v>410</x:v>
      </x:c>
      <x:c r="E838">
        <x:f>ROUND($C838*10*VLOOKUP($B838,Sheet2!$J$5:$K$7,2,FALSE)*VLOOKUP(Sheet1!$A838,Sheet2!$B$5:$H$29,4,FALSE),0)</x:f>
        <x:v>0</x:v>
      </x:c>
      <x:c r="F838">
        <x:f>ROUND($C838*10*VLOOKUP($B838,Sheet2!$J$5:$K$7,2,FALSE)*VLOOKUP(Sheet1!$A838,Sheet2!$B$5:$H$29,5,FALSE),0)</x:f>
        <x:v>0</x:v>
      </x:c>
      <x:c r="G838">
        <x:f>ROUND($C838*10*VLOOKUP($B838,Sheet2!$J$5:$K$7,2,FALSE)*VLOOKUP(Sheet1!$A838,Sheet2!$B$5:$H$29,6,FALSE),0)</x:f>
        <x:v>0</x:v>
      </x:c>
      <x:c r="H838">
        <x:f>ROUND($C838*10*VLOOKUP($B838,Sheet2!$J$5:$K$7,2,FALSE)*VLOOKUP(Sheet1!$A838,Sheet2!$B$5:$H$29,7,FALSE),0)</x:f>
        <x:v>684</x:v>
      </x:c>
      <x:c r="I838">
        <x:f t="shared" si="13"/>
        <x:v>58940</x:v>
      </x:c>
    </x:row>
    <x:row r="839" spans="1:9" x14ac:dyDescent="0.15">
      <x:c r="A839">
        <x:v>54005</x:v>
      </x:c>
      <x:c r="B839">
        <x:v>2</x:v>
      </x:c>
      <x:c r="C839">
        <x:v>58</x:v>
      </x:c>
      <x:c r="D839">
        <x:f>ROUND($C839*10*VLOOKUP($B839,Sheet2!$J$5:$K$7,2,FALSE)*VLOOKUP(Sheet1!$A839,Sheet2!$B$5:$H$29,3,FALSE),0)</x:f>
        <x:v>418</x:v>
      </x:c>
      <x:c r="E839">
        <x:f>ROUND($C839*10*VLOOKUP($B839,Sheet2!$J$5:$K$7,2,FALSE)*VLOOKUP(Sheet1!$A839,Sheet2!$B$5:$H$29,4,FALSE),0)</x:f>
        <x:v>0</x:v>
      </x:c>
      <x:c r="F839">
        <x:f>ROUND($C839*10*VLOOKUP($B839,Sheet2!$J$5:$K$7,2,FALSE)*VLOOKUP(Sheet1!$A839,Sheet2!$B$5:$H$29,5,FALSE),0)</x:f>
        <x:v>0</x:v>
      </x:c>
      <x:c r="G839">
        <x:f>ROUND($C839*10*VLOOKUP($B839,Sheet2!$J$5:$K$7,2,FALSE)*VLOOKUP(Sheet1!$A839,Sheet2!$B$5:$H$29,6,FALSE),0)</x:f>
        <x:v>0</x:v>
      </x:c>
      <x:c r="H839">
        <x:f>ROUND($C839*10*VLOOKUP($B839,Sheet2!$J$5:$K$7,2,FALSE)*VLOOKUP(Sheet1!$A839,Sheet2!$B$5:$H$29,7,FALSE),0)</x:f>
        <x:v>696</x:v>
      </x:c>
      <x:c r="I839">
        <x:f t="shared" si="13"/>
        <x:v>60850</x:v>
      </x:c>
    </x:row>
    <x:row r="840" spans="1:9" x14ac:dyDescent="0.15">
      <x:c r="A840">
        <x:v>54005</x:v>
      </x:c>
      <x:c r="B840">
        <x:v>2</x:v>
      </x:c>
      <x:c r="C840">
        <x:v>59</x:v>
      </x:c>
      <x:c r="D840">
        <x:f>ROUND($C840*10*VLOOKUP($B840,Sheet2!$J$5:$K$7,2,FALSE)*VLOOKUP(Sheet1!$A840,Sheet2!$B$5:$H$29,3,FALSE),0)</x:f>
        <x:v>425</x:v>
      </x:c>
      <x:c r="E840">
        <x:f>ROUND($C840*10*VLOOKUP($B840,Sheet2!$J$5:$K$7,2,FALSE)*VLOOKUP(Sheet1!$A840,Sheet2!$B$5:$H$29,4,FALSE),0)</x:f>
        <x:v>0</x:v>
      </x:c>
      <x:c r="F840">
        <x:f>ROUND($C840*10*VLOOKUP($B840,Sheet2!$J$5:$K$7,2,FALSE)*VLOOKUP(Sheet1!$A840,Sheet2!$B$5:$H$29,5,FALSE),0)</x:f>
        <x:v>0</x:v>
      </x:c>
      <x:c r="G840">
        <x:f>ROUND($C840*10*VLOOKUP($B840,Sheet2!$J$5:$K$7,2,FALSE)*VLOOKUP(Sheet1!$A840,Sheet2!$B$5:$H$29,6,FALSE),0)</x:f>
        <x:v>0</x:v>
      </x:c>
      <x:c r="H840">
        <x:f>ROUND($C840*10*VLOOKUP($B840,Sheet2!$J$5:$K$7,2,FALSE)*VLOOKUP(Sheet1!$A840,Sheet2!$B$5:$H$29,7,FALSE),0)</x:f>
        <x:v>708</x:v>
      </x:c>
      <x:c r="I840">
        <x:f t="shared" si="13"/>
        <x:v>62780</x:v>
      </x:c>
    </x:row>
    <x:row r="841" spans="1:9" x14ac:dyDescent="0.15">
      <x:c r="A841">
        <x:v>54005</x:v>
      </x:c>
      <x:c r="B841">
        <x:v>2</x:v>
      </x:c>
      <x:c r="C841">
        <x:v>60</x:v>
      </x:c>
      <x:c r="D841">
        <x:f>ROUND($C841*10*VLOOKUP($B841,Sheet2!$J$5:$K$7,2,FALSE)*VLOOKUP(Sheet1!$A841,Sheet2!$B$5:$H$29,3,FALSE),0)</x:f>
        <x:v>432</x:v>
      </x:c>
      <x:c r="E841">
        <x:f>ROUND($C841*10*VLOOKUP($B841,Sheet2!$J$5:$K$7,2,FALSE)*VLOOKUP(Sheet1!$A841,Sheet2!$B$5:$H$29,4,FALSE),0)</x:f>
        <x:v>0</x:v>
      </x:c>
      <x:c r="F841">
        <x:f>ROUND($C841*10*VLOOKUP($B841,Sheet2!$J$5:$K$7,2,FALSE)*VLOOKUP(Sheet1!$A841,Sheet2!$B$5:$H$29,5,FALSE),0)</x:f>
        <x:v>0</x:v>
      </x:c>
      <x:c r="G841">
        <x:f>ROUND($C841*10*VLOOKUP($B841,Sheet2!$J$5:$K$7,2,FALSE)*VLOOKUP(Sheet1!$A841,Sheet2!$B$5:$H$29,6,FALSE),0)</x:f>
        <x:v>0</x:v>
      </x:c>
      <x:c r="H841">
        <x:f>ROUND($C841*10*VLOOKUP($B841,Sheet2!$J$5:$K$7,2,FALSE)*VLOOKUP(Sheet1!$A841,Sheet2!$B$5:$H$29,7,FALSE),0)</x:f>
        <x:v>720</x:v>
      </x:c>
      <x:c r="I841">
        <x:f t="shared" si="13"/>
        <x:v>64740</x:v>
      </x:c>
    </x:row>
    <x:row r="842" spans="1:9" x14ac:dyDescent="0.15">
      <x:c r="A842">
        <x:v>54005</x:v>
      </x:c>
      <x:c r="B842">
        <x:v>3</x:v>
      </x:c>
      <x:c r="C842">
        <x:v>1</x:v>
      </x:c>
      <x:c r="D842">
        <x:f>ROUND($C842*10*VLOOKUP($B842,Sheet2!$J$5:$K$7,2,FALSE)*VLOOKUP(Sheet1!$A842,Sheet2!$B$5:$H$29,3,FALSE),0)</x:f>
        <x:v>12</x:v>
      </x:c>
      <x:c r="E842">
        <x:f>ROUND($C842*10*VLOOKUP($B842,Sheet2!$J$5:$K$7,2,FALSE)*VLOOKUP(Sheet1!$A842,Sheet2!$B$5:$H$29,4,FALSE),0)</x:f>
        <x:v>0</x:v>
      </x:c>
      <x:c r="F842">
        <x:f>ROUND($C842*10*VLOOKUP($B842,Sheet2!$J$5:$K$7,2,FALSE)*VLOOKUP(Sheet1!$A842,Sheet2!$B$5:$H$29,5,FALSE),0)</x:f>
        <x:v>0</x:v>
      </x:c>
      <x:c r="G842">
        <x:f>ROUND($C842*10*VLOOKUP($B842,Sheet2!$J$5:$K$7,2,FALSE)*VLOOKUP(Sheet1!$A842,Sheet2!$B$5:$H$29,6,FALSE),0)</x:f>
        <x:v>0</x:v>
      </x:c>
      <x:c r="H842">
        <x:f>ROUND($C842*10*VLOOKUP($B842,Sheet2!$J$5:$K$7,2,FALSE)*VLOOKUP(Sheet1!$A842,Sheet2!$B$5:$H$29,7,FALSE),0)</x:f>
        <x:v>20</x:v>
      </x:c>
      <x:c r="I842">
        <x:f t="shared" ref="I842:I901" si="14">ROUND(1.2*10*10.5*(C842-1)^1.8+90,-1)</x:f>
        <x:v>90</x:v>
      </x:c>
    </x:row>
    <x:row r="843" spans="1:9" x14ac:dyDescent="0.15">
      <x:c r="A843">
        <x:v>54005</x:v>
      </x:c>
      <x:c r="B843">
        <x:v>3</x:v>
      </x:c>
      <x:c r="C843">
        <x:v>2</x:v>
      </x:c>
      <x:c r="D843">
        <x:f>ROUND($C843*10*VLOOKUP($B843,Sheet2!$J$5:$K$7,2,FALSE)*VLOOKUP(Sheet1!$A843,Sheet2!$B$5:$H$29,3,FALSE),0)</x:f>
        <x:v>24</x:v>
      </x:c>
      <x:c r="E843">
        <x:f>ROUND($C843*10*VLOOKUP($B843,Sheet2!$J$5:$K$7,2,FALSE)*VLOOKUP(Sheet1!$A843,Sheet2!$B$5:$H$29,4,FALSE),0)</x:f>
        <x:v>0</x:v>
      </x:c>
      <x:c r="F843">
        <x:f>ROUND($C843*10*VLOOKUP($B843,Sheet2!$J$5:$K$7,2,FALSE)*VLOOKUP(Sheet1!$A843,Sheet2!$B$5:$H$29,5,FALSE),0)</x:f>
        <x:v>0</x:v>
      </x:c>
      <x:c r="G843">
        <x:f>ROUND($C843*10*VLOOKUP($B843,Sheet2!$J$5:$K$7,2,FALSE)*VLOOKUP(Sheet1!$A843,Sheet2!$B$5:$H$29,6,FALSE),0)</x:f>
        <x:v>0</x:v>
      </x:c>
      <x:c r="H843">
        <x:f>ROUND($C843*10*VLOOKUP($B843,Sheet2!$J$5:$K$7,2,FALSE)*VLOOKUP(Sheet1!$A843,Sheet2!$B$5:$H$29,7,FALSE),0)</x:f>
        <x:v>40</x:v>
      </x:c>
      <x:c r="I843">
        <x:f t="shared" si="14"/>
        <x:v>220</x:v>
      </x:c>
    </x:row>
    <x:row r="844" spans="1:9" x14ac:dyDescent="0.15">
      <x:c r="A844">
        <x:v>54005</x:v>
      </x:c>
      <x:c r="B844">
        <x:v>3</x:v>
      </x:c>
      <x:c r="C844">
        <x:v>3</x:v>
      </x:c>
      <x:c r="D844">
        <x:f>ROUND($C844*10*VLOOKUP($B844,Sheet2!$J$5:$K$7,2,FALSE)*VLOOKUP(Sheet1!$A844,Sheet2!$B$5:$H$29,3,FALSE),0)</x:f>
        <x:v>36</x:v>
      </x:c>
      <x:c r="E844">
        <x:f>ROUND($C844*10*VLOOKUP($B844,Sheet2!$J$5:$K$7,2,FALSE)*VLOOKUP(Sheet1!$A844,Sheet2!$B$5:$H$29,4,FALSE),0)</x:f>
        <x:v>0</x:v>
      </x:c>
      <x:c r="F844">
        <x:f>ROUND($C844*10*VLOOKUP($B844,Sheet2!$J$5:$K$7,2,FALSE)*VLOOKUP(Sheet1!$A844,Sheet2!$B$5:$H$29,5,FALSE),0)</x:f>
        <x:v>0</x:v>
      </x:c>
      <x:c r="G844">
        <x:f>ROUND($C844*10*VLOOKUP($B844,Sheet2!$J$5:$K$7,2,FALSE)*VLOOKUP(Sheet1!$A844,Sheet2!$B$5:$H$29,6,FALSE),0)</x:f>
        <x:v>0</x:v>
      </x:c>
      <x:c r="H844">
        <x:f>ROUND($C844*10*VLOOKUP($B844,Sheet2!$J$5:$K$7,2,FALSE)*VLOOKUP(Sheet1!$A844,Sheet2!$B$5:$H$29,7,FALSE),0)</x:f>
        <x:v>60</x:v>
      </x:c>
      <x:c r="I844">
        <x:f t="shared" si="14"/>
        <x:v>530</x:v>
      </x:c>
    </x:row>
    <x:row r="845" spans="1:9" x14ac:dyDescent="0.15">
      <x:c r="A845">
        <x:v>54005</x:v>
      </x:c>
      <x:c r="B845">
        <x:v>3</x:v>
      </x:c>
      <x:c r="C845">
        <x:v>4</x:v>
      </x:c>
      <x:c r="D845">
        <x:f>ROUND($C845*10*VLOOKUP($B845,Sheet2!$J$5:$K$7,2,FALSE)*VLOOKUP(Sheet1!$A845,Sheet2!$B$5:$H$29,3,FALSE),0)</x:f>
        <x:v>48</x:v>
      </x:c>
      <x:c r="E845">
        <x:f>ROUND($C845*10*VLOOKUP($B845,Sheet2!$J$5:$K$7,2,FALSE)*VLOOKUP(Sheet1!$A845,Sheet2!$B$5:$H$29,4,FALSE),0)</x:f>
        <x:v>0</x:v>
      </x:c>
      <x:c r="F845">
        <x:f>ROUND($C845*10*VLOOKUP($B845,Sheet2!$J$5:$K$7,2,FALSE)*VLOOKUP(Sheet1!$A845,Sheet2!$B$5:$H$29,5,FALSE),0)</x:f>
        <x:v>0</x:v>
      </x:c>
      <x:c r="G845">
        <x:f>ROUND($C845*10*VLOOKUP($B845,Sheet2!$J$5:$K$7,2,FALSE)*VLOOKUP(Sheet1!$A845,Sheet2!$B$5:$H$29,6,FALSE),0)</x:f>
        <x:v>0</x:v>
      </x:c>
      <x:c r="H845">
        <x:f>ROUND($C845*10*VLOOKUP($B845,Sheet2!$J$5:$K$7,2,FALSE)*VLOOKUP(Sheet1!$A845,Sheet2!$B$5:$H$29,7,FALSE),0)</x:f>
        <x:v>80</x:v>
      </x:c>
      <x:c r="I845">
        <x:f t="shared" si="14"/>
        <x:v>1000</x:v>
      </x:c>
    </x:row>
    <x:row r="846" spans="1:9" x14ac:dyDescent="0.15">
      <x:c r="A846">
        <x:v>54005</x:v>
      </x:c>
      <x:c r="B846">
        <x:v>3</x:v>
      </x:c>
      <x:c r="C846">
        <x:v>5</x:v>
      </x:c>
      <x:c r="D846">
        <x:f>ROUND($C846*10*VLOOKUP($B846,Sheet2!$J$5:$K$7,2,FALSE)*VLOOKUP(Sheet1!$A846,Sheet2!$B$5:$H$29,3,FALSE),0)</x:f>
        <x:v>60</x:v>
      </x:c>
      <x:c r="E846">
        <x:f>ROUND($C846*10*VLOOKUP($B846,Sheet2!$J$5:$K$7,2,FALSE)*VLOOKUP(Sheet1!$A846,Sheet2!$B$5:$H$29,4,FALSE),0)</x:f>
        <x:v>0</x:v>
      </x:c>
      <x:c r="F846">
        <x:f>ROUND($C846*10*VLOOKUP($B846,Sheet2!$J$5:$K$7,2,FALSE)*VLOOKUP(Sheet1!$A846,Sheet2!$B$5:$H$29,5,FALSE),0)</x:f>
        <x:v>0</x:v>
      </x:c>
      <x:c r="G846">
        <x:f>ROUND($C846*10*VLOOKUP($B846,Sheet2!$J$5:$K$7,2,FALSE)*VLOOKUP(Sheet1!$A846,Sheet2!$B$5:$H$29,6,FALSE),0)</x:f>
        <x:v>0</x:v>
      </x:c>
      <x:c r="H846">
        <x:f>ROUND($C846*10*VLOOKUP($B846,Sheet2!$J$5:$K$7,2,FALSE)*VLOOKUP(Sheet1!$A846,Sheet2!$B$5:$H$29,7,FALSE),0)</x:f>
        <x:v>100</x:v>
      </x:c>
      <x:c r="I846">
        <x:f t="shared" si="14"/>
        <x:v>1620</x:v>
      </x:c>
    </x:row>
    <x:row r="847" spans="1:9" x14ac:dyDescent="0.15">
      <x:c r="A847">
        <x:v>54005</x:v>
      </x:c>
      <x:c r="B847">
        <x:v>3</x:v>
      </x:c>
      <x:c r="C847">
        <x:v>6</x:v>
      </x:c>
      <x:c r="D847">
        <x:f>ROUND($C847*10*VLOOKUP($B847,Sheet2!$J$5:$K$7,2,FALSE)*VLOOKUP(Sheet1!$A847,Sheet2!$B$5:$H$29,3,FALSE),0)</x:f>
        <x:v>72</x:v>
      </x:c>
      <x:c r="E847">
        <x:f>ROUND($C847*10*VLOOKUP($B847,Sheet2!$J$5:$K$7,2,FALSE)*VLOOKUP(Sheet1!$A847,Sheet2!$B$5:$H$29,4,FALSE),0)</x:f>
        <x:v>0</x:v>
      </x:c>
      <x:c r="F847">
        <x:f>ROUND($C847*10*VLOOKUP($B847,Sheet2!$J$5:$K$7,2,FALSE)*VLOOKUP(Sheet1!$A847,Sheet2!$B$5:$H$29,5,FALSE),0)</x:f>
        <x:v>0</x:v>
      </x:c>
      <x:c r="G847">
        <x:f>ROUND($C847*10*VLOOKUP($B847,Sheet2!$J$5:$K$7,2,FALSE)*VLOOKUP(Sheet1!$A847,Sheet2!$B$5:$H$29,6,FALSE),0)</x:f>
        <x:v>0</x:v>
      </x:c>
      <x:c r="H847">
        <x:f>ROUND($C847*10*VLOOKUP($B847,Sheet2!$J$5:$K$7,2,FALSE)*VLOOKUP(Sheet1!$A847,Sheet2!$B$5:$H$29,7,FALSE),0)</x:f>
        <x:v>120</x:v>
      </x:c>
      <x:c r="I847">
        <x:f t="shared" si="14"/>
        <x:v>2370</x:v>
      </x:c>
    </x:row>
    <x:row r="848" spans="1:9" x14ac:dyDescent="0.15">
      <x:c r="A848">
        <x:v>54005</x:v>
      </x:c>
      <x:c r="B848">
        <x:v>3</x:v>
      </x:c>
      <x:c r="C848">
        <x:v>7</x:v>
      </x:c>
      <x:c r="D848">
        <x:f>ROUND($C848*10*VLOOKUP($B848,Sheet2!$J$5:$K$7,2,FALSE)*VLOOKUP(Sheet1!$A848,Sheet2!$B$5:$H$29,3,FALSE),0)</x:f>
        <x:v>84</x:v>
      </x:c>
      <x:c r="E848">
        <x:f>ROUND($C848*10*VLOOKUP($B848,Sheet2!$J$5:$K$7,2,FALSE)*VLOOKUP(Sheet1!$A848,Sheet2!$B$5:$H$29,4,FALSE),0)</x:f>
        <x:v>0</x:v>
      </x:c>
      <x:c r="F848">
        <x:f>ROUND($C848*10*VLOOKUP($B848,Sheet2!$J$5:$K$7,2,FALSE)*VLOOKUP(Sheet1!$A848,Sheet2!$B$5:$H$29,5,FALSE),0)</x:f>
        <x:v>0</x:v>
      </x:c>
      <x:c r="G848">
        <x:f>ROUND($C848*10*VLOOKUP($B848,Sheet2!$J$5:$K$7,2,FALSE)*VLOOKUP(Sheet1!$A848,Sheet2!$B$5:$H$29,6,FALSE),0)</x:f>
        <x:v>0</x:v>
      </x:c>
      <x:c r="H848">
        <x:f>ROUND($C848*10*VLOOKUP($B848,Sheet2!$J$5:$K$7,2,FALSE)*VLOOKUP(Sheet1!$A848,Sheet2!$B$5:$H$29,7,FALSE),0)</x:f>
        <x:v>140</x:v>
      </x:c>
      <x:c r="I848">
        <x:f t="shared" si="14"/>
        <x:v>3260</x:v>
      </x:c>
    </x:row>
    <x:row r="849" spans="1:9" x14ac:dyDescent="0.15">
      <x:c r="A849">
        <x:v>54005</x:v>
      </x:c>
      <x:c r="B849">
        <x:v>3</x:v>
      </x:c>
      <x:c r="C849">
        <x:v>8</x:v>
      </x:c>
      <x:c r="D849">
        <x:f>ROUND($C849*10*VLOOKUP($B849,Sheet2!$J$5:$K$7,2,FALSE)*VLOOKUP(Sheet1!$A849,Sheet2!$B$5:$H$29,3,FALSE),0)</x:f>
        <x:v>96</x:v>
      </x:c>
      <x:c r="E849">
        <x:f>ROUND($C849*10*VLOOKUP($B849,Sheet2!$J$5:$K$7,2,FALSE)*VLOOKUP(Sheet1!$A849,Sheet2!$B$5:$H$29,4,FALSE),0)</x:f>
        <x:v>0</x:v>
      </x:c>
      <x:c r="F849">
        <x:f>ROUND($C849*10*VLOOKUP($B849,Sheet2!$J$5:$K$7,2,FALSE)*VLOOKUP(Sheet1!$A849,Sheet2!$B$5:$H$29,5,FALSE),0)</x:f>
        <x:v>0</x:v>
      </x:c>
      <x:c r="G849">
        <x:f>ROUND($C849*10*VLOOKUP($B849,Sheet2!$J$5:$K$7,2,FALSE)*VLOOKUP(Sheet1!$A849,Sheet2!$B$5:$H$29,6,FALSE),0)</x:f>
        <x:v>0</x:v>
      </x:c>
      <x:c r="H849">
        <x:f>ROUND($C849*10*VLOOKUP($B849,Sheet2!$J$5:$K$7,2,FALSE)*VLOOKUP(Sheet1!$A849,Sheet2!$B$5:$H$29,7,FALSE),0)</x:f>
        <x:v>160</x:v>
      </x:c>
      <x:c r="I849">
        <x:f t="shared" si="14"/>
        <x:v>4270</x:v>
      </x:c>
    </x:row>
    <x:row r="850" spans="1:9" x14ac:dyDescent="0.15">
      <x:c r="A850">
        <x:v>54005</x:v>
      </x:c>
      <x:c r="B850">
        <x:v>3</x:v>
      </x:c>
      <x:c r="C850">
        <x:v>9</x:v>
      </x:c>
      <x:c r="D850">
        <x:f>ROUND($C850*10*VLOOKUP($B850,Sheet2!$J$5:$K$7,2,FALSE)*VLOOKUP(Sheet1!$A850,Sheet2!$B$5:$H$29,3,FALSE),0)</x:f>
        <x:v>108</x:v>
      </x:c>
      <x:c r="E850">
        <x:f>ROUND($C850*10*VLOOKUP($B850,Sheet2!$J$5:$K$7,2,FALSE)*VLOOKUP(Sheet1!$A850,Sheet2!$B$5:$H$29,4,FALSE),0)</x:f>
        <x:v>0</x:v>
      </x:c>
      <x:c r="F850">
        <x:f>ROUND($C850*10*VLOOKUP($B850,Sheet2!$J$5:$K$7,2,FALSE)*VLOOKUP(Sheet1!$A850,Sheet2!$B$5:$H$29,5,FALSE),0)</x:f>
        <x:v>0</x:v>
      </x:c>
      <x:c r="G850">
        <x:f>ROUND($C850*10*VLOOKUP($B850,Sheet2!$J$5:$K$7,2,FALSE)*VLOOKUP(Sheet1!$A850,Sheet2!$B$5:$H$29,6,FALSE),0)</x:f>
        <x:v>0</x:v>
      </x:c>
      <x:c r="H850">
        <x:f>ROUND($C850*10*VLOOKUP($B850,Sheet2!$J$5:$K$7,2,FALSE)*VLOOKUP(Sheet1!$A850,Sheet2!$B$5:$H$29,7,FALSE),0)</x:f>
        <x:v>180</x:v>
      </x:c>
      <x:c r="I850">
        <x:f t="shared" si="14"/>
        <x:v>5410</x:v>
      </x:c>
    </x:row>
    <x:row r="851" spans="1:9" x14ac:dyDescent="0.15">
      <x:c r="A851">
        <x:v>54005</x:v>
      </x:c>
      <x:c r="B851">
        <x:v>3</x:v>
      </x:c>
      <x:c r="C851">
        <x:v>10</x:v>
      </x:c>
      <x:c r="D851">
        <x:f>ROUND($C851*10*VLOOKUP($B851,Sheet2!$J$5:$K$7,2,FALSE)*VLOOKUP(Sheet1!$A851,Sheet2!$B$5:$H$29,3,FALSE),0)</x:f>
        <x:v>120</x:v>
      </x:c>
      <x:c r="E851">
        <x:f>ROUND($C851*10*VLOOKUP($B851,Sheet2!$J$5:$K$7,2,FALSE)*VLOOKUP(Sheet1!$A851,Sheet2!$B$5:$H$29,4,FALSE),0)</x:f>
        <x:v>0</x:v>
      </x:c>
      <x:c r="F851">
        <x:f>ROUND($C851*10*VLOOKUP($B851,Sheet2!$J$5:$K$7,2,FALSE)*VLOOKUP(Sheet1!$A851,Sheet2!$B$5:$H$29,5,FALSE),0)</x:f>
        <x:v>0</x:v>
      </x:c>
      <x:c r="G851">
        <x:f>ROUND($C851*10*VLOOKUP($B851,Sheet2!$J$5:$K$7,2,FALSE)*VLOOKUP(Sheet1!$A851,Sheet2!$B$5:$H$29,6,FALSE),0)</x:f>
        <x:v>0</x:v>
      </x:c>
      <x:c r="H851">
        <x:f>ROUND($C851*10*VLOOKUP($B851,Sheet2!$J$5:$K$7,2,FALSE)*VLOOKUP(Sheet1!$A851,Sheet2!$B$5:$H$29,7,FALSE),0)</x:f>
        <x:v>200</x:v>
      </x:c>
      <x:c r="I851">
        <x:f t="shared" si="14"/>
        <x:v>6670</x:v>
      </x:c>
    </x:row>
    <x:row r="852" spans="1:9" x14ac:dyDescent="0.15">
      <x:c r="A852">
        <x:v>54005</x:v>
      </x:c>
      <x:c r="B852">
        <x:v>3</x:v>
      </x:c>
      <x:c r="C852">
        <x:v>11</x:v>
      </x:c>
      <x:c r="D852">
        <x:f>ROUND($C852*10*VLOOKUP($B852,Sheet2!$J$5:$K$7,2,FALSE)*VLOOKUP(Sheet1!$A852,Sheet2!$B$5:$H$29,3,FALSE),0)</x:f>
        <x:v>132</x:v>
      </x:c>
      <x:c r="E852">
        <x:f>ROUND($C852*10*VLOOKUP($B852,Sheet2!$J$5:$K$7,2,FALSE)*VLOOKUP(Sheet1!$A852,Sheet2!$B$5:$H$29,4,FALSE),0)</x:f>
        <x:v>0</x:v>
      </x:c>
      <x:c r="F852">
        <x:f>ROUND($C852*10*VLOOKUP($B852,Sheet2!$J$5:$K$7,2,FALSE)*VLOOKUP(Sheet1!$A852,Sheet2!$B$5:$H$29,5,FALSE),0)</x:f>
        <x:v>0</x:v>
      </x:c>
      <x:c r="G852">
        <x:f>ROUND($C852*10*VLOOKUP($B852,Sheet2!$J$5:$K$7,2,FALSE)*VLOOKUP(Sheet1!$A852,Sheet2!$B$5:$H$29,6,FALSE),0)</x:f>
        <x:v>0</x:v>
      </x:c>
      <x:c r="H852">
        <x:f>ROUND($C852*10*VLOOKUP($B852,Sheet2!$J$5:$K$7,2,FALSE)*VLOOKUP(Sheet1!$A852,Sheet2!$B$5:$H$29,7,FALSE),0)</x:f>
        <x:v>220</x:v>
      </x:c>
      <x:c r="I852">
        <x:f t="shared" si="14"/>
        <x:v>8040</x:v>
      </x:c>
    </x:row>
    <x:row r="853" spans="1:9" x14ac:dyDescent="0.15">
      <x:c r="A853">
        <x:v>54005</x:v>
      </x:c>
      <x:c r="B853">
        <x:v>3</x:v>
      </x:c>
      <x:c r="C853">
        <x:v>12</x:v>
      </x:c>
      <x:c r="D853">
        <x:f>ROUND($C853*10*VLOOKUP($B853,Sheet2!$J$5:$K$7,2,FALSE)*VLOOKUP(Sheet1!$A853,Sheet2!$B$5:$H$29,3,FALSE),0)</x:f>
        <x:v>144</x:v>
      </x:c>
      <x:c r="E853">
        <x:f>ROUND($C853*10*VLOOKUP($B853,Sheet2!$J$5:$K$7,2,FALSE)*VLOOKUP(Sheet1!$A853,Sheet2!$B$5:$H$29,4,FALSE),0)</x:f>
        <x:v>0</x:v>
      </x:c>
      <x:c r="F853">
        <x:f>ROUND($C853*10*VLOOKUP($B853,Sheet2!$J$5:$K$7,2,FALSE)*VLOOKUP(Sheet1!$A853,Sheet2!$B$5:$H$29,5,FALSE),0)</x:f>
        <x:v>0</x:v>
      </x:c>
      <x:c r="G853">
        <x:f>ROUND($C853*10*VLOOKUP($B853,Sheet2!$J$5:$K$7,2,FALSE)*VLOOKUP(Sheet1!$A853,Sheet2!$B$5:$H$29,6,FALSE),0)</x:f>
        <x:v>0</x:v>
      </x:c>
      <x:c r="H853">
        <x:f>ROUND($C853*10*VLOOKUP($B853,Sheet2!$J$5:$K$7,2,FALSE)*VLOOKUP(Sheet1!$A853,Sheet2!$B$5:$H$29,7,FALSE),0)</x:f>
        <x:v>240</x:v>
      </x:c>
      <x:c r="I853">
        <x:f t="shared" si="14"/>
        <x:v>9530</x:v>
      </x:c>
    </x:row>
    <x:row r="854" spans="1:9" x14ac:dyDescent="0.15">
      <x:c r="A854">
        <x:v>54005</x:v>
      </x:c>
      <x:c r="B854">
        <x:v>3</x:v>
      </x:c>
      <x:c r="C854">
        <x:v>13</x:v>
      </x:c>
      <x:c r="D854">
        <x:f>ROUND($C854*10*VLOOKUP($B854,Sheet2!$J$5:$K$7,2,FALSE)*VLOOKUP(Sheet1!$A854,Sheet2!$B$5:$H$29,3,FALSE),0)</x:f>
        <x:v>156</x:v>
      </x:c>
      <x:c r="E854">
        <x:f>ROUND($C854*10*VLOOKUP($B854,Sheet2!$J$5:$K$7,2,FALSE)*VLOOKUP(Sheet1!$A854,Sheet2!$B$5:$H$29,4,FALSE),0)</x:f>
        <x:v>0</x:v>
      </x:c>
      <x:c r="F854">
        <x:f>ROUND($C854*10*VLOOKUP($B854,Sheet2!$J$5:$K$7,2,FALSE)*VLOOKUP(Sheet1!$A854,Sheet2!$B$5:$H$29,5,FALSE),0)</x:f>
        <x:v>0</x:v>
      </x:c>
      <x:c r="G854">
        <x:f>ROUND($C854*10*VLOOKUP($B854,Sheet2!$J$5:$K$7,2,FALSE)*VLOOKUP(Sheet1!$A854,Sheet2!$B$5:$H$29,6,FALSE),0)</x:f>
        <x:v>0</x:v>
      </x:c>
      <x:c r="H854">
        <x:f>ROUND($C854*10*VLOOKUP($B854,Sheet2!$J$5:$K$7,2,FALSE)*VLOOKUP(Sheet1!$A854,Sheet2!$B$5:$H$29,7,FALSE),0)</x:f>
        <x:v>260</x:v>
      </x:c>
      <x:c r="I854">
        <x:f t="shared" si="14"/>
        <x:v>11130</x:v>
      </x:c>
    </x:row>
    <x:row r="855" spans="1:9" x14ac:dyDescent="0.15">
      <x:c r="A855">
        <x:v>54005</x:v>
      </x:c>
      <x:c r="B855">
        <x:v>3</x:v>
      </x:c>
      <x:c r="C855">
        <x:v>14</x:v>
      </x:c>
      <x:c r="D855">
        <x:f>ROUND($C855*10*VLOOKUP($B855,Sheet2!$J$5:$K$7,2,FALSE)*VLOOKUP(Sheet1!$A855,Sheet2!$B$5:$H$29,3,FALSE),0)</x:f>
        <x:v>168</x:v>
      </x:c>
      <x:c r="E855">
        <x:f>ROUND($C855*10*VLOOKUP($B855,Sheet2!$J$5:$K$7,2,FALSE)*VLOOKUP(Sheet1!$A855,Sheet2!$B$5:$H$29,4,FALSE),0)</x:f>
        <x:v>0</x:v>
      </x:c>
      <x:c r="F855">
        <x:f>ROUND($C855*10*VLOOKUP($B855,Sheet2!$J$5:$K$7,2,FALSE)*VLOOKUP(Sheet1!$A855,Sheet2!$B$5:$H$29,5,FALSE),0)</x:f>
        <x:v>0</x:v>
      </x:c>
      <x:c r="G855">
        <x:f>ROUND($C855*10*VLOOKUP($B855,Sheet2!$J$5:$K$7,2,FALSE)*VLOOKUP(Sheet1!$A855,Sheet2!$B$5:$H$29,6,FALSE),0)</x:f>
        <x:v>0</x:v>
      </x:c>
      <x:c r="H855">
        <x:f>ROUND($C855*10*VLOOKUP($B855,Sheet2!$J$5:$K$7,2,FALSE)*VLOOKUP(Sheet1!$A855,Sheet2!$B$5:$H$29,7,FALSE),0)</x:f>
        <x:v>280</x:v>
      </x:c>
      <x:c r="I855">
        <x:f t="shared" si="14"/>
        <x:v>12840</x:v>
      </x:c>
    </x:row>
    <x:row r="856" spans="1:9" x14ac:dyDescent="0.15">
      <x:c r="A856">
        <x:v>54005</x:v>
      </x:c>
      <x:c r="B856">
        <x:v>3</x:v>
      </x:c>
      <x:c r="C856">
        <x:v>15</x:v>
      </x:c>
      <x:c r="D856">
        <x:f>ROUND($C856*10*VLOOKUP($B856,Sheet2!$J$5:$K$7,2,FALSE)*VLOOKUP(Sheet1!$A856,Sheet2!$B$5:$H$29,3,FALSE),0)</x:f>
        <x:v>180</x:v>
      </x:c>
      <x:c r="E856">
        <x:f>ROUND($C856*10*VLOOKUP($B856,Sheet2!$J$5:$K$7,2,FALSE)*VLOOKUP(Sheet1!$A856,Sheet2!$B$5:$H$29,4,FALSE),0)</x:f>
        <x:v>0</x:v>
      </x:c>
      <x:c r="F856">
        <x:f>ROUND($C856*10*VLOOKUP($B856,Sheet2!$J$5:$K$7,2,FALSE)*VLOOKUP(Sheet1!$A856,Sheet2!$B$5:$H$29,5,FALSE),0)</x:f>
        <x:v>0</x:v>
      </x:c>
      <x:c r="G856">
        <x:f>ROUND($C856*10*VLOOKUP($B856,Sheet2!$J$5:$K$7,2,FALSE)*VLOOKUP(Sheet1!$A856,Sheet2!$B$5:$H$29,6,FALSE),0)</x:f>
        <x:v>0</x:v>
      </x:c>
      <x:c r="H856">
        <x:f>ROUND($C856*10*VLOOKUP($B856,Sheet2!$J$5:$K$7,2,FALSE)*VLOOKUP(Sheet1!$A856,Sheet2!$B$5:$H$29,7,FALSE),0)</x:f>
        <x:v>300</x:v>
      </x:c>
      <x:c r="I856">
        <x:f t="shared" si="14"/>
        <x:v>14660</x:v>
      </x:c>
    </x:row>
    <x:row r="857" spans="1:9" x14ac:dyDescent="0.15">
      <x:c r="A857">
        <x:v>54005</x:v>
      </x:c>
      <x:c r="B857">
        <x:v>3</x:v>
      </x:c>
      <x:c r="C857">
        <x:v>16</x:v>
      </x:c>
      <x:c r="D857">
        <x:f>ROUND($C857*10*VLOOKUP($B857,Sheet2!$J$5:$K$7,2,FALSE)*VLOOKUP(Sheet1!$A857,Sheet2!$B$5:$H$29,3,FALSE),0)</x:f>
        <x:v>192</x:v>
      </x:c>
      <x:c r="E857">
        <x:f>ROUND($C857*10*VLOOKUP($B857,Sheet2!$J$5:$K$7,2,FALSE)*VLOOKUP(Sheet1!$A857,Sheet2!$B$5:$H$29,4,FALSE),0)</x:f>
        <x:v>0</x:v>
      </x:c>
      <x:c r="F857">
        <x:f>ROUND($C857*10*VLOOKUP($B857,Sheet2!$J$5:$K$7,2,FALSE)*VLOOKUP(Sheet1!$A857,Sheet2!$B$5:$H$29,5,FALSE),0)</x:f>
        <x:v>0</x:v>
      </x:c>
      <x:c r="G857">
        <x:f>ROUND($C857*10*VLOOKUP($B857,Sheet2!$J$5:$K$7,2,FALSE)*VLOOKUP(Sheet1!$A857,Sheet2!$B$5:$H$29,6,FALSE),0)</x:f>
        <x:v>0</x:v>
      </x:c>
      <x:c r="H857">
        <x:f>ROUND($C857*10*VLOOKUP($B857,Sheet2!$J$5:$K$7,2,FALSE)*VLOOKUP(Sheet1!$A857,Sheet2!$B$5:$H$29,7,FALSE),0)</x:f>
        <x:v>320</x:v>
      </x:c>
      <x:c r="I857">
        <x:f t="shared" si="14"/>
        <x:v>16580</x:v>
      </x:c>
    </x:row>
    <x:row r="858" spans="1:9" x14ac:dyDescent="0.15">
      <x:c r="A858">
        <x:v>54005</x:v>
      </x:c>
      <x:c r="B858">
        <x:v>3</x:v>
      </x:c>
      <x:c r="C858">
        <x:v>17</x:v>
      </x:c>
      <x:c r="D858">
        <x:f>ROUND($C858*10*VLOOKUP($B858,Sheet2!$J$5:$K$7,2,FALSE)*VLOOKUP(Sheet1!$A858,Sheet2!$B$5:$H$29,3,FALSE),0)</x:f>
        <x:v>204</x:v>
      </x:c>
      <x:c r="E858">
        <x:f>ROUND($C858*10*VLOOKUP($B858,Sheet2!$J$5:$K$7,2,FALSE)*VLOOKUP(Sheet1!$A858,Sheet2!$B$5:$H$29,4,FALSE),0)</x:f>
        <x:v>0</x:v>
      </x:c>
      <x:c r="F858">
        <x:f>ROUND($C858*10*VLOOKUP($B858,Sheet2!$J$5:$K$7,2,FALSE)*VLOOKUP(Sheet1!$A858,Sheet2!$B$5:$H$29,5,FALSE),0)</x:f>
        <x:v>0</x:v>
      </x:c>
      <x:c r="G858">
        <x:f>ROUND($C858*10*VLOOKUP($B858,Sheet2!$J$5:$K$7,2,FALSE)*VLOOKUP(Sheet1!$A858,Sheet2!$B$5:$H$29,6,FALSE),0)</x:f>
        <x:v>0</x:v>
      </x:c>
      <x:c r="H858">
        <x:f>ROUND($C858*10*VLOOKUP($B858,Sheet2!$J$5:$K$7,2,FALSE)*VLOOKUP(Sheet1!$A858,Sheet2!$B$5:$H$29,7,FALSE),0)</x:f>
        <x:v>340</x:v>
      </x:c>
      <x:c r="I858">
        <x:f t="shared" si="14"/>
        <x:v>18620</x:v>
      </x:c>
    </x:row>
    <x:row r="859" spans="1:9" x14ac:dyDescent="0.15">
      <x:c r="A859">
        <x:v>54005</x:v>
      </x:c>
      <x:c r="B859">
        <x:v>3</x:v>
      </x:c>
      <x:c r="C859">
        <x:v>18</x:v>
      </x:c>
      <x:c r="D859">
        <x:f>ROUND($C859*10*VLOOKUP($B859,Sheet2!$J$5:$K$7,2,FALSE)*VLOOKUP(Sheet1!$A859,Sheet2!$B$5:$H$29,3,FALSE),0)</x:f>
        <x:v>216</x:v>
      </x:c>
      <x:c r="E859">
        <x:f>ROUND($C859*10*VLOOKUP($B859,Sheet2!$J$5:$K$7,2,FALSE)*VLOOKUP(Sheet1!$A859,Sheet2!$B$5:$H$29,4,FALSE),0)</x:f>
        <x:v>0</x:v>
      </x:c>
      <x:c r="F859">
        <x:f>ROUND($C859*10*VLOOKUP($B859,Sheet2!$J$5:$K$7,2,FALSE)*VLOOKUP(Sheet1!$A859,Sheet2!$B$5:$H$29,5,FALSE),0)</x:f>
        <x:v>0</x:v>
      </x:c>
      <x:c r="G859">
        <x:f>ROUND($C859*10*VLOOKUP($B859,Sheet2!$J$5:$K$7,2,FALSE)*VLOOKUP(Sheet1!$A859,Sheet2!$B$5:$H$29,6,FALSE),0)</x:f>
        <x:v>0</x:v>
      </x:c>
      <x:c r="H859">
        <x:f>ROUND($C859*10*VLOOKUP($B859,Sheet2!$J$5:$K$7,2,FALSE)*VLOOKUP(Sheet1!$A859,Sheet2!$B$5:$H$29,7,FALSE),0)</x:f>
        <x:v>360</x:v>
      </x:c>
      <x:c r="I859">
        <x:f t="shared" si="14"/>
        <x:v>20750</x:v>
      </x:c>
    </x:row>
    <x:row r="860" spans="1:9" x14ac:dyDescent="0.15">
      <x:c r="A860">
        <x:v>54005</x:v>
      </x:c>
      <x:c r="B860">
        <x:v>3</x:v>
      </x:c>
      <x:c r="C860">
        <x:v>19</x:v>
      </x:c>
      <x:c r="D860">
        <x:f>ROUND($C860*10*VLOOKUP($B860,Sheet2!$J$5:$K$7,2,FALSE)*VLOOKUP(Sheet1!$A860,Sheet2!$B$5:$H$29,3,FALSE),0)</x:f>
        <x:v>228</x:v>
      </x:c>
      <x:c r="E860">
        <x:f>ROUND($C860*10*VLOOKUP($B860,Sheet2!$J$5:$K$7,2,FALSE)*VLOOKUP(Sheet1!$A860,Sheet2!$B$5:$H$29,4,FALSE),0)</x:f>
        <x:v>0</x:v>
      </x:c>
      <x:c r="F860">
        <x:f>ROUND($C860*10*VLOOKUP($B860,Sheet2!$J$5:$K$7,2,FALSE)*VLOOKUP(Sheet1!$A860,Sheet2!$B$5:$H$29,5,FALSE),0)</x:f>
        <x:v>0</x:v>
      </x:c>
      <x:c r="G860">
        <x:f>ROUND($C860*10*VLOOKUP($B860,Sheet2!$J$5:$K$7,2,FALSE)*VLOOKUP(Sheet1!$A860,Sheet2!$B$5:$H$29,6,FALSE),0)</x:f>
        <x:v>0</x:v>
      </x:c>
      <x:c r="H860">
        <x:f>ROUND($C860*10*VLOOKUP($B860,Sheet2!$J$5:$K$7,2,FALSE)*VLOOKUP(Sheet1!$A860,Sheet2!$B$5:$H$29,7,FALSE),0)</x:f>
        <x:v>380</x:v>
      </x:c>
      <x:c r="I860">
        <x:f t="shared" si="14"/>
        <x:v>22990</x:v>
      </x:c>
    </x:row>
    <x:row r="861" spans="1:9" x14ac:dyDescent="0.15">
      <x:c r="A861">
        <x:v>54005</x:v>
      </x:c>
      <x:c r="B861">
        <x:v>3</x:v>
      </x:c>
      <x:c r="C861">
        <x:v>20</x:v>
      </x:c>
      <x:c r="D861">
        <x:f>ROUND($C861*10*VLOOKUP($B861,Sheet2!$J$5:$K$7,2,FALSE)*VLOOKUP(Sheet1!$A861,Sheet2!$B$5:$H$29,3,FALSE),0)</x:f>
        <x:v>240</x:v>
      </x:c>
      <x:c r="E861">
        <x:f>ROUND($C861*10*VLOOKUP($B861,Sheet2!$J$5:$K$7,2,FALSE)*VLOOKUP(Sheet1!$A861,Sheet2!$B$5:$H$29,4,FALSE),0)</x:f>
        <x:v>0</x:v>
      </x:c>
      <x:c r="F861">
        <x:f>ROUND($C861*10*VLOOKUP($B861,Sheet2!$J$5:$K$7,2,FALSE)*VLOOKUP(Sheet1!$A861,Sheet2!$B$5:$H$29,5,FALSE),0)</x:f>
        <x:v>0</x:v>
      </x:c>
      <x:c r="G861">
        <x:f>ROUND($C861*10*VLOOKUP($B861,Sheet2!$J$5:$K$7,2,FALSE)*VLOOKUP(Sheet1!$A861,Sheet2!$B$5:$H$29,6,FALSE),0)</x:f>
        <x:v>0</x:v>
      </x:c>
      <x:c r="H861">
        <x:f>ROUND($C861*10*VLOOKUP($B861,Sheet2!$J$5:$K$7,2,FALSE)*VLOOKUP(Sheet1!$A861,Sheet2!$B$5:$H$29,7,FALSE),0)</x:f>
        <x:v>400</x:v>
      </x:c>
      <x:c r="I861">
        <x:f t="shared" si="14"/>
        <x:v>25330</x:v>
      </x:c>
    </x:row>
    <x:row r="862" spans="1:9" x14ac:dyDescent="0.15">
      <x:c r="A862">
        <x:v>54005</x:v>
      </x:c>
      <x:c r="B862">
        <x:v>3</x:v>
      </x:c>
      <x:c r="C862">
        <x:v>21</x:v>
      </x:c>
      <x:c r="D862">
        <x:f>ROUND($C862*10*VLOOKUP($B862,Sheet2!$J$5:$K$7,2,FALSE)*VLOOKUP(Sheet1!$A862,Sheet2!$B$5:$H$29,3,FALSE),0)</x:f>
        <x:v>252</x:v>
      </x:c>
      <x:c r="E862">
        <x:f>ROUND($C862*10*VLOOKUP($B862,Sheet2!$J$5:$K$7,2,FALSE)*VLOOKUP(Sheet1!$A862,Sheet2!$B$5:$H$29,4,FALSE),0)</x:f>
        <x:v>0</x:v>
      </x:c>
      <x:c r="F862">
        <x:f>ROUND($C862*10*VLOOKUP($B862,Sheet2!$J$5:$K$7,2,FALSE)*VLOOKUP(Sheet1!$A862,Sheet2!$B$5:$H$29,5,FALSE),0)</x:f>
        <x:v>0</x:v>
      </x:c>
      <x:c r="G862">
        <x:f>ROUND($C862*10*VLOOKUP($B862,Sheet2!$J$5:$K$7,2,FALSE)*VLOOKUP(Sheet1!$A862,Sheet2!$B$5:$H$29,6,FALSE),0)</x:f>
        <x:v>0</x:v>
      </x:c>
      <x:c r="H862">
        <x:f>ROUND($C862*10*VLOOKUP($B862,Sheet2!$J$5:$K$7,2,FALSE)*VLOOKUP(Sheet1!$A862,Sheet2!$B$5:$H$29,7,FALSE),0)</x:f>
        <x:v>420</x:v>
      </x:c>
      <x:c r="I862">
        <x:f t="shared" si="14"/>
        <x:v>27770</x:v>
      </x:c>
    </x:row>
    <x:row r="863" spans="1:9" x14ac:dyDescent="0.15">
      <x:c r="A863">
        <x:v>54005</x:v>
      </x:c>
      <x:c r="B863">
        <x:v>3</x:v>
      </x:c>
      <x:c r="C863">
        <x:v>22</x:v>
      </x:c>
      <x:c r="D863">
        <x:f>ROUND($C863*10*VLOOKUP($B863,Sheet2!$J$5:$K$7,2,FALSE)*VLOOKUP(Sheet1!$A863,Sheet2!$B$5:$H$29,3,FALSE),0)</x:f>
        <x:v>264</x:v>
      </x:c>
      <x:c r="E863">
        <x:f>ROUND($C863*10*VLOOKUP($B863,Sheet2!$J$5:$K$7,2,FALSE)*VLOOKUP(Sheet1!$A863,Sheet2!$B$5:$H$29,4,FALSE),0)</x:f>
        <x:v>0</x:v>
      </x:c>
      <x:c r="F863">
        <x:f>ROUND($C863*10*VLOOKUP($B863,Sheet2!$J$5:$K$7,2,FALSE)*VLOOKUP(Sheet1!$A863,Sheet2!$B$5:$H$29,5,FALSE),0)</x:f>
        <x:v>0</x:v>
      </x:c>
      <x:c r="G863">
        <x:f>ROUND($C863*10*VLOOKUP($B863,Sheet2!$J$5:$K$7,2,FALSE)*VLOOKUP(Sheet1!$A863,Sheet2!$B$5:$H$29,6,FALSE),0)</x:f>
        <x:v>0</x:v>
      </x:c>
      <x:c r="H863">
        <x:f>ROUND($C863*10*VLOOKUP($B863,Sheet2!$J$5:$K$7,2,FALSE)*VLOOKUP(Sheet1!$A863,Sheet2!$B$5:$H$29,7,FALSE),0)</x:f>
        <x:v>440</x:v>
      </x:c>
      <x:c r="I863">
        <x:f t="shared" si="14"/>
        <x:v>30310</x:v>
      </x:c>
    </x:row>
    <x:row r="864" spans="1:9" x14ac:dyDescent="0.15">
      <x:c r="A864">
        <x:v>54005</x:v>
      </x:c>
      <x:c r="B864">
        <x:v>3</x:v>
      </x:c>
      <x:c r="C864">
        <x:v>23</x:v>
      </x:c>
      <x:c r="D864">
        <x:f>ROUND($C864*10*VLOOKUP($B864,Sheet2!$J$5:$K$7,2,FALSE)*VLOOKUP(Sheet1!$A864,Sheet2!$B$5:$H$29,3,FALSE),0)</x:f>
        <x:v>276</x:v>
      </x:c>
      <x:c r="E864">
        <x:f>ROUND($C864*10*VLOOKUP($B864,Sheet2!$J$5:$K$7,2,FALSE)*VLOOKUP(Sheet1!$A864,Sheet2!$B$5:$H$29,4,FALSE),0)</x:f>
        <x:v>0</x:v>
      </x:c>
      <x:c r="F864">
        <x:f>ROUND($C864*10*VLOOKUP($B864,Sheet2!$J$5:$K$7,2,FALSE)*VLOOKUP(Sheet1!$A864,Sheet2!$B$5:$H$29,5,FALSE),0)</x:f>
        <x:v>0</x:v>
      </x:c>
      <x:c r="G864">
        <x:f>ROUND($C864*10*VLOOKUP($B864,Sheet2!$J$5:$K$7,2,FALSE)*VLOOKUP(Sheet1!$A864,Sheet2!$B$5:$H$29,6,FALSE),0)</x:f>
        <x:v>0</x:v>
      </x:c>
      <x:c r="H864">
        <x:f>ROUND($C864*10*VLOOKUP($B864,Sheet2!$J$5:$K$7,2,FALSE)*VLOOKUP(Sheet1!$A864,Sheet2!$B$5:$H$29,7,FALSE),0)</x:f>
        <x:v>460</x:v>
      </x:c>
      <x:c r="I864">
        <x:f t="shared" si="14"/>
        <x:v>32950</x:v>
      </x:c>
    </x:row>
    <x:row r="865" spans="1:9" x14ac:dyDescent="0.15">
      <x:c r="A865">
        <x:v>54005</x:v>
      </x:c>
      <x:c r="B865">
        <x:v>3</x:v>
      </x:c>
      <x:c r="C865">
        <x:v>24</x:v>
      </x:c>
      <x:c r="D865">
        <x:f>ROUND($C865*10*VLOOKUP($B865,Sheet2!$J$5:$K$7,2,FALSE)*VLOOKUP(Sheet1!$A865,Sheet2!$B$5:$H$29,3,FALSE),0)</x:f>
        <x:v>288</x:v>
      </x:c>
      <x:c r="E865">
        <x:f>ROUND($C865*10*VLOOKUP($B865,Sheet2!$J$5:$K$7,2,FALSE)*VLOOKUP(Sheet1!$A865,Sheet2!$B$5:$H$29,4,FALSE),0)</x:f>
        <x:v>0</x:v>
      </x:c>
      <x:c r="F865">
        <x:f>ROUND($C865*10*VLOOKUP($B865,Sheet2!$J$5:$K$7,2,FALSE)*VLOOKUP(Sheet1!$A865,Sheet2!$B$5:$H$29,5,FALSE),0)</x:f>
        <x:v>0</x:v>
      </x:c>
      <x:c r="G865">
        <x:f>ROUND($C865*10*VLOOKUP($B865,Sheet2!$J$5:$K$7,2,FALSE)*VLOOKUP(Sheet1!$A865,Sheet2!$B$5:$H$29,6,FALSE),0)</x:f>
        <x:v>0</x:v>
      </x:c>
      <x:c r="H865">
        <x:f>ROUND($C865*10*VLOOKUP($B865,Sheet2!$J$5:$K$7,2,FALSE)*VLOOKUP(Sheet1!$A865,Sheet2!$B$5:$H$29,7,FALSE),0)</x:f>
        <x:v>480</x:v>
      </x:c>
      <x:c r="I865">
        <x:f t="shared" si="14"/>
        <x:v>35690</x:v>
      </x:c>
    </x:row>
    <x:row r="866" spans="1:9" x14ac:dyDescent="0.15">
      <x:c r="A866">
        <x:v>54005</x:v>
      </x:c>
      <x:c r="B866">
        <x:v>3</x:v>
      </x:c>
      <x:c r="C866">
        <x:v>25</x:v>
      </x:c>
      <x:c r="D866">
        <x:f>ROUND($C866*10*VLOOKUP($B866,Sheet2!$J$5:$K$7,2,FALSE)*VLOOKUP(Sheet1!$A866,Sheet2!$B$5:$H$29,3,FALSE),0)</x:f>
        <x:v>300</x:v>
      </x:c>
      <x:c r="E866">
        <x:f>ROUND($C866*10*VLOOKUP($B866,Sheet2!$J$5:$K$7,2,FALSE)*VLOOKUP(Sheet1!$A866,Sheet2!$B$5:$H$29,4,FALSE),0)</x:f>
        <x:v>0</x:v>
      </x:c>
      <x:c r="F866">
        <x:f>ROUND($C866*10*VLOOKUP($B866,Sheet2!$J$5:$K$7,2,FALSE)*VLOOKUP(Sheet1!$A866,Sheet2!$B$5:$H$29,5,FALSE),0)</x:f>
        <x:v>0</x:v>
      </x:c>
      <x:c r="G866">
        <x:f>ROUND($C866*10*VLOOKUP($B866,Sheet2!$J$5:$K$7,2,FALSE)*VLOOKUP(Sheet1!$A866,Sheet2!$B$5:$H$29,6,FALSE),0)</x:f>
        <x:v>0</x:v>
      </x:c>
      <x:c r="H866">
        <x:f>ROUND($C866*10*VLOOKUP($B866,Sheet2!$J$5:$K$7,2,FALSE)*VLOOKUP(Sheet1!$A866,Sheet2!$B$5:$H$29,7,FALSE),0)</x:f>
        <x:v>500</x:v>
      </x:c>
      <x:c r="I866">
        <x:f t="shared" si="14"/>
        <x:v>38530</x:v>
      </x:c>
    </x:row>
    <x:row r="867" spans="1:9" x14ac:dyDescent="0.15">
      <x:c r="A867">
        <x:v>54005</x:v>
      </x:c>
      <x:c r="B867">
        <x:v>3</x:v>
      </x:c>
      <x:c r="C867">
        <x:v>26</x:v>
      </x:c>
      <x:c r="D867">
        <x:f>ROUND($C867*10*VLOOKUP($B867,Sheet2!$J$5:$K$7,2,FALSE)*VLOOKUP(Sheet1!$A867,Sheet2!$B$5:$H$29,3,FALSE),0)</x:f>
        <x:v>312</x:v>
      </x:c>
      <x:c r="E867">
        <x:f>ROUND($C867*10*VLOOKUP($B867,Sheet2!$J$5:$K$7,2,FALSE)*VLOOKUP(Sheet1!$A867,Sheet2!$B$5:$H$29,4,FALSE),0)</x:f>
        <x:v>0</x:v>
      </x:c>
      <x:c r="F867">
        <x:f>ROUND($C867*10*VLOOKUP($B867,Sheet2!$J$5:$K$7,2,FALSE)*VLOOKUP(Sheet1!$A867,Sheet2!$B$5:$H$29,5,FALSE),0)</x:f>
        <x:v>0</x:v>
      </x:c>
      <x:c r="G867">
        <x:f>ROUND($C867*10*VLOOKUP($B867,Sheet2!$J$5:$K$7,2,FALSE)*VLOOKUP(Sheet1!$A867,Sheet2!$B$5:$H$29,6,FALSE),0)</x:f>
        <x:v>0</x:v>
      </x:c>
      <x:c r="H867">
        <x:f>ROUND($C867*10*VLOOKUP($B867,Sheet2!$J$5:$K$7,2,FALSE)*VLOOKUP(Sheet1!$A867,Sheet2!$B$5:$H$29,7,FALSE),0)</x:f>
        <x:v>520</x:v>
      </x:c>
      <x:c r="I867">
        <x:f t="shared" si="14"/>
        <x:v>41460</x:v>
      </x:c>
    </x:row>
    <x:row r="868" spans="1:9" x14ac:dyDescent="0.15">
      <x:c r="A868">
        <x:v>54005</x:v>
      </x:c>
      <x:c r="B868">
        <x:v>3</x:v>
      </x:c>
      <x:c r="C868">
        <x:v>27</x:v>
      </x:c>
      <x:c r="D868">
        <x:f>ROUND($C868*10*VLOOKUP($B868,Sheet2!$J$5:$K$7,2,FALSE)*VLOOKUP(Sheet1!$A868,Sheet2!$B$5:$H$29,3,FALSE),0)</x:f>
        <x:v>324</x:v>
      </x:c>
      <x:c r="E868">
        <x:f>ROUND($C868*10*VLOOKUP($B868,Sheet2!$J$5:$K$7,2,FALSE)*VLOOKUP(Sheet1!$A868,Sheet2!$B$5:$H$29,4,FALSE),0)</x:f>
        <x:v>0</x:v>
      </x:c>
      <x:c r="F868">
        <x:f>ROUND($C868*10*VLOOKUP($B868,Sheet2!$J$5:$K$7,2,FALSE)*VLOOKUP(Sheet1!$A868,Sheet2!$B$5:$H$29,5,FALSE),0)</x:f>
        <x:v>0</x:v>
      </x:c>
      <x:c r="G868">
        <x:f>ROUND($C868*10*VLOOKUP($B868,Sheet2!$J$5:$K$7,2,FALSE)*VLOOKUP(Sheet1!$A868,Sheet2!$B$5:$H$29,6,FALSE),0)</x:f>
        <x:v>0</x:v>
      </x:c>
      <x:c r="H868">
        <x:f>ROUND($C868*10*VLOOKUP($B868,Sheet2!$J$5:$K$7,2,FALSE)*VLOOKUP(Sheet1!$A868,Sheet2!$B$5:$H$29,7,FALSE),0)</x:f>
        <x:v>540</x:v>
      </x:c>
      <x:c r="I868">
        <x:f t="shared" si="14"/>
        <x:v>44480</x:v>
      </x:c>
    </x:row>
    <x:row r="869" spans="1:9" x14ac:dyDescent="0.15">
      <x:c r="A869">
        <x:v>54005</x:v>
      </x:c>
      <x:c r="B869">
        <x:v>3</x:v>
      </x:c>
      <x:c r="C869">
        <x:v>28</x:v>
      </x:c>
      <x:c r="D869">
        <x:f>ROUND($C869*10*VLOOKUP($B869,Sheet2!$J$5:$K$7,2,FALSE)*VLOOKUP(Sheet1!$A869,Sheet2!$B$5:$H$29,3,FALSE),0)</x:f>
        <x:v>336</x:v>
      </x:c>
      <x:c r="E869">
        <x:f>ROUND($C869*10*VLOOKUP($B869,Sheet2!$J$5:$K$7,2,FALSE)*VLOOKUP(Sheet1!$A869,Sheet2!$B$5:$H$29,4,FALSE),0)</x:f>
        <x:v>0</x:v>
      </x:c>
      <x:c r="F869">
        <x:f>ROUND($C869*10*VLOOKUP($B869,Sheet2!$J$5:$K$7,2,FALSE)*VLOOKUP(Sheet1!$A869,Sheet2!$B$5:$H$29,5,FALSE),0)</x:f>
        <x:v>0</x:v>
      </x:c>
      <x:c r="G869">
        <x:f>ROUND($C869*10*VLOOKUP($B869,Sheet2!$J$5:$K$7,2,FALSE)*VLOOKUP(Sheet1!$A869,Sheet2!$B$5:$H$29,6,FALSE),0)</x:f>
        <x:v>0</x:v>
      </x:c>
      <x:c r="H869">
        <x:f>ROUND($C869*10*VLOOKUP($B869,Sheet2!$J$5:$K$7,2,FALSE)*VLOOKUP(Sheet1!$A869,Sheet2!$B$5:$H$29,7,FALSE),0)</x:f>
        <x:v>560</x:v>
      </x:c>
      <x:c r="I869">
        <x:f t="shared" si="14"/>
        <x:v>47600</x:v>
      </x:c>
    </x:row>
    <x:row r="870" spans="1:9" x14ac:dyDescent="0.15">
      <x:c r="A870">
        <x:v>54005</x:v>
      </x:c>
      <x:c r="B870">
        <x:v>3</x:v>
      </x:c>
      <x:c r="C870">
        <x:v>29</x:v>
      </x:c>
      <x:c r="D870">
        <x:f>ROUND($C870*10*VLOOKUP($B870,Sheet2!$J$5:$K$7,2,FALSE)*VLOOKUP(Sheet1!$A870,Sheet2!$B$5:$H$29,3,FALSE),0)</x:f>
        <x:v>348</x:v>
      </x:c>
      <x:c r="E870">
        <x:f>ROUND($C870*10*VLOOKUP($B870,Sheet2!$J$5:$K$7,2,FALSE)*VLOOKUP(Sheet1!$A870,Sheet2!$B$5:$H$29,4,FALSE),0)</x:f>
        <x:v>0</x:v>
      </x:c>
      <x:c r="F870">
        <x:f>ROUND($C870*10*VLOOKUP($B870,Sheet2!$J$5:$K$7,2,FALSE)*VLOOKUP(Sheet1!$A870,Sheet2!$B$5:$H$29,5,FALSE),0)</x:f>
        <x:v>0</x:v>
      </x:c>
      <x:c r="G870">
        <x:f>ROUND($C870*10*VLOOKUP($B870,Sheet2!$J$5:$K$7,2,FALSE)*VLOOKUP(Sheet1!$A870,Sheet2!$B$5:$H$29,6,FALSE),0)</x:f>
        <x:v>0</x:v>
      </x:c>
      <x:c r="H870">
        <x:f>ROUND($C870*10*VLOOKUP($B870,Sheet2!$J$5:$K$7,2,FALSE)*VLOOKUP(Sheet1!$A870,Sheet2!$B$5:$H$29,7,FALSE),0)</x:f>
        <x:v>580</x:v>
      </x:c>
      <x:c r="I870">
        <x:f t="shared" si="14"/>
        <x:v>50820</x:v>
      </x:c>
    </x:row>
    <x:row r="871" spans="1:9" x14ac:dyDescent="0.15">
      <x:c r="A871">
        <x:v>54005</x:v>
      </x:c>
      <x:c r="B871">
        <x:v>3</x:v>
      </x:c>
      <x:c r="C871">
        <x:v>30</x:v>
      </x:c>
      <x:c r="D871">
        <x:f>ROUND($C871*10*VLOOKUP($B871,Sheet2!$J$5:$K$7,2,FALSE)*VLOOKUP(Sheet1!$A871,Sheet2!$B$5:$H$29,3,FALSE),0)</x:f>
        <x:v>360</x:v>
      </x:c>
      <x:c r="E871">
        <x:f>ROUND($C871*10*VLOOKUP($B871,Sheet2!$J$5:$K$7,2,FALSE)*VLOOKUP(Sheet1!$A871,Sheet2!$B$5:$H$29,4,FALSE),0)</x:f>
        <x:v>0</x:v>
      </x:c>
      <x:c r="F871">
        <x:f>ROUND($C871*10*VLOOKUP($B871,Sheet2!$J$5:$K$7,2,FALSE)*VLOOKUP(Sheet1!$A871,Sheet2!$B$5:$H$29,5,FALSE),0)</x:f>
        <x:v>0</x:v>
      </x:c>
      <x:c r="G871">
        <x:f>ROUND($C871*10*VLOOKUP($B871,Sheet2!$J$5:$K$7,2,FALSE)*VLOOKUP(Sheet1!$A871,Sheet2!$B$5:$H$29,6,FALSE),0)</x:f>
        <x:v>0</x:v>
      </x:c>
      <x:c r="H871">
        <x:f>ROUND($C871*10*VLOOKUP($B871,Sheet2!$J$5:$K$7,2,FALSE)*VLOOKUP(Sheet1!$A871,Sheet2!$B$5:$H$29,7,FALSE),0)</x:f>
        <x:v>600</x:v>
      </x:c>
      <x:c r="I871">
        <x:f t="shared" si="14"/>
        <x:v>54130</x:v>
      </x:c>
    </x:row>
    <x:row r="872" spans="1:9" x14ac:dyDescent="0.15">
      <x:c r="A872">
        <x:v>54005</x:v>
      </x:c>
      <x:c r="B872">
        <x:v>3</x:v>
      </x:c>
      <x:c r="C872">
        <x:v>31</x:v>
      </x:c>
      <x:c r="D872">
        <x:f>ROUND($C872*10*VLOOKUP($B872,Sheet2!$J$5:$K$7,2,FALSE)*VLOOKUP(Sheet1!$A872,Sheet2!$B$5:$H$29,3,FALSE),0)</x:f>
        <x:v>372</x:v>
      </x:c>
      <x:c r="E872">
        <x:f>ROUND($C872*10*VLOOKUP($B872,Sheet2!$J$5:$K$7,2,FALSE)*VLOOKUP(Sheet1!$A872,Sheet2!$B$5:$H$29,4,FALSE),0)</x:f>
        <x:v>0</x:v>
      </x:c>
      <x:c r="F872">
        <x:f>ROUND($C872*10*VLOOKUP($B872,Sheet2!$J$5:$K$7,2,FALSE)*VLOOKUP(Sheet1!$A872,Sheet2!$B$5:$H$29,5,FALSE),0)</x:f>
        <x:v>0</x:v>
      </x:c>
      <x:c r="G872">
        <x:f>ROUND($C872*10*VLOOKUP($B872,Sheet2!$J$5:$K$7,2,FALSE)*VLOOKUP(Sheet1!$A872,Sheet2!$B$5:$H$29,6,FALSE),0)</x:f>
        <x:v>0</x:v>
      </x:c>
      <x:c r="H872">
        <x:f>ROUND($C872*10*VLOOKUP($B872,Sheet2!$J$5:$K$7,2,FALSE)*VLOOKUP(Sheet1!$A872,Sheet2!$B$5:$H$29,7,FALSE),0)</x:f>
        <x:v>620</x:v>
      </x:c>
      <x:c r="I872">
        <x:f t="shared" si="14"/>
        <x:v>57530</x:v>
      </x:c>
    </x:row>
    <x:row r="873" spans="1:9" x14ac:dyDescent="0.15">
      <x:c r="A873">
        <x:v>54005</x:v>
      </x:c>
      <x:c r="B873">
        <x:v>3</x:v>
      </x:c>
      <x:c r="C873">
        <x:v>32</x:v>
      </x:c>
      <x:c r="D873">
        <x:f>ROUND($C873*10*VLOOKUP($B873,Sheet2!$J$5:$K$7,2,FALSE)*VLOOKUP(Sheet1!$A873,Sheet2!$B$5:$H$29,3,FALSE),0)</x:f>
        <x:v>384</x:v>
      </x:c>
      <x:c r="E873">
        <x:f>ROUND($C873*10*VLOOKUP($B873,Sheet2!$J$5:$K$7,2,FALSE)*VLOOKUP(Sheet1!$A873,Sheet2!$B$5:$H$29,4,FALSE),0)</x:f>
        <x:v>0</x:v>
      </x:c>
      <x:c r="F873">
        <x:f>ROUND($C873*10*VLOOKUP($B873,Sheet2!$J$5:$K$7,2,FALSE)*VLOOKUP(Sheet1!$A873,Sheet2!$B$5:$H$29,5,FALSE),0)</x:f>
        <x:v>0</x:v>
      </x:c>
      <x:c r="G873">
        <x:f>ROUND($C873*10*VLOOKUP($B873,Sheet2!$J$5:$K$7,2,FALSE)*VLOOKUP(Sheet1!$A873,Sheet2!$B$5:$H$29,6,FALSE),0)</x:f>
        <x:v>0</x:v>
      </x:c>
      <x:c r="H873">
        <x:f>ROUND($C873*10*VLOOKUP($B873,Sheet2!$J$5:$K$7,2,FALSE)*VLOOKUP(Sheet1!$A873,Sheet2!$B$5:$H$29,7,FALSE),0)</x:f>
        <x:v>640</x:v>
      </x:c>
      <x:c r="I873">
        <x:f t="shared" si="14"/>
        <x:v>61020</x:v>
      </x:c>
    </x:row>
    <x:row r="874" spans="1:9" x14ac:dyDescent="0.15">
      <x:c r="A874">
        <x:v>54005</x:v>
      </x:c>
      <x:c r="B874">
        <x:v>3</x:v>
      </x:c>
      <x:c r="C874">
        <x:v>33</x:v>
      </x:c>
      <x:c r="D874">
        <x:f>ROUND($C874*10*VLOOKUP($B874,Sheet2!$J$5:$K$7,2,FALSE)*VLOOKUP(Sheet1!$A874,Sheet2!$B$5:$H$29,3,FALSE),0)</x:f>
        <x:v>396</x:v>
      </x:c>
      <x:c r="E874">
        <x:f>ROUND($C874*10*VLOOKUP($B874,Sheet2!$J$5:$K$7,2,FALSE)*VLOOKUP(Sheet1!$A874,Sheet2!$B$5:$H$29,4,FALSE),0)</x:f>
        <x:v>0</x:v>
      </x:c>
      <x:c r="F874">
        <x:f>ROUND($C874*10*VLOOKUP($B874,Sheet2!$J$5:$K$7,2,FALSE)*VLOOKUP(Sheet1!$A874,Sheet2!$B$5:$H$29,5,FALSE),0)</x:f>
        <x:v>0</x:v>
      </x:c>
      <x:c r="G874">
        <x:f>ROUND($C874*10*VLOOKUP($B874,Sheet2!$J$5:$K$7,2,FALSE)*VLOOKUP(Sheet1!$A874,Sheet2!$B$5:$H$29,6,FALSE),0)</x:f>
        <x:v>0</x:v>
      </x:c>
      <x:c r="H874">
        <x:f>ROUND($C874*10*VLOOKUP($B874,Sheet2!$J$5:$K$7,2,FALSE)*VLOOKUP(Sheet1!$A874,Sheet2!$B$5:$H$29,7,FALSE),0)</x:f>
        <x:v>660</x:v>
      </x:c>
      <x:c r="I874">
        <x:f t="shared" si="14"/>
        <x:v>64600</x:v>
      </x:c>
    </x:row>
    <x:row r="875" spans="1:9" x14ac:dyDescent="0.15">
      <x:c r="A875">
        <x:v>54005</x:v>
      </x:c>
      <x:c r="B875">
        <x:v>3</x:v>
      </x:c>
      <x:c r="C875">
        <x:v>34</x:v>
      </x:c>
      <x:c r="D875">
        <x:f>ROUND($C875*10*VLOOKUP($B875,Sheet2!$J$5:$K$7,2,FALSE)*VLOOKUP(Sheet1!$A875,Sheet2!$B$5:$H$29,3,FALSE),0)</x:f>
        <x:v>408</x:v>
      </x:c>
      <x:c r="E875">
        <x:f>ROUND($C875*10*VLOOKUP($B875,Sheet2!$J$5:$K$7,2,FALSE)*VLOOKUP(Sheet1!$A875,Sheet2!$B$5:$H$29,4,FALSE),0)</x:f>
        <x:v>0</x:v>
      </x:c>
      <x:c r="F875">
        <x:f>ROUND($C875*10*VLOOKUP($B875,Sheet2!$J$5:$K$7,2,FALSE)*VLOOKUP(Sheet1!$A875,Sheet2!$B$5:$H$29,5,FALSE),0)</x:f>
        <x:v>0</x:v>
      </x:c>
      <x:c r="G875">
        <x:f>ROUND($C875*10*VLOOKUP($B875,Sheet2!$J$5:$K$7,2,FALSE)*VLOOKUP(Sheet1!$A875,Sheet2!$B$5:$H$29,6,FALSE),0)</x:f>
        <x:v>0</x:v>
      </x:c>
      <x:c r="H875">
        <x:f>ROUND($C875*10*VLOOKUP($B875,Sheet2!$J$5:$K$7,2,FALSE)*VLOOKUP(Sheet1!$A875,Sheet2!$B$5:$H$29,7,FALSE),0)</x:f>
        <x:v>680</x:v>
      </x:c>
      <x:c r="I875">
        <x:f t="shared" si="14"/>
        <x:v>68280</x:v>
      </x:c>
    </x:row>
    <x:row r="876" spans="1:9" x14ac:dyDescent="0.15">
      <x:c r="A876">
        <x:v>54005</x:v>
      </x:c>
      <x:c r="B876">
        <x:v>3</x:v>
      </x:c>
      <x:c r="C876">
        <x:v>35</x:v>
      </x:c>
      <x:c r="D876">
        <x:f>ROUND($C876*10*VLOOKUP($B876,Sheet2!$J$5:$K$7,2,FALSE)*VLOOKUP(Sheet1!$A876,Sheet2!$B$5:$H$29,3,FALSE),0)</x:f>
        <x:v>420</x:v>
      </x:c>
      <x:c r="E876">
        <x:f>ROUND($C876*10*VLOOKUP($B876,Sheet2!$J$5:$K$7,2,FALSE)*VLOOKUP(Sheet1!$A876,Sheet2!$B$5:$H$29,4,FALSE),0)</x:f>
        <x:v>0</x:v>
      </x:c>
      <x:c r="F876">
        <x:f>ROUND($C876*10*VLOOKUP($B876,Sheet2!$J$5:$K$7,2,FALSE)*VLOOKUP(Sheet1!$A876,Sheet2!$B$5:$H$29,5,FALSE),0)</x:f>
        <x:v>0</x:v>
      </x:c>
      <x:c r="G876">
        <x:f>ROUND($C876*10*VLOOKUP($B876,Sheet2!$J$5:$K$7,2,FALSE)*VLOOKUP(Sheet1!$A876,Sheet2!$B$5:$H$29,6,FALSE),0)</x:f>
        <x:v>0</x:v>
      </x:c>
      <x:c r="H876">
        <x:f>ROUND($C876*10*VLOOKUP($B876,Sheet2!$J$5:$K$7,2,FALSE)*VLOOKUP(Sheet1!$A876,Sheet2!$B$5:$H$29,7,FALSE),0)</x:f>
        <x:v>700</x:v>
      </x:c>
      <x:c r="I876">
        <x:f t="shared" si="14"/>
        <x:v>72040</x:v>
      </x:c>
    </x:row>
    <x:row r="877" spans="1:9" x14ac:dyDescent="0.15">
      <x:c r="A877">
        <x:v>54005</x:v>
      </x:c>
      <x:c r="B877">
        <x:v>3</x:v>
      </x:c>
      <x:c r="C877">
        <x:v>36</x:v>
      </x:c>
      <x:c r="D877">
        <x:f>ROUND($C877*10*VLOOKUP($B877,Sheet2!$J$5:$K$7,2,FALSE)*VLOOKUP(Sheet1!$A877,Sheet2!$B$5:$H$29,3,FALSE),0)</x:f>
        <x:v>432</x:v>
      </x:c>
      <x:c r="E877">
        <x:f>ROUND($C877*10*VLOOKUP($B877,Sheet2!$J$5:$K$7,2,FALSE)*VLOOKUP(Sheet1!$A877,Sheet2!$B$5:$H$29,4,FALSE),0)</x:f>
        <x:v>0</x:v>
      </x:c>
      <x:c r="F877">
        <x:f>ROUND($C877*10*VLOOKUP($B877,Sheet2!$J$5:$K$7,2,FALSE)*VLOOKUP(Sheet1!$A877,Sheet2!$B$5:$H$29,5,FALSE),0)</x:f>
        <x:v>0</x:v>
      </x:c>
      <x:c r="G877">
        <x:f>ROUND($C877*10*VLOOKUP($B877,Sheet2!$J$5:$K$7,2,FALSE)*VLOOKUP(Sheet1!$A877,Sheet2!$B$5:$H$29,6,FALSE),0)</x:f>
        <x:v>0</x:v>
      </x:c>
      <x:c r="H877">
        <x:f>ROUND($C877*10*VLOOKUP($B877,Sheet2!$J$5:$K$7,2,FALSE)*VLOOKUP(Sheet1!$A877,Sheet2!$B$5:$H$29,7,FALSE),0)</x:f>
        <x:v>720</x:v>
      </x:c>
      <x:c r="I877">
        <x:f t="shared" si="14"/>
        <x:v>75890</x:v>
      </x:c>
    </x:row>
    <x:row r="878" spans="1:9" x14ac:dyDescent="0.15">
      <x:c r="A878">
        <x:v>54005</x:v>
      </x:c>
      <x:c r="B878">
        <x:v>3</x:v>
      </x:c>
      <x:c r="C878">
        <x:v>37</x:v>
      </x:c>
      <x:c r="D878">
        <x:f>ROUND($C878*10*VLOOKUP($B878,Sheet2!$J$5:$K$7,2,FALSE)*VLOOKUP(Sheet1!$A878,Sheet2!$B$5:$H$29,3,FALSE),0)</x:f>
        <x:v>444</x:v>
      </x:c>
      <x:c r="E878">
        <x:f>ROUND($C878*10*VLOOKUP($B878,Sheet2!$J$5:$K$7,2,FALSE)*VLOOKUP(Sheet1!$A878,Sheet2!$B$5:$H$29,4,FALSE),0)</x:f>
        <x:v>0</x:v>
      </x:c>
      <x:c r="F878">
        <x:f>ROUND($C878*10*VLOOKUP($B878,Sheet2!$J$5:$K$7,2,FALSE)*VLOOKUP(Sheet1!$A878,Sheet2!$B$5:$H$29,5,FALSE),0)</x:f>
        <x:v>0</x:v>
      </x:c>
      <x:c r="G878">
        <x:f>ROUND($C878*10*VLOOKUP($B878,Sheet2!$J$5:$K$7,2,FALSE)*VLOOKUP(Sheet1!$A878,Sheet2!$B$5:$H$29,6,FALSE),0)</x:f>
        <x:v>0</x:v>
      </x:c>
      <x:c r="H878">
        <x:f>ROUND($C878*10*VLOOKUP($B878,Sheet2!$J$5:$K$7,2,FALSE)*VLOOKUP(Sheet1!$A878,Sheet2!$B$5:$H$29,7,FALSE),0)</x:f>
        <x:v>740</x:v>
      </x:c>
      <x:c r="I878">
        <x:f t="shared" si="14"/>
        <x:v>79840</x:v>
      </x:c>
    </x:row>
    <x:row r="879" spans="1:9" x14ac:dyDescent="0.15">
      <x:c r="A879">
        <x:v>54005</x:v>
      </x:c>
      <x:c r="B879">
        <x:v>3</x:v>
      </x:c>
      <x:c r="C879">
        <x:v>38</x:v>
      </x:c>
      <x:c r="D879">
        <x:f>ROUND($C879*10*VLOOKUP($B879,Sheet2!$J$5:$K$7,2,FALSE)*VLOOKUP(Sheet1!$A879,Sheet2!$B$5:$H$29,3,FALSE),0)</x:f>
        <x:v>456</x:v>
      </x:c>
      <x:c r="E879">
        <x:f>ROUND($C879*10*VLOOKUP($B879,Sheet2!$J$5:$K$7,2,FALSE)*VLOOKUP(Sheet1!$A879,Sheet2!$B$5:$H$29,4,FALSE),0)</x:f>
        <x:v>0</x:v>
      </x:c>
      <x:c r="F879">
        <x:f>ROUND($C879*10*VLOOKUP($B879,Sheet2!$J$5:$K$7,2,FALSE)*VLOOKUP(Sheet1!$A879,Sheet2!$B$5:$H$29,5,FALSE),0)</x:f>
        <x:v>0</x:v>
      </x:c>
      <x:c r="G879">
        <x:f>ROUND($C879*10*VLOOKUP($B879,Sheet2!$J$5:$K$7,2,FALSE)*VLOOKUP(Sheet1!$A879,Sheet2!$B$5:$H$29,6,FALSE),0)</x:f>
        <x:v>0</x:v>
      </x:c>
      <x:c r="H879">
        <x:f>ROUND($C879*10*VLOOKUP($B879,Sheet2!$J$5:$K$7,2,FALSE)*VLOOKUP(Sheet1!$A879,Sheet2!$B$5:$H$29,7,FALSE),0)</x:f>
        <x:v>760</x:v>
      </x:c>
      <x:c r="I879">
        <x:f t="shared" si="14"/>
        <x:v>83870</x:v>
      </x:c>
    </x:row>
    <x:row r="880" spans="1:9" x14ac:dyDescent="0.15">
      <x:c r="A880">
        <x:v>54005</x:v>
      </x:c>
      <x:c r="B880">
        <x:v>3</x:v>
      </x:c>
      <x:c r="C880">
        <x:v>39</x:v>
      </x:c>
      <x:c r="D880">
        <x:f>ROUND($C880*10*VLOOKUP($B880,Sheet2!$J$5:$K$7,2,FALSE)*VLOOKUP(Sheet1!$A880,Sheet2!$B$5:$H$29,3,FALSE),0)</x:f>
        <x:v>468</x:v>
      </x:c>
      <x:c r="E880">
        <x:f>ROUND($C880*10*VLOOKUP($B880,Sheet2!$J$5:$K$7,2,FALSE)*VLOOKUP(Sheet1!$A880,Sheet2!$B$5:$H$29,4,FALSE),0)</x:f>
        <x:v>0</x:v>
      </x:c>
      <x:c r="F880">
        <x:f>ROUND($C880*10*VLOOKUP($B880,Sheet2!$J$5:$K$7,2,FALSE)*VLOOKUP(Sheet1!$A880,Sheet2!$B$5:$H$29,5,FALSE),0)</x:f>
        <x:v>0</x:v>
      </x:c>
      <x:c r="G880">
        <x:f>ROUND($C880*10*VLOOKUP($B880,Sheet2!$J$5:$K$7,2,FALSE)*VLOOKUP(Sheet1!$A880,Sheet2!$B$5:$H$29,6,FALSE),0)</x:f>
        <x:v>0</x:v>
      </x:c>
      <x:c r="H880">
        <x:f>ROUND($C880*10*VLOOKUP($B880,Sheet2!$J$5:$K$7,2,FALSE)*VLOOKUP(Sheet1!$A880,Sheet2!$B$5:$H$29,7,FALSE),0)</x:f>
        <x:v>780</x:v>
      </x:c>
      <x:c r="I880">
        <x:f t="shared" si="14"/>
        <x:v>87990</x:v>
      </x:c>
    </x:row>
    <x:row r="881" spans="1:9" x14ac:dyDescent="0.15">
      <x:c r="A881">
        <x:v>54005</x:v>
      </x:c>
      <x:c r="B881">
        <x:v>3</x:v>
      </x:c>
      <x:c r="C881">
        <x:v>40</x:v>
      </x:c>
      <x:c r="D881">
        <x:f>ROUND($C881*10*VLOOKUP($B881,Sheet2!$J$5:$K$7,2,FALSE)*VLOOKUP(Sheet1!$A881,Sheet2!$B$5:$H$29,3,FALSE),0)</x:f>
        <x:v>480</x:v>
      </x:c>
      <x:c r="E881">
        <x:f>ROUND($C881*10*VLOOKUP($B881,Sheet2!$J$5:$K$7,2,FALSE)*VLOOKUP(Sheet1!$A881,Sheet2!$B$5:$H$29,4,FALSE),0)</x:f>
        <x:v>0</x:v>
      </x:c>
      <x:c r="F881">
        <x:f>ROUND($C881*10*VLOOKUP($B881,Sheet2!$J$5:$K$7,2,FALSE)*VLOOKUP(Sheet1!$A881,Sheet2!$B$5:$H$29,5,FALSE),0)</x:f>
        <x:v>0</x:v>
      </x:c>
      <x:c r="G881">
        <x:f>ROUND($C881*10*VLOOKUP($B881,Sheet2!$J$5:$K$7,2,FALSE)*VLOOKUP(Sheet1!$A881,Sheet2!$B$5:$H$29,6,FALSE),0)</x:f>
        <x:v>0</x:v>
      </x:c>
      <x:c r="H881">
        <x:f>ROUND($C881*10*VLOOKUP($B881,Sheet2!$J$5:$K$7,2,FALSE)*VLOOKUP(Sheet1!$A881,Sheet2!$B$5:$H$29,7,FALSE),0)</x:f>
        <x:v>800</x:v>
      </x:c>
      <x:c r="I881">
        <x:f t="shared" si="14"/>
        <x:v>92200</x:v>
      </x:c>
    </x:row>
    <x:row r="882" spans="1:9" x14ac:dyDescent="0.15">
      <x:c r="A882">
        <x:v>54005</x:v>
      </x:c>
      <x:c r="B882">
        <x:v>3</x:v>
      </x:c>
      <x:c r="C882">
        <x:v>41</x:v>
      </x:c>
      <x:c r="D882">
        <x:f>ROUND($C882*10*VLOOKUP($B882,Sheet2!$J$5:$K$7,2,FALSE)*VLOOKUP(Sheet1!$A882,Sheet2!$B$5:$H$29,3,FALSE),0)</x:f>
        <x:v>492</x:v>
      </x:c>
      <x:c r="E882">
        <x:f>ROUND($C882*10*VLOOKUP($B882,Sheet2!$J$5:$K$7,2,FALSE)*VLOOKUP(Sheet1!$A882,Sheet2!$B$5:$H$29,4,FALSE),0)</x:f>
        <x:v>0</x:v>
      </x:c>
      <x:c r="F882">
        <x:f>ROUND($C882*10*VLOOKUP($B882,Sheet2!$J$5:$K$7,2,FALSE)*VLOOKUP(Sheet1!$A882,Sheet2!$B$5:$H$29,5,FALSE),0)</x:f>
        <x:v>0</x:v>
      </x:c>
      <x:c r="G882">
        <x:f>ROUND($C882*10*VLOOKUP($B882,Sheet2!$J$5:$K$7,2,FALSE)*VLOOKUP(Sheet1!$A882,Sheet2!$B$5:$H$29,6,FALSE),0)</x:f>
        <x:v>0</x:v>
      </x:c>
      <x:c r="H882">
        <x:f>ROUND($C882*10*VLOOKUP($B882,Sheet2!$J$5:$K$7,2,FALSE)*VLOOKUP(Sheet1!$A882,Sheet2!$B$5:$H$29,7,FALSE),0)</x:f>
        <x:v>820</x:v>
      </x:c>
      <x:c r="I882">
        <x:f t="shared" si="14"/>
        <x:v>96490</x:v>
      </x:c>
    </x:row>
    <x:row r="883" spans="1:9" x14ac:dyDescent="0.15">
      <x:c r="A883">
        <x:v>54005</x:v>
      </x:c>
      <x:c r="B883">
        <x:v>3</x:v>
      </x:c>
      <x:c r="C883">
        <x:v>42</x:v>
      </x:c>
      <x:c r="D883">
        <x:f>ROUND($C883*10*VLOOKUP($B883,Sheet2!$J$5:$K$7,2,FALSE)*VLOOKUP(Sheet1!$A883,Sheet2!$B$5:$H$29,3,FALSE),0)</x:f>
        <x:v>504</x:v>
      </x:c>
      <x:c r="E883">
        <x:f>ROUND($C883*10*VLOOKUP($B883,Sheet2!$J$5:$K$7,2,FALSE)*VLOOKUP(Sheet1!$A883,Sheet2!$B$5:$H$29,4,FALSE),0)</x:f>
        <x:v>0</x:v>
      </x:c>
      <x:c r="F883">
        <x:f>ROUND($C883*10*VLOOKUP($B883,Sheet2!$J$5:$K$7,2,FALSE)*VLOOKUP(Sheet1!$A883,Sheet2!$B$5:$H$29,5,FALSE),0)</x:f>
        <x:v>0</x:v>
      </x:c>
      <x:c r="G883">
        <x:f>ROUND($C883*10*VLOOKUP($B883,Sheet2!$J$5:$K$7,2,FALSE)*VLOOKUP(Sheet1!$A883,Sheet2!$B$5:$H$29,6,FALSE),0)</x:f>
        <x:v>0</x:v>
      </x:c>
      <x:c r="H883">
        <x:f>ROUND($C883*10*VLOOKUP($B883,Sheet2!$J$5:$K$7,2,FALSE)*VLOOKUP(Sheet1!$A883,Sheet2!$B$5:$H$29,7,FALSE),0)</x:f>
        <x:v>840</x:v>
      </x:c>
      <x:c r="I883">
        <x:f t="shared" si="14"/>
        <x:v>100870</x:v>
      </x:c>
    </x:row>
    <x:row r="884" spans="1:9" x14ac:dyDescent="0.15">
      <x:c r="A884">
        <x:v>54005</x:v>
      </x:c>
      <x:c r="B884">
        <x:v>3</x:v>
      </x:c>
      <x:c r="C884">
        <x:v>43</x:v>
      </x:c>
      <x:c r="D884">
        <x:f>ROUND($C884*10*VLOOKUP($B884,Sheet2!$J$5:$K$7,2,FALSE)*VLOOKUP(Sheet1!$A884,Sheet2!$B$5:$H$29,3,FALSE),0)</x:f>
        <x:v>516</x:v>
      </x:c>
      <x:c r="E884">
        <x:f>ROUND($C884*10*VLOOKUP($B884,Sheet2!$J$5:$K$7,2,FALSE)*VLOOKUP(Sheet1!$A884,Sheet2!$B$5:$H$29,4,FALSE),0)</x:f>
        <x:v>0</x:v>
      </x:c>
      <x:c r="F884">
        <x:f>ROUND($C884*10*VLOOKUP($B884,Sheet2!$J$5:$K$7,2,FALSE)*VLOOKUP(Sheet1!$A884,Sheet2!$B$5:$H$29,5,FALSE),0)</x:f>
        <x:v>0</x:v>
      </x:c>
      <x:c r="G884">
        <x:f>ROUND($C884*10*VLOOKUP($B884,Sheet2!$J$5:$K$7,2,FALSE)*VLOOKUP(Sheet1!$A884,Sheet2!$B$5:$H$29,6,FALSE),0)</x:f>
        <x:v>0</x:v>
      </x:c>
      <x:c r="H884">
        <x:f>ROUND($C884*10*VLOOKUP($B884,Sheet2!$J$5:$K$7,2,FALSE)*VLOOKUP(Sheet1!$A884,Sheet2!$B$5:$H$29,7,FALSE),0)</x:f>
        <x:v>860</x:v>
      </x:c>
      <x:c r="I884">
        <x:f t="shared" si="14"/>
        <x:v>105340</x:v>
      </x:c>
    </x:row>
    <x:row r="885" spans="1:9" x14ac:dyDescent="0.15">
      <x:c r="A885">
        <x:v>54005</x:v>
      </x:c>
      <x:c r="B885">
        <x:v>3</x:v>
      </x:c>
      <x:c r="C885">
        <x:v>44</x:v>
      </x:c>
      <x:c r="D885">
        <x:f>ROUND($C885*10*VLOOKUP($B885,Sheet2!$J$5:$K$7,2,FALSE)*VLOOKUP(Sheet1!$A885,Sheet2!$B$5:$H$29,3,FALSE),0)</x:f>
        <x:v>528</x:v>
      </x:c>
      <x:c r="E885">
        <x:f>ROUND($C885*10*VLOOKUP($B885,Sheet2!$J$5:$K$7,2,FALSE)*VLOOKUP(Sheet1!$A885,Sheet2!$B$5:$H$29,4,FALSE),0)</x:f>
        <x:v>0</x:v>
      </x:c>
      <x:c r="F885">
        <x:f>ROUND($C885*10*VLOOKUP($B885,Sheet2!$J$5:$K$7,2,FALSE)*VLOOKUP(Sheet1!$A885,Sheet2!$B$5:$H$29,5,FALSE),0)</x:f>
        <x:v>0</x:v>
      </x:c>
      <x:c r="G885">
        <x:f>ROUND($C885*10*VLOOKUP($B885,Sheet2!$J$5:$K$7,2,FALSE)*VLOOKUP(Sheet1!$A885,Sheet2!$B$5:$H$29,6,FALSE),0)</x:f>
        <x:v>0</x:v>
      </x:c>
      <x:c r="H885">
        <x:f>ROUND($C885*10*VLOOKUP($B885,Sheet2!$J$5:$K$7,2,FALSE)*VLOOKUP(Sheet1!$A885,Sheet2!$B$5:$H$29,7,FALSE),0)</x:f>
        <x:v>880</x:v>
      </x:c>
      <x:c r="I885">
        <x:f t="shared" si="14"/>
        <x:v>109890</x:v>
      </x:c>
    </x:row>
    <x:row r="886" spans="1:9" x14ac:dyDescent="0.15">
      <x:c r="A886">
        <x:v>54005</x:v>
      </x:c>
      <x:c r="B886">
        <x:v>3</x:v>
      </x:c>
      <x:c r="C886">
        <x:v>45</x:v>
      </x:c>
      <x:c r="D886">
        <x:f>ROUND($C886*10*VLOOKUP($B886,Sheet2!$J$5:$K$7,2,FALSE)*VLOOKUP(Sheet1!$A886,Sheet2!$B$5:$H$29,3,FALSE),0)</x:f>
        <x:v>540</x:v>
      </x:c>
      <x:c r="E886">
        <x:f>ROUND($C886*10*VLOOKUP($B886,Sheet2!$J$5:$K$7,2,FALSE)*VLOOKUP(Sheet1!$A886,Sheet2!$B$5:$H$29,4,FALSE),0)</x:f>
        <x:v>0</x:v>
      </x:c>
      <x:c r="F886">
        <x:f>ROUND($C886*10*VLOOKUP($B886,Sheet2!$J$5:$K$7,2,FALSE)*VLOOKUP(Sheet1!$A886,Sheet2!$B$5:$H$29,5,FALSE),0)</x:f>
        <x:v>0</x:v>
      </x:c>
      <x:c r="G886">
        <x:f>ROUND($C886*10*VLOOKUP($B886,Sheet2!$J$5:$K$7,2,FALSE)*VLOOKUP(Sheet1!$A886,Sheet2!$B$5:$H$29,6,FALSE),0)</x:f>
        <x:v>0</x:v>
      </x:c>
      <x:c r="H886">
        <x:f>ROUND($C886*10*VLOOKUP($B886,Sheet2!$J$5:$K$7,2,FALSE)*VLOOKUP(Sheet1!$A886,Sheet2!$B$5:$H$29,7,FALSE),0)</x:f>
        <x:v>900</x:v>
      </x:c>
      <x:c r="I886">
        <x:f t="shared" si="14"/>
        <x:v>114530</x:v>
      </x:c>
    </x:row>
    <x:row r="887" spans="1:9" x14ac:dyDescent="0.15">
      <x:c r="A887">
        <x:v>54005</x:v>
      </x:c>
      <x:c r="B887">
        <x:v>3</x:v>
      </x:c>
      <x:c r="C887">
        <x:v>46</x:v>
      </x:c>
      <x:c r="D887">
        <x:f>ROUND($C887*10*VLOOKUP($B887,Sheet2!$J$5:$K$7,2,FALSE)*VLOOKUP(Sheet1!$A887,Sheet2!$B$5:$H$29,3,FALSE),0)</x:f>
        <x:v>552</x:v>
      </x:c>
      <x:c r="E887">
        <x:f>ROUND($C887*10*VLOOKUP($B887,Sheet2!$J$5:$K$7,2,FALSE)*VLOOKUP(Sheet1!$A887,Sheet2!$B$5:$H$29,4,FALSE),0)</x:f>
        <x:v>0</x:v>
      </x:c>
      <x:c r="F887">
        <x:f>ROUND($C887*10*VLOOKUP($B887,Sheet2!$J$5:$K$7,2,FALSE)*VLOOKUP(Sheet1!$A887,Sheet2!$B$5:$H$29,5,FALSE),0)</x:f>
        <x:v>0</x:v>
      </x:c>
      <x:c r="G887">
        <x:f>ROUND($C887*10*VLOOKUP($B887,Sheet2!$J$5:$K$7,2,FALSE)*VLOOKUP(Sheet1!$A887,Sheet2!$B$5:$H$29,6,FALSE),0)</x:f>
        <x:v>0</x:v>
      </x:c>
      <x:c r="H887">
        <x:f>ROUND($C887*10*VLOOKUP($B887,Sheet2!$J$5:$K$7,2,FALSE)*VLOOKUP(Sheet1!$A887,Sheet2!$B$5:$H$29,7,FALSE),0)</x:f>
        <x:v>920</x:v>
      </x:c>
      <x:c r="I887">
        <x:f t="shared" si="14"/>
        <x:v>119260</x:v>
      </x:c>
    </x:row>
    <x:row r="888" spans="1:9" x14ac:dyDescent="0.15">
      <x:c r="A888">
        <x:v>54005</x:v>
      </x:c>
      <x:c r="B888">
        <x:v>3</x:v>
      </x:c>
      <x:c r="C888">
        <x:v>47</x:v>
      </x:c>
      <x:c r="D888">
        <x:f>ROUND($C888*10*VLOOKUP($B888,Sheet2!$J$5:$K$7,2,FALSE)*VLOOKUP(Sheet1!$A888,Sheet2!$B$5:$H$29,3,FALSE),0)</x:f>
        <x:v>564</x:v>
      </x:c>
      <x:c r="E888">
        <x:f>ROUND($C888*10*VLOOKUP($B888,Sheet2!$J$5:$K$7,2,FALSE)*VLOOKUP(Sheet1!$A888,Sheet2!$B$5:$H$29,4,FALSE),0)</x:f>
        <x:v>0</x:v>
      </x:c>
      <x:c r="F888">
        <x:f>ROUND($C888*10*VLOOKUP($B888,Sheet2!$J$5:$K$7,2,FALSE)*VLOOKUP(Sheet1!$A888,Sheet2!$B$5:$H$29,5,FALSE),0)</x:f>
        <x:v>0</x:v>
      </x:c>
      <x:c r="G888">
        <x:f>ROUND($C888*10*VLOOKUP($B888,Sheet2!$J$5:$K$7,2,FALSE)*VLOOKUP(Sheet1!$A888,Sheet2!$B$5:$H$29,6,FALSE),0)</x:f>
        <x:v>0</x:v>
      </x:c>
      <x:c r="H888">
        <x:f>ROUND($C888*10*VLOOKUP($B888,Sheet2!$J$5:$K$7,2,FALSE)*VLOOKUP(Sheet1!$A888,Sheet2!$B$5:$H$29,7,FALSE),0)</x:f>
        <x:v>940</x:v>
      </x:c>
      <x:c r="I888">
        <x:f t="shared" si="14"/>
        <x:v>124070</x:v>
      </x:c>
    </x:row>
    <x:row r="889" spans="1:9" x14ac:dyDescent="0.15">
      <x:c r="A889">
        <x:v>54005</x:v>
      </x:c>
      <x:c r="B889">
        <x:v>3</x:v>
      </x:c>
      <x:c r="C889">
        <x:v>48</x:v>
      </x:c>
      <x:c r="D889">
        <x:f>ROUND($C889*10*VLOOKUP($B889,Sheet2!$J$5:$K$7,2,FALSE)*VLOOKUP(Sheet1!$A889,Sheet2!$B$5:$H$29,3,FALSE),0)</x:f>
        <x:v>576</x:v>
      </x:c>
      <x:c r="E889">
        <x:f>ROUND($C889*10*VLOOKUP($B889,Sheet2!$J$5:$K$7,2,FALSE)*VLOOKUP(Sheet1!$A889,Sheet2!$B$5:$H$29,4,FALSE),0)</x:f>
        <x:v>0</x:v>
      </x:c>
      <x:c r="F889">
        <x:f>ROUND($C889*10*VLOOKUP($B889,Sheet2!$J$5:$K$7,2,FALSE)*VLOOKUP(Sheet1!$A889,Sheet2!$B$5:$H$29,5,FALSE),0)</x:f>
        <x:v>0</x:v>
      </x:c>
      <x:c r="G889">
        <x:f>ROUND($C889*10*VLOOKUP($B889,Sheet2!$J$5:$K$7,2,FALSE)*VLOOKUP(Sheet1!$A889,Sheet2!$B$5:$H$29,6,FALSE),0)</x:f>
        <x:v>0</x:v>
      </x:c>
      <x:c r="H889">
        <x:f>ROUND($C889*10*VLOOKUP($B889,Sheet2!$J$5:$K$7,2,FALSE)*VLOOKUP(Sheet1!$A889,Sheet2!$B$5:$H$29,7,FALSE),0)</x:f>
        <x:v>960</x:v>
      </x:c>
      <x:c r="I889">
        <x:f t="shared" si="14"/>
        <x:v>128960</x:v>
      </x:c>
    </x:row>
    <x:row r="890" spans="1:9" x14ac:dyDescent="0.15">
      <x:c r="A890">
        <x:v>54005</x:v>
      </x:c>
      <x:c r="B890">
        <x:v>3</x:v>
      </x:c>
      <x:c r="C890">
        <x:v>49</x:v>
      </x:c>
      <x:c r="D890">
        <x:f>ROUND($C890*10*VLOOKUP($B890,Sheet2!$J$5:$K$7,2,FALSE)*VLOOKUP(Sheet1!$A890,Sheet2!$B$5:$H$29,3,FALSE),0)</x:f>
        <x:v>588</x:v>
      </x:c>
      <x:c r="E890">
        <x:f>ROUND($C890*10*VLOOKUP($B890,Sheet2!$J$5:$K$7,2,FALSE)*VLOOKUP(Sheet1!$A890,Sheet2!$B$5:$H$29,4,FALSE),0)</x:f>
        <x:v>0</x:v>
      </x:c>
      <x:c r="F890">
        <x:f>ROUND($C890*10*VLOOKUP($B890,Sheet2!$J$5:$K$7,2,FALSE)*VLOOKUP(Sheet1!$A890,Sheet2!$B$5:$H$29,5,FALSE),0)</x:f>
        <x:v>0</x:v>
      </x:c>
      <x:c r="G890">
        <x:f>ROUND($C890*10*VLOOKUP($B890,Sheet2!$J$5:$K$7,2,FALSE)*VLOOKUP(Sheet1!$A890,Sheet2!$B$5:$H$29,6,FALSE),0)</x:f>
        <x:v>0</x:v>
      </x:c>
      <x:c r="H890">
        <x:f>ROUND($C890*10*VLOOKUP($B890,Sheet2!$J$5:$K$7,2,FALSE)*VLOOKUP(Sheet1!$A890,Sheet2!$B$5:$H$29,7,FALSE),0)</x:f>
        <x:v>980</x:v>
      </x:c>
      <x:c r="I890">
        <x:f t="shared" si="14"/>
        <x:v>133940</x:v>
      </x:c>
    </x:row>
    <x:row r="891" spans="1:9" x14ac:dyDescent="0.15">
      <x:c r="A891">
        <x:v>54005</x:v>
      </x:c>
      <x:c r="B891">
        <x:v>3</x:v>
      </x:c>
      <x:c r="C891">
        <x:v>50</x:v>
      </x:c>
      <x:c r="D891">
        <x:f>ROUND($C891*10*VLOOKUP($B891,Sheet2!$J$5:$K$7,2,FALSE)*VLOOKUP(Sheet1!$A891,Sheet2!$B$5:$H$29,3,FALSE),0)</x:f>
        <x:v>600</x:v>
      </x:c>
      <x:c r="E891">
        <x:f>ROUND($C891*10*VLOOKUP($B891,Sheet2!$J$5:$K$7,2,FALSE)*VLOOKUP(Sheet1!$A891,Sheet2!$B$5:$H$29,4,FALSE),0)</x:f>
        <x:v>0</x:v>
      </x:c>
      <x:c r="F891">
        <x:f>ROUND($C891*10*VLOOKUP($B891,Sheet2!$J$5:$K$7,2,FALSE)*VLOOKUP(Sheet1!$A891,Sheet2!$B$5:$H$29,5,FALSE),0)</x:f>
        <x:v>0</x:v>
      </x:c>
      <x:c r="G891">
        <x:f>ROUND($C891*10*VLOOKUP($B891,Sheet2!$J$5:$K$7,2,FALSE)*VLOOKUP(Sheet1!$A891,Sheet2!$B$5:$H$29,6,FALSE),0)</x:f>
        <x:v>0</x:v>
      </x:c>
      <x:c r="H891">
        <x:f>ROUND($C891*10*VLOOKUP($B891,Sheet2!$J$5:$K$7,2,FALSE)*VLOOKUP(Sheet1!$A891,Sheet2!$B$5:$H$29,7,FALSE),0)</x:f>
        <x:v>1000</x:v>
      </x:c>
      <x:c r="I891">
        <x:f t="shared" si="14"/>
        <x:v>139000</x:v>
      </x:c>
    </x:row>
    <x:row r="892" spans="1:9" x14ac:dyDescent="0.15">
      <x:c r="A892">
        <x:v>54005</x:v>
      </x:c>
      <x:c r="B892">
        <x:v>3</x:v>
      </x:c>
      <x:c r="C892">
        <x:v>51</x:v>
      </x:c>
      <x:c r="D892">
        <x:f>ROUND($C892*10*VLOOKUP($B892,Sheet2!$J$5:$K$7,2,FALSE)*VLOOKUP(Sheet1!$A892,Sheet2!$B$5:$H$29,3,FALSE),0)</x:f>
        <x:v>612</x:v>
      </x:c>
      <x:c r="E892">
        <x:f>ROUND($C892*10*VLOOKUP($B892,Sheet2!$J$5:$K$7,2,FALSE)*VLOOKUP(Sheet1!$A892,Sheet2!$B$5:$H$29,4,FALSE),0)</x:f>
        <x:v>0</x:v>
      </x:c>
      <x:c r="F892">
        <x:f>ROUND($C892*10*VLOOKUP($B892,Sheet2!$J$5:$K$7,2,FALSE)*VLOOKUP(Sheet1!$A892,Sheet2!$B$5:$H$29,5,FALSE),0)</x:f>
        <x:v>0</x:v>
      </x:c>
      <x:c r="G892">
        <x:f>ROUND($C892*10*VLOOKUP($B892,Sheet2!$J$5:$K$7,2,FALSE)*VLOOKUP(Sheet1!$A892,Sheet2!$B$5:$H$29,6,FALSE),0)</x:f>
        <x:v>0</x:v>
      </x:c>
      <x:c r="H892">
        <x:f>ROUND($C892*10*VLOOKUP($B892,Sheet2!$J$5:$K$7,2,FALSE)*VLOOKUP(Sheet1!$A892,Sheet2!$B$5:$H$29,7,FALSE),0)</x:f>
        <x:v>1020</x:v>
      </x:c>
      <x:c r="I892">
        <x:f t="shared" si="14"/>
        <x:v>144140</x:v>
      </x:c>
    </x:row>
    <x:row r="893" spans="1:9" x14ac:dyDescent="0.15">
      <x:c r="A893">
        <x:v>54005</x:v>
      </x:c>
      <x:c r="B893">
        <x:v>3</x:v>
      </x:c>
      <x:c r="C893">
        <x:v>52</x:v>
      </x:c>
      <x:c r="D893">
        <x:f>ROUND($C893*10*VLOOKUP($B893,Sheet2!$J$5:$K$7,2,FALSE)*VLOOKUP(Sheet1!$A893,Sheet2!$B$5:$H$29,3,FALSE),0)</x:f>
        <x:v>624</x:v>
      </x:c>
      <x:c r="E893">
        <x:f>ROUND($C893*10*VLOOKUP($B893,Sheet2!$J$5:$K$7,2,FALSE)*VLOOKUP(Sheet1!$A893,Sheet2!$B$5:$H$29,4,FALSE),0)</x:f>
        <x:v>0</x:v>
      </x:c>
      <x:c r="F893">
        <x:f>ROUND($C893*10*VLOOKUP($B893,Sheet2!$J$5:$K$7,2,FALSE)*VLOOKUP(Sheet1!$A893,Sheet2!$B$5:$H$29,5,FALSE),0)</x:f>
        <x:v>0</x:v>
      </x:c>
      <x:c r="G893">
        <x:f>ROUND($C893*10*VLOOKUP($B893,Sheet2!$J$5:$K$7,2,FALSE)*VLOOKUP(Sheet1!$A893,Sheet2!$B$5:$H$29,6,FALSE),0)</x:f>
        <x:v>0</x:v>
      </x:c>
      <x:c r="H893">
        <x:f>ROUND($C893*10*VLOOKUP($B893,Sheet2!$J$5:$K$7,2,FALSE)*VLOOKUP(Sheet1!$A893,Sheet2!$B$5:$H$29,7,FALSE),0)</x:f>
        <x:v>1040</x:v>
      </x:c>
      <x:c r="I893">
        <x:f t="shared" si="14"/>
        <x:v>149370</x:v>
      </x:c>
    </x:row>
    <x:row r="894" spans="1:9" x14ac:dyDescent="0.15">
      <x:c r="A894">
        <x:v>54005</x:v>
      </x:c>
      <x:c r="B894">
        <x:v>3</x:v>
      </x:c>
      <x:c r="C894">
        <x:v>53</x:v>
      </x:c>
      <x:c r="D894">
        <x:f>ROUND($C894*10*VLOOKUP($B894,Sheet2!$J$5:$K$7,2,FALSE)*VLOOKUP(Sheet1!$A894,Sheet2!$B$5:$H$29,3,FALSE),0)</x:f>
        <x:v>636</x:v>
      </x:c>
      <x:c r="E894">
        <x:f>ROUND($C894*10*VLOOKUP($B894,Sheet2!$J$5:$K$7,2,FALSE)*VLOOKUP(Sheet1!$A894,Sheet2!$B$5:$H$29,4,FALSE),0)</x:f>
        <x:v>0</x:v>
      </x:c>
      <x:c r="F894">
        <x:f>ROUND($C894*10*VLOOKUP($B894,Sheet2!$J$5:$K$7,2,FALSE)*VLOOKUP(Sheet1!$A894,Sheet2!$B$5:$H$29,5,FALSE),0)</x:f>
        <x:v>0</x:v>
      </x:c>
      <x:c r="G894">
        <x:f>ROUND($C894*10*VLOOKUP($B894,Sheet2!$J$5:$K$7,2,FALSE)*VLOOKUP(Sheet1!$A894,Sheet2!$B$5:$H$29,6,FALSE),0)</x:f>
        <x:v>0</x:v>
      </x:c>
      <x:c r="H894">
        <x:f>ROUND($C894*10*VLOOKUP($B894,Sheet2!$J$5:$K$7,2,FALSE)*VLOOKUP(Sheet1!$A894,Sheet2!$B$5:$H$29,7,FALSE),0)</x:f>
        <x:v>1060</x:v>
      </x:c>
      <x:c r="I894">
        <x:f t="shared" si="14"/>
        <x:v>154680</x:v>
      </x:c>
    </x:row>
    <x:row r="895" spans="1:9" x14ac:dyDescent="0.15">
      <x:c r="A895">
        <x:v>54005</x:v>
      </x:c>
      <x:c r="B895">
        <x:v>3</x:v>
      </x:c>
      <x:c r="C895">
        <x:v>54</x:v>
      </x:c>
      <x:c r="D895">
        <x:f>ROUND($C895*10*VLOOKUP($B895,Sheet2!$J$5:$K$7,2,FALSE)*VLOOKUP(Sheet1!$A895,Sheet2!$B$5:$H$29,3,FALSE),0)</x:f>
        <x:v>648</x:v>
      </x:c>
      <x:c r="E895">
        <x:f>ROUND($C895*10*VLOOKUP($B895,Sheet2!$J$5:$K$7,2,FALSE)*VLOOKUP(Sheet1!$A895,Sheet2!$B$5:$H$29,4,FALSE),0)</x:f>
        <x:v>0</x:v>
      </x:c>
      <x:c r="F895">
        <x:f>ROUND($C895*10*VLOOKUP($B895,Sheet2!$J$5:$K$7,2,FALSE)*VLOOKUP(Sheet1!$A895,Sheet2!$B$5:$H$29,5,FALSE),0)</x:f>
        <x:v>0</x:v>
      </x:c>
      <x:c r="G895">
        <x:f>ROUND($C895*10*VLOOKUP($B895,Sheet2!$J$5:$K$7,2,FALSE)*VLOOKUP(Sheet1!$A895,Sheet2!$B$5:$H$29,6,FALSE),0)</x:f>
        <x:v>0</x:v>
      </x:c>
      <x:c r="H895">
        <x:f>ROUND($C895*10*VLOOKUP($B895,Sheet2!$J$5:$K$7,2,FALSE)*VLOOKUP(Sheet1!$A895,Sheet2!$B$5:$H$29,7,FALSE),0)</x:f>
        <x:v>1080</x:v>
      </x:c>
      <x:c r="I895">
        <x:f t="shared" si="14"/>
        <x:v>160070</x:v>
      </x:c>
    </x:row>
    <x:row r="896" spans="1:9" x14ac:dyDescent="0.15">
      <x:c r="A896">
        <x:v>54005</x:v>
      </x:c>
      <x:c r="B896">
        <x:v>3</x:v>
      </x:c>
      <x:c r="C896">
        <x:v>55</x:v>
      </x:c>
      <x:c r="D896">
        <x:f>ROUND($C896*10*VLOOKUP($B896,Sheet2!$J$5:$K$7,2,FALSE)*VLOOKUP(Sheet1!$A896,Sheet2!$B$5:$H$29,3,FALSE),0)</x:f>
        <x:v>660</x:v>
      </x:c>
      <x:c r="E896">
        <x:f>ROUND($C896*10*VLOOKUP($B896,Sheet2!$J$5:$K$7,2,FALSE)*VLOOKUP(Sheet1!$A896,Sheet2!$B$5:$H$29,4,FALSE),0)</x:f>
        <x:v>0</x:v>
      </x:c>
      <x:c r="F896">
        <x:f>ROUND($C896*10*VLOOKUP($B896,Sheet2!$J$5:$K$7,2,FALSE)*VLOOKUP(Sheet1!$A896,Sheet2!$B$5:$H$29,5,FALSE),0)</x:f>
        <x:v>0</x:v>
      </x:c>
      <x:c r="G896">
        <x:f>ROUND($C896*10*VLOOKUP($B896,Sheet2!$J$5:$K$7,2,FALSE)*VLOOKUP(Sheet1!$A896,Sheet2!$B$5:$H$29,6,FALSE),0)</x:f>
        <x:v>0</x:v>
      </x:c>
      <x:c r="H896">
        <x:f>ROUND($C896*10*VLOOKUP($B896,Sheet2!$J$5:$K$7,2,FALSE)*VLOOKUP(Sheet1!$A896,Sheet2!$B$5:$H$29,7,FALSE),0)</x:f>
        <x:v>1100</x:v>
      </x:c>
      <x:c r="I896">
        <x:f t="shared" si="14"/>
        <x:v>165540</x:v>
      </x:c>
    </x:row>
    <x:row r="897" spans="1:11" x14ac:dyDescent="0.15">
      <x:c r="A897">
        <x:v>54005</x:v>
      </x:c>
      <x:c r="B897">
        <x:v>3</x:v>
      </x:c>
      <x:c r="C897">
        <x:v>56</x:v>
      </x:c>
      <x:c r="D897">
        <x:f>ROUND($C897*10*VLOOKUP($B897,Sheet2!$J$5:$K$7,2,FALSE)*VLOOKUP(Sheet1!$A897,Sheet2!$B$5:$H$29,3,FALSE),0)</x:f>
        <x:v>672</x:v>
      </x:c>
      <x:c r="E897">
        <x:f>ROUND($C897*10*VLOOKUP($B897,Sheet2!$J$5:$K$7,2,FALSE)*VLOOKUP(Sheet1!$A897,Sheet2!$B$5:$H$29,4,FALSE),0)</x:f>
        <x:v>0</x:v>
      </x:c>
      <x:c r="F897">
        <x:f>ROUND($C897*10*VLOOKUP($B897,Sheet2!$J$5:$K$7,2,FALSE)*VLOOKUP(Sheet1!$A897,Sheet2!$B$5:$H$29,5,FALSE),0)</x:f>
        <x:v>0</x:v>
      </x:c>
      <x:c r="G897">
        <x:f>ROUND($C897*10*VLOOKUP($B897,Sheet2!$J$5:$K$7,2,FALSE)*VLOOKUP(Sheet1!$A897,Sheet2!$B$5:$H$29,6,FALSE),0)</x:f>
        <x:v>0</x:v>
      </x:c>
      <x:c r="H897">
        <x:f>ROUND($C897*10*VLOOKUP($B897,Sheet2!$J$5:$K$7,2,FALSE)*VLOOKUP(Sheet1!$A897,Sheet2!$B$5:$H$29,7,FALSE),0)</x:f>
        <x:v>1120</x:v>
      </x:c>
      <x:c r="I897">
        <x:f t="shared" si="14"/>
        <x:v>171100</x:v>
      </x:c>
    </x:row>
    <x:row r="898" spans="1:11" x14ac:dyDescent="0.15">
      <x:c r="A898">
        <x:v>54005</x:v>
      </x:c>
      <x:c r="B898">
        <x:v>3</x:v>
      </x:c>
      <x:c r="C898">
        <x:v>57</x:v>
      </x:c>
      <x:c r="D898">
        <x:f>ROUND($C898*10*VLOOKUP($B898,Sheet2!$J$5:$K$7,2,FALSE)*VLOOKUP(Sheet1!$A898,Sheet2!$B$5:$H$29,3,FALSE),0)</x:f>
        <x:v>684</x:v>
      </x:c>
      <x:c r="E898">
        <x:f>ROUND($C898*10*VLOOKUP($B898,Sheet2!$J$5:$K$7,2,FALSE)*VLOOKUP(Sheet1!$A898,Sheet2!$B$5:$H$29,4,FALSE),0)</x:f>
        <x:v>0</x:v>
      </x:c>
      <x:c r="F898">
        <x:f>ROUND($C898*10*VLOOKUP($B898,Sheet2!$J$5:$K$7,2,FALSE)*VLOOKUP(Sheet1!$A898,Sheet2!$B$5:$H$29,5,FALSE),0)</x:f>
        <x:v>0</x:v>
      </x:c>
      <x:c r="G898">
        <x:f>ROUND($C898*10*VLOOKUP($B898,Sheet2!$J$5:$K$7,2,FALSE)*VLOOKUP(Sheet1!$A898,Sheet2!$B$5:$H$29,6,FALSE),0)</x:f>
        <x:v>0</x:v>
      </x:c>
      <x:c r="H898">
        <x:f>ROUND($C898*10*VLOOKUP($B898,Sheet2!$J$5:$K$7,2,FALSE)*VLOOKUP(Sheet1!$A898,Sheet2!$B$5:$H$29,7,FALSE),0)</x:f>
        <x:v>1140</x:v>
      </x:c>
      <x:c r="I898">
        <x:f t="shared" si="14"/>
        <x:v>176740</x:v>
      </x:c>
    </x:row>
    <x:row r="899" spans="1:11" x14ac:dyDescent="0.15">
      <x:c r="A899">
        <x:v>54005</x:v>
      </x:c>
      <x:c r="B899">
        <x:v>3</x:v>
      </x:c>
      <x:c r="C899">
        <x:v>58</x:v>
      </x:c>
      <x:c r="D899">
        <x:f>ROUND($C899*10*VLOOKUP($B899,Sheet2!$J$5:$K$7,2,FALSE)*VLOOKUP(Sheet1!$A899,Sheet2!$B$5:$H$29,3,FALSE),0)</x:f>
        <x:v>696</x:v>
      </x:c>
      <x:c r="E899">
        <x:f>ROUND($C899*10*VLOOKUP($B899,Sheet2!$J$5:$K$7,2,FALSE)*VLOOKUP(Sheet1!$A899,Sheet2!$B$5:$H$29,4,FALSE),0)</x:f>
        <x:v>0</x:v>
      </x:c>
      <x:c r="F899">
        <x:f>ROUND($C899*10*VLOOKUP($B899,Sheet2!$J$5:$K$7,2,FALSE)*VLOOKUP(Sheet1!$A899,Sheet2!$B$5:$H$29,5,FALSE),0)</x:f>
        <x:v>0</x:v>
      </x:c>
      <x:c r="G899">
        <x:f>ROUND($C899*10*VLOOKUP($B899,Sheet2!$J$5:$K$7,2,FALSE)*VLOOKUP(Sheet1!$A899,Sheet2!$B$5:$H$29,6,FALSE),0)</x:f>
        <x:v>0</x:v>
      </x:c>
      <x:c r="H899">
        <x:f>ROUND($C899*10*VLOOKUP($B899,Sheet2!$J$5:$K$7,2,FALSE)*VLOOKUP(Sheet1!$A899,Sheet2!$B$5:$H$29,7,FALSE),0)</x:f>
        <x:v>1160</x:v>
      </x:c>
      <x:c r="I899">
        <x:f t="shared" si="14"/>
        <x:v>182460</x:v>
      </x:c>
    </x:row>
    <x:row r="900" spans="1:11" x14ac:dyDescent="0.15">
      <x:c r="A900">
        <x:v>54005</x:v>
      </x:c>
      <x:c r="B900">
        <x:v>3</x:v>
      </x:c>
      <x:c r="C900">
        <x:v>59</x:v>
      </x:c>
      <x:c r="D900">
        <x:f>ROUND($C900*10*VLOOKUP($B900,Sheet2!$J$5:$K$7,2,FALSE)*VLOOKUP(Sheet1!$A900,Sheet2!$B$5:$H$29,3,FALSE),0)</x:f>
        <x:v>708</x:v>
      </x:c>
      <x:c r="E900">
        <x:f>ROUND($C900*10*VLOOKUP($B900,Sheet2!$J$5:$K$7,2,FALSE)*VLOOKUP(Sheet1!$A900,Sheet2!$B$5:$H$29,4,FALSE),0)</x:f>
        <x:v>0</x:v>
      </x:c>
      <x:c r="F900">
        <x:f>ROUND($C900*10*VLOOKUP($B900,Sheet2!$J$5:$K$7,2,FALSE)*VLOOKUP(Sheet1!$A900,Sheet2!$B$5:$H$29,5,FALSE),0)</x:f>
        <x:v>0</x:v>
      </x:c>
      <x:c r="G900">
        <x:f>ROUND($C900*10*VLOOKUP($B900,Sheet2!$J$5:$K$7,2,FALSE)*VLOOKUP(Sheet1!$A900,Sheet2!$B$5:$H$29,6,FALSE),0)</x:f>
        <x:v>0</x:v>
      </x:c>
      <x:c r="H900">
        <x:f>ROUND($C900*10*VLOOKUP($B900,Sheet2!$J$5:$K$7,2,FALSE)*VLOOKUP(Sheet1!$A900,Sheet2!$B$5:$H$29,7,FALSE),0)</x:f>
        <x:v>1180</x:v>
      </x:c>
      <x:c r="I900">
        <x:f t="shared" si="14"/>
        <x:v>188260</x:v>
      </x:c>
    </x:row>
    <x:row r="901" spans="1:11" x14ac:dyDescent="0.15">
      <x:c r="A901">
        <x:v>54005</x:v>
      </x:c>
      <x:c r="B901">
        <x:v>3</x:v>
      </x:c>
      <x:c r="C901">
        <x:v>60</x:v>
      </x:c>
      <x:c r="D901">
        <x:f>ROUND($C901*10*VLOOKUP($B901,Sheet2!$J$5:$K$7,2,FALSE)*VLOOKUP(Sheet1!$A901,Sheet2!$B$5:$H$29,3,FALSE),0)</x:f>
        <x:v>720</x:v>
      </x:c>
      <x:c r="E901">
        <x:f>ROUND($C901*10*VLOOKUP($B901,Sheet2!$J$5:$K$7,2,FALSE)*VLOOKUP(Sheet1!$A901,Sheet2!$B$5:$H$29,4,FALSE),0)</x:f>
        <x:v>0</x:v>
      </x:c>
      <x:c r="F901">
        <x:f>ROUND($C901*10*VLOOKUP($B901,Sheet2!$J$5:$K$7,2,FALSE)*VLOOKUP(Sheet1!$A901,Sheet2!$B$5:$H$29,5,FALSE),0)</x:f>
        <x:v>0</x:v>
      </x:c>
      <x:c r="G901">
        <x:f>ROUND($C901*10*VLOOKUP($B901,Sheet2!$J$5:$K$7,2,FALSE)*VLOOKUP(Sheet1!$A901,Sheet2!$B$5:$H$29,6,FALSE),0)</x:f>
        <x:v>0</x:v>
      </x:c>
      <x:c r="H901">
        <x:f>ROUND($C901*10*VLOOKUP($B901,Sheet2!$J$5:$K$7,2,FALSE)*VLOOKUP(Sheet1!$A901,Sheet2!$B$5:$H$29,7,FALSE),0)</x:f>
        <x:v>1200</x:v>
      </x:c>
      <x:c r="I901">
        <x:f t="shared" si="14"/>
        <x:v>194140</x:v>
      </x:c>
    </x:row>
    <x:row r="902" spans="1:11" x14ac:dyDescent="0.15">
      <x:c r="A902">
        <x:v>54051</x:v>
      </x:c>
      <x:c r="B902">
        <x:v>1</x:v>
      </x:c>
      <x:c r="C902">
        <x:v>1</x:v>
      </x:c>
      <x:c r="D902">
        <x:f>ROUND($C902*10*VLOOKUP($B902,Sheet2!$J$5:$K$7,2,FALSE)*VLOOKUP(Sheet1!$A902,Sheet2!$B$5:$H$29,3,FALSE),0)</x:f>
        <x:v>2</x:v>
      </x:c>
      <x:c r="E902">
        <x:f>ROUND($C902*10*VLOOKUP($B902,Sheet2!$J$5:$K$7,2,FALSE)*VLOOKUP(Sheet1!$A902,Sheet2!$B$5:$H$29,4,FALSE),0)</x:f>
        <x:v>6</x:v>
      </x:c>
      <x:c r="F902">
        <x:f>ROUND($C902*10*VLOOKUP($B902,Sheet2!$J$5:$K$7,2,FALSE)*VLOOKUP(Sheet1!$A902,Sheet2!$B$5:$H$29,5,FALSE),0)</x:f>
        <x:v>0</x:v>
      </x:c>
      <x:c r="G902">
        <x:f>ROUND($C902*10*VLOOKUP($B902,Sheet2!$J$5:$K$7,2,FALSE)*VLOOKUP(Sheet1!$A902,Sheet2!$B$5:$H$29,6,FALSE),0)</x:f>
        <x:v>0</x:v>
      </x:c>
      <x:c r="H902">
        <x:f>ROUND($C902*10*VLOOKUP($B902,Sheet2!$J$5:$K$7,2,FALSE)*VLOOKUP(Sheet1!$A902,Sheet2!$B$5:$H$29,7,FALSE),0)</x:f>
        <x:v>0</x:v>
      </x:c>
      <x:c r="I902">
        <x:f t="shared" ref="I902:I961" si="15">ROUND(1.2*10*1.8*(C902-1)^1.8+30,-1)</x:f>
        <x:v>30</x:v>
      </x:c>
      <x:c r="K902" s="2"/>
    </x:row>
    <x:row r="903" spans="1:11" x14ac:dyDescent="0.15">
      <x:c r="A903">
        <x:v>54051</x:v>
      </x:c>
      <x:c r="B903">
        <x:v>1</x:v>
      </x:c>
      <x:c r="C903">
        <x:v>2</x:v>
      </x:c>
      <x:c r="D903">
        <x:f>ROUND($C903*10*VLOOKUP($B903,Sheet2!$J$5:$K$7,2,FALSE)*VLOOKUP(Sheet1!$A903,Sheet2!$B$5:$H$29,3,FALSE),0)</x:f>
        <x:v>4</x:v>
      </x:c>
      <x:c r="E903">
        <x:f>ROUND($C903*10*VLOOKUP($B903,Sheet2!$J$5:$K$7,2,FALSE)*VLOOKUP(Sheet1!$A903,Sheet2!$B$5:$H$29,4,FALSE),0)</x:f>
        <x:v>12</x:v>
      </x:c>
      <x:c r="F903">
        <x:f>ROUND($C903*10*VLOOKUP($B903,Sheet2!$J$5:$K$7,2,FALSE)*VLOOKUP(Sheet1!$A903,Sheet2!$B$5:$H$29,5,FALSE),0)</x:f>
        <x:v>0</x:v>
      </x:c>
      <x:c r="G903">
        <x:f>ROUND($C903*10*VLOOKUP($B903,Sheet2!$J$5:$K$7,2,FALSE)*VLOOKUP(Sheet1!$A903,Sheet2!$B$5:$H$29,6,FALSE),0)</x:f>
        <x:v>0</x:v>
      </x:c>
      <x:c r="H903">
        <x:f>ROUND($C903*10*VLOOKUP($B903,Sheet2!$J$5:$K$7,2,FALSE)*VLOOKUP(Sheet1!$A903,Sheet2!$B$5:$H$29,7,FALSE),0)</x:f>
        <x:v>0</x:v>
      </x:c>
      <x:c r="I903">
        <x:f t="shared" si="15"/>
        <x:v>50</x:v>
      </x:c>
    </x:row>
    <x:row r="904" spans="1:11" x14ac:dyDescent="0.15">
      <x:c r="A904">
        <x:v>54051</x:v>
      </x:c>
      <x:c r="B904">
        <x:v>1</x:v>
      </x:c>
      <x:c r="C904">
        <x:v>3</x:v>
      </x:c>
      <x:c r="D904">
        <x:f>ROUND($C904*10*VLOOKUP($B904,Sheet2!$J$5:$K$7,2,FALSE)*VLOOKUP(Sheet1!$A904,Sheet2!$B$5:$H$29,3,FALSE),0)</x:f>
        <x:v>6</x:v>
      </x:c>
      <x:c r="E904">
        <x:f>ROUND($C904*10*VLOOKUP($B904,Sheet2!$J$5:$K$7,2,FALSE)*VLOOKUP(Sheet1!$A904,Sheet2!$B$5:$H$29,4,FALSE),0)</x:f>
        <x:v>18</x:v>
      </x:c>
      <x:c r="F904">
        <x:f>ROUND($C904*10*VLOOKUP($B904,Sheet2!$J$5:$K$7,2,FALSE)*VLOOKUP(Sheet1!$A904,Sheet2!$B$5:$H$29,5,FALSE),0)</x:f>
        <x:v>0</x:v>
      </x:c>
      <x:c r="G904">
        <x:f>ROUND($C904*10*VLOOKUP($B904,Sheet2!$J$5:$K$7,2,FALSE)*VLOOKUP(Sheet1!$A904,Sheet2!$B$5:$H$29,6,FALSE),0)</x:f>
        <x:v>0</x:v>
      </x:c>
      <x:c r="H904">
        <x:f>ROUND($C904*10*VLOOKUP($B904,Sheet2!$J$5:$K$7,2,FALSE)*VLOOKUP(Sheet1!$A904,Sheet2!$B$5:$H$29,7,FALSE),0)</x:f>
        <x:v>0</x:v>
      </x:c>
      <x:c r="I904">
        <x:f t="shared" si="15"/>
        <x:v>110</x:v>
      </x:c>
    </x:row>
    <x:row r="905" spans="1:11" x14ac:dyDescent="0.15">
      <x:c r="A905">
        <x:v>54051</x:v>
      </x:c>
      <x:c r="B905">
        <x:v>1</x:v>
      </x:c>
      <x:c r="C905">
        <x:v>4</x:v>
      </x:c>
      <x:c r="D905">
        <x:f>ROUND($C905*10*VLOOKUP($B905,Sheet2!$J$5:$K$7,2,FALSE)*VLOOKUP(Sheet1!$A905,Sheet2!$B$5:$H$29,3,FALSE),0)</x:f>
        <x:v>8</x:v>
      </x:c>
      <x:c r="E905">
        <x:f>ROUND($C905*10*VLOOKUP($B905,Sheet2!$J$5:$K$7,2,FALSE)*VLOOKUP(Sheet1!$A905,Sheet2!$B$5:$H$29,4,FALSE),0)</x:f>
        <x:v>24</x:v>
      </x:c>
      <x:c r="F905">
        <x:f>ROUND($C905*10*VLOOKUP($B905,Sheet2!$J$5:$K$7,2,FALSE)*VLOOKUP(Sheet1!$A905,Sheet2!$B$5:$H$29,5,FALSE),0)</x:f>
        <x:v>0</x:v>
      </x:c>
      <x:c r="G905">
        <x:f>ROUND($C905*10*VLOOKUP($B905,Sheet2!$J$5:$K$7,2,FALSE)*VLOOKUP(Sheet1!$A905,Sheet2!$B$5:$H$29,6,FALSE),0)</x:f>
        <x:v>0</x:v>
      </x:c>
      <x:c r="H905">
        <x:f>ROUND($C905*10*VLOOKUP($B905,Sheet2!$J$5:$K$7,2,FALSE)*VLOOKUP(Sheet1!$A905,Sheet2!$B$5:$H$29,7,FALSE),0)</x:f>
        <x:v>0</x:v>
      </x:c>
      <x:c r="I905">
        <x:f t="shared" si="15"/>
        <x:v>190</x:v>
      </x:c>
    </x:row>
    <x:row r="906" spans="1:11" x14ac:dyDescent="0.15">
      <x:c r="A906">
        <x:v>54051</x:v>
      </x:c>
      <x:c r="B906">
        <x:v>1</x:v>
      </x:c>
      <x:c r="C906">
        <x:v>5</x:v>
      </x:c>
      <x:c r="D906">
        <x:f>ROUND($C906*10*VLOOKUP($B906,Sheet2!$J$5:$K$7,2,FALSE)*VLOOKUP(Sheet1!$A906,Sheet2!$B$5:$H$29,3,FALSE),0)</x:f>
        <x:v>10</x:v>
      </x:c>
      <x:c r="E906">
        <x:f>ROUND($C906*10*VLOOKUP($B906,Sheet2!$J$5:$K$7,2,FALSE)*VLOOKUP(Sheet1!$A906,Sheet2!$B$5:$H$29,4,FALSE),0)</x:f>
        <x:v>30</x:v>
      </x:c>
      <x:c r="F906">
        <x:f>ROUND($C906*10*VLOOKUP($B906,Sheet2!$J$5:$K$7,2,FALSE)*VLOOKUP(Sheet1!$A906,Sheet2!$B$5:$H$29,5,FALSE),0)</x:f>
        <x:v>0</x:v>
      </x:c>
      <x:c r="G906">
        <x:f>ROUND($C906*10*VLOOKUP($B906,Sheet2!$J$5:$K$7,2,FALSE)*VLOOKUP(Sheet1!$A906,Sheet2!$B$5:$H$29,6,FALSE),0)</x:f>
        <x:v>0</x:v>
      </x:c>
      <x:c r="H906">
        <x:f>ROUND($C906*10*VLOOKUP($B906,Sheet2!$J$5:$K$7,2,FALSE)*VLOOKUP(Sheet1!$A906,Sheet2!$B$5:$H$29,7,FALSE),0)</x:f>
        <x:v>0</x:v>
      </x:c>
      <x:c r="I906">
        <x:f t="shared" si="15"/>
        <x:v>290</x:v>
      </x:c>
    </x:row>
    <x:row r="907" spans="1:11" x14ac:dyDescent="0.15">
      <x:c r="A907">
        <x:v>54051</x:v>
      </x:c>
      <x:c r="B907">
        <x:v>1</x:v>
      </x:c>
      <x:c r="C907">
        <x:v>6</x:v>
      </x:c>
      <x:c r="D907">
        <x:f>ROUND($C907*10*VLOOKUP($B907,Sheet2!$J$5:$K$7,2,FALSE)*VLOOKUP(Sheet1!$A907,Sheet2!$B$5:$H$29,3,FALSE),0)</x:f>
        <x:v>12</x:v>
      </x:c>
      <x:c r="E907">
        <x:f>ROUND($C907*10*VLOOKUP($B907,Sheet2!$J$5:$K$7,2,FALSE)*VLOOKUP(Sheet1!$A907,Sheet2!$B$5:$H$29,4,FALSE),0)</x:f>
        <x:v>36</x:v>
      </x:c>
      <x:c r="F907">
        <x:f>ROUND($C907*10*VLOOKUP($B907,Sheet2!$J$5:$K$7,2,FALSE)*VLOOKUP(Sheet1!$A907,Sheet2!$B$5:$H$29,5,FALSE),0)</x:f>
        <x:v>0</x:v>
      </x:c>
      <x:c r="G907">
        <x:f>ROUND($C907*10*VLOOKUP($B907,Sheet2!$J$5:$K$7,2,FALSE)*VLOOKUP(Sheet1!$A907,Sheet2!$B$5:$H$29,6,FALSE),0)</x:f>
        <x:v>0</x:v>
      </x:c>
      <x:c r="H907">
        <x:f>ROUND($C907*10*VLOOKUP($B907,Sheet2!$J$5:$K$7,2,FALSE)*VLOOKUP(Sheet1!$A907,Sheet2!$B$5:$H$29,7,FALSE),0)</x:f>
        <x:v>0</x:v>
      </x:c>
      <x:c r="I907">
        <x:f t="shared" si="15"/>
        <x:v>420</x:v>
      </x:c>
    </x:row>
    <x:row r="908" spans="1:11" x14ac:dyDescent="0.15">
      <x:c r="A908">
        <x:v>54051</x:v>
      </x:c>
      <x:c r="B908">
        <x:v>1</x:v>
      </x:c>
      <x:c r="C908">
        <x:v>7</x:v>
      </x:c>
      <x:c r="D908">
        <x:f>ROUND($C908*10*VLOOKUP($B908,Sheet2!$J$5:$K$7,2,FALSE)*VLOOKUP(Sheet1!$A908,Sheet2!$B$5:$H$29,3,FALSE),0)</x:f>
        <x:v>14</x:v>
      </x:c>
      <x:c r="E908">
        <x:f>ROUND($C908*10*VLOOKUP($B908,Sheet2!$J$5:$K$7,2,FALSE)*VLOOKUP(Sheet1!$A908,Sheet2!$B$5:$H$29,4,FALSE),0)</x:f>
        <x:v>42</x:v>
      </x:c>
      <x:c r="F908">
        <x:f>ROUND($C908*10*VLOOKUP($B908,Sheet2!$J$5:$K$7,2,FALSE)*VLOOKUP(Sheet1!$A908,Sheet2!$B$5:$H$29,5,FALSE),0)</x:f>
        <x:v>0</x:v>
      </x:c>
      <x:c r="G908">
        <x:f>ROUND($C908*10*VLOOKUP($B908,Sheet2!$J$5:$K$7,2,FALSE)*VLOOKUP(Sheet1!$A908,Sheet2!$B$5:$H$29,6,FALSE),0)</x:f>
        <x:v>0</x:v>
      </x:c>
      <x:c r="H908">
        <x:f>ROUND($C908*10*VLOOKUP($B908,Sheet2!$J$5:$K$7,2,FALSE)*VLOOKUP(Sheet1!$A908,Sheet2!$B$5:$H$29,7,FALSE),0)</x:f>
        <x:v>0</x:v>
      </x:c>
      <x:c r="I908">
        <x:f t="shared" si="15"/>
        <x:v>570</x:v>
      </x:c>
    </x:row>
    <x:row r="909" spans="1:11" x14ac:dyDescent="0.15">
      <x:c r="A909">
        <x:v>54051</x:v>
      </x:c>
      <x:c r="B909">
        <x:v>1</x:v>
      </x:c>
      <x:c r="C909">
        <x:v>8</x:v>
      </x:c>
      <x:c r="D909">
        <x:f>ROUND($C909*10*VLOOKUP($B909,Sheet2!$J$5:$K$7,2,FALSE)*VLOOKUP(Sheet1!$A909,Sheet2!$B$5:$H$29,3,FALSE),0)</x:f>
        <x:v>16</x:v>
      </x:c>
      <x:c r="E909">
        <x:f>ROUND($C909*10*VLOOKUP($B909,Sheet2!$J$5:$K$7,2,FALSE)*VLOOKUP(Sheet1!$A909,Sheet2!$B$5:$H$29,4,FALSE),0)</x:f>
        <x:v>48</x:v>
      </x:c>
      <x:c r="F909">
        <x:f>ROUND($C909*10*VLOOKUP($B909,Sheet2!$J$5:$K$7,2,FALSE)*VLOOKUP(Sheet1!$A909,Sheet2!$B$5:$H$29,5,FALSE),0)</x:f>
        <x:v>0</x:v>
      </x:c>
      <x:c r="G909">
        <x:f>ROUND($C909*10*VLOOKUP($B909,Sheet2!$J$5:$K$7,2,FALSE)*VLOOKUP(Sheet1!$A909,Sheet2!$B$5:$H$29,6,FALSE),0)</x:f>
        <x:v>0</x:v>
      </x:c>
      <x:c r="H909">
        <x:f>ROUND($C909*10*VLOOKUP($B909,Sheet2!$J$5:$K$7,2,FALSE)*VLOOKUP(Sheet1!$A909,Sheet2!$B$5:$H$29,7,FALSE),0)</x:f>
        <x:v>0</x:v>
      </x:c>
      <x:c r="I909">
        <x:f t="shared" si="15"/>
        <x:v>750</x:v>
      </x:c>
    </x:row>
    <x:row r="910" spans="1:11" x14ac:dyDescent="0.15">
      <x:c r="A910">
        <x:v>54051</x:v>
      </x:c>
      <x:c r="B910">
        <x:v>1</x:v>
      </x:c>
      <x:c r="C910">
        <x:v>9</x:v>
      </x:c>
      <x:c r="D910">
        <x:f>ROUND($C910*10*VLOOKUP($B910,Sheet2!$J$5:$K$7,2,FALSE)*VLOOKUP(Sheet1!$A910,Sheet2!$B$5:$H$29,3,FALSE),0)</x:f>
        <x:v>18</x:v>
      </x:c>
      <x:c r="E910">
        <x:f>ROUND($C910*10*VLOOKUP($B910,Sheet2!$J$5:$K$7,2,FALSE)*VLOOKUP(Sheet1!$A910,Sheet2!$B$5:$H$29,4,FALSE),0)</x:f>
        <x:v>54</x:v>
      </x:c>
      <x:c r="F910">
        <x:f>ROUND($C910*10*VLOOKUP($B910,Sheet2!$J$5:$K$7,2,FALSE)*VLOOKUP(Sheet1!$A910,Sheet2!$B$5:$H$29,5,FALSE),0)</x:f>
        <x:v>0</x:v>
      </x:c>
      <x:c r="G910">
        <x:f>ROUND($C910*10*VLOOKUP($B910,Sheet2!$J$5:$K$7,2,FALSE)*VLOOKUP(Sheet1!$A910,Sheet2!$B$5:$H$29,6,FALSE),0)</x:f>
        <x:v>0</x:v>
      </x:c>
      <x:c r="H910">
        <x:f>ROUND($C910*10*VLOOKUP($B910,Sheet2!$J$5:$K$7,2,FALSE)*VLOOKUP(Sheet1!$A910,Sheet2!$B$5:$H$29,7,FALSE),0)</x:f>
        <x:v>0</x:v>
      </x:c>
      <x:c r="I910">
        <x:f t="shared" si="15"/>
        <x:v>940</x:v>
      </x:c>
    </x:row>
    <x:row r="911" spans="1:11" x14ac:dyDescent="0.15">
      <x:c r="A911">
        <x:v>54051</x:v>
      </x:c>
      <x:c r="B911">
        <x:v>1</x:v>
      </x:c>
      <x:c r="C911">
        <x:v>10</x:v>
      </x:c>
      <x:c r="D911">
        <x:f>ROUND($C911*10*VLOOKUP($B911,Sheet2!$J$5:$K$7,2,FALSE)*VLOOKUP(Sheet1!$A911,Sheet2!$B$5:$H$29,3,FALSE),0)</x:f>
        <x:v>20</x:v>
      </x:c>
      <x:c r="E911">
        <x:f>ROUND($C911*10*VLOOKUP($B911,Sheet2!$J$5:$K$7,2,FALSE)*VLOOKUP(Sheet1!$A911,Sheet2!$B$5:$H$29,4,FALSE),0)</x:f>
        <x:v>60</x:v>
      </x:c>
      <x:c r="F911">
        <x:f>ROUND($C911*10*VLOOKUP($B911,Sheet2!$J$5:$K$7,2,FALSE)*VLOOKUP(Sheet1!$A911,Sheet2!$B$5:$H$29,5,FALSE),0)</x:f>
        <x:v>0</x:v>
      </x:c>
      <x:c r="G911">
        <x:f>ROUND($C911*10*VLOOKUP($B911,Sheet2!$J$5:$K$7,2,FALSE)*VLOOKUP(Sheet1!$A911,Sheet2!$B$5:$H$29,6,FALSE),0)</x:f>
        <x:v>0</x:v>
      </x:c>
      <x:c r="H911">
        <x:f>ROUND($C911*10*VLOOKUP($B911,Sheet2!$J$5:$K$7,2,FALSE)*VLOOKUP(Sheet1!$A911,Sheet2!$B$5:$H$29,7,FALSE),0)</x:f>
        <x:v>0</x:v>
      </x:c>
      <x:c r="I911">
        <x:f t="shared" si="15"/>
        <x:v>1160</x:v>
      </x:c>
    </x:row>
    <x:row r="912" spans="1:11" x14ac:dyDescent="0.15">
      <x:c r="A912">
        <x:v>54051</x:v>
      </x:c>
      <x:c r="B912">
        <x:v>1</x:v>
      </x:c>
      <x:c r="C912">
        <x:v>11</x:v>
      </x:c>
      <x:c r="D912">
        <x:f>ROUND($C912*10*VLOOKUP($B912,Sheet2!$J$5:$K$7,2,FALSE)*VLOOKUP(Sheet1!$A912,Sheet2!$B$5:$H$29,3,FALSE),0)</x:f>
        <x:v>22</x:v>
      </x:c>
      <x:c r="E912">
        <x:f>ROUND($C912*10*VLOOKUP($B912,Sheet2!$J$5:$K$7,2,FALSE)*VLOOKUP(Sheet1!$A912,Sheet2!$B$5:$H$29,4,FALSE),0)</x:f>
        <x:v>66</x:v>
      </x:c>
      <x:c r="F912">
        <x:f>ROUND($C912*10*VLOOKUP($B912,Sheet2!$J$5:$K$7,2,FALSE)*VLOOKUP(Sheet1!$A912,Sheet2!$B$5:$H$29,5,FALSE),0)</x:f>
        <x:v>0</x:v>
      </x:c>
      <x:c r="G912">
        <x:f>ROUND($C912*10*VLOOKUP($B912,Sheet2!$J$5:$K$7,2,FALSE)*VLOOKUP(Sheet1!$A912,Sheet2!$B$5:$H$29,6,FALSE),0)</x:f>
        <x:v>0</x:v>
      </x:c>
      <x:c r="H912">
        <x:f>ROUND($C912*10*VLOOKUP($B912,Sheet2!$J$5:$K$7,2,FALSE)*VLOOKUP(Sheet1!$A912,Sheet2!$B$5:$H$29,7,FALSE),0)</x:f>
        <x:v>0</x:v>
      </x:c>
      <x:c r="I912">
        <x:f t="shared" si="15"/>
        <x:v>1390</x:v>
      </x:c>
    </x:row>
    <x:row r="913" spans="1:9" x14ac:dyDescent="0.15">
      <x:c r="A913">
        <x:v>54051</x:v>
      </x:c>
      <x:c r="B913">
        <x:v>1</x:v>
      </x:c>
      <x:c r="C913">
        <x:v>12</x:v>
      </x:c>
      <x:c r="D913">
        <x:f>ROUND($C913*10*VLOOKUP($B913,Sheet2!$J$5:$K$7,2,FALSE)*VLOOKUP(Sheet1!$A913,Sheet2!$B$5:$H$29,3,FALSE),0)</x:f>
        <x:v>24</x:v>
      </x:c>
      <x:c r="E913">
        <x:f>ROUND($C913*10*VLOOKUP($B913,Sheet2!$J$5:$K$7,2,FALSE)*VLOOKUP(Sheet1!$A913,Sheet2!$B$5:$H$29,4,FALSE),0)</x:f>
        <x:v>72</x:v>
      </x:c>
      <x:c r="F913">
        <x:f>ROUND($C913*10*VLOOKUP($B913,Sheet2!$J$5:$K$7,2,FALSE)*VLOOKUP(Sheet1!$A913,Sheet2!$B$5:$H$29,5,FALSE),0)</x:f>
        <x:v>0</x:v>
      </x:c>
      <x:c r="G913">
        <x:f>ROUND($C913*10*VLOOKUP($B913,Sheet2!$J$5:$K$7,2,FALSE)*VLOOKUP(Sheet1!$A913,Sheet2!$B$5:$H$29,6,FALSE),0)</x:f>
        <x:v>0</x:v>
      </x:c>
      <x:c r="H913">
        <x:f>ROUND($C913*10*VLOOKUP($B913,Sheet2!$J$5:$K$7,2,FALSE)*VLOOKUP(Sheet1!$A913,Sheet2!$B$5:$H$29,7,FALSE),0)</x:f>
        <x:v>0</x:v>
      </x:c>
      <x:c r="I913">
        <x:f t="shared" si="15"/>
        <x:v>1650</x:v>
      </x:c>
    </x:row>
    <x:row r="914" spans="1:9" x14ac:dyDescent="0.15">
      <x:c r="A914">
        <x:v>54051</x:v>
      </x:c>
      <x:c r="B914">
        <x:v>1</x:v>
      </x:c>
      <x:c r="C914">
        <x:v>13</x:v>
      </x:c>
      <x:c r="D914">
        <x:f>ROUND($C914*10*VLOOKUP($B914,Sheet2!$J$5:$K$7,2,FALSE)*VLOOKUP(Sheet1!$A914,Sheet2!$B$5:$H$29,3,FALSE),0)</x:f>
        <x:v>26</x:v>
      </x:c>
      <x:c r="E914">
        <x:f>ROUND($C914*10*VLOOKUP($B914,Sheet2!$J$5:$K$7,2,FALSE)*VLOOKUP(Sheet1!$A914,Sheet2!$B$5:$H$29,4,FALSE),0)</x:f>
        <x:v>78</x:v>
      </x:c>
      <x:c r="F914">
        <x:f>ROUND($C914*10*VLOOKUP($B914,Sheet2!$J$5:$K$7,2,FALSE)*VLOOKUP(Sheet1!$A914,Sheet2!$B$5:$H$29,5,FALSE),0)</x:f>
        <x:v>0</x:v>
      </x:c>
      <x:c r="G914">
        <x:f>ROUND($C914*10*VLOOKUP($B914,Sheet2!$J$5:$K$7,2,FALSE)*VLOOKUP(Sheet1!$A914,Sheet2!$B$5:$H$29,6,FALSE),0)</x:f>
        <x:v>0</x:v>
      </x:c>
      <x:c r="H914">
        <x:f>ROUND($C914*10*VLOOKUP($B914,Sheet2!$J$5:$K$7,2,FALSE)*VLOOKUP(Sheet1!$A914,Sheet2!$B$5:$H$29,7,FALSE),0)</x:f>
        <x:v>0</x:v>
      </x:c>
      <x:c r="I914">
        <x:f t="shared" si="15"/>
        <x:v>1920</x:v>
      </x:c>
    </x:row>
    <x:row r="915" spans="1:9" x14ac:dyDescent="0.15">
      <x:c r="A915">
        <x:v>54051</x:v>
      </x:c>
      <x:c r="B915">
        <x:v>1</x:v>
      </x:c>
      <x:c r="C915">
        <x:v>14</x:v>
      </x:c>
      <x:c r="D915">
        <x:f>ROUND($C915*10*VLOOKUP($B915,Sheet2!$J$5:$K$7,2,FALSE)*VLOOKUP(Sheet1!$A915,Sheet2!$B$5:$H$29,3,FALSE),0)</x:f>
        <x:v>28</x:v>
      </x:c>
      <x:c r="E915">
        <x:f>ROUND($C915*10*VLOOKUP($B915,Sheet2!$J$5:$K$7,2,FALSE)*VLOOKUP(Sheet1!$A915,Sheet2!$B$5:$H$29,4,FALSE),0)</x:f>
        <x:v>84</x:v>
      </x:c>
      <x:c r="F915">
        <x:f>ROUND($C915*10*VLOOKUP($B915,Sheet2!$J$5:$K$7,2,FALSE)*VLOOKUP(Sheet1!$A915,Sheet2!$B$5:$H$29,5,FALSE),0)</x:f>
        <x:v>0</x:v>
      </x:c>
      <x:c r="G915">
        <x:f>ROUND($C915*10*VLOOKUP($B915,Sheet2!$J$5:$K$7,2,FALSE)*VLOOKUP(Sheet1!$A915,Sheet2!$B$5:$H$29,6,FALSE),0)</x:f>
        <x:v>0</x:v>
      </x:c>
      <x:c r="H915">
        <x:f>ROUND($C915*10*VLOOKUP($B915,Sheet2!$J$5:$K$7,2,FALSE)*VLOOKUP(Sheet1!$A915,Sheet2!$B$5:$H$29,7,FALSE),0)</x:f>
        <x:v>0</x:v>
      </x:c>
      <x:c r="I915">
        <x:f t="shared" si="15"/>
        <x:v>2220</x:v>
      </x:c>
    </x:row>
    <x:row r="916" spans="1:9" x14ac:dyDescent="0.15">
      <x:c r="A916">
        <x:v>54051</x:v>
      </x:c>
      <x:c r="B916">
        <x:v>1</x:v>
      </x:c>
      <x:c r="C916">
        <x:v>15</x:v>
      </x:c>
      <x:c r="D916">
        <x:f>ROUND($C916*10*VLOOKUP($B916,Sheet2!$J$5:$K$7,2,FALSE)*VLOOKUP(Sheet1!$A916,Sheet2!$B$5:$H$29,3,FALSE),0)</x:f>
        <x:v>30</x:v>
      </x:c>
      <x:c r="E916">
        <x:f>ROUND($C916*10*VLOOKUP($B916,Sheet2!$J$5:$K$7,2,FALSE)*VLOOKUP(Sheet1!$A916,Sheet2!$B$5:$H$29,4,FALSE),0)</x:f>
        <x:v>90</x:v>
      </x:c>
      <x:c r="F916">
        <x:f>ROUND($C916*10*VLOOKUP($B916,Sheet2!$J$5:$K$7,2,FALSE)*VLOOKUP(Sheet1!$A916,Sheet2!$B$5:$H$29,5,FALSE),0)</x:f>
        <x:v>0</x:v>
      </x:c>
      <x:c r="G916">
        <x:f>ROUND($C916*10*VLOOKUP($B916,Sheet2!$J$5:$K$7,2,FALSE)*VLOOKUP(Sheet1!$A916,Sheet2!$B$5:$H$29,6,FALSE),0)</x:f>
        <x:v>0</x:v>
      </x:c>
      <x:c r="H916">
        <x:f>ROUND($C916*10*VLOOKUP($B916,Sheet2!$J$5:$K$7,2,FALSE)*VLOOKUP(Sheet1!$A916,Sheet2!$B$5:$H$29,7,FALSE),0)</x:f>
        <x:v>0</x:v>
      </x:c>
      <x:c r="I916">
        <x:f t="shared" si="15"/>
        <x:v>2530</x:v>
      </x:c>
    </x:row>
    <x:row r="917" spans="1:9" x14ac:dyDescent="0.15">
      <x:c r="A917">
        <x:v>54051</x:v>
      </x:c>
      <x:c r="B917">
        <x:v>1</x:v>
      </x:c>
      <x:c r="C917">
        <x:v>16</x:v>
      </x:c>
      <x:c r="D917">
        <x:f>ROUND($C917*10*VLOOKUP($B917,Sheet2!$J$5:$K$7,2,FALSE)*VLOOKUP(Sheet1!$A917,Sheet2!$B$5:$H$29,3,FALSE),0)</x:f>
        <x:v>32</x:v>
      </x:c>
      <x:c r="E917">
        <x:f>ROUND($C917*10*VLOOKUP($B917,Sheet2!$J$5:$K$7,2,FALSE)*VLOOKUP(Sheet1!$A917,Sheet2!$B$5:$H$29,4,FALSE),0)</x:f>
        <x:v>96</x:v>
      </x:c>
      <x:c r="F917">
        <x:f>ROUND($C917*10*VLOOKUP($B917,Sheet2!$J$5:$K$7,2,FALSE)*VLOOKUP(Sheet1!$A917,Sheet2!$B$5:$H$29,5,FALSE),0)</x:f>
        <x:v>0</x:v>
      </x:c>
      <x:c r="G917">
        <x:f>ROUND($C917*10*VLOOKUP($B917,Sheet2!$J$5:$K$7,2,FALSE)*VLOOKUP(Sheet1!$A917,Sheet2!$B$5:$H$29,6,FALSE),0)</x:f>
        <x:v>0</x:v>
      </x:c>
      <x:c r="H917">
        <x:f>ROUND($C917*10*VLOOKUP($B917,Sheet2!$J$5:$K$7,2,FALSE)*VLOOKUP(Sheet1!$A917,Sheet2!$B$5:$H$29,7,FALSE),0)</x:f>
        <x:v>0</x:v>
      </x:c>
      <x:c r="I917">
        <x:f t="shared" si="15"/>
        <x:v>2860</x:v>
      </x:c>
    </x:row>
    <x:row r="918" spans="1:9" x14ac:dyDescent="0.15">
      <x:c r="A918">
        <x:v>54051</x:v>
      </x:c>
      <x:c r="B918">
        <x:v>1</x:v>
      </x:c>
      <x:c r="C918">
        <x:v>17</x:v>
      </x:c>
      <x:c r="D918">
        <x:f>ROUND($C918*10*VLOOKUP($B918,Sheet2!$J$5:$K$7,2,FALSE)*VLOOKUP(Sheet1!$A918,Sheet2!$B$5:$H$29,3,FALSE),0)</x:f>
        <x:v>34</x:v>
      </x:c>
      <x:c r="E918">
        <x:f>ROUND($C918*10*VLOOKUP($B918,Sheet2!$J$5:$K$7,2,FALSE)*VLOOKUP(Sheet1!$A918,Sheet2!$B$5:$H$29,4,FALSE),0)</x:f>
        <x:v>102</x:v>
      </x:c>
      <x:c r="F918">
        <x:f>ROUND($C918*10*VLOOKUP($B918,Sheet2!$J$5:$K$7,2,FALSE)*VLOOKUP(Sheet1!$A918,Sheet2!$B$5:$H$29,5,FALSE),0)</x:f>
        <x:v>0</x:v>
      </x:c>
      <x:c r="G918">
        <x:f>ROUND($C918*10*VLOOKUP($B918,Sheet2!$J$5:$K$7,2,FALSE)*VLOOKUP(Sheet1!$A918,Sheet2!$B$5:$H$29,6,FALSE),0)</x:f>
        <x:v>0</x:v>
      </x:c>
      <x:c r="H918">
        <x:f>ROUND($C918*10*VLOOKUP($B918,Sheet2!$J$5:$K$7,2,FALSE)*VLOOKUP(Sheet1!$A918,Sheet2!$B$5:$H$29,7,FALSE),0)</x:f>
        <x:v>0</x:v>
      </x:c>
      <x:c r="I918">
        <x:f t="shared" si="15"/>
        <x:v>3210</x:v>
      </x:c>
    </x:row>
    <x:row r="919" spans="1:9" x14ac:dyDescent="0.15">
      <x:c r="A919">
        <x:v>54051</x:v>
      </x:c>
      <x:c r="B919">
        <x:v>1</x:v>
      </x:c>
      <x:c r="C919">
        <x:v>18</x:v>
      </x:c>
      <x:c r="D919">
        <x:f>ROUND($C919*10*VLOOKUP($B919,Sheet2!$J$5:$K$7,2,FALSE)*VLOOKUP(Sheet1!$A919,Sheet2!$B$5:$H$29,3,FALSE),0)</x:f>
        <x:v>36</x:v>
      </x:c>
      <x:c r="E919">
        <x:f>ROUND($C919*10*VLOOKUP($B919,Sheet2!$J$5:$K$7,2,FALSE)*VLOOKUP(Sheet1!$A919,Sheet2!$B$5:$H$29,4,FALSE),0)</x:f>
        <x:v>108</x:v>
      </x:c>
      <x:c r="F919">
        <x:f>ROUND($C919*10*VLOOKUP($B919,Sheet2!$J$5:$K$7,2,FALSE)*VLOOKUP(Sheet1!$A919,Sheet2!$B$5:$H$29,5,FALSE),0)</x:f>
        <x:v>0</x:v>
      </x:c>
      <x:c r="G919">
        <x:f>ROUND($C919*10*VLOOKUP($B919,Sheet2!$J$5:$K$7,2,FALSE)*VLOOKUP(Sheet1!$A919,Sheet2!$B$5:$H$29,6,FALSE),0)</x:f>
        <x:v>0</x:v>
      </x:c>
      <x:c r="H919">
        <x:f>ROUND($C919*10*VLOOKUP($B919,Sheet2!$J$5:$K$7,2,FALSE)*VLOOKUP(Sheet1!$A919,Sheet2!$B$5:$H$29,7,FALSE),0)</x:f>
        <x:v>0</x:v>
      </x:c>
      <x:c r="I919">
        <x:f t="shared" si="15"/>
        <x:v>3570</x:v>
      </x:c>
    </x:row>
    <x:row r="920" spans="1:9" x14ac:dyDescent="0.15">
      <x:c r="A920">
        <x:v>54051</x:v>
      </x:c>
      <x:c r="B920">
        <x:v>1</x:v>
      </x:c>
      <x:c r="C920">
        <x:v>19</x:v>
      </x:c>
      <x:c r="D920">
        <x:f>ROUND($C920*10*VLOOKUP($B920,Sheet2!$J$5:$K$7,2,FALSE)*VLOOKUP(Sheet1!$A920,Sheet2!$B$5:$H$29,3,FALSE),0)</x:f>
        <x:v>38</x:v>
      </x:c>
      <x:c r="E920">
        <x:f>ROUND($C920*10*VLOOKUP($B920,Sheet2!$J$5:$K$7,2,FALSE)*VLOOKUP(Sheet1!$A920,Sheet2!$B$5:$H$29,4,FALSE),0)</x:f>
        <x:v>114</x:v>
      </x:c>
      <x:c r="F920">
        <x:f>ROUND($C920*10*VLOOKUP($B920,Sheet2!$J$5:$K$7,2,FALSE)*VLOOKUP(Sheet1!$A920,Sheet2!$B$5:$H$29,5,FALSE),0)</x:f>
        <x:v>0</x:v>
      </x:c>
      <x:c r="G920">
        <x:f>ROUND($C920*10*VLOOKUP($B920,Sheet2!$J$5:$K$7,2,FALSE)*VLOOKUP(Sheet1!$A920,Sheet2!$B$5:$H$29,6,FALSE),0)</x:f>
        <x:v>0</x:v>
      </x:c>
      <x:c r="H920">
        <x:f>ROUND($C920*10*VLOOKUP($B920,Sheet2!$J$5:$K$7,2,FALSE)*VLOOKUP(Sheet1!$A920,Sheet2!$B$5:$H$29,7,FALSE),0)</x:f>
        <x:v>0</x:v>
      </x:c>
      <x:c r="I920">
        <x:f t="shared" si="15"/>
        <x:v>3960</x:v>
      </x:c>
    </x:row>
    <x:row r="921" spans="1:9" x14ac:dyDescent="0.15">
      <x:c r="A921">
        <x:v>54051</x:v>
      </x:c>
      <x:c r="B921">
        <x:v>1</x:v>
      </x:c>
      <x:c r="C921">
        <x:v>20</x:v>
      </x:c>
      <x:c r="D921">
        <x:f>ROUND($C921*10*VLOOKUP($B921,Sheet2!$J$5:$K$7,2,FALSE)*VLOOKUP(Sheet1!$A921,Sheet2!$B$5:$H$29,3,FALSE),0)</x:f>
        <x:v>40</x:v>
      </x:c>
      <x:c r="E921">
        <x:f>ROUND($C921*10*VLOOKUP($B921,Sheet2!$J$5:$K$7,2,FALSE)*VLOOKUP(Sheet1!$A921,Sheet2!$B$5:$H$29,4,FALSE),0)</x:f>
        <x:v>120</x:v>
      </x:c>
      <x:c r="F921">
        <x:f>ROUND($C921*10*VLOOKUP($B921,Sheet2!$J$5:$K$7,2,FALSE)*VLOOKUP(Sheet1!$A921,Sheet2!$B$5:$H$29,5,FALSE),0)</x:f>
        <x:v>0</x:v>
      </x:c>
      <x:c r="G921">
        <x:f>ROUND($C921*10*VLOOKUP($B921,Sheet2!$J$5:$K$7,2,FALSE)*VLOOKUP(Sheet1!$A921,Sheet2!$B$5:$H$29,6,FALSE),0)</x:f>
        <x:v>0</x:v>
      </x:c>
      <x:c r="H921">
        <x:f>ROUND($C921*10*VLOOKUP($B921,Sheet2!$J$5:$K$7,2,FALSE)*VLOOKUP(Sheet1!$A921,Sheet2!$B$5:$H$29,7,FALSE),0)</x:f>
        <x:v>0</x:v>
      </x:c>
      <x:c r="I921">
        <x:f t="shared" si="15"/>
        <x:v>4360</x:v>
      </x:c>
    </x:row>
    <x:row r="922" spans="1:9" x14ac:dyDescent="0.15">
      <x:c r="A922">
        <x:v>54051</x:v>
      </x:c>
      <x:c r="B922">
        <x:v>1</x:v>
      </x:c>
      <x:c r="C922">
        <x:v>21</x:v>
      </x:c>
      <x:c r="D922">
        <x:f>ROUND($C922*10*VLOOKUP($B922,Sheet2!$J$5:$K$7,2,FALSE)*VLOOKUP(Sheet1!$A922,Sheet2!$B$5:$H$29,3,FALSE),0)</x:f>
        <x:v>42</x:v>
      </x:c>
      <x:c r="E922">
        <x:f>ROUND($C922*10*VLOOKUP($B922,Sheet2!$J$5:$K$7,2,FALSE)*VLOOKUP(Sheet1!$A922,Sheet2!$B$5:$H$29,4,FALSE),0)</x:f>
        <x:v>126</x:v>
      </x:c>
      <x:c r="F922">
        <x:f>ROUND($C922*10*VLOOKUP($B922,Sheet2!$J$5:$K$7,2,FALSE)*VLOOKUP(Sheet1!$A922,Sheet2!$B$5:$H$29,5,FALSE),0)</x:f>
        <x:v>0</x:v>
      </x:c>
      <x:c r="G922">
        <x:f>ROUND($C922*10*VLOOKUP($B922,Sheet2!$J$5:$K$7,2,FALSE)*VLOOKUP(Sheet1!$A922,Sheet2!$B$5:$H$29,6,FALSE),0)</x:f>
        <x:v>0</x:v>
      </x:c>
      <x:c r="H922">
        <x:f>ROUND($C922*10*VLOOKUP($B922,Sheet2!$J$5:$K$7,2,FALSE)*VLOOKUP(Sheet1!$A922,Sheet2!$B$5:$H$29,7,FALSE),0)</x:f>
        <x:v>0</x:v>
      </x:c>
      <x:c r="I922">
        <x:f t="shared" si="15"/>
        <x:v>4780</x:v>
      </x:c>
    </x:row>
    <x:row r="923" spans="1:9" x14ac:dyDescent="0.15">
      <x:c r="A923">
        <x:v>54051</x:v>
      </x:c>
      <x:c r="B923">
        <x:v>1</x:v>
      </x:c>
      <x:c r="C923">
        <x:v>22</x:v>
      </x:c>
      <x:c r="D923">
        <x:f>ROUND($C923*10*VLOOKUP($B923,Sheet2!$J$5:$K$7,2,FALSE)*VLOOKUP(Sheet1!$A923,Sheet2!$B$5:$H$29,3,FALSE),0)</x:f>
        <x:v>44</x:v>
      </x:c>
      <x:c r="E923">
        <x:f>ROUND($C923*10*VLOOKUP($B923,Sheet2!$J$5:$K$7,2,FALSE)*VLOOKUP(Sheet1!$A923,Sheet2!$B$5:$H$29,4,FALSE),0)</x:f>
        <x:v>132</x:v>
      </x:c>
      <x:c r="F923">
        <x:f>ROUND($C923*10*VLOOKUP($B923,Sheet2!$J$5:$K$7,2,FALSE)*VLOOKUP(Sheet1!$A923,Sheet2!$B$5:$H$29,5,FALSE),0)</x:f>
        <x:v>0</x:v>
      </x:c>
      <x:c r="G923">
        <x:f>ROUND($C923*10*VLOOKUP($B923,Sheet2!$J$5:$K$7,2,FALSE)*VLOOKUP(Sheet1!$A923,Sheet2!$B$5:$H$29,6,FALSE),0)</x:f>
        <x:v>0</x:v>
      </x:c>
      <x:c r="H923">
        <x:f>ROUND($C923*10*VLOOKUP($B923,Sheet2!$J$5:$K$7,2,FALSE)*VLOOKUP(Sheet1!$A923,Sheet2!$B$5:$H$29,7,FALSE),0)</x:f>
        <x:v>0</x:v>
      </x:c>
      <x:c r="I923">
        <x:f t="shared" si="15"/>
        <x:v>5210</x:v>
      </x:c>
    </x:row>
    <x:row r="924" spans="1:9" x14ac:dyDescent="0.15">
      <x:c r="A924">
        <x:v>54051</x:v>
      </x:c>
      <x:c r="B924">
        <x:v>1</x:v>
      </x:c>
      <x:c r="C924">
        <x:v>23</x:v>
      </x:c>
      <x:c r="D924">
        <x:f>ROUND($C924*10*VLOOKUP($B924,Sheet2!$J$5:$K$7,2,FALSE)*VLOOKUP(Sheet1!$A924,Sheet2!$B$5:$H$29,3,FALSE),0)</x:f>
        <x:v>46</x:v>
      </x:c>
      <x:c r="E924">
        <x:f>ROUND($C924*10*VLOOKUP($B924,Sheet2!$J$5:$K$7,2,FALSE)*VLOOKUP(Sheet1!$A924,Sheet2!$B$5:$H$29,4,FALSE),0)</x:f>
        <x:v>138</x:v>
      </x:c>
      <x:c r="F924">
        <x:f>ROUND($C924*10*VLOOKUP($B924,Sheet2!$J$5:$K$7,2,FALSE)*VLOOKUP(Sheet1!$A924,Sheet2!$B$5:$H$29,5,FALSE),0)</x:f>
        <x:v>0</x:v>
      </x:c>
      <x:c r="G924">
        <x:f>ROUND($C924*10*VLOOKUP($B924,Sheet2!$J$5:$K$7,2,FALSE)*VLOOKUP(Sheet1!$A924,Sheet2!$B$5:$H$29,6,FALSE),0)</x:f>
        <x:v>0</x:v>
      </x:c>
      <x:c r="H924">
        <x:f>ROUND($C924*10*VLOOKUP($B924,Sheet2!$J$5:$K$7,2,FALSE)*VLOOKUP(Sheet1!$A924,Sheet2!$B$5:$H$29,7,FALSE),0)</x:f>
        <x:v>0</x:v>
      </x:c>
      <x:c r="I924">
        <x:f t="shared" si="15"/>
        <x:v>5660</x:v>
      </x:c>
    </x:row>
    <x:row r="925" spans="1:9" x14ac:dyDescent="0.15">
      <x:c r="A925">
        <x:v>54051</x:v>
      </x:c>
      <x:c r="B925">
        <x:v>1</x:v>
      </x:c>
      <x:c r="C925">
        <x:v>24</x:v>
      </x:c>
      <x:c r="D925">
        <x:f>ROUND($C925*10*VLOOKUP($B925,Sheet2!$J$5:$K$7,2,FALSE)*VLOOKUP(Sheet1!$A925,Sheet2!$B$5:$H$29,3,FALSE),0)</x:f>
        <x:v>48</x:v>
      </x:c>
      <x:c r="E925">
        <x:f>ROUND($C925*10*VLOOKUP($B925,Sheet2!$J$5:$K$7,2,FALSE)*VLOOKUP(Sheet1!$A925,Sheet2!$B$5:$H$29,4,FALSE),0)</x:f>
        <x:v>144</x:v>
      </x:c>
      <x:c r="F925">
        <x:f>ROUND($C925*10*VLOOKUP($B925,Sheet2!$J$5:$K$7,2,FALSE)*VLOOKUP(Sheet1!$A925,Sheet2!$B$5:$H$29,5,FALSE),0)</x:f>
        <x:v>0</x:v>
      </x:c>
      <x:c r="G925">
        <x:f>ROUND($C925*10*VLOOKUP($B925,Sheet2!$J$5:$K$7,2,FALSE)*VLOOKUP(Sheet1!$A925,Sheet2!$B$5:$H$29,6,FALSE),0)</x:f>
        <x:v>0</x:v>
      </x:c>
      <x:c r="H925">
        <x:f>ROUND($C925*10*VLOOKUP($B925,Sheet2!$J$5:$K$7,2,FALSE)*VLOOKUP(Sheet1!$A925,Sheet2!$B$5:$H$29,7,FALSE),0)</x:f>
        <x:v>0</x:v>
      </x:c>
      <x:c r="I925">
        <x:f t="shared" si="15"/>
        <x:v>6130</x:v>
      </x:c>
    </x:row>
    <x:row r="926" spans="1:9" x14ac:dyDescent="0.15">
      <x:c r="A926">
        <x:v>54051</x:v>
      </x:c>
      <x:c r="B926">
        <x:v>1</x:v>
      </x:c>
      <x:c r="C926">
        <x:v>25</x:v>
      </x:c>
      <x:c r="D926">
        <x:f>ROUND($C926*10*VLOOKUP($B926,Sheet2!$J$5:$K$7,2,FALSE)*VLOOKUP(Sheet1!$A926,Sheet2!$B$5:$H$29,3,FALSE),0)</x:f>
        <x:v>50</x:v>
      </x:c>
      <x:c r="E926">
        <x:f>ROUND($C926*10*VLOOKUP($B926,Sheet2!$J$5:$K$7,2,FALSE)*VLOOKUP(Sheet1!$A926,Sheet2!$B$5:$H$29,4,FALSE),0)</x:f>
        <x:v>150</x:v>
      </x:c>
      <x:c r="F926">
        <x:f>ROUND($C926*10*VLOOKUP($B926,Sheet2!$J$5:$K$7,2,FALSE)*VLOOKUP(Sheet1!$A926,Sheet2!$B$5:$H$29,5,FALSE),0)</x:f>
        <x:v>0</x:v>
      </x:c>
      <x:c r="G926">
        <x:f>ROUND($C926*10*VLOOKUP($B926,Sheet2!$J$5:$K$7,2,FALSE)*VLOOKUP(Sheet1!$A926,Sheet2!$B$5:$H$29,6,FALSE),0)</x:f>
        <x:v>0</x:v>
      </x:c>
      <x:c r="H926">
        <x:f>ROUND($C926*10*VLOOKUP($B926,Sheet2!$J$5:$K$7,2,FALSE)*VLOOKUP(Sheet1!$A926,Sheet2!$B$5:$H$29,7,FALSE),0)</x:f>
        <x:v>0</x:v>
      </x:c>
      <x:c r="I926">
        <x:f t="shared" si="15"/>
        <x:v>6620</x:v>
      </x:c>
    </x:row>
    <x:row r="927" spans="1:9" x14ac:dyDescent="0.15">
      <x:c r="A927">
        <x:v>54051</x:v>
      </x:c>
      <x:c r="B927">
        <x:v>1</x:v>
      </x:c>
      <x:c r="C927">
        <x:v>26</x:v>
      </x:c>
      <x:c r="D927">
        <x:f>ROUND($C927*10*VLOOKUP($B927,Sheet2!$J$5:$K$7,2,FALSE)*VLOOKUP(Sheet1!$A927,Sheet2!$B$5:$H$29,3,FALSE),0)</x:f>
        <x:v>52</x:v>
      </x:c>
      <x:c r="E927">
        <x:f>ROUND($C927*10*VLOOKUP($B927,Sheet2!$J$5:$K$7,2,FALSE)*VLOOKUP(Sheet1!$A927,Sheet2!$B$5:$H$29,4,FALSE),0)</x:f>
        <x:v>156</x:v>
      </x:c>
      <x:c r="F927">
        <x:f>ROUND($C927*10*VLOOKUP($B927,Sheet2!$J$5:$K$7,2,FALSE)*VLOOKUP(Sheet1!$A927,Sheet2!$B$5:$H$29,5,FALSE),0)</x:f>
        <x:v>0</x:v>
      </x:c>
      <x:c r="G927">
        <x:f>ROUND($C927*10*VLOOKUP($B927,Sheet2!$J$5:$K$7,2,FALSE)*VLOOKUP(Sheet1!$A927,Sheet2!$B$5:$H$29,6,FALSE),0)</x:f>
        <x:v>0</x:v>
      </x:c>
      <x:c r="H927">
        <x:f>ROUND($C927*10*VLOOKUP($B927,Sheet2!$J$5:$K$7,2,FALSE)*VLOOKUP(Sheet1!$A927,Sheet2!$B$5:$H$29,7,FALSE),0)</x:f>
        <x:v>0</x:v>
      </x:c>
      <x:c r="I927">
        <x:f t="shared" si="15"/>
        <x:v>7120</x:v>
      </x:c>
    </x:row>
    <x:row r="928" spans="1:9" x14ac:dyDescent="0.15">
      <x:c r="A928">
        <x:v>54051</x:v>
      </x:c>
      <x:c r="B928">
        <x:v>1</x:v>
      </x:c>
      <x:c r="C928">
        <x:v>27</x:v>
      </x:c>
      <x:c r="D928">
        <x:f>ROUND($C928*10*VLOOKUP($B928,Sheet2!$J$5:$K$7,2,FALSE)*VLOOKUP(Sheet1!$A928,Sheet2!$B$5:$H$29,3,FALSE),0)</x:f>
        <x:v>54</x:v>
      </x:c>
      <x:c r="E928">
        <x:f>ROUND($C928*10*VLOOKUP($B928,Sheet2!$J$5:$K$7,2,FALSE)*VLOOKUP(Sheet1!$A928,Sheet2!$B$5:$H$29,4,FALSE),0)</x:f>
        <x:v>162</x:v>
      </x:c>
      <x:c r="F928">
        <x:f>ROUND($C928*10*VLOOKUP($B928,Sheet2!$J$5:$K$7,2,FALSE)*VLOOKUP(Sheet1!$A928,Sheet2!$B$5:$H$29,5,FALSE),0)</x:f>
        <x:v>0</x:v>
      </x:c>
      <x:c r="G928">
        <x:f>ROUND($C928*10*VLOOKUP($B928,Sheet2!$J$5:$K$7,2,FALSE)*VLOOKUP(Sheet1!$A928,Sheet2!$B$5:$H$29,6,FALSE),0)</x:f>
        <x:v>0</x:v>
      </x:c>
      <x:c r="H928">
        <x:f>ROUND($C928*10*VLOOKUP($B928,Sheet2!$J$5:$K$7,2,FALSE)*VLOOKUP(Sheet1!$A928,Sheet2!$B$5:$H$29,7,FALSE),0)</x:f>
        <x:v>0</x:v>
      </x:c>
      <x:c r="I928">
        <x:f t="shared" si="15"/>
        <x:v>7640</x:v>
      </x:c>
    </x:row>
    <x:row r="929" spans="1:9" x14ac:dyDescent="0.15">
      <x:c r="A929">
        <x:v>54051</x:v>
      </x:c>
      <x:c r="B929">
        <x:v>1</x:v>
      </x:c>
      <x:c r="C929">
        <x:v>28</x:v>
      </x:c>
      <x:c r="D929">
        <x:f>ROUND($C929*10*VLOOKUP($B929,Sheet2!$J$5:$K$7,2,FALSE)*VLOOKUP(Sheet1!$A929,Sheet2!$B$5:$H$29,3,FALSE),0)</x:f>
        <x:v>56</x:v>
      </x:c>
      <x:c r="E929">
        <x:f>ROUND($C929*10*VLOOKUP($B929,Sheet2!$J$5:$K$7,2,FALSE)*VLOOKUP(Sheet1!$A929,Sheet2!$B$5:$H$29,4,FALSE),0)</x:f>
        <x:v>168</x:v>
      </x:c>
      <x:c r="F929">
        <x:f>ROUND($C929*10*VLOOKUP($B929,Sheet2!$J$5:$K$7,2,FALSE)*VLOOKUP(Sheet1!$A929,Sheet2!$B$5:$H$29,5,FALSE),0)</x:f>
        <x:v>0</x:v>
      </x:c>
      <x:c r="G929">
        <x:f>ROUND($C929*10*VLOOKUP($B929,Sheet2!$J$5:$K$7,2,FALSE)*VLOOKUP(Sheet1!$A929,Sheet2!$B$5:$H$29,6,FALSE),0)</x:f>
        <x:v>0</x:v>
      </x:c>
      <x:c r="H929">
        <x:f>ROUND($C929*10*VLOOKUP($B929,Sheet2!$J$5:$K$7,2,FALSE)*VLOOKUP(Sheet1!$A929,Sheet2!$B$5:$H$29,7,FALSE),0)</x:f>
        <x:v>0</x:v>
      </x:c>
      <x:c r="I929">
        <x:f t="shared" si="15"/>
        <x:v>8180</x:v>
      </x:c>
    </x:row>
    <x:row r="930" spans="1:9" x14ac:dyDescent="0.15">
      <x:c r="A930">
        <x:v>54051</x:v>
      </x:c>
      <x:c r="B930">
        <x:v>1</x:v>
      </x:c>
      <x:c r="C930">
        <x:v>29</x:v>
      </x:c>
      <x:c r="D930">
        <x:f>ROUND($C930*10*VLOOKUP($B930,Sheet2!$J$5:$K$7,2,FALSE)*VLOOKUP(Sheet1!$A930,Sheet2!$B$5:$H$29,3,FALSE),0)</x:f>
        <x:v>58</x:v>
      </x:c>
      <x:c r="E930">
        <x:f>ROUND($C930*10*VLOOKUP($B930,Sheet2!$J$5:$K$7,2,FALSE)*VLOOKUP(Sheet1!$A930,Sheet2!$B$5:$H$29,4,FALSE),0)</x:f>
        <x:v>174</x:v>
      </x:c>
      <x:c r="F930">
        <x:f>ROUND($C930*10*VLOOKUP($B930,Sheet2!$J$5:$K$7,2,FALSE)*VLOOKUP(Sheet1!$A930,Sheet2!$B$5:$H$29,5,FALSE),0)</x:f>
        <x:v>0</x:v>
      </x:c>
      <x:c r="G930">
        <x:f>ROUND($C930*10*VLOOKUP($B930,Sheet2!$J$5:$K$7,2,FALSE)*VLOOKUP(Sheet1!$A930,Sheet2!$B$5:$H$29,6,FALSE),0)</x:f>
        <x:v>0</x:v>
      </x:c>
      <x:c r="H930">
        <x:f>ROUND($C930*10*VLOOKUP($B930,Sheet2!$J$5:$K$7,2,FALSE)*VLOOKUP(Sheet1!$A930,Sheet2!$B$5:$H$29,7,FALSE),0)</x:f>
        <x:v>0</x:v>
      </x:c>
      <x:c r="I930">
        <x:f t="shared" si="15"/>
        <x:v>8730</x:v>
      </x:c>
    </x:row>
    <x:row r="931" spans="1:9" x14ac:dyDescent="0.15">
      <x:c r="A931">
        <x:v>54051</x:v>
      </x:c>
      <x:c r="B931">
        <x:v>1</x:v>
      </x:c>
      <x:c r="C931">
        <x:v>30</x:v>
      </x:c>
      <x:c r="D931">
        <x:f>ROUND($C931*10*VLOOKUP($B931,Sheet2!$J$5:$K$7,2,FALSE)*VLOOKUP(Sheet1!$A931,Sheet2!$B$5:$H$29,3,FALSE),0)</x:f>
        <x:v>60</x:v>
      </x:c>
      <x:c r="E931">
        <x:f>ROUND($C931*10*VLOOKUP($B931,Sheet2!$J$5:$K$7,2,FALSE)*VLOOKUP(Sheet1!$A931,Sheet2!$B$5:$H$29,4,FALSE),0)</x:f>
        <x:v>180</x:v>
      </x:c>
      <x:c r="F931">
        <x:f>ROUND($C931*10*VLOOKUP($B931,Sheet2!$J$5:$K$7,2,FALSE)*VLOOKUP(Sheet1!$A931,Sheet2!$B$5:$H$29,5,FALSE),0)</x:f>
        <x:v>0</x:v>
      </x:c>
      <x:c r="G931">
        <x:f>ROUND($C931*10*VLOOKUP($B931,Sheet2!$J$5:$K$7,2,FALSE)*VLOOKUP(Sheet1!$A931,Sheet2!$B$5:$H$29,6,FALSE),0)</x:f>
        <x:v>0</x:v>
      </x:c>
      <x:c r="H931">
        <x:f>ROUND($C931*10*VLOOKUP($B931,Sheet2!$J$5:$K$7,2,FALSE)*VLOOKUP(Sheet1!$A931,Sheet2!$B$5:$H$29,7,FALSE),0)</x:f>
        <x:v>0</x:v>
      </x:c>
      <x:c r="I931">
        <x:f t="shared" si="15"/>
        <x:v>9290</x:v>
      </x:c>
    </x:row>
    <x:row r="932" spans="1:9" x14ac:dyDescent="0.15">
      <x:c r="A932">
        <x:v>54051</x:v>
      </x:c>
      <x:c r="B932">
        <x:v>1</x:v>
      </x:c>
      <x:c r="C932">
        <x:v>31</x:v>
      </x:c>
      <x:c r="D932">
        <x:f>ROUND($C932*10*VLOOKUP($B932,Sheet2!$J$5:$K$7,2,FALSE)*VLOOKUP(Sheet1!$A932,Sheet2!$B$5:$H$29,3,FALSE),0)</x:f>
        <x:v>62</x:v>
      </x:c>
      <x:c r="E932">
        <x:f>ROUND($C932*10*VLOOKUP($B932,Sheet2!$J$5:$K$7,2,FALSE)*VLOOKUP(Sheet1!$A932,Sheet2!$B$5:$H$29,4,FALSE),0)</x:f>
        <x:v>186</x:v>
      </x:c>
      <x:c r="F932">
        <x:f>ROUND($C932*10*VLOOKUP($B932,Sheet2!$J$5:$K$7,2,FALSE)*VLOOKUP(Sheet1!$A932,Sheet2!$B$5:$H$29,5,FALSE),0)</x:f>
        <x:v>0</x:v>
      </x:c>
      <x:c r="G932">
        <x:f>ROUND($C932*10*VLOOKUP($B932,Sheet2!$J$5:$K$7,2,FALSE)*VLOOKUP(Sheet1!$A932,Sheet2!$B$5:$H$29,6,FALSE),0)</x:f>
        <x:v>0</x:v>
      </x:c>
      <x:c r="H932">
        <x:f>ROUND($C932*10*VLOOKUP($B932,Sheet2!$J$5:$K$7,2,FALSE)*VLOOKUP(Sheet1!$A932,Sheet2!$B$5:$H$29,7,FALSE),0)</x:f>
        <x:v>0</x:v>
      </x:c>
      <x:c r="I932">
        <x:f t="shared" si="15"/>
        <x:v>9880</x:v>
      </x:c>
    </x:row>
    <x:row r="933" spans="1:9" x14ac:dyDescent="0.15">
      <x:c r="A933">
        <x:v>54051</x:v>
      </x:c>
      <x:c r="B933">
        <x:v>1</x:v>
      </x:c>
      <x:c r="C933">
        <x:v>32</x:v>
      </x:c>
      <x:c r="D933">
        <x:f>ROUND($C933*10*VLOOKUP($B933,Sheet2!$J$5:$K$7,2,FALSE)*VLOOKUP(Sheet1!$A933,Sheet2!$B$5:$H$29,3,FALSE),0)</x:f>
        <x:v>64</x:v>
      </x:c>
      <x:c r="E933">
        <x:f>ROUND($C933*10*VLOOKUP($B933,Sheet2!$J$5:$K$7,2,FALSE)*VLOOKUP(Sheet1!$A933,Sheet2!$B$5:$H$29,4,FALSE),0)</x:f>
        <x:v>192</x:v>
      </x:c>
      <x:c r="F933">
        <x:f>ROUND($C933*10*VLOOKUP($B933,Sheet2!$J$5:$K$7,2,FALSE)*VLOOKUP(Sheet1!$A933,Sheet2!$B$5:$H$29,5,FALSE),0)</x:f>
        <x:v>0</x:v>
      </x:c>
      <x:c r="G933">
        <x:f>ROUND($C933*10*VLOOKUP($B933,Sheet2!$J$5:$K$7,2,FALSE)*VLOOKUP(Sheet1!$A933,Sheet2!$B$5:$H$29,6,FALSE),0)</x:f>
        <x:v>0</x:v>
      </x:c>
      <x:c r="H933">
        <x:f>ROUND($C933*10*VLOOKUP($B933,Sheet2!$J$5:$K$7,2,FALSE)*VLOOKUP(Sheet1!$A933,Sheet2!$B$5:$H$29,7,FALSE),0)</x:f>
        <x:v>0</x:v>
      </x:c>
      <x:c r="I933">
        <x:f t="shared" si="15"/>
        <x:v>10470</x:v>
      </x:c>
    </x:row>
    <x:row r="934" spans="1:9" x14ac:dyDescent="0.15">
      <x:c r="A934">
        <x:v>54051</x:v>
      </x:c>
      <x:c r="B934">
        <x:v>1</x:v>
      </x:c>
      <x:c r="C934">
        <x:v>33</x:v>
      </x:c>
      <x:c r="D934">
        <x:f>ROUND($C934*10*VLOOKUP($B934,Sheet2!$J$5:$K$7,2,FALSE)*VLOOKUP(Sheet1!$A934,Sheet2!$B$5:$H$29,3,FALSE),0)</x:f>
        <x:v>66</x:v>
      </x:c>
      <x:c r="E934">
        <x:f>ROUND($C934*10*VLOOKUP($B934,Sheet2!$J$5:$K$7,2,FALSE)*VLOOKUP(Sheet1!$A934,Sheet2!$B$5:$H$29,4,FALSE),0)</x:f>
        <x:v>198</x:v>
      </x:c>
      <x:c r="F934">
        <x:f>ROUND($C934*10*VLOOKUP($B934,Sheet2!$J$5:$K$7,2,FALSE)*VLOOKUP(Sheet1!$A934,Sheet2!$B$5:$H$29,5,FALSE),0)</x:f>
        <x:v>0</x:v>
      </x:c>
      <x:c r="G934">
        <x:f>ROUND($C934*10*VLOOKUP($B934,Sheet2!$J$5:$K$7,2,FALSE)*VLOOKUP(Sheet1!$A934,Sheet2!$B$5:$H$29,6,FALSE),0)</x:f>
        <x:v>0</x:v>
      </x:c>
      <x:c r="H934">
        <x:f>ROUND($C934*10*VLOOKUP($B934,Sheet2!$J$5:$K$7,2,FALSE)*VLOOKUP(Sheet1!$A934,Sheet2!$B$5:$H$29,7,FALSE),0)</x:f>
        <x:v>0</x:v>
      </x:c>
      <x:c r="I934">
        <x:f t="shared" si="15"/>
        <x:v>11090</x:v>
      </x:c>
    </x:row>
    <x:row r="935" spans="1:9" x14ac:dyDescent="0.15">
      <x:c r="A935">
        <x:v>54051</x:v>
      </x:c>
      <x:c r="B935">
        <x:v>1</x:v>
      </x:c>
      <x:c r="C935">
        <x:v>34</x:v>
      </x:c>
      <x:c r="D935">
        <x:f>ROUND($C935*10*VLOOKUP($B935,Sheet2!$J$5:$K$7,2,FALSE)*VLOOKUP(Sheet1!$A935,Sheet2!$B$5:$H$29,3,FALSE),0)</x:f>
        <x:v>68</x:v>
      </x:c>
      <x:c r="E935">
        <x:f>ROUND($C935*10*VLOOKUP($B935,Sheet2!$J$5:$K$7,2,FALSE)*VLOOKUP(Sheet1!$A935,Sheet2!$B$5:$H$29,4,FALSE),0)</x:f>
        <x:v>204</x:v>
      </x:c>
      <x:c r="F935">
        <x:f>ROUND($C935*10*VLOOKUP($B935,Sheet2!$J$5:$K$7,2,FALSE)*VLOOKUP(Sheet1!$A935,Sheet2!$B$5:$H$29,5,FALSE),0)</x:f>
        <x:v>0</x:v>
      </x:c>
      <x:c r="G935">
        <x:f>ROUND($C935*10*VLOOKUP($B935,Sheet2!$J$5:$K$7,2,FALSE)*VLOOKUP(Sheet1!$A935,Sheet2!$B$5:$H$29,6,FALSE),0)</x:f>
        <x:v>0</x:v>
      </x:c>
      <x:c r="H935">
        <x:f>ROUND($C935*10*VLOOKUP($B935,Sheet2!$J$5:$K$7,2,FALSE)*VLOOKUP(Sheet1!$A935,Sheet2!$B$5:$H$29,7,FALSE),0)</x:f>
        <x:v>0</x:v>
      </x:c>
      <x:c r="I935">
        <x:f t="shared" si="15"/>
        <x:v>11720</x:v>
      </x:c>
    </x:row>
    <x:row r="936" spans="1:9" x14ac:dyDescent="0.15">
      <x:c r="A936">
        <x:v>54051</x:v>
      </x:c>
      <x:c r="B936">
        <x:v>1</x:v>
      </x:c>
      <x:c r="C936">
        <x:v>35</x:v>
      </x:c>
      <x:c r="D936">
        <x:f>ROUND($C936*10*VLOOKUP($B936,Sheet2!$J$5:$K$7,2,FALSE)*VLOOKUP(Sheet1!$A936,Sheet2!$B$5:$H$29,3,FALSE),0)</x:f>
        <x:v>70</x:v>
      </x:c>
      <x:c r="E936">
        <x:f>ROUND($C936*10*VLOOKUP($B936,Sheet2!$J$5:$K$7,2,FALSE)*VLOOKUP(Sheet1!$A936,Sheet2!$B$5:$H$29,4,FALSE),0)</x:f>
        <x:v>210</x:v>
      </x:c>
      <x:c r="F936">
        <x:f>ROUND($C936*10*VLOOKUP($B936,Sheet2!$J$5:$K$7,2,FALSE)*VLOOKUP(Sheet1!$A936,Sheet2!$B$5:$H$29,5,FALSE),0)</x:f>
        <x:v>0</x:v>
      </x:c>
      <x:c r="G936">
        <x:f>ROUND($C936*10*VLOOKUP($B936,Sheet2!$J$5:$K$7,2,FALSE)*VLOOKUP(Sheet1!$A936,Sheet2!$B$5:$H$29,6,FALSE),0)</x:f>
        <x:v>0</x:v>
      </x:c>
      <x:c r="H936">
        <x:f>ROUND($C936*10*VLOOKUP($B936,Sheet2!$J$5:$K$7,2,FALSE)*VLOOKUP(Sheet1!$A936,Sheet2!$B$5:$H$29,7,FALSE),0)</x:f>
        <x:v>0</x:v>
      </x:c>
      <x:c r="I936">
        <x:f t="shared" si="15"/>
        <x:v>12360</x:v>
      </x:c>
    </x:row>
    <x:row r="937" spans="1:9" x14ac:dyDescent="0.15">
      <x:c r="A937">
        <x:v>54051</x:v>
      </x:c>
      <x:c r="B937">
        <x:v>1</x:v>
      </x:c>
      <x:c r="C937">
        <x:v>36</x:v>
      </x:c>
      <x:c r="D937">
        <x:f>ROUND($C937*10*VLOOKUP($B937,Sheet2!$J$5:$K$7,2,FALSE)*VLOOKUP(Sheet1!$A937,Sheet2!$B$5:$H$29,3,FALSE),0)</x:f>
        <x:v>72</x:v>
      </x:c>
      <x:c r="E937">
        <x:f>ROUND($C937*10*VLOOKUP($B937,Sheet2!$J$5:$K$7,2,FALSE)*VLOOKUP(Sheet1!$A937,Sheet2!$B$5:$H$29,4,FALSE),0)</x:f>
        <x:v>216</x:v>
      </x:c>
      <x:c r="F937">
        <x:f>ROUND($C937*10*VLOOKUP($B937,Sheet2!$J$5:$K$7,2,FALSE)*VLOOKUP(Sheet1!$A937,Sheet2!$B$5:$H$29,5,FALSE),0)</x:f>
        <x:v>0</x:v>
      </x:c>
      <x:c r="G937">
        <x:f>ROUND($C937*10*VLOOKUP($B937,Sheet2!$J$5:$K$7,2,FALSE)*VLOOKUP(Sheet1!$A937,Sheet2!$B$5:$H$29,6,FALSE),0)</x:f>
        <x:v>0</x:v>
      </x:c>
      <x:c r="H937">
        <x:f>ROUND($C937*10*VLOOKUP($B937,Sheet2!$J$5:$K$7,2,FALSE)*VLOOKUP(Sheet1!$A937,Sheet2!$B$5:$H$29,7,FALSE),0)</x:f>
        <x:v>0</x:v>
      </x:c>
      <x:c r="I937">
        <x:f t="shared" si="15"/>
        <x:v>13020</x:v>
      </x:c>
    </x:row>
    <x:row r="938" spans="1:9" x14ac:dyDescent="0.15">
      <x:c r="A938">
        <x:v>54051</x:v>
      </x:c>
      <x:c r="B938">
        <x:v>1</x:v>
      </x:c>
      <x:c r="C938">
        <x:v>37</x:v>
      </x:c>
      <x:c r="D938">
        <x:f>ROUND($C938*10*VLOOKUP($B938,Sheet2!$J$5:$K$7,2,FALSE)*VLOOKUP(Sheet1!$A938,Sheet2!$B$5:$H$29,3,FALSE),0)</x:f>
        <x:v>74</x:v>
      </x:c>
      <x:c r="E938">
        <x:f>ROUND($C938*10*VLOOKUP($B938,Sheet2!$J$5:$K$7,2,FALSE)*VLOOKUP(Sheet1!$A938,Sheet2!$B$5:$H$29,4,FALSE),0)</x:f>
        <x:v>222</x:v>
      </x:c>
      <x:c r="F938">
        <x:f>ROUND($C938*10*VLOOKUP($B938,Sheet2!$J$5:$K$7,2,FALSE)*VLOOKUP(Sheet1!$A938,Sheet2!$B$5:$H$29,5,FALSE),0)</x:f>
        <x:v>0</x:v>
      </x:c>
      <x:c r="G938">
        <x:f>ROUND($C938*10*VLOOKUP($B938,Sheet2!$J$5:$K$7,2,FALSE)*VLOOKUP(Sheet1!$A938,Sheet2!$B$5:$H$29,6,FALSE),0)</x:f>
        <x:v>0</x:v>
      </x:c>
      <x:c r="H938">
        <x:f>ROUND($C938*10*VLOOKUP($B938,Sheet2!$J$5:$K$7,2,FALSE)*VLOOKUP(Sheet1!$A938,Sheet2!$B$5:$H$29,7,FALSE),0)</x:f>
        <x:v>0</x:v>
      </x:c>
      <x:c r="I938">
        <x:f t="shared" si="15"/>
        <x:v>13700</x:v>
      </x:c>
    </x:row>
    <x:row r="939" spans="1:9" x14ac:dyDescent="0.15">
      <x:c r="A939">
        <x:v>54051</x:v>
      </x:c>
      <x:c r="B939">
        <x:v>1</x:v>
      </x:c>
      <x:c r="C939">
        <x:v>38</x:v>
      </x:c>
      <x:c r="D939">
        <x:f>ROUND($C939*10*VLOOKUP($B939,Sheet2!$J$5:$K$7,2,FALSE)*VLOOKUP(Sheet1!$A939,Sheet2!$B$5:$H$29,3,FALSE),0)</x:f>
        <x:v>76</x:v>
      </x:c>
      <x:c r="E939">
        <x:f>ROUND($C939*10*VLOOKUP($B939,Sheet2!$J$5:$K$7,2,FALSE)*VLOOKUP(Sheet1!$A939,Sheet2!$B$5:$H$29,4,FALSE),0)</x:f>
        <x:v>228</x:v>
      </x:c>
      <x:c r="F939">
        <x:f>ROUND($C939*10*VLOOKUP($B939,Sheet2!$J$5:$K$7,2,FALSE)*VLOOKUP(Sheet1!$A939,Sheet2!$B$5:$H$29,5,FALSE),0)</x:f>
        <x:v>0</x:v>
      </x:c>
      <x:c r="G939">
        <x:f>ROUND($C939*10*VLOOKUP($B939,Sheet2!$J$5:$K$7,2,FALSE)*VLOOKUP(Sheet1!$A939,Sheet2!$B$5:$H$29,6,FALSE),0)</x:f>
        <x:v>0</x:v>
      </x:c>
      <x:c r="H939">
        <x:f>ROUND($C939*10*VLOOKUP($B939,Sheet2!$J$5:$K$7,2,FALSE)*VLOOKUP(Sheet1!$A939,Sheet2!$B$5:$H$29,7,FALSE),0)</x:f>
        <x:v>0</x:v>
      </x:c>
      <x:c r="I939">
        <x:f t="shared" si="15"/>
        <x:v>14390</x:v>
      </x:c>
    </x:row>
    <x:row r="940" spans="1:9" x14ac:dyDescent="0.15">
      <x:c r="A940">
        <x:v>54051</x:v>
      </x:c>
      <x:c r="B940">
        <x:v>1</x:v>
      </x:c>
      <x:c r="C940">
        <x:v>39</x:v>
      </x:c>
      <x:c r="D940">
        <x:f>ROUND($C940*10*VLOOKUP($B940,Sheet2!$J$5:$K$7,2,FALSE)*VLOOKUP(Sheet1!$A940,Sheet2!$B$5:$H$29,3,FALSE),0)</x:f>
        <x:v>78</x:v>
      </x:c>
      <x:c r="E940">
        <x:f>ROUND($C940*10*VLOOKUP($B940,Sheet2!$J$5:$K$7,2,FALSE)*VLOOKUP(Sheet1!$A940,Sheet2!$B$5:$H$29,4,FALSE),0)</x:f>
        <x:v>234</x:v>
      </x:c>
      <x:c r="F940">
        <x:f>ROUND($C940*10*VLOOKUP($B940,Sheet2!$J$5:$K$7,2,FALSE)*VLOOKUP(Sheet1!$A940,Sheet2!$B$5:$H$29,5,FALSE),0)</x:f>
        <x:v>0</x:v>
      </x:c>
      <x:c r="G940">
        <x:f>ROUND($C940*10*VLOOKUP($B940,Sheet2!$J$5:$K$7,2,FALSE)*VLOOKUP(Sheet1!$A940,Sheet2!$B$5:$H$29,6,FALSE),0)</x:f>
        <x:v>0</x:v>
      </x:c>
      <x:c r="H940">
        <x:f>ROUND($C940*10*VLOOKUP($B940,Sheet2!$J$5:$K$7,2,FALSE)*VLOOKUP(Sheet1!$A940,Sheet2!$B$5:$H$29,7,FALSE),0)</x:f>
        <x:v>0</x:v>
      </x:c>
      <x:c r="I940">
        <x:f t="shared" si="15"/>
        <x:v>15100</x:v>
      </x:c>
    </x:row>
    <x:row r="941" spans="1:9" x14ac:dyDescent="0.15">
      <x:c r="A941">
        <x:v>54051</x:v>
      </x:c>
      <x:c r="B941">
        <x:v>1</x:v>
      </x:c>
      <x:c r="C941">
        <x:v>40</x:v>
      </x:c>
      <x:c r="D941">
        <x:f>ROUND($C941*10*VLOOKUP($B941,Sheet2!$J$5:$K$7,2,FALSE)*VLOOKUP(Sheet1!$A941,Sheet2!$B$5:$H$29,3,FALSE),0)</x:f>
        <x:v>80</x:v>
      </x:c>
      <x:c r="E941">
        <x:f>ROUND($C941*10*VLOOKUP($B941,Sheet2!$J$5:$K$7,2,FALSE)*VLOOKUP(Sheet1!$A941,Sheet2!$B$5:$H$29,4,FALSE),0)</x:f>
        <x:v>240</x:v>
      </x:c>
      <x:c r="F941">
        <x:f>ROUND($C941*10*VLOOKUP($B941,Sheet2!$J$5:$K$7,2,FALSE)*VLOOKUP(Sheet1!$A941,Sheet2!$B$5:$H$29,5,FALSE),0)</x:f>
        <x:v>0</x:v>
      </x:c>
      <x:c r="G941">
        <x:f>ROUND($C941*10*VLOOKUP($B941,Sheet2!$J$5:$K$7,2,FALSE)*VLOOKUP(Sheet1!$A941,Sheet2!$B$5:$H$29,6,FALSE),0)</x:f>
        <x:v>0</x:v>
      </x:c>
      <x:c r="H941">
        <x:f>ROUND($C941*10*VLOOKUP($B941,Sheet2!$J$5:$K$7,2,FALSE)*VLOOKUP(Sheet1!$A941,Sheet2!$B$5:$H$29,7,FALSE),0)</x:f>
        <x:v>0</x:v>
      </x:c>
      <x:c r="I941">
        <x:f t="shared" si="15"/>
        <x:v>15820</x:v>
      </x:c>
    </x:row>
    <x:row r="942" spans="1:9" x14ac:dyDescent="0.15">
      <x:c r="A942">
        <x:v>54051</x:v>
      </x:c>
      <x:c r="B942">
        <x:v>1</x:v>
      </x:c>
      <x:c r="C942">
        <x:v>41</x:v>
      </x:c>
      <x:c r="D942">
        <x:f>ROUND($C942*10*VLOOKUP($B942,Sheet2!$J$5:$K$7,2,FALSE)*VLOOKUP(Sheet1!$A942,Sheet2!$B$5:$H$29,3,FALSE),0)</x:f>
        <x:v>82</x:v>
      </x:c>
      <x:c r="E942">
        <x:f>ROUND($C942*10*VLOOKUP($B942,Sheet2!$J$5:$K$7,2,FALSE)*VLOOKUP(Sheet1!$A942,Sheet2!$B$5:$H$29,4,FALSE),0)</x:f>
        <x:v>246</x:v>
      </x:c>
      <x:c r="F942">
        <x:f>ROUND($C942*10*VLOOKUP($B942,Sheet2!$J$5:$K$7,2,FALSE)*VLOOKUP(Sheet1!$A942,Sheet2!$B$5:$H$29,5,FALSE),0)</x:f>
        <x:v>0</x:v>
      </x:c>
      <x:c r="G942">
        <x:f>ROUND($C942*10*VLOOKUP($B942,Sheet2!$J$5:$K$7,2,FALSE)*VLOOKUP(Sheet1!$A942,Sheet2!$B$5:$H$29,6,FALSE),0)</x:f>
        <x:v>0</x:v>
      </x:c>
      <x:c r="H942">
        <x:f>ROUND($C942*10*VLOOKUP($B942,Sheet2!$J$5:$K$7,2,FALSE)*VLOOKUP(Sheet1!$A942,Sheet2!$B$5:$H$29,7,FALSE),0)</x:f>
        <x:v>0</x:v>
      </x:c>
      <x:c r="I942">
        <x:f t="shared" si="15"/>
        <x:v>16560</x:v>
      </x:c>
    </x:row>
    <x:row r="943" spans="1:9" x14ac:dyDescent="0.15">
      <x:c r="A943">
        <x:v>54051</x:v>
      </x:c>
      <x:c r="B943">
        <x:v>1</x:v>
      </x:c>
      <x:c r="C943">
        <x:v>42</x:v>
      </x:c>
      <x:c r="D943">
        <x:f>ROUND($C943*10*VLOOKUP($B943,Sheet2!$J$5:$K$7,2,FALSE)*VLOOKUP(Sheet1!$A943,Sheet2!$B$5:$H$29,3,FALSE),0)</x:f>
        <x:v>84</x:v>
      </x:c>
      <x:c r="E943">
        <x:f>ROUND($C943*10*VLOOKUP($B943,Sheet2!$J$5:$K$7,2,FALSE)*VLOOKUP(Sheet1!$A943,Sheet2!$B$5:$H$29,4,FALSE),0)</x:f>
        <x:v>252</x:v>
      </x:c>
      <x:c r="F943">
        <x:f>ROUND($C943*10*VLOOKUP($B943,Sheet2!$J$5:$K$7,2,FALSE)*VLOOKUP(Sheet1!$A943,Sheet2!$B$5:$H$29,5,FALSE),0)</x:f>
        <x:v>0</x:v>
      </x:c>
      <x:c r="G943">
        <x:f>ROUND($C943*10*VLOOKUP($B943,Sheet2!$J$5:$K$7,2,FALSE)*VLOOKUP(Sheet1!$A943,Sheet2!$B$5:$H$29,6,FALSE),0)</x:f>
        <x:v>0</x:v>
      </x:c>
      <x:c r="H943">
        <x:f>ROUND($C943*10*VLOOKUP($B943,Sheet2!$J$5:$K$7,2,FALSE)*VLOOKUP(Sheet1!$A943,Sheet2!$B$5:$H$29,7,FALSE),0)</x:f>
        <x:v>0</x:v>
      </x:c>
      <x:c r="I943">
        <x:f t="shared" si="15"/>
        <x:v>17310</x:v>
      </x:c>
    </x:row>
    <x:row r="944" spans="1:9" x14ac:dyDescent="0.15">
      <x:c r="A944">
        <x:v>54051</x:v>
      </x:c>
      <x:c r="B944">
        <x:v>1</x:v>
      </x:c>
      <x:c r="C944">
        <x:v>43</x:v>
      </x:c>
      <x:c r="D944">
        <x:f>ROUND($C944*10*VLOOKUP($B944,Sheet2!$J$5:$K$7,2,FALSE)*VLOOKUP(Sheet1!$A944,Sheet2!$B$5:$H$29,3,FALSE),0)</x:f>
        <x:v>86</x:v>
      </x:c>
      <x:c r="E944">
        <x:f>ROUND($C944*10*VLOOKUP($B944,Sheet2!$J$5:$K$7,2,FALSE)*VLOOKUP(Sheet1!$A944,Sheet2!$B$5:$H$29,4,FALSE),0)</x:f>
        <x:v>258</x:v>
      </x:c>
      <x:c r="F944">
        <x:f>ROUND($C944*10*VLOOKUP($B944,Sheet2!$J$5:$K$7,2,FALSE)*VLOOKUP(Sheet1!$A944,Sheet2!$B$5:$H$29,5,FALSE),0)</x:f>
        <x:v>0</x:v>
      </x:c>
      <x:c r="G944">
        <x:f>ROUND($C944*10*VLOOKUP($B944,Sheet2!$J$5:$K$7,2,FALSE)*VLOOKUP(Sheet1!$A944,Sheet2!$B$5:$H$29,6,FALSE),0)</x:f>
        <x:v>0</x:v>
      </x:c>
      <x:c r="H944">
        <x:f>ROUND($C944*10*VLOOKUP($B944,Sheet2!$J$5:$K$7,2,FALSE)*VLOOKUP(Sheet1!$A944,Sheet2!$B$5:$H$29,7,FALSE),0)</x:f>
        <x:v>0</x:v>
      </x:c>
      <x:c r="I944">
        <x:f t="shared" si="15"/>
        <x:v>18070</x:v>
      </x:c>
    </x:row>
    <x:row r="945" spans="1:9" x14ac:dyDescent="0.15">
      <x:c r="A945">
        <x:v>54051</x:v>
      </x:c>
      <x:c r="B945">
        <x:v>1</x:v>
      </x:c>
      <x:c r="C945">
        <x:v>44</x:v>
      </x:c>
      <x:c r="D945">
        <x:f>ROUND($C945*10*VLOOKUP($B945,Sheet2!$J$5:$K$7,2,FALSE)*VLOOKUP(Sheet1!$A945,Sheet2!$B$5:$H$29,3,FALSE),0)</x:f>
        <x:v>88</x:v>
      </x:c>
      <x:c r="E945">
        <x:f>ROUND($C945*10*VLOOKUP($B945,Sheet2!$J$5:$K$7,2,FALSE)*VLOOKUP(Sheet1!$A945,Sheet2!$B$5:$H$29,4,FALSE),0)</x:f>
        <x:v>264</x:v>
      </x:c>
      <x:c r="F945">
        <x:f>ROUND($C945*10*VLOOKUP($B945,Sheet2!$J$5:$K$7,2,FALSE)*VLOOKUP(Sheet1!$A945,Sheet2!$B$5:$H$29,5,FALSE),0)</x:f>
        <x:v>0</x:v>
      </x:c>
      <x:c r="G945">
        <x:f>ROUND($C945*10*VLOOKUP($B945,Sheet2!$J$5:$K$7,2,FALSE)*VLOOKUP(Sheet1!$A945,Sheet2!$B$5:$H$29,6,FALSE),0)</x:f>
        <x:v>0</x:v>
      </x:c>
      <x:c r="H945">
        <x:f>ROUND($C945*10*VLOOKUP($B945,Sheet2!$J$5:$K$7,2,FALSE)*VLOOKUP(Sheet1!$A945,Sheet2!$B$5:$H$29,7,FALSE),0)</x:f>
        <x:v>0</x:v>
      </x:c>
      <x:c r="I945">
        <x:f t="shared" si="15"/>
        <x:v>18850</x:v>
      </x:c>
    </x:row>
    <x:row r="946" spans="1:9" x14ac:dyDescent="0.15">
      <x:c r="A946">
        <x:v>54051</x:v>
      </x:c>
      <x:c r="B946">
        <x:v>1</x:v>
      </x:c>
      <x:c r="C946">
        <x:v>45</x:v>
      </x:c>
      <x:c r="D946">
        <x:f>ROUND($C946*10*VLOOKUP($B946,Sheet2!$J$5:$K$7,2,FALSE)*VLOOKUP(Sheet1!$A946,Sheet2!$B$5:$H$29,3,FALSE),0)</x:f>
        <x:v>90</x:v>
      </x:c>
      <x:c r="E946">
        <x:f>ROUND($C946*10*VLOOKUP($B946,Sheet2!$J$5:$K$7,2,FALSE)*VLOOKUP(Sheet1!$A946,Sheet2!$B$5:$H$29,4,FALSE),0)</x:f>
        <x:v>270</x:v>
      </x:c>
      <x:c r="F946">
        <x:f>ROUND($C946*10*VLOOKUP($B946,Sheet2!$J$5:$K$7,2,FALSE)*VLOOKUP(Sheet1!$A946,Sheet2!$B$5:$H$29,5,FALSE),0)</x:f>
        <x:v>0</x:v>
      </x:c>
      <x:c r="G946">
        <x:f>ROUND($C946*10*VLOOKUP($B946,Sheet2!$J$5:$K$7,2,FALSE)*VLOOKUP(Sheet1!$A946,Sheet2!$B$5:$H$29,6,FALSE),0)</x:f>
        <x:v>0</x:v>
      </x:c>
      <x:c r="H946">
        <x:f>ROUND($C946*10*VLOOKUP($B946,Sheet2!$J$5:$K$7,2,FALSE)*VLOOKUP(Sheet1!$A946,Sheet2!$B$5:$H$29,7,FALSE),0)</x:f>
        <x:v>0</x:v>
      </x:c>
      <x:c r="I946">
        <x:f t="shared" si="15"/>
        <x:v>19650</x:v>
      </x:c>
    </x:row>
    <x:row r="947" spans="1:9" x14ac:dyDescent="0.15">
      <x:c r="A947">
        <x:v>54051</x:v>
      </x:c>
      <x:c r="B947">
        <x:v>1</x:v>
      </x:c>
      <x:c r="C947">
        <x:v>46</x:v>
      </x:c>
      <x:c r="D947">
        <x:f>ROUND($C947*10*VLOOKUP($B947,Sheet2!$J$5:$K$7,2,FALSE)*VLOOKUP(Sheet1!$A947,Sheet2!$B$5:$H$29,3,FALSE),0)</x:f>
        <x:v>92</x:v>
      </x:c>
      <x:c r="E947">
        <x:f>ROUND($C947*10*VLOOKUP($B947,Sheet2!$J$5:$K$7,2,FALSE)*VLOOKUP(Sheet1!$A947,Sheet2!$B$5:$H$29,4,FALSE),0)</x:f>
        <x:v>276</x:v>
      </x:c>
      <x:c r="F947">
        <x:f>ROUND($C947*10*VLOOKUP($B947,Sheet2!$J$5:$K$7,2,FALSE)*VLOOKUP(Sheet1!$A947,Sheet2!$B$5:$H$29,5,FALSE),0)</x:f>
        <x:v>0</x:v>
      </x:c>
      <x:c r="G947">
        <x:f>ROUND($C947*10*VLOOKUP($B947,Sheet2!$J$5:$K$7,2,FALSE)*VLOOKUP(Sheet1!$A947,Sheet2!$B$5:$H$29,6,FALSE),0)</x:f>
        <x:v>0</x:v>
      </x:c>
      <x:c r="H947">
        <x:f>ROUND($C947*10*VLOOKUP($B947,Sheet2!$J$5:$K$7,2,FALSE)*VLOOKUP(Sheet1!$A947,Sheet2!$B$5:$H$29,7,FALSE),0)</x:f>
        <x:v>0</x:v>
      </x:c>
      <x:c r="I947">
        <x:f t="shared" si="15"/>
        <x:v>20460</x:v>
      </x:c>
    </x:row>
    <x:row r="948" spans="1:9" x14ac:dyDescent="0.15">
      <x:c r="A948">
        <x:v>54051</x:v>
      </x:c>
      <x:c r="B948">
        <x:v>1</x:v>
      </x:c>
      <x:c r="C948">
        <x:v>47</x:v>
      </x:c>
      <x:c r="D948">
        <x:f>ROUND($C948*10*VLOOKUP($B948,Sheet2!$J$5:$K$7,2,FALSE)*VLOOKUP(Sheet1!$A948,Sheet2!$B$5:$H$29,3,FALSE),0)</x:f>
        <x:v>94</x:v>
      </x:c>
      <x:c r="E948">
        <x:f>ROUND($C948*10*VLOOKUP($B948,Sheet2!$J$5:$K$7,2,FALSE)*VLOOKUP(Sheet1!$A948,Sheet2!$B$5:$H$29,4,FALSE),0)</x:f>
        <x:v>282</x:v>
      </x:c>
      <x:c r="F948">
        <x:f>ROUND($C948*10*VLOOKUP($B948,Sheet2!$J$5:$K$7,2,FALSE)*VLOOKUP(Sheet1!$A948,Sheet2!$B$5:$H$29,5,FALSE),0)</x:f>
        <x:v>0</x:v>
      </x:c>
      <x:c r="G948">
        <x:f>ROUND($C948*10*VLOOKUP($B948,Sheet2!$J$5:$K$7,2,FALSE)*VLOOKUP(Sheet1!$A948,Sheet2!$B$5:$H$29,6,FALSE),0)</x:f>
        <x:v>0</x:v>
      </x:c>
      <x:c r="H948">
        <x:f>ROUND($C948*10*VLOOKUP($B948,Sheet2!$J$5:$K$7,2,FALSE)*VLOOKUP(Sheet1!$A948,Sheet2!$B$5:$H$29,7,FALSE),0)</x:f>
        <x:v>0</x:v>
      </x:c>
      <x:c r="I948">
        <x:f t="shared" si="15"/>
        <x:v>21280</x:v>
      </x:c>
    </x:row>
    <x:row r="949" spans="1:9" x14ac:dyDescent="0.15">
      <x:c r="A949">
        <x:v>54051</x:v>
      </x:c>
      <x:c r="B949">
        <x:v>1</x:v>
      </x:c>
      <x:c r="C949">
        <x:v>48</x:v>
      </x:c>
      <x:c r="D949">
        <x:f>ROUND($C949*10*VLOOKUP($B949,Sheet2!$J$5:$K$7,2,FALSE)*VLOOKUP(Sheet1!$A949,Sheet2!$B$5:$H$29,3,FALSE),0)</x:f>
        <x:v>96</x:v>
      </x:c>
      <x:c r="E949">
        <x:f>ROUND($C949*10*VLOOKUP($B949,Sheet2!$J$5:$K$7,2,FALSE)*VLOOKUP(Sheet1!$A949,Sheet2!$B$5:$H$29,4,FALSE),0)</x:f>
        <x:v>288</x:v>
      </x:c>
      <x:c r="F949">
        <x:f>ROUND($C949*10*VLOOKUP($B949,Sheet2!$J$5:$K$7,2,FALSE)*VLOOKUP(Sheet1!$A949,Sheet2!$B$5:$H$29,5,FALSE),0)</x:f>
        <x:v>0</x:v>
      </x:c>
      <x:c r="G949">
        <x:f>ROUND($C949*10*VLOOKUP($B949,Sheet2!$J$5:$K$7,2,FALSE)*VLOOKUP(Sheet1!$A949,Sheet2!$B$5:$H$29,6,FALSE),0)</x:f>
        <x:v>0</x:v>
      </x:c>
      <x:c r="H949">
        <x:f>ROUND($C949*10*VLOOKUP($B949,Sheet2!$J$5:$K$7,2,FALSE)*VLOOKUP(Sheet1!$A949,Sheet2!$B$5:$H$29,7,FALSE),0)</x:f>
        <x:v>0</x:v>
      </x:c>
      <x:c r="I949">
        <x:f t="shared" si="15"/>
        <x:v>22120</x:v>
      </x:c>
    </x:row>
    <x:row r="950" spans="1:9" x14ac:dyDescent="0.15">
      <x:c r="A950">
        <x:v>54051</x:v>
      </x:c>
      <x:c r="B950">
        <x:v>1</x:v>
      </x:c>
      <x:c r="C950">
        <x:v>49</x:v>
      </x:c>
      <x:c r="D950">
        <x:f>ROUND($C950*10*VLOOKUP($B950,Sheet2!$J$5:$K$7,2,FALSE)*VLOOKUP(Sheet1!$A950,Sheet2!$B$5:$H$29,3,FALSE),0)</x:f>
        <x:v>98</x:v>
      </x:c>
      <x:c r="E950">
        <x:f>ROUND($C950*10*VLOOKUP($B950,Sheet2!$J$5:$K$7,2,FALSE)*VLOOKUP(Sheet1!$A950,Sheet2!$B$5:$H$29,4,FALSE),0)</x:f>
        <x:v>294</x:v>
      </x:c>
      <x:c r="F950">
        <x:f>ROUND($C950*10*VLOOKUP($B950,Sheet2!$J$5:$K$7,2,FALSE)*VLOOKUP(Sheet1!$A950,Sheet2!$B$5:$H$29,5,FALSE),0)</x:f>
        <x:v>0</x:v>
      </x:c>
      <x:c r="G950">
        <x:f>ROUND($C950*10*VLOOKUP($B950,Sheet2!$J$5:$K$7,2,FALSE)*VLOOKUP(Sheet1!$A950,Sheet2!$B$5:$H$29,6,FALSE),0)</x:f>
        <x:v>0</x:v>
      </x:c>
      <x:c r="H950">
        <x:f>ROUND($C950*10*VLOOKUP($B950,Sheet2!$J$5:$K$7,2,FALSE)*VLOOKUP(Sheet1!$A950,Sheet2!$B$5:$H$29,7,FALSE),0)</x:f>
        <x:v>0</x:v>
      </x:c>
      <x:c r="I950">
        <x:f t="shared" si="15"/>
        <x:v>22970</x:v>
      </x:c>
    </x:row>
    <x:row r="951" spans="1:9" x14ac:dyDescent="0.15">
      <x:c r="A951">
        <x:v>54051</x:v>
      </x:c>
      <x:c r="B951">
        <x:v>1</x:v>
      </x:c>
      <x:c r="C951">
        <x:v>50</x:v>
      </x:c>
      <x:c r="D951">
        <x:f>ROUND($C951*10*VLOOKUP($B951,Sheet2!$J$5:$K$7,2,FALSE)*VLOOKUP(Sheet1!$A951,Sheet2!$B$5:$H$29,3,FALSE),0)</x:f>
        <x:v>100</x:v>
      </x:c>
      <x:c r="E951">
        <x:f>ROUND($C951*10*VLOOKUP($B951,Sheet2!$J$5:$K$7,2,FALSE)*VLOOKUP(Sheet1!$A951,Sheet2!$B$5:$H$29,4,FALSE),0)</x:f>
        <x:v>300</x:v>
      </x:c>
      <x:c r="F951">
        <x:f>ROUND($C951*10*VLOOKUP($B951,Sheet2!$J$5:$K$7,2,FALSE)*VLOOKUP(Sheet1!$A951,Sheet2!$B$5:$H$29,5,FALSE),0)</x:f>
        <x:v>0</x:v>
      </x:c>
      <x:c r="G951">
        <x:f>ROUND($C951*10*VLOOKUP($B951,Sheet2!$J$5:$K$7,2,FALSE)*VLOOKUP(Sheet1!$A951,Sheet2!$B$5:$H$29,6,FALSE),0)</x:f>
        <x:v>0</x:v>
      </x:c>
      <x:c r="H951">
        <x:f>ROUND($C951*10*VLOOKUP($B951,Sheet2!$J$5:$K$7,2,FALSE)*VLOOKUP(Sheet1!$A951,Sheet2!$B$5:$H$29,7,FALSE),0)</x:f>
        <x:v>0</x:v>
      </x:c>
      <x:c r="I951">
        <x:f t="shared" si="15"/>
        <x:v>23840</x:v>
      </x:c>
    </x:row>
    <x:row r="952" spans="1:9" x14ac:dyDescent="0.15">
      <x:c r="A952">
        <x:v>54051</x:v>
      </x:c>
      <x:c r="B952">
        <x:v>1</x:v>
      </x:c>
      <x:c r="C952">
        <x:v>51</x:v>
      </x:c>
      <x:c r="D952">
        <x:f>ROUND($C952*10*VLOOKUP($B952,Sheet2!$J$5:$K$7,2,FALSE)*VLOOKUP(Sheet1!$A952,Sheet2!$B$5:$H$29,3,FALSE),0)</x:f>
        <x:v>102</x:v>
      </x:c>
      <x:c r="E952">
        <x:f>ROUND($C952*10*VLOOKUP($B952,Sheet2!$J$5:$K$7,2,FALSE)*VLOOKUP(Sheet1!$A952,Sheet2!$B$5:$H$29,4,FALSE),0)</x:f>
        <x:v>306</x:v>
      </x:c>
      <x:c r="F952">
        <x:f>ROUND($C952*10*VLOOKUP($B952,Sheet2!$J$5:$K$7,2,FALSE)*VLOOKUP(Sheet1!$A952,Sheet2!$B$5:$H$29,5,FALSE),0)</x:f>
        <x:v>0</x:v>
      </x:c>
      <x:c r="G952">
        <x:f>ROUND($C952*10*VLOOKUP($B952,Sheet2!$J$5:$K$7,2,FALSE)*VLOOKUP(Sheet1!$A952,Sheet2!$B$5:$H$29,6,FALSE),0)</x:f>
        <x:v>0</x:v>
      </x:c>
      <x:c r="H952">
        <x:f>ROUND($C952*10*VLOOKUP($B952,Sheet2!$J$5:$K$7,2,FALSE)*VLOOKUP(Sheet1!$A952,Sheet2!$B$5:$H$29,7,FALSE),0)</x:f>
        <x:v>0</x:v>
      </x:c>
      <x:c r="I952">
        <x:f t="shared" si="15"/>
        <x:v>24720</x:v>
      </x:c>
    </x:row>
    <x:row r="953" spans="1:9" x14ac:dyDescent="0.15">
      <x:c r="A953">
        <x:v>54051</x:v>
      </x:c>
      <x:c r="B953">
        <x:v>1</x:v>
      </x:c>
      <x:c r="C953">
        <x:v>52</x:v>
      </x:c>
      <x:c r="D953">
        <x:f>ROUND($C953*10*VLOOKUP($B953,Sheet2!$J$5:$K$7,2,FALSE)*VLOOKUP(Sheet1!$A953,Sheet2!$B$5:$H$29,3,FALSE),0)</x:f>
        <x:v>104</x:v>
      </x:c>
      <x:c r="E953">
        <x:f>ROUND($C953*10*VLOOKUP($B953,Sheet2!$J$5:$K$7,2,FALSE)*VLOOKUP(Sheet1!$A953,Sheet2!$B$5:$H$29,4,FALSE),0)</x:f>
        <x:v>312</x:v>
      </x:c>
      <x:c r="F953">
        <x:f>ROUND($C953*10*VLOOKUP($B953,Sheet2!$J$5:$K$7,2,FALSE)*VLOOKUP(Sheet1!$A953,Sheet2!$B$5:$H$29,5,FALSE),0)</x:f>
        <x:v>0</x:v>
      </x:c>
      <x:c r="G953">
        <x:f>ROUND($C953*10*VLOOKUP($B953,Sheet2!$J$5:$K$7,2,FALSE)*VLOOKUP(Sheet1!$A953,Sheet2!$B$5:$H$29,6,FALSE),0)</x:f>
        <x:v>0</x:v>
      </x:c>
      <x:c r="H953">
        <x:f>ROUND($C953*10*VLOOKUP($B953,Sheet2!$J$5:$K$7,2,FALSE)*VLOOKUP(Sheet1!$A953,Sheet2!$B$5:$H$29,7,FALSE),0)</x:f>
        <x:v>0</x:v>
      </x:c>
      <x:c r="I953">
        <x:f t="shared" si="15"/>
        <x:v>25620</x:v>
      </x:c>
    </x:row>
    <x:row r="954" spans="1:9" x14ac:dyDescent="0.15">
      <x:c r="A954">
        <x:v>54051</x:v>
      </x:c>
      <x:c r="B954">
        <x:v>1</x:v>
      </x:c>
      <x:c r="C954">
        <x:v>53</x:v>
      </x:c>
      <x:c r="D954">
        <x:f>ROUND($C954*10*VLOOKUP($B954,Sheet2!$J$5:$K$7,2,FALSE)*VLOOKUP(Sheet1!$A954,Sheet2!$B$5:$H$29,3,FALSE),0)</x:f>
        <x:v>106</x:v>
      </x:c>
      <x:c r="E954">
        <x:f>ROUND($C954*10*VLOOKUP($B954,Sheet2!$J$5:$K$7,2,FALSE)*VLOOKUP(Sheet1!$A954,Sheet2!$B$5:$H$29,4,FALSE),0)</x:f>
        <x:v>318</x:v>
      </x:c>
      <x:c r="F954">
        <x:f>ROUND($C954*10*VLOOKUP($B954,Sheet2!$J$5:$K$7,2,FALSE)*VLOOKUP(Sheet1!$A954,Sheet2!$B$5:$H$29,5,FALSE),0)</x:f>
        <x:v>0</x:v>
      </x:c>
      <x:c r="G954">
        <x:f>ROUND($C954*10*VLOOKUP($B954,Sheet2!$J$5:$K$7,2,FALSE)*VLOOKUP(Sheet1!$A954,Sheet2!$B$5:$H$29,6,FALSE),0)</x:f>
        <x:v>0</x:v>
      </x:c>
      <x:c r="H954">
        <x:f>ROUND($C954*10*VLOOKUP($B954,Sheet2!$J$5:$K$7,2,FALSE)*VLOOKUP(Sheet1!$A954,Sheet2!$B$5:$H$29,7,FALSE),0)</x:f>
        <x:v>0</x:v>
      </x:c>
      <x:c r="I954">
        <x:f t="shared" si="15"/>
        <x:v>26530</x:v>
      </x:c>
    </x:row>
    <x:row r="955" spans="1:9" x14ac:dyDescent="0.15">
      <x:c r="A955">
        <x:v>54051</x:v>
      </x:c>
      <x:c r="B955">
        <x:v>1</x:v>
      </x:c>
      <x:c r="C955">
        <x:v>54</x:v>
      </x:c>
      <x:c r="D955">
        <x:f>ROUND($C955*10*VLOOKUP($B955,Sheet2!$J$5:$K$7,2,FALSE)*VLOOKUP(Sheet1!$A955,Sheet2!$B$5:$H$29,3,FALSE),0)</x:f>
        <x:v>108</x:v>
      </x:c>
      <x:c r="E955">
        <x:f>ROUND($C955*10*VLOOKUP($B955,Sheet2!$J$5:$K$7,2,FALSE)*VLOOKUP(Sheet1!$A955,Sheet2!$B$5:$H$29,4,FALSE),0)</x:f>
        <x:v>324</x:v>
      </x:c>
      <x:c r="F955">
        <x:f>ROUND($C955*10*VLOOKUP($B955,Sheet2!$J$5:$K$7,2,FALSE)*VLOOKUP(Sheet1!$A955,Sheet2!$B$5:$H$29,5,FALSE),0)</x:f>
        <x:v>0</x:v>
      </x:c>
      <x:c r="G955">
        <x:f>ROUND($C955*10*VLOOKUP($B955,Sheet2!$J$5:$K$7,2,FALSE)*VLOOKUP(Sheet1!$A955,Sheet2!$B$5:$H$29,6,FALSE),0)</x:f>
        <x:v>0</x:v>
      </x:c>
      <x:c r="H955">
        <x:f>ROUND($C955*10*VLOOKUP($B955,Sheet2!$J$5:$K$7,2,FALSE)*VLOOKUP(Sheet1!$A955,Sheet2!$B$5:$H$29,7,FALSE),0)</x:f>
        <x:v>0</x:v>
      </x:c>
      <x:c r="I955">
        <x:f t="shared" si="15"/>
        <x:v>27460</x:v>
      </x:c>
    </x:row>
    <x:row r="956" spans="1:9" x14ac:dyDescent="0.15">
      <x:c r="A956">
        <x:v>54051</x:v>
      </x:c>
      <x:c r="B956">
        <x:v>1</x:v>
      </x:c>
      <x:c r="C956">
        <x:v>55</x:v>
      </x:c>
      <x:c r="D956">
        <x:f>ROUND($C956*10*VLOOKUP($B956,Sheet2!$J$5:$K$7,2,FALSE)*VLOOKUP(Sheet1!$A956,Sheet2!$B$5:$H$29,3,FALSE),0)</x:f>
        <x:v>110</x:v>
      </x:c>
      <x:c r="E956">
        <x:f>ROUND($C956*10*VLOOKUP($B956,Sheet2!$J$5:$K$7,2,FALSE)*VLOOKUP(Sheet1!$A956,Sheet2!$B$5:$H$29,4,FALSE),0)</x:f>
        <x:v>330</x:v>
      </x:c>
      <x:c r="F956">
        <x:f>ROUND($C956*10*VLOOKUP($B956,Sheet2!$J$5:$K$7,2,FALSE)*VLOOKUP(Sheet1!$A956,Sheet2!$B$5:$H$29,5,FALSE),0)</x:f>
        <x:v>0</x:v>
      </x:c>
      <x:c r="G956">
        <x:f>ROUND($C956*10*VLOOKUP($B956,Sheet2!$J$5:$K$7,2,FALSE)*VLOOKUP(Sheet1!$A956,Sheet2!$B$5:$H$29,6,FALSE),0)</x:f>
        <x:v>0</x:v>
      </x:c>
      <x:c r="H956">
        <x:f>ROUND($C956*10*VLOOKUP($B956,Sheet2!$J$5:$K$7,2,FALSE)*VLOOKUP(Sheet1!$A956,Sheet2!$B$5:$H$29,7,FALSE),0)</x:f>
        <x:v>0</x:v>
      </x:c>
      <x:c r="I956">
        <x:f t="shared" si="15"/>
        <x:v>28390</x:v>
      </x:c>
    </x:row>
    <x:row r="957" spans="1:9" x14ac:dyDescent="0.15">
      <x:c r="A957">
        <x:v>54051</x:v>
      </x:c>
      <x:c r="B957">
        <x:v>1</x:v>
      </x:c>
      <x:c r="C957">
        <x:v>56</x:v>
      </x:c>
      <x:c r="D957">
        <x:f>ROUND($C957*10*VLOOKUP($B957,Sheet2!$J$5:$K$7,2,FALSE)*VLOOKUP(Sheet1!$A957,Sheet2!$B$5:$H$29,3,FALSE),0)</x:f>
        <x:v>112</x:v>
      </x:c>
      <x:c r="E957">
        <x:f>ROUND($C957*10*VLOOKUP($B957,Sheet2!$J$5:$K$7,2,FALSE)*VLOOKUP(Sheet1!$A957,Sheet2!$B$5:$H$29,4,FALSE),0)</x:f>
        <x:v>336</x:v>
      </x:c>
      <x:c r="F957">
        <x:f>ROUND($C957*10*VLOOKUP($B957,Sheet2!$J$5:$K$7,2,FALSE)*VLOOKUP(Sheet1!$A957,Sheet2!$B$5:$H$29,5,FALSE),0)</x:f>
        <x:v>0</x:v>
      </x:c>
      <x:c r="G957">
        <x:f>ROUND($C957*10*VLOOKUP($B957,Sheet2!$J$5:$K$7,2,FALSE)*VLOOKUP(Sheet1!$A957,Sheet2!$B$5:$H$29,6,FALSE),0)</x:f>
        <x:v>0</x:v>
      </x:c>
      <x:c r="H957">
        <x:f>ROUND($C957*10*VLOOKUP($B957,Sheet2!$J$5:$K$7,2,FALSE)*VLOOKUP(Sheet1!$A957,Sheet2!$B$5:$H$29,7,FALSE),0)</x:f>
        <x:v>0</x:v>
      </x:c>
      <x:c r="I957">
        <x:f t="shared" si="15"/>
        <x:v>29350</x:v>
      </x:c>
    </x:row>
    <x:row r="958" spans="1:9" x14ac:dyDescent="0.15">
      <x:c r="A958">
        <x:v>54051</x:v>
      </x:c>
      <x:c r="B958">
        <x:v>1</x:v>
      </x:c>
      <x:c r="C958">
        <x:v>57</x:v>
      </x:c>
      <x:c r="D958">
        <x:f>ROUND($C958*10*VLOOKUP($B958,Sheet2!$J$5:$K$7,2,FALSE)*VLOOKUP(Sheet1!$A958,Sheet2!$B$5:$H$29,3,FALSE),0)</x:f>
        <x:v>114</x:v>
      </x:c>
      <x:c r="E958">
        <x:f>ROUND($C958*10*VLOOKUP($B958,Sheet2!$J$5:$K$7,2,FALSE)*VLOOKUP(Sheet1!$A958,Sheet2!$B$5:$H$29,4,FALSE),0)</x:f>
        <x:v>342</x:v>
      </x:c>
      <x:c r="F958">
        <x:f>ROUND($C958*10*VLOOKUP($B958,Sheet2!$J$5:$K$7,2,FALSE)*VLOOKUP(Sheet1!$A958,Sheet2!$B$5:$H$29,5,FALSE),0)</x:f>
        <x:v>0</x:v>
      </x:c>
      <x:c r="G958">
        <x:f>ROUND($C958*10*VLOOKUP($B958,Sheet2!$J$5:$K$7,2,FALSE)*VLOOKUP(Sheet1!$A958,Sheet2!$B$5:$H$29,6,FALSE),0)</x:f>
        <x:v>0</x:v>
      </x:c>
      <x:c r="H958">
        <x:f>ROUND($C958*10*VLOOKUP($B958,Sheet2!$J$5:$K$7,2,FALSE)*VLOOKUP(Sheet1!$A958,Sheet2!$B$5:$H$29,7,FALSE),0)</x:f>
        <x:v>0</x:v>
      </x:c>
      <x:c r="I958">
        <x:f t="shared" si="15"/>
        <x:v>30310</x:v>
      </x:c>
    </x:row>
    <x:row r="959" spans="1:9" x14ac:dyDescent="0.15">
      <x:c r="A959">
        <x:v>54051</x:v>
      </x:c>
      <x:c r="B959">
        <x:v>1</x:v>
      </x:c>
      <x:c r="C959">
        <x:v>58</x:v>
      </x:c>
      <x:c r="D959">
        <x:f>ROUND($C959*10*VLOOKUP($B959,Sheet2!$J$5:$K$7,2,FALSE)*VLOOKUP(Sheet1!$A959,Sheet2!$B$5:$H$29,3,FALSE),0)</x:f>
        <x:v>116</x:v>
      </x:c>
      <x:c r="E959">
        <x:f>ROUND($C959*10*VLOOKUP($B959,Sheet2!$J$5:$K$7,2,FALSE)*VLOOKUP(Sheet1!$A959,Sheet2!$B$5:$H$29,4,FALSE),0)</x:f>
        <x:v>348</x:v>
      </x:c>
      <x:c r="F959">
        <x:f>ROUND($C959*10*VLOOKUP($B959,Sheet2!$J$5:$K$7,2,FALSE)*VLOOKUP(Sheet1!$A959,Sheet2!$B$5:$H$29,5,FALSE),0)</x:f>
        <x:v>0</x:v>
      </x:c>
      <x:c r="G959">
        <x:f>ROUND($C959*10*VLOOKUP($B959,Sheet2!$J$5:$K$7,2,FALSE)*VLOOKUP(Sheet1!$A959,Sheet2!$B$5:$H$29,6,FALSE),0)</x:f>
        <x:v>0</x:v>
      </x:c>
      <x:c r="H959">
        <x:f>ROUND($C959*10*VLOOKUP($B959,Sheet2!$J$5:$K$7,2,FALSE)*VLOOKUP(Sheet1!$A959,Sheet2!$B$5:$H$29,7,FALSE),0)</x:f>
        <x:v>0</x:v>
      </x:c>
      <x:c r="I959">
        <x:f t="shared" si="15"/>
        <x:v>31290</x:v>
      </x:c>
    </x:row>
    <x:row r="960" spans="1:9" x14ac:dyDescent="0.15">
      <x:c r="A960">
        <x:v>54051</x:v>
      </x:c>
      <x:c r="B960">
        <x:v>1</x:v>
      </x:c>
      <x:c r="C960">
        <x:v>59</x:v>
      </x:c>
      <x:c r="D960">
        <x:f>ROUND($C960*10*VLOOKUP($B960,Sheet2!$J$5:$K$7,2,FALSE)*VLOOKUP(Sheet1!$A960,Sheet2!$B$5:$H$29,3,FALSE),0)</x:f>
        <x:v>118</x:v>
      </x:c>
      <x:c r="E960">
        <x:f>ROUND($C960*10*VLOOKUP($B960,Sheet2!$J$5:$K$7,2,FALSE)*VLOOKUP(Sheet1!$A960,Sheet2!$B$5:$H$29,4,FALSE),0)</x:f>
        <x:v>354</x:v>
      </x:c>
      <x:c r="F960">
        <x:f>ROUND($C960*10*VLOOKUP($B960,Sheet2!$J$5:$K$7,2,FALSE)*VLOOKUP(Sheet1!$A960,Sheet2!$B$5:$H$29,5,FALSE),0)</x:f>
        <x:v>0</x:v>
      </x:c>
      <x:c r="G960">
        <x:f>ROUND($C960*10*VLOOKUP($B960,Sheet2!$J$5:$K$7,2,FALSE)*VLOOKUP(Sheet1!$A960,Sheet2!$B$5:$H$29,6,FALSE),0)</x:f>
        <x:v>0</x:v>
      </x:c>
      <x:c r="H960">
        <x:f>ROUND($C960*10*VLOOKUP($B960,Sheet2!$J$5:$K$7,2,FALSE)*VLOOKUP(Sheet1!$A960,Sheet2!$B$5:$H$29,7,FALSE),0)</x:f>
        <x:v>0</x:v>
      </x:c>
      <x:c r="I960">
        <x:f t="shared" si="15"/>
        <x:v>32290</x:v>
      </x:c>
    </x:row>
    <x:row r="961" spans="1:9" x14ac:dyDescent="0.15">
      <x:c r="A961">
        <x:v>54051</x:v>
      </x:c>
      <x:c r="B961">
        <x:v>1</x:v>
      </x:c>
      <x:c r="C961">
        <x:v>60</x:v>
      </x:c>
      <x:c r="D961">
        <x:f>ROUND($C961*10*VLOOKUP($B961,Sheet2!$J$5:$K$7,2,FALSE)*VLOOKUP(Sheet1!$A961,Sheet2!$B$5:$H$29,3,FALSE),0)</x:f>
        <x:v>120</x:v>
      </x:c>
      <x:c r="E961">
        <x:f>ROUND($C961*10*VLOOKUP($B961,Sheet2!$J$5:$K$7,2,FALSE)*VLOOKUP(Sheet1!$A961,Sheet2!$B$5:$H$29,4,FALSE),0)</x:f>
        <x:v>360</x:v>
      </x:c>
      <x:c r="F961">
        <x:f>ROUND($C961*10*VLOOKUP($B961,Sheet2!$J$5:$K$7,2,FALSE)*VLOOKUP(Sheet1!$A961,Sheet2!$B$5:$H$29,5,FALSE),0)</x:f>
        <x:v>0</x:v>
      </x:c>
      <x:c r="G961">
        <x:f>ROUND($C961*10*VLOOKUP($B961,Sheet2!$J$5:$K$7,2,FALSE)*VLOOKUP(Sheet1!$A961,Sheet2!$B$5:$H$29,6,FALSE),0)</x:f>
        <x:v>0</x:v>
      </x:c>
      <x:c r="H961">
        <x:f>ROUND($C961*10*VLOOKUP($B961,Sheet2!$J$5:$K$7,2,FALSE)*VLOOKUP(Sheet1!$A961,Sheet2!$B$5:$H$29,7,FALSE),0)</x:f>
        <x:v>0</x:v>
      </x:c>
      <x:c r="I961">
        <x:f t="shared" si="15"/>
        <x:v>33290</x:v>
      </x:c>
    </x:row>
    <x:row r="962" spans="1:9" x14ac:dyDescent="0.15">
      <x:c r="A962">
        <x:v>54051</x:v>
      </x:c>
      <x:c r="B962">
        <x:v>2</x:v>
      </x:c>
      <x:c r="C962">
        <x:v>1</x:v>
      </x:c>
      <x:c r="D962">
        <x:f>ROUND($C962*10*VLOOKUP($B962,Sheet2!$J$5:$K$7,2,FALSE)*VLOOKUP(Sheet1!$A962,Sheet2!$B$5:$H$29,3,FALSE),0)</x:f>
        <x:v>2</x:v>
      </x:c>
      <x:c r="E962">
        <x:f>ROUND($C962*10*VLOOKUP($B962,Sheet2!$J$5:$K$7,2,FALSE)*VLOOKUP(Sheet1!$A962,Sheet2!$B$5:$H$29,4,FALSE),0)</x:f>
        <x:v>7</x:v>
      </x:c>
      <x:c r="F962">
        <x:f>ROUND($C962*10*VLOOKUP($B962,Sheet2!$J$5:$K$7,2,FALSE)*VLOOKUP(Sheet1!$A962,Sheet2!$B$5:$H$29,5,FALSE),0)</x:f>
        <x:v>0</x:v>
      </x:c>
      <x:c r="G962">
        <x:f>ROUND($C962*10*VLOOKUP($B962,Sheet2!$J$5:$K$7,2,FALSE)*VLOOKUP(Sheet1!$A962,Sheet2!$B$5:$H$29,6,FALSE),0)</x:f>
        <x:v>0</x:v>
      </x:c>
      <x:c r="H962">
        <x:f>ROUND($C962*10*VLOOKUP($B962,Sheet2!$J$5:$K$7,2,FALSE)*VLOOKUP(Sheet1!$A962,Sheet2!$B$5:$H$29,7,FALSE),0)</x:f>
        <x:v>0</x:v>
      </x:c>
      <x:c r="I962">
        <x:f t="shared" ref="I962:I1021" si="16">ROUND(1.2*10*3.5*(C962-1)^1.8+60,-1)</x:f>
        <x:v>60</x:v>
      </x:c>
    </x:row>
    <x:row r="963" spans="1:9" x14ac:dyDescent="0.15">
      <x:c r="A963">
        <x:v>54051</x:v>
      </x:c>
      <x:c r="B963">
        <x:v>2</x:v>
      </x:c>
      <x:c r="C963">
        <x:v>2</x:v>
      </x:c>
      <x:c r="D963">
        <x:f>ROUND($C963*10*VLOOKUP($B963,Sheet2!$J$5:$K$7,2,FALSE)*VLOOKUP(Sheet1!$A963,Sheet2!$B$5:$H$29,3,FALSE),0)</x:f>
        <x:v>5</x:v>
      </x:c>
      <x:c r="E963">
        <x:f>ROUND($C963*10*VLOOKUP($B963,Sheet2!$J$5:$K$7,2,FALSE)*VLOOKUP(Sheet1!$A963,Sheet2!$B$5:$H$29,4,FALSE),0)</x:f>
        <x:v>14</x:v>
      </x:c>
      <x:c r="F963">
        <x:f>ROUND($C963*10*VLOOKUP($B963,Sheet2!$J$5:$K$7,2,FALSE)*VLOOKUP(Sheet1!$A963,Sheet2!$B$5:$H$29,5,FALSE),0)</x:f>
        <x:v>0</x:v>
      </x:c>
      <x:c r="G963">
        <x:f>ROUND($C963*10*VLOOKUP($B963,Sheet2!$J$5:$K$7,2,FALSE)*VLOOKUP(Sheet1!$A963,Sheet2!$B$5:$H$29,6,FALSE),0)</x:f>
        <x:v>0</x:v>
      </x:c>
      <x:c r="H963">
        <x:f>ROUND($C963*10*VLOOKUP($B963,Sheet2!$J$5:$K$7,2,FALSE)*VLOOKUP(Sheet1!$A963,Sheet2!$B$5:$H$29,7,FALSE),0)</x:f>
        <x:v>0</x:v>
      </x:c>
      <x:c r="I963">
        <x:f t="shared" si="16"/>
        <x:v>100</x:v>
      </x:c>
    </x:row>
    <x:row r="964" spans="1:9" x14ac:dyDescent="0.15">
      <x:c r="A964">
        <x:v>54051</x:v>
      </x:c>
      <x:c r="B964">
        <x:v>2</x:v>
      </x:c>
      <x:c r="C964">
        <x:v>3</x:v>
      </x:c>
      <x:c r="D964">
        <x:f>ROUND($C964*10*VLOOKUP($B964,Sheet2!$J$5:$K$7,2,FALSE)*VLOOKUP(Sheet1!$A964,Sheet2!$B$5:$H$29,3,FALSE),0)</x:f>
        <x:v>7</x:v>
      </x:c>
      <x:c r="E964">
        <x:f>ROUND($C964*10*VLOOKUP($B964,Sheet2!$J$5:$K$7,2,FALSE)*VLOOKUP(Sheet1!$A964,Sheet2!$B$5:$H$29,4,FALSE),0)</x:f>
        <x:v>22</x:v>
      </x:c>
      <x:c r="F964">
        <x:f>ROUND($C964*10*VLOOKUP($B964,Sheet2!$J$5:$K$7,2,FALSE)*VLOOKUP(Sheet1!$A964,Sheet2!$B$5:$H$29,5,FALSE),0)</x:f>
        <x:v>0</x:v>
      </x:c>
      <x:c r="G964">
        <x:f>ROUND($C964*10*VLOOKUP($B964,Sheet2!$J$5:$K$7,2,FALSE)*VLOOKUP(Sheet1!$A964,Sheet2!$B$5:$H$29,6,FALSE),0)</x:f>
        <x:v>0</x:v>
      </x:c>
      <x:c r="H964">
        <x:f>ROUND($C964*10*VLOOKUP($B964,Sheet2!$J$5:$K$7,2,FALSE)*VLOOKUP(Sheet1!$A964,Sheet2!$B$5:$H$29,7,FALSE),0)</x:f>
        <x:v>0</x:v>
      </x:c>
      <x:c r="I964">
        <x:f t="shared" si="16"/>
        <x:v>210</x:v>
      </x:c>
    </x:row>
    <x:row r="965" spans="1:9" x14ac:dyDescent="0.15">
      <x:c r="A965">
        <x:v>54051</x:v>
      </x:c>
      <x:c r="B965">
        <x:v>2</x:v>
      </x:c>
      <x:c r="C965">
        <x:v>4</x:v>
      </x:c>
      <x:c r="D965">
        <x:f>ROUND($C965*10*VLOOKUP($B965,Sheet2!$J$5:$K$7,2,FALSE)*VLOOKUP(Sheet1!$A965,Sheet2!$B$5:$H$29,3,FALSE),0)</x:f>
        <x:v>10</x:v>
      </x:c>
      <x:c r="E965">
        <x:f>ROUND($C965*10*VLOOKUP($B965,Sheet2!$J$5:$K$7,2,FALSE)*VLOOKUP(Sheet1!$A965,Sheet2!$B$5:$H$29,4,FALSE),0)</x:f>
        <x:v>29</x:v>
      </x:c>
      <x:c r="F965">
        <x:f>ROUND($C965*10*VLOOKUP($B965,Sheet2!$J$5:$K$7,2,FALSE)*VLOOKUP(Sheet1!$A965,Sheet2!$B$5:$H$29,5,FALSE),0)</x:f>
        <x:v>0</x:v>
      </x:c>
      <x:c r="G965">
        <x:f>ROUND($C965*10*VLOOKUP($B965,Sheet2!$J$5:$K$7,2,FALSE)*VLOOKUP(Sheet1!$A965,Sheet2!$B$5:$H$29,6,FALSE),0)</x:f>
        <x:v>0</x:v>
      </x:c>
      <x:c r="H965">
        <x:f>ROUND($C965*10*VLOOKUP($B965,Sheet2!$J$5:$K$7,2,FALSE)*VLOOKUP(Sheet1!$A965,Sheet2!$B$5:$H$29,7,FALSE),0)</x:f>
        <x:v>0</x:v>
      </x:c>
      <x:c r="I965">
        <x:f t="shared" si="16"/>
        <x:v>360</x:v>
      </x:c>
    </x:row>
    <x:row r="966" spans="1:9" x14ac:dyDescent="0.15">
      <x:c r="A966">
        <x:v>54051</x:v>
      </x:c>
      <x:c r="B966">
        <x:v>2</x:v>
      </x:c>
      <x:c r="C966">
        <x:v>5</x:v>
      </x:c>
      <x:c r="D966">
        <x:f>ROUND($C966*10*VLOOKUP($B966,Sheet2!$J$5:$K$7,2,FALSE)*VLOOKUP(Sheet1!$A966,Sheet2!$B$5:$H$29,3,FALSE),0)</x:f>
        <x:v>12</x:v>
      </x:c>
      <x:c r="E966">
        <x:f>ROUND($C966*10*VLOOKUP($B966,Sheet2!$J$5:$K$7,2,FALSE)*VLOOKUP(Sheet1!$A966,Sheet2!$B$5:$H$29,4,FALSE),0)</x:f>
        <x:v>36</x:v>
      </x:c>
      <x:c r="F966">
        <x:f>ROUND($C966*10*VLOOKUP($B966,Sheet2!$J$5:$K$7,2,FALSE)*VLOOKUP(Sheet1!$A966,Sheet2!$B$5:$H$29,5,FALSE),0)</x:f>
        <x:v>0</x:v>
      </x:c>
      <x:c r="G966">
        <x:f>ROUND($C966*10*VLOOKUP($B966,Sheet2!$J$5:$K$7,2,FALSE)*VLOOKUP(Sheet1!$A966,Sheet2!$B$5:$H$29,6,FALSE),0)</x:f>
        <x:v>0</x:v>
      </x:c>
      <x:c r="H966">
        <x:f>ROUND($C966*10*VLOOKUP($B966,Sheet2!$J$5:$K$7,2,FALSE)*VLOOKUP(Sheet1!$A966,Sheet2!$B$5:$H$29,7,FALSE),0)</x:f>
        <x:v>0</x:v>
      </x:c>
      <x:c r="I966">
        <x:f t="shared" si="16"/>
        <x:v>570</x:v>
      </x:c>
    </x:row>
    <x:row r="967" spans="1:9" x14ac:dyDescent="0.15">
      <x:c r="A967">
        <x:v>54051</x:v>
      </x:c>
      <x:c r="B967">
        <x:v>2</x:v>
      </x:c>
      <x:c r="C967">
        <x:v>6</x:v>
      </x:c>
      <x:c r="D967">
        <x:f>ROUND($C967*10*VLOOKUP($B967,Sheet2!$J$5:$K$7,2,FALSE)*VLOOKUP(Sheet1!$A967,Sheet2!$B$5:$H$29,3,FALSE),0)</x:f>
        <x:v>14</x:v>
      </x:c>
      <x:c r="E967">
        <x:f>ROUND($C967*10*VLOOKUP($B967,Sheet2!$J$5:$K$7,2,FALSE)*VLOOKUP(Sheet1!$A967,Sheet2!$B$5:$H$29,4,FALSE),0)</x:f>
        <x:v>43</x:v>
      </x:c>
      <x:c r="F967">
        <x:f>ROUND($C967*10*VLOOKUP($B967,Sheet2!$J$5:$K$7,2,FALSE)*VLOOKUP(Sheet1!$A967,Sheet2!$B$5:$H$29,5,FALSE),0)</x:f>
        <x:v>0</x:v>
      </x:c>
      <x:c r="G967">
        <x:f>ROUND($C967*10*VLOOKUP($B967,Sheet2!$J$5:$K$7,2,FALSE)*VLOOKUP(Sheet1!$A967,Sheet2!$B$5:$H$29,6,FALSE),0)</x:f>
        <x:v>0</x:v>
      </x:c>
      <x:c r="H967">
        <x:f>ROUND($C967*10*VLOOKUP($B967,Sheet2!$J$5:$K$7,2,FALSE)*VLOOKUP(Sheet1!$A967,Sheet2!$B$5:$H$29,7,FALSE),0)</x:f>
        <x:v>0</x:v>
      </x:c>
      <x:c r="I967">
        <x:f t="shared" si="16"/>
        <x:v>820</x:v>
      </x:c>
    </x:row>
    <x:row r="968" spans="1:9" x14ac:dyDescent="0.15">
      <x:c r="A968">
        <x:v>54051</x:v>
      </x:c>
      <x:c r="B968">
        <x:v>2</x:v>
      </x:c>
      <x:c r="C968">
        <x:v>7</x:v>
      </x:c>
      <x:c r="D968">
        <x:f>ROUND($C968*10*VLOOKUP($B968,Sheet2!$J$5:$K$7,2,FALSE)*VLOOKUP(Sheet1!$A968,Sheet2!$B$5:$H$29,3,FALSE),0)</x:f>
        <x:v>17</x:v>
      </x:c>
      <x:c r="E968">
        <x:f>ROUND($C968*10*VLOOKUP($B968,Sheet2!$J$5:$K$7,2,FALSE)*VLOOKUP(Sheet1!$A968,Sheet2!$B$5:$H$29,4,FALSE),0)</x:f>
        <x:v>50</x:v>
      </x:c>
      <x:c r="F968">
        <x:f>ROUND($C968*10*VLOOKUP($B968,Sheet2!$J$5:$K$7,2,FALSE)*VLOOKUP(Sheet1!$A968,Sheet2!$B$5:$H$29,5,FALSE),0)</x:f>
        <x:v>0</x:v>
      </x:c>
      <x:c r="G968">
        <x:f>ROUND($C968*10*VLOOKUP($B968,Sheet2!$J$5:$K$7,2,FALSE)*VLOOKUP(Sheet1!$A968,Sheet2!$B$5:$H$29,6,FALSE),0)</x:f>
        <x:v>0</x:v>
      </x:c>
      <x:c r="H968">
        <x:f>ROUND($C968*10*VLOOKUP($B968,Sheet2!$J$5:$K$7,2,FALSE)*VLOOKUP(Sheet1!$A968,Sheet2!$B$5:$H$29,7,FALSE),0)</x:f>
        <x:v>0</x:v>
      </x:c>
      <x:c r="I968">
        <x:f t="shared" si="16"/>
        <x:v>1120</x:v>
      </x:c>
    </x:row>
    <x:row r="969" spans="1:9" x14ac:dyDescent="0.15">
      <x:c r="A969">
        <x:v>54051</x:v>
      </x:c>
      <x:c r="B969">
        <x:v>2</x:v>
      </x:c>
      <x:c r="C969">
        <x:v>8</x:v>
      </x:c>
      <x:c r="D969">
        <x:f>ROUND($C969*10*VLOOKUP($B969,Sheet2!$J$5:$K$7,2,FALSE)*VLOOKUP(Sheet1!$A969,Sheet2!$B$5:$H$29,3,FALSE),0)</x:f>
        <x:v>19</x:v>
      </x:c>
      <x:c r="E969">
        <x:f>ROUND($C969*10*VLOOKUP($B969,Sheet2!$J$5:$K$7,2,FALSE)*VLOOKUP(Sheet1!$A969,Sheet2!$B$5:$H$29,4,FALSE),0)</x:f>
        <x:v>58</x:v>
      </x:c>
      <x:c r="F969">
        <x:f>ROUND($C969*10*VLOOKUP($B969,Sheet2!$J$5:$K$7,2,FALSE)*VLOOKUP(Sheet1!$A969,Sheet2!$B$5:$H$29,5,FALSE),0)</x:f>
        <x:v>0</x:v>
      </x:c>
      <x:c r="G969">
        <x:f>ROUND($C969*10*VLOOKUP($B969,Sheet2!$J$5:$K$7,2,FALSE)*VLOOKUP(Sheet1!$A969,Sheet2!$B$5:$H$29,6,FALSE),0)</x:f>
        <x:v>0</x:v>
      </x:c>
      <x:c r="H969">
        <x:f>ROUND($C969*10*VLOOKUP($B969,Sheet2!$J$5:$K$7,2,FALSE)*VLOOKUP(Sheet1!$A969,Sheet2!$B$5:$H$29,7,FALSE),0)</x:f>
        <x:v>0</x:v>
      </x:c>
      <x:c r="I969">
        <x:f t="shared" si="16"/>
        <x:v>1450</x:v>
      </x:c>
    </x:row>
    <x:row r="970" spans="1:9" x14ac:dyDescent="0.15">
      <x:c r="A970">
        <x:v>54051</x:v>
      </x:c>
      <x:c r="B970">
        <x:v>2</x:v>
      </x:c>
      <x:c r="C970">
        <x:v>9</x:v>
      </x:c>
      <x:c r="D970">
        <x:f>ROUND($C970*10*VLOOKUP($B970,Sheet2!$J$5:$K$7,2,FALSE)*VLOOKUP(Sheet1!$A970,Sheet2!$B$5:$H$29,3,FALSE),0)</x:f>
        <x:v>22</x:v>
      </x:c>
      <x:c r="E970">
        <x:f>ROUND($C970*10*VLOOKUP($B970,Sheet2!$J$5:$K$7,2,FALSE)*VLOOKUP(Sheet1!$A970,Sheet2!$B$5:$H$29,4,FALSE),0)</x:f>
        <x:v>65</x:v>
      </x:c>
      <x:c r="F970">
        <x:f>ROUND($C970*10*VLOOKUP($B970,Sheet2!$J$5:$K$7,2,FALSE)*VLOOKUP(Sheet1!$A970,Sheet2!$B$5:$H$29,5,FALSE),0)</x:f>
        <x:v>0</x:v>
      </x:c>
      <x:c r="G970">
        <x:f>ROUND($C970*10*VLOOKUP($B970,Sheet2!$J$5:$K$7,2,FALSE)*VLOOKUP(Sheet1!$A970,Sheet2!$B$5:$H$29,6,FALSE),0)</x:f>
        <x:v>0</x:v>
      </x:c>
      <x:c r="H970">
        <x:f>ROUND($C970*10*VLOOKUP($B970,Sheet2!$J$5:$K$7,2,FALSE)*VLOOKUP(Sheet1!$A970,Sheet2!$B$5:$H$29,7,FALSE),0)</x:f>
        <x:v>0</x:v>
      </x:c>
      <x:c r="I970">
        <x:f t="shared" si="16"/>
        <x:v>1830</x:v>
      </x:c>
    </x:row>
    <x:row r="971" spans="1:9" x14ac:dyDescent="0.15">
      <x:c r="A971">
        <x:v>54051</x:v>
      </x:c>
      <x:c r="B971">
        <x:v>2</x:v>
      </x:c>
      <x:c r="C971">
        <x:v>10</x:v>
      </x:c>
      <x:c r="D971">
        <x:f>ROUND($C971*10*VLOOKUP($B971,Sheet2!$J$5:$K$7,2,FALSE)*VLOOKUP(Sheet1!$A971,Sheet2!$B$5:$H$29,3,FALSE),0)</x:f>
        <x:v>24</x:v>
      </x:c>
      <x:c r="E971">
        <x:f>ROUND($C971*10*VLOOKUP($B971,Sheet2!$J$5:$K$7,2,FALSE)*VLOOKUP(Sheet1!$A971,Sheet2!$B$5:$H$29,4,FALSE),0)</x:f>
        <x:v>72</x:v>
      </x:c>
      <x:c r="F971">
        <x:f>ROUND($C971*10*VLOOKUP($B971,Sheet2!$J$5:$K$7,2,FALSE)*VLOOKUP(Sheet1!$A971,Sheet2!$B$5:$H$29,5,FALSE),0)</x:f>
        <x:v>0</x:v>
      </x:c>
      <x:c r="G971">
        <x:f>ROUND($C971*10*VLOOKUP($B971,Sheet2!$J$5:$K$7,2,FALSE)*VLOOKUP(Sheet1!$A971,Sheet2!$B$5:$H$29,6,FALSE),0)</x:f>
        <x:v>0</x:v>
      </x:c>
      <x:c r="H971">
        <x:f>ROUND($C971*10*VLOOKUP($B971,Sheet2!$J$5:$K$7,2,FALSE)*VLOOKUP(Sheet1!$A971,Sheet2!$B$5:$H$29,7,FALSE),0)</x:f>
        <x:v>0</x:v>
      </x:c>
      <x:c r="I971">
        <x:f t="shared" si="16"/>
        <x:v>2250</x:v>
      </x:c>
    </x:row>
    <x:row r="972" spans="1:9" x14ac:dyDescent="0.15">
      <x:c r="A972">
        <x:v>54051</x:v>
      </x:c>
      <x:c r="B972">
        <x:v>2</x:v>
      </x:c>
      <x:c r="C972">
        <x:v>11</x:v>
      </x:c>
      <x:c r="D972">
        <x:f>ROUND($C972*10*VLOOKUP($B972,Sheet2!$J$5:$K$7,2,FALSE)*VLOOKUP(Sheet1!$A972,Sheet2!$B$5:$H$29,3,FALSE),0)</x:f>
        <x:v>26</x:v>
      </x:c>
      <x:c r="E972">
        <x:f>ROUND($C972*10*VLOOKUP($B972,Sheet2!$J$5:$K$7,2,FALSE)*VLOOKUP(Sheet1!$A972,Sheet2!$B$5:$H$29,4,FALSE),0)</x:f>
        <x:v>79</x:v>
      </x:c>
      <x:c r="F972">
        <x:f>ROUND($C972*10*VLOOKUP($B972,Sheet2!$J$5:$K$7,2,FALSE)*VLOOKUP(Sheet1!$A972,Sheet2!$B$5:$H$29,5,FALSE),0)</x:f>
        <x:v>0</x:v>
      </x:c>
      <x:c r="G972">
        <x:f>ROUND($C972*10*VLOOKUP($B972,Sheet2!$J$5:$K$7,2,FALSE)*VLOOKUP(Sheet1!$A972,Sheet2!$B$5:$H$29,6,FALSE),0)</x:f>
        <x:v>0</x:v>
      </x:c>
      <x:c r="H972">
        <x:f>ROUND($C972*10*VLOOKUP($B972,Sheet2!$J$5:$K$7,2,FALSE)*VLOOKUP(Sheet1!$A972,Sheet2!$B$5:$H$29,7,FALSE),0)</x:f>
        <x:v>0</x:v>
      </x:c>
      <x:c r="I972">
        <x:f t="shared" si="16"/>
        <x:v>2710</x:v>
      </x:c>
    </x:row>
    <x:row r="973" spans="1:9" x14ac:dyDescent="0.15">
      <x:c r="A973">
        <x:v>54051</x:v>
      </x:c>
      <x:c r="B973">
        <x:v>2</x:v>
      </x:c>
      <x:c r="C973">
        <x:v>12</x:v>
      </x:c>
      <x:c r="D973">
        <x:f>ROUND($C973*10*VLOOKUP($B973,Sheet2!$J$5:$K$7,2,FALSE)*VLOOKUP(Sheet1!$A973,Sheet2!$B$5:$H$29,3,FALSE),0)</x:f>
        <x:v>29</x:v>
      </x:c>
      <x:c r="E973">
        <x:f>ROUND($C973*10*VLOOKUP($B973,Sheet2!$J$5:$K$7,2,FALSE)*VLOOKUP(Sheet1!$A973,Sheet2!$B$5:$H$29,4,FALSE),0)</x:f>
        <x:v>86</x:v>
      </x:c>
      <x:c r="F973">
        <x:f>ROUND($C973*10*VLOOKUP($B973,Sheet2!$J$5:$K$7,2,FALSE)*VLOOKUP(Sheet1!$A973,Sheet2!$B$5:$H$29,5,FALSE),0)</x:f>
        <x:v>0</x:v>
      </x:c>
      <x:c r="G973">
        <x:f>ROUND($C973*10*VLOOKUP($B973,Sheet2!$J$5:$K$7,2,FALSE)*VLOOKUP(Sheet1!$A973,Sheet2!$B$5:$H$29,6,FALSE),0)</x:f>
        <x:v>0</x:v>
      </x:c>
      <x:c r="H973">
        <x:f>ROUND($C973*10*VLOOKUP($B973,Sheet2!$J$5:$K$7,2,FALSE)*VLOOKUP(Sheet1!$A973,Sheet2!$B$5:$H$29,7,FALSE),0)</x:f>
        <x:v>0</x:v>
      </x:c>
      <x:c r="I973">
        <x:f t="shared" si="16"/>
        <x:v>3210</x:v>
      </x:c>
    </x:row>
    <x:row r="974" spans="1:9" x14ac:dyDescent="0.15">
      <x:c r="A974">
        <x:v>54051</x:v>
      </x:c>
      <x:c r="B974">
        <x:v>2</x:v>
      </x:c>
      <x:c r="C974">
        <x:v>13</x:v>
      </x:c>
      <x:c r="D974">
        <x:f>ROUND($C974*10*VLOOKUP($B974,Sheet2!$J$5:$K$7,2,FALSE)*VLOOKUP(Sheet1!$A974,Sheet2!$B$5:$H$29,3,FALSE),0)</x:f>
        <x:v>31</x:v>
      </x:c>
      <x:c r="E974">
        <x:f>ROUND($C974*10*VLOOKUP($B974,Sheet2!$J$5:$K$7,2,FALSE)*VLOOKUP(Sheet1!$A974,Sheet2!$B$5:$H$29,4,FALSE),0)</x:f>
        <x:v>94</x:v>
      </x:c>
      <x:c r="F974">
        <x:f>ROUND($C974*10*VLOOKUP($B974,Sheet2!$J$5:$K$7,2,FALSE)*VLOOKUP(Sheet1!$A974,Sheet2!$B$5:$H$29,5,FALSE),0)</x:f>
        <x:v>0</x:v>
      </x:c>
      <x:c r="G974">
        <x:f>ROUND($C974*10*VLOOKUP($B974,Sheet2!$J$5:$K$7,2,FALSE)*VLOOKUP(Sheet1!$A974,Sheet2!$B$5:$H$29,6,FALSE),0)</x:f>
        <x:v>0</x:v>
      </x:c>
      <x:c r="H974">
        <x:f>ROUND($C974*10*VLOOKUP($B974,Sheet2!$J$5:$K$7,2,FALSE)*VLOOKUP(Sheet1!$A974,Sheet2!$B$5:$H$29,7,FALSE),0)</x:f>
        <x:v>0</x:v>
      </x:c>
      <x:c r="I974">
        <x:f t="shared" si="16"/>
        <x:v>3740</x:v>
      </x:c>
    </x:row>
    <x:row r="975" spans="1:9" x14ac:dyDescent="0.15">
      <x:c r="A975">
        <x:v>54051</x:v>
      </x:c>
      <x:c r="B975">
        <x:v>2</x:v>
      </x:c>
      <x:c r="C975">
        <x:v>14</x:v>
      </x:c>
      <x:c r="D975">
        <x:f>ROUND($C975*10*VLOOKUP($B975,Sheet2!$J$5:$K$7,2,FALSE)*VLOOKUP(Sheet1!$A975,Sheet2!$B$5:$H$29,3,FALSE),0)</x:f>
        <x:v>34</x:v>
      </x:c>
      <x:c r="E975">
        <x:f>ROUND($C975*10*VLOOKUP($B975,Sheet2!$J$5:$K$7,2,FALSE)*VLOOKUP(Sheet1!$A975,Sheet2!$B$5:$H$29,4,FALSE),0)</x:f>
        <x:v>101</x:v>
      </x:c>
      <x:c r="F975">
        <x:f>ROUND($C975*10*VLOOKUP($B975,Sheet2!$J$5:$K$7,2,FALSE)*VLOOKUP(Sheet1!$A975,Sheet2!$B$5:$H$29,5,FALSE),0)</x:f>
        <x:v>0</x:v>
      </x:c>
      <x:c r="G975">
        <x:f>ROUND($C975*10*VLOOKUP($B975,Sheet2!$J$5:$K$7,2,FALSE)*VLOOKUP(Sheet1!$A975,Sheet2!$B$5:$H$29,6,FALSE),0)</x:f>
        <x:v>0</x:v>
      </x:c>
      <x:c r="H975">
        <x:f>ROUND($C975*10*VLOOKUP($B975,Sheet2!$J$5:$K$7,2,FALSE)*VLOOKUP(Sheet1!$A975,Sheet2!$B$5:$H$29,7,FALSE),0)</x:f>
        <x:v>0</x:v>
      </x:c>
      <x:c r="I975">
        <x:f t="shared" si="16"/>
        <x:v>4310</x:v>
      </x:c>
    </x:row>
    <x:row r="976" spans="1:9" x14ac:dyDescent="0.15">
      <x:c r="A976">
        <x:v>54051</x:v>
      </x:c>
      <x:c r="B976">
        <x:v>2</x:v>
      </x:c>
      <x:c r="C976">
        <x:v>15</x:v>
      </x:c>
      <x:c r="D976">
        <x:f>ROUND($C976*10*VLOOKUP($B976,Sheet2!$J$5:$K$7,2,FALSE)*VLOOKUP(Sheet1!$A976,Sheet2!$B$5:$H$29,3,FALSE),0)</x:f>
        <x:v>36</x:v>
      </x:c>
      <x:c r="E976">
        <x:f>ROUND($C976*10*VLOOKUP($B976,Sheet2!$J$5:$K$7,2,FALSE)*VLOOKUP(Sheet1!$A976,Sheet2!$B$5:$H$29,4,FALSE),0)</x:f>
        <x:v>108</x:v>
      </x:c>
      <x:c r="F976">
        <x:f>ROUND($C976*10*VLOOKUP($B976,Sheet2!$J$5:$K$7,2,FALSE)*VLOOKUP(Sheet1!$A976,Sheet2!$B$5:$H$29,5,FALSE),0)</x:f>
        <x:v>0</x:v>
      </x:c>
      <x:c r="G976">
        <x:f>ROUND($C976*10*VLOOKUP($B976,Sheet2!$J$5:$K$7,2,FALSE)*VLOOKUP(Sheet1!$A976,Sheet2!$B$5:$H$29,6,FALSE),0)</x:f>
        <x:v>0</x:v>
      </x:c>
      <x:c r="H976">
        <x:f>ROUND($C976*10*VLOOKUP($B976,Sheet2!$J$5:$K$7,2,FALSE)*VLOOKUP(Sheet1!$A976,Sheet2!$B$5:$H$29,7,FALSE),0)</x:f>
        <x:v>0</x:v>
      </x:c>
      <x:c r="I976">
        <x:f t="shared" si="16"/>
        <x:v>4920</x:v>
      </x:c>
    </x:row>
    <x:row r="977" spans="1:9" x14ac:dyDescent="0.15">
      <x:c r="A977">
        <x:v>54051</x:v>
      </x:c>
      <x:c r="B977">
        <x:v>2</x:v>
      </x:c>
      <x:c r="C977">
        <x:v>16</x:v>
      </x:c>
      <x:c r="D977">
        <x:f>ROUND($C977*10*VLOOKUP($B977,Sheet2!$J$5:$K$7,2,FALSE)*VLOOKUP(Sheet1!$A977,Sheet2!$B$5:$H$29,3,FALSE),0)</x:f>
        <x:v>38</x:v>
      </x:c>
      <x:c r="E977">
        <x:f>ROUND($C977*10*VLOOKUP($B977,Sheet2!$J$5:$K$7,2,FALSE)*VLOOKUP(Sheet1!$A977,Sheet2!$B$5:$H$29,4,FALSE),0)</x:f>
        <x:v>115</x:v>
      </x:c>
      <x:c r="F977">
        <x:f>ROUND($C977*10*VLOOKUP($B977,Sheet2!$J$5:$K$7,2,FALSE)*VLOOKUP(Sheet1!$A977,Sheet2!$B$5:$H$29,5,FALSE),0)</x:f>
        <x:v>0</x:v>
      </x:c>
      <x:c r="G977">
        <x:f>ROUND($C977*10*VLOOKUP($B977,Sheet2!$J$5:$K$7,2,FALSE)*VLOOKUP(Sheet1!$A977,Sheet2!$B$5:$H$29,6,FALSE),0)</x:f>
        <x:v>0</x:v>
      </x:c>
      <x:c r="H977">
        <x:f>ROUND($C977*10*VLOOKUP($B977,Sheet2!$J$5:$K$7,2,FALSE)*VLOOKUP(Sheet1!$A977,Sheet2!$B$5:$H$29,7,FALSE),0)</x:f>
        <x:v>0</x:v>
      </x:c>
      <x:c r="I977">
        <x:f t="shared" si="16"/>
        <x:v>5560</x:v>
      </x:c>
    </x:row>
    <x:row r="978" spans="1:9" x14ac:dyDescent="0.15">
      <x:c r="A978">
        <x:v>54051</x:v>
      </x:c>
      <x:c r="B978">
        <x:v>2</x:v>
      </x:c>
      <x:c r="C978">
        <x:v>17</x:v>
      </x:c>
      <x:c r="D978">
        <x:f>ROUND($C978*10*VLOOKUP($B978,Sheet2!$J$5:$K$7,2,FALSE)*VLOOKUP(Sheet1!$A978,Sheet2!$B$5:$H$29,3,FALSE),0)</x:f>
        <x:v>41</x:v>
      </x:c>
      <x:c r="E978">
        <x:f>ROUND($C978*10*VLOOKUP($B978,Sheet2!$J$5:$K$7,2,FALSE)*VLOOKUP(Sheet1!$A978,Sheet2!$B$5:$H$29,4,FALSE),0)</x:f>
        <x:v>122</x:v>
      </x:c>
      <x:c r="F978">
        <x:f>ROUND($C978*10*VLOOKUP($B978,Sheet2!$J$5:$K$7,2,FALSE)*VLOOKUP(Sheet1!$A978,Sheet2!$B$5:$H$29,5,FALSE),0)</x:f>
        <x:v>0</x:v>
      </x:c>
      <x:c r="G978">
        <x:f>ROUND($C978*10*VLOOKUP($B978,Sheet2!$J$5:$K$7,2,FALSE)*VLOOKUP(Sheet1!$A978,Sheet2!$B$5:$H$29,6,FALSE),0)</x:f>
        <x:v>0</x:v>
      </x:c>
      <x:c r="H978">
        <x:f>ROUND($C978*10*VLOOKUP($B978,Sheet2!$J$5:$K$7,2,FALSE)*VLOOKUP(Sheet1!$A978,Sheet2!$B$5:$H$29,7,FALSE),0)</x:f>
        <x:v>0</x:v>
      </x:c>
      <x:c r="I978">
        <x:f t="shared" si="16"/>
        <x:v>6240</x:v>
      </x:c>
    </x:row>
    <x:row r="979" spans="1:9" x14ac:dyDescent="0.15">
      <x:c r="A979">
        <x:v>54051</x:v>
      </x:c>
      <x:c r="B979">
        <x:v>2</x:v>
      </x:c>
      <x:c r="C979">
        <x:v>18</x:v>
      </x:c>
      <x:c r="D979">
        <x:f>ROUND($C979*10*VLOOKUP($B979,Sheet2!$J$5:$K$7,2,FALSE)*VLOOKUP(Sheet1!$A979,Sheet2!$B$5:$H$29,3,FALSE),0)</x:f>
        <x:v>43</x:v>
      </x:c>
      <x:c r="E979">
        <x:f>ROUND($C979*10*VLOOKUP($B979,Sheet2!$J$5:$K$7,2,FALSE)*VLOOKUP(Sheet1!$A979,Sheet2!$B$5:$H$29,4,FALSE),0)</x:f>
        <x:v>130</x:v>
      </x:c>
      <x:c r="F979">
        <x:f>ROUND($C979*10*VLOOKUP($B979,Sheet2!$J$5:$K$7,2,FALSE)*VLOOKUP(Sheet1!$A979,Sheet2!$B$5:$H$29,5,FALSE),0)</x:f>
        <x:v>0</x:v>
      </x:c>
      <x:c r="G979">
        <x:f>ROUND($C979*10*VLOOKUP($B979,Sheet2!$J$5:$K$7,2,FALSE)*VLOOKUP(Sheet1!$A979,Sheet2!$B$5:$H$29,6,FALSE),0)</x:f>
        <x:v>0</x:v>
      </x:c>
      <x:c r="H979">
        <x:f>ROUND($C979*10*VLOOKUP($B979,Sheet2!$J$5:$K$7,2,FALSE)*VLOOKUP(Sheet1!$A979,Sheet2!$B$5:$H$29,7,FALSE),0)</x:f>
        <x:v>0</x:v>
      </x:c>
      <x:c r="I979">
        <x:f t="shared" si="16"/>
        <x:v>6950</x:v>
      </x:c>
    </x:row>
    <x:row r="980" spans="1:9" x14ac:dyDescent="0.15">
      <x:c r="A980">
        <x:v>54051</x:v>
      </x:c>
      <x:c r="B980">
        <x:v>2</x:v>
      </x:c>
      <x:c r="C980">
        <x:v>19</x:v>
      </x:c>
      <x:c r="D980">
        <x:f>ROUND($C980*10*VLOOKUP($B980,Sheet2!$J$5:$K$7,2,FALSE)*VLOOKUP(Sheet1!$A980,Sheet2!$B$5:$H$29,3,FALSE),0)</x:f>
        <x:v>46</x:v>
      </x:c>
      <x:c r="E980">
        <x:f>ROUND($C980*10*VLOOKUP($B980,Sheet2!$J$5:$K$7,2,FALSE)*VLOOKUP(Sheet1!$A980,Sheet2!$B$5:$H$29,4,FALSE),0)</x:f>
        <x:v>137</x:v>
      </x:c>
      <x:c r="F980">
        <x:f>ROUND($C980*10*VLOOKUP($B980,Sheet2!$J$5:$K$7,2,FALSE)*VLOOKUP(Sheet1!$A980,Sheet2!$B$5:$H$29,5,FALSE),0)</x:f>
        <x:v>0</x:v>
      </x:c>
      <x:c r="G980">
        <x:f>ROUND($C980*10*VLOOKUP($B980,Sheet2!$J$5:$K$7,2,FALSE)*VLOOKUP(Sheet1!$A980,Sheet2!$B$5:$H$29,6,FALSE),0)</x:f>
        <x:v>0</x:v>
      </x:c>
      <x:c r="H980">
        <x:f>ROUND($C980*10*VLOOKUP($B980,Sheet2!$J$5:$K$7,2,FALSE)*VLOOKUP(Sheet1!$A980,Sheet2!$B$5:$H$29,7,FALSE),0)</x:f>
        <x:v>0</x:v>
      </x:c>
      <x:c r="I980">
        <x:f t="shared" si="16"/>
        <x:v>7690</x:v>
      </x:c>
    </x:row>
    <x:row r="981" spans="1:9" x14ac:dyDescent="0.15">
      <x:c r="A981">
        <x:v>54051</x:v>
      </x:c>
      <x:c r="B981">
        <x:v>2</x:v>
      </x:c>
      <x:c r="C981">
        <x:v>20</x:v>
      </x:c>
      <x:c r="D981">
        <x:f>ROUND($C981*10*VLOOKUP($B981,Sheet2!$J$5:$K$7,2,FALSE)*VLOOKUP(Sheet1!$A981,Sheet2!$B$5:$H$29,3,FALSE),0)</x:f>
        <x:v>48</x:v>
      </x:c>
      <x:c r="E981">
        <x:f>ROUND($C981*10*VLOOKUP($B981,Sheet2!$J$5:$K$7,2,FALSE)*VLOOKUP(Sheet1!$A981,Sheet2!$B$5:$H$29,4,FALSE),0)</x:f>
        <x:v>144</x:v>
      </x:c>
      <x:c r="F981">
        <x:f>ROUND($C981*10*VLOOKUP($B981,Sheet2!$J$5:$K$7,2,FALSE)*VLOOKUP(Sheet1!$A981,Sheet2!$B$5:$H$29,5,FALSE),0)</x:f>
        <x:v>0</x:v>
      </x:c>
      <x:c r="G981">
        <x:f>ROUND($C981*10*VLOOKUP($B981,Sheet2!$J$5:$K$7,2,FALSE)*VLOOKUP(Sheet1!$A981,Sheet2!$B$5:$H$29,6,FALSE),0)</x:f>
        <x:v>0</x:v>
      </x:c>
      <x:c r="H981">
        <x:f>ROUND($C981*10*VLOOKUP($B981,Sheet2!$J$5:$K$7,2,FALSE)*VLOOKUP(Sheet1!$A981,Sheet2!$B$5:$H$29,7,FALSE),0)</x:f>
        <x:v>0</x:v>
      </x:c>
      <x:c r="I981">
        <x:f t="shared" si="16"/>
        <x:v>8470</x:v>
      </x:c>
    </x:row>
    <x:row r="982" spans="1:9" x14ac:dyDescent="0.15">
      <x:c r="A982">
        <x:v>54051</x:v>
      </x:c>
      <x:c r="B982">
        <x:v>2</x:v>
      </x:c>
      <x:c r="C982">
        <x:v>21</x:v>
      </x:c>
      <x:c r="D982">
        <x:f>ROUND($C982*10*VLOOKUP($B982,Sheet2!$J$5:$K$7,2,FALSE)*VLOOKUP(Sheet1!$A982,Sheet2!$B$5:$H$29,3,FALSE),0)</x:f>
        <x:v>50</x:v>
      </x:c>
      <x:c r="E982">
        <x:f>ROUND($C982*10*VLOOKUP($B982,Sheet2!$J$5:$K$7,2,FALSE)*VLOOKUP(Sheet1!$A982,Sheet2!$B$5:$H$29,4,FALSE),0)</x:f>
        <x:v>151</x:v>
      </x:c>
      <x:c r="F982">
        <x:f>ROUND($C982*10*VLOOKUP($B982,Sheet2!$J$5:$K$7,2,FALSE)*VLOOKUP(Sheet1!$A982,Sheet2!$B$5:$H$29,5,FALSE),0)</x:f>
        <x:v>0</x:v>
      </x:c>
      <x:c r="G982">
        <x:f>ROUND($C982*10*VLOOKUP($B982,Sheet2!$J$5:$K$7,2,FALSE)*VLOOKUP(Sheet1!$A982,Sheet2!$B$5:$H$29,6,FALSE),0)</x:f>
        <x:v>0</x:v>
      </x:c>
      <x:c r="H982">
        <x:f>ROUND($C982*10*VLOOKUP($B982,Sheet2!$J$5:$K$7,2,FALSE)*VLOOKUP(Sheet1!$A982,Sheet2!$B$5:$H$29,7,FALSE),0)</x:f>
        <x:v>0</x:v>
      </x:c>
      <x:c r="I982">
        <x:f t="shared" si="16"/>
        <x:v>9290</x:v>
      </x:c>
    </x:row>
    <x:row r="983" spans="1:9" x14ac:dyDescent="0.15">
      <x:c r="A983">
        <x:v>54051</x:v>
      </x:c>
      <x:c r="B983">
        <x:v>2</x:v>
      </x:c>
      <x:c r="C983">
        <x:v>22</x:v>
      </x:c>
      <x:c r="D983">
        <x:f>ROUND($C983*10*VLOOKUP($B983,Sheet2!$J$5:$K$7,2,FALSE)*VLOOKUP(Sheet1!$A983,Sheet2!$B$5:$H$29,3,FALSE),0)</x:f>
        <x:v>53</x:v>
      </x:c>
      <x:c r="E983">
        <x:f>ROUND($C983*10*VLOOKUP($B983,Sheet2!$J$5:$K$7,2,FALSE)*VLOOKUP(Sheet1!$A983,Sheet2!$B$5:$H$29,4,FALSE),0)</x:f>
        <x:v>158</x:v>
      </x:c>
      <x:c r="F983">
        <x:f>ROUND($C983*10*VLOOKUP($B983,Sheet2!$J$5:$K$7,2,FALSE)*VLOOKUP(Sheet1!$A983,Sheet2!$B$5:$H$29,5,FALSE),0)</x:f>
        <x:v>0</x:v>
      </x:c>
      <x:c r="G983">
        <x:f>ROUND($C983*10*VLOOKUP($B983,Sheet2!$J$5:$K$7,2,FALSE)*VLOOKUP(Sheet1!$A983,Sheet2!$B$5:$H$29,6,FALSE),0)</x:f>
        <x:v>0</x:v>
      </x:c>
      <x:c r="H983">
        <x:f>ROUND($C983*10*VLOOKUP($B983,Sheet2!$J$5:$K$7,2,FALSE)*VLOOKUP(Sheet1!$A983,Sheet2!$B$5:$H$29,7,FALSE),0)</x:f>
        <x:v>0</x:v>
      </x:c>
      <x:c r="I983">
        <x:f t="shared" si="16"/>
        <x:v>10130</x:v>
      </x:c>
    </x:row>
    <x:row r="984" spans="1:9" x14ac:dyDescent="0.15">
      <x:c r="A984">
        <x:v>54051</x:v>
      </x:c>
      <x:c r="B984">
        <x:v>2</x:v>
      </x:c>
      <x:c r="C984">
        <x:v>23</x:v>
      </x:c>
      <x:c r="D984">
        <x:f>ROUND($C984*10*VLOOKUP($B984,Sheet2!$J$5:$K$7,2,FALSE)*VLOOKUP(Sheet1!$A984,Sheet2!$B$5:$H$29,3,FALSE),0)</x:f>
        <x:v>55</x:v>
      </x:c>
      <x:c r="E984">
        <x:f>ROUND($C984*10*VLOOKUP($B984,Sheet2!$J$5:$K$7,2,FALSE)*VLOOKUP(Sheet1!$A984,Sheet2!$B$5:$H$29,4,FALSE),0)</x:f>
        <x:v>166</x:v>
      </x:c>
      <x:c r="F984">
        <x:f>ROUND($C984*10*VLOOKUP($B984,Sheet2!$J$5:$K$7,2,FALSE)*VLOOKUP(Sheet1!$A984,Sheet2!$B$5:$H$29,5,FALSE),0)</x:f>
        <x:v>0</x:v>
      </x:c>
      <x:c r="G984">
        <x:f>ROUND($C984*10*VLOOKUP($B984,Sheet2!$J$5:$K$7,2,FALSE)*VLOOKUP(Sheet1!$A984,Sheet2!$B$5:$H$29,6,FALSE),0)</x:f>
        <x:v>0</x:v>
      </x:c>
      <x:c r="H984">
        <x:f>ROUND($C984*10*VLOOKUP($B984,Sheet2!$J$5:$K$7,2,FALSE)*VLOOKUP(Sheet1!$A984,Sheet2!$B$5:$H$29,7,FALSE),0)</x:f>
        <x:v>0</x:v>
      </x:c>
      <x:c r="I984">
        <x:f t="shared" si="16"/>
        <x:v>11010</x:v>
      </x:c>
    </x:row>
    <x:row r="985" spans="1:9" x14ac:dyDescent="0.15">
      <x:c r="A985">
        <x:v>54051</x:v>
      </x:c>
      <x:c r="B985">
        <x:v>2</x:v>
      </x:c>
      <x:c r="C985">
        <x:v>24</x:v>
      </x:c>
      <x:c r="D985">
        <x:f>ROUND($C985*10*VLOOKUP($B985,Sheet2!$J$5:$K$7,2,FALSE)*VLOOKUP(Sheet1!$A985,Sheet2!$B$5:$H$29,3,FALSE),0)</x:f>
        <x:v>58</x:v>
      </x:c>
      <x:c r="E985">
        <x:f>ROUND($C985*10*VLOOKUP($B985,Sheet2!$J$5:$K$7,2,FALSE)*VLOOKUP(Sheet1!$A985,Sheet2!$B$5:$H$29,4,FALSE),0)</x:f>
        <x:v>173</x:v>
      </x:c>
      <x:c r="F985">
        <x:f>ROUND($C985*10*VLOOKUP($B985,Sheet2!$J$5:$K$7,2,FALSE)*VLOOKUP(Sheet1!$A985,Sheet2!$B$5:$H$29,5,FALSE),0)</x:f>
        <x:v>0</x:v>
      </x:c>
      <x:c r="G985">
        <x:f>ROUND($C985*10*VLOOKUP($B985,Sheet2!$J$5:$K$7,2,FALSE)*VLOOKUP(Sheet1!$A985,Sheet2!$B$5:$H$29,6,FALSE),0)</x:f>
        <x:v>0</x:v>
      </x:c>
      <x:c r="H985">
        <x:f>ROUND($C985*10*VLOOKUP($B985,Sheet2!$J$5:$K$7,2,FALSE)*VLOOKUP(Sheet1!$A985,Sheet2!$B$5:$H$29,7,FALSE),0)</x:f>
        <x:v>0</x:v>
      </x:c>
      <x:c r="I985">
        <x:f t="shared" si="16"/>
        <x:v>11930</x:v>
      </x:c>
    </x:row>
    <x:row r="986" spans="1:9" x14ac:dyDescent="0.15">
      <x:c r="A986">
        <x:v>54051</x:v>
      </x:c>
      <x:c r="B986">
        <x:v>2</x:v>
      </x:c>
      <x:c r="C986">
        <x:v>25</x:v>
      </x:c>
      <x:c r="D986">
        <x:f>ROUND($C986*10*VLOOKUP($B986,Sheet2!$J$5:$K$7,2,FALSE)*VLOOKUP(Sheet1!$A986,Sheet2!$B$5:$H$29,3,FALSE),0)</x:f>
        <x:v>60</x:v>
      </x:c>
      <x:c r="E986">
        <x:f>ROUND($C986*10*VLOOKUP($B986,Sheet2!$J$5:$K$7,2,FALSE)*VLOOKUP(Sheet1!$A986,Sheet2!$B$5:$H$29,4,FALSE),0)</x:f>
        <x:v>180</x:v>
      </x:c>
      <x:c r="F986">
        <x:f>ROUND($C986*10*VLOOKUP($B986,Sheet2!$J$5:$K$7,2,FALSE)*VLOOKUP(Sheet1!$A986,Sheet2!$B$5:$H$29,5,FALSE),0)</x:f>
        <x:v>0</x:v>
      </x:c>
      <x:c r="G986">
        <x:f>ROUND($C986*10*VLOOKUP($B986,Sheet2!$J$5:$K$7,2,FALSE)*VLOOKUP(Sheet1!$A986,Sheet2!$B$5:$H$29,6,FALSE),0)</x:f>
        <x:v>0</x:v>
      </x:c>
      <x:c r="H986">
        <x:f>ROUND($C986*10*VLOOKUP($B986,Sheet2!$J$5:$K$7,2,FALSE)*VLOOKUP(Sheet1!$A986,Sheet2!$B$5:$H$29,7,FALSE),0)</x:f>
        <x:v>0</x:v>
      </x:c>
      <x:c r="I986">
        <x:f t="shared" si="16"/>
        <x:v>12870</x:v>
      </x:c>
    </x:row>
    <x:row r="987" spans="1:9" x14ac:dyDescent="0.15">
      <x:c r="A987">
        <x:v>54051</x:v>
      </x:c>
      <x:c r="B987">
        <x:v>2</x:v>
      </x:c>
      <x:c r="C987">
        <x:v>26</x:v>
      </x:c>
      <x:c r="D987">
        <x:f>ROUND($C987*10*VLOOKUP($B987,Sheet2!$J$5:$K$7,2,FALSE)*VLOOKUP(Sheet1!$A987,Sheet2!$B$5:$H$29,3,FALSE),0)</x:f>
        <x:v>62</x:v>
      </x:c>
      <x:c r="E987">
        <x:f>ROUND($C987*10*VLOOKUP($B987,Sheet2!$J$5:$K$7,2,FALSE)*VLOOKUP(Sheet1!$A987,Sheet2!$B$5:$H$29,4,FALSE),0)</x:f>
        <x:v>187</x:v>
      </x:c>
      <x:c r="F987">
        <x:f>ROUND($C987*10*VLOOKUP($B987,Sheet2!$J$5:$K$7,2,FALSE)*VLOOKUP(Sheet1!$A987,Sheet2!$B$5:$H$29,5,FALSE),0)</x:f>
        <x:v>0</x:v>
      </x:c>
      <x:c r="G987">
        <x:f>ROUND($C987*10*VLOOKUP($B987,Sheet2!$J$5:$K$7,2,FALSE)*VLOOKUP(Sheet1!$A987,Sheet2!$B$5:$H$29,6,FALSE),0)</x:f>
        <x:v>0</x:v>
      </x:c>
      <x:c r="H987">
        <x:f>ROUND($C987*10*VLOOKUP($B987,Sheet2!$J$5:$K$7,2,FALSE)*VLOOKUP(Sheet1!$A987,Sheet2!$B$5:$H$29,7,FALSE),0)</x:f>
        <x:v>0</x:v>
      </x:c>
      <x:c r="I987">
        <x:f t="shared" si="16"/>
        <x:v>13850</x:v>
      </x:c>
    </x:row>
    <x:row r="988" spans="1:9" x14ac:dyDescent="0.15">
      <x:c r="A988">
        <x:v>54051</x:v>
      </x:c>
      <x:c r="B988">
        <x:v>2</x:v>
      </x:c>
      <x:c r="C988">
        <x:v>27</x:v>
      </x:c>
      <x:c r="D988">
        <x:f>ROUND($C988*10*VLOOKUP($B988,Sheet2!$J$5:$K$7,2,FALSE)*VLOOKUP(Sheet1!$A988,Sheet2!$B$5:$H$29,3,FALSE),0)</x:f>
        <x:v>65</x:v>
      </x:c>
      <x:c r="E988">
        <x:f>ROUND($C988*10*VLOOKUP($B988,Sheet2!$J$5:$K$7,2,FALSE)*VLOOKUP(Sheet1!$A988,Sheet2!$B$5:$H$29,4,FALSE),0)</x:f>
        <x:v>194</x:v>
      </x:c>
      <x:c r="F988">
        <x:f>ROUND($C988*10*VLOOKUP($B988,Sheet2!$J$5:$K$7,2,FALSE)*VLOOKUP(Sheet1!$A988,Sheet2!$B$5:$H$29,5,FALSE),0)</x:f>
        <x:v>0</x:v>
      </x:c>
      <x:c r="G988">
        <x:f>ROUND($C988*10*VLOOKUP($B988,Sheet2!$J$5:$K$7,2,FALSE)*VLOOKUP(Sheet1!$A988,Sheet2!$B$5:$H$29,6,FALSE),0)</x:f>
        <x:v>0</x:v>
      </x:c>
      <x:c r="H988">
        <x:f>ROUND($C988*10*VLOOKUP($B988,Sheet2!$J$5:$K$7,2,FALSE)*VLOOKUP(Sheet1!$A988,Sheet2!$B$5:$H$29,7,FALSE),0)</x:f>
        <x:v>0</x:v>
      </x:c>
      <x:c r="I988">
        <x:f t="shared" si="16"/>
        <x:v>14860</x:v>
      </x:c>
    </x:row>
    <x:row r="989" spans="1:9" x14ac:dyDescent="0.15">
      <x:c r="A989">
        <x:v>54051</x:v>
      </x:c>
      <x:c r="B989">
        <x:v>2</x:v>
      </x:c>
      <x:c r="C989">
        <x:v>28</x:v>
      </x:c>
      <x:c r="D989">
        <x:f>ROUND($C989*10*VLOOKUP($B989,Sheet2!$J$5:$K$7,2,FALSE)*VLOOKUP(Sheet1!$A989,Sheet2!$B$5:$H$29,3,FALSE),0)</x:f>
        <x:v>67</x:v>
      </x:c>
      <x:c r="E989">
        <x:f>ROUND($C989*10*VLOOKUP($B989,Sheet2!$J$5:$K$7,2,FALSE)*VLOOKUP(Sheet1!$A989,Sheet2!$B$5:$H$29,4,FALSE),0)</x:f>
        <x:v>202</x:v>
      </x:c>
      <x:c r="F989">
        <x:f>ROUND($C989*10*VLOOKUP($B989,Sheet2!$J$5:$K$7,2,FALSE)*VLOOKUP(Sheet1!$A989,Sheet2!$B$5:$H$29,5,FALSE),0)</x:f>
        <x:v>0</x:v>
      </x:c>
      <x:c r="G989">
        <x:f>ROUND($C989*10*VLOOKUP($B989,Sheet2!$J$5:$K$7,2,FALSE)*VLOOKUP(Sheet1!$A989,Sheet2!$B$5:$H$29,6,FALSE),0)</x:f>
        <x:v>0</x:v>
      </x:c>
      <x:c r="H989">
        <x:f>ROUND($C989*10*VLOOKUP($B989,Sheet2!$J$5:$K$7,2,FALSE)*VLOOKUP(Sheet1!$A989,Sheet2!$B$5:$H$29,7,FALSE),0)</x:f>
        <x:v>0</x:v>
      </x:c>
      <x:c r="I989">
        <x:f t="shared" si="16"/>
        <x:v>15900</x:v>
      </x:c>
    </x:row>
    <x:row r="990" spans="1:9" x14ac:dyDescent="0.15">
      <x:c r="A990">
        <x:v>54051</x:v>
      </x:c>
      <x:c r="B990">
        <x:v>2</x:v>
      </x:c>
      <x:c r="C990">
        <x:v>29</x:v>
      </x:c>
      <x:c r="D990">
        <x:f>ROUND($C990*10*VLOOKUP($B990,Sheet2!$J$5:$K$7,2,FALSE)*VLOOKUP(Sheet1!$A990,Sheet2!$B$5:$H$29,3,FALSE),0)</x:f>
        <x:v>70</x:v>
      </x:c>
      <x:c r="E990">
        <x:f>ROUND($C990*10*VLOOKUP($B990,Sheet2!$J$5:$K$7,2,FALSE)*VLOOKUP(Sheet1!$A990,Sheet2!$B$5:$H$29,4,FALSE),0)</x:f>
        <x:v>209</x:v>
      </x:c>
      <x:c r="F990">
        <x:f>ROUND($C990*10*VLOOKUP($B990,Sheet2!$J$5:$K$7,2,FALSE)*VLOOKUP(Sheet1!$A990,Sheet2!$B$5:$H$29,5,FALSE),0)</x:f>
        <x:v>0</x:v>
      </x:c>
      <x:c r="G990">
        <x:f>ROUND($C990*10*VLOOKUP($B990,Sheet2!$J$5:$K$7,2,FALSE)*VLOOKUP(Sheet1!$A990,Sheet2!$B$5:$H$29,6,FALSE),0)</x:f>
        <x:v>0</x:v>
      </x:c>
      <x:c r="H990">
        <x:f>ROUND($C990*10*VLOOKUP($B990,Sheet2!$J$5:$K$7,2,FALSE)*VLOOKUP(Sheet1!$A990,Sheet2!$B$5:$H$29,7,FALSE),0)</x:f>
        <x:v>0</x:v>
      </x:c>
      <x:c r="I990">
        <x:f t="shared" si="16"/>
        <x:v>16970</x:v>
      </x:c>
    </x:row>
    <x:row r="991" spans="1:9" x14ac:dyDescent="0.15">
      <x:c r="A991">
        <x:v>54051</x:v>
      </x:c>
      <x:c r="B991">
        <x:v>2</x:v>
      </x:c>
      <x:c r="C991">
        <x:v>30</x:v>
      </x:c>
      <x:c r="D991">
        <x:f>ROUND($C991*10*VLOOKUP($B991,Sheet2!$J$5:$K$7,2,FALSE)*VLOOKUP(Sheet1!$A991,Sheet2!$B$5:$H$29,3,FALSE),0)</x:f>
        <x:v>72</x:v>
      </x:c>
      <x:c r="E991">
        <x:f>ROUND($C991*10*VLOOKUP($B991,Sheet2!$J$5:$K$7,2,FALSE)*VLOOKUP(Sheet1!$A991,Sheet2!$B$5:$H$29,4,FALSE),0)</x:f>
        <x:v>216</x:v>
      </x:c>
      <x:c r="F991">
        <x:f>ROUND($C991*10*VLOOKUP($B991,Sheet2!$J$5:$K$7,2,FALSE)*VLOOKUP(Sheet1!$A991,Sheet2!$B$5:$H$29,5,FALSE),0)</x:f>
        <x:v>0</x:v>
      </x:c>
      <x:c r="G991">
        <x:f>ROUND($C991*10*VLOOKUP($B991,Sheet2!$J$5:$K$7,2,FALSE)*VLOOKUP(Sheet1!$A991,Sheet2!$B$5:$H$29,6,FALSE),0)</x:f>
        <x:v>0</x:v>
      </x:c>
      <x:c r="H991">
        <x:f>ROUND($C991*10*VLOOKUP($B991,Sheet2!$J$5:$K$7,2,FALSE)*VLOOKUP(Sheet1!$A991,Sheet2!$B$5:$H$29,7,FALSE),0)</x:f>
        <x:v>0</x:v>
      </x:c>
      <x:c r="I991">
        <x:f t="shared" si="16"/>
        <x:v>18070</x:v>
      </x:c>
    </x:row>
    <x:row r="992" spans="1:9" x14ac:dyDescent="0.15">
      <x:c r="A992">
        <x:v>54051</x:v>
      </x:c>
      <x:c r="B992">
        <x:v>2</x:v>
      </x:c>
      <x:c r="C992">
        <x:v>31</x:v>
      </x:c>
      <x:c r="D992">
        <x:f>ROUND($C992*10*VLOOKUP($B992,Sheet2!$J$5:$K$7,2,FALSE)*VLOOKUP(Sheet1!$A992,Sheet2!$B$5:$H$29,3,FALSE),0)</x:f>
        <x:v>74</x:v>
      </x:c>
      <x:c r="E992">
        <x:f>ROUND($C992*10*VLOOKUP($B992,Sheet2!$J$5:$K$7,2,FALSE)*VLOOKUP(Sheet1!$A992,Sheet2!$B$5:$H$29,4,FALSE),0)</x:f>
        <x:v>223</x:v>
      </x:c>
      <x:c r="F992">
        <x:f>ROUND($C992*10*VLOOKUP($B992,Sheet2!$J$5:$K$7,2,FALSE)*VLOOKUP(Sheet1!$A992,Sheet2!$B$5:$H$29,5,FALSE),0)</x:f>
        <x:v>0</x:v>
      </x:c>
      <x:c r="G992">
        <x:f>ROUND($C992*10*VLOOKUP($B992,Sheet2!$J$5:$K$7,2,FALSE)*VLOOKUP(Sheet1!$A992,Sheet2!$B$5:$H$29,6,FALSE),0)</x:f>
        <x:v>0</x:v>
      </x:c>
      <x:c r="H992">
        <x:f>ROUND($C992*10*VLOOKUP($B992,Sheet2!$J$5:$K$7,2,FALSE)*VLOOKUP(Sheet1!$A992,Sheet2!$B$5:$H$29,7,FALSE),0)</x:f>
        <x:v>0</x:v>
      </x:c>
      <x:c r="I992">
        <x:f t="shared" si="16"/>
        <x:v>19210</x:v>
      </x:c>
    </x:row>
    <x:row r="993" spans="1:9" x14ac:dyDescent="0.15">
      <x:c r="A993">
        <x:v>54051</x:v>
      </x:c>
      <x:c r="B993">
        <x:v>2</x:v>
      </x:c>
      <x:c r="C993">
        <x:v>32</x:v>
      </x:c>
      <x:c r="D993">
        <x:f>ROUND($C993*10*VLOOKUP($B993,Sheet2!$J$5:$K$7,2,FALSE)*VLOOKUP(Sheet1!$A993,Sheet2!$B$5:$H$29,3,FALSE),0)</x:f>
        <x:v>77</x:v>
      </x:c>
      <x:c r="E993">
        <x:f>ROUND($C993*10*VLOOKUP($B993,Sheet2!$J$5:$K$7,2,FALSE)*VLOOKUP(Sheet1!$A993,Sheet2!$B$5:$H$29,4,FALSE),0)</x:f>
        <x:v>230</x:v>
      </x:c>
      <x:c r="F993">
        <x:f>ROUND($C993*10*VLOOKUP($B993,Sheet2!$J$5:$K$7,2,FALSE)*VLOOKUP(Sheet1!$A993,Sheet2!$B$5:$H$29,5,FALSE),0)</x:f>
        <x:v>0</x:v>
      </x:c>
      <x:c r="G993">
        <x:f>ROUND($C993*10*VLOOKUP($B993,Sheet2!$J$5:$K$7,2,FALSE)*VLOOKUP(Sheet1!$A993,Sheet2!$B$5:$H$29,6,FALSE),0)</x:f>
        <x:v>0</x:v>
      </x:c>
      <x:c r="H993">
        <x:f>ROUND($C993*10*VLOOKUP($B993,Sheet2!$J$5:$K$7,2,FALSE)*VLOOKUP(Sheet1!$A993,Sheet2!$B$5:$H$29,7,FALSE),0)</x:f>
        <x:v>0</x:v>
      </x:c>
      <x:c r="I993">
        <x:f t="shared" si="16"/>
        <x:v>20370</x:v>
      </x:c>
    </x:row>
    <x:row r="994" spans="1:9" x14ac:dyDescent="0.15">
      <x:c r="A994">
        <x:v>54051</x:v>
      </x:c>
      <x:c r="B994">
        <x:v>2</x:v>
      </x:c>
      <x:c r="C994">
        <x:v>33</x:v>
      </x:c>
      <x:c r="D994">
        <x:f>ROUND($C994*10*VLOOKUP($B994,Sheet2!$J$5:$K$7,2,FALSE)*VLOOKUP(Sheet1!$A994,Sheet2!$B$5:$H$29,3,FALSE),0)</x:f>
        <x:v>79</x:v>
      </x:c>
      <x:c r="E994">
        <x:f>ROUND($C994*10*VLOOKUP($B994,Sheet2!$J$5:$K$7,2,FALSE)*VLOOKUP(Sheet1!$A994,Sheet2!$B$5:$H$29,4,FALSE),0)</x:f>
        <x:v>238</x:v>
      </x:c>
      <x:c r="F994">
        <x:f>ROUND($C994*10*VLOOKUP($B994,Sheet2!$J$5:$K$7,2,FALSE)*VLOOKUP(Sheet1!$A994,Sheet2!$B$5:$H$29,5,FALSE),0)</x:f>
        <x:v>0</x:v>
      </x:c>
      <x:c r="G994">
        <x:f>ROUND($C994*10*VLOOKUP($B994,Sheet2!$J$5:$K$7,2,FALSE)*VLOOKUP(Sheet1!$A994,Sheet2!$B$5:$H$29,6,FALSE),0)</x:f>
        <x:v>0</x:v>
      </x:c>
      <x:c r="H994">
        <x:f>ROUND($C994*10*VLOOKUP($B994,Sheet2!$J$5:$K$7,2,FALSE)*VLOOKUP(Sheet1!$A994,Sheet2!$B$5:$H$29,7,FALSE),0)</x:f>
        <x:v>0</x:v>
      </x:c>
      <x:c r="I994">
        <x:f t="shared" si="16"/>
        <x:v>21560</x:v>
      </x:c>
    </x:row>
    <x:row r="995" spans="1:9" x14ac:dyDescent="0.15">
      <x:c r="A995">
        <x:v>54051</x:v>
      </x:c>
      <x:c r="B995">
        <x:v>2</x:v>
      </x:c>
      <x:c r="C995">
        <x:v>34</x:v>
      </x:c>
      <x:c r="D995">
        <x:f>ROUND($C995*10*VLOOKUP($B995,Sheet2!$J$5:$K$7,2,FALSE)*VLOOKUP(Sheet1!$A995,Sheet2!$B$5:$H$29,3,FALSE),0)</x:f>
        <x:v>82</x:v>
      </x:c>
      <x:c r="E995">
        <x:f>ROUND($C995*10*VLOOKUP($B995,Sheet2!$J$5:$K$7,2,FALSE)*VLOOKUP(Sheet1!$A995,Sheet2!$B$5:$H$29,4,FALSE),0)</x:f>
        <x:v>245</x:v>
      </x:c>
      <x:c r="F995">
        <x:f>ROUND($C995*10*VLOOKUP($B995,Sheet2!$J$5:$K$7,2,FALSE)*VLOOKUP(Sheet1!$A995,Sheet2!$B$5:$H$29,5,FALSE),0)</x:f>
        <x:v>0</x:v>
      </x:c>
      <x:c r="G995">
        <x:f>ROUND($C995*10*VLOOKUP($B995,Sheet2!$J$5:$K$7,2,FALSE)*VLOOKUP(Sheet1!$A995,Sheet2!$B$5:$H$29,6,FALSE),0)</x:f>
        <x:v>0</x:v>
      </x:c>
      <x:c r="H995">
        <x:f>ROUND($C995*10*VLOOKUP($B995,Sheet2!$J$5:$K$7,2,FALSE)*VLOOKUP(Sheet1!$A995,Sheet2!$B$5:$H$29,7,FALSE),0)</x:f>
        <x:v>0</x:v>
      </x:c>
      <x:c r="I995">
        <x:f t="shared" si="16"/>
        <x:v>22790</x:v>
      </x:c>
    </x:row>
    <x:row r="996" spans="1:9" x14ac:dyDescent="0.15">
      <x:c r="A996">
        <x:v>54051</x:v>
      </x:c>
      <x:c r="B996">
        <x:v>2</x:v>
      </x:c>
      <x:c r="C996">
        <x:v>35</x:v>
      </x:c>
      <x:c r="D996">
        <x:f>ROUND($C996*10*VLOOKUP($B996,Sheet2!$J$5:$K$7,2,FALSE)*VLOOKUP(Sheet1!$A996,Sheet2!$B$5:$H$29,3,FALSE),0)</x:f>
        <x:v>84</x:v>
      </x:c>
      <x:c r="E996">
        <x:f>ROUND($C996*10*VLOOKUP($B996,Sheet2!$J$5:$K$7,2,FALSE)*VLOOKUP(Sheet1!$A996,Sheet2!$B$5:$H$29,4,FALSE),0)</x:f>
        <x:v>252</x:v>
      </x:c>
      <x:c r="F996">
        <x:f>ROUND($C996*10*VLOOKUP($B996,Sheet2!$J$5:$K$7,2,FALSE)*VLOOKUP(Sheet1!$A996,Sheet2!$B$5:$H$29,5,FALSE),0)</x:f>
        <x:v>0</x:v>
      </x:c>
      <x:c r="G996">
        <x:f>ROUND($C996*10*VLOOKUP($B996,Sheet2!$J$5:$K$7,2,FALSE)*VLOOKUP(Sheet1!$A996,Sheet2!$B$5:$H$29,6,FALSE),0)</x:f>
        <x:v>0</x:v>
      </x:c>
      <x:c r="H996">
        <x:f>ROUND($C996*10*VLOOKUP($B996,Sheet2!$J$5:$K$7,2,FALSE)*VLOOKUP(Sheet1!$A996,Sheet2!$B$5:$H$29,7,FALSE),0)</x:f>
        <x:v>0</x:v>
      </x:c>
      <x:c r="I996">
        <x:f t="shared" si="16"/>
        <x:v>24040</x:v>
      </x:c>
    </x:row>
    <x:row r="997" spans="1:9" x14ac:dyDescent="0.15">
      <x:c r="A997">
        <x:v>54051</x:v>
      </x:c>
      <x:c r="B997">
        <x:v>2</x:v>
      </x:c>
      <x:c r="C997">
        <x:v>36</x:v>
      </x:c>
      <x:c r="D997">
        <x:f>ROUND($C997*10*VLOOKUP($B997,Sheet2!$J$5:$K$7,2,FALSE)*VLOOKUP(Sheet1!$A997,Sheet2!$B$5:$H$29,3,FALSE),0)</x:f>
        <x:v>86</x:v>
      </x:c>
      <x:c r="E997">
        <x:f>ROUND($C997*10*VLOOKUP($B997,Sheet2!$J$5:$K$7,2,FALSE)*VLOOKUP(Sheet1!$A997,Sheet2!$B$5:$H$29,4,FALSE),0)</x:f>
        <x:v>259</x:v>
      </x:c>
      <x:c r="F997">
        <x:f>ROUND($C997*10*VLOOKUP($B997,Sheet2!$J$5:$K$7,2,FALSE)*VLOOKUP(Sheet1!$A997,Sheet2!$B$5:$H$29,5,FALSE),0)</x:f>
        <x:v>0</x:v>
      </x:c>
      <x:c r="G997">
        <x:f>ROUND($C997*10*VLOOKUP($B997,Sheet2!$J$5:$K$7,2,FALSE)*VLOOKUP(Sheet1!$A997,Sheet2!$B$5:$H$29,6,FALSE),0)</x:f>
        <x:v>0</x:v>
      </x:c>
      <x:c r="H997">
        <x:f>ROUND($C997*10*VLOOKUP($B997,Sheet2!$J$5:$K$7,2,FALSE)*VLOOKUP(Sheet1!$A997,Sheet2!$B$5:$H$29,7,FALSE),0)</x:f>
        <x:v>0</x:v>
      </x:c>
      <x:c r="I997">
        <x:f t="shared" si="16"/>
        <x:v>25330</x:v>
      </x:c>
    </x:row>
    <x:row r="998" spans="1:9" x14ac:dyDescent="0.15">
      <x:c r="A998">
        <x:v>54051</x:v>
      </x:c>
      <x:c r="B998">
        <x:v>2</x:v>
      </x:c>
      <x:c r="C998">
        <x:v>37</x:v>
      </x:c>
      <x:c r="D998">
        <x:f>ROUND($C998*10*VLOOKUP($B998,Sheet2!$J$5:$K$7,2,FALSE)*VLOOKUP(Sheet1!$A998,Sheet2!$B$5:$H$29,3,FALSE),0)</x:f>
        <x:v>89</x:v>
      </x:c>
      <x:c r="E998">
        <x:f>ROUND($C998*10*VLOOKUP($B998,Sheet2!$J$5:$K$7,2,FALSE)*VLOOKUP(Sheet1!$A998,Sheet2!$B$5:$H$29,4,FALSE),0)</x:f>
        <x:v>266</x:v>
      </x:c>
      <x:c r="F998">
        <x:f>ROUND($C998*10*VLOOKUP($B998,Sheet2!$J$5:$K$7,2,FALSE)*VLOOKUP(Sheet1!$A998,Sheet2!$B$5:$H$29,5,FALSE),0)</x:f>
        <x:v>0</x:v>
      </x:c>
      <x:c r="G998">
        <x:f>ROUND($C998*10*VLOOKUP($B998,Sheet2!$J$5:$K$7,2,FALSE)*VLOOKUP(Sheet1!$A998,Sheet2!$B$5:$H$29,6,FALSE),0)</x:f>
        <x:v>0</x:v>
      </x:c>
      <x:c r="H998">
        <x:f>ROUND($C998*10*VLOOKUP($B998,Sheet2!$J$5:$K$7,2,FALSE)*VLOOKUP(Sheet1!$A998,Sheet2!$B$5:$H$29,7,FALSE),0)</x:f>
        <x:v>0</x:v>
      </x:c>
      <x:c r="I998">
        <x:f t="shared" si="16"/>
        <x:v>26640</x:v>
      </x:c>
    </x:row>
    <x:row r="999" spans="1:9" x14ac:dyDescent="0.15">
      <x:c r="A999">
        <x:v>54051</x:v>
      </x:c>
      <x:c r="B999">
        <x:v>2</x:v>
      </x:c>
      <x:c r="C999">
        <x:v>38</x:v>
      </x:c>
      <x:c r="D999">
        <x:f>ROUND($C999*10*VLOOKUP($B999,Sheet2!$J$5:$K$7,2,FALSE)*VLOOKUP(Sheet1!$A999,Sheet2!$B$5:$H$29,3,FALSE),0)</x:f>
        <x:v>91</x:v>
      </x:c>
      <x:c r="E999">
        <x:f>ROUND($C999*10*VLOOKUP($B999,Sheet2!$J$5:$K$7,2,FALSE)*VLOOKUP(Sheet1!$A999,Sheet2!$B$5:$H$29,4,FALSE),0)</x:f>
        <x:v>274</x:v>
      </x:c>
      <x:c r="F999">
        <x:f>ROUND($C999*10*VLOOKUP($B999,Sheet2!$J$5:$K$7,2,FALSE)*VLOOKUP(Sheet1!$A999,Sheet2!$B$5:$H$29,5,FALSE),0)</x:f>
        <x:v>0</x:v>
      </x:c>
      <x:c r="G999">
        <x:f>ROUND($C999*10*VLOOKUP($B999,Sheet2!$J$5:$K$7,2,FALSE)*VLOOKUP(Sheet1!$A999,Sheet2!$B$5:$H$29,6,FALSE),0)</x:f>
        <x:v>0</x:v>
      </x:c>
      <x:c r="H999">
        <x:f>ROUND($C999*10*VLOOKUP($B999,Sheet2!$J$5:$K$7,2,FALSE)*VLOOKUP(Sheet1!$A999,Sheet2!$B$5:$H$29,7,FALSE),0)</x:f>
        <x:v>0</x:v>
      </x:c>
      <x:c r="I999">
        <x:f t="shared" si="16"/>
        <x:v>27990</x:v>
      </x:c>
    </x:row>
    <x:row r="1000" spans="1:9" x14ac:dyDescent="0.15">
      <x:c r="A1000">
        <x:v>54051</x:v>
      </x:c>
      <x:c r="B1000">
        <x:v>2</x:v>
      </x:c>
      <x:c r="C1000">
        <x:v>39</x:v>
      </x:c>
      <x:c r="D1000">
        <x:f>ROUND($C1000*10*VLOOKUP($B1000,Sheet2!$J$5:$K$7,2,FALSE)*VLOOKUP(Sheet1!$A1000,Sheet2!$B$5:$H$29,3,FALSE),0)</x:f>
        <x:v>94</x:v>
      </x:c>
      <x:c r="E1000">
        <x:f>ROUND($C1000*10*VLOOKUP($B1000,Sheet2!$J$5:$K$7,2,FALSE)*VLOOKUP(Sheet1!$A1000,Sheet2!$B$5:$H$29,4,FALSE),0)</x:f>
        <x:v>281</x:v>
      </x:c>
      <x:c r="F1000">
        <x:f>ROUND($C1000*10*VLOOKUP($B1000,Sheet2!$J$5:$K$7,2,FALSE)*VLOOKUP(Sheet1!$A1000,Sheet2!$B$5:$H$29,5,FALSE),0)</x:f>
        <x:v>0</x:v>
      </x:c>
      <x:c r="G1000">
        <x:f>ROUND($C1000*10*VLOOKUP($B1000,Sheet2!$J$5:$K$7,2,FALSE)*VLOOKUP(Sheet1!$A1000,Sheet2!$B$5:$H$29,6,FALSE),0)</x:f>
        <x:v>0</x:v>
      </x:c>
      <x:c r="H1000">
        <x:f>ROUND($C1000*10*VLOOKUP($B1000,Sheet2!$J$5:$K$7,2,FALSE)*VLOOKUP(Sheet1!$A1000,Sheet2!$B$5:$H$29,7,FALSE),0)</x:f>
        <x:v>0</x:v>
      </x:c>
      <x:c r="I1000">
        <x:f t="shared" si="16"/>
        <x:v>29360</x:v>
      </x:c>
    </x:row>
    <x:row r="1001" spans="1:9" x14ac:dyDescent="0.15">
      <x:c r="A1001">
        <x:v>54051</x:v>
      </x:c>
      <x:c r="B1001">
        <x:v>2</x:v>
      </x:c>
      <x:c r="C1001">
        <x:v>40</x:v>
      </x:c>
      <x:c r="D1001">
        <x:f>ROUND($C1001*10*VLOOKUP($B1001,Sheet2!$J$5:$K$7,2,FALSE)*VLOOKUP(Sheet1!$A1001,Sheet2!$B$5:$H$29,3,FALSE),0)</x:f>
        <x:v>96</x:v>
      </x:c>
      <x:c r="E1001">
        <x:f>ROUND($C1001*10*VLOOKUP($B1001,Sheet2!$J$5:$K$7,2,FALSE)*VLOOKUP(Sheet1!$A1001,Sheet2!$B$5:$H$29,4,FALSE),0)</x:f>
        <x:v>288</x:v>
      </x:c>
      <x:c r="F1001">
        <x:f>ROUND($C1001*10*VLOOKUP($B1001,Sheet2!$J$5:$K$7,2,FALSE)*VLOOKUP(Sheet1!$A1001,Sheet2!$B$5:$H$29,5,FALSE),0)</x:f>
        <x:v>0</x:v>
      </x:c>
      <x:c r="G1001">
        <x:f>ROUND($C1001*10*VLOOKUP($B1001,Sheet2!$J$5:$K$7,2,FALSE)*VLOOKUP(Sheet1!$A1001,Sheet2!$B$5:$H$29,6,FALSE),0)</x:f>
        <x:v>0</x:v>
      </x:c>
      <x:c r="H1001">
        <x:f>ROUND($C1001*10*VLOOKUP($B1001,Sheet2!$J$5:$K$7,2,FALSE)*VLOOKUP(Sheet1!$A1001,Sheet2!$B$5:$H$29,7,FALSE),0)</x:f>
        <x:v>0</x:v>
      </x:c>
      <x:c r="I1001">
        <x:f t="shared" si="16"/>
        <x:v>30760</x:v>
      </x:c>
    </x:row>
    <x:row r="1002" spans="1:9" x14ac:dyDescent="0.15">
      <x:c r="A1002">
        <x:v>54051</x:v>
      </x:c>
      <x:c r="B1002">
        <x:v>2</x:v>
      </x:c>
      <x:c r="C1002">
        <x:v>41</x:v>
      </x:c>
      <x:c r="D1002">
        <x:f>ROUND($C1002*10*VLOOKUP($B1002,Sheet2!$J$5:$K$7,2,FALSE)*VLOOKUP(Sheet1!$A1002,Sheet2!$B$5:$H$29,3,FALSE),0)</x:f>
        <x:v>98</x:v>
      </x:c>
      <x:c r="E1002">
        <x:f>ROUND($C1002*10*VLOOKUP($B1002,Sheet2!$J$5:$K$7,2,FALSE)*VLOOKUP(Sheet1!$A1002,Sheet2!$B$5:$H$29,4,FALSE),0)</x:f>
        <x:v>295</x:v>
      </x:c>
      <x:c r="F1002">
        <x:f>ROUND($C1002*10*VLOOKUP($B1002,Sheet2!$J$5:$K$7,2,FALSE)*VLOOKUP(Sheet1!$A1002,Sheet2!$B$5:$H$29,5,FALSE),0)</x:f>
        <x:v>0</x:v>
      </x:c>
      <x:c r="G1002">
        <x:f>ROUND($C1002*10*VLOOKUP($B1002,Sheet2!$J$5:$K$7,2,FALSE)*VLOOKUP(Sheet1!$A1002,Sheet2!$B$5:$H$29,6,FALSE),0)</x:f>
        <x:v>0</x:v>
      </x:c>
      <x:c r="H1002">
        <x:f>ROUND($C1002*10*VLOOKUP($B1002,Sheet2!$J$5:$K$7,2,FALSE)*VLOOKUP(Sheet1!$A1002,Sheet2!$B$5:$H$29,7,FALSE),0)</x:f>
        <x:v>0</x:v>
      </x:c>
      <x:c r="I1002">
        <x:f t="shared" si="16"/>
        <x:v>32190</x:v>
      </x:c>
    </x:row>
    <x:row r="1003" spans="1:9" x14ac:dyDescent="0.15">
      <x:c r="A1003">
        <x:v>54051</x:v>
      </x:c>
      <x:c r="B1003">
        <x:v>2</x:v>
      </x:c>
      <x:c r="C1003">
        <x:v>42</x:v>
      </x:c>
      <x:c r="D1003">
        <x:f>ROUND($C1003*10*VLOOKUP($B1003,Sheet2!$J$5:$K$7,2,FALSE)*VLOOKUP(Sheet1!$A1003,Sheet2!$B$5:$H$29,3,FALSE),0)</x:f>
        <x:v>101</x:v>
      </x:c>
      <x:c r="E1003">
        <x:f>ROUND($C1003*10*VLOOKUP($B1003,Sheet2!$J$5:$K$7,2,FALSE)*VLOOKUP(Sheet1!$A1003,Sheet2!$B$5:$H$29,4,FALSE),0)</x:f>
        <x:v>302</x:v>
      </x:c>
      <x:c r="F1003">
        <x:f>ROUND($C1003*10*VLOOKUP($B1003,Sheet2!$J$5:$K$7,2,FALSE)*VLOOKUP(Sheet1!$A1003,Sheet2!$B$5:$H$29,5,FALSE),0)</x:f>
        <x:v>0</x:v>
      </x:c>
      <x:c r="G1003">
        <x:f>ROUND($C1003*10*VLOOKUP($B1003,Sheet2!$J$5:$K$7,2,FALSE)*VLOOKUP(Sheet1!$A1003,Sheet2!$B$5:$H$29,6,FALSE),0)</x:f>
        <x:v>0</x:v>
      </x:c>
      <x:c r="H1003">
        <x:f>ROUND($C1003*10*VLOOKUP($B1003,Sheet2!$J$5:$K$7,2,FALSE)*VLOOKUP(Sheet1!$A1003,Sheet2!$B$5:$H$29,7,FALSE),0)</x:f>
        <x:v>0</x:v>
      </x:c>
      <x:c r="I1003">
        <x:f t="shared" si="16"/>
        <x:v>33650</x:v>
      </x:c>
    </x:row>
    <x:row r="1004" spans="1:9" x14ac:dyDescent="0.15">
      <x:c r="A1004">
        <x:v>54051</x:v>
      </x:c>
      <x:c r="B1004">
        <x:v>2</x:v>
      </x:c>
      <x:c r="C1004">
        <x:v>43</x:v>
      </x:c>
      <x:c r="D1004">
        <x:f>ROUND($C1004*10*VLOOKUP($B1004,Sheet2!$J$5:$K$7,2,FALSE)*VLOOKUP(Sheet1!$A1004,Sheet2!$B$5:$H$29,3,FALSE),0)</x:f>
        <x:v>103</x:v>
      </x:c>
      <x:c r="E1004">
        <x:f>ROUND($C1004*10*VLOOKUP($B1004,Sheet2!$J$5:$K$7,2,FALSE)*VLOOKUP(Sheet1!$A1004,Sheet2!$B$5:$H$29,4,FALSE),0)</x:f>
        <x:v>310</x:v>
      </x:c>
      <x:c r="F1004">
        <x:f>ROUND($C1004*10*VLOOKUP($B1004,Sheet2!$J$5:$K$7,2,FALSE)*VLOOKUP(Sheet1!$A1004,Sheet2!$B$5:$H$29,5,FALSE),0)</x:f>
        <x:v>0</x:v>
      </x:c>
      <x:c r="G1004">
        <x:f>ROUND($C1004*10*VLOOKUP($B1004,Sheet2!$J$5:$K$7,2,FALSE)*VLOOKUP(Sheet1!$A1004,Sheet2!$B$5:$H$29,6,FALSE),0)</x:f>
        <x:v>0</x:v>
      </x:c>
      <x:c r="H1004">
        <x:f>ROUND($C1004*10*VLOOKUP($B1004,Sheet2!$J$5:$K$7,2,FALSE)*VLOOKUP(Sheet1!$A1004,Sheet2!$B$5:$H$29,7,FALSE),0)</x:f>
        <x:v>0</x:v>
      </x:c>
      <x:c r="I1004">
        <x:f t="shared" si="16"/>
        <x:v>35140</x:v>
      </x:c>
    </x:row>
    <x:row r="1005" spans="1:9" x14ac:dyDescent="0.15">
      <x:c r="A1005">
        <x:v>54051</x:v>
      </x:c>
      <x:c r="B1005">
        <x:v>2</x:v>
      </x:c>
      <x:c r="C1005">
        <x:v>44</x:v>
      </x:c>
      <x:c r="D1005">
        <x:f>ROUND($C1005*10*VLOOKUP($B1005,Sheet2!$J$5:$K$7,2,FALSE)*VLOOKUP(Sheet1!$A1005,Sheet2!$B$5:$H$29,3,FALSE),0)</x:f>
        <x:v>106</x:v>
      </x:c>
      <x:c r="E1005">
        <x:f>ROUND($C1005*10*VLOOKUP($B1005,Sheet2!$J$5:$K$7,2,FALSE)*VLOOKUP(Sheet1!$A1005,Sheet2!$B$5:$H$29,4,FALSE),0)</x:f>
        <x:v>317</x:v>
      </x:c>
      <x:c r="F1005">
        <x:f>ROUND($C1005*10*VLOOKUP($B1005,Sheet2!$J$5:$K$7,2,FALSE)*VLOOKUP(Sheet1!$A1005,Sheet2!$B$5:$H$29,5,FALSE),0)</x:f>
        <x:v>0</x:v>
      </x:c>
      <x:c r="G1005">
        <x:f>ROUND($C1005*10*VLOOKUP($B1005,Sheet2!$J$5:$K$7,2,FALSE)*VLOOKUP(Sheet1!$A1005,Sheet2!$B$5:$H$29,6,FALSE),0)</x:f>
        <x:v>0</x:v>
      </x:c>
      <x:c r="H1005">
        <x:f>ROUND($C1005*10*VLOOKUP($B1005,Sheet2!$J$5:$K$7,2,FALSE)*VLOOKUP(Sheet1!$A1005,Sheet2!$B$5:$H$29,7,FALSE),0)</x:f>
        <x:v>0</x:v>
      </x:c>
      <x:c r="I1005">
        <x:f t="shared" si="16"/>
        <x:v>36660</x:v>
      </x:c>
    </x:row>
    <x:row r="1006" spans="1:9" x14ac:dyDescent="0.15">
      <x:c r="A1006">
        <x:v>54051</x:v>
      </x:c>
      <x:c r="B1006">
        <x:v>2</x:v>
      </x:c>
      <x:c r="C1006">
        <x:v>45</x:v>
      </x:c>
      <x:c r="D1006">
        <x:f>ROUND($C1006*10*VLOOKUP($B1006,Sheet2!$J$5:$K$7,2,FALSE)*VLOOKUP(Sheet1!$A1006,Sheet2!$B$5:$H$29,3,FALSE),0)</x:f>
        <x:v>108</x:v>
      </x:c>
      <x:c r="E1006">
        <x:f>ROUND($C1006*10*VLOOKUP($B1006,Sheet2!$J$5:$K$7,2,FALSE)*VLOOKUP(Sheet1!$A1006,Sheet2!$B$5:$H$29,4,FALSE),0)</x:f>
        <x:v>324</x:v>
      </x:c>
      <x:c r="F1006">
        <x:f>ROUND($C1006*10*VLOOKUP($B1006,Sheet2!$J$5:$K$7,2,FALSE)*VLOOKUP(Sheet1!$A1006,Sheet2!$B$5:$H$29,5,FALSE),0)</x:f>
        <x:v>0</x:v>
      </x:c>
      <x:c r="G1006">
        <x:f>ROUND($C1006*10*VLOOKUP($B1006,Sheet2!$J$5:$K$7,2,FALSE)*VLOOKUP(Sheet1!$A1006,Sheet2!$B$5:$H$29,6,FALSE),0)</x:f>
        <x:v>0</x:v>
      </x:c>
      <x:c r="H1006">
        <x:f>ROUND($C1006*10*VLOOKUP($B1006,Sheet2!$J$5:$K$7,2,FALSE)*VLOOKUP(Sheet1!$A1006,Sheet2!$B$5:$H$29,7,FALSE),0)</x:f>
        <x:v>0</x:v>
      </x:c>
      <x:c r="I1006">
        <x:f t="shared" si="16"/>
        <x:v>38210</x:v>
      </x:c>
    </x:row>
    <x:row r="1007" spans="1:9" x14ac:dyDescent="0.15">
      <x:c r="A1007">
        <x:v>54051</x:v>
      </x:c>
      <x:c r="B1007">
        <x:v>2</x:v>
      </x:c>
      <x:c r="C1007">
        <x:v>46</x:v>
      </x:c>
      <x:c r="D1007">
        <x:f>ROUND($C1007*10*VLOOKUP($B1007,Sheet2!$J$5:$K$7,2,FALSE)*VLOOKUP(Sheet1!$A1007,Sheet2!$B$5:$H$29,3,FALSE),0)</x:f>
        <x:v>110</x:v>
      </x:c>
      <x:c r="E1007">
        <x:f>ROUND($C1007*10*VLOOKUP($B1007,Sheet2!$J$5:$K$7,2,FALSE)*VLOOKUP(Sheet1!$A1007,Sheet2!$B$5:$H$29,4,FALSE),0)</x:f>
        <x:v>331</x:v>
      </x:c>
      <x:c r="F1007">
        <x:f>ROUND($C1007*10*VLOOKUP($B1007,Sheet2!$J$5:$K$7,2,FALSE)*VLOOKUP(Sheet1!$A1007,Sheet2!$B$5:$H$29,5,FALSE),0)</x:f>
        <x:v>0</x:v>
      </x:c>
      <x:c r="G1007">
        <x:f>ROUND($C1007*10*VLOOKUP($B1007,Sheet2!$J$5:$K$7,2,FALSE)*VLOOKUP(Sheet1!$A1007,Sheet2!$B$5:$H$29,6,FALSE),0)</x:f>
        <x:v>0</x:v>
      </x:c>
      <x:c r="H1007">
        <x:f>ROUND($C1007*10*VLOOKUP($B1007,Sheet2!$J$5:$K$7,2,FALSE)*VLOOKUP(Sheet1!$A1007,Sheet2!$B$5:$H$29,7,FALSE),0)</x:f>
        <x:v>0</x:v>
      </x:c>
      <x:c r="I1007">
        <x:f t="shared" si="16"/>
        <x:v>39780</x:v>
      </x:c>
    </x:row>
    <x:row r="1008" spans="1:9" x14ac:dyDescent="0.15">
      <x:c r="A1008">
        <x:v>54051</x:v>
      </x:c>
      <x:c r="B1008">
        <x:v>2</x:v>
      </x:c>
      <x:c r="C1008">
        <x:v>47</x:v>
      </x:c>
      <x:c r="D1008">
        <x:f>ROUND($C1008*10*VLOOKUP($B1008,Sheet2!$J$5:$K$7,2,FALSE)*VLOOKUP(Sheet1!$A1008,Sheet2!$B$5:$H$29,3,FALSE),0)</x:f>
        <x:v>113</x:v>
      </x:c>
      <x:c r="E1008">
        <x:f>ROUND($C1008*10*VLOOKUP($B1008,Sheet2!$J$5:$K$7,2,FALSE)*VLOOKUP(Sheet1!$A1008,Sheet2!$B$5:$H$29,4,FALSE),0)</x:f>
        <x:v>338</x:v>
      </x:c>
      <x:c r="F1008">
        <x:f>ROUND($C1008*10*VLOOKUP($B1008,Sheet2!$J$5:$K$7,2,FALSE)*VLOOKUP(Sheet1!$A1008,Sheet2!$B$5:$H$29,5,FALSE),0)</x:f>
        <x:v>0</x:v>
      </x:c>
      <x:c r="G1008">
        <x:f>ROUND($C1008*10*VLOOKUP($B1008,Sheet2!$J$5:$K$7,2,FALSE)*VLOOKUP(Sheet1!$A1008,Sheet2!$B$5:$H$29,6,FALSE),0)</x:f>
        <x:v>0</x:v>
      </x:c>
      <x:c r="H1008">
        <x:f>ROUND($C1008*10*VLOOKUP($B1008,Sheet2!$J$5:$K$7,2,FALSE)*VLOOKUP(Sheet1!$A1008,Sheet2!$B$5:$H$29,7,FALSE),0)</x:f>
        <x:v>0</x:v>
      </x:c>
      <x:c r="I1008">
        <x:f t="shared" si="16"/>
        <x:v>41390</x:v>
      </x:c>
    </x:row>
    <x:row r="1009" spans="1:9" x14ac:dyDescent="0.15">
      <x:c r="A1009">
        <x:v>54051</x:v>
      </x:c>
      <x:c r="B1009">
        <x:v>2</x:v>
      </x:c>
      <x:c r="C1009">
        <x:v>48</x:v>
      </x:c>
      <x:c r="D1009">
        <x:f>ROUND($C1009*10*VLOOKUP($B1009,Sheet2!$J$5:$K$7,2,FALSE)*VLOOKUP(Sheet1!$A1009,Sheet2!$B$5:$H$29,3,FALSE),0)</x:f>
        <x:v>115</x:v>
      </x:c>
      <x:c r="E1009">
        <x:f>ROUND($C1009*10*VLOOKUP($B1009,Sheet2!$J$5:$K$7,2,FALSE)*VLOOKUP(Sheet1!$A1009,Sheet2!$B$5:$H$29,4,FALSE),0)</x:f>
        <x:v>346</x:v>
      </x:c>
      <x:c r="F1009">
        <x:f>ROUND($C1009*10*VLOOKUP($B1009,Sheet2!$J$5:$K$7,2,FALSE)*VLOOKUP(Sheet1!$A1009,Sheet2!$B$5:$H$29,5,FALSE),0)</x:f>
        <x:v>0</x:v>
      </x:c>
      <x:c r="G1009">
        <x:f>ROUND($C1009*10*VLOOKUP($B1009,Sheet2!$J$5:$K$7,2,FALSE)*VLOOKUP(Sheet1!$A1009,Sheet2!$B$5:$H$29,6,FALSE),0)</x:f>
        <x:v>0</x:v>
      </x:c>
      <x:c r="H1009">
        <x:f>ROUND($C1009*10*VLOOKUP($B1009,Sheet2!$J$5:$K$7,2,FALSE)*VLOOKUP(Sheet1!$A1009,Sheet2!$B$5:$H$29,7,FALSE),0)</x:f>
        <x:v>0</x:v>
      </x:c>
      <x:c r="I1009">
        <x:f t="shared" si="16"/>
        <x:v>43020</x:v>
      </x:c>
    </x:row>
    <x:row r="1010" spans="1:9" x14ac:dyDescent="0.15">
      <x:c r="A1010">
        <x:v>54051</x:v>
      </x:c>
      <x:c r="B1010">
        <x:v>2</x:v>
      </x:c>
      <x:c r="C1010">
        <x:v>49</x:v>
      </x:c>
      <x:c r="D1010">
        <x:f>ROUND($C1010*10*VLOOKUP($B1010,Sheet2!$J$5:$K$7,2,FALSE)*VLOOKUP(Sheet1!$A1010,Sheet2!$B$5:$H$29,3,FALSE),0)</x:f>
        <x:v>118</x:v>
      </x:c>
      <x:c r="E1010">
        <x:f>ROUND($C1010*10*VLOOKUP($B1010,Sheet2!$J$5:$K$7,2,FALSE)*VLOOKUP(Sheet1!$A1010,Sheet2!$B$5:$H$29,4,FALSE),0)</x:f>
        <x:v>353</x:v>
      </x:c>
      <x:c r="F1010">
        <x:f>ROUND($C1010*10*VLOOKUP($B1010,Sheet2!$J$5:$K$7,2,FALSE)*VLOOKUP(Sheet1!$A1010,Sheet2!$B$5:$H$29,5,FALSE),0)</x:f>
        <x:v>0</x:v>
      </x:c>
      <x:c r="G1010">
        <x:f>ROUND($C1010*10*VLOOKUP($B1010,Sheet2!$J$5:$K$7,2,FALSE)*VLOOKUP(Sheet1!$A1010,Sheet2!$B$5:$H$29,6,FALSE),0)</x:f>
        <x:v>0</x:v>
      </x:c>
      <x:c r="H1010">
        <x:f>ROUND($C1010*10*VLOOKUP($B1010,Sheet2!$J$5:$K$7,2,FALSE)*VLOOKUP(Sheet1!$A1010,Sheet2!$B$5:$H$29,7,FALSE),0)</x:f>
        <x:v>0</x:v>
      </x:c>
      <x:c r="I1010">
        <x:f t="shared" si="16"/>
        <x:v>44680</x:v>
      </x:c>
    </x:row>
    <x:row r="1011" spans="1:9" x14ac:dyDescent="0.15">
      <x:c r="A1011">
        <x:v>54051</x:v>
      </x:c>
      <x:c r="B1011">
        <x:v>2</x:v>
      </x:c>
      <x:c r="C1011">
        <x:v>50</x:v>
      </x:c>
      <x:c r="D1011">
        <x:f>ROUND($C1011*10*VLOOKUP($B1011,Sheet2!$J$5:$K$7,2,FALSE)*VLOOKUP(Sheet1!$A1011,Sheet2!$B$5:$H$29,3,FALSE),0)</x:f>
        <x:v>120</x:v>
      </x:c>
      <x:c r="E1011">
        <x:f>ROUND($C1011*10*VLOOKUP($B1011,Sheet2!$J$5:$K$7,2,FALSE)*VLOOKUP(Sheet1!$A1011,Sheet2!$B$5:$H$29,4,FALSE),0)</x:f>
        <x:v>360</x:v>
      </x:c>
      <x:c r="F1011">
        <x:f>ROUND($C1011*10*VLOOKUP($B1011,Sheet2!$J$5:$K$7,2,FALSE)*VLOOKUP(Sheet1!$A1011,Sheet2!$B$5:$H$29,5,FALSE),0)</x:f>
        <x:v>0</x:v>
      </x:c>
      <x:c r="G1011">
        <x:f>ROUND($C1011*10*VLOOKUP($B1011,Sheet2!$J$5:$K$7,2,FALSE)*VLOOKUP(Sheet1!$A1011,Sheet2!$B$5:$H$29,6,FALSE),0)</x:f>
        <x:v>0</x:v>
      </x:c>
      <x:c r="H1011">
        <x:f>ROUND($C1011*10*VLOOKUP($B1011,Sheet2!$J$5:$K$7,2,FALSE)*VLOOKUP(Sheet1!$A1011,Sheet2!$B$5:$H$29,7,FALSE),0)</x:f>
        <x:v>0</x:v>
      </x:c>
      <x:c r="I1011">
        <x:f t="shared" si="16"/>
        <x:v>46360</x:v>
      </x:c>
    </x:row>
    <x:row r="1012" spans="1:9" x14ac:dyDescent="0.15">
      <x:c r="A1012">
        <x:v>54051</x:v>
      </x:c>
      <x:c r="B1012">
        <x:v>2</x:v>
      </x:c>
      <x:c r="C1012">
        <x:v>51</x:v>
      </x:c>
      <x:c r="D1012">
        <x:f>ROUND($C1012*10*VLOOKUP($B1012,Sheet2!$J$5:$K$7,2,FALSE)*VLOOKUP(Sheet1!$A1012,Sheet2!$B$5:$H$29,3,FALSE),0)</x:f>
        <x:v>122</x:v>
      </x:c>
      <x:c r="E1012">
        <x:f>ROUND($C1012*10*VLOOKUP($B1012,Sheet2!$J$5:$K$7,2,FALSE)*VLOOKUP(Sheet1!$A1012,Sheet2!$B$5:$H$29,4,FALSE),0)</x:f>
        <x:v>367</x:v>
      </x:c>
      <x:c r="F1012">
        <x:f>ROUND($C1012*10*VLOOKUP($B1012,Sheet2!$J$5:$K$7,2,FALSE)*VLOOKUP(Sheet1!$A1012,Sheet2!$B$5:$H$29,5,FALSE),0)</x:f>
        <x:v>0</x:v>
      </x:c>
      <x:c r="G1012">
        <x:f>ROUND($C1012*10*VLOOKUP($B1012,Sheet2!$J$5:$K$7,2,FALSE)*VLOOKUP(Sheet1!$A1012,Sheet2!$B$5:$H$29,6,FALSE),0)</x:f>
        <x:v>0</x:v>
      </x:c>
      <x:c r="H1012">
        <x:f>ROUND($C1012*10*VLOOKUP($B1012,Sheet2!$J$5:$K$7,2,FALSE)*VLOOKUP(Sheet1!$A1012,Sheet2!$B$5:$H$29,7,FALSE),0)</x:f>
        <x:v>0</x:v>
      </x:c>
      <x:c r="I1012">
        <x:f t="shared" si="16"/>
        <x:v>48080</x:v>
      </x:c>
    </x:row>
    <x:row r="1013" spans="1:9" x14ac:dyDescent="0.15">
      <x:c r="A1013">
        <x:v>54051</x:v>
      </x:c>
      <x:c r="B1013">
        <x:v>2</x:v>
      </x:c>
      <x:c r="C1013">
        <x:v>52</x:v>
      </x:c>
      <x:c r="D1013">
        <x:f>ROUND($C1013*10*VLOOKUP($B1013,Sheet2!$J$5:$K$7,2,FALSE)*VLOOKUP(Sheet1!$A1013,Sheet2!$B$5:$H$29,3,FALSE),0)</x:f>
        <x:v>125</x:v>
      </x:c>
      <x:c r="E1013">
        <x:f>ROUND($C1013*10*VLOOKUP($B1013,Sheet2!$J$5:$K$7,2,FALSE)*VLOOKUP(Sheet1!$A1013,Sheet2!$B$5:$H$29,4,FALSE),0)</x:f>
        <x:v>374</x:v>
      </x:c>
      <x:c r="F1013">
        <x:f>ROUND($C1013*10*VLOOKUP($B1013,Sheet2!$J$5:$K$7,2,FALSE)*VLOOKUP(Sheet1!$A1013,Sheet2!$B$5:$H$29,5,FALSE),0)</x:f>
        <x:v>0</x:v>
      </x:c>
      <x:c r="G1013">
        <x:f>ROUND($C1013*10*VLOOKUP($B1013,Sheet2!$J$5:$K$7,2,FALSE)*VLOOKUP(Sheet1!$A1013,Sheet2!$B$5:$H$29,6,FALSE),0)</x:f>
        <x:v>0</x:v>
      </x:c>
      <x:c r="H1013">
        <x:f>ROUND($C1013*10*VLOOKUP($B1013,Sheet2!$J$5:$K$7,2,FALSE)*VLOOKUP(Sheet1!$A1013,Sheet2!$B$5:$H$29,7,FALSE),0)</x:f>
        <x:v>0</x:v>
      </x:c>
      <x:c r="I1013">
        <x:f t="shared" si="16"/>
        <x:v>49820</x:v>
      </x:c>
    </x:row>
    <x:row r="1014" spans="1:9" x14ac:dyDescent="0.15">
      <x:c r="A1014">
        <x:v>54051</x:v>
      </x:c>
      <x:c r="B1014">
        <x:v>2</x:v>
      </x:c>
      <x:c r="C1014">
        <x:v>53</x:v>
      </x:c>
      <x:c r="D1014">
        <x:f>ROUND($C1014*10*VLOOKUP($B1014,Sheet2!$J$5:$K$7,2,FALSE)*VLOOKUP(Sheet1!$A1014,Sheet2!$B$5:$H$29,3,FALSE),0)</x:f>
        <x:v>127</x:v>
      </x:c>
      <x:c r="E1014">
        <x:f>ROUND($C1014*10*VLOOKUP($B1014,Sheet2!$J$5:$K$7,2,FALSE)*VLOOKUP(Sheet1!$A1014,Sheet2!$B$5:$H$29,4,FALSE),0)</x:f>
        <x:v>382</x:v>
      </x:c>
      <x:c r="F1014">
        <x:f>ROUND($C1014*10*VLOOKUP($B1014,Sheet2!$J$5:$K$7,2,FALSE)*VLOOKUP(Sheet1!$A1014,Sheet2!$B$5:$H$29,5,FALSE),0)</x:f>
        <x:v>0</x:v>
      </x:c>
      <x:c r="G1014">
        <x:f>ROUND($C1014*10*VLOOKUP($B1014,Sheet2!$J$5:$K$7,2,FALSE)*VLOOKUP(Sheet1!$A1014,Sheet2!$B$5:$H$29,6,FALSE),0)</x:f>
        <x:v>0</x:v>
      </x:c>
      <x:c r="H1014">
        <x:f>ROUND($C1014*10*VLOOKUP($B1014,Sheet2!$J$5:$K$7,2,FALSE)*VLOOKUP(Sheet1!$A1014,Sheet2!$B$5:$H$29,7,FALSE),0)</x:f>
        <x:v>0</x:v>
      </x:c>
      <x:c r="I1014">
        <x:f t="shared" si="16"/>
        <x:v>51590</x:v>
      </x:c>
    </x:row>
    <x:row r="1015" spans="1:9" x14ac:dyDescent="0.15">
      <x:c r="A1015">
        <x:v>54051</x:v>
      </x:c>
      <x:c r="B1015">
        <x:v>2</x:v>
      </x:c>
      <x:c r="C1015">
        <x:v>54</x:v>
      </x:c>
      <x:c r="D1015">
        <x:f>ROUND($C1015*10*VLOOKUP($B1015,Sheet2!$J$5:$K$7,2,FALSE)*VLOOKUP(Sheet1!$A1015,Sheet2!$B$5:$H$29,3,FALSE),0)</x:f>
        <x:v>130</x:v>
      </x:c>
      <x:c r="E1015">
        <x:f>ROUND($C1015*10*VLOOKUP($B1015,Sheet2!$J$5:$K$7,2,FALSE)*VLOOKUP(Sheet1!$A1015,Sheet2!$B$5:$H$29,4,FALSE),0)</x:f>
        <x:v>389</x:v>
      </x:c>
      <x:c r="F1015">
        <x:f>ROUND($C1015*10*VLOOKUP($B1015,Sheet2!$J$5:$K$7,2,FALSE)*VLOOKUP(Sheet1!$A1015,Sheet2!$B$5:$H$29,5,FALSE),0)</x:f>
        <x:v>0</x:v>
      </x:c>
      <x:c r="G1015">
        <x:f>ROUND($C1015*10*VLOOKUP($B1015,Sheet2!$J$5:$K$7,2,FALSE)*VLOOKUP(Sheet1!$A1015,Sheet2!$B$5:$H$29,6,FALSE),0)</x:f>
        <x:v>0</x:v>
      </x:c>
      <x:c r="H1015">
        <x:f>ROUND($C1015*10*VLOOKUP($B1015,Sheet2!$J$5:$K$7,2,FALSE)*VLOOKUP(Sheet1!$A1015,Sheet2!$B$5:$H$29,7,FALSE),0)</x:f>
        <x:v>0</x:v>
      </x:c>
      <x:c r="I1015">
        <x:f t="shared" si="16"/>
        <x:v>53390</x:v>
      </x:c>
    </x:row>
    <x:row r="1016" spans="1:9" x14ac:dyDescent="0.15">
      <x:c r="A1016">
        <x:v>54051</x:v>
      </x:c>
      <x:c r="B1016">
        <x:v>2</x:v>
      </x:c>
      <x:c r="C1016">
        <x:v>55</x:v>
      </x:c>
      <x:c r="D1016">
        <x:f>ROUND($C1016*10*VLOOKUP($B1016,Sheet2!$J$5:$K$7,2,FALSE)*VLOOKUP(Sheet1!$A1016,Sheet2!$B$5:$H$29,3,FALSE),0)</x:f>
        <x:v>132</x:v>
      </x:c>
      <x:c r="E1016">
        <x:f>ROUND($C1016*10*VLOOKUP($B1016,Sheet2!$J$5:$K$7,2,FALSE)*VLOOKUP(Sheet1!$A1016,Sheet2!$B$5:$H$29,4,FALSE),0)</x:f>
        <x:v>396</x:v>
      </x:c>
      <x:c r="F1016">
        <x:f>ROUND($C1016*10*VLOOKUP($B1016,Sheet2!$J$5:$K$7,2,FALSE)*VLOOKUP(Sheet1!$A1016,Sheet2!$B$5:$H$29,5,FALSE),0)</x:f>
        <x:v>0</x:v>
      </x:c>
      <x:c r="G1016">
        <x:f>ROUND($C1016*10*VLOOKUP($B1016,Sheet2!$J$5:$K$7,2,FALSE)*VLOOKUP(Sheet1!$A1016,Sheet2!$B$5:$H$29,6,FALSE),0)</x:f>
        <x:v>0</x:v>
      </x:c>
      <x:c r="H1016">
        <x:f>ROUND($C1016*10*VLOOKUP($B1016,Sheet2!$J$5:$K$7,2,FALSE)*VLOOKUP(Sheet1!$A1016,Sheet2!$B$5:$H$29,7,FALSE),0)</x:f>
        <x:v>0</x:v>
      </x:c>
      <x:c r="I1016">
        <x:f t="shared" si="16"/>
        <x:v>55210</x:v>
      </x:c>
    </x:row>
    <x:row r="1017" spans="1:9" x14ac:dyDescent="0.15">
      <x:c r="A1017">
        <x:v>54051</x:v>
      </x:c>
      <x:c r="B1017">
        <x:v>2</x:v>
      </x:c>
      <x:c r="C1017">
        <x:v>56</x:v>
      </x:c>
      <x:c r="D1017">
        <x:f>ROUND($C1017*10*VLOOKUP($B1017,Sheet2!$J$5:$K$7,2,FALSE)*VLOOKUP(Sheet1!$A1017,Sheet2!$B$5:$H$29,3,FALSE),0)</x:f>
        <x:v>134</x:v>
      </x:c>
      <x:c r="E1017">
        <x:f>ROUND($C1017*10*VLOOKUP($B1017,Sheet2!$J$5:$K$7,2,FALSE)*VLOOKUP(Sheet1!$A1017,Sheet2!$B$5:$H$29,4,FALSE),0)</x:f>
        <x:v>403</x:v>
      </x:c>
      <x:c r="F1017">
        <x:f>ROUND($C1017*10*VLOOKUP($B1017,Sheet2!$J$5:$K$7,2,FALSE)*VLOOKUP(Sheet1!$A1017,Sheet2!$B$5:$H$29,5,FALSE),0)</x:f>
        <x:v>0</x:v>
      </x:c>
      <x:c r="G1017">
        <x:f>ROUND($C1017*10*VLOOKUP($B1017,Sheet2!$J$5:$K$7,2,FALSE)*VLOOKUP(Sheet1!$A1017,Sheet2!$B$5:$H$29,6,FALSE),0)</x:f>
        <x:v>0</x:v>
      </x:c>
      <x:c r="H1017">
        <x:f>ROUND($C1017*10*VLOOKUP($B1017,Sheet2!$J$5:$K$7,2,FALSE)*VLOOKUP(Sheet1!$A1017,Sheet2!$B$5:$H$29,7,FALSE),0)</x:f>
        <x:v>0</x:v>
      </x:c>
      <x:c r="I1017">
        <x:f t="shared" si="16"/>
        <x:v>57060</x:v>
      </x:c>
    </x:row>
    <x:row r="1018" spans="1:9" x14ac:dyDescent="0.15">
      <x:c r="A1018">
        <x:v>54051</x:v>
      </x:c>
      <x:c r="B1018">
        <x:v>2</x:v>
      </x:c>
      <x:c r="C1018">
        <x:v>57</x:v>
      </x:c>
      <x:c r="D1018">
        <x:f>ROUND($C1018*10*VLOOKUP($B1018,Sheet2!$J$5:$K$7,2,FALSE)*VLOOKUP(Sheet1!$A1018,Sheet2!$B$5:$H$29,3,FALSE),0)</x:f>
        <x:v>137</x:v>
      </x:c>
      <x:c r="E1018">
        <x:f>ROUND($C1018*10*VLOOKUP($B1018,Sheet2!$J$5:$K$7,2,FALSE)*VLOOKUP(Sheet1!$A1018,Sheet2!$B$5:$H$29,4,FALSE),0)</x:f>
        <x:v>410</x:v>
      </x:c>
      <x:c r="F1018">
        <x:f>ROUND($C1018*10*VLOOKUP($B1018,Sheet2!$J$5:$K$7,2,FALSE)*VLOOKUP(Sheet1!$A1018,Sheet2!$B$5:$H$29,5,FALSE),0)</x:f>
        <x:v>0</x:v>
      </x:c>
      <x:c r="G1018">
        <x:f>ROUND($C1018*10*VLOOKUP($B1018,Sheet2!$J$5:$K$7,2,FALSE)*VLOOKUP(Sheet1!$A1018,Sheet2!$B$5:$H$29,6,FALSE),0)</x:f>
        <x:v>0</x:v>
      </x:c>
      <x:c r="H1018">
        <x:f>ROUND($C1018*10*VLOOKUP($B1018,Sheet2!$J$5:$K$7,2,FALSE)*VLOOKUP(Sheet1!$A1018,Sheet2!$B$5:$H$29,7,FALSE),0)</x:f>
        <x:v>0</x:v>
      </x:c>
      <x:c r="I1018">
        <x:f t="shared" si="16"/>
        <x:v>58940</x:v>
      </x:c>
    </x:row>
    <x:row r="1019" spans="1:9" x14ac:dyDescent="0.15">
      <x:c r="A1019">
        <x:v>54051</x:v>
      </x:c>
      <x:c r="B1019">
        <x:v>2</x:v>
      </x:c>
      <x:c r="C1019">
        <x:v>58</x:v>
      </x:c>
      <x:c r="D1019">
        <x:f>ROUND($C1019*10*VLOOKUP($B1019,Sheet2!$J$5:$K$7,2,FALSE)*VLOOKUP(Sheet1!$A1019,Sheet2!$B$5:$H$29,3,FALSE),0)</x:f>
        <x:v>139</x:v>
      </x:c>
      <x:c r="E1019">
        <x:f>ROUND($C1019*10*VLOOKUP($B1019,Sheet2!$J$5:$K$7,2,FALSE)*VLOOKUP(Sheet1!$A1019,Sheet2!$B$5:$H$29,4,FALSE),0)</x:f>
        <x:v>418</x:v>
      </x:c>
      <x:c r="F1019">
        <x:f>ROUND($C1019*10*VLOOKUP($B1019,Sheet2!$J$5:$K$7,2,FALSE)*VLOOKUP(Sheet1!$A1019,Sheet2!$B$5:$H$29,5,FALSE),0)</x:f>
        <x:v>0</x:v>
      </x:c>
      <x:c r="G1019">
        <x:f>ROUND($C1019*10*VLOOKUP($B1019,Sheet2!$J$5:$K$7,2,FALSE)*VLOOKUP(Sheet1!$A1019,Sheet2!$B$5:$H$29,6,FALSE),0)</x:f>
        <x:v>0</x:v>
      </x:c>
      <x:c r="H1019">
        <x:f>ROUND($C1019*10*VLOOKUP($B1019,Sheet2!$J$5:$K$7,2,FALSE)*VLOOKUP(Sheet1!$A1019,Sheet2!$B$5:$H$29,7,FALSE),0)</x:f>
        <x:v>0</x:v>
      </x:c>
      <x:c r="I1019">
        <x:f t="shared" si="16"/>
        <x:v>60850</x:v>
      </x:c>
    </x:row>
    <x:row r="1020" spans="1:9" x14ac:dyDescent="0.15">
      <x:c r="A1020">
        <x:v>54051</x:v>
      </x:c>
      <x:c r="B1020">
        <x:v>2</x:v>
      </x:c>
      <x:c r="C1020">
        <x:v>59</x:v>
      </x:c>
      <x:c r="D1020">
        <x:f>ROUND($C1020*10*VLOOKUP($B1020,Sheet2!$J$5:$K$7,2,FALSE)*VLOOKUP(Sheet1!$A1020,Sheet2!$B$5:$H$29,3,FALSE),0)</x:f>
        <x:v>142</x:v>
      </x:c>
      <x:c r="E1020">
        <x:f>ROUND($C1020*10*VLOOKUP($B1020,Sheet2!$J$5:$K$7,2,FALSE)*VLOOKUP(Sheet1!$A1020,Sheet2!$B$5:$H$29,4,FALSE),0)</x:f>
        <x:v>425</x:v>
      </x:c>
      <x:c r="F1020">
        <x:f>ROUND($C1020*10*VLOOKUP($B1020,Sheet2!$J$5:$K$7,2,FALSE)*VLOOKUP(Sheet1!$A1020,Sheet2!$B$5:$H$29,5,FALSE),0)</x:f>
        <x:v>0</x:v>
      </x:c>
      <x:c r="G1020">
        <x:f>ROUND($C1020*10*VLOOKUP($B1020,Sheet2!$J$5:$K$7,2,FALSE)*VLOOKUP(Sheet1!$A1020,Sheet2!$B$5:$H$29,6,FALSE),0)</x:f>
        <x:v>0</x:v>
      </x:c>
      <x:c r="H1020">
        <x:f>ROUND($C1020*10*VLOOKUP($B1020,Sheet2!$J$5:$K$7,2,FALSE)*VLOOKUP(Sheet1!$A1020,Sheet2!$B$5:$H$29,7,FALSE),0)</x:f>
        <x:v>0</x:v>
      </x:c>
      <x:c r="I1020">
        <x:f t="shared" si="16"/>
        <x:v>62780</x:v>
      </x:c>
    </x:row>
    <x:row r="1021" spans="1:9" x14ac:dyDescent="0.15">
      <x:c r="A1021">
        <x:v>54051</x:v>
      </x:c>
      <x:c r="B1021">
        <x:v>2</x:v>
      </x:c>
      <x:c r="C1021">
        <x:v>60</x:v>
      </x:c>
      <x:c r="D1021">
        <x:f>ROUND($C1021*10*VLOOKUP($B1021,Sheet2!$J$5:$K$7,2,FALSE)*VLOOKUP(Sheet1!$A1021,Sheet2!$B$5:$H$29,3,FALSE),0)</x:f>
        <x:v>144</x:v>
      </x:c>
      <x:c r="E1021">
        <x:f>ROUND($C1021*10*VLOOKUP($B1021,Sheet2!$J$5:$K$7,2,FALSE)*VLOOKUP(Sheet1!$A1021,Sheet2!$B$5:$H$29,4,FALSE),0)</x:f>
        <x:v>432</x:v>
      </x:c>
      <x:c r="F1021">
        <x:f>ROUND($C1021*10*VLOOKUP($B1021,Sheet2!$J$5:$K$7,2,FALSE)*VLOOKUP(Sheet1!$A1021,Sheet2!$B$5:$H$29,5,FALSE),0)</x:f>
        <x:v>0</x:v>
      </x:c>
      <x:c r="G1021">
        <x:f>ROUND($C1021*10*VLOOKUP($B1021,Sheet2!$J$5:$K$7,2,FALSE)*VLOOKUP(Sheet1!$A1021,Sheet2!$B$5:$H$29,6,FALSE),0)</x:f>
        <x:v>0</x:v>
      </x:c>
      <x:c r="H1021">
        <x:f>ROUND($C1021*10*VLOOKUP($B1021,Sheet2!$J$5:$K$7,2,FALSE)*VLOOKUP(Sheet1!$A1021,Sheet2!$B$5:$H$29,7,FALSE),0)</x:f>
        <x:v>0</x:v>
      </x:c>
      <x:c r="I1021">
        <x:f t="shared" si="16"/>
        <x:v>64740</x:v>
      </x:c>
    </x:row>
    <x:row r="1022" spans="1:9" x14ac:dyDescent="0.15">
      <x:c r="A1022">
        <x:v>54051</x:v>
      </x:c>
      <x:c r="B1022">
        <x:v>3</x:v>
      </x:c>
      <x:c r="C1022">
        <x:v>1</x:v>
      </x:c>
      <x:c r="D1022">
        <x:f>ROUND($C1022*10*VLOOKUP($B1022,Sheet2!$J$5:$K$7,2,FALSE)*VLOOKUP(Sheet1!$A1022,Sheet2!$B$5:$H$29,3,FALSE),0)</x:f>
        <x:v>4</x:v>
      </x:c>
      <x:c r="E1022">
        <x:f>ROUND($C1022*10*VLOOKUP($B1022,Sheet2!$J$5:$K$7,2,FALSE)*VLOOKUP(Sheet1!$A1022,Sheet2!$B$5:$H$29,4,FALSE),0)</x:f>
        <x:v>12</x:v>
      </x:c>
      <x:c r="F1022">
        <x:f>ROUND($C1022*10*VLOOKUP($B1022,Sheet2!$J$5:$K$7,2,FALSE)*VLOOKUP(Sheet1!$A1022,Sheet2!$B$5:$H$29,5,FALSE),0)</x:f>
        <x:v>0</x:v>
      </x:c>
      <x:c r="G1022">
        <x:f>ROUND($C1022*10*VLOOKUP($B1022,Sheet2!$J$5:$K$7,2,FALSE)*VLOOKUP(Sheet1!$A1022,Sheet2!$B$5:$H$29,6,FALSE),0)</x:f>
        <x:v>0</x:v>
      </x:c>
      <x:c r="H1022">
        <x:f>ROUND($C1022*10*VLOOKUP($B1022,Sheet2!$J$5:$K$7,2,FALSE)*VLOOKUP(Sheet1!$A1022,Sheet2!$B$5:$H$29,7,FALSE),0)</x:f>
        <x:v>0</x:v>
      </x:c>
      <x:c r="I1022">
        <x:f t="shared" ref="I1022:I1081" si="17">ROUND(1.2*10*10.5*(C1022-1)^1.8+90,-1)</x:f>
        <x:v>90</x:v>
      </x:c>
    </x:row>
    <x:row r="1023" spans="1:9" x14ac:dyDescent="0.15">
      <x:c r="A1023">
        <x:v>54051</x:v>
      </x:c>
      <x:c r="B1023">
        <x:v>3</x:v>
      </x:c>
      <x:c r="C1023">
        <x:v>2</x:v>
      </x:c>
      <x:c r="D1023">
        <x:f>ROUND($C1023*10*VLOOKUP($B1023,Sheet2!$J$5:$K$7,2,FALSE)*VLOOKUP(Sheet1!$A1023,Sheet2!$B$5:$H$29,3,FALSE),0)</x:f>
        <x:v>8</x:v>
      </x:c>
      <x:c r="E1023">
        <x:f>ROUND($C1023*10*VLOOKUP($B1023,Sheet2!$J$5:$K$7,2,FALSE)*VLOOKUP(Sheet1!$A1023,Sheet2!$B$5:$H$29,4,FALSE),0)</x:f>
        <x:v>24</x:v>
      </x:c>
      <x:c r="F1023">
        <x:f>ROUND($C1023*10*VLOOKUP($B1023,Sheet2!$J$5:$K$7,2,FALSE)*VLOOKUP(Sheet1!$A1023,Sheet2!$B$5:$H$29,5,FALSE),0)</x:f>
        <x:v>0</x:v>
      </x:c>
      <x:c r="G1023">
        <x:f>ROUND($C1023*10*VLOOKUP($B1023,Sheet2!$J$5:$K$7,2,FALSE)*VLOOKUP(Sheet1!$A1023,Sheet2!$B$5:$H$29,6,FALSE),0)</x:f>
        <x:v>0</x:v>
      </x:c>
      <x:c r="H1023">
        <x:f>ROUND($C1023*10*VLOOKUP($B1023,Sheet2!$J$5:$K$7,2,FALSE)*VLOOKUP(Sheet1!$A1023,Sheet2!$B$5:$H$29,7,FALSE),0)</x:f>
        <x:v>0</x:v>
      </x:c>
      <x:c r="I1023">
        <x:f t="shared" si="17"/>
        <x:v>220</x:v>
      </x:c>
    </x:row>
    <x:row r="1024" spans="1:9" x14ac:dyDescent="0.15">
      <x:c r="A1024">
        <x:v>54051</x:v>
      </x:c>
      <x:c r="B1024">
        <x:v>3</x:v>
      </x:c>
      <x:c r="C1024">
        <x:v>3</x:v>
      </x:c>
      <x:c r="D1024">
        <x:f>ROUND($C1024*10*VLOOKUP($B1024,Sheet2!$J$5:$K$7,2,FALSE)*VLOOKUP(Sheet1!$A1024,Sheet2!$B$5:$H$29,3,FALSE),0)</x:f>
        <x:v>12</x:v>
      </x:c>
      <x:c r="E1024">
        <x:f>ROUND($C1024*10*VLOOKUP($B1024,Sheet2!$J$5:$K$7,2,FALSE)*VLOOKUP(Sheet1!$A1024,Sheet2!$B$5:$H$29,4,FALSE),0)</x:f>
        <x:v>36</x:v>
      </x:c>
      <x:c r="F1024">
        <x:f>ROUND($C1024*10*VLOOKUP($B1024,Sheet2!$J$5:$K$7,2,FALSE)*VLOOKUP(Sheet1!$A1024,Sheet2!$B$5:$H$29,5,FALSE),0)</x:f>
        <x:v>0</x:v>
      </x:c>
      <x:c r="G1024">
        <x:f>ROUND($C1024*10*VLOOKUP($B1024,Sheet2!$J$5:$K$7,2,FALSE)*VLOOKUP(Sheet1!$A1024,Sheet2!$B$5:$H$29,6,FALSE),0)</x:f>
        <x:v>0</x:v>
      </x:c>
      <x:c r="H1024">
        <x:f>ROUND($C1024*10*VLOOKUP($B1024,Sheet2!$J$5:$K$7,2,FALSE)*VLOOKUP(Sheet1!$A1024,Sheet2!$B$5:$H$29,7,FALSE),0)</x:f>
        <x:v>0</x:v>
      </x:c>
      <x:c r="I1024">
        <x:f t="shared" si="17"/>
        <x:v>530</x:v>
      </x:c>
    </x:row>
    <x:row r="1025" spans="1:9" x14ac:dyDescent="0.15">
      <x:c r="A1025">
        <x:v>54051</x:v>
      </x:c>
      <x:c r="B1025">
        <x:v>3</x:v>
      </x:c>
      <x:c r="C1025">
        <x:v>4</x:v>
      </x:c>
      <x:c r="D1025">
        <x:f>ROUND($C1025*10*VLOOKUP($B1025,Sheet2!$J$5:$K$7,2,FALSE)*VLOOKUP(Sheet1!$A1025,Sheet2!$B$5:$H$29,3,FALSE),0)</x:f>
        <x:v>16</x:v>
      </x:c>
      <x:c r="E1025">
        <x:f>ROUND($C1025*10*VLOOKUP($B1025,Sheet2!$J$5:$K$7,2,FALSE)*VLOOKUP(Sheet1!$A1025,Sheet2!$B$5:$H$29,4,FALSE),0)</x:f>
        <x:v>48</x:v>
      </x:c>
      <x:c r="F1025">
        <x:f>ROUND($C1025*10*VLOOKUP($B1025,Sheet2!$J$5:$K$7,2,FALSE)*VLOOKUP(Sheet1!$A1025,Sheet2!$B$5:$H$29,5,FALSE),0)</x:f>
        <x:v>0</x:v>
      </x:c>
      <x:c r="G1025">
        <x:f>ROUND($C1025*10*VLOOKUP($B1025,Sheet2!$J$5:$K$7,2,FALSE)*VLOOKUP(Sheet1!$A1025,Sheet2!$B$5:$H$29,6,FALSE),0)</x:f>
        <x:v>0</x:v>
      </x:c>
      <x:c r="H1025">
        <x:f>ROUND($C1025*10*VLOOKUP($B1025,Sheet2!$J$5:$K$7,2,FALSE)*VLOOKUP(Sheet1!$A1025,Sheet2!$B$5:$H$29,7,FALSE),0)</x:f>
        <x:v>0</x:v>
      </x:c>
      <x:c r="I1025">
        <x:f t="shared" si="17"/>
        <x:v>1000</x:v>
      </x:c>
    </x:row>
    <x:row r="1026" spans="1:9" x14ac:dyDescent="0.15">
      <x:c r="A1026">
        <x:v>54051</x:v>
      </x:c>
      <x:c r="B1026">
        <x:v>3</x:v>
      </x:c>
      <x:c r="C1026">
        <x:v>5</x:v>
      </x:c>
      <x:c r="D1026">
        <x:f>ROUND($C1026*10*VLOOKUP($B1026,Sheet2!$J$5:$K$7,2,FALSE)*VLOOKUP(Sheet1!$A1026,Sheet2!$B$5:$H$29,3,FALSE),0)</x:f>
        <x:v>20</x:v>
      </x:c>
      <x:c r="E1026">
        <x:f>ROUND($C1026*10*VLOOKUP($B1026,Sheet2!$J$5:$K$7,2,FALSE)*VLOOKUP(Sheet1!$A1026,Sheet2!$B$5:$H$29,4,FALSE),0)</x:f>
        <x:v>60</x:v>
      </x:c>
      <x:c r="F1026">
        <x:f>ROUND($C1026*10*VLOOKUP($B1026,Sheet2!$J$5:$K$7,2,FALSE)*VLOOKUP(Sheet1!$A1026,Sheet2!$B$5:$H$29,5,FALSE),0)</x:f>
        <x:v>0</x:v>
      </x:c>
      <x:c r="G1026">
        <x:f>ROUND($C1026*10*VLOOKUP($B1026,Sheet2!$J$5:$K$7,2,FALSE)*VLOOKUP(Sheet1!$A1026,Sheet2!$B$5:$H$29,6,FALSE),0)</x:f>
        <x:v>0</x:v>
      </x:c>
      <x:c r="H1026">
        <x:f>ROUND($C1026*10*VLOOKUP($B1026,Sheet2!$J$5:$K$7,2,FALSE)*VLOOKUP(Sheet1!$A1026,Sheet2!$B$5:$H$29,7,FALSE),0)</x:f>
        <x:v>0</x:v>
      </x:c>
      <x:c r="I1026">
        <x:f t="shared" si="17"/>
        <x:v>1620</x:v>
      </x:c>
    </x:row>
    <x:row r="1027" spans="1:9" x14ac:dyDescent="0.15">
      <x:c r="A1027">
        <x:v>54051</x:v>
      </x:c>
      <x:c r="B1027">
        <x:v>3</x:v>
      </x:c>
      <x:c r="C1027">
        <x:v>6</x:v>
      </x:c>
      <x:c r="D1027">
        <x:f>ROUND($C1027*10*VLOOKUP($B1027,Sheet2!$J$5:$K$7,2,FALSE)*VLOOKUP(Sheet1!$A1027,Sheet2!$B$5:$H$29,3,FALSE),0)</x:f>
        <x:v>24</x:v>
      </x:c>
      <x:c r="E1027">
        <x:f>ROUND($C1027*10*VLOOKUP($B1027,Sheet2!$J$5:$K$7,2,FALSE)*VLOOKUP(Sheet1!$A1027,Sheet2!$B$5:$H$29,4,FALSE),0)</x:f>
        <x:v>72</x:v>
      </x:c>
      <x:c r="F1027">
        <x:f>ROUND($C1027*10*VLOOKUP($B1027,Sheet2!$J$5:$K$7,2,FALSE)*VLOOKUP(Sheet1!$A1027,Sheet2!$B$5:$H$29,5,FALSE),0)</x:f>
        <x:v>0</x:v>
      </x:c>
      <x:c r="G1027">
        <x:f>ROUND($C1027*10*VLOOKUP($B1027,Sheet2!$J$5:$K$7,2,FALSE)*VLOOKUP(Sheet1!$A1027,Sheet2!$B$5:$H$29,6,FALSE),0)</x:f>
        <x:v>0</x:v>
      </x:c>
      <x:c r="H1027">
        <x:f>ROUND($C1027*10*VLOOKUP($B1027,Sheet2!$J$5:$K$7,2,FALSE)*VLOOKUP(Sheet1!$A1027,Sheet2!$B$5:$H$29,7,FALSE),0)</x:f>
        <x:v>0</x:v>
      </x:c>
      <x:c r="I1027">
        <x:f t="shared" si="17"/>
        <x:v>2370</x:v>
      </x:c>
    </x:row>
    <x:row r="1028" spans="1:9" x14ac:dyDescent="0.15">
      <x:c r="A1028">
        <x:v>54051</x:v>
      </x:c>
      <x:c r="B1028">
        <x:v>3</x:v>
      </x:c>
      <x:c r="C1028">
        <x:v>7</x:v>
      </x:c>
      <x:c r="D1028">
        <x:f>ROUND($C1028*10*VLOOKUP($B1028,Sheet2!$J$5:$K$7,2,FALSE)*VLOOKUP(Sheet1!$A1028,Sheet2!$B$5:$H$29,3,FALSE),0)</x:f>
        <x:v>28</x:v>
      </x:c>
      <x:c r="E1028">
        <x:f>ROUND($C1028*10*VLOOKUP($B1028,Sheet2!$J$5:$K$7,2,FALSE)*VLOOKUP(Sheet1!$A1028,Sheet2!$B$5:$H$29,4,FALSE),0)</x:f>
        <x:v>84</x:v>
      </x:c>
      <x:c r="F1028">
        <x:f>ROUND($C1028*10*VLOOKUP($B1028,Sheet2!$J$5:$K$7,2,FALSE)*VLOOKUP(Sheet1!$A1028,Sheet2!$B$5:$H$29,5,FALSE),0)</x:f>
        <x:v>0</x:v>
      </x:c>
      <x:c r="G1028">
        <x:f>ROUND($C1028*10*VLOOKUP($B1028,Sheet2!$J$5:$K$7,2,FALSE)*VLOOKUP(Sheet1!$A1028,Sheet2!$B$5:$H$29,6,FALSE),0)</x:f>
        <x:v>0</x:v>
      </x:c>
      <x:c r="H1028">
        <x:f>ROUND($C1028*10*VLOOKUP($B1028,Sheet2!$J$5:$K$7,2,FALSE)*VLOOKUP(Sheet1!$A1028,Sheet2!$B$5:$H$29,7,FALSE),0)</x:f>
        <x:v>0</x:v>
      </x:c>
      <x:c r="I1028">
        <x:f t="shared" si="17"/>
        <x:v>3260</x:v>
      </x:c>
    </x:row>
    <x:row r="1029" spans="1:9" x14ac:dyDescent="0.15">
      <x:c r="A1029">
        <x:v>54051</x:v>
      </x:c>
      <x:c r="B1029">
        <x:v>3</x:v>
      </x:c>
      <x:c r="C1029">
        <x:v>8</x:v>
      </x:c>
      <x:c r="D1029">
        <x:f>ROUND($C1029*10*VLOOKUP($B1029,Sheet2!$J$5:$K$7,2,FALSE)*VLOOKUP(Sheet1!$A1029,Sheet2!$B$5:$H$29,3,FALSE),0)</x:f>
        <x:v>32</x:v>
      </x:c>
      <x:c r="E1029">
        <x:f>ROUND($C1029*10*VLOOKUP($B1029,Sheet2!$J$5:$K$7,2,FALSE)*VLOOKUP(Sheet1!$A1029,Sheet2!$B$5:$H$29,4,FALSE),0)</x:f>
        <x:v>96</x:v>
      </x:c>
      <x:c r="F1029">
        <x:f>ROUND($C1029*10*VLOOKUP($B1029,Sheet2!$J$5:$K$7,2,FALSE)*VLOOKUP(Sheet1!$A1029,Sheet2!$B$5:$H$29,5,FALSE),0)</x:f>
        <x:v>0</x:v>
      </x:c>
      <x:c r="G1029">
        <x:f>ROUND($C1029*10*VLOOKUP($B1029,Sheet2!$J$5:$K$7,2,FALSE)*VLOOKUP(Sheet1!$A1029,Sheet2!$B$5:$H$29,6,FALSE),0)</x:f>
        <x:v>0</x:v>
      </x:c>
      <x:c r="H1029">
        <x:f>ROUND($C1029*10*VLOOKUP($B1029,Sheet2!$J$5:$K$7,2,FALSE)*VLOOKUP(Sheet1!$A1029,Sheet2!$B$5:$H$29,7,FALSE),0)</x:f>
        <x:v>0</x:v>
      </x:c>
      <x:c r="I1029">
        <x:f t="shared" si="17"/>
        <x:v>4270</x:v>
      </x:c>
    </x:row>
    <x:row r="1030" spans="1:9" x14ac:dyDescent="0.15">
      <x:c r="A1030">
        <x:v>54051</x:v>
      </x:c>
      <x:c r="B1030">
        <x:v>3</x:v>
      </x:c>
      <x:c r="C1030">
        <x:v>9</x:v>
      </x:c>
      <x:c r="D1030">
        <x:f>ROUND($C1030*10*VLOOKUP($B1030,Sheet2!$J$5:$K$7,2,FALSE)*VLOOKUP(Sheet1!$A1030,Sheet2!$B$5:$H$29,3,FALSE),0)</x:f>
        <x:v>36</x:v>
      </x:c>
      <x:c r="E1030">
        <x:f>ROUND($C1030*10*VLOOKUP($B1030,Sheet2!$J$5:$K$7,2,FALSE)*VLOOKUP(Sheet1!$A1030,Sheet2!$B$5:$H$29,4,FALSE),0)</x:f>
        <x:v>108</x:v>
      </x:c>
      <x:c r="F1030">
        <x:f>ROUND($C1030*10*VLOOKUP($B1030,Sheet2!$J$5:$K$7,2,FALSE)*VLOOKUP(Sheet1!$A1030,Sheet2!$B$5:$H$29,5,FALSE),0)</x:f>
        <x:v>0</x:v>
      </x:c>
      <x:c r="G1030">
        <x:f>ROUND($C1030*10*VLOOKUP($B1030,Sheet2!$J$5:$K$7,2,FALSE)*VLOOKUP(Sheet1!$A1030,Sheet2!$B$5:$H$29,6,FALSE),0)</x:f>
        <x:v>0</x:v>
      </x:c>
      <x:c r="H1030">
        <x:f>ROUND($C1030*10*VLOOKUP($B1030,Sheet2!$J$5:$K$7,2,FALSE)*VLOOKUP(Sheet1!$A1030,Sheet2!$B$5:$H$29,7,FALSE),0)</x:f>
        <x:v>0</x:v>
      </x:c>
      <x:c r="I1030">
        <x:f t="shared" si="17"/>
        <x:v>5410</x:v>
      </x:c>
    </x:row>
    <x:row r="1031" spans="1:9" x14ac:dyDescent="0.15">
      <x:c r="A1031">
        <x:v>54051</x:v>
      </x:c>
      <x:c r="B1031">
        <x:v>3</x:v>
      </x:c>
      <x:c r="C1031">
        <x:v>10</x:v>
      </x:c>
      <x:c r="D1031">
        <x:f>ROUND($C1031*10*VLOOKUP($B1031,Sheet2!$J$5:$K$7,2,FALSE)*VLOOKUP(Sheet1!$A1031,Sheet2!$B$5:$H$29,3,FALSE),0)</x:f>
        <x:v>40</x:v>
      </x:c>
      <x:c r="E1031">
        <x:f>ROUND($C1031*10*VLOOKUP($B1031,Sheet2!$J$5:$K$7,2,FALSE)*VLOOKUP(Sheet1!$A1031,Sheet2!$B$5:$H$29,4,FALSE),0)</x:f>
        <x:v>120</x:v>
      </x:c>
      <x:c r="F1031">
        <x:f>ROUND($C1031*10*VLOOKUP($B1031,Sheet2!$J$5:$K$7,2,FALSE)*VLOOKUP(Sheet1!$A1031,Sheet2!$B$5:$H$29,5,FALSE),0)</x:f>
        <x:v>0</x:v>
      </x:c>
      <x:c r="G1031">
        <x:f>ROUND($C1031*10*VLOOKUP($B1031,Sheet2!$J$5:$K$7,2,FALSE)*VLOOKUP(Sheet1!$A1031,Sheet2!$B$5:$H$29,6,FALSE),0)</x:f>
        <x:v>0</x:v>
      </x:c>
      <x:c r="H1031">
        <x:f>ROUND($C1031*10*VLOOKUP($B1031,Sheet2!$J$5:$K$7,2,FALSE)*VLOOKUP(Sheet1!$A1031,Sheet2!$B$5:$H$29,7,FALSE),0)</x:f>
        <x:v>0</x:v>
      </x:c>
      <x:c r="I1031">
        <x:f t="shared" si="17"/>
        <x:v>6670</x:v>
      </x:c>
    </x:row>
    <x:row r="1032" spans="1:9" x14ac:dyDescent="0.15">
      <x:c r="A1032">
        <x:v>54051</x:v>
      </x:c>
      <x:c r="B1032">
        <x:v>3</x:v>
      </x:c>
      <x:c r="C1032">
        <x:v>11</x:v>
      </x:c>
      <x:c r="D1032">
        <x:f>ROUND($C1032*10*VLOOKUP($B1032,Sheet2!$J$5:$K$7,2,FALSE)*VLOOKUP(Sheet1!$A1032,Sheet2!$B$5:$H$29,3,FALSE),0)</x:f>
        <x:v>44</x:v>
      </x:c>
      <x:c r="E1032">
        <x:f>ROUND($C1032*10*VLOOKUP($B1032,Sheet2!$J$5:$K$7,2,FALSE)*VLOOKUP(Sheet1!$A1032,Sheet2!$B$5:$H$29,4,FALSE),0)</x:f>
        <x:v>132</x:v>
      </x:c>
      <x:c r="F1032">
        <x:f>ROUND($C1032*10*VLOOKUP($B1032,Sheet2!$J$5:$K$7,2,FALSE)*VLOOKUP(Sheet1!$A1032,Sheet2!$B$5:$H$29,5,FALSE),0)</x:f>
        <x:v>0</x:v>
      </x:c>
      <x:c r="G1032">
        <x:f>ROUND($C1032*10*VLOOKUP($B1032,Sheet2!$J$5:$K$7,2,FALSE)*VLOOKUP(Sheet1!$A1032,Sheet2!$B$5:$H$29,6,FALSE),0)</x:f>
        <x:v>0</x:v>
      </x:c>
      <x:c r="H1032">
        <x:f>ROUND($C1032*10*VLOOKUP($B1032,Sheet2!$J$5:$K$7,2,FALSE)*VLOOKUP(Sheet1!$A1032,Sheet2!$B$5:$H$29,7,FALSE),0)</x:f>
        <x:v>0</x:v>
      </x:c>
      <x:c r="I1032">
        <x:f t="shared" si="17"/>
        <x:v>8040</x:v>
      </x:c>
    </x:row>
    <x:row r="1033" spans="1:9" x14ac:dyDescent="0.15">
      <x:c r="A1033">
        <x:v>54051</x:v>
      </x:c>
      <x:c r="B1033">
        <x:v>3</x:v>
      </x:c>
      <x:c r="C1033">
        <x:v>12</x:v>
      </x:c>
      <x:c r="D1033">
        <x:f>ROUND($C1033*10*VLOOKUP($B1033,Sheet2!$J$5:$K$7,2,FALSE)*VLOOKUP(Sheet1!$A1033,Sheet2!$B$5:$H$29,3,FALSE),0)</x:f>
        <x:v>48</x:v>
      </x:c>
      <x:c r="E1033">
        <x:f>ROUND($C1033*10*VLOOKUP($B1033,Sheet2!$J$5:$K$7,2,FALSE)*VLOOKUP(Sheet1!$A1033,Sheet2!$B$5:$H$29,4,FALSE),0)</x:f>
        <x:v>144</x:v>
      </x:c>
      <x:c r="F1033">
        <x:f>ROUND($C1033*10*VLOOKUP($B1033,Sheet2!$J$5:$K$7,2,FALSE)*VLOOKUP(Sheet1!$A1033,Sheet2!$B$5:$H$29,5,FALSE),0)</x:f>
        <x:v>0</x:v>
      </x:c>
      <x:c r="G1033">
        <x:f>ROUND($C1033*10*VLOOKUP($B1033,Sheet2!$J$5:$K$7,2,FALSE)*VLOOKUP(Sheet1!$A1033,Sheet2!$B$5:$H$29,6,FALSE),0)</x:f>
        <x:v>0</x:v>
      </x:c>
      <x:c r="H1033">
        <x:f>ROUND($C1033*10*VLOOKUP($B1033,Sheet2!$J$5:$K$7,2,FALSE)*VLOOKUP(Sheet1!$A1033,Sheet2!$B$5:$H$29,7,FALSE),0)</x:f>
        <x:v>0</x:v>
      </x:c>
      <x:c r="I1033">
        <x:f t="shared" si="17"/>
        <x:v>9530</x:v>
      </x:c>
    </x:row>
    <x:row r="1034" spans="1:9" x14ac:dyDescent="0.15">
      <x:c r="A1034">
        <x:v>54051</x:v>
      </x:c>
      <x:c r="B1034">
        <x:v>3</x:v>
      </x:c>
      <x:c r="C1034">
        <x:v>13</x:v>
      </x:c>
      <x:c r="D1034">
        <x:f>ROUND($C1034*10*VLOOKUP($B1034,Sheet2!$J$5:$K$7,2,FALSE)*VLOOKUP(Sheet1!$A1034,Sheet2!$B$5:$H$29,3,FALSE),0)</x:f>
        <x:v>52</x:v>
      </x:c>
      <x:c r="E1034">
        <x:f>ROUND($C1034*10*VLOOKUP($B1034,Sheet2!$J$5:$K$7,2,FALSE)*VLOOKUP(Sheet1!$A1034,Sheet2!$B$5:$H$29,4,FALSE),0)</x:f>
        <x:v>156</x:v>
      </x:c>
      <x:c r="F1034">
        <x:f>ROUND($C1034*10*VLOOKUP($B1034,Sheet2!$J$5:$K$7,2,FALSE)*VLOOKUP(Sheet1!$A1034,Sheet2!$B$5:$H$29,5,FALSE),0)</x:f>
        <x:v>0</x:v>
      </x:c>
      <x:c r="G1034">
        <x:f>ROUND($C1034*10*VLOOKUP($B1034,Sheet2!$J$5:$K$7,2,FALSE)*VLOOKUP(Sheet1!$A1034,Sheet2!$B$5:$H$29,6,FALSE),0)</x:f>
        <x:v>0</x:v>
      </x:c>
      <x:c r="H1034">
        <x:f>ROUND($C1034*10*VLOOKUP($B1034,Sheet2!$J$5:$K$7,2,FALSE)*VLOOKUP(Sheet1!$A1034,Sheet2!$B$5:$H$29,7,FALSE),0)</x:f>
        <x:v>0</x:v>
      </x:c>
      <x:c r="I1034">
        <x:f t="shared" si="17"/>
        <x:v>11130</x:v>
      </x:c>
    </x:row>
    <x:row r="1035" spans="1:9" x14ac:dyDescent="0.15">
      <x:c r="A1035">
        <x:v>54051</x:v>
      </x:c>
      <x:c r="B1035">
        <x:v>3</x:v>
      </x:c>
      <x:c r="C1035">
        <x:v>14</x:v>
      </x:c>
      <x:c r="D1035">
        <x:f>ROUND($C1035*10*VLOOKUP($B1035,Sheet2!$J$5:$K$7,2,FALSE)*VLOOKUP(Sheet1!$A1035,Sheet2!$B$5:$H$29,3,FALSE),0)</x:f>
        <x:v>56</x:v>
      </x:c>
      <x:c r="E1035">
        <x:f>ROUND($C1035*10*VLOOKUP($B1035,Sheet2!$J$5:$K$7,2,FALSE)*VLOOKUP(Sheet1!$A1035,Sheet2!$B$5:$H$29,4,FALSE),0)</x:f>
        <x:v>168</x:v>
      </x:c>
      <x:c r="F1035">
        <x:f>ROUND($C1035*10*VLOOKUP($B1035,Sheet2!$J$5:$K$7,2,FALSE)*VLOOKUP(Sheet1!$A1035,Sheet2!$B$5:$H$29,5,FALSE),0)</x:f>
        <x:v>0</x:v>
      </x:c>
      <x:c r="G1035">
        <x:f>ROUND($C1035*10*VLOOKUP($B1035,Sheet2!$J$5:$K$7,2,FALSE)*VLOOKUP(Sheet1!$A1035,Sheet2!$B$5:$H$29,6,FALSE),0)</x:f>
        <x:v>0</x:v>
      </x:c>
      <x:c r="H1035">
        <x:f>ROUND($C1035*10*VLOOKUP($B1035,Sheet2!$J$5:$K$7,2,FALSE)*VLOOKUP(Sheet1!$A1035,Sheet2!$B$5:$H$29,7,FALSE),0)</x:f>
        <x:v>0</x:v>
      </x:c>
      <x:c r="I1035">
        <x:f t="shared" si="17"/>
        <x:v>12840</x:v>
      </x:c>
    </x:row>
    <x:row r="1036" spans="1:9" x14ac:dyDescent="0.15">
      <x:c r="A1036">
        <x:v>54051</x:v>
      </x:c>
      <x:c r="B1036">
        <x:v>3</x:v>
      </x:c>
      <x:c r="C1036">
        <x:v>15</x:v>
      </x:c>
      <x:c r="D1036">
        <x:f>ROUND($C1036*10*VLOOKUP($B1036,Sheet2!$J$5:$K$7,2,FALSE)*VLOOKUP(Sheet1!$A1036,Sheet2!$B$5:$H$29,3,FALSE),0)</x:f>
        <x:v>60</x:v>
      </x:c>
      <x:c r="E1036">
        <x:f>ROUND($C1036*10*VLOOKUP($B1036,Sheet2!$J$5:$K$7,2,FALSE)*VLOOKUP(Sheet1!$A1036,Sheet2!$B$5:$H$29,4,FALSE),0)</x:f>
        <x:v>180</x:v>
      </x:c>
      <x:c r="F1036">
        <x:f>ROUND($C1036*10*VLOOKUP($B1036,Sheet2!$J$5:$K$7,2,FALSE)*VLOOKUP(Sheet1!$A1036,Sheet2!$B$5:$H$29,5,FALSE),0)</x:f>
        <x:v>0</x:v>
      </x:c>
      <x:c r="G1036">
        <x:f>ROUND($C1036*10*VLOOKUP($B1036,Sheet2!$J$5:$K$7,2,FALSE)*VLOOKUP(Sheet1!$A1036,Sheet2!$B$5:$H$29,6,FALSE),0)</x:f>
        <x:v>0</x:v>
      </x:c>
      <x:c r="H1036">
        <x:f>ROUND($C1036*10*VLOOKUP($B1036,Sheet2!$J$5:$K$7,2,FALSE)*VLOOKUP(Sheet1!$A1036,Sheet2!$B$5:$H$29,7,FALSE),0)</x:f>
        <x:v>0</x:v>
      </x:c>
      <x:c r="I1036">
        <x:f t="shared" si="17"/>
        <x:v>14660</x:v>
      </x:c>
    </x:row>
    <x:row r="1037" spans="1:9" x14ac:dyDescent="0.15">
      <x:c r="A1037">
        <x:v>54051</x:v>
      </x:c>
      <x:c r="B1037">
        <x:v>3</x:v>
      </x:c>
      <x:c r="C1037">
        <x:v>16</x:v>
      </x:c>
      <x:c r="D1037">
        <x:f>ROUND($C1037*10*VLOOKUP($B1037,Sheet2!$J$5:$K$7,2,FALSE)*VLOOKUP(Sheet1!$A1037,Sheet2!$B$5:$H$29,3,FALSE),0)</x:f>
        <x:v>64</x:v>
      </x:c>
      <x:c r="E1037">
        <x:f>ROUND($C1037*10*VLOOKUP($B1037,Sheet2!$J$5:$K$7,2,FALSE)*VLOOKUP(Sheet1!$A1037,Sheet2!$B$5:$H$29,4,FALSE),0)</x:f>
        <x:v>192</x:v>
      </x:c>
      <x:c r="F1037">
        <x:f>ROUND($C1037*10*VLOOKUP($B1037,Sheet2!$J$5:$K$7,2,FALSE)*VLOOKUP(Sheet1!$A1037,Sheet2!$B$5:$H$29,5,FALSE),0)</x:f>
        <x:v>0</x:v>
      </x:c>
      <x:c r="G1037">
        <x:f>ROUND($C1037*10*VLOOKUP($B1037,Sheet2!$J$5:$K$7,2,FALSE)*VLOOKUP(Sheet1!$A1037,Sheet2!$B$5:$H$29,6,FALSE),0)</x:f>
        <x:v>0</x:v>
      </x:c>
      <x:c r="H1037">
        <x:f>ROUND($C1037*10*VLOOKUP($B1037,Sheet2!$J$5:$K$7,2,FALSE)*VLOOKUP(Sheet1!$A1037,Sheet2!$B$5:$H$29,7,FALSE),0)</x:f>
        <x:v>0</x:v>
      </x:c>
      <x:c r="I1037">
        <x:f t="shared" si="17"/>
        <x:v>16580</x:v>
      </x:c>
    </x:row>
    <x:row r="1038" spans="1:9" x14ac:dyDescent="0.15">
      <x:c r="A1038">
        <x:v>54051</x:v>
      </x:c>
      <x:c r="B1038">
        <x:v>3</x:v>
      </x:c>
      <x:c r="C1038">
        <x:v>17</x:v>
      </x:c>
      <x:c r="D1038">
        <x:f>ROUND($C1038*10*VLOOKUP($B1038,Sheet2!$J$5:$K$7,2,FALSE)*VLOOKUP(Sheet1!$A1038,Sheet2!$B$5:$H$29,3,FALSE),0)</x:f>
        <x:v>68</x:v>
      </x:c>
      <x:c r="E1038">
        <x:f>ROUND($C1038*10*VLOOKUP($B1038,Sheet2!$J$5:$K$7,2,FALSE)*VLOOKUP(Sheet1!$A1038,Sheet2!$B$5:$H$29,4,FALSE),0)</x:f>
        <x:v>204</x:v>
      </x:c>
      <x:c r="F1038">
        <x:f>ROUND($C1038*10*VLOOKUP($B1038,Sheet2!$J$5:$K$7,2,FALSE)*VLOOKUP(Sheet1!$A1038,Sheet2!$B$5:$H$29,5,FALSE),0)</x:f>
        <x:v>0</x:v>
      </x:c>
      <x:c r="G1038">
        <x:f>ROUND($C1038*10*VLOOKUP($B1038,Sheet2!$J$5:$K$7,2,FALSE)*VLOOKUP(Sheet1!$A1038,Sheet2!$B$5:$H$29,6,FALSE),0)</x:f>
        <x:v>0</x:v>
      </x:c>
      <x:c r="H1038">
        <x:f>ROUND($C1038*10*VLOOKUP($B1038,Sheet2!$J$5:$K$7,2,FALSE)*VLOOKUP(Sheet1!$A1038,Sheet2!$B$5:$H$29,7,FALSE),0)</x:f>
        <x:v>0</x:v>
      </x:c>
      <x:c r="I1038">
        <x:f t="shared" si="17"/>
        <x:v>18620</x:v>
      </x:c>
    </x:row>
    <x:row r="1039" spans="1:9" x14ac:dyDescent="0.15">
      <x:c r="A1039">
        <x:v>54051</x:v>
      </x:c>
      <x:c r="B1039">
        <x:v>3</x:v>
      </x:c>
      <x:c r="C1039">
        <x:v>18</x:v>
      </x:c>
      <x:c r="D1039">
        <x:f>ROUND($C1039*10*VLOOKUP($B1039,Sheet2!$J$5:$K$7,2,FALSE)*VLOOKUP(Sheet1!$A1039,Sheet2!$B$5:$H$29,3,FALSE),0)</x:f>
        <x:v>72</x:v>
      </x:c>
      <x:c r="E1039">
        <x:f>ROUND($C1039*10*VLOOKUP($B1039,Sheet2!$J$5:$K$7,2,FALSE)*VLOOKUP(Sheet1!$A1039,Sheet2!$B$5:$H$29,4,FALSE),0)</x:f>
        <x:v>216</x:v>
      </x:c>
      <x:c r="F1039">
        <x:f>ROUND($C1039*10*VLOOKUP($B1039,Sheet2!$J$5:$K$7,2,FALSE)*VLOOKUP(Sheet1!$A1039,Sheet2!$B$5:$H$29,5,FALSE),0)</x:f>
        <x:v>0</x:v>
      </x:c>
      <x:c r="G1039">
        <x:f>ROUND($C1039*10*VLOOKUP($B1039,Sheet2!$J$5:$K$7,2,FALSE)*VLOOKUP(Sheet1!$A1039,Sheet2!$B$5:$H$29,6,FALSE),0)</x:f>
        <x:v>0</x:v>
      </x:c>
      <x:c r="H1039">
        <x:f>ROUND($C1039*10*VLOOKUP($B1039,Sheet2!$J$5:$K$7,2,FALSE)*VLOOKUP(Sheet1!$A1039,Sheet2!$B$5:$H$29,7,FALSE),0)</x:f>
        <x:v>0</x:v>
      </x:c>
      <x:c r="I1039">
        <x:f t="shared" si="17"/>
        <x:v>20750</x:v>
      </x:c>
    </x:row>
    <x:row r="1040" spans="1:9" x14ac:dyDescent="0.15">
      <x:c r="A1040">
        <x:v>54051</x:v>
      </x:c>
      <x:c r="B1040">
        <x:v>3</x:v>
      </x:c>
      <x:c r="C1040">
        <x:v>19</x:v>
      </x:c>
      <x:c r="D1040">
        <x:f>ROUND($C1040*10*VLOOKUP($B1040,Sheet2!$J$5:$K$7,2,FALSE)*VLOOKUP(Sheet1!$A1040,Sheet2!$B$5:$H$29,3,FALSE),0)</x:f>
        <x:v>76</x:v>
      </x:c>
      <x:c r="E1040">
        <x:f>ROUND($C1040*10*VLOOKUP($B1040,Sheet2!$J$5:$K$7,2,FALSE)*VLOOKUP(Sheet1!$A1040,Sheet2!$B$5:$H$29,4,FALSE),0)</x:f>
        <x:v>228</x:v>
      </x:c>
      <x:c r="F1040">
        <x:f>ROUND($C1040*10*VLOOKUP($B1040,Sheet2!$J$5:$K$7,2,FALSE)*VLOOKUP(Sheet1!$A1040,Sheet2!$B$5:$H$29,5,FALSE),0)</x:f>
        <x:v>0</x:v>
      </x:c>
      <x:c r="G1040">
        <x:f>ROUND($C1040*10*VLOOKUP($B1040,Sheet2!$J$5:$K$7,2,FALSE)*VLOOKUP(Sheet1!$A1040,Sheet2!$B$5:$H$29,6,FALSE),0)</x:f>
        <x:v>0</x:v>
      </x:c>
      <x:c r="H1040">
        <x:f>ROUND($C1040*10*VLOOKUP($B1040,Sheet2!$J$5:$K$7,2,FALSE)*VLOOKUP(Sheet1!$A1040,Sheet2!$B$5:$H$29,7,FALSE),0)</x:f>
        <x:v>0</x:v>
      </x:c>
      <x:c r="I1040">
        <x:f t="shared" si="17"/>
        <x:v>22990</x:v>
      </x:c>
    </x:row>
    <x:row r="1041" spans="1:9" x14ac:dyDescent="0.15">
      <x:c r="A1041">
        <x:v>54051</x:v>
      </x:c>
      <x:c r="B1041">
        <x:v>3</x:v>
      </x:c>
      <x:c r="C1041">
        <x:v>20</x:v>
      </x:c>
      <x:c r="D1041">
        <x:f>ROUND($C1041*10*VLOOKUP($B1041,Sheet2!$J$5:$K$7,2,FALSE)*VLOOKUP(Sheet1!$A1041,Sheet2!$B$5:$H$29,3,FALSE),0)</x:f>
        <x:v>80</x:v>
      </x:c>
      <x:c r="E1041">
        <x:f>ROUND($C1041*10*VLOOKUP($B1041,Sheet2!$J$5:$K$7,2,FALSE)*VLOOKUP(Sheet1!$A1041,Sheet2!$B$5:$H$29,4,FALSE),0)</x:f>
        <x:v>240</x:v>
      </x:c>
      <x:c r="F1041">
        <x:f>ROUND($C1041*10*VLOOKUP($B1041,Sheet2!$J$5:$K$7,2,FALSE)*VLOOKUP(Sheet1!$A1041,Sheet2!$B$5:$H$29,5,FALSE),0)</x:f>
        <x:v>0</x:v>
      </x:c>
      <x:c r="G1041">
        <x:f>ROUND($C1041*10*VLOOKUP($B1041,Sheet2!$J$5:$K$7,2,FALSE)*VLOOKUP(Sheet1!$A1041,Sheet2!$B$5:$H$29,6,FALSE),0)</x:f>
        <x:v>0</x:v>
      </x:c>
      <x:c r="H1041">
        <x:f>ROUND($C1041*10*VLOOKUP($B1041,Sheet2!$J$5:$K$7,2,FALSE)*VLOOKUP(Sheet1!$A1041,Sheet2!$B$5:$H$29,7,FALSE),0)</x:f>
        <x:v>0</x:v>
      </x:c>
      <x:c r="I1041">
        <x:f t="shared" si="17"/>
        <x:v>25330</x:v>
      </x:c>
    </x:row>
    <x:row r="1042" spans="1:9" x14ac:dyDescent="0.15">
      <x:c r="A1042">
        <x:v>54051</x:v>
      </x:c>
      <x:c r="B1042">
        <x:v>3</x:v>
      </x:c>
      <x:c r="C1042">
        <x:v>21</x:v>
      </x:c>
      <x:c r="D1042">
        <x:f>ROUND($C1042*10*VLOOKUP($B1042,Sheet2!$J$5:$K$7,2,FALSE)*VLOOKUP(Sheet1!$A1042,Sheet2!$B$5:$H$29,3,FALSE),0)</x:f>
        <x:v>84</x:v>
      </x:c>
      <x:c r="E1042">
        <x:f>ROUND($C1042*10*VLOOKUP($B1042,Sheet2!$J$5:$K$7,2,FALSE)*VLOOKUP(Sheet1!$A1042,Sheet2!$B$5:$H$29,4,FALSE),0)</x:f>
        <x:v>252</x:v>
      </x:c>
      <x:c r="F1042">
        <x:f>ROUND($C1042*10*VLOOKUP($B1042,Sheet2!$J$5:$K$7,2,FALSE)*VLOOKUP(Sheet1!$A1042,Sheet2!$B$5:$H$29,5,FALSE),0)</x:f>
        <x:v>0</x:v>
      </x:c>
      <x:c r="G1042">
        <x:f>ROUND($C1042*10*VLOOKUP($B1042,Sheet2!$J$5:$K$7,2,FALSE)*VLOOKUP(Sheet1!$A1042,Sheet2!$B$5:$H$29,6,FALSE),0)</x:f>
        <x:v>0</x:v>
      </x:c>
      <x:c r="H1042">
        <x:f>ROUND($C1042*10*VLOOKUP($B1042,Sheet2!$J$5:$K$7,2,FALSE)*VLOOKUP(Sheet1!$A1042,Sheet2!$B$5:$H$29,7,FALSE),0)</x:f>
        <x:v>0</x:v>
      </x:c>
      <x:c r="I1042">
        <x:f t="shared" si="17"/>
        <x:v>27770</x:v>
      </x:c>
    </x:row>
    <x:row r="1043" spans="1:9" x14ac:dyDescent="0.15">
      <x:c r="A1043">
        <x:v>54051</x:v>
      </x:c>
      <x:c r="B1043">
        <x:v>3</x:v>
      </x:c>
      <x:c r="C1043">
        <x:v>22</x:v>
      </x:c>
      <x:c r="D1043">
        <x:f>ROUND($C1043*10*VLOOKUP($B1043,Sheet2!$J$5:$K$7,2,FALSE)*VLOOKUP(Sheet1!$A1043,Sheet2!$B$5:$H$29,3,FALSE),0)</x:f>
        <x:v>88</x:v>
      </x:c>
      <x:c r="E1043">
        <x:f>ROUND($C1043*10*VLOOKUP($B1043,Sheet2!$J$5:$K$7,2,FALSE)*VLOOKUP(Sheet1!$A1043,Sheet2!$B$5:$H$29,4,FALSE),0)</x:f>
        <x:v>264</x:v>
      </x:c>
      <x:c r="F1043">
        <x:f>ROUND($C1043*10*VLOOKUP($B1043,Sheet2!$J$5:$K$7,2,FALSE)*VLOOKUP(Sheet1!$A1043,Sheet2!$B$5:$H$29,5,FALSE),0)</x:f>
        <x:v>0</x:v>
      </x:c>
      <x:c r="G1043">
        <x:f>ROUND($C1043*10*VLOOKUP($B1043,Sheet2!$J$5:$K$7,2,FALSE)*VLOOKUP(Sheet1!$A1043,Sheet2!$B$5:$H$29,6,FALSE),0)</x:f>
        <x:v>0</x:v>
      </x:c>
      <x:c r="H1043">
        <x:f>ROUND($C1043*10*VLOOKUP($B1043,Sheet2!$J$5:$K$7,2,FALSE)*VLOOKUP(Sheet1!$A1043,Sheet2!$B$5:$H$29,7,FALSE),0)</x:f>
        <x:v>0</x:v>
      </x:c>
      <x:c r="I1043">
        <x:f t="shared" si="17"/>
        <x:v>30310</x:v>
      </x:c>
    </x:row>
    <x:row r="1044" spans="1:9" x14ac:dyDescent="0.15">
      <x:c r="A1044">
        <x:v>54051</x:v>
      </x:c>
      <x:c r="B1044">
        <x:v>3</x:v>
      </x:c>
      <x:c r="C1044">
        <x:v>23</x:v>
      </x:c>
      <x:c r="D1044">
        <x:f>ROUND($C1044*10*VLOOKUP($B1044,Sheet2!$J$5:$K$7,2,FALSE)*VLOOKUP(Sheet1!$A1044,Sheet2!$B$5:$H$29,3,FALSE),0)</x:f>
        <x:v>92</x:v>
      </x:c>
      <x:c r="E1044">
        <x:f>ROUND($C1044*10*VLOOKUP($B1044,Sheet2!$J$5:$K$7,2,FALSE)*VLOOKUP(Sheet1!$A1044,Sheet2!$B$5:$H$29,4,FALSE),0)</x:f>
        <x:v>276</x:v>
      </x:c>
      <x:c r="F1044">
        <x:f>ROUND($C1044*10*VLOOKUP($B1044,Sheet2!$J$5:$K$7,2,FALSE)*VLOOKUP(Sheet1!$A1044,Sheet2!$B$5:$H$29,5,FALSE),0)</x:f>
        <x:v>0</x:v>
      </x:c>
      <x:c r="G1044">
        <x:f>ROUND($C1044*10*VLOOKUP($B1044,Sheet2!$J$5:$K$7,2,FALSE)*VLOOKUP(Sheet1!$A1044,Sheet2!$B$5:$H$29,6,FALSE),0)</x:f>
        <x:v>0</x:v>
      </x:c>
      <x:c r="H1044">
        <x:f>ROUND($C1044*10*VLOOKUP($B1044,Sheet2!$J$5:$K$7,2,FALSE)*VLOOKUP(Sheet1!$A1044,Sheet2!$B$5:$H$29,7,FALSE),0)</x:f>
        <x:v>0</x:v>
      </x:c>
      <x:c r="I1044">
        <x:f t="shared" si="17"/>
        <x:v>32950</x:v>
      </x:c>
    </x:row>
    <x:row r="1045" spans="1:9" x14ac:dyDescent="0.15">
      <x:c r="A1045">
        <x:v>54051</x:v>
      </x:c>
      <x:c r="B1045">
        <x:v>3</x:v>
      </x:c>
      <x:c r="C1045">
        <x:v>24</x:v>
      </x:c>
      <x:c r="D1045">
        <x:f>ROUND($C1045*10*VLOOKUP($B1045,Sheet2!$J$5:$K$7,2,FALSE)*VLOOKUP(Sheet1!$A1045,Sheet2!$B$5:$H$29,3,FALSE),0)</x:f>
        <x:v>96</x:v>
      </x:c>
      <x:c r="E1045">
        <x:f>ROUND($C1045*10*VLOOKUP($B1045,Sheet2!$J$5:$K$7,2,FALSE)*VLOOKUP(Sheet1!$A1045,Sheet2!$B$5:$H$29,4,FALSE),0)</x:f>
        <x:v>288</x:v>
      </x:c>
      <x:c r="F1045">
        <x:f>ROUND($C1045*10*VLOOKUP($B1045,Sheet2!$J$5:$K$7,2,FALSE)*VLOOKUP(Sheet1!$A1045,Sheet2!$B$5:$H$29,5,FALSE),0)</x:f>
        <x:v>0</x:v>
      </x:c>
      <x:c r="G1045">
        <x:f>ROUND($C1045*10*VLOOKUP($B1045,Sheet2!$J$5:$K$7,2,FALSE)*VLOOKUP(Sheet1!$A1045,Sheet2!$B$5:$H$29,6,FALSE),0)</x:f>
        <x:v>0</x:v>
      </x:c>
      <x:c r="H1045">
        <x:f>ROUND($C1045*10*VLOOKUP($B1045,Sheet2!$J$5:$K$7,2,FALSE)*VLOOKUP(Sheet1!$A1045,Sheet2!$B$5:$H$29,7,FALSE),0)</x:f>
        <x:v>0</x:v>
      </x:c>
      <x:c r="I1045">
        <x:f t="shared" si="17"/>
        <x:v>35690</x:v>
      </x:c>
    </x:row>
    <x:row r="1046" spans="1:9" x14ac:dyDescent="0.15">
      <x:c r="A1046">
        <x:v>54051</x:v>
      </x:c>
      <x:c r="B1046">
        <x:v>3</x:v>
      </x:c>
      <x:c r="C1046">
        <x:v>25</x:v>
      </x:c>
      <x:c r="D1046">
        <x:f>ROUND($C1046*10*VLOOKUP($B1046,Sheet2!$J$5:$K$7,2,FALSE)*VLOOKUP(Sheet1!$A1046,Sheet2!$B$5:$H$29,3,FALSE),0)</x:f>
        <x:v>100</x:v>
      </x:c>
      <x:c r="E1046">
        <x:f>ROUND($C1046*10*VLOOKUP($B1046,Sheet2!$J$5:$K$7,2,FALSE)*VLOOKUP(Sheet1!$A1046,Sheet2!$B$5:$H$29,4,FALSE),0)</x:f>
        <x:v>300</x:v>
      </x:c>
      <x:c r="F1046">
        <x:f>ROUND($C1046*10*VLOOKUP($B1046,Sheet2!$J$5:$K$7,2,FALSE)*VLOOKUP(Sheet1!$A1046,Sheet2!$B$5:$H$29,5,FALSE),0)</x:f>
        <x:v>0</x:v>
      </x:c>
      <x:c r="G1046">
        <x:f>ROUND($C1046*10*VLOOKUP($B1046,Sheet2!$J$5:$K$7,2,FALSE)*VLOOKUP(Sheet1!$A1046,Sheet2!$B$5:$H$29,6,FALSE),0)</x:f>
        <x:v>0</x:v>
      </x:c>
      <x:c r="H1046">
        <x:f>ROUND($C1046*10*VLOOKUP($B1046,Sheet2!$J$5:$K$7,2,FALSE)*VLOOKUP(Sheet1!$A1046,Sheet2!$B$5:$H$29,7,FALSE),0)</x:f>
        <x:v>0</x:v>
      </x:c>
      <x:c r="I1046">
        <x:f t="shared" si="17"/>
        <x:v>38530</x:v>
      </x:c>
    </x:row>
    <x:row r="1047" spans="1:9" x14ac:dyDescent="0.15">
      <x:c r="A1047">
        <x:v>54051</x:v>
      </x:c>
      <x:c r="B1047">
        <x:v>3</x:v>
      </x:c>
      <x:c r="C1047">
        <x:v>26</x:v>
      </x:c>
      <x:c r="D1047">
        <x:f>ROUND($C1047*10*VLOOKUP($B1047,Sheet2!$J$5:$K$7,2,FALSE)*VLOOKUP(Sheet1!$A1047,Sheet2!$B$5:$H$29,3,FALSE),0)</x:f>
        <x:v>104</x:v>
      </x:c>
      <x:c r="E1047">
        <x:f>ROUND($C1047*10*VLOOKUP($B1047,Sheet2!$J$5:$K$7,2,FALSE)*VLOOKUP(Sheet1!$A1047,Sheet2!$B$5:$H$29,4,FALSE),0)</x:f>
        <x:v>312</x:v>
      </x:c>
      <x:c r="F1047">
        <x:f>ROUND($C1047*10*VLOOKUP($B1047,Sheet2!$J$5:$K$7,2,FALSE)*VLOOKUP(Sheet1!$A1047,Sheet2!$B$5:$H$29,5,FALSE),0)</x:f>
        <x:v>0</x:v>
      </x:c>
      <x:c r="G1047">
        <x:f>ROUND($C1047*10*VLOOKUP($B1047,Sheet2!$J$5:$K$7,2,FALSE)*VLOOKUP(Sheet1!$A1047,Sheet2!$B$5:$H$29,6,FALSE),0)</x:f>
        <x:v>0</x:v>
      </x:c>
      <x:c r="H1047">
        <x:f>ROUND($C1047*10*VLOOKUP($B1047,Sheet2!$J$5:$K$7,2,FALSE)*VLOOKUP(Sheet1!$A1047,Sheet2!$B$5:$H$29,7,FALSE),0)</x:f>
        <x:v>0</x:v>
      </x:c>
      <x:c r="I1047">
        <x:f t="shared" si="17"/>
        <x:v>41460</x:v>
      </x:c>
    </x:row>
    <x:row r="1048" spans="1:9" x14ac:dyDescent="0.15">
      <x:c r="A1048">
        <x:v>54051</x:v>
      </x:c>
      <x:c r="B1048">
        <x:v>3</x:v>
      </x:c>
      <x:c r="C1048">
        <x:v>27</x:v>
      </x:c>
      <x:c r="D1048">
        <x:f>ROUND($C1048*10*VLOOKUP($B1048,Sheet2!$J$5:$K$7,2,FALSE)*VLOOKUP(Sheet1!$A1048,Sheet2!$B$5:$H$29,3,FALSE),0)</x:f>
        <x:v>108</x:v>
      </x:c>
      <x:c r="E1048">
        <x:f>ROUND($C1048*10*VLOOKUP($B1048,Sheet2!$J$5:$K$7,2,FALSE)*VLOOKUP(Sheet1!$A1048,Sheet2!$B$5:$H$29,4,FALSE),0)</x:f>
        <x:v>324</x:v>
      </x:c>
      <x:c r="F1048">
        <x:f>ROUND($C1048*10*VLOOKUP($B1048,Sheet2!$J$5:$K$7,2,FALSE)*VLOOKUP(Sheet1!$A1048,Sheet2!$B$5:$H$29,5,FALSE),0)</x:f>
        <x:v>0</x:v>
      </x:c>
      <x:c r="G1048">
        <x:f>ROUND($C1048*10*VLOOKUP($B1048,Sheet2!$J$5:$K$7,2,FALSE)*VLOOKUP(Sheet1!$A1048,Sheet2!$B$5:$H$29,6,FALSE),0)</x:f>
        <x:v>0</x:v>
      </x:c>
      <x:c r="H1048">
        <x:f>ROUND($C1048*10*VLOOKUP($B1048,Sheet2!$J$5:$K$7,2,FALSE)*VLOOKUP(Sheet1!$A1048,Sheet2!$B$5:$H$29,7,FALSE),0)</x:f>
        <x:v>0</x:v>
      </x:c>
      <x:c r="I1048">
        <x:f t="shared" si="17"/>
        <x:v>44480</x:v>
      </x:c>
    </x:row>
    <x:row r="1049" spans="1:9" x14ac:dyDescent="0.15">
      <x:c r="A1049">
        <x:v>54051</x:v>
      </x:c>
      <x:c r="B1049">
        <x:v>3</x:v>
      </x:c>
      <x:c r="C1049">
        <x:v>28</x:v>
      </x:c>
      <x:c r="D1049">
        <x:f>ROUND($C1049*10*VLOOKUP($B1049,Sheet2!$J$5:$K$7,2,FALSE)*VLOOKUP(Sheet1!$A1049,Sheet2!$B$5:$H$29,3,FALSE),0)</x:f>
        <x:v>112</x:v>
      </x:c>
      <x:c r="E1049">
        <x:f>ROUND($C1049*10*VLOOKUP($B1049,Sheet2!$J$5:$K$7,2,FALSE)*VLOOKUP(Sheet1!$A1049,Sheet2!$B$5:$H$29,4,FALSE),0)</x:f>
        <x:v>336</x:v>
      </x:c>
      <x:c r="F1049">
        <x:f>ROUND($C1049*10*VLOOKUP($B1049,Sheet2!$J$5:$K$7,2,FALSE)*VLOOKUP(Sheet1!$A1049,Sheet2!$B$5:$H$29,5,FALSE),0)</x:f>
        <x:v>0</x:v>
      </x:c>
      <x:c r="G1049">
        <x:f>ROUND($C1049*10*VLOOKUP($B1049,Sheet2!$J$5:$K$7,2,FALSE)*VLOOKUP(Sheet1!$A1049,Sheet2!$B$5:$H$29,6,FALSE),0)</x:f>
        <x:v>0</x:v>
      </x:c>
      <x:c r="H1049">
        <x:f>ROUND($C1049*10*VLOOKUP($B1049,Sheet2!$J$5:$K$7,2,FALSE)*VLOOKUP(Sheet1!$A1049,Sheet2!$B$5:$H$29,7,FALSE),0)</x:f>
        <x:v>0</x:v>
      </x:c>
      <x:c r="I1049">
        <x:f t="shared" si="17"/>
        <x:v>47600</x:v>
      </x:c>
    </x:row>
    <x:row r="1050" spans="1:9" x14ac:dyDescent="0.15">
      <x:c r="A1050">
        <x:v>54051</x:v>
      </x:c>
      <x:c r="B1050">
        <x:v>3</x:v>
      </x:c>
      <x:c r="C1050">
        <x:v>29</x:v>
      </x:c>
      <x:c r="D1050">
        <x:f>ROUND($C1050*10*VLOOKUP($B1050,Sheet2!$J$5:$K$7,2,FALSE)*VLOOKUP(Sheet1!$A1050,Sheet2!$B$5:$H$29,3,FALSE),0)</x:f>
        <x:v>116</x:v>
      </x:c>
      <x:c r="E1050">
        <x:f>ROUND($C1050*10*VLOOKUP($B1050,Sheet2!$J$5:$K$7,2,FALSE)*VLOOKUP(Sheet1!$A1050,Sheet2!$B$5:$H$29,4,FALSE),0)</x:f>
        <x:v>348</x:v>
      </x:c>
      <x:c r="F1050">
        <x:f>ROUND($C1050*10*VLOOKUP($B1050,Sheet2!$J$5:$K$7,2,FALSE)*VLOOKUP(Sheet1!$A1050,Sheet2!$B$5:$H$29,5,FALSE),0)</x:f>
        <x:v>0</x:v>
      </x:c>
      <x:c r="G1050">
        <x:f>ROUND($C1050*10*VLOOKUP($B1050,Sheet2!$J$5:$K$7,2,FALSE)*VLOOKUP(Sheet1!$A1050,Sheet2!$B$5:$H$29,6,FALSE),0)</x:f>
        <x:v>0</x:v>
      </x:c>
      <x:c r="H1050">
        <x:f>ROUND($C1050*10*VLOOKUP($B1050,Sheet2!$J$5:$K$7,2,FALSE)*VLOOKUP(Sheet1!$A1050,Sheet2!$B$5:$H$29,7,FALSE),0)</x:f>
        <x:v>0</x:v>
      </x:c>
      <x:c r="I1050">
        <x:f t="shared" si="17"/>
        <x:v>50820</x:v>
      </x:c>
    </x:row>
    <x:row r="1051" spans="1:9" x14ac:dyDescent="0.15">
      <x:c r="A1051">
        <x:v>54051</x:v>
      </x:c>
      <x:c r="B1051">
        <x:v>3</x:v>
      </x:c>
      <x:c r="C1051">
        <x:v>30</x:v>
      </x:c>
      <x:c r="D1051">
        <x:f>ROUND($C1051*10*VLOOKUP($B1051,Sheet2!$J$5:$K$7,2,FALSE)*VLOOKUP(Sheet1!$A1051,Sheet2!$B$5:$H$29,3,FALSE),0)</x:f>
        <x:v>120</x:v>
      </x:c>
      <x:c r="E1051">
        <x:f>ROUND($C1051*10*VLOOKUP($B1051,Sheet2!$J$5:$K$7,2,FALSE)*VLOOKUP(Sheet1!$A1051,Sheet2!$B$5:$H$29,4,FALSE),0)</x:f>
        <x:v>360</x:v>
      </x:c>
      <x:c r="F1051">
        <x:f>ROUND($C1051*10*VLOOKUP($B1051,Sheet2!$J$5:$K$7,2,FALSE)*VLOOKUP(Sheet1!$A1051,Sheet2!$B$5:$H$29,5,FALSE),0)</x:f>
        <x:v>0</x:v>
      </x:c>
      <x:c r="G1051">
        <x:f>ROUND($C1051*10*VLOOKUP($B1051,Sheet2!$J$5:$K$7,2,FALSE)*VLOOKUP(Sheet1!$A1051,Sheet2!$B$5:$H$29,6,FALSE),0)</x:f>
        <x:v>0</x:v>
      </x:c>
      <x:c r="H1051">
        <x:f>ROUND($C1051*10*VLOOKUP($B1051,Sheet2!$J$5:$K$7,2,FALSE)*VLOOKUP(Sheet1!$A1051,Sheet2!$B$5:$H$29,7,FALSE),0)</x:f>
        <x:v>0</x:v>
      </x:c>
      <x:c r="I1051">
        <x:f t="shared" si="17"/>
        <x:v>54130</x:v>
      </x:c>
    </x:row>
    <x:row r="1052" spans="1:9" x14ac:dyDescent="0.15">
      <x:c r="A1052">
        <x:v>54051</x:v>
      </x:c>
      <x:c r="B1052">
        <x:v>3</x:v>
      </x:c>
      <x:c r="C1052">
        <x:v>31</x:v>
      </x:c>
      <x:c r="D1052">
        <x:f>ROUND($C1052*10*VLOOKUP($B1052,Sheet2!$J$5:$K$7,2,FALSE)*VLOOKUP(Sheet1!$A1052,Sheet2!$B$5:$H$29,3,FALSE),0)</x:f>
        <x:v>124</x:v>
      </x:c>
      <x:c r="E1052">
        <x:f>ROUND($C1052*10*VLOOKUP($B1052,Sheet2!$J$5:$K$7,2,FALSE)*VLOOKUP(Sheet1!$A1052,Sheet2!$B$5:$H$29,4,FALSE),0)</x:f>
        <x:v>372</x:v>
      </x:c>
      <x:c r="F1052">
        <x:f>ROUND($C1052*10*VLOOKUP($B1052,Sheet2!$J$5:$K$7,2,FALSE)*VLOOKUP(Sheet1!$A1052,Sheet2!$B$5:$H$29,5,FALSE),0)</x:f>
        <x:v>0</x:v>
      </x:c>
      <x:c r="G1052">
        <x:f>ROUND($C1052*10*VLOOKUP($B1052,Sheet2!$J$5:$K$7,2,FALSE)*VLOOKUP(Sheet1!$A1052,Sheet2!$B$5:$H$29,6,FALSE),0)</x:f>
        <x:v>0</x:v>
      </x:c>
      <x:c r="H1052">
        <x:f>ROUND($C1052*10*VLOOKUP($B1052,Sheet2!$J$5:$K$7,2,FALSE)*VLOOKUP(Sheet1!$A1052,Sheet2!$B$5:$H$29,7,FALSE),0)</x:f>
        <x:v>0</x:v>
      </x:c>
      <x:c r="I1052">
        <x:f t="shared" si="17"/>
        <x:v>57530</x:v>
      </x:c>
    </x:row>
    <x:row r="1053" spans="1:9" x14ac:dyDescent="0.15">
      <x:c r="A1053">
        <x:v>54051</x:v>
      </x:c>
      <x:c r="B1053">
        <x:v>3</x:v>
      </x:c>
      <x:c r="C1053">
        <x:v>32</x:v>
      </x:c>
      <x:c r="D1053">
        <x:f>ROUND($C1053*10*VLOOKUP($B1053,Sheet2!$J$5:$K$7,2,FALSE)*VLOOKUP(Sheet1!$A1053,Sheet2!$B$5:$H$29,3,FALSE),0)</x:f>
        <x:v>128</x:v>
      </x:c>
      <x:c r="E1053">
        <x:f>ROUND($C1053*10*VLOOKUP($B1053,Sheet2!$J$5:$K$7,2,FALSE)*VLOOKUP(Sheet1!$A1053,Sheet2!$B$5:$H$29,4,FALSE),0)</x:f>
        <x:v>384</x:v>
      </x:c>
      <x:c r="F1053">
        <x:f>ROUND($C1053*10*VLOOKUP($B1053,Sheet2!$J$5:$K$7,2,FALSE)*VLOOKUP(Sheet1!$A1053,Sheet2!$B$5:$H$29,5,FALSE),0)</x:f>
        <x:v>0</x:v>
      </x:c>
      <x:c r="G1053">
        <x:f>ROUND($C1053*10*VLOOKUP($B1053,Sheet2!$J$5:$K$7,2,FALSE)*VLOOKUP(Sheet1!$A1053,Sheet2!$B$5:$H$29,6,FALSE),0)</x:f>
        <x:v>0</x:v>
      </x:c>
      <x:c r="H1053">
        <x:f>ROUND($C1053*10*VLOOKUP($B1053,Sheet2!$J$5:$K$7,2,FALSE)*VLOOKUP(Sheet1!$A1053,Sheet2!$B$5:$H$29,7,FALSE),0)</x:f>
        <x:v>0</x:v>
      </x:c>
      <x:c r="I1053">
        <x:f t="shared" si="17"/>
        <x:v>61020</x:v>
      </x:c>
    </x:row>
    <x:row r="1054" spans="1:9" x14ac:dyDescent="0.15">
      <x:c r="A1054">
        <x:v>54051</x:v>
      </x:c>
      <x:c r="B1054">
        <x:v>3</x:v>
      </x:c>
      <x:c r="C1054">
        <x:v>33</x:v>
      </x:c>
      <x:c r="D1054">
        <x:f>ROUND($C1054*10*VLOOKUP($B1054,Sheet2!$J$5:$K$7,2,FALSE)*VLOOKUP(Sheet1!$A1054,Sheet2!$B$5:$H$29,3,FALSE),0)</x:f>
        <x:v>132</x:v>
      </x:c>
      <x:c r="E1054">
        <x:f>ROUND($C1054*10*VLOOKUP($B1054,Sheet2!$J$5:$K$7,2,FALSE)*VLOOKUP(Sheet1!$A1054,Sheet2!$B$5:$H$29,4,FALSE),0)</x:f>
        <x:v>396</x:v>
      </x:c>
      <x:c r="F1054">
        <x:f>ROUND($C1054*10*VLOOKUP($B1054,Sheet2!$J$5:$K$7,2,FALSE)*VLOOKUP(Sheet1!$A1054,Sheet2!$B$5:$H$29,5,FALSE),0)</x:f>
        <x:v>0</x:v>
      </x:c>
      <x:c r="G1054">
        <x:f>ROUND($C1054*10*VLOOKUP($B1054,Sheet2!$J$5:$K$7,2,FALSE)*VLOOKUP(Sheet1!$A1054,Sheet2!$B$5:$H$29,6,FALSE),0)</x:f>
        <x:v>0</x:v>
      </x:c>
      <x:c r="H1054">
        <x:f>ROUND($C1054*10*VLOOKUP($B1054,Sheet2!$J$5:$K$7,2,FALSE)*VLOOKUP(Sheet1!$A1054,Sheet2!$B$5:$H$29,7,FALSE),0)</x:f>
        <x:v>0</x:v>
      </x:c>
      <x:c r="I1054">
        <x:f t="shared" si="17"/>
        <x:v>64600</x:v>
      </x:c>
    </x:row>
    <x:row r="1055" spans="1:9" x14ac:dyDescent="0.15">
      <x:c r="A1055">
        <x:v>54051</x:v>
      </x:c>
      <x:c r="B1055">
        <x:v>3</x:v>
      </x:c>
      <x:c r="C1055">
        <x:v>34</x:v>
      </x:c>
      <x:c r="D1055">
        <x:f>ROUND($C1055*10*VLOOKUP($B1055,Sheet2!$J$5:$K$7,2,FALSE)*VLOOKUP(Sheet1!$A1055,Sheet2!$B$5:$H$29,3,FALSE),0)</x:f>
        <x:v>136</x:v>
      </x:c>
      <x:c r="E1055">
        <x:f>ROUND($C1055*10*VLOOKUP($B1055,Sheet2!$J$5:$K$7,2,FALSE)*VLOOKUP(Sheet1!$A1055,Sheet2!$B$5:$H$29,4,FALSE),0)</x:f>
        <x:v>408</x:v>
      </x:c>
      <x:c r="F1055">
        <x:f>ROUND($C1055*10*VLOOKUP($B1055,Sheet2!$J$5:$K$7,2,FALSE)*VLOOKUP(Sheet1!$A1055,Sheet2!$B$5:$H$29,5,FALSE),0)</x:f>
        <x:v>0</x:v>
      </x:c>
      <x:c r="G1055">
        <x:f>ROUND($C1055*10*VLOOKUP($B1055,Sheet2!$J$5:$K$7,2,FALSE)*VLOOKUP(Sheet1!$A1055,Sheet2!$B$5:$H$29,6,FALSE),0)</x:f>
        <x:v>0</x:v>
      </x:c>
      <x:c r="H1055">
        <x:f>ROUND($C1055*10*VLOOKUP($B1055,Sheet2!$J$5:$K$7,2,FALSE)*VLOOKUP(Sheet1!$A1055,Sheet2!$B$5:$H$29,7,FALSE),0)</x:f>
        <x:v>0</x:v>
      </x:c>
      <x:c r="I1055">
        <x:f t="shared" si="17"/>
        <x:v>68280</x:v>
      </x:c>
    </x:row>
    <x:row r="1056" spans="1:9" x14ac:dyDescent="0.15">
      <x:c r="A1056">
        <x:v>54051</x:v>
      </x:c>
      <x:c r="B1056">
        <x:v>3</x:v>
      </x:c>
      <x:c r="C1056">
        <x:v>35</x:v>
      </x:c>
      <x:c r="D1056">
        <x:f>ROUND($C1056*10*VLOOKUP($B1056,Sheet2!$J$5:$K$7,2,FALSE)*VLOOKUP(Sheet1!$A1056,Sheet2!$B$5:$H$29,3,FALSE),0)</x:f>
        <x:v>140</x:v>
      </x:c>
      <x:c r="E1056">
        <x:f>ROUND($C1056*10*VLOOKUP($B1056,Sheet2!$J$5:$K$7,2,FALSE)*VLOOKUP(Sheet1!$A1056,Sheet2!$B$5:$H$29,4,FALSE),0)</x:f>
        <x:v>420</x:v>
      </x:c>
      <x:c r="F1056">
        <x:f>ROUND($C1056*10*VLOOKUP($B1056,Sheet2!$J$5:$K$7,2,FALSE)*VLOOKUP(Sheet1!$A1056,Sheet2!$B$5:$H$29,5,FALSE),0)</x:f>
        <x:v>0</x:v>
      </x:c>
      <x:c r="G1056">
        <x:f>ROUND($C1056*10*VLOOKUP($B1056,Sheet2!$J$5:$K$7,2,FALSE)*VLOOKUP(Sheet1!$A1056,Sheet2!$B$5:$H$29,6,FALSE),0)</x:f>
        <x:v>0</x:v>
      </x:c>
      <x:c r="H1056">
        <x:f>ROUND($C1056*10*VLOOKUP($B1056,Sheet2!$J$5:$K$7,2,FALSE)*VLOOKUP(Sheet1!$A1056,Sheet2!$B$5:$H$29,7,FALSE),0)</x:f>
        <x:v>0</x:v>
      </x:c>
      <x:c r="I1056">
        <x:f t="shared" si="17"/>
        <x:v>72040</x:v>
      </x:c>
    </x:row>
    <x:row r="1057" spans="1:9" x14ac:dyDescent="0.15">
      <x:c r="A1057">
        <x:v>54051</x:v>
      </x:c>
      <x:c r="B1057">
        <x:v>3</x:v>
      </x:c>
      <x:c r="C1057">
        <x:v>36</x:v>
      </x:c>
      <x:c r="D1057">
        <x:f>ROUND($C1057*10*VLOOKUP($B1057,Sheet2!$J$5:$K$7,2,FALSE)*VLOOKUP(Sheet1!$A1057,Sheet2!$B$5:$H$29,3,FALSE),0)</x:f>
        <x:v>144</x:v>
      </x:c>
      <x:c r="E1057">
        <x:f>ROUND($C1057*10*VLOOKUP($B1057,Sheet2!$J$5:$K$7,2,FALSE)*VLOOKUP(Sheet1!$A1057,Sheet2!$B$5:$H$29,4,FALSE),0)</x:f>
        <x:v>432</x:v>
      </x:c>
      <x:c r="F1057">
        <x:f>ROUND($C1057*10*VLOOKUP($B1057,Sheet2!$J$5:$K$7,2,FALSE)*VLOOKUP(Sheet1!$A1057,Sheet2!$B$5:$H$29,5,FALSE),0)</x:f>
        <x:v>0</x:v>
      </x:c>
      <x:c r="G1057">
        <x:f>ROUND($C1057*10*VLOOKUP($B1057,Sheet2!$J$5:$K$7,2,FALSE)*VLOOKUP(Sheet1!$A1057,Sheet2!$B$5:$H$29,6,FALSE),0)</x:f>
        <x:v>0</x:v>
      </x:c>
      <x:c r="H1057">
        <x:f>ROUND($C1057*10*VLOOKUP($B1057,Sheet2!$J$5:$K$7,2,FALSE)*VLOOKUP(Sheet1!$A1057,Sheet2!$B$5:$H$29,7,FALSE),0)</x:f>
        <x:v>0</x:v>
      </x:c>
      <x:c r="I1057">
        <x:f t="shared" si="17"/>
        <x:v>75890</x:v>
      </x:c>
    </x:row>
    <x:row r="1058" spans="1:9" x14ac:dyDescent="0.15">
      <x:c r="A1058">
        <x:v>54051</x:v>
      </x:c>
      <x:c r="B1058">
        <x:v>3</x:v>
      </x:c>
      <x:c r="C1058">
        <x:v>37</x:v>
      </x:c>
      <x:c r="D1058">
        <x:f>ROUND($C1058*10*VLOOKUP($B1058,Sheet2!$J$5:$K$7,2,FALSE)*VLOOKUP(Sheet1!$A1058,Sheet2!$B$5:$H$29,3,FALSE),0)</x:f>
        <x:v>148</x:v>
      </x:c>
      <x:c r="E1058">
        <x:f>ROUND($C1058*10*VLOOKUP($B1058,Sheet2!$J$5:$K$7,2,FALSE)*VLOOKUP(Sheet1!$A1058,Sheet2!$B$5:$H$29,4,FALSE),0)</x:f>
        <x:v>444</x:v>
      </x:c>
      <x:c r="F1058">
        <x:f>ROUND($C1058*10*VLOOKUP($B1058,Sheet2!$J$5:$K$7,2,FALSE)*VLOOKUP(Sheet1!$A1058,Sheet2!$B$5:$H$29,5,FALSE),0)</x:f>
        <x:v>0</x:v>
      </x:c>
      <x:c r="G1058">
        <x:f>ROUND($C1058*10*VLOOKUP($B1058,Sheet2!$J$5:$K$7,2,FALSE)*VLOOKUP(Sheet1!$A1058,Sheet2!$B$5:$H$29,6,FALSE),0)</x:f>
        <x:v>0</x:v>
      </x:c>
      <x:c r="H1058">
        <x:f>ROUND($C1058*10*VLOOKUP($B1058,Sheet2!$J$5:$K$7,2,FALSE)*VLOOKUP(Sheet1!$A1058,Sheet2!$B$5:$H$29,7,FALSE),0)</x:f>
        <x:v>0</x:v>
      </x:c>
      <x:c r="I1058">
        <x:f t="shared" si="17"/>
        <x:v>79840</x:v>
      </x:c>
    </x:row>
    <x:row r="1059" spans="1:9" x14ac:dyDescent="0.15">
      <x:c r="A1059">
        <x:v>54051</x:v>
      </x:c>
      <x:c r="B1059">
        <x:v>3</x:v>
      </x:c>
      <x:c r="C1059">
        <x:v>38</x:v>
      </x:c>
      <x:c r="D1059">
        <x:f>ROUND($C1059*10*VLOOKUP($B1059,Sheet2!$J$5:$K$7,2,FALSE)*VLOOKUP(Sheet1!$A1059,Sheet2!$B$5:$H$29,3,FALSE),0)</x:f>
        <x:v>152</x:v>
      </x:c>
      <x:c r="E1059">
        <x:f>ROUND($C1059*10*VLOOKUP($B1059,Sheet2!$J$5:$K$7,2,FALSE)*VLOOKUP(Sheet1!$A1059,Sheet2!$B$5:$H$29,4,FALSE),0)</x:f>
        <x:v>456</x:v>
      </x:c>
      <x:c r="F1059">
        <x:f>ROUND($C1059*10*VLOOKUP($B1059,Sheet2!$J$5:$K$7,2,FALSE)*VLOOKUP(Sheet1!$A1059,Sheet2!$B$5:$H$29,5,FALSE),0)</x:f>
        <x:v>0</x:v>
      </x:c>
      <x:c r="G1059">
        <x:f>ROUND($C1059*10*VLOOKUP($B1059,Sheet2!$J$5:$K$7,2,FALSE)*VLOOKUP(Sheet1!$A1059,Sheet2!$B$5:$H$29,6,FALSE),0)</x:f>
        <x:v>0</x:v>
      </x:c>
      <x:c r="H1059">
        <x:f>ROUND($C1059*10*VLOOKUP($B1059,Sheet2!$J$5:$K$7,2,FALSE)*VLOOKUP(Sheet1!$A1059,Sheet2!$B$5:$H$29,7,FALSE),0)</x:f>
        <x:v>0</x:v>
      </x:c>
      <x:c r="I1059">
        <x:f t="shared" si="17"/>
        <x:v>83870</x:v>
      </x:c>
    </x:row>
    <x:row r="1060" spans="1:9" x14ac:dyDescent="0.15">
      <x:c r="A1060">
        <x:v>54051</x:v>
      </x:c>
      <x:c r="B1060">
        <x:v>3</x:v>
      </x:c>
      <x:c r="C1060">
        <x:v>39</x:v>
      </x:c>
      <x:c r="D1060">
        <x:f>ROUND($C1060*10*VLOOKUP($B1060,Sheet2!$J$5:$K$7,2,FALSE)*VLOOKUP(Sheet1!$A1060,Sheet2!$B$5:$H$29,3,FALSE),0)</x:f>
        <x:v>156</x:v>
      </x:c>
      <x:c r="E1060">
        <x:f>ROUND($C1060*10*VLOOKUP($B1060,Sheet2!$J$5:$K$7,2,FALSE)*VLOOKUP(Sheet1!$A1060,Sheet2!$B$5:$H$29,4,FALSE),0)</x:f>
        <x:v>468</x:v>
      </x:c>
      <x:c r="F1060">
        <x:f>ROUND($C1060*10*VLOOKUP($B1060,Sheet2!$J$5:$K$7,2,FALSE)*VLOOKUP(Sheet1!$A1060,Sheet2!$B$5:$H$29,5,FALSE),0)</x:f>
        <x:v>0</x:v>
      </x:c>
      <x:c r="G1060">
        <x:f>ROUND($C1060*10*VLOOKUP($B1060,Sheet2!$J$5:$K$7,2,FALSE)*VLOOKUP(Sheet1!$A1060,Sheet2!$B$5:$H$29,6,FALSE),0)</x:f>
        <x:v>0</x:v>
      </x:c>
      <x:c r="H1060">
        <x:f>ROUND($C1060*10*VLOOKUP($B1060,Sheet2!$J$5:$K$7,2,FALSE)*VLOOKUP(Sheet1!$A1060,Sheet2!$B$5:$H$29,7,FALSE),0)</x:f>
        <x:v>0</x:v>
      </x:c>
      <x:c r="I1060">
        <x:f t="shared" si="17"/>
        <x:v>87990</x:v>
      </x:c>
    </x:row>
    <x:row r="1061" spans="1:9" x14ac:dyDescent="0.15">
      <x:c r="A1061">
        <x:v>54051</x:v>
      </x:c>
      <x:c r="B1061">
        <x:v>3</x:v>
      </x:c>
      <x:c r="C1061">
        <x:v>40</x:v>
      </x:c>
      <x:c r="D1061">
        <x:f>ROUND($C1061*10*VLOOKUP($B1061,Sheet2!$J$5:$K$7,2,FALSE)*VLOOKUP(Sheet1!$A1061,Sheet2!$B$5:$H$29,3,FALSE),0)</x:f>
        <x:v>160</x:v>
      </x:c>
      <x:c r="E1061">
        <x:f>ROUND($C1061*10*VLOOKUP($B1061,Sheet2!$J$5:$K$7,2,FALSE)*VLOOKUP(Sheet1!$A1061,Sheet2!$B$5:$H$29,4,FALSE),0)</x:f>
        <x:v>480</x:v>
      </x:c>
      <x:c r="F1061">
        <x:f>ROUND($C1061*10*VLOOKUP($B1061,Sheet2!$J$5:$K$7,2,FALSE)*VLOOKUP(Sheet1!$A1061,Sheet2!$B$5:$H$29,5,FALSE),0)</x:f>
        <x:v>0</x:v>
      </x:c>
      <x:c r="G1061">
        <x:f>ROUND($C1061*10*VLOOKUP($B1061,Sheet2!$J$5:$K$7,2,FALSE)*VLOOKUP(Sheet1!$A1061,Sheet2!$B$5:$H$29,6,FALSE),0)</x:f>
        <x:v>0</x:v>
      </x:c>
      <x:c r="H1061">
        <x:f>ROUND($C1061*10*VLOOKUP($B1061,Sheet2!$J$5:$K$7,2,FALSE)*VLOOKUP(Sheet1!$A1061,Sheet2!$B$5:$H$29,7,FALSE),0)</x:f>
        <x:v>0</x:v>
      </x:c>
      <x:c r="I1061">
        <x:f t="shared" si="17"/>
        <x:v>92200</x:v>
      </x:c>
    </x:row>
    <x:row r="1062" spans="1:9" x14ac:dyDescent="0.15">
      <x:c r="A1062">
        <x:v>54051</x:v>
      </x:c>
      <x:c r="B1062">
        <x:v>3</x:v>
      </x:c>
      <x:c r="C1062">
        <x:v>41</x:v>
      </x:c>
      <x:c r="D1062">
        <x:f>ROUND($C1062*10*VLOOKUP($B1062,Sheet2!$J$5:$K$7,2,FALSE)*VLOOKUP(Sheet1!$A1062,Sheet2!$B$5:$H$29,3,FALSE),0)</x:f>
        <x:v>164</x:v>
      </x:c>
      <x:c r="E1062">
        <x:f>ROUND($C1062*10*VLOOKUP($B1062,Sheet2!$J$5:$K$7,2,FALSE)*VLOOKUP(Sheet1!$A1062,Sheet2!$B$5:$H$29,4,FALSE),0)</x:f>
        <x:v>492</x:v>
      </x:c>
      <x:c r="F1062">
        <x:f>ROUND($C1062*10*VLOOKUP($B1062,Sheet2!$J$5:$K$7,2,FALSE)*VLOOKUP(Sheet1!$A1062,Sheet2!$B$5:$H$29,5,FALSE),0)</x:f>
        <x:v>0</x:v>
      </x:c>
      <x:c r="G1062">
        <x:f>ROUND($C1062*10*VLOOKUP($B1062,Sheet2!$J$5:$K$7,2,FALSE)*VLOOKUP(Sheet1!$A1062,Sheet2!$B$5:$H$29,6,FALSE),0)</x:f>
        <x:v>0</x:v>
      </x:c>
      <x:c r="H1062">
        <x:f>ROUND($C1062*10*VLOOKUP($B1062,Sheet2!$J$5:$K$7,2,FALSE)*VLOOKUP(Sheet1!$A1062,Sheet2!$B$5:$H$29,7,FALSE),0)</x:f>
        <x:v>0</x:v>
      </x:c>
      <x:c r="I1062">
        <x:f t="shared" si="17"/>
        <x:v>96490</x:v>
      </x:c>
    </x:row>
    <x:row r="1063" spans="1:9" x14ac:dyDescent="0.15">
      <x:c r="A1063">
        <x:v>54051</x:v>
      </x:c>
      <x:c r="B1063">
        <x:v>3</x:v>
      </x:c>
      <x:c r="C1063">
        <x:v>42</x:v>
      </x:c>
      <x:c r="D1063">
        <x:f>ROUND($C1063*10*VLOOKUP($B1063,Sheet2!$J$5:$K$7,2,FALSE)*VLOOKUP(Sheet1!$A1063,Sheet2!$B$5:$H$29,3,FALSE),0)</x:f>
        <x:v>168</x:v>
      </x:c>
      <x:c r="E1063">
        <x:f>ROUND($C1063*10*VLOOKUP($B1063,Sheet2!$J$5:$K$7,2,FALSE)*VLOOKUP(Sheet1!$A1063,Sheet2!$B$5:$H$29,4,FALSE),0)</x:f>
        <x:v>504</x:v>
      </x:c>
      <x:c r="F1063">
        <x:f>ROUND($C1063*10*VLOOKUP($B1063,Sheet2!$J$5:$K$7,2,FALSE)*VLOOKUP(Sheet1!$A1063,Sheet2!$B$5:$H$29,5,FALSE),0)</x:f>
        <x:v>0</x:v>
      </x:c>
      <x:c r="G1063">
        <x:f>ROUND($C1063*10*VLOOKUP($B1063,Sheet2!$J$5:$K$7,2,FALSE)*VLOOKUP(Sheet1!$A1063,Sheet2!$B$5:$H$29,6,FALSE),0)</x:f>
        <x:v>0</x:v>
      </x:c>
      <x:c r="H1063">
        <x:f>ROUND($C1063*10*VLOOKUP($B1063,Sheet2!$J$5:$K$7,2,FALSE)*VLOOKUP(Sheet1!$A1063,Sheet2!$B$5:$H$29,7,FALSE),0)</x:f>
        <x:v>0</x:v>
      </x:c>
      <x:c r="I1063">
        <x:f t="shared" si="17"/>
        <x:v>100870</x:v>
      </x:c>
    </x:row>
    <x:row r="1064" spans="1:9" x14ac:dyDescent="0.15">
      <x:c r="A1064">
        <x:v>54051</x:v>
      </x:c>
      <x:c r="B1064">
        <x:v>3</x:v>
      </x:c>
      <x:c r="C1064">
        <x:v>43</x:v>
      </x:c>
      <x:c r="D1064">
        <x:f>ROUND($C1064*10*VLOOKUP($B1064,Sheet2!$J$5:$K$7,2,FALSE)*VLOOKUP(Sheet1!$A1064,Sheet2!$B$5:$H$29,3,FALSE),0)</x:f>
        <x:v>172</x:v>
      </x:c>
      <x:c r="E1064">
        <x:f>ROUND($C1064*10*VLOOKUP($B1064,Sheet2!$J$5:$K$7,2,FALSE)*VLOOKUP(Sheet1!$A1064,Sheet2!$B$5:$H$29,4,FALSE),0)</x:f>
        <x:v>516</x:v>
      </x:c>
      <x:c r="F1064">
        <x:f>ROUND($C1064*10*VLOOKUP($B1064,Sheet2!$J$5:$K$7,2,FALSE)*VLOOKUP(Sheet1!$A1064,Sheet2!$B$5:$H$29,5,FALSE),0)</x:f>
        <x:v>0</x:v>
      </x:c>
      <x:c r="G1064">
        <x:f>ROUND($C1064*10*VLOOKUP($B1064,Sheet2!$J$5:$K$7,2,FALSE)*VLOOKUP(Sheet1!$A1064,Sheet2!$B$5:$H$29,6,FALSE),0)</x:f>
        <x:v>0</x:v>
      </x:c>
      <x:c r="H1064">
        <x:f>ROUND($C1064*10*VLOOKUP($B1064,Sheet2!$J$5:$K$7,2,FALSE)*VLOOKUP(Sheet1!$A1064,Sheet2!$B$5:$H$29,7,FALSE),0)</x:f>
        <x:v>0</x:v>
      </x:c>
      <x:c r="I1064">
        <x:f t="shared" si="17"/>
        <x:v>105340</x:v>
      </x:c>
    </x:row>
    <x:row r="1065" spans="1:9" x14ac:dyDescent="0.15">
      <x:c r="A1065">
        <x:v>54051</x:v>
      </x:c>
      <x:c r="B1065">
        <x:v>3</x:v>
      </x:c>
      <x:c r="C1065">
        <x:v>44</x:v>
      </x:c>
      <x:c r="D1065">
        <x:f>ROUND($C1065*10*VLOOKUP($B1065,Sheet2!$J$5:$K$7,2,FALSE)*VLOOKUP(Sheet1!$A1065,Sheet2!$B$5:$H$29,3,FALSE),0)</x:f>
        <x:v>176</x:v>
      </x:c>
      <x:c r="E1065">
        <x:f>ROUND($C1065*10*VLOOKUP($B1065,Sheet2!$J$5:$K$7,2,FALSE)*VLOOKUP(Sheet1!$A1065,Sheet2!$B$5:$H$29,4,FALSE),0)</x:f>
        <x:v>528</x:v>
      </x:c>
      <x:c r="F1065">
        <x:f>ROUND($C1065*10*VLOOKUP($B1065,Sheet2!$J$5:$K$7,2,FALSE)*VLOOKUP(Sheet1!$A1065,Sheet2!$B$5:$H$29,5,FALSE),0)</x:f>
        <x:v>0</x:v>
      </x:c>
      <x:c r="G1065">
        <x:f>ROUND($C1065*10*VLOOKUP($B1065,Sheet2!$J$5:$K$7,2,FALSE)*VLOOKUP(Sheet1!$A1065,Sheet2!$B$5:$H$29,6,FALSE),0)</x:f>
        <x:v>0</x:v>
      </x:c>
      <x:c r="H1065">
        <x:f>ROUND($C1065*10*VLOOKUP($B1065,Sheet2!$J$5:$K$7,2,FALSE)*VLOOKUP(Sheet1!$A1065,Sheet2!$B$5:$H$29,7,FALSE),0)</x:f>
        <x:v>0</x:v>
      </x:c>
      <x:c r="I1065">
        <x:f t="shared" si="17"/>
        <x:v>109890</x:v>
      </x:c>
    </x:row>
    <x:row r="1066" spans="1:9" x14ac:dyDescent="0.15">
      <x:c r="A1066">
        <x:v>54051</x:v>
      </x:c>
      <x:c r="B1066">
        <x:v>3</x:v>
      </x:c>
      <x:c r="C1066">
        <x:v>45</x:v>
      </x:c>
      <x:c r="D1066">
        <x:f>ROUND($C1066*10*VLOOKUP($B1066,Sheet2!$J$5:$K$7,2,FALSE)*VLOOKUP(Sheet1!$A1066,Sheet2!$B$5:$H$29,3,FALSE),0)</x:f>
        <x:v>180</x:v>
      </x:c>
      <x:c r="E1066">
        <x:f>ROUND($C1066*10*VLOOKUP($B1066,Sheet2!$J$5:$K$7,2,FALSE)*VLOOKUP(Sheet1!$A1066,Sheet2!$B$5:$H$29,4,FALSE),0)</x:f>
        <x:v>540</x:v>
      </x:c>
      <x:c r="F1066">
        <x:f>ROUND($C1066*10*VLOOKUP($B1066,Sheet2!$J$5:$K$7,2,FALSE)*VLOOKUP(Sheet1!$A1066,Sheet2!$B$5:$H$29,5,FALSE),0)</x:f>
        <x:v>0</x:v>
      </x:c>
      <x:c r="G1066">
        <x:f>ROUND($C1066*10*VLOOKUP($B1066,Sheet2!$J$5:$K$7,2,FALSE)*VLOOKUP(Sheet1!$A1066,Sheet2!$B$5:$H$29,6,FALSE),0)</x:f>
        <x:v>0</x:v>
      </x:c>
      <x:c r="H1066">
        <x:f>ROUND($C1066*10*VLOOKUP($B1066,Sheet2!$J$5:$K$7,2,FALSE)*VLOOKUP(Sheet1!$A1066,Sheet2!$B$5:$H$29,7,FALSE),0)</x:f>
        <x:v>0</x:v>
      </x:c>
      <x:c r="I1066">
        <x:f t="shared" si="17"/>
        <x:v>114530</x:v>
      </x:c>
    </x:row>
    <x:row r="1067" spans="1:9" x14ac:dyDescent="0.15">
      <x:c r="A1067">
        <x:v>54051</x:v>
      </x:c>
      <x:c r="B1067">
        <x:v>3</x:v>
      </x:c>
      <x:c r="C1067">
        <x:v>46</x:v>
      </x:c>
      <x:c r="D1067">
        <x:f>ROUND($C1067*10*VLOOKUP($B1067,Sheet2!$J$5:$K$7,2,FALSE)*VLOOKUP(Sheet1!$A1067,Sheet2!$B$5:$H$29,3,FALSE),0)</x:f>
        <x:v>184</x:v>
      </x:c>
      <x:c r="E1067">
        <x:f>ROUND($C1067*10*VLOOKUP($B1067,Sheet2!$J$5:$K$7,2,FALSE)*VLOOKUP(Sheet1!$A1067,Sheet2!$B$5:$H$29,4,FALSE),0)</x:f>
        <x:v>552</x:v>
      </x:c>
      <x:c r="F1067">
        <x:f>ROUND($C1067*10*VLOOKUP($B1067,Sheet2!$J$5:$K$7,2,FALSE)*VLOOKUP(Sheet1!$A1067,Sheet2!$B$5:$H$29,5,FALSE),0)</x:f>
        <x:v>0</x:v>
      </x:c>
      <x:c r="G1067">
        <x:f>ROUND($C1067*10*VLOOKUP($B1067,Sheet2!$J$5:$K$7,2,FALSE)*VLOOKUP(Sheet1!$A1067,Sheet2!$B$5:$H$29,6,FALSE),0)</x:f>
        <x:v>0</x:v>
      </x:c>
      <x:c r="H1067">
        <x:f>ROUND($C1067*10*VLOOKUP($B1067,Sheet2!$J$5:$K$7,2,FALSE)*VLOOKUP(Sheet1!$A1067,Sheet2!$B$5:$H$29,7,FALSE),0)</x:f>
        <x:v>0</x:v>
      </x:c>
      <x:c r="I1067">
        <x:f t="shared" si="17"/>
        <x:v>119260</x:v>
      </x:c>
    </x:row>
    <x:row r="1068" spans="1:9" x14ac:dyDescent="0.15">
      <x:c r="A1068">
        <x:v>54051</x:v>
      </x:c>
      <x:c r="B1068">
        <x:v>3</x:v>
      </x:c>
      <x:c r="C1068">
        <x:v>47</x:v>
      </x:c>
      <x:c r="D1068">
        <x:f>ROUND($C1068*10*VLOOKUP($B1068,Sheet2!$J$5:$K$7,2,FALSE)*VLOOKUP(Sheet1!$A1068,Sheet2!$B$5:$H$29,3,FALSE),0)</x:f>
        <x:v>188</x:v>
      </x:c>
      <x:c r="E1068">
        <x:f>ROUND($C1068*10*VLOOKUP($B1068,Sheet2!$J$5:$K$7,2,FALSE)*VLOOKUP(Sheet1!$A1068,Sheet2!$B$5:$H$29,4,FALSE),0)</x:f>
        <x:v>564</x:v>
      </x:c>
      <x:c r="F1068">
        <x:f>ROUND($C1068*10*VLOOKUP($B1068,Sheet2!$J$5:$K$7,2,FALSE)*VLOOKUP(Sheet1!$A1068,Sheet2!$B$5:$H$29,5,FALSE),0)</x:f>
        <x:v>0</x:v>
      </x:c>
      <x:c r="G1068">
        <x:f>ROUND($C1068*10*VLOOKUP($B1068,Sheet2!$J$5:$K$7,2,FALSE)*VLOOKUP(Sheet1!$A1068,Sheet2!$B$5:$H$29,6,FALSE),0)</x:f>
        <x:v>0</x:v>
      </x:c>
      <x:c r="H1068">
        <x:f>ROUND($C1068*10*VLOOKUP($B1068,Sheet2!$J$5:$K$7,2,FALSE)*VLOOKUP(Sheet1!$A1068,Sheet2!$B$5:$H$29,7,FALSE),0)</x:f>
        <x:v>0</x:v>
      </x:c>
      <x:c r="I1068">
        <x:f t="shared" si="17"/>
        <x:v>124070</x:v>
      </x:c>
    </x:row>
    <x:row r="1069" spans="1:9" x14ac:dyDescent="0.15">
      <x:c r="A1069">
        <x:v>54051</x:v>
      </x:c>
      <x:c r="B1069">
        <x:v>3</x:v>
      </x:c>
      <x:c r="C1069">
        <x:v>48</x:v>
      </x:c>
      <x:c r="D1069">
        <x:f>ROUND($C1069*10*VLOOKUP($B1069,Sheet2!$J$5:$K$7,2,FALSE)*VLOOKUP(Sheet1!$A1069,Sheet2!$B$5:$H$29,3,FALSE),0)</x:f>
        <x:v>192</x:v>
      </x:c>
      <x:c r="E1069">
        <x:f>ROUND($C1069*10*VLOOKUP($B1069,Sheet2!$J$5:$K$7,2,FALSE)*VLOOKUP(Sheet1!$A1069,Sheet2!$B$5:$H$29,4,FALSE),0)</x:f>
        <x:v>576</x:v>
      </x:c>
      <x:c r="F1069">
        <x:f>ROUND($C1069*10*VLOOKUP($B1069,Sheet2!$J$5:$K$7,2,FALSE)*VLOOKUP(Sheet1!$A1069,Sheet2!$B$5:$H$29,5,FALSE),0)</x:f>
        <x:v>0</x:v>
      </x:c>
      <x:c r="G1069">
        <x:f>ROUND($C1069*10*VLOOKUP($B1069,Sheet2!$J$5:$K$7,2,FALSE)*VLOOKUP(Sheet1!$A1069,Sheet2!$B$5:$H$29,6,FALSE),0)</x:f>
        <x:v>0</x:v>
      </x:c>
      <x:c r="H1069">
        <x:f>ROUND($C1069*10*VLOOKUP($B1069,Sheet2!$J$5:$K$7,2,FALSE)*VLOOKUP(Sheet1!$A1069,Sheet2!$B$5:$H$29,7,FALSE),0)</x:f>
        <x:v>0</x:v>
      </x:c>
      <x:c r="I1069">
        <x:f t="shared" si="17"/>
        <x:v>128960</x:v>
      </x:c>
    </x:row>
    <x:row r="1070" spans="1:9" x14ac:dyDescent="0.15">
      <x:c r="A1070">
        <x:v>54051</x:v>
      </x:c>
      <x:c r="B1070">
        <x:v>3</x:v>
      </x:c>
      <x:c r="C1070">
        <x:v>49</x:v>
      </x:c>
      <x:c r="D1070">
        <x:f>ROUND($C1070*10*VLOOKUP($B1070,Sheet2!$J$5:$K$7,2,FALSE)*VLOOKUP(Sheet1!$A1070,Sheet2!$B$5:$H$29,3,FALSE),0)</x:f>
        <x:v>196</x:v>
      </x:c>
      <x:c r="E1070">
        <x:f>ROUND($C1070*10*VLOOKUP($B1070,Sheet2!$J$5:$K$7,2,FALSE)*VLOOKUP(Sheet1!$A1070,Sheet2!$B$5:$H$29,4,FALSE),0)</x:f>
        <x:v>588</x:v>
      </x:c>
      <x:c r="F1070">
        <x:f>ROUND($C1070*10*VLOOKUP($B1070,Sheet2!$J$5:$K$7,2,FALSE)*VLOOKUP(Sheet1!$A1070,Sheet2!$B$5:$H$29,5,FALSE),0)</x:f>
        <x:v>0</x:v>
      </x:c>
      <x:c r="G1070">
        <x:f>ROUND($C1070*10*VLOOKUP($B1070,Sheet2!$J$5:$K$7,2,FALSE)*VLOOKUP(Sheet1!$A1070,Sheet2!$B$5:$H$29,6,FALSE),0)</x:f>
        <x:v>0</x:v>
      </x:c>
      <x:c r="H1070">
        <x:f>ROUND($C1070*10*VLOOKUP($B1070,Sheet2!$J$5:$K$7,2,FALSE)*VLOOKUP(Sheet1!$A1070,Sheet2!$B$5:$H$29,7,FALSE),0)</x:f>
        <x:v>0</x:v>
      </x:c>
      <x:c r="I1070">
        <x:f t="shared" si="17"/>
        <x:v>133940</x:v>
      </x:c>
    </x:row>
    <x:row r="1071" spans="1:9" x14ac:dyDescent="0.15">
      <x:c r="A1071">
        <x:v>54051</x:v>
      </x:c>
      <x:c r="B1071">
        <x:v>3</x:v>
      </x:c>
      <x:c r="C1071">
        <x:v>50</x:v>
      </x:c>
      <x:c r="D1071">
        <x:f>ROUND($C1071*10*VLOOKUP($B1071,Sheet2!$J$5:$K$7,2,FALSE)*VLOOKUP(Sheet1!$A1071,Sheet2!$B$5:$H$29,3,FALSE),0)</x:f>
        <x:v>200</x:v>
      </x:c>
      <x:c r="E1071">
        <x:f>ROUND($C1071*10*VLOOKUP($B1071,Sheet2!$J$5:$K$7,2,FALSE)*VLOOKUP(Sheet1!$A1071,Sheet2!$B$5:$H$29,4,FALSE),0)</x:f>
        <x:v>600</x:v>
      </x:c>
      <x:c r="F1071">
        <x:f>ROUND($C1071*10*VLOOKUP($B1071,Sheet2!$J$5:$K$7,2,FALSE)*VLOOKUP(Sheet1!$A1071,Sheet2!$B$5:$H$29,5,FALSE),0)</x:f>
        <x:v>0</x:v>
      </x:c>
      <x:c r="G1071">
        <x:f>ROUND($C1071*10*VLOOKUP($B1071,Sheet2!$J$5:$K$7,2,FALSE)*VLOOKUP(Sheet1!$A1071,Sheet2!$B$5:$H$29,6,FALSE),0)</x:f>
        <x:v>0</x:v>
      </x:c>
      <x:c r="H1071">
        <x:f>ROUND($C1071*10*VLOOKUP($B1071,Sheet2!$J$5:$K$7,2,FALSE)*VLOOKUP(Sheet1!$A1071,Sheet2!$B$5:$H$29,7,FALSE),0)</x:f>
        <x:v>0</x:v>
      </x:c>
      <x:c r="I1071">
        <x:f t="shared" si="17"/>
        <x:v>139000</x:v>
      </x:c>
    </x:row>
    <x:row r="1072" spans="1:9" x14ac:dyDescent="0.15">
      <x:c r="A1072">
        <x:v>54051</x:v>
      </x:c>
      <x:c r="B1072">
        <x:v>3</x:v>
      </x:c>
      <x:c r="C1072">
        <x:v>51</x:v>
      </x:c>
      <x:c r="D1072">
        <x:f>ROUND($C1072*10*VLOOKUP($B1072,Sheet2!$J$5:$K$7,2,FALSE)*VLOOKUP(Sheet1!$A1072,Sheet2!$B$5:$H$29,3,FALSE),0)</x:f>
        <x:v>204</x:v>
      </x:c>
      <x:c r="E1072">
        <x:f>ROUND($C1072*10*VLOOKUP($B1072,Sheet2!$J$5:$K$7,2,FALSE)*VLOOKUP(Sheet1!$A1072,Sheet2!$B$5:$H$29,4,FALSE),0)</x:f>
        <x:v>612</x:v>
      </x:c>
      <x:c r="F1072">
        <x:f>ROUND($C1072*10*VLOOKUP($B1072,Sheet2!$J$5:$K$7,2,FALSE)*VLOOKUP(Sheet1!$A1072,Sheet2!$B$5:$H$29,5,FALSE),0)</x:f>
        <x:v>0</x:v>
      </x:c>
      <x:c r="G1072">
        <x:f>ROUND($C1072*10*VLOOKUP($B1072,Sheet2!$J$5:$K$7,2,FALSE)*VLOOKUP(Sheet1!$A1072,Sheet2!$B$5:$H$29,6,FALSE),0)</x:f>
        <x:v>0</x:v>
      </x:c>
      <x:c r="H1072">
        <x:f>ROUND($C1072*10*VLOOKUP($B1072,Sheet2!$J$5:$K$7,2,FALSE)*VLOOKUP(Sheet1!$A1072,Sheet2!$B$5:$H$29,7,FALSE),0)</x:f>
        <x:v>0</x:v>
      </x:c>
      <x:c r="I1072">
        <x:f t="shared" si="17"/>
        <x:v>144140</x:v>
      </x:c>
    </x:row>
    <x:row r="1073" spans="1:9" x14ac:dyDescent="0.15">
      <x:c r="A1073">
        <x:v>54051</x:v>
      </x:c>
      <x:c r="B1073">
        <x:v>3</x:v>
      </x:c>
      <x:c r="C1073">
        <x:v>52</x:v>
      </x:c>
      <x:c r="D1073">
        <x:f>ROUND($C1073*10*VLOOKUP($B1073,Sheet2!$J$5:$K$7,2,FALSE)*VLOOKUP(Sheet1!$A1073,Sheet2!$B$5:$H$29,3,FALSE),0)</x:f>
        <x:v>208</x:v>
      </x:c>
      <x:c r="E1073">
        <x:f>ROUND($C1073*10*VLOOKUP($B1073,Sheet2!$J$5:$K$7,2,FALSE)*VLOOKUP(Sheet1!$A1073,Sheet2!$B$5:$H$29,4,FALSE),0)</x:f>
        <x:v>624</x:v>
      </x:c>
      <x:c r="F1073">
        <x:f>ROUND($C1073*10*VLOOKUP($B1073,Sheet2!$J$5:$K$7,2,FALSE)*VLOOKUP(Sheet1!$A1073,Sheet2!$B$5:$H$29,5,FALSE),0)</x:f>
        <x:v>0</x:v>
      </x:c>
      <x:c r="G1073">
        <x:f>ROUND($C1073*10*VLOOKUP($B1073,Sheet2!$J$5:$K$7,2,FALSE)*VLOOKUP(Sheet1!$A1073,Sheet2!$B$5:$H$29,6,FALSE),0)</x:f>
        <x:v>0</x:v>
      </x:c>
      <x:c r="H1073">
        <x:f>ROUND($C1073*10*VLOOKUP($B1073,Sheet2!$J$5:$K$7,2,FALSE)*VLOOKUP(Sheet1!$A1073,Sheet2!$B$5:$H$29,7,FALSE),0)</x:f>
        <x:v>0</x:v>
      </x:c>
      <x:c r="I1073">
        <x:f t="shared" si="17"/>
        <x:v>149370</x:v>
      </x:c>
    </x:row>
    <x:row r="1074" spans="1:9" x14ac:dyDescent="0.15">
      <x:c r="A1074">
        <x:v>54051</x:v>
      </x:c>
      <x:c r="B1074">
        <x:v>3</x:v>
      </x:c>
      <x:c r="C1074">
        <x:v>53</x:v>
      </x:c>
      <x:c r="D1074">
        <x:f>ROUND($C1074*10*VLOOKUP($B1074,Sheet2!$J$5:$K$7,2,FALSE)*VLOOKUP(Sheet1!$A1074,Sheet2!$B$5:$H$29,3,FALSE),0)</x:f>
        <x:v>212</x:v>
      </x:c>
      <x:c r="E1074">
        <x:f>ROUND($C1074*10*VLOOKUP($B1074,Sheet2!$J$5:$K$7,2,FALSE)*VLOOKUP(Sheet1!$A1074,Sheet2!$B$5:$H$29,4,FALSE),0)</x:f>
        <x:v>636</x:v>
      </x:c>
      <x:c r="F1074">
        <x:f>ROUND($C1074*10*VLOOKUP($B1074,Sheet2!$J$5:$K$7,2,FALSE)*VLOOKUP(Sheet1!$A1074,Sheet2!$B$5:$H$29,5,FALSE),0)</x:f>
        <x:v>0</x:v>
      </x:c>
      <x:c r="G1074">
        <x:f>ROUND($C1074*10*VLOOKUP($B1074,Sheet2!$J$5:$K$7,2,FALSE)*VLOOKUP(Sheet1!$A1074,Sheet2!$B$5:$H$29,6,FALSE),0)</x:f>
        <x:v>0</x:v>
      </x:c>
      <x:c r="H1074">
        <x:f>ROUND($C1074*10*VLOOKUP($B1074,Sheet2!$J$5:$K$7,2,FALSE)*VLOOKUP(Sheet1!$A1074,Sheet2!$B$5:$H$29,7,FALSE),0)</x:f>
        <x:v>0</x:v>
      </x:c>
      <x:c r="I1074">
        <x:f t="shared" si="17"/>
        <x:v>154680</x:v>
      </x:c>
    </x:row>
    <x:row r="1075" spans="1:9" x14ac:dyDescent="0.15">
      <x:c r="A1075">
        <x:v>54051</x:v>
      </x:c>
      <x:c r="B1075">
        <x:v>3</x:v>
      </x:c>
      <x:c r="C1075">
        <x:v>54</x:v>
      </x:c>
      <x:c r="D1075">
        <x:f>ROUND($C1075*10*VLOOKUP($B1075,Sheet2!$J$5:$K$7,2,FALSE)*VLOOKUP(Sheet1!$A1075,Sheet2!$B$5:$H$29,3,FALSE),0)</x:f>
        <x:v>216</x:v>
      </x:c>
      <x:c r="E1075">
        <x:f>ROUND($C1075*10*VLOOKUP($B1075,Sheet2!$J$5:$K$7,2,FALSE)*VLOOKUP(Sheet1!$A1075,Sheet2!$B$5:$H$29,4,FALSE),0)</x:f>
        <x:v>648</x:v>
      </x:c>
      <x:c r="F1075">
        <x:f>ROUND($C1075*10*VLOOKUP($B1075,Sheet2!$J$5:$K$7,2,FALSE)*VLOOKUP(Sheet1!$A1075,Sheet2!$B$5:$H$29,5,FALSE),0)</x:f>
        <x:v>0</x:v>
      </x:c>
      <x:c r="G1075">
        <x:f>ROUND($C1075*10*VLOOKUP($B1075,Sheet2!$J$5:$K$7,2,FALSE)*VLOOKUP(Sheet1!$A1075,Sheet2!$B$5:$H$29,6,FALSE),0)</x:f>
        <x:v>0</x:v>
      </x:c>
      <x:c r="H1075">
        <x:f>ROUND($C1075*10*VLOOKUP($B1075,Sheet2!$J$5:$K$7,2,FALSE)*VLOOKUP(Sheet1!$A1075,Sheet2!$B$5:$H$29,7,FALSE),0)</x:f>
        <x:v>0</x:v>
      </x:c>
      <x:c r="I1075">
        <x:f t="shared" si="17"/>
        <x:v>160070</x:v>
      </x:c>
    </x:row>
    <x:row r="1076" spans="1:9" x14ac:dyDescent="0.15">
      <x:c r="A1076">
        <x:v>54051</x:v>
      </x:c>
      <x:c r="B1076">
        <x:v>3</x:v>
      </x:c>
      <x:c r="C1076">
        <x:v>55</x:v>
      </x:c>
      <x:c r="D1076">
        <x:f>ROUND($C1076*10*VLOOKUP($B1076,Sheet2!$J$5:$K$7,2,FALSE)*VLOOKUP(Sheet1!$A1076,Sheet2!$B$5:$H$29,3,FALSE),0)</x:f>
        <x:v>220</x:v>
      </x:c>
      <x:c r="E1076">
        <x:f>ROUND($C1076*10*VLOOKUP($B1076,Sheet2!$J$5:$K$7,2,FALSE)*VLOOKUP(Sheet1!$A1076,Sheet2!$B$5:$H$29,4,FALSE),0)</x:f>
        <x:v>660</x:v>
      </x:c>
      <x:c r="F1076">
        <x:f>ROUND($C1076*10*VLOOKUP($B1076,Sheet2!$J$5:$K$7,2,FALSE)*VLOOKUP(Sheet1!$A1076,Sheet2!$B$5:$H$29,5,FALSE),0)</x:f>
        <x:v>0</x:v>
      </x:c>
      <x:c r="G1076">
        <x:f>ROUND($C1076*10*VLOOKUP($B1076,Sheet2!$J$5:$K$7,2,FALSE)*VLOOKUP(Sheet1!$A1076,Sheet2!$B$5:$H$29,6,FALSE),0)</x:f>
        <x:v>0</x:v>
      </x:c>
      <x:c r="H1076">
        <x:f>ROUND($C1076*10*VLOOKUP($B1076,Sheet2!$J$5:$K$7,2,FALSE)*VLOOKUP(Sheet1!$A1076,Sheet2!$B$5:$H$29,7,FALSE),0)</x:f>
        <x:v>0</x:v>
      </x:c>
      <x:c r="I1076">
        <x:f t="shared" si="17"/>
        <x:v>165540</x:v>
      </x:c>
    </x:row>
    <x:row r="1077" spans="1:9" x14ac:dyDescent="0.15">
      <x:c r="A1077">
        <x:v>54051</x:v>
      </x:c>
      <x:c r="B1077">
        <x:v>3</x:v>
      </x:c>
      <x:c r="C1077">
        <x:v>56</x:v>
      </x:c>
      <x:c r="D1077">
        <x:f>ROUND($C1077*10*VLOOKUP($B1077,Sheet2!$J$5:$K$7,2,FALSE)*VLOOKUP(Sheet1!$A1077,Sheet2!$B$5:$H$29,3,FALSE),0)</x:f>
        <x:v>224</x:v>
      </x:c>
      <x:c r="E1077">
        <x:f>ROUND($C1077*10*VLOOKUP($B1077,Sheet2!$J$5:$K$7,2,FALSE)*VLOOKUP(Sheet1!$A1077,Sheet2!$B$5:$H$29,4,FALSE),0)</x:f>
        <x:v>672</x:v>
      </x:c>
      <x:c r="F1077">
        <x:f>ROUND($C1077*10*VLOOKUP($B1077,Sheet2!$J$5:$K$7,2,FALSE)*VLOOKUP(Sheet1!$A1077,Sheet2!$B$5:$H$29,5,FALSE),0)</x:f>
        <x:v>0</x:v>
      </x:c>
      <x:c r="G1077">
        <x:f>ROUND($C1077*10*VLOOKUP($B1077,Sheet2!$J$5:$K$7,2,FALSE)*VLOOKUP(Sheet1!$A1077,Sheet2!$B$5:$H$29,6,FALSE),0)</x:f>
        <x:v>0</x:v>
      </x:c>
      <x:c r="H1077">
        <x:f>ROUND($C1077*10*VLOOKUP($B1077,Sheet2!$J$5:$K$7,2,FALSE)*VLOOKUP(Sheet1!$A1077,Sheet2!$B$5:$H$29,7,FALSE),0)</x:f>
        <x:v>0</x:v>
      </x:c>
      <x:c r="I1077">
        <x:f t="shared" si="17"/>
        <x:v>171100</x:v>
      </x:c>
    </x:row>
    <x:row r="1078" spans="1:9" x14ac:dyDescent="0.15">
      <x:c r="A1078">
        <x:v>54051</x:v>
      </x:c>
      <x:c r="B1078">
        <x:v>3</x:v>
      </x:c>
      <x:c r="C1078">
        <x:v>57</x:v>
      </x:c>
      <x:c r="D1078">
        <x:f>ROUND($C1078*10*VLOOKUP($B1078,Sheet2!$J$5:$K$7,2,FALSE)*VLOOKUP(Sheet1!$A1078,Sheet2!$B$5:$H$29,3,FALSE),0)</x:f>
        <x:v>228</x:v>
      </x:c>
      <x:c r="E1078">
        <x:f>ROUND($C1078*10*VLOOKUP($B1078,Sheet2!$J$5:$K$7,2,FALSE)*VLOOKUP(Sheet1!$A1078,Sheet2!$B$5:$H$29,4,FALSE),0)</x:f>
        <x:v>684</x:v>
      </x:c>
      <x:c r="F1078">
        <x:f>ROUND($C1078*10*VLOOKUP($B1078,Sheet2!$J$5:$K$7,2,FALSE)*VLOOKUP(Sheet1!$A1078,Sheet2!$B$5:$H$29,5,FALSE),0)</x:f>
        <x:v>0</x:v>
      </x:c>
      <x:c r="G1078">
        <x:f>ROUND($C1078*10*VLOOKUP($B1078,Sheet2!$J$5:$K$7,2,FALSE)*VLOOKUP(Sheet1!$A1078,Sheet2!$B$5:$H$29,6,FALSE),0)</x:f>
        <x:v>0</x:v>
      </x:c>
      <x:c r="H1078">
        <x:f>ROUND($C1078*10*VLOOKUP($B1078,Sheet2!$J$5:$K$7,2,FALSE)*VLOOKUP(Sheet1!$A1078,Sheet2!$B$5:$H$29,7,FALSE),0)</x:f>
        <x:v>0</x:v>
      </x:c>
      <x:c r="I1078">
        <x:f t="shared" si="17"/>
        <x:v>176740</x:v>
      </x:c>
    </x:row>
    <x:row r="1079" spans="1:9" x14ac:dyDescent="0.15">
      <x:c r="A1079">
        <x:v>54051</x:v>
      </x:c>
      <x:c r="B1079">
        <x:v>3</x:v>
      </x:c>
      <x:c r="C1079">
        <x:v>58</x:v>
      </x:c>
      <x:c r="D1079">
        <x:f>ROUND($C1079*10*VLOOKUP($B1079,Sheet2!$J$5:$K$7,2,FALSE)*VLOOKUP(Sheet1!$A1079,Sheet2!$B$5:$H$29,3,FALSE),0)</x:f>
        <x:v>232</x:v>
      </x:c>
      <x:c r="E1079">
        <x:f>ROUND($C1079*10*VLOOKUP($B1079,Sheet2!$J$5:$K$7,2,FALSE)*VLOOKUP(Sheet1!$A1079,Sheet2!$B$5:$H$29,4,FALSE),0)</x:f>
        <x:v>696</x:v>
      </x:c>
      <x:c r="F1079">
        <x:f>ROUND($C1079*10*VLOOKUP($B1079,Sheet2!$J$5:$K$7,2,FALSE)*VLOOKUP(Sheet1!$A1079,Sheet2!$B$5:$H$29,5,FALSE),0)</x:f>
        <x:v>0</x:v>
      </x:c>
      <x:c r="G1079">
        <x:f>ROUND($C1079*10*VLOOKUP($B1079,Sheet2!$J$5:$K$7,2,FALSE)*VLOOKUP(Sheet1!$A1079,Sheet2!$B$5:$H$29,6,FALSE),0)</x:f>
        <x:v>0</x:v>
      </x:c>
      <x:c r="H1079">
        <x:f>ROUND($C1079*10*VLOOKUP($B1079,Sheet2!$J$5:$K$7,2,FALSE)*VLOOKUP(Sheet1!$A1079,Sheet2!$B$5:$H$29,7,FALSE),0)</x:f>
        <x:v>0</x:v>
      </x:c>
      <x:c r="I1079">
        <x:f t="shared" si="17"/>
        <x:v>182460</x:v>
      </x:c>
    </x:row>
    <x:row r="1080" spans="1:9" x14ac:dyDescent="0.15">
      <x:c r="A1080">
        <x:v>54051</x:v>
      </x:c>
      <x:c r="B1080">
        <x:v>3</x:v>
      </x:c>
      <x:c r="C1080">
        <x:v>59</x:v>
      </x:c>
      <x:c r="D1080">
        <x:f>ROUND($C1080*10*VLOOKUP($B1080,Sheet2!$J$5:$K$7,2,FALSE)*VLOOKUP(Sheet1!$A1080,Sheet2!$B$5:$H$29,3,FALSE),0)</x:f>
        <x:v>236</x:v>
      </x:c>
      <x:c r="E1080">
        <x:f>ROUND($C1080*10*VLOOKUP($B1080,Sheet2!$J$5:$K$7,2,FALSE)*VLOOKUP(Sheet1!$A1080,Sheet2!$B$5:$H$29,4,FALSE),0)</x:f>
        <x:v>708</x:v>
      </x:c>
      <x:c r="F1080">
        <x:f>ROUND($C1080*10*VLOOKUP($B1080,Sheet2!$J$5:$K$7,2,FALSE)*VLOOKUP(Sheet1!$A1080,Sheet2!$B$5:$H$29,5,FALSE),0)</x:f>
        <x:v>0</x:v>
      </x:c>
      <x:c r="G1080">
        <x:f>ROUND($C1080*10*VLOOKUP($B1080,Sheet2!$J$5:$K$7,2,FALSE)*VLOOKUP(Sheet1!$A1080,Sheet2!$B$5:$H$29,6,FALSE),0)</x:f>
        <x:v>0</x:v>
      </x:c>
      <x:c r="H1080">
        <x:f>ROUND($C1080*10*VLOOKUP($B1080,Sheet2!$J$5:$K$7,2,FALSE)*VLOOKUP(Sheet1!$A1080,Sheet2!$B$5:$H$29,7,FALSE),0)</x:f>
        <x:v>0</x:v>
      </x:c>
      <x:c r="I1080">
        <x:f t="shared" si="17"/>
        <x:v>188260</x:v>
      </x:c>
    </x:row>
    <x:row r="1081" spans="1:9" x14ac:dyDescent="0.15">
      <x:c r="A1081">
        <x:v>54051</x:v>
      </x:c>
      <x:c r="B1081">
        <x:v>3</x:v>
      </x:c>
      <x:c r="C1081">
        <x:v>60</x:v>
      </x:c>
      <x:c r="D1081">
        <x:f>ROUND($C1081*10*VLOOKUP($B1081,Sheet2!$J$5:$K$7,2,FALSE)*VLOOKUP(Sheet1!$A1081,Sheet2!$B$5:$H$29,3,FALSE),0)</x:f>
        <x:v>240</x:v>
      </x:c>
      <x:c r="E1081">
        <x:f>ROUND($C1081*10*VLOOKUP($B1081,Sheet2!$J$5:$K$7,2,FALSE)*VLOOKUP(Sheet1!$A1081,Sheet2!$B$5:$H$29,4,FALSE),0)</x:f>
        <x:v>720</x:v>
      </x:c>
      <x:c r="F1081">
        <x:f>ROUND($C1081*10*VLOOKUP($B1081,Sheet2!$J$5:$K$7,2,FALSE)*VLOOKUP(Sheet1!$A1081,Sheet2!$B$5:$H$29,5,FALSE),0)</x:f>
        <x:v>0</x:v>
      </x:c>
      <x:c r="G1081">
        <x:f>ROUND($C1081*10*VLOOKUP($B1081,Sheet2!$J$5:$K$7,2,FALSE)*VLOOKUP(Sheet1!$A1081,Sheet2!$B$5:$H$29,6,FALSE),0)</x:f>
        <x:v>0</x:v>
      </x:c>
      <x:c r="H1081">
        <x:f>ROUND($C1081*10*VLOOKUP($B1081,Sheet2!$J$5:$K$7,2,FALSE)*VLOOKUP(Sheet1!$A1081,Sheet2!$B$5:$H$29,7,FALSE),0)</x:f>
        <x:v>0</x:v>
      </x:c>
      <x:c r="I1081">
        <x:f t="shared" si="17"/>
        <x:v>194140</x:v>
      </x:c>
    </x:row>
    <x:row r="1082" spans="1:9" x14ac:dyDescent="0.15">
      <x:c r="A1082">
        <x:v>54052</x:v>
      </x:c>
      <x:c r="B1082">
        <x:v>1</x:v>
      </x:c>
      <x:c r="C1082">
        <x:v>1</x:v>
      </x:c>
      <x:c r="D1082">
        <x:f>ROUND($C1082*10*VLOOKUP($B1082,Sheet2!$J$5:$K$7,2,FALSE)*VLOOKUP(Sheet1!$A1082,Sheet2!$B$5:$H$29,3,FALSE),0)</x:f>
        <x:v>0</x:v>
      </x:c>
      <x:c r="E1082">
        <x:f>ROUND($C1082*10*VLOOKUP($B1082,Sheet2!$J$5:$K$7,2,FALSE)*VLOOKUP(Sheet1!$A1082,Sheet2!$B$5:$H$29,4,FALSE),0)</x:f>
        <x:v>10</x:v>
      </x:c>
      <x:c r="F1082">
        <x:f>ROUND($C1082*10*VLOOKUP($B1082,Sheet2!$J$5:$K$7,2,FALSE)*VLOOKUP(Sheet1!$A1082,Sheet2!$B$5:$H$29,5,FALSE),0)</x:f>
        <x:v>0</x:v>
      </x:c>
      <x:c r="G1082">
        <x:f>ROUND($C1082*10*VLOOKUP($B1082,Sheet2!$J$5:$K$7,2,FALSE)*VLOOKUP(Sheet1!$A1082,Sheet2!$B$5:$H$29,6,FALSE),0)</x:f>
        <x:v>0</x:v>
      </x:c>
      <x:c r="H1082">
        <x:f>ROUND($C1082*10*VLOOKUP($B1082,Sheet2!$J$5:$K$7,2,FALSE)*VLOOKUP(Sheet1!$A1082,Sheet2!$B$5:$H$29,7,FALSE),0)</x:f>
        <x:v>0</x:v>
      </x:c>
      <x:c r="I1082">
        <x:f t="shared" ref="I1082:I1141" si="18">ROUND(1.2*10*1.8*(C1082-1)^1.8+30,-1)</x:f>
        <x:v>30</x:v>
      </x:c>
    </x:row>
    <x:row r="1083" spans="1:9" x14ac:dyDescent="0.15">
      <x:c r="A1083">
        <x:v>54052</x:v>
      </x:c>
      <x:c r="B1083">
        <x:v>1</x:v>
      </x:c>
      <x:c r="C1083">
        <x:v>2</x:v>
      </x:c>
      <x:c r="D1083">
        <x:f>ROUND($C1083*10*VLOOKUP($B1083,Sheet2!$J$5:$K$7,2,FALSE)*VLOOKUP(Sheet1!$A1083,Sheet2!$B$5:$H$29,3,FALSE),0)</x:f>
        <x:v>0</x:v>
      </x:c>
      <x:c r="E1083">
        <x:f>ROUND($C1083*10*VLOOKUP($B1083,Sheet2!$J$5:$K$7,2,FALSE)*VLOOKUP(Sheet1!$A1083,Sheet2!$B$5:$H$29,4,FALSE),0)</x:f>
        <x:v>20</x:v>
      </x:c>
      <x:c r="F1083">
        <x:f>ROUND($C1083*10*VLOOKUP($B1083,Sheet2!$J$5:$K$7,2,FALSE)*VLOOKUP(Sheet1!$A1083,Sheet2!$B$5:$H$29,5,FALSE),0)</x:f>
        <x:v>0</x:v>
      </x:c>
      <x:c r="G1083">
        <x:f>ROUND($C1083*10*VLOOKUP($B1083,Sheet2!$J$5:$K$7,2,FALSE)*VLOOKUP(Sheet1!$A1083,Sheet2!$B$5:$H$29,6,FALSE),0)</x:f>
        <x:v>0</x:v>
      </x:c>
      <x:c r="H1083">
        <x:f>ROUND($C1083*10*VLOOKUP($B1083,Sheet2!$J$5:$K$7,2,FALSE)*VLOOKUP(Sheet1!$A1083,Sheet2!$B$5:$H$29,7,FALSE),0)</x:f>
        <x:v>0</x:v>
      </x:c>
      <x:c r="I1083">
        <x:f t="shared" si="18"/>
        <x:v>50</x:v>
      </x:c>
    </x:row>
    <x:row r="1084" spans="1:9" x14ac:dyDescent="0.15">
      <x:c r="A1084">
        <x:v>54052</x:v>
      </x:c>
      <x:c r="B1084">
        <x:v>1</x:v>
      </x:c>
      <x:c r="C1084">
        <x:v>3</x:v>
      </x:c>
      <x:c r="D1084">
        <x:f>ROUND($C1084*10*VLOOKUP($B1084,Sheet2!$J$5:$K$7,2,FALSE)*VLOOKUP(Sheet1!$A1084,Sheet2!$B$5:$H$29,3,FALSE),0)</x:f>
        <x:v>0</x:v>
      </x:c>
      <x:c r="E1084">
        <x:f>ROUND($C1084*10*VLOOKUP($B1084,Sheet2!$J$5:$K$7,2,FALSE)*VLOOKUP(Sheet1!$A1084,Sheet2!$B$5:$H$29,4,FALSE),0)</x:f>
        <x:v>30</x:v>
      </x:c>
      <x:c r="F1084">
        <x:f>ROUND($C1084*10*VLOOKUP($B1084,Sheet2!$J$5:$K$7,2,FALSE)*VLOOKUP(Sheet1!$A1084,Sheet2!$B$5:$H$29,5,FALSE),0)</x:f>
        <x:v>0</x:v>
      </x:c>
      <x:c r="G1084">
        <x:f>ROUND($C1084*10*VLOOKUP($B1084,Sheet2!$J$5:$K$7,2,FALSE)*VLOOKUP(Sheet1!$A1084,Sheet2!$B$5:$H$29,6,FALSE),0)</x:f>
        <x:v>0</x:v>
      </x:c>
      <x:c r="H1084">
        <x:f>ROUND($C1084*10*VLOOKUP($B1084,Sheet2!$J$5:$K$7,2,FALSE)*VLOOKUP(Sheet1!$A1084,Sheet2!$B$5:$H$29,7,FALSE),0)</x:f>
        <x:v>0</x:v>
      </x:c>
      <x:c r="I1084">
        <x:f t="shared" si="18"/>
        <x:v>110</x:v>
      </x:c>
    </x:row>
    <x:row r="1085" spans="1:9" x14ac:dyDescent="0.15">
      <x:c r="A1085">
        <x:v>54052</x:v>
      </x:c>
      <x:c r="B1085">
        <x:v>1</x:v>
      </x:c>
      <x:c r="C1085">
        <x:v>4</x:v>
      </x:c>
      <x:c r="D1085">
        <x:f>ROUND($C1085*10*VLOOKUP($B1085,Sheet2!$J$5:$K$7,2,FALSE)*VLOOKUP(Sheet1!$A1085,Sheet2!$B$5:$H$29,3,FALSE),0)</x:f>
        <x:v>0</x:v>
      </x:c>
      <x:c r="E1085">
        <x:f>ROUND($C1085*10*VLOOKUP($B1085,Sheet2!$J$5:$K$7,2,FALSE)*VLOOKUP(Sheet1!$A1085,Sheet2!$B$5:$H$29,4,FALSE),0)</x:f>
        <x:v>40</x:v>
      </x:c>
      <x:c r="F1085">
        <x:f>ROUND($C1085*10*VLOOKUP($B1085,Sheet2!$J$5:$K$7,2,FALSE)*VLOOKUP(Sheet1!$A1085,Sheet2!$B$5:$H$29,5,FALSE),0)</x:f>
        <x:v>0</x:v>
      </x:c>
      <x:c r="G1085">
        <x:f>ROUND($C1085*10*VLOOKUP($B1085,Sheet2!$J$5:$K$7,2,FALSE)*VLOOKUP(Sheet1!$A1085,Sheet2!$B$5:$H$29,6,FALSE),0)</x:f>
        <x:v>0</x:v>
      </x:c>
      <x:c r="H1085">
        <x:f>ROUND($C1085*10*VLOOKUP($B1085,Sheet2!$J$5:$K$7,2,FALSE)*VLOOKUP(Sheet1!$A1085,Sheet2!$B$5:$H$29,7,FALSE),0)</x:f>
        <x:v>0</x:v>
      </x:c>
      <x:c r="I1085">
        <x:f t="shared" si="18"/>
        <x:v>190</x:v>
      </x:c>
    </x:row>
    <x:row r="1086" spans="1:9" x14ac:dyDescent="0.15">
      <x:c r="A1086">
        <x:v>54052</x:v>
      </x:c>
      <x:c r="B1086">
        <x:v>1</x:v>
      </x:c>
      <x:c r="C1086">
        <x:v>5</x:v>
      </x:c>
      <x:c r="D1086">
        <x:f>ROUND($C1086*10*VLOOKUP($B1086,Sheet2!$J$5:$K$7,2,FALSE)*VLOOKUP(Sheet1!$A1086,Sheet2!$B$5:$H$29,3,FALSE),0)</x:f>
        <x:v>0</x:v>
      </x:c>
      <x:c r="E1086">
        <x:f>ROUND($C1086*10*VLOOKUP($B1086,Sheet2!$J$5:$K$7,2,FALSE)*VLOOKUP(Sheet1!$A1086,Sheet2!$B$5:$H$29,4,FALSE),0)</x:f>
        <x:v>50</x:v>
      </x:c>
      <x:c r="F1086">
        <x:f>ROUND($C1086*10*VLOOKUP($B1086,Sheet2!$J$5:$K$7,2,FALSE)*VLOOKUP(Sheet1!$A1086,Sheet2!$B$5:$H$29,5,FALSE),0)</x:f>
        <x:v>0</x:v>
      </x:c>
      <x:c r="G1086">
        <x:f>ROUND($C1086*10*VLOOKUP($B1086,Sheet2!$J$5:$K$7,2,FALSE)*VLOOKUP(Sheet1!$A1086,Sheet2!$B$5:$H$29,6,FALSE),0)</x:f>
        <x:v>0</x:v>
      </x:c>
      <x:c r="H1086">
        <x:f>ROUND($C1086*10*VLOOKUP($B1086,Sheet2!$J$5:$K$7,2,FALSE)*VLOOKUP(Sheet1!$A1086,Sheet2!$B$5:$H$29,7,FALSE),0)</x:f>
        <x:v>0</x:v>
      </x:c>
      <x:c r="I1086">
        <x:f t="shared" si="18"/>
        <x:v>290</x:v>
      </x:c>
    </x:row>
    <x:row r="1087" spans="1:9" x14ac:dyDescent="0.15">
      <x:c r="A1087">
        <x:v>54052</x:v>
      </x:c>
      <x:c r="B1087">
        <x:v>1</x:v>
      </x:c>
      <x:c r="C1087">
        <x:v>6</x:v>
      </x:c>
      <x:c r="D1087">
        <x:f>ROUND($C1087*10*VLOOKUP($B1087,Sheet2!$J$5:$K$7,2,FALSE)*VLOOKUP(Sheet1!$A1087,Sheet2!$B$5:$H$29,3,FALSE),0)</x:f>
        <x:v>0</x:v>
      </x:c>
      <x:c r="E1087">
        <x:f>ROUND($C1087*10*VLOOKUP($B1087,Sheet2!$J$5:$K$7,2,FALSE)*VLOOKUP(Sheet1!$A1087,Sheet2!$B$5:$H$29,4,FALSE),0)</x:f>
        <x:v>60</x:v>
      </x:c>
      <x:c r="F1087">
        <x:f>ROUND($C1087*10*VLOOKUP($B1087,Sheet2!$J$5:$K$7,2,FALSE)*VLOOKUP(Sheet1!$A1087,Sheet2!$B$5:$H$29,5,FALSE),0)</x:f>
        <x:v>0</x:v>
      </x:c>
      <x:c r="G1087">
        <x:f>ROUND($C1087*10*VLOOKUP($B1087,Sheet2!$J$5:$K$7,2,FALSE)*VLOOKUP(Sheet1!$A1087,Sheet2!$B$5:$H$29,6,FALSE),0)</x:f>
        <x:v>0</x:v>
      </x:c>
      <x:c r="H1087">
        <x:f>ROUND($C1087*10*VLOOKUP($B1087,Sheet2!$J$5:$K$7,2,FALSE)*VLOOKUP(Sheet1!$A1087,Sheet2!$B$5:$H$29,7,FALSE),0)</x:f>
        <x:v>0</x:v>
      </x:c>
      <x:c r="I1087">
        <x:f t="shared" si="18"/>
        <x:v>420</x:v>
      </x:c>
    </x:row>
    <x:row r="1088" spans="1:9" x14ac:dyDescent="0.15">
      <x:c r="A1088">
        <x:v>54052</x:v>
      </x:c>
      <x:c r="B1088">
        <x:v>1</x:v>
      </x:c>
      <x:c r="C1088">
        <x:v>7</x:v>
      </x:c>
      <x:c r="D1088">
        <x:f>ROUND($C1088*10*VLOOKUP($B1088,Sheet2!$J$5:$K$7,2,FALSE)*VLOOKUP(Sheet1!$A1088,Sheet2!$B$5:$H$29,3,FALSE),0)</x:f>
        <x:v>0</x:v>
      </x:c>
      <x:c r="E1088">
        <x:f>ROUND($C1088*10*VLOOKUP($B1088,Sheet2!$J$5:$K$7,2,FALSE)*VLOOKUP(Sheet1!$A1088,Sheet2!$B$5:$H$29,4,FALSE),0)</x:f>
        <x:v>70</x:v>
      </x:c>
      <x:c r="F1088">
        <x:f>ROUND($C1088*10*VLOOKUP($B1088,Sheet2!$J$5:$K$7,2,FALSE)*VLOOKUP(Sheet1!$A1088,Sheet2!$B$5:$H$29,5,FALSE),0)</x:f>
        <x:v>0</x:v>
      </x:c>
      <x:c r="G1088">
        <x:f>ROUND($C1088*10*VLOOKUP($B1088,Sheet2!$J$5:$K$7,2,FALSE)*VLOOKUP(Sheet1!$A1088,Sheet2!$B$5:$H$29,6,FALSE),0)</x:f>
        <x:v>0</x:v>
      </x:c>
      <x:c r="H1088">
        <x:f>ROUND($C1088*10*VLOOKUP($B1088,Sheet2!$J$5:$K$7,2,FALSE)*VLOOKUP(Sheet1!$A1088,Sheet2!$B$5:$H$29,7,FALSE),0)</x:f>
        <x:v>0</x:v>
      </x:c>
      <x:c r="I1088">
        <x:f t="shared" si="18"/>
        <x:v>570</x:v>
      </x:c>
    </x:row>
    <x:row r="1089" spans="1:9" x14ac:dyDescent="0.15">
      <x:c r="A1089">
        <x:v>54052</x:v>
      </x:c>
      <x:c r="B1089">
        <x:v>1</x:v>
      </x:c>
      <x:c r="C1089">
        <x:v>8</x:v>
      </x:c>
      <x:c r="D1089">
        <x:f>ROUND($C1089*10*VLOOKUP($B1089,Sheet2!$J$5:$K$7,2,FALSE)*VLOOKUP(Sheet1!$A1089,Sheet2!$B$5:$H$29,3,FALSE),0)</x:f>
        <x:v>0</x:v>
      </x:c>
      <x:c r="E1089">
        <x:f>ROUND($C1089*10*VLOOKUP($B1089,Sheet2!$J$5:$K$7,2,FALSE)*VLOOKUP(Sheet1!$A1089,Sheet2!$B$5:$H$29,4,FALSE),0)</x:f>
        <x:v>80</x:v>
      </x:c>
      <x:c r="F1089">
        <x:f>ROUND($C1089*10*VLOOKUP($B1089,Sheet2!$J$5:$K$7,2,FALSE)*VLOOKUP(Sheet1!$A1089,Sheet2!$B$5:$H$29,5,FALSE),0)</x:f>
        <x:v>0</x:v>
      </x:c>
      <x:c r="G1089">
        <x:f>ROUND($C1089*10*VLOOKUP($B1089,Sheet2!$J$5:$K$7,2,FALSE)*VLOOKUP(Sheet1!$A1089,Sheet2!$B$5:$H$29,6,FALSE),0)</x:f>
        <x:v>0</x:v>
      </x:c>
      <x:c r="H1089">
        <x:f>ROUND($C1089*10*VLOOKUP($B1089,Sheet2!$J$5:$K$7,2,FALSE)*VLOOKUP(Sheet1!$A1089,Sheet2!$B$5:$H$29,7,FALSE),0)</x:f>
        <x:v>0</x:v>
      </x:c>
      <x:c r="I1089">
        <x:f t="shared" si="18"/>
        <x:v>750</x:v>
      </x:c>
    </x:row>
    <x:row r="1090" spans="1:9" x14ac:dyDescent="0.15">
      <x:c r="A1090">
        <x:v>54052</x:v>
      </x:c>
      <x:c r="B1090">
        <x:v>1</x:v>
      </x:c>
      <x:c r="C1090">
        <x:v>9</x:v>
      </x:c>
      <x:c r="D1090">
        <x:f>ROUND($C1090*10*VLOOKUP($B1090,Sheet2!$J$5:$K$7,2,FALSE)*VLOOKUP(Sheet1!$A1090,Sheet2!$B$5:$H$29,3,FALSE),0)</x:f>
        <x:v>0</x:v>
      </x:c>
      <x:c r="E1090">
        <x:f>ROUND($C1090*10*VLOOKUP($B1090,Sheet2!$J$5:$K$7,2,FALSE)*VLOOKUP(Sheet1!$A1090,Sheet2!$B$5:$H$29,4,FALSE),0)</x:f>
        <x:v>90</x:v>
      </x:c>
      <x:c r="F1090">
        <x:f>ROUND($C1090*10*VLOOKUP($B1090,Sheet2!$J$5:$K$7,2,FALSE)*VLOOKUP(Sheet1!$A1090,Sheet2!$B$5:$H$29,5,FALSE),0)</x:f>
        <x:v>0</x:v>
      </x:c>
      <x:c r="G1090">
        <x:f>ROUND($C1090*10*VLOOKUP($B1090,Sheet2!$J$5:$K$7,2,FALSE)*VLOOKUP(Sheet1!$A1090,Sheet2!$B$5:$H$29,6,FALSE),0)</x:f>
        <x:v>0</x:v>
      </x:c>
      <x:c r="H1090">
        <x:f>ROUND($C1090*10*VLOOKUP($B1090,Sheet2!$J$5:$K$7,2,FALSE)*VLOOKUP(Sheet1!$A1090,Sheet2!$B$5:$H$29,7,FALSE),0)</x:f>
        <x:v>0</x:v>
      </x:c>
      <x:c r="I1090">
        <x:f t="shared" si="18"/>
        <x:v>940</x:v>
      </x:c>
    </x:row>
    <x:row r="1091" spans="1:9" x14ac:dyDescent="0.15">
      <x:c r="A1091">
        <x:v>54052</x:v>
      </x:c>
      <x:c r="B1091">
        <x:v>1</x:v>
      </x:c>
      <x:c r="C1091">
        <x:v>10</x:v>
      </x:c>
      <x:c r="D1091">
        <x:f>ROUND($C1091*10*VLOOKUP($B1091,Sheet2!$J$5:$K$7,2,FALSE)*VLOOKUP(Sheet1!$A1091,Sheet2!$B$5:$H$29,3,FALSE),0)</x:f>
        <x:v>0</x:v>
      </x:c>
      <x:c r="E1091">
        <x:f>ROUND($C1091*10*VLOOKUP($B1091,Sheet2!$J$5:$K$7,2,FALSE)*VLOOKUP(Sheet1!$A1091,Sheet2!$B$5:$H$29,4,FALSE),0)</x:f>
        <x:v>100</x:v>
      </x:c>
      <x:c r="F1091">
        <x:f>ROUND($C1091*10*VLOOKUP($B1091,Sheet2!$J$5:$K$7,2,FALSE)*VLOOKUP(Sheet1!$A1091,Sheet2!$B$5:$H$29,5,FALSE),0)</x:f>
        <x:v>0</x:v>
      </x:c>
      <x:c r="G1091">
        <x:f>ROUND($C1091*10*VLOOKUP($B1091,Sheet2!$J$5:$K$7,2,FALSE)*VLOOKUP(Sheet1!$A1091,Sheet2!$B$5:$H$29,6,FALSE),0)</x:f>
        <x:v>0</x:v>
      </x:c>
      <x:c r="H1091">
        <x:f>ROUND($C1091*10*VLOOKUP($B1091,Sheet2!$J$5:$K$7,2,FALSE)*VLOOKUP(Sheet1!$A1091,Sheet2!$B$5:$H$29,7,FALSE),0)</x:f>
        <x:v>0</x:v>
      </x:c>
      <x:c r="I1091">
        <x:f t="shared" si="18"/>
        <x:v>1160</x:v>
      </x:c>
    </x:row>
    <x:row r="1092" spans="1:9" x14ac:dyDescent="0.15">
      <x:c r="A1092">
        <x:v>54052</x:v>
      </x:c>
      <x:c r="B1092">
        <x:v>1</x:v>
      </x:c>
      <x:c r="C1092">
        <x:v>11</x:v>
      </x:c>
      <x:c r="D1092">
        <x:f>ROUND($C1092*10*VLOOKUP($B1092,Sheet2!$J$5:$K$7,2,FALSE)*VLOOKUP(Sheet1!$A1092,Sheet2!$B$5:$H$29,3,FALSE),0)</x:f>
        <x:v>0</x:v>
      </x:c>
      <x:c r="E1092">
        <x:f>ROUND($C1092*10*VLOOKUP($B1092,Sheet2!$J$5:$K$7,2,FALSE)*VLOOKUP(Sheet1!$A1092,Sheet2!$B$5:$H$29,4,FALSE),0)</x:f>
        <x:v>110</x:v>
      </x:c>
      <x:c r="F1092">
        <x:f>ROUND($C1092*10*VLOOKUP($B1092,Sheet2!$J$5:$K$7,2,FALSE)*VLOOKUP(Sheet1!$A1092,Sheet2!$B$5:$H$29,5,FALSE),0)</x:f>
        <x:v>0</x:v>
      </x:c>
      <x:c r="G1092">
        <x:f>ROUND($C1092*10*VLOOKUP($B1092,Sheet2!$J$5:$K$7,2,FALSE)*VLOOKUP(Sheet1!$A1092,Sheet2!$B$5:$H$29,6,FALSE),0)</x:f>
        <x:v>0</x:v>
      </x:c>
      <x:c r="H1092">
        <x:f>ROUND($C1092*10*VLOOKUP($B1092,Sheet2!$J$5:$K$7,2,FALSE)*VLOOKUP(Sheet1!$A1092,Sheet2!$B$5:$H$29,7,FALSE),0)</x:f>
        <x:v>0</x:v>
      </x:c>
      <x:c r="I1092">
        <x:f t="shared" si="18"/>
        <x:v>1390</x:v>
      </x:c>
    </x:row>
    <x:row r="1093" spans="1:9" x14ac:dyDescent="0.15">
      <x:c r="A1093">
        <x:v>54052</x:v>
      </x:c>
      <x:c r="B1093">
        <x:v>1</x:v>
      </x:c>
      <x:c r="C1093">
        <x:v>12</x:v>
      </x:c>
      <x:c r="D1093">
        <x:f>ROUND($C1093*10*VLOOKUP($B1093,Sheet2!$J$5:$K$7,2,FALSE)*VLOOKUP(Sheet1!$A1093,Sheet2!$B$5:$H$29,3,FALSE),0)</x:f>
        <x:v>0</x:v>
      </x:c>
      <x:c r="E1093">
        <x:f>ROUND($C1093*10*VLOOKUP($B1093,Sheet2!$J$5:$K$7,2,FALSE)*VLOOKUP(Sheet1!$A1093,Sheet2!$B$5:$H$29,4,FALSE),0)</x:f>
        <x:v>120</x:v>
      </x:c>
      <x:c r="F1093">
        <x:f>ROUND($C1093*10*VLOOKUP($B1093,Sheet2!$J$5:$K$7,2,FALSE)*VLOOKUP(Sheet1!$A1093,Sheet2!$B$5:$H$29,5,FALSE),0)</x:f>
        <x:v>0</x:v>
      </x:c>
      <x:c r="G1093">
        <x:f>ROUND($C1093*10*VLOOKUP($B1093,Sheet2!$J$5:$K$7,2,FALSE)*VLOOKUP(Sheet1!$A1093,Sheet2!$B$5:$H$29,6,FALSE),0)</x:f>
        <x:v>0</x:v>
      </x:c>
      <x:c r="H1093">
        <x:f>ROUND($C1093*10*VLOOKUP($B1093,Sheet2!$J$5:$K$7,2,FALSE)*VLOOKUP(Sheet1!$A1093,Sheet2!$B$5:$H$29,7,FALSE),0)</x:f>
        <x:v>0</x:v>
      </x:c>
      <x:c r="I1093">
        <x:f t="shared" si="18"/>
        <x:v>1650</x:v>
      </x:c>
    </x:row>
    <x:row r="1094" spans="1:9" x14ac:dyDescent="0.15">
      <x:c r="A1094">
        <x:v>54052</x:v>
      </x:c>
      <x:c r="B1094">
        <x:v>1</x:v>
      </x:c>
      <x:c r="C1094">
        <x:v>13</x:v>
      </x:c>
      <x:c r="D1094">
        <x:f>ROUND($C1094*10*VLOOKUP($B1094,Sheet2!$J$5:$K$7,2,FALSE)*VLOOKUP(Sheet1!$A1094,Sheet2!$B$5:$H$29,3,FALSE),0)</x:f>
        <x:v>0</x:v>
      </x:c>
      <x:c r="E1094">
        <x:f>ROUND($C1094*10*VLOOKUP($B1094,Sheet2!$J$5:$K$7,2,FALSE)*VLOOKUP(Sheet1!$A1094,Sheet2!$B$5:$H$29,4,FALSE),0)</x:f>
        <x:v>130</x:v>
      </x:c>
      <x:c r="F1094">
        <x:f>ROUND($C1094*10*VLOOKUP($B1094,Sheet2!$J$5:$K$7,2,FALSE)*VLOOKUP(Sheet1!$A1094,Sheet2!$B$5:$H$29,5,FALSE),0)</x:f>
        <x:v>0</x:v>
      </x:c>
      <x:c r="G1094">
        <x:f>ROUND($C1094*10*VLOOKUP($B1094,Sheet2!$J$5:$K$7,2,FALSE)*VLOOKUP(Sheet1!$A1094,Sheet2!$B$5:$H$29,6,FALSE),0)</x:f>
        <x:v>0</x:v>
      </x:c>
      <x:c r="H1094">
        <x:f>ROUND($C1094*10*VLOOKUP($B1094,Sheet2!$J$5:$K$7,2,FALSE)*VLOOKUP(Sheet1!$A1094,Sheet2!$B$5:$H$29,7,FALSE),0)</x:f>
        <x:v>0</x:v>
      </x:c>
      <x:c r="I1094">
        <x:f t="shared" si="18"/>
        <x:v>1920</x:v>
      </x:c>
    </x:row>
    <x:row r="1095" spans="1:9" x14ac:dyDescent="0.15">
      <x:c r="A1095">
        <x:v>54052</x:v>
      </x:c>
      <x:c r="B1095">
        <x:v>1</x:v>
      </x:c>
      <x:c r="C1095">
        <x:v>14</x:v>
      </x:c>
      <x:c r="D1095">
        <x:f>ROUND($C1095*10*VLOOKUP($B1095,Sheet2!$J$5:$K$7,2,FALSE)*VLOOKUP(Sheet1!$A1095,Sheet2!$B$5:$H$29,3,FALSE),0)</x:f>
        <x:v>0</x:v>
      </x:c>
      <x:c r="E1095">
        <x:f>ROUND($C1095*10*VLOOKUP($B1095,Sheet2!$J$5:$K$7,2,FALSE)*VLOOKUP(Sheet1!$A1095,Sheet2!$B$5:$H$29,4,FALSE),0)</x:f>
        <x:v>140</x:v>
      </x:c>
      <x:c r="F1095">
        <x:f>ROUND($C1095*10*VLOOKUP($B1095,Sheet2!$J$5:$K$7,2,FALSE)*VLOOKUP(Sheet1!$A1095,Sheet2!$B$5:$H$29,5,FALSE),0)</x:f>
        <x:v>0</x:v>
      </x:c>
      <x:c r="G1095">
        <x:f>ROUND($C1095*10*VLOOKUP($B1095,Sheet2!$J$5:$K$7,2,FALSE)*VLOOKUP(Sheet1!$A1095,Sheet2!$B$5:$H$29,6,FALSE),0)</x:f>
        <x:v>0</x:v>
      </x:c>
      <x:c r="H1095">
        <x:f>ROUND($C1095*10*VLOOKUP($B1095,Sheet2!$J$5:$K$7,2,FALSE)*VLOOKUP(Sheet1!$A1095,Sheet2!$B$5:$H$29,7,FALSE),0)</x:f>
        <x:v>0</x:v>
      </x:c>
      <x:c r="I1095">
        <x:f t="shared" si="18"/>
        <x:v>2220</x:v>
      </x:c>
    </x:row>
    <x:row r="1096" spans="1:9" x14ac:dyDescent="0.15">
      <x:c r="A1096">
        <x:v>54052</x:v>
      </x:c>
      <x:c r="B1096">
        <x:v>1</x:v>
      </x:c>
      <x:c r="C1096">
        <x:v>15</x:v>
      </x:c>
      <x:c r="D1096">
        <x:f>ROUND($C1096*10*VLOOKUP($B1096,Sheet2!$J$5:$K$7,2,FALSE)*VLOOKUP(Sheet1!$A1096,Sheet2!$B$5:$H$29,3,FALSE),0)</x:f>
        <x:v>0</x:v>
      </x:c>
      <x:c r="E1096">
        <x:f>ROUND($C1096*10*VLOOKUP($B1096,Sheet2!$J$5:$K$7,2,FALSE)*VLOOKUP(Sheet1!$A1096,Sheet2!$B$5:$H$29,4,FALSE),0)</x:f>
        <x:v>150</x:v>
      </x:c>
      <x:c r="F1096">
        <x:f>ROUND($C1096*10*VLOOKUP($B1096,Sheet2!$J$5:$K$7,2,FALSE)*VLOOKUP(Sheet1!$A1096,Sheet2!$B$5:$H$29,5,FALSE),0)</x:f>
        <x:v>0</x:v>
      </x:c>
      <x:c r="G1096">
        <x:f>ROUND($C1096*10*VLOOKUP($B1096,Sheet2!$J$5:$K$7,2,FALSE)*VLOOKUP(Sheet1!$A1096,Sheet2!$B$5:$H$29,6,FALSE),0)</x:f>
        <x:v>0</x:v>
      </x:c>
      <x:c r="H1096">
        <x:f>ROUND($C1096*10*VLOOKUP($B1096,Sheet2!$J$5:$K$7,2,FALSE)*VLOOKUP(Sheet1!$A1096,Sheet2!$B$5:$H$29,7,FALSE),0)</x:f>
        <x:v>0</x:v>
      </x:c>
      <x:c r="I1096">
        <x:f t="shared" si="18"/>
        <x:v>2530</x:v>
      </x:c>
    </x:row>
    <x:row r="1097" spans="1:9" x14ac:dyDescent="0.15">
      <x:c r="A1097">
        <x:v>54052</x:v>
      </x:c>
      <x:c r="B1097">
        <x:v>1</x:v>
      </x:c>
      <x:c r="C1097">
        <x:v>16</x:v>
      </x:c>
      <x:c r="D1097">
        <x:f>ROUND($C1097*10*VLOOKUP($B1097,Sheet2!$J$5:$K$7,2,FALSE)*VLOOKUP(Sheet1!$A1097,Sheet2!$B$5:$H$29,3,FALSE),0)</x:f>
        <x:v>0</x:v>
      </x:c>
      <x:c r="E1097">
        <x:f>ROUND($C1097*10*VLOOKUP($B1097,Sheet2!$J$5:$K$7,2,FALSE)*VLOOKUP(Sheet1!$A1097,Sheet2!$B$5:$H$29,4,FALSE),0)</x:f>
        <x:v>160</x:v>
      </x:c>
      <x:c r="F1097">
        <x:f>ROUND($C1097*10*VLOOKUP($B1097,Sheet2!$J$5:$K$7,2,FALSE)*VLOOKUP(Sheet1!$A1097,Sheet2!$B$5:$H$29,5,FALSE),0)</x:f>
        <x:v>0</x:v>
      </x:c>
      <x:c r="G1097">
        <x:f>ROUND($C1097*10*VLOOKUP($B1097,Sheet2!$J$5:$K$7,2,FALSE)*VLOOKUP(Sheet1!$A1097,Sheet2!$B$5:$H$29,6,FALSE),0)</x:f>
        <x:v>0</x:v>
      </x:c>
      <x:c r="H1097">
        <x:f>ROUND($C1097*10*VLOOKUP($B1097,Sheet2!$J$5:$K$7,2,FALSE)*VLOOKUP(Sheet1!$A1097,Sheet2!$B$5:$H$29,7,FALSE),0)</x:f>
        <x:v>0</x:v>
      </x:c>
      <x:c r="I1097">
        <x:f t="shared" si="18"/>
        <x:v>2860</x:v>
      </x:c>
    </x:row>
    <x:row r="1098" spans="1:9" x14ac:dyDescent="0.15">
      <x:c r="A1098">
        <x:v>54052</x:v>
      </x:c>
      <x:c r="B1098">
        <x:v>1</x:v>
      </x:c>
      <x:c r="C1098">
        <x:v>17</x:v>
      </x:c>
      <x:c r="D1098">
        <x:f>ROUND($C1098*10*VLOOKUP($B1098,Sheet2!$J$5:$K$7,2,FALSE)*VLOOKUP(Sheet1!$A1098,Sheet2!$B$5:$H$29,3,FALSE),0)</x:f>
        <x:v>0</x:v>
      </x:c>
      <x:c r="E1098">
        <x:f>ROUND($C1098*10*VLOOKUP($B1098,Sheet2!$J$5:$K$7,2,FALSE)*VLOOKUP(Sheet1!$A1098,Sheet2!$B$5:$H$29,4,FALSE),0)</x:f>
        <x:v>170</x:v>
      </x:c>
      <x:c r="F1098">
        <x:f>ROUND($C1098*10*VLOOKUP($B1098,Sheet2!$J$5:$K$7,2,FALSE)*VLOOKUP(Sheet1!$A1098,Sheet2!$B$5:$H$29,5,FALSE),0)</x:f>
        <x:v>0</x:v>
      </x:c>
      <x:c r="G1098">
        <x:f>ROUND($C1098*10*VLOOKUP($B1098,Sheet2!$J$5:$K$7,2,FALSE)*VLOOKUP(Sheet1!$A1098,Sheet2!$B$5:$H$29,6,FALSE),0)</x:f>
        <x:v>0</x:v>
      </x:c>
      <x:c r="H1098">
        <x:f>ROUND($C1098*10*VLOOKUP($B1098,Sheet2!$J$5:$K$7,2,FALSE)*VLOOKUP(Sheet1!$A1098,Sheet2!$B$5:$H$29,7,FALSE),0)</x:f>
        <x:v>0</x:v>
      </x:c>
      <x:c r="I1098">
        <x:f t="shared" si="18"/>
        <x:v>3210</x:v>
      </x:c>
    </x:row>
    <x:row r="1099" spans="1:9" x14ac:dyDescent="0.15">
      <x:c r="A1099">
        <x:v>54052</x:v>
      </x:c>
      <x:c r="B1099">
        <x:v>1</x:v>
      </x:c>
      <x:c r="C1099">
        <x:v>18</x:v>
      </x:c>
      <x:c r="D1099">
        <x:f>ROUND($C1099*10*VLOOKUP($B1099,Sheet2!$J$5:$K$7,2,FALSE)*VLOOKUP(Sheet1!$A1099,Sheet2!$B$5:$H$29,3,FALSE),0)</x:f>
        <x:v>0</x:v>
      </x:c>
      <x:c r="E1099">
        <x:f>ROUND($C1099*10*VLOOKUP($B1099,Sheet2!$J$5:$K$7,2,FALSE)*VLOOKUP(Sheet1!$A1099,Sheet2!$B$5:$H$29,4,FALSE),0)</x:f>
        <x:v>180</x:v>
      </x:c>
      <x:c r="F1099">
        <x:f>ROUND($C1099*10*VLOOKUP($B1099,Sheet2!$J$5:$K$7,2,FALSE)*VLOOKUP(Sheet1!$A1099,Sheet2!$B$5:$H$29,5,FALSE),0)</x:f>
        <x:v>0</x:v>
      </x:c>
      <x:c r="G1099">
        <x:f>ROUND($C1099*10*VLOOKUP($B1099,Sheet2!$J$5:$K$7,2,FALSE)*VLOOKUP(Sheet1!$A1099,Sheet2!$B$5:$H$29,6,FALSE),0)</x:f>
        <x:v>0</x:v>
      </x:c>
      <x:c r="H1099">
        <x:f>ROUND($C1099*10*VLOOKUP($B1099,Sheet2!$J$5:$K$7,2,FALSE)*VLOOKUP(Sheet1!$A1099,Sheet2!$B$5:$H$29,7,FALSE),0)</x:f>
        <x:v>0</x:v>
      </x:c>
      <x:c r="I1099">
        <x:f t="shared" si="18"/>
        <x:v>3570</x:v>
      </x:c>
    </x:row>
    <x:row r="1100" spans="1:9" x14ac:dyDescent="0.15">
      <x:c r="A1100">
        <x:v>54052</x:v>
      </x:c>
      <x:c r="B1100">
        <x:v>1</x:v>
      </x:c>
      <x:c r="C1100">
        <x:v>19</x:v>
      </x:c>
      <x:c r="D1100">
        <x:f>ROUND($C1100*10*VLOOKUP($B1100,Sheet2!$J$5:$K$7,2,FALSE)*VLOOKUP(Sheet1!$A1100,Sheet2!$B$5:$H$29,3,FALSE),0)</x:f>
        <x:v>0</x:v>
      </x:c>
      <x:c r="E1100">
        <x:f>ROUND($C1100*10*VLOOKUP($B1100,Sheet2!$J$5:$K$7,2,FALSE)*VLOOKUP(Sheet1!$A1100,Sheet2!$B$5:$H$29,4,FALSE),0)</x:f>
        <x:v>190</x:v>
      </x:c>
      <x:c r="F1100">
        <x:f>ROUND($C1100*10*VLOOKUP($B1100,Sheet2!$J$5:$K$7,2,FALSE)*VLOOKUP(Sheet1!$A1100,Sheet2!$B$5:$H$29,5,FALSE),0)</x:f>
        <x:v>0</x:v>
      </x:c>
      <x:c r="G1100">
        <x:f>ROUND($C1100*10*VLOOKUP($B1100,Sheet2!$J$5:$K$7,2,FALSE)*VLOOKUP(Sheet1!$A1100,Sheet2!$B$5:$H$29,6,FALSE),0)</x:f>
        <x:v>0</x:v>
      </x:c>
      <x:c r="H1100">
        <x:f>ROUND($C1100*10*VLOOKUP($B1100,Sheet2!$J$5:$K$7,2,FALSE)*VLOOKUP(Sheet1!$A1100,Sheet2!$B$5:$H$29,7,FALSE),0)</x:f>
        <x:v>0</x:v>
      </x:c>
      <x:c r="I1100">
        <x:f t="shared" si="18"/>
        <x:v>3960</x:v>
      </x:c>
    </x:row>
    <x:row r="1101" spans="1:9" x14ac:dyDescent="0.15">
      <x:c r="A1101">
        <x:v>54052</x:v>
      </x:c>
      <x:c r="B1101">
        <x:v>1</x:v>
      </x:c>
      <x:c r="C1101">
        <x:v>20</x:v>
      </x:c>
      <x:c r="D1101">
        <x:f>ROUND($C1101*10*VLOOKUP($B1101,Sheet2!$J$5:$K$7,2,FALSE)*VLOOKUP(Sheet1!$A1101,Sheet2!$B$5:$H$29,3,FALSE),0)</x:f>
        <x:v>0</x:v>
      </x:c>
      <x:c r="E1101">
        <x:f>ROUND($C1101*10*VLOOKUP($B1101,Sheet2!$J$5:$K$7,2,FALSE)*VLOOKUP(Sheet1!$A1101,Sheet2!$B$5:$H$29,4,FALSE),0)</x:f>
        <x:v>200</x:v>
      </x:c>
      <x:c r="F1101">
        <x:f>ROUND($C1101*10*VLOOKUP($B1101,Sheet2!$J$5:$K$7,2,FALSE)*VLOOKUP(Sheet1!$A1101,Sheet2!$B$5:$H$29,5,FALSE),0)</x:f>
        <x:v>0</x:v>
      </x:c>
      <x:c r="G1101">
        <x:f>ROUND($C1101*10*VLOOKUP($B1101,Sheet2!$J$5:$K$7,2,FALSE)*VLOOKUP(Sheet1!$A1101,Sheet2!$B$5:$H$29,6,FALSE),0)</x:f>
        <x:v>0</x:v>
      </x:c>
      <x:c r="H1101">
        <x:f>ROUND($C1101*10*VLOOKUP($B1101,Sheet2!$J$5:$K$7,2,FALSE)*VLOOKUP(Sheet1!$A1101,Sheet2!$B$5:$H$29,7,FALSE),0)</x:f>
        <x:v>0</x:v>
      </x:c>
      <x:c r="I1101">
        <x:f t="shared" si="18"/>
        <x:v>4360</x:v>
      </x:c>
    </x:row>
    <x:row r="1102" spans="1:9" x14ac:dyDescent="0.15">
      <x:c r="A1102">
        <x:v>54052</x:v>
      </x:c>
      <x:c r="B1102">
        <x:v>1</x:v>
      </x:c>
      <x:c r="C1102">
        <x:v>21</x:v>
      </x:c>
      <x:c r="D1102">
        <x:f>ROUND($C1102*10*VLOOKUP($B1102,Sheet2!$J$5:$K$7,2,FALSE)*VLOOKUP(Sheet1!$A1102,Sheet2!$B$5:$H$29,3,FALSE),0)</x:f>
        <x:v>0</x:v>
      </x:c>
      <x:c r="E1102">
        <x:f>ROUND($C1102*10*VLOOKUP($B1102,Sheet2!$J$5:$K$7,2,FALSE)*VLOOKUP(Sheet1!$A1102,Sheet2!$B$5:$H$29,4,FALSE),0)</x:f>
        <x:v>210</x:v>
      </x:c>
      <x:c r="F1102">
        <x:f>ROUND($C1102*10*VLOOKUP($B1102,Sheet2!$J$5:$K$7,2,FALSE)*VLOOKUP(Sheet1!$A1102,Sheet2!$B$5:$H$29,5,FALSE),0)</x:f>
        <x:v>0</x:v>
      </x:c>
      <x:c r="G1102">
        <x:f>ROUND($C1102*10*VLOOKUP($B1102,Sheet2!$J$5:$K$7,2,FALSE)*VLOOKUP(Sheet1!$A1102,Sheet2!$B$5:$H$29,6,FALSE),0)</x:f>
        <x:v>0</x:v>
      </x:c>
      <x:c r="H1102">
        <x:f>ROUND($C1102*10*VLOOKUP($B1102,Sheet2!$J$5:$K$7,2,FALSE)*VLOOKUP(Sheet1!$A1102,Sheet2!$B$5:$H$29,7,FALSE),0)</x:f>
        <x:v>0</x:v>
      </x:c>
      <x:c r="I1102">
        <x:f t="shared" si="18"/>
        <x:v>4780</x:v>
      </x:c>
    </x:row>
    <x:row r="1103" spans="1:9" x14ac:dyDescent="0.15">
      <x:c r="A1103">
        <x:v>54052</x:v>
      </x:c>
      <x:c r="B1103">
        <x:v>1</x:v>
      </x:c>
      <x:c r="C1103">
        <x:v>22</x:v>
      </x:c>
      <x:c r="D1103">
        <x:f>ROUND($C1103*10*VLOOKUP($B1103,Sheet2!$J$5:$K$7,2,FALSE)*VLOOKUP(Sheet1!$A1103,Sheet2!$B$5:$H$29,3,FALSE),0)</x:f>
        <x:v>0</x:v>
      </x:c>
      <x:c r="E1103">
        <x:f>ROUND($C1103*10*VLOOKUP($B1103,Sheet2!$J$5:$K$7,2,FALSE)*VLOOKUP(Sheet1!$A1103,Sheet2!$B$5:$H$29,4,FALSE),0)</x:f>
        <x:v>220</x:v>
      </x:c>
      <x:c r="F1103">
        <x:f>ROUND($C1103*10*VLOOKUP($B1103,Sheet2!$J$5:$K$7,2,FALSE)*VLOOKUP(Sheet1!$A1103,Sheet2!$B$5:$H$29,5,FALSE),0)</x:f>
        <x:v>0</x:v>
      </x:c>
      <x:c r="G1103">
        <x:f>ROUND($C1103*10*VLOOKUP($B1103,Sheet2!$J$5:$K$7,2,FALSE)*VLOOKUP(Sheet1!$A1103,Sheet2!$B$5:$H$29,6,FALSE),0)</x:f>
        <x:v>0</x:v>
      </x:c>
      <x:c r="H1103">
        <x:f>ROUND($C1103*10*VLOOKUP($B1103,Sheet2!$J$5:$K$7,2,FALSE)*VLOOKUP(Sheet1!$A1103,Sheet2!$B$5:$H$29,7,FALSE),0)</x:f>
        <x:v>0</x:v>
      </x:c>
      <x:c r="I1103">
        <x:f t="shared" si="18"/>
        <x:v>5210</x:v>
      </x:c>
    </x:row>
    <x:row r="1104" spans="1:9" x14ac:dyDescent="0.15">
      <x:c r="A1104">
        <x:v>54052</x:v>
      </x:c>
      <x:c r="B1104">
        <x:v>1</x:v>
      </x:c>
      <x:c r="C1104">
        <x:v>23</x:v>
      </x:c>
      <x:c r="D1104">
        <x:f>ROUND($C1104*10*VLOOKUP($B1104,Sheet2!$J$5:$K$7,2,FALSE)*VLOOKUP(Sheet1!$A1104,Sheet2!$B$5:$H$29,3,FALSE),0)</x:f>
        <x:v>0</x:v>
      </x:c>
      <x:c r="E1104">
        <x:f>ROUND($C1104*10*VLOOKUP($B1104,Sheet2!$J$5:$K$7,2,FALSE)*VLOOKUP(Sheet1!$A1104,Sheet2!$B$5:$H$29,4,FALSE),0)</x:f>
        <x:v>230</x:v>
      </x:c>
      <x:c r="F1104">
        <x:f>ROUND($C1104*10*VLOOKUP($B1104,Sheet2!$J$5:$K$7,2,FALSE)*VLOOKUP(Sheet1!$A1104,Sheet2!$B$5:$H$29,5,FALSE),0)</x:f>
        <x:v>0</x:v>
      </x:c>
      <x:c r="G1104">
        <x:f>ROUND($C1104*10*VLOOKUP($B1104,Sheet2!$J$5:$K$7,2,FALSE)*VLOOKUP(Sheet1!$A1104,Sheet2!$B$5:$H$29,6,FALSE),0)</x:f>
        <x:v>0</x:v>
      </x:c>
      <x:c r="H1104">
        <x:f>ROUND($C1104*10*VLOOKUP($B1104,Sheet2!$J$5:$K$7,2,FALSE)*VLOOKUP(Sheet1!$A1104,Sheet2!$B$5:$H$29,7,FALSE),0)</x:f>
        <x:v>0</x:v>
      </x:c>
      <x:c r="I1104">
        <x:f t="shared" si="18"/>
        <x:v>5660</x:v>
      </x:c>
    </x:row>
    <x:row r="1105" spans="1:9" x14ac:dyDescent="0.15">
      <x:c r="A1105">
        <x:v>54052</x:v>
      </x:c>
      <x:c r="B1105">
        <x:v>1</x:v>
      </x:c>
      <x:c r="C1105">
        <x:v>24</x:v>
      </x:c>
      <x:c r="D1105">
        <x:f>ROUND($C1105*10*VLOOKUP($B1105,Sheet2!$J$5:$K$7,2,FALSE)*VLOOKUP(Sheet1!$A1105,Sheet2!$B$5:$H$29,3,FALSE),0)</x:f>
        <x:v>0</x:v>
      </x:c>
      <x:c r="E1105">
        <x:f>ROUND($C1105*10*VLOOKUP($B1105,Sheet2!$J$5:$K$7,2,FALSE)*VLOOKUP(Sheet1!$A1105,Sheet2!$B$5:$H$29,4,FALSE),0)</x:f>
        <x:v>240</x:v>
      </x:c>
      <x:c r="F1105">
        <x:f>ROUND($C1105*10*VLOOKUP($B1105,Sheet2!$J$5:$K$7,2,FALSE)*VLOOKUP(Sheet1!$A1105,Sheet2!$B$5:$H$29,5,FALSE),0)</x:f>
        <x:v>0</x:v>
      </x:c>
      <x:c r="G1105">
        <x:f>ROUND($C1105*10*VLOOKUP($B1105,Sheet2!$J$5:$K$7,2,FALSE)*VLOOKUP(Sheet1!$A1105,Sheet2!$B$5:$H$29,6,FALSE),0)</x:f>
        <x:v>0</x:v>
      </x:c>
      <x:c r="H1105">
        <x:f>ROUND($C1105*10*VLOOKUP($B1105,Sheet2!$J$5:$K$7,2,FALSE)*VLOOKUP(Sheet1!$A1105,Sheet2!$B$5:$H$29,7,FALSE),0)</x:f>
        <x:v>0</x:v>
      </x:c>
      <x:c r="I1105">
        <x:f t="shared" si="18"/>
        <x:v>6130</x:v>
      </x:c>
    </x:row>
    <x:row r="1106" spans="1:9" x14ac:dyDescent="0.15">
      <x:c r="A1106">
        <x:v>54052</x:v>
      </x:c>
      <x:c r="B1106">
        <x:v>1</x:v>
      </x:c>
      <x:c r="C1106">
        <x:v>25</x:v>
      </x:c>
      <x:c r="D1106">
        <x:f>ROUND($C1106*10*VLOOKUP($B1106,Sheet2!$J$5:$K$7,2,FALSE)*VLOOKUP(Sheet1!$A1106,Sheet2!$B$5:$H$29,3,FALSE),0)</x:f>
        <x:v>0</x:v>
      </x:c>
      <x:c r="E1106">
        <x:f>ROUND($C1106*10*VLOOKUP($B1106,Sheet2!$J$5:$K$7,2,FALSE)*VLOOKUP(Sheet1!$A1106,Sheet2!$B$5:$H$29,4,FALSE),0)</x:f>
        <x:v>250</x:v>
      </x:c>
      <x:c r="F1106">
        <x:f>ROUND($C1106*10*VLOOKUP($B1106,Sheet2!$J$5:$K$7,2,FALSE)*VLOOKUP(Sheet1!$A1106,Sheet2!$B$5:$H$29,5,FALSE),0)</x:f>
        <x:v>0</x:v>
      </x:c>
      <x:c r="G1106">
        <x:f>ROUND($C1106*10*VLOOKUP($B1106,Sheet2!$J$5:$K$7,2,FALSE)*VLOOKUP(Sheet1!$A1106,Sheet2!$B$5:$H$29,6,FALSE),0)</x:f>
        <x:v>0</x:v>
      </x:c>
      <x:c r="H1106">
        <x:f>ROUND($C1106*10*VLOOKUP($B1106,Sheet2!$J$5:$K$7,2,FALSE)*VLOOKUP(Sheet1!$A1106,Sheet2!$B$5:$H$29,7,FALSE),0)</x:f>
        <x:v>0</x:v>
      </x:c>
      <x:c r="I1106">
        <x:f t="shared" si="18"/>
        <x:v>6620</x:v>
      </x:c>
    </x:row>
    <x:row r="1107" spans="1:9" x14ac:dyDescent="0.15">
      <x:c r="A1107">
        <x:v>54052</x:v>
      </x:c>
      <x:c r="B1107">
        <x:v>1</x:v>
      </x:c>
      <x:c r="C1107">
        <x:v>26</x:v>
      </x:c>
      <x:c r="D1107">
        <x:f>ROUND($C1107*10*VLOOKUP($B1107,Sheet2!$J$5:$K$7,2,FALSE)*VLOOKUP(Sheet1!$A1107,Sheet2!$B$5:$H$29,3,FALSE),0)</x:f>
        <x:v>0</x:v>
      </x:c>
      <x:c r="E1107">
        <x:f>ROUND($C1107*10*VLOOKUP($B1107,Sheet2!$J$5:$K$7,2,FALSE)*VLOOKUP(Sheet1!$A1107,Sheet2!$B$5:$H$29,4,FALSE),0)</x:f>
        <x:v>260</x:v>
      </x:c>
      <x:c r="F1107">
        <x:f>ROUND($C1107*10*VLOOKUP($B1107,Sheet2!$J$5:$K$7,2,FALSE)*VLOOKUP(Sheet1!$A1107,Sheet2!$B$5:$H$29,5,FALSE),0)</x:f>
        <x:v>0</x:v>
      </x:c>
      <x:c r="G1107">
        <x:f>ROUND($C1107*10*VLOOKUP($B1107,Sheet2!$J$5:$K$7,2,FALSE)*VLOOKUP(Sheet1!$A1107,Sheet2!$B$5:$H$29,6,FALSE),0)</x:f>
        <x:v>0</x:v>
      </x:c>
      <x:c r="H1107">
        <x:f>ROUND($C1107*10*VLOOKUP($B1107,Sheet2!$J$5:$K$7,2,FALSE)*VLOOKUP(Sheet1!$A1107,Sheet2!$B$5:$H$29,7,FALSE),0)</x:f>
        <x:v>0</x:v>
      </x:c>
      <x:c r="I1107">
        <x:f t="shared" si="18"/>
        <x:v>7120</x:v>
      </x:c>
    </x:row>
    <x:row r="1108" spans="1:9" x14ac:dyDescent="0.15">
      <x:c r="A1108">
        <x:v>54052</x:v>
      </x:c>
      <x:c r="B1108">
        <x:v>1</x:v>
      </x:c>
      <x:c r="C1108">
        <x:v>27</x:v>
      </x:c>
      <x:c r="D1108">
        <x:f>ROUND($C1108*10*VLOOKUP($B1108,Sheet2!$J$5:$K$7,2,FALSE)*VLOOKUP(Sheet1!$A1108,Sheet2!$B$5:$H$29,3,FALSE),0)</x:f>
        <x:v>0</x:v>
      </x:c>
      <x:c r="E1108">
        <x:f>ROUND($C1108*10*VLOOKUP($B1108,Sheet2!$J$5:$K$7,2,FALSE)*VLOOKUP(Sheet1!$A1108,Sheet2!$B$5:$H$29,4,FALSE),0)</x:f>
        <x:v>270</x:v>
      </x:c>
      <x:c r="F1108">
        <x:f>ROUND($C1108*10*VLOOKUP($B1108,Sheet2!$J$5:$K$7,2,FALSE)*VLOOKUP(Sheet1!$A1108,Sheet2!$B$5:$H$29,5,FALSE),0)</x:f>
        <x:v>0</x:v>
      </x:c>
      <x:c r="G1108">
        <x:f>ROUND($C1108*10*VLOOKUP($B1108,Sheet2!$J$5:$K$7,2,FALSE)*VLOOKUP(Sheet1!$A1108,Sheet2!$B$5:$H$29,6,FALSE),0)</x:f>
        <x:v>0</x:v>
      </x:c>
      <x:c r="H1108">
        <x:f>ROUND($C1108*10*VLOOKUP($B1108,Sheet2!$J$5:$K$7,2,FALSE)*VLOOKUP(Sheet1!$A1108,Sheet2!$B$5:$H$29,7,FALSE),0)</x:f>
        <x:v>0</x:v>
      </x:c>
      <x:c r="I1108">
        <x:f t="shared" si="18"/>
        <x:v>7640</x:v>
      </x:c>
    </x:row>
    <x:row r="1109" spans="1:9" x14ac:dyDescent="0.15">
      <x:c r="A1109">
        <x:v>54052</x:v>
      </x:c>
      <x:c r="B1109">
        <x:v>1</x:v>
      </x:c>
      <x:c r="C1109">
        <x:v>28</x:v>
      </x:c>
      <x:c r="D1109">
        <x:f>ROUND($C1109*10*VLOOKUP($B1109,Sheet2!$J$5:$K$7,2,FALSE)*VLOOKUP(Sheet1!$A1109,Sheet2!$B$5:$H$29,3,FALSE),0)</x:f>
        <x:v>0</x:v>
      </x:c>
      <x:c r="E1109">
        <x:f>ROUND($C1109*10*VLOOKUP($B1109,Sheet2!$J$5:$K$7,2,FALSE)*VLOOKUP(Sheet1!$A1109,Sheet2!$B$5:$H$29,4,FALSE),0)</x:f>
        <x:v>280</x:v>
      </x:c>
      <x:c r="F1109">
        <x:f>ROUND($C1109*10*VLOOKUP($B1109,Sheet2!$J$5:$K$7,2,FALSE)*VLOOKUP(Sheet1!$A1109,Sheet2!$B$5:$H$29,5,FALSE),0)</x:f>
        <x:v>0</x:v>
      </x:c>
      <x:c r="G1109">
        <x:f>ROUND($C1109*10*VLOOKUP($B1109,Sheet2!$J$5:$K$7,2,FALSE)*VLOOKUP(Sheet1!$A1109,Sheet2!$B$5:$H$29,6,FALSE),0)</x:f>
        <x:v>0</x:v>
      </x:c>
      <x:c r="H1109">
        <x:f>ROUND($C1109*10*VLOOKUP($B1109,Sheet2!$J$5:$K$7,2,FALSE)*VLOOKUP(Sheet1!$A1109,Sheet2!$B$5:$H$29,7,FALSE),0)</x:f>
        <x:v>0</x:v>
      </x:c>
      <x:c r="I1109">
        <x:f t="shared" si="18"/>
        <x:v>8180</x:v>
      </x:c>
    </x:row>
    <x:row r="1110" spans="1:9" x14ac:dyDescent="0.15">
      <x:c r="A1110">
        <x:v>54052</x:v>
      </x:c>
      <x:c r="B1110">
        <x:v>1</x:v>
      </x:c>
      <x:c r="C1110">
        <x:v>29</x:v>
      </x:c>
      <x:c r="D1110">
        <x:f>ROUND($C1110*10*VLOOKUP($B1110,Sheet2!$J$5:$K$7,2,FALSE)*VLOOKUP(Sheet1!$A1110,Sheet2!$B$5:$H$29,3,FALSE),0)</x:f>
        <x:v>0</x:v>
      </x:c>
      <x:c r="E1110">
        <x:f>ROUND($C1110*10*VLOOKUP($B1110,Sheet2!$J$5:$K$7,2,FALSE)*VLOOKUP(Sheet1!$A1110,Sheet2!$B$5:$H$29,4,FALSE),0)</x:f>
        <x:v>290</x:v>
      </x:c>
      <x:c r="F1110">
        <x:f>ROUND($C1110*10*VLOOKUP($B1110,Sheet2!$J$5:$K$7,2,FALSE)*VLOOKUP(Sheet1!$A1110,Sheet2!$B$5:$H$29,5,FALSE),0)</x:f>
        <x:v>0</x:v>
      </x:c>
      <x:c r="G1110">
        <x:f>ROUND($C1110*10*VLOOKUP($B1110,Sheet2!$J$5:$K$7,2,FALSE)*VLOOKUP(Sheet1!$A1110,Sheet2!$B$5:$H$29,6,FALSE),0)</x:f>
        <x:v>0</x:v>
      </x:c>
      <x:c r="H1110">
        <x:f>ROUND($C1110*10*VLOOKUP($B1110,Sheet2!$J$5:$K$7,2,FALSE)*VLOOKUP(Sheet1!$A1110,Sheet2!$B$5:$H$29,7,FALSE),0)</x:f>
        <x:v>0</x:v>
      </x:c>
      <x:c r="I1110">
        <x:f t="shared" si="18"/>
        <x:v>8730</x:v>
      </x:c>
    </x:row>
    <x:row r="1111" spans="1:9" x14ac:dyDescent="0.15">
      <x:c r="A1111">
        <x:v>54052</x:v>
      </x:c>
      <x:c r="B1111">
        <x:v>1</x:v>
      </x:c>
      <x:c r="C1111">
        <x:v>30</x:v>
      </x:c>
      <x:c r="D1111">
        <x:f>ROUND($C1111*10*VLOOKUP($B1111,Sheet2!$J$5:$K$7,2,FALSE)*VLOOKUP(Sheet1!$A1111,Sheet2!$B$5:$H$29,3,FALSE),0)</x:f>
        <x:v>0</x:v>
      </x:c>
      <x:c r="E1111">
        <x:f>ROUND($C1111*10*VLOOKUP($B1111,Sheet2!$J$5:$K$7,2,FALSE)*VLOOKUP(Sheet1!$A1111,Sheet2!$B$5:$H$29,4,FALSE),0)</x:f>
        <x:v>300</x:v>
      </x:c>
      <x:c r="F1111">
        <x:f>ROUND($C1111*10*VLOOKUP($B1111,Sheet2!$J$5:$K$7,2,FALSE)*VLOOKUP(Sheet1!$A1111,Sheet2!$B$5:$H$29,5,FALSE),0)</x:f>
        <x:v>0</x:v>
      </x:c>
      <x:c r="G1111">
        <x:f>ROUND($C1111*10*VLOOKUP($B1111,Sheet2!$J$5:$K$7,2,FALSE)*VLOOKUP(Sheet1!$A1111,Sheet2!$B$5:$H$29,6,FALSE),0)</x:f>
        <x:v>0</x:v>
      </x:c>
      <x:c r="H1111">
        <x:f>ROUND($C1111*10*VLOOKUP($B1111,Sheet2!$J$5:$K$7,2,FALSE)*VLOOKUP(Sheet1!$A1111,Sheet2!$B$5:$H$29,7,FALSE),0)</x:f>
        <x:v>0</x:v>
      </x:c>
      <x:c r="I1111">
        <x:f t="shared" si="18"/>
        <x:v>9290</x:v>
      </x:c>
    </x:row>
    <x:row r="1112" spans="1:9" x14ac:dyDescent="0.15">
      <x:c r="A1112">
        <x:v>54052</x:v>
      </x:c>
      <x:c r="B1112">
        <x:v>1</x:v>
      </x:c>
      <x:c r="C1112">
        <x:v>31</x:v>
      </x:c>
      <x:c r="D1112">
        <x:f>ROUND($C1112*10*VLOOKUP($B1112,Sheet2!$J$5:$K$7,2,FALSE)*VLOOKUP(Sheet1!$A1112,Sheet2!$B$5:$H$29,3,FALSE),0)</x:f>
        <x:v>0</x:v>
      </x:c>
      <x:c r="E1112">
        <x:f>ROUND($C1112*10*VLOOKUP($B1112,Sheet2!$J$5:$K$7,2,FALSE)*VLOOKUP(Sheet1!$A1112,Sheet2!$B$5:$H$29,4,FALSE),0)</x:f>
        <x:v>310</x:v>
      </x:c>
      <x:c r="F1112">
        <x:f>ROUND($C1112*10*VLOOKUP($B1112,Sheet2!$J$5:$K$7,2,FALSE)*VLOOKUP(Sheet1!$A1112,Sheet2!$B$5:$H$29,5,FALSE),0)</x:f>
        <x:v>0</x:v>
      </x:c>
      <x:c r="G1112">
        <x:f>ROUND($C1112*10*VLOOKUP($B1112,Sheet2!$J$5:$K$7,2,FALSE)*VLOOKUP(Sheet1!$A1112,Sheet2!$B$5:$H$29,6,FALSE),0)</x:f>
        <x:v>0</x:v>
      </x:c>
      <x:c r="H1112">
        <x:f>ROUND($C1112*10*VLOOKUP($B1112,Sheet2!$J$5:$K$7,2,FALSE)*VLOOKUP(Sheet1!$A1112,Sheet2!$B$5:$H$29,7,FALSE),0)</x:f>
        <x:v>0</x:v>
      </x:c>
      <x:c r="I1112">
        <x:f t="shared" si="18"/>
        <x:v>9880</x:v>
      </x:c>
    </x:row>
    <x:row r="1113" spans="1:9" x14ac:dyDescent="0.15">
      <x:c r="A1113">
        <x:v>54052</x:v>
      </x:c>
      <x:c r="B1113">
        <x:v>1</x:v>
      </x:c>
      <x:c r="C1113">
        <x:v>32</x:v>
      </x:c>
      <x:c r="D1113">
        <x:f>ROUND($C1113*10*VLOOKUP($B1113,Sheet2!$J$5:$K$7,2,FALSE)*VLOOKUP(Sheet1!$A1113,Sheet2!$B$5:$H$29,3,FALSE),0)</x:f>
        <x:v>0</x:v>
      </x:c>
      <x:c r="E1113">
        <x:f>ROUND($C1113*10*VLOOKUP($B1113,Sheet2!$J$5:$K$7,2,FALSE)*VLOOKUP(Sheet1!$A1113,Sheet2!$B$5:$H$29,4,FALSE),0)</x:f>
        <x:v>320</x:v>
      </x:c>
      <x:c r="F1113">
        <x:f>ROUND($C1113*10*VLOOKUP($B1113,Sheet2!$J$5:$K$7,2,FALSE)*VLOOKUP(Sheet1!$A1113,Sheet2!$B$5:$H$29,5,FALSE),0)</x:f>
        <x:v>0</x:v>
      </x:c>
      <x:c r="G1113">
        <x:f>ROUND($C1113*10*VLOOKUP($B1113,Sheet2!$J$5:$K$7,2,FALSE)*VLOOKUP(Sheet1!$A1113,Sheet2!$B$5:$H$29,6,FALSE),0)</x:f>
        <x:v>0</x:v>
      </x:c>
      <x:c r="H1113">
        <x:f>ROUND($C1113*10*VLOOKUP($B1113,Sheet2!$J$5:$K$7,2,FALSE)*VLOOKUP(Sheet1!$A1113,Sheet2!$B$5:$H$29,7,FALSE),0)</x:f>
        <x:v>0</x:v>
      </x:c>
      <x:c r="I1113">
        <x:f t="shared" si="18"/>
        <x:v>10470</x:v>
      </x:c>
    </x:row>
    <x:row r="1114" spans="1:9" x14ac:dyDescent="0.15">
      <x:c r="A1114">
        <x:v>54052</x:v>
      </x:c>
      <x:c r="B1114">
        <x:v>1</x:v>
      </x:c>
      <x:c r="C1114">
        <x:v>33</x:v>
      </x:c>
      <x:c r="D1114">
        <x:f>ROUND($C1114*10*VLOOKUP($B1114,Sheet2!$J$5:$K$7,2,FALSE)*VLOOKUP(Sheet1!$A1114,Sheet2!$B$5:$H$29,3,FALSE),0)</x:f>
        <x:v>0</x:v>
      </x:c>
      <x:c r="E1114">
        <x:f>ROUND($C1114*10*VLOOKUP($B1114,Sheet2!$J$5:$K$7,2,FALSE)*VLOOKUP(Sheet1!$A1114,Sheet2!$B$5:$H$29,4,FALSE),0)</x:f>
        <x:v>330</x:v>
      </x:c>
      <x:c r="F1114">
        <x:f>ROUND($C1114*10*VLOOKUP($B1114,Sheet2!$J$5:$K$7,2,FALSE)*VLOOKUP(Sheet1!$A1114,Sheet2!$B$5:$H$29,5,FALSE),0)</x:f>
        <x:v>0</x:v>
      </x:c>
      <x:c r="G1114">
        <x:f>ROUND($C1114*10*VLOOKUP($B1114,Sheet2!$J$5:$K$7,2,FALSE)*VLOOKUP(Sheet1!$A1114,Sheet2!$B$5:$H$29,6,FALSE),0)</x:f>
        <x:v>0</x:v>
      </x:c>
      <x:c r="H1114">
        <x:f>ROUND($C1114*10*VLOOKUP($B1114,Sheet2!$J$5:$K$7,2,FALSE)*VLOOKUP(Sheet1!$A1114,Sheet2!$B$5:$H$29,7,FALSE),0)</x:f>
        <x:v>0</x:v>
      </x:c>
      <x:c r="I1114">
        <x:f t="shared" si="18"/>
        <x:v>11090</x:v>
      </x:c>
    </x:row>
    <x:row r="1115" spans="1:9" x14ac:dyDescent="0.15">
      <x:c r="A1115">
        <x:v>54052</x:v>
      </x:c>
      <x:c r="B1115">
        <x:v>1</x:v>
      </x:c>
      <x:c r="C1115">
        <x:v>34</x:v>
      </x:c>
      <x:c r="D1115">
        <x:f>ROUND($C1115*10*VLOOKUP($B1115,Sheet2!$J$5:$K$7,2,FALSE)*VLOOKUP(Sheet1!$A1115,Sheet2!$B$5:$H$29,3,FALSE),0)</x:f>
        <x:v>0</x:v>
      </x:c>
      <x:c r="E1115">
        <x:f>ROUND($C1115*10*VLOOKUP($B1115,Sheet2!$J$5:$K$7,2,FALSE)*VLOOKUP(Sheet1!$A1115,Sheet2!$B$5:$H$29,4,FALSE),0)</x:f>
        <x:v>340</x:v>
      </x:c>
      <x:c r="F1115">
        <x:f>ROUND($C1115*10*VLOOKUP($B1115,Sheet2!$J$5:$K$7,2,FALSE)*VLOOKUP(Sheet1!$A1115,Sheet2!$B$5:$H$29,5,FALSE),0)</x:f>
        <x:v>0</x:v>
      </x:c>
      <x:c r="G1115">
        <x:f>ROUND($C1115*10*VLOOKUP($B1115,Sheet2!$J$5:$K$7,2,FALSE)*VLOOKUP(Sheet1!$A1115,Sheet2!$B$5:$H$29,6,FALSE),0)</x:f>
        <x:v>0</x:v>
      </x:c>
      <x:c r="H1115">
        <x:f>ROUND($C1115*10*VLOOKUP($B1115,Sheet2!$J$5:$K$7,2,FALSE)*VLOOKUP(Sheet1!$A1115,Sheet2!$B$5:$H$29,7,FALSE),0)</x:f>
        <x:v>0</x:v>
      </x:c>
      <x:c r="I1115">
        <x:f t="shared" si="18"/>
        <x:v>11720</x:v>
      </x:c>
    </x:row>
    <x:row r="1116" spans="1:9" x14ac:dyDescent="0.15">
      <x:c r="A1116">
        <x:v>54052</x:v>
      </x:c>
      <x:c r="B1116">
        <x:v>1</x:v>
      </x:c>
      <x:c r="C1116">
        <x:v>35</x:v>
      </x:c>
      <x:c r="D1116">
        <x:f>ROUND($C1116*10*VLOOKUP($B1116,Sheet2!$J$5:$K$7,2,FALSE)*VLOOKUP(Sheet1!$A1116,Sheet2!$B$5:$H$29,3,FALSE),0)</x:f>
        <x:v>0</x:v>
      </x:c>
      <x:c r="E1116">
        <x:f>ROUND($C1116*10*VLOOKUP($B1116,Sheet2!$J$5:$K$7,2,FALSE)*VLOOKUP(Sheet1!$A1116,Sheet2!$B$5:$H$29,4,FALSE),0)</x:f>
        <x:v>350</x:v>
      </x:c>
      <x:c r="F1116">
        <x:f>ROUND($C1116*10*VLOOKUP($B1116,Sheet2!$J$5:$K$7,2,FALSE)*VLOOKUP(Sheet1!$A1116,Sheet2!$B$5:$H$29,5,FALSE),0)</x:f>
        <x:v>0</x:v>
      </x:c>
      <x:c r="G1116">
        <x:f>ROUND($C1116*10*VLOOKUP($B1116,Sheet2!$J$5:$K$7,2,FALSE)*VLOOKUP(Sheet1!$A1116,Sheet2!$B$5:$H$29,6,FALSE),0)</x:f>
        <x:v>0</x:v>
      </x:c>
      <x:c r="H1116">
        <x:f>ROUND($C1116*10*VLOOKUP($B1116,Sheet2!$J$5:$K$7,2,FALSE)*VLOOKUP(Sheet1!$A1116,Sheet2!$B$5:$H$29,7,FALSE),0)</x:f>
        <x:v>0</x:v>
      </x:c>
      <x:c r="I1116">
        <x:f t="shared" si="18"/>
        <x:v>12360</x:v>
      </x:c>
    </x:row>
    <x:row r="1117" spans="1:9" x14ac:dyDescent="0.15">
      <x:c r="A1117">
        <x:v>54052</x:v>
      </x:c>
      <x:c r="B1117">
        <x:v>1</x:v>
      </x:c>
      <x:c r="C1117">
        <x:v>36</x:v>
      </x:c>
      <x:c r="D1117">
        <x:f>ROUND($C1117*10*VLOOKUP($B1117,Sheet2!$J$5:$K$7,2,FALSE)*VLOOKUP(Sheet1!$A1117,Sheet2!$B$5:$H$29,3,FALSE),0)</x:f>
        <x:v>0</x:v>
      </x:c>
      <x:c r="E1117">
        <x:f>ROUND($C1117*10*VLOOKUP($B1117,Sheet2!$J$5:$K$7,2,FALSE)*VLOOKUP(Sheet1!$A1117,Sheet2!$B$5:$H$29,4,FALSE),0)</x:f>
        <x:v>360</x:v>
      </x:c>
      <x:c r="F1117">
        <x:f>ROUND($C1117*10*VLOOKUP($B1117,Sheet2!$J$5:$K$7,2,FALSE)*VLOOKUP(Sheet1!$A1117,Sheet2!$B$5:$H$29,5,FALSE),0)</x:f>
        <x:v>0</x:v>
      </x:c>
      <x:c r="G1117">
        <x:f>ROUND($C1117*10*VLOOKUP($B1117,Sheet2!$J$5:$K$7,2,FALSE)*VLOOKUP(Sheet1!$A1117,Sheet2!$B$5:$H$29,6,FALSE),0)</x:f>
        <x:v>0</x:v>
      </x:c>
      <x:c r="H1117">
        <x:f>ROUND($C1117*10*VLOOKUP($B1117,Sheet2!$J$5:$K$7,2,FALSE)*VLOOKUP(Sheet1!$A1117,Sheet2!$B$5:$H$29,7,FALSE),0)</x:f>
        <x:v>0</x:v>
      </x:c>
      <x:c r="I1117">
        <x:f t="shared" si="18"/>
        <x:v>13020</x:v>
      </x:c>
    </x:row>
    <x:row r="1118" spans="1:9" x14ac:dyDescent="0.15">
      <x:c r="A1118">
        <x:v>54052</x:v>
      </x:c>
      <x:c r="B1118">
        <x:v>1</x:v>
      </x:c>
      <x:c r="C1118">
        <x:v>37</x:v>
      </x:c>
      <x:c r="D1118">
        <x:f>ROUND($C1118*10*VLOOKUP($B1118,Sheet2!$J$5:$K$7,2,FALSE)*VLOOKUP(Sheet1!$A1118,Sheet2!$B$5:$H$29,3,FALSE),0)</x:f>
        <x:v>0</x:v>
      </x:c>
      <x:c r="E1118">
        <x:f>ROUND($C1118*10*VLOOKUP($B1118,Sheet2!$J$5:$K$7,2,FALSE)*VLOOKUP(Sheet1!$A1118,Sheet2!$B$5:$H$29,4,FALSE),0)</x:f>
        <x:v>370</x:v>
      </x:c>
      <x:c r="F1118">
        <x:f>ROUND($C1118*10*VLOOKUP($B1118,Sheet2!$J$5:$K$7,2,FALSE)*VLOOKUP(Sheet1!$A1118,Sheet2!$B$5:$H$29,5,FALSE),0)</x:f>
        <x:v>0</x:v>
      </x:c>
      <x:c r="G1118">
        <x:f>ROUND($C1118*10*VLOOKUP($B1118,Sheet2!$J$5:$K$7,2,FALSE)*VLOOKUP(Sheet1!$A1118,Sheet2!$B$5:$H$29,6,FALSE),0)</x:f>
        <x:v>0</x:v>
      </x:c>
      <x:c r="H1118">
        <x:f>ROUND($C1118*10*VLOOKUP($B1118,Sheet2!$J$5:$K$7,2,FALSE)*VLOOKUP(Sheet1!$A1118,Sheet2!$B$5:$H$29,7,FALSE),0)</x:f>
        <x:v>0</x:v>
      </x:c>
      <x:c r="I1118">
        <x:f t="shared" si="18"/>
        <x:v>13700</x:v>
      </x:c>
    </x:row>
    <x:row r="1119" spans="1:9" x14ac:dyDescent="0.15">
      <x:c r="A1119">
        <x:v>54052</x:v>
      </x:c>
      <x:c r="B1119">
        <x:v>1</x:v>
      </x:c>
      <x:c r="C1119">
        <x:v>38</x:v>
      </x:c>
      <x:c r="D1119">
        <x:f>ROUND($C1119*10*VLOOKUP($B1119,Sheet2!$J$5:$K$7,2,FALSE)*VLOOKUP(Sheet1!$A1119,Sheet2!$B$5:$H$29,3,FALSE),0)</x:f>
        <x:v>0</x:v>
      </x:c>
      <x:c r="E1119">
        <x:f>ROUND($C1119*10*VLOOKUP($B1119,Sheet2!$J$5:$K$7,2,FALSE)*VLOOKUP(Sheet1!$A1119,Sheet2!$B$5:$H$29,4,FALSE),0)</x:f>
        <x:v>380</x:v>
      </x:c>
      <x:c r="F1119">
        <x:f>ROUND($C1119*10*VLOOKUP($B1119,Sheet2!$J$5:$K$7,2,FALSE)*VLOOKUP(Sheet1!$A1119,Sheet2!$B$5:$H$29,5,FALSE),0)</x:f>
        <x:v>0</x:v>
      </x:c>
      <x:c r="G1119">
        <x:f>ROUND($C1119*10*VLOOKUP($B1119,Sheet2!$J$5:$K$7,2,FALSE)*VLOOKUP(Sheet1!$A1119,Sheet2!$B$5:$H$29,6,FALSE),0)</x:f>
        <x:v>0</x:v>
      </x:c>
      <x:c r="H1119">
        <x:f>ROUND($C1119*10*VLOOKUP($B1119,Sheet2!$J$5:$K$7,2,FALSE)*VLOOKUP(Sheet1!$A1119,Sheet2!$B$5:$H$29,7,FALSE),0)</x:f>
        <x:v>0</x:v>
      </x:c>
      <x:c r="I1119">
        <x:f t="shared" si="18"/>
        <x:v>14390</x:v>
      </x:c>
    </x:row>
    <x:row r="1120" spans="1:9" x14ac:dyDescent="0.15">
      <x:c r="A1120">
        <x:v>54052</x:v>
      </x:c>
      <x:c r="B1120">
        <x:v>1</x:v>
      </x:c>
      <x:c r="C1120">
        <x:v>39</x:v>
      </x:c>
      <x:c r="D1120">
        <x:f>ROUND($C1120*10*VLOOKUP($B1120,Sheet2!$J$5:$K$7,2,FALSE)*VLOOKUP(Sheet1!$A1120,Sheet2!$B$5:$H$29,3,FALSE),0)</x:f>
        <x:v>0</x:v>
      </x:c>
      <x:c r="E1120">
        <x:f>ROUND($C1120*10*VLOOKUP($B1120,Sheet2!$J$5:$K$7,2,FALSE)*VLOOKUP(Sheet1!$A1120,Sheet2!$B$5:$H$29,4,FALSE),0)</x:f>
        <x:v>390</x:v>
      </x:c>
      <x:c r="F1120">
        <x:f>ROUND($C1120*10*VLOOKUP($B1120,Sheet2!$J$5:$K$7,2,FALSE)*VLOOKUP(Sheet1!$A1120,Sheet2!$B$5:$H$29,5,FALSE),0)</x:f>
        <x:v>0</x:v>
      </x:c>
      <x:c r="G1120">
        <x:f>ROUND($C1120*10*VLOOKUP($B1120,Sheet2!$J$5:$K$7,2,FALSE)*VLOOKUP(Sheet1!$A1120,Sheet2!$B$5:$H$29,6,FALSE),0)</x:f>
        <x:v>0</x:v>
      </x:c>
      <x:c r="H1120">
        <x:f>ROUND($C1120*10*VLOOKUP($B1120,Sheet2!$J$5:$K$7,2,FALSE)*VLOOKUP(Sheet1!$A1120,Sheet2!$B$5:$H$29,7,FALSE),0)</x:f>
        <x:v>0</x:v>
      </x:c>
      <x:c r="I1120">
        <x:f t="shared" si="18"/>
        <x:v>15100</x:v>
      </x:c>
    </x:row>
    <x:row r="1121" spans="1:9" x14ac:dyDescent="0.15">
      <x:c r="A1121">
        <x:v>54052</x:v>
      </x:c>
      <x:c r="B1121">
        <x:v>1</x:v>
      </x:c>
      <x:c r="C1121">
        <x:v>40</x:v>
      </x:c>
      <x:c r="D1121">
        <x:f>ROUND($C1121*10*VLOOKUP($B1121,Sheet2!$J$5:$K$7,2,FALSE)*VLOOKUP(Sheet1!$A1121,Sheet2!$B$5:$H$29,3,FALSE),0)</x:f>
        <x:v>0</x:v>
      </x:c>
      <x:c r="E1121">
        <x:f>ROUND($C1121*10*VLOOKUP($B1121,Sheet2!$J$5:$K$7,2,FALSE)*VLOOKUP(Sheet1!$A1121,Sheet2!$B$5:$H$29,4,FALSE),0)</x:f>
        <x:v>400</x:v>
      </x:c>
      <x:c r="F1121">
        <x:f>ROUND($C1121*10*VLOOKUP($B1121,Sheet2!$J$5:$K$7,2,FALSE)*VLOOKUP(Sheet1!$A1121,Sheet2!$B$5:$H$29,5,FALSE),0)</x:f>
        <x:v>0</x:v>
      </x:c>
      <x:c r="G1121">
        <x:f>ROUND($C1121*10*VLOOKUP($B1121,Sheet2!$J$5:$K$7,2,FALSE)*VLOOKUP(Sheet1!$A1121,Sheet2!$B$5:$H$29,6,FALSE),0)</x:f>
        <x:v>0</x:v>
      </x:c>
      <x:c r="H1121">
        <x:f>ROUND($C1121*10*VLOOKUP($B1121,Sheet2!$J$5:$K$7,2,FALSE)*VLOOKUP(Sheet1!$A1121,Sheet2!$B$5:$H$29,7,FALSE),0)</x:f>
        <x:v>0</x:v>
      </x:c>
      <x:c r="I1121">
        <x:f t="shared" si="18"/>
        <x:v>15820</x:v>
      </x:c>
    </x:row>
    <x:row r="1122" spans="1:9" x14ac:dyDescent="0.15">
      <x:c r="A1122">
        <x:v>54052</x:v>
      </x:c>
      <x:c r="B1122">
        <x:v>1</x:v>
      </x:c>
      <x:c r="C1122">
        <x:v>41</x:v>
      </x:c>
      <x:c r="D1122">
        <x:f>ROUND($C1122*10*VLOOKUP($B1122,Sheet2!$J$5:$K$7,2,FALSE)*VLOOKUP(Sheet1!$A1122,Sheet2!$B$5:$H$29,3,FALSE),0)</x:f>
        <x:v>0</x:v>
      </x:c>
      <x:c r="E1122">
        <x:f>ROUND($C1122*10*VLOOKUP($B1122,Sheet2!$J$5:$K$7,2,FALSE)*VLOOKUP(Sheet1!$A1122,Sheet2!$B$5:$H$29,4,FALSE),0)</x:f>
        <x:v>410</x:v>
      </x:c>
      <x:c r="F1122">
        <x:f>ROUND($C1122*10*VLOOKUP($B1122,Sheet2!$J$5:$K$7,2,FALSE)*VLOOKUP(Sheet1!$A1122,Sheet2!$B$5:$H$29,5,FALSE),0)</x:f>
        <x:v>0</x:v>
      </x:c>
      <x:c r="G1122">
        <x:f>ROUND($C1122*10*VLOOKUP($B1122,Sheet2!$J$5:$K$7,2,FALSE)*VLOOKUP(Sheet1!$A1122,Sheet2!$B$5:$H$29,6,FALSE),0)</x:f>
        <x:v>0</x:v>
      </x:c>
      <x:c r="H1122">
        <x:f>ROUND($C1122*10*VLOOKUP($B1122,Sheet2!$J$5:$K$7,2,FALSE)*VLOOKUP(Sheet1!$A1122,Sheet2!$B$5:$H$29,7,FALSE),0)</x:f>
        <x:v>0</x:v>
      </x:c>
      <x:c r="I1122">
        <x:f t="shared" si="18"/>
        <x:v>16560</x:v>
      </x:c>
    </x:row>
    <x:row r="1123" spans="1:9" x14ac:dyDescent="0.15">
      <x:c r="A1123">
        <x:v>54052</x:v>
      </x:c>
      <x:c r="B1123">
        <x:v>1</x:v>
      </x:c>
      <x:c r="C1123">
        <x:v>42</x:v>
      </x:c>
      <x:c r="D1123">
        <x:f>ROUND($C1123*10*VLOOKUP($B1123,Sheet2!$J$5:$K$7,2,FALSE)*VLOOKUP(Sheet1!$A1123,Sheet2!$B$5:$H$29,3,FALSE),0)</x:f>
        <x:v>0</x:v>
      </x:c>
      <x:c r="E1123">
        <x:f>ROUND($C1123*10*VLOOKUP($B1123,Sheet2!$J$5:$K$7,2,FALSE)*VLOOKUP(Sheet1!$A1123,Sheet2!$B$5:$H$29,4,FALSE),0)</x:f>
        <x:v>420</x:v>
      </x:c>
      <x:c r="F1123">
        <x:f>ROUND($C1123*10*VLOOKUP($B1123,Sheet2!$J$5:$K$7,2,FALSE)*VLOOKUP(Sheet1!$A1123,Sheet2!$B$5:$H$29,5,FALSE),0)</x:f>
        <x:v>0</x:v>
      </x:c>
      <x:c r="G1123">
        <x:f>ROUND($C1123*10*VLOOKUP($B1123,Sheet2!$J$5:$K$7,2,FALSE)*VLOOKUP(Sheet1!$A1123,Sheet2!$B$5:$H$29,6,FALSE),0)</x:f>
        <x:v>0</x:v>
      </x:c>
      <x:c r="H1123">
        <x:f>ROUND($C1123*10*VLOOKUP($B1123,Sheet2!$J$5:$K$7,2,FALSE)*VLOOKUP(Sheet1!$A1123,Sheet2!$B$5:$H$29,7,FALSE),0)</x:f>
        <x:v>0</x:v>
      </x:c>
      <x:c r="I1123">
        <x:f t="shared" si="18"/>
        <x:v>17310</x:v>
      </x:c>
    </x:row>
    <x:row r="1124" spans="1:9" x14ac:dyDescent="0.15">
      <x:c r="A1124">
        <x:v>54052</x:v>
      </x:c>
      <x:c r="B1124">
        <x:v>1</x:v>
      </x:c>
      <x:c r="C1124">
        <x:v>43</x:v>
      </x:c>
      <x:c r="D1124">
        <x:f>ROUND($C1124*10*VLOOKUP($B1124,Sheet2!$J$5:$K$7,2,FALSE)*VLOOKUP(Sheet1!$A1124,Sheet2!$B$5:$H$29,3,FALSE),0)</x:f>
        <x:v>0</x:v>
      </x:c>
      <x:c r="E1124">
        <x:f>ROUND($C1124*10*VLOOKUP($B1124,Sheet2!$J$5:$K$7,2,FALSE)*VLOOKUP(Sheet1!$A1124,Sheet2!$B$5:$H$29,4,FALSE),0)</x:f>
        <x:v>430</x:v>
      </x:c>
      <x:c r="F1124">
        <x:f>ROUND($C1124*10*VLOOKUP($B1124,Sheet2!$J$5:$K$7,2,FALSE)*VLOOKUP(Sheet1!$A1124,Sheet2!$B$5:$H$29,5,FALSE),0)</x:f>
        <x:v>0</x:v>
      </x:c>
      <x:c r="G1124">
        <x:f>ROUND($C1124*10*VLOOKUP($B1124,Sheet2!$J$5:$K$7,2,FALSE)*VLOOKUP(Sheet1!$A1124,Sheet2!$B$5:$H$29,6,FALSE),0)</x:f>
        <x:v>0</x:v>
      </x:c>
      <x:c r="H1124">
        <x:f>ROUND($C1124*10*VLOOKUP($B1124,Sheet2!$J$5:$K$7,2,FALSE)*VLOOKUP(Sheet1!$A1124,Sheet2!$B$5:$H$29,7,FALSE),0)</x:f>
        <x:v>0</x:v>
      </x:c>
      <x:c r="I1124">
        <x:f t="shared" si="18"/>
        <x:v>18070</x:v>
      </x:c>
    </x:row>
    <x:row r="1125" spans="1:9" x14ac:dyDescent="0.15">
      <x:c r="A1125">
        <x:v>54052</x:v>
      </x:c>
      <x:c r="B1125">
        <x:v>1</x:v>
      </x:c>
      <x:c r="C1125">
        <x:v>44</x:v>
      </x:c>
      <x:c r="D1125">
        <x:f>ROUND($C1125*10*VLOOKUP($B1125,Sheet2!$J$5:$K$7,2,FALSE)*VLOOKUP(Sheet1!$A1125,Sheet2!$B$5:$H$29,3,FALSE),0)</x:f>
        <x:v>0</x:v>
      </x:c>
      <x:c r="E1125">
        <x:f>ROUND($C1125*10*VLOOKUP($B1125,Sheet2!$J$5:$K$7,2,FALSE)*VLOOKUP(Sheet1!$A1125,Sheet2!$B$5:$H$29,4,FALSE),0)</x:f>
        <x:v>440</x:v>
      </x:c>
      <x:c r="F1125">
        <x:f>ROUND($C1125*10*VLOOKUP($B1125,Sheet2!$J$5:$K$7,2,FALSE)*VLOOKUP(Sheet1!$A1125,Sheet2!$B$5:$H$29,5,FALSE),0)</x:f>
        <x:v>0</x:v>
      </x:c>
      <x:c r="G1125">
        <x:f>ROUND($C1125*10*VLOOKUP($B1125,Sheet2!$J$5:$K$7,2,FALSE)*VLOOKUP(Sheet1!$A1125,Sheet2!$B$5:$H$29,6,FALSE),0)</x:f>
        <x:v>0</x:v>
      </x:c>
      <x:c r="H1125">
        <x:f>ROUND($C1125*10*VLOOKUP($B1125,Sheet2!$J$5:$K$7,2,FALSE)*VLOOKUP(Sheet1!$A1125,Sheet2!$B$5:$H$29,7,FALSE),0)</x:f>
        <x:v>0</x:v>
      </x:c>
      <x:c r="I1125">
        <x:f t="shared" si="18"/>
        <x:v>18850</x:v>
      </x:c>
    </x:row>
    <x:row r="1126" spans="1:9" x14ac:dyDescent="0.15">
      <x:c r="A1126">
        <x:v>54052</x:v>
      </x:c>
      <x:c r="B1126">
        <x:v>1</x:v>
      </x:c>
      <x:c r="C1126">
        <x:v>45</x:v>
      </x:c>
      <x:c r="D1126">
        <x:f>ROUND($C1126*10*VLOOKUP($B1126,Sheet2!$J$5:$K$7,2,FALSE)*VLOOKUP(Sheet1!$A1126,Sheet2!$B$5:$H$29,3,FALSE),0)</x:f>
        <x:v>0</x:v>
      </x:c>
      <x:c r="E1126">
        <x:f>ROUND($C1126*10*VLOOKUP($B1126,Sheet2!$J$5:$K$7,2,FALSE)*VLOOKUP(Sheet1!$A1126,Sheet2!$B$5:$H$29,4,FALSE),0)</x:f>
        <x:v>450</x:v>
      </x:c>
      <x:c r="F1126">
        <x:f>ROUND($C1126*10*VLOOKUP($B1126,Sheet2!$J$5:$K$7,2,FALSE)*VLOOKUP(Sheet1!$A1126,Sheet2!$B$5:$H$29,5,FALSE),0)</x:f>
        <x:v>0</x:v>
      </x:c>
      <x:c r="G1126">
        <x:f>ROUND($C1126*10*VLOOKUP($B1126,Sheet2!$J$5:$K$7,2,FALSE)*VLOOKUP(Sheet1!$A1126,Sheet2!$B$5:$H$29,6,FALSE),0)</x:f>
        <x:v>0</x:v>
      </x:c>
      <x:c r="H1126">
        <x:f>ROUND($C1126*10*VLOOKUP($B1126,Sheet2!$J$5:$K$7,2,FALSE)*VLOOKUP(Sheet1!$A1126,Sheet2!$B$5:$H$29,7,FALSE),0)</x:f>
        <x:v>0</x:v>
      </x:c>
      <x:c r="I1126">
        <x:f t="shared" si="18"/>
        <x:v>19650</x:v>
      </x:c>
    </x:row>
    <x:row r="1127" spans="1:9" x14ac:dyDescent="0.15">
      <x:c r="A1127">
        <x:v>54052</x:v>
      </x:c>
      <x:c r="B1127">
        <x:v>1</x:v>
      </x:c>
      <x:c r="C1127">
        <x:v>46</x:v>
      </x:c>
      <x:c r="D1127">
        <x:f>ROUND($C1127*10*VLOOKUP($B1127,Sheet2!$J$5:$K$7,2,FALSE)*VLOOKUP(Sheet1!$A1127,Sheet2!$B$5:$H$29,3,FALSE),0)</x:f>
        <x:v>0</x:v>
      </x:c>
      <x:c r="E1127">
        <x:f>ROUND($C1127*10*VLOOKUP($B1127,Sheet2!$J$5:$K$7,2,FALSE)*VLOOKUP(Sheet1!$A1127,Sheet2!$B$5:$H$29,4,FALSE),0)</x:f>
        <x:v>460</x:v>
      </x:c>
      <x:c r="F1127">
        <x:f>ROUND($C1127*10*VLOOKUP($B1127,Sheet2!$J$5:$K$7,2,FALSE)*VLOOKUP(Sheet1!$A1127,Sheet2!$B$5:$H$29,5,FALSE),0)</x:f>
        <x:v>0</x:v>
      </x:c>
      <x:c r="G1127">
        <x:f>ROUND($C1127*10*VLOOKUP($B1127,Sheet2!$J$5:$K$7,2,FALSE)*VLOOKUP(Sheet1!$A1127,Sheet2!$B$5:$H$29,6,FALSE),0)</x:f>
        <x:v>0</x:v>
      </x:c>
      <x:c r="H1127">
        <x:f>ROUND($C1127*10*VLOOKUP($B1127,Sheet2!$J$5:$K$7,2,FALSE)*VLOOKUP(Sheet1!$A1127,Sheet2!$B$5:$H$29,7,FALSE),0)</x:f>
        <x:v>0</x:v>
      </x:c>
      <x:c r="I1127">
        <x:f t="shared" si="18"/>
        <x:v>20460</x:v>
      </x:c>
    </x:row>
    <x:row r="1128" spans="1:9" x14ac:dyDescent="0.15">
      <x:c r="A1128">
        <x:v>54052</x:v>
      </x:c>
      <x:c r="B1128">
        <x:v>1</x:v>
      </x:c>
      <x:c r="C1128">
        <x:v>47</x:v>
      </x:c>
      <x:c r="D1128">
        <x:f>ROUND($C1128*10*VLOOKUP($B1128,Sheet2!$J$5:$K$7,2,FALSE)*VLOOKUP(Sheet1!$A1128,Sheet2!$B$5:$H$29,3,FALSE),0)</x:f>
        <x:v>0</x:v>
      </x:c>
      <x:c r="E1128">
        <x:f>ROUND($C1128*10*VLOOKUP($B1128,Sheet2!$J$5:$K$7,2,FALSE)*VLOOKUP(Sheet1!$A1128,Sheet2!$B$5:$H$29,4,FALSE),0)</x:f>
        <x:v>470</x:v>
      </x:c>
      <x:c r="F1128">
        <x:f>ROUND($C1128*10*VLOOKUP($B1128,Sheet2!$J$5:$K$7,2,FALSE)*VLOOKUP(Sheet1!$A1128,Sheet2!$B$5:$H$29,5,FALSE),0)</x:f>
        <x:v>0</x:v>
      </x:c>
      <x:c r="G1128">
        <x:f>ROUND($C1128*10*VLOOKUP($B1128,Sheet2!$J$5:$K$7,2,FALSE)*VLOOKUP(Sheet1!$A1128,Sheet2!$B$5:$H$29,6,FALSE),0)</x:f>
        <x:v>0</x:v>
      </x:c>
      <x:c r="H1128">
        <x:f>ROUND($C1128*10*VLOOKUP($B1128,Sheet2!$J$5:$K$7,2,FALSE)*VLOOKUP(Sheet1!$A1128,Sheet2!$B$5:$H$29,7,FALSE),0)</x:f>
        <x:v>0</x:v>
      </x:c>
      <x:c r="I1128">
        <x:f t="shared" si="18"/>
        <x:v>21280</x:v>
      </x:c>
    </x:row>
    <x:row r="1129" spans="1:9" x14ac:dyDescent="0.15">
      <x:c r="A1129">
        <x:v>54052</x:v>
      </x:c>
      <x:c r="B1129">
        <x:v>1</x:v>
      </x:c>
      <x:c r="C1129">
        <x:v>48</x:v>
      </x:c>
      <x:c r="D1129">
        <x:f>ROUND($C1129*10*VLOOKUP($B1129,Sheet2!$J$5:$K$7,2,FALSE)*VLOOKUP(Sheet1!$A1129,Sheet2!$B$5:$H$29,3,FALSE),0)</x:f>
        <x:v>0</x:v>
      </x:c>
      <x:c r="E1129">
        <x:f>ROUND($C1129*10*VLOOKUP($B1129,Sheet2!$J$5:$K$7,2,FALSE)*VLOOKUP(Sheet1!$A1129,Sheet2!$B$5:$H$29,4,FALSE),0)</x:f>
        <x:v>480</x:v>
      </x:c>
      <x:c r="F1129">
        <x:f>ROUND($C1129*10*VLOOKUP($B1129,Sheet2!$J$5:$K$7,2,FALSE)*VLOOKUP(Sheet1!$A1129,Sheet2!$B$5:$H$29,5,FALSE),0)</x:f>
        <x:v>0</x:v>
      </x:c>
      <x:c r="G1129">
        <x:f>ROUND($C1129*10*VLOOKUP($B1129,Sheet2!$J$5:$K$7,2,FALSE)*VLOOKUP(Sheet1!$A1129,Sheet2!$B$5:$H$29,6,FALSE),0)</x:f>
        <x:v>0</x:v>
      </x:c>
      <x:c r="H1129">
        <x:f>ROUND($C1129*10*VLOOKUP($B1129,Sheet2!$J$5:$K$7,2,FALSE)*VLOOKUP(Sheet1!$A1129,Sheet2!$B$5:$H$29,7,FALSE),0)</x:f>
        <x:v>0</x:v>
      </x:c>
      <x:c r="I1129">
        <x:f t="shared" si="18"/>
        <x:v>22120</x:v>
      </x:c>
    </x:row>
    <x:row r="1130" spans="1:9" x14ac:dyDescent="0.15">
      <x:c r="A1130">
        <x:v>54052</x:v>
      </x:c>
      <x:c r="B1130">
        <x:v>1</x:v>
      </x:c>
      <x:c r="C1130">
        <x:v>49</x:v>
      </x:c>
      <x:c r="D1130">
        <x:f>ROUND($C1130*10*VLOOKUP($B1130,Sheet2!$J$5:$K$7,2,FALSE)*VLOOKUP(Sheet1!$A1130,Sheet2!$B$5:$H$29,3,FALSE),0)</x:f>
        <x:v>0</x:v>
      </x:c>
      <x:c r="E1130">
        <x:f>ROUND($C1130*10*VLOOKUP($B1130,Sheet2!$J$5:$K$7,2,FALSE)*VLOOKUP(Sheet1!$A1130,Sheet2!$B$5:$H$29,4,FALSE),0)</x:f>
        <x:v>490</x:v>
      </x:c>
      <x:c r="F1130">
        <x:f>ROUND($C1130*10*VLOOKUP($B1130,Sheet2!$J$5:$K$7,2,FALSE)*VLOOKUP(Sheet1!$A1130,Sheet2!$B$5:$H$29,5,FALSE),0)</x:f>
        <x:v>0</x:v>
      </x:c>
      <x:c r="G1130">
        <x:f>ROUND($C1130*10*VLOOKUP($B1130,Sheet2!$J$5:$K$7,2,FALSE)*VLOOKUP(Sheet1!$A1130,Sheet2!$B$5:$H$29,6,FALSE),0)</x:f>
        <x:v>0</x:v>
      </x:c>
      <x:c r="H1130">
        <x:f>ROUND($C1130*10*VLOOKUP($B1130,Sheet2!$J$5:$K$7,2,FALSE)*VLOOKUP(Sheet1!$A1130,Sheet2!$B$5:$H$29,7,FALSE),0)</x:f>
        <x:v>0</x:v>
      </x:c>
      <x:c r="I1130">
        <x:f t="shared" si="18"/>
        <x:v>22970</x:v>
      </x:c>
    </x:row>
    <x:row r="1131" spans="1:9" x14ac:dyDescent="0.15">
      <x:c r="A1131">
        <x:v>54052</x:v>
      </x:c>
      <x:c r="B1131">
        <x:v>1</x:v>
      </x:c>
      <x:c r="C1131">
        <x:v>50</x:v>
      </x:c>
      <x:c r="D1131">
        <x:f>ROUND($C1131*10*VLOOKUP($B1131,Sheet2!$J$5:$K$7,2,FALSE)*VLOOKUP(Sheet1!$A1131,Sheet2!$B$5:$H$29,3,FALSE),0)</x:f>
        <x:v>0</x:v>
      </x:c>
      <x:c r="E1131">
        <x:f>ROUND($C1131*10*VLOOKUP($B1131,Sheet2!$J$5:$K$7,2,FALSE)*VLOOKUP(Sheet1!$A1131,Sheet2!$B$5:$H$29,4,FALSE),0)</x:f>
        <x:v>500</x:v>
      </x:c>
      <x:c r="F1131">
        <x:f>ROUND($C1131*10*VLOOKUP($B1131,Sheet2!$J$5:$K$7,2,FALSE)*VLOOKUP(Sheet1!$A1131,Sheet2!$B$5:$H$29,5,FALSE),0)</x:f>
        <x:v>0</x:v>
      </x:c>
      <x:c r="G1131">
        <x:f>ROUND($C1131*10*VLOOKUP($B1131,Sheet2!$J$5:$K$7,2,FALSE)*VLOOKUP(Sheet1!$A1131,Sheet2!$B$5:$H$29,6,FALSE),0)</x:f>
        <x:v>0</x:v>
      </x:c>
      <x:c r="H1131">
        <x:f>ROUND($C1131*10*VLOOKUP($B1131,Sheet2!$J$5:$K$7,2,FALSE)*VLOOKUP(Sheet1!$A1131,Sheet2!$B$5:$H$29,7,FALSE),0)</x:f>
        <x:v>0</x:v>
      </x:c>
      <x:c r="I1131">
        <x:f t="shared" si="18"/>
        <x:v>23840</x:v>
      </x:c>
    </x:row>
    <x:row r="1132" spans="1:9" x14ac:dyDescent="0.15">
      <x:c r="A1132">
        <x:v>54052</x:v>
      </x:c>
      <x:c r="B1132">
        <x:v>1</x:v>
      </x:c>
      <x:c r="C1132">
        <x:v>51</x:v>
      </x:c>
      <x:c r="D1132">
        <x:f>ROUND($C1132*10*VLOOKUP($B1132,Sheet2!$J$5:$K$7,2,FALSE)*VLOOKUP(Sheet1!$A1132,Sheet2!$B$5:$H$29,3,FALSE),0)</x:f>
        <x:v>0</x:v>
      </x:c>
      <x:c r="E1132">
        <x:f>ROUND($C1132*10*VLOOKUP($B1132,Sheet2!$J$5:$K$7,2,FALSE)*VLOOKUP(Sheet1!$A1132,Sheet2!$B$5:$H$29,4,FALSE),0)</x:f>
        <x:v>510</x:v>
      </x:c>
      <x:c r="F1132">
        <x:f>ROUND($C1132*10*VLOOKUP($B1132,Sheet2!$J$5:$K$7,2,FALSE)*VLOOKUP(Sheet1!$A1132,Sheet2!$B$5:$H$29,5,FALSE),0)</x:f>
        <x:v>0</x:v>
      </x:c>
      <x:c r="G1132">
        <x:f>ROUND($C1132*10*VLOOKUP($B1132,Sheet2!$J$5:$K$7,2,FALSE)*VLOOKUP(Sheet1!$A1132,Sheet2!$B$5:$H$29,6,FALSE),0)</x:f>
        <x:v>0</x:v>
      </x:c>
      <x:c r="H1132">
        <x:f>ROUND($C1132*10*VLOOKUP($B1132,Sheet2!$J$5:$K$7,2,FALSE)*VLOOKUP(Sheet1!$A1132,Sheet2!$B$5:$H$29,7,FALSE),0)</x:f>
        <x:v>0</x:v>
      </x:c>
      <x:c r="I1132">
        <x:f t="shared" si="18"/>
        <x:v>24720</x:v>
      </x:c>
    </x:row>
    <x:row r="1133" spans="1:9" x14ac:dyDescent="0.15">
      <x:c r="A1133">
        <x:v>54052</x:v>
      </x:c>
      <x:c r="B1133">
        <x:v>1</x:v>
      </x:c>
      <x:c r="C1133">
        <x:v>52</x:v>
      </x:c>
      <x:c r="D1133">
        <x:f>ROUND($C1133*10*VLOOKUP($B1133,Sheet2!$J$5:$K$7,2,FALSE)*VLOOKUP(Sheet1!$A1133,Sheet2!$B$5:$H$29,3,FALSE),0)</x:f>
        <x:v>0</x:v>
      </x:c>
      <x:c r="E1133">
        <x:f>ROUND($C1133*10*VLOOKUP($B1133,Sheet2!$J$5:$K$7,2,FALSE)*VLOOKUP(Sheet1!$A1133,Sheet2!$B$5:$H$29,4,FALSE),0)</x:f>
        <x:v>520</x:v>
      </x:c>
      <x:c r="F1133">
        <x:f>ROUND($C1133*10*VLOOKUP($B1133,Sheet2!$J$5:$K$7,2,FALSE)*VLOOKUP(Sheet1!$A1133,Sheet2!$B$5:$H$29,5,FALSE),0)</x:f>
        <x:v>0</x:v>
      </x:c>
      <x:c r="G1133">
        <x:f>ROUND($C1133*10*VLOOKUP($B1133,Sheet2!$J$5:$K$7,2,FALSE)*VLOOKUP(Sheet1!$A1133,Sheet2!$B$5:$H$29,6,FALSE),0)</x:f>
        <x:v>0</x:v>
      </x:c>
      <x:c r="H1133">
        <x:f>ROUND($C1133*10*VLOOKUP($B1133,Sheet2!$J$5:$K$7,2,FALSE)*VLOOKUP(Sheet1!$A1133,Sheet2!$B$5:$H$29,7,FALSE),0)</x:f>
        <x:v>0</x:v>
      </x:c>
      <x:c r="I1133">
        <x:f t="shared" si="18"/>
        <x:v>25620</x:v>
      </x:c>
    </x:row>
    <x:row r="1134" spans="1:9" x14ac:dyDescent="0.15">
      <x:c r="A1134">
        <x:v>54052</x:v>
      </x:c>
      <x:c r="B1134">
        <x:v>1</x:v>
      </x:c>
      <x:c r="C1134">
        <x:v>53</x:v>
      </x:c>
      <x:c r="D1134">
        <x:f>ROUND($C1134*10*VLOOKUP($B1134,Sheet2!$J$5:$K$7,2,FALSE)*VLOOKUP(Sheet1!$A1134,Sheet2!$B$5:$H$29,3,FALSE),0)</x:f>
        <x:v>0</x:v>
      </x:c>
      <x:c r="E1134">
        <x:f>ROUND($C1134*10*VLOOKUP($B1134,Sheet2!$J$5:$K$7,2,FALSE)*VLOOKUP(Sheet1!$A1134,Sheet2!$B$5:$H$29,4,FALSE),0)</x:f>
        <x:v>530</x:v>
      </x:c>
      <x:c r="F1134">
        <x:f>ROUND($C1134*10*VLOOKUP($B1134,Sheet2!$J$5:$K$7,2,FALSE)*VLOOKUP(Sheet1!$A1134,Sheet2!$B$5:$H$29,5,FALSE),0)</x:f>
        <x:v>0</x:v>
      </x:c>
      <x:c r="G1134">
        <x:f>ROUND($C1134*10*VLOOKUP($B1134,Sheet2!$J$5:$K$7,2,FALSE)*VLOOKUP(Sheet1!$A1134,Sheet2!$B$5:$H$29,6,FALSE),0)</x:f>
        <x:v>0</x:v>
      </x:c>
      <x:c r="H1134">
        <x:f>ROUND($C1134*10*VLOOKUP($B1134,Sheet2!$J$5:$K$7,2,FALSE)*VLOOKUP(Sheet1!$A1134,Sheet2!$B$5:$H$29,7,FALSE),0)</x:f>
        <x:v>0</x:v>
      </x:c>
      <x:c r="I1134">
        <x:f t="shared" si="18"/>
        <x:v>26530</x:v>
      </x:c>
    </x:row>
    <x:row r="1135" spans="1:9" x14ac:dyDescent="0.15">
      <x:c r="A1135">
        <x:v>54052</x:v>
      </x:c>
      <x:c r="B1135">
        <x:v>1</x:v>
      </x:c>
      <x:c r="C1135">
        <x:v>54</x:v>
      </x:c>
      <x:c r="D1135">
        <x:f>ROUND($C1135*10*VLOOKUP($B1135,Sheet2!$J$5:$K$7,2,FALSE)*VLOOKUP(Sheet1!$A1135,Sheet2!$B$5:$H$29,3,FALSE),0)</x:f>
        <x:v>0</x:v>
      </x:c>
      <x:c r="E1135">
        <x:f>ROUND($C1135*10*VLOOKUP($B1135,Sheet2!$J$5:$K$7,2,FALSE)*VLOOKUP(Sheet1!$A1135,Sheet2!$B$5:$H$29,4,FALSE),0)</x:f>
        <x:v>540</x:v>
      </x:c>
      <x:c r="F1135">
        <x:f>ROUND($C1135*10*VLOOKUP($B1135,Sheet2!$J$5:$K$7,2,FALSE)*VLOOKUP(Sheet1!$A1135,Sheet2!$B$5:$H$29,5,FALSE),0)</x:f>
        <x:v>0</x:v>
      </x:c>
      <x:c r="G1135">
        <x:f>ROUND($C1135*10*VLOOKUP($B1135,Sheet2!$J$5:$K$7,2,FALSE)*VLOOKUP(Sheet1!$A1135,Sheet2!$B$5:$H$29,6,FALSE),0)</x:f>
        <x:v>0</x:v>
      </x:c>
      <x:c r="H1135">
        <x:f>ROUND($C1135*10*VLOOKUP($B1135,Sheet2!$J$5:$K$7,2,FALSE)*VLOOKUP(Sheet1!$A1135,Sheet2!$B$5:$H$29,7,FALSE),0)</x:f>
        <x:v>0</x:v>
      </x:c>
      <x:c r="I1135">
        <x:f t="shared" si="18"/>
        <x:v>27460</x:v>
      </x:c>
    </x:row>
    <x:row r="1136" spans="1:9" x14ac:dyDescent="0.15">
      <x:c r="A1136">
        <x:v>54052</x:v>
      </x:c>
      <x:c r="B1136">
        <x:v>1</x:v>
      </x:c>
      <x:c r="C1136">
        <x:v>55</x:v>
      </x:c>
      <x:c r="D1136">
        <x:f>ROUND($C1136*10*VLOOKUP($B1136,Sheet2!$J$5:$K$7,2,FALSE)*VLOOKUP(Sheet1!$A1136,Sheet2!$B$5:$H$29,3,FALSE),0)</x:f>
        <x:v>0</x:v>
      </x:c>
      <x:c r="E1136">
        <x:f>ROUND($C1136*10*VLOOKUP($B1136,Sheet2!$J$5:$K$7,2,FALSE)*VLOOKUP(Sheet1!$A1136,Sheet2!$B$5:$H$29,4,FALSE),0)</x:f>
        <x:v>550</x:v>
      </x:c>
      <x:c r="F1136">
        <x:f>ROUND($C1136*10*VLOOKUP($B1136,Sheet2!$J$5:$K$7,2,FALSE)*VLOOKUP(Sheet1!$A1136,Sheet2!$B$5:$H$29,5,FALSE),0)</x:f>
        <x:v>0</x:v>
      </x:c>
      <x:c r="G1136">
        <x:f>ROUND($C1136*10*VLOOKUP($B1136,Sheet2!$J$5:$K$7,2,FALSE)*VLOOKUP(Sheet1!$A1136,Sheet2!$B$5:$H$29,6,FALSE),0)</x:f>
        <x:v>0</x:v>
      </x:c>
      <x:c r="H1136">
        <x:f>ROUND($C1136*10*VLOOKUP($B1136,Sheet2!$J$5:$K$7,2,FALSE)*VLOOKUP(Sheet1!$A1136,Sheet2!$B$5:$H$29,7,FALSE),0)</x:f>
        <x:v>0</x:v>
      </x:c>
      <x:c r="I1136">
        <x:f t="shared" si="18"/>
        <x:v>28390</x:v>
      </x:c>
    </x:row>
    <x:row r="1137" spans="1:9" x14ac:dyDescent="0.15">
      <x:c r="A1137">
        <x:v>54052</x:v>
      </x:c>
      <x:c r="B1137">
        <x:v>1</x:v>
      </x:c>
      <x:c r="C1137">
        <x:v>56</x:v>
      </x:c>
      <x:c r="D1137">
        <x:f>ROUND($C1137*10*VLOOKUP($B1137,Sheet2!$J$5:$K$7,2,FALSE)*VLOOKUP(Sheet1!$A1137,Sheet2!$B$5:$H$29,3,FALSE),0)</x:f>
        <x:v>0</x:v>
      </x:c>
      <x:c r="E1137">
        <x:f>ROUND($C1137*10*VLOOKUP($B1137,Sheet2!$J$5:$K$7,2,FALSE)*VLOOKUP(Sheet1!$A1137,Sheet2!$B$5:$H$29,4,FALSE),0)</x:f>
        <x:v>560</x:v>
      </x:c>
      <x:c r="F1137">
        <x:f>ROUND($C1137*10*VLOOKUP($B1137,Sheet2!$J$5:$K$7,2,FALSE)*VLOOKUP(Sheet1!$A1137,Sheet2!$B$5:$H$29,5,FALSE),0)</x:f>
        <x:v>0</x:v>
      </x:c>
      <x:c r="G1137">
        <x:f>ROUND($C1137*10*VLOOKUP($B1137,Sheet2!$J$5:$K$7,2,FALSE)*VLOOKUP(Sheet1!$A1137,Sheet2!$B$5:$H$29,6,FALSE),0)</x:f>
        <x:v>0</x:v>
      </x:c>
      <x:c r="H1137">
        <x:f>ROUND($C1137*10*VLOOKUP($B1137,Sheet2!$J$5:$K$7,2,FALSE)*VLOOKUP(Sheet1!$A1137,Sheet2!$B$5:$H$29,7,FALSE),0)</x:f>
        <x:v>0</x:v>
      </x:c>
      <x:c r="I1137">
        <x:f t="shared" si="18"/>
        <x:v>29350</x:v>
      </x:c>
    </x:row>
    <x:row r="1138" spans="1:9" x14ac:dyDescent="0.15">
      <x:c r="A1138">
        <x:v>54052</x:v>
      </x:c>
      <x:c r="B1138">
        <x:v>1</x:v>
      </x:c>
      <x:c r="C1138">
        <x:v>57</x:v>
      </x:c>
      <x:c r="D1138">
        <x:f>ROUND($C1138*10*VLOOKUP($B1138,Sheet2!$J$5:$K$7,2,FALSE)*VLOOKUP(Sheet1!$A1138,Sheet2!$B$5:$H$29,3,FALSE),0)</x:f>
        <x:v>0</x:v>
      </x:c>
      <x:c r="E1138">
        <x:f>ROUND($C1138*10*VLOOKUP($B1138,Sheet2!$J$5:$K$7,2,FALSE)*VLOOKUP(Sheet1!$A1138,Sheet2!$B$5:$H$29,4,FALSE),0)</x:f>
        <x:v>570</x:v>
      </x:c>
      <x:c r="F1138">
        <x:f>ROUND($C1138*10*VLOOKUP($B1138,Sheet2!$J$5:$K$7,2,FALSE)*VLOOKUP(Sheet1!$A1138,Sheet2!$B$5:$H$29,5,FALSE),0)</x:f>
        <x:v>0</x:v>
      </x:c>
      <x:c r="G1138">
        <x:f>ROUND($C1138*10*VLOOKUP($B1138,Sheet2!$J$5:$K$7,2,FALSE)*VLOOKUP(Sheet1!$A1138,Sheet2!$B$5:$H$29,6,FALSE),0)</x:f>
        <x:v>0</x:v>
      </x:c>
      <x:c r="H1138">
        <x:f>ROUND($C1138*10*VLOOKUP($B1138,Sheet2!$J$5:$K$7,2,FALSE)*VLOOKUP(Sheet1!$A1138,Sheet2!$B$5:$H$29,7,FALSE),0)</x:f>
        <x:v>0</x:v>
      </x:c>
      <x:c r="I1138">
        <x:f t="shared" si="18"/>
        <x:v>30310</x:v>
      </x:c>
    </x:row>
    <x:row r="1139" spans="1:9" x14ac:dyDescent="0.15">
      <x:c r="A1139">
        <x:v>54052</x:v>
      </x:c>
      <x:c r="B1139">
        <x:v>1</x:v>
      </x:c>
      <x:c r="C1139">
        <x:v>58</x:v>
      </x:c>
      <x:c r="D1139">
        <x:f>ROUND($C1139*10*VLOOKUP($B1139,Sheet2!$J$5:$K$7,2,FALSE)*VLOOKUP(Sheet1!$A1139,Sheet2!$B$5:$H$29,3,FALSE),0)</x:f>
        <x:v>0</x:v>
      </x:c>
      <x:c r="E1139">
        <x:f>ROUND($C1139*10*VLOOKUP($B1139,Sheet2!$J$5:$K$7,2,FALSE)*VLOOKUP(Sheet1!$A1139,Sheet2!$B$5:$H$29,4,FALSE),0)</x:f>
        <x:v>580</x:v>
      </x:c>
      <x:c r="F1139">
        <x:f>ROUND($C1139*10*VLOOKUP($B1139,Sheet2!$J$5:$K$7,2,FALSE)*VLOOKUP(Sheet1!$A1139,Sheet2!$B$5:$H$29,5,FALSE),0)</x:f>
        <x:v>0</x:v>
      </x:c>
      <x:c r="G1139">
        <x:f>ROUND($C1139*10*VLOOKUP($B1139,Sheet2!$J$5:$K$7,2,FALSE)*VLOOKUP(Sheet1!$A1139,Sheet2!$B$5:$H$29,6,FALSE),0)</x:f>
        <x:v>0</x:v>
      </x:c>
      <x:c r="H1139">
        <x:f>ROUND($C1139*10*VLOOKUP($B1139,Sheet2!$J$5:$K$7,2,FALSE)*VLOOKUP(Sheet1!$A1139,Sheet2!$B$5:$H$29,7,FALSE),0)</x:f>
        <x:v>0</x:v>
      </x:c>
      <x:c r="I1139">
        <x:f t="shared" si="18"/>
        <x:v>31290</x:v>
      </x:c>
    </x:row>
    <x:row r="1140" spans="1:9" x14ac:dyDescent="0.15">
      <x:c r="A1140">
        <x:v>54052</x:v>
      </x:c>
      <x:c r="B1140">
        <x:v>1</x:v>
      </x:c>
      <x:c r="C1140">
        <x:v>59</x:v>
      </x:c>
      <x:c r="D1140">
        <x:f>ROUND($C1140*10*VLOOKUP($B1140,Sheet2!$J$5:$K$7,2,FALSE)*VLOOKUP(Sheet1!$A1140,Sheet2!$B$5:$H$29,3,FALSE),0)</x:f>
        <x:v>0</x:v>
      </x:c>
      <x:c r="E1140">
        <x:f>ROUND($C1140*10*VLOOKUP($B1140,Sheet2!$J$5:$K$7,2,FALSE)*VLOOKUP(Sheet1!$A1140,Sheet2!$B$5:$H$29,4,FALSE),0)</x:f>
        <x:v>590</x:v>
      </x:c>
      <x:c r="F1140">
        <x:f>ROUND($C1140*10*VLOOKUP($B1140,Sheet2!$J$5:$K$7,2,FALSE)*VLOOKUP(Sheet1!$A1140,Sheet2!$B$5:$H$29,5,FALSE),0)</x:f>
        <x:v>0</x:v>
      </x:c>
      <x:c r="G1140">
        <x:f>ROUND($C1140*10*VLOOKUP($B1140,Sheet2!$J$5:$K$7,2,FALSE)*VLOOKUP(Sheet1!$A1140,Sheet2!$B$5:$H$29,6,FALSE),0)</x:f>
        <x:v>0</x:v>
      </x:c>
      <x:c r="H1140">
        <x:f>ROUND($C1140*10*VLOOKUP($B1140,Sheet2!$J$5:$K$7,2,FALSE)*VLOOKUP(Sheet1!$A1140,Sheet2!$B$5:$H$29,7,FALSE),0)</x:f>
        <x:v>0</x:v>
      </x:c>
      <x:c r="I1140">
        <x:f t="shared" si="18"/>
        <x:v>32290</x:v>
      </x:c>
    </x:row>
    <x:row r="1141" spans="1:9" x14ac:dyDescent="0.15">
      <x:c r="A1141">
        <x:v>54052</x:v>
      </x:c>
      <x:c r="B1141">
        <x:v>1</x:v>
      </x:c>
      <x:c r="C1141">
        <x:v>60</x:v>
      </x:c>
      <x:c r="D1141">
        <x:f>ROUND($C1141*10*VLOOKUP($B1141,Sheet2!$J$5:$K$7,2,FALSE)*VLOOKUP(Sheet1!$A1141,Sheet2!$B$5:$H$29,3,FALSE),0)</x:f>
        <x:v>0</x:v>
      </x:c>
      <x:c r="E1141">
        <x:f>ROUND($C1141*10*VLOOKUP($B1141,Sheet2!$J$5:$K$7,2,FALSE)*VLOOKUP(Sheet1!$A1141,Sheet2!$B$5:$H$29,4,FALSE),0)</x:f>
        <x:v>600</x:v>
      </x:c>
      <x:c r="F1141">
        <x:f>ROUND($C1141*10*VLOOKUP($B1141,Sheet2!$J$5:$K$7,2,FALSE)*VLOOKUP(Sheet1!$A1141,Sheet2!$B$5:$H$29,5,FALSE),0)</x:f>
        <x:v>0</x:v>
      </x:c>
      <x:c r="G1141">
        <x:f>ROUND($C1141*10*VLOOKUP($B1141,Sheet2!$J$5:$K$7,2,FALSE)*VLOOKUP(Sheet1!$A1141,Sheet2!$B$5:$H$29,6,FALSE),0)</x:f>
        <x:v>0</x:v>
      </x:c>
      <x:c r="H1141">
        <x:f>ROUND($C1141*10*VLOOKUP($B1141,Sheet2!$J$5:$K$7,2,FALSE)*VLOOKUP(Sheet1!$A1141,Sheet2!$B$5:$H$29,7,FALSE),0)</x:f>
        <x:v>0</x:v>
      </x:c>
      <x:c r="I1141">
        <x:f t="shared" si="18"/>
        <x:v>33290</x:v>
      </x:c>
    </x:row>
    <x:row r="1142" spans="1:9" x14ac:dyDescent="0.15">
      <x:c r="A1142">
        <x:v>54052</x:v>
      </x:c>
      <x:c r="B1142">
        <x:v>2</x:v>
      </x:c>
      <x:c r="C1142">
        <x:v>1</x:v>
      </x:c>
      <x:c r="D1142">
        <x:f>ROUND($C1142*10*VLOOKUP($B1142,Sheet2!$J$5:$K$7,2,FALSE)*VLOOKUP(Sheet1!$A1142,Sheet2!$B$5:$H$29,3,FALSE),0)</x:f>
        <x:v>0</x:v>
      </x:c>
      <x:c r="E1142">
        <x:f>ROUND($C1142*10*VLOOKUP($B1142,Sheet2!$J$5:$K$7,2,FALSE)*VLOOKUP(Sheet1!$A1142,Sheet2!$B$5:$H$29,4,FALSE),0)</x:f>
        <x:v>12</x:v>
      </x:c>
      <x:c r="F1142">
        <x:f>ROUND($C1142*10*VLOOKUP($B1142,Sheet2!$J$5:$K$7,2,FALSE)*VLOOKUP(Sheet1!$A1142,Sheet2!$B$5:$H$29,5,FALSE),0)</x:f>
        <x:v>0</x:v>
      </x:c>
      <x:c r="G1142">
        <x:f>ROUND($C1142*10*VLOOKUP($B1142,Sheet2!$J$5:$K$7,2,FALSE)*VLOOKUP(Sheet1!$A1142,Sheet2!$B$5:$H$29,6,FALSE),0)</x:f>
        <x:v>0</x:v>
      </x:c>
      <x:c r="H1142">
        <x:f>ROUND($C1142*10*VLOOKUP($B1142,Sheet2!$J$5:$K$7,2,FALSE)*VLOOKUP(Sheet1!$A1142,Sheet2!$B$5:$H$29,7,FALSE),0)</x:f>
        <x:v>0</x:v>
      </x:c>
      <x:c r="I1142">
        <x:f t="shared" ref="I1142:I1201" si="19">ROUND(1.2*10*3.5*(C1142-1)^1.8+60,-1)</x:f>
        <x:v>60</x:v>
      </x:c>
    </x:row>
    <x:row r="1143" spans="1:9" x14ac:dyDescent="0.15">
      <x:c r="A1143">
        <x:v>54052</x:v>
      </x:c>
      <x:c r="B1143">
        <x:v>2</x:v>
      </x:c>
      <x:c r="C1143">
        <x:v>2</x:v>
      </x:c>
      <x:c r="D1143">
        <x:f>ROUND($C1143*10*VLOOKUP($B1143,Sheet2!$J$5:$K$7,2,FALSE)*VLOOKUP(Sheet1!$A1143,Sheet2!$B$5:$H$29,3,FALSE),0)</x:f>
        <x:v>0</x:v>
      </x:c>
      <x:c r="E1143">
        <x:f>ROUND($C1143*10*VLOOKUP($B1143,Sheet2!$J$5:$K$7,2,FALSE)*VLOOKUP(Sheet1!$A1143,Sheet2!$B$5:$H$29,4,FALSE),0)</x:f>
        <x:v>24</x:v>
      </x:c>
      <x:c r="F1143">
        <x:f>ROUND($C1143*10*VLOOKUP($B1143,Sheet2!$J$5:$K$7,2,FALSE)*VLOOKUP(Sheet1!$A1143,Sheet2!$B$5:$H$29,5,FALSE),0)</x:f>
        <x:v>0</x:v>
      </x:c>
      <x:c r="G1143">
        <x:f>ROUND($C1143*10*VLOOKUP($B1143,Sheet2!$J$5:$K$7,2,FALSE)*VLOOKUP(Sheet1!$A1143,Sheet2!$B$5:$H$29,6,FALSE),0)</x:f>
        <x:v>0</x:v>
      </x:c>
      <x:c r="H1143">
        <x:f>ROUND($C1143*10*VLOOKUP($B1143,Sheet2!$J$5:$K$7,2,FALSE)*VLOOKUP(Sheet1!$A1143,Sheet2!$B$5:$H$29,7,FALSE),0)</x:f>
        <x:v>0</x:v>
      </x:c>
      <x:c r="I1143">
        <x:f t="shared" si="19"/>
        <x:v>100</x:v>
      </x:c>
    </x:row>
    <x:row r="1144" spans="1:9" x14ac:dyDescent="0.15">
      <x:c r="A1144">
        <x:v>54052</x:v>
      </x:c>
      <x:c r="B1144">
        <x:v>2</x:v>
      </x:c>
      <x:c r="C1144">
        <x:v>3</x:v>
      </x:c>
      <x:c r="D1144">
        <x:f>ROUND($C1144*10*VLOOKUP($B1144,Sheet2!$J$5:$K$7,2,FALSE)*VLOOKUP(Sheet1!$A1144,Sheet2!$B$5:$H$29,3,FALSE),0)</x:f>
        <x:v>0</x:v>
      </x:c>
      <x:c r="E1144">
        <x:f>ROUND($C1144*10*VLOOKUP($B1144,Sheet2!$J$5:$K$7,2,FALSE)*VLOOKUP(Sheet1!$A1144,Sheet2!$B$5:$H$29,4,FALSE),0)</x:f>
        <x:v>36</x:v>
      </x:c>
      <x:c r="F1144">
        <x:f>ROUND($C1144*10*VLOOKUP($B1144,Sheet2!$J$5:$K$7,2,FALSE)*VLOOKUP(Sheet1!$A1144,Sheet2!$B$5:$H$29,5,FALSE),0)</x:f>
        <x:v>0</x:v>
      </x:c>
      <x:c r="G1144">
        <x:f>ROUND($C1144*10*VLOOKUP($B1144,Sheet2!$J$5:$K$7,2,FALSE)*VLOOKUP(Sheet1!$A1144,Sheet2!$B$5:$H$29,6,FALSE),0)</x:f>
        <x:v>0</x:v>
      </x:c>
      <x:c r="H1144">
        <x:f>ROUND($C1144*10*VLOOKUP($B1144,Sheet2!$J$5:$K$7,2,FALSE)*VLOOKUP(Sheet1!$A1144,Sheet2!$B$5:$H$29,7,FALSE),0)</x:f>
        <x:v>0</x:v>
      </x:c>
      <x:c r="I1144">
        <x:f t="shared" si="19"/>
        <x:v>210</x:v>
      </x:c>
    </x:row>
    <x:row r="1145" spans="1:9" x14ac:dyDescent="0.15">
      <x:c r="A1145">
        <x:v>54052</x:v>
      </x:c>
      <x:c r="B1145">
        <x:v>2</x:v>
      </x:c>
      <x:c r="C1145">
        <x:v>4</x:v>
      </x:c>
      <x:c r="D1145">
        <x:f>ROUND($C1145*10*VLOOKUP($B1145,Sheet2!$J$5:$K$7,2,FALSE)*VLOOKUP(Sheet1!$A1145,Sheet2!$B$5:$H$29,3,FALSE),0)</x:f>
        <x:v>0</x:v>
      </x:c>
      <x:c r="E1145">
        <x:f>ROUND($C1145*10*VLOOKUP($B1145,Sheet2!$J$5:$K$7,2,FALSE)*VLOOKUP(Sheet1!$A1145,Sheet2!$B$5:$H$29,4,FALSE),0)</x:f>
        <x:v>48</x:v>
      </x:c>
      <x:c r="F1145">
        <x:f>ROUND($C1145*10*VLOOKUP($B1145,Sheet2!$J$5:$K$7,2,FALSE)*VLOOKUP(Sheet1!$A1145,Sheet2!$B$5:$H$29,5,FALSE),0)</x:f>
        <x:v>0</x:v>
      </x:c>
      <x:c r="G1145">
        <x:f>ROUND($C1145*10*VLOOKUP($B1145,Sheet2!$J$5:$K$7,2,FALSE)*VLOOKUP(Sheet1!$A1145,Sheet2!$B$5:$H$29,6,FALSE),0)</x:f>
        <x:v>0</x:v>
      </x:c>
      <x:c r="H1145">
        <x:f>ROUND($C1145*10*VLOOKUP($B1145,Sheet2!$J$5:$K$7,2,FALSE)*VLOOKUP(Sheet1!$A1145,Sheet2!$B$5:$H$29,7,FALSE),0)</x:f>
        <x:v>0</x:v>
      </x:c>
      <x:c r="I1145">
        <x:f t="shared" si="19"/>
        <x:v>360</x:v>
      </x:c>
    </x:row>
    <x:row r="1146" spans="1:9" x14ac:dyDescent="0.15">
      <x:c r="A1146">
        <x:v>54052</x:v>
      </x:c>
      <x:c r="B1146">
        <x:v>2</x:v>
      </x:c>
      <x:c r="C1146">
        <x:v>5</x:v>
      </x:c>
      <x:c r="D1146">
        <x:f>ROUND($C1146*10*VLOOKUP($B1146,Sheet2!$J$5:$K$7,2,FALSE)*VLOOKUP(Sheet1!$A1146,Sheet2!$B$5:$H$29,3,FALSE),0)</x:f>
        <x:v>0</x:v>
      </x:c>
      <x:c r="E1146">
        <x:f>ROUND($C1146*10*VLOOKUP($B1146,Sheet2!$J$5:$K$7,2,FALSE)*VLOOKUP(Sheet1!$A1146,Sheet2!$B$5:$H$29,4,FALSE),0)</x:f>
        <x:v>60</x:v>
      </x:c>
      <x:c r="F1146">
        <x:f>ROUND($C1146*10*VLOOKUP($B1146,Sheet2!$J$5:$K$7,2,FALSE)*VLOOKUP(Sheet1!$A1146,Sheet2!$B$5:$H$29,5,FALSE),0)</x:f>
        <x:v>0</x:v>
      </x:c>
      <x:c r="G1146">
        <x:f>ROUND($C1146*10*VLOOKUP($B1146,Sheet2!$J$5:$K$7,2,FALSE)*VLOOKUP(Sheet1!$A1146,Sheet2!$B$5:$H$29,6,FALSE),0)</x:f>
        <x:v>0</x:v>
      </x:c>
      <x:c r="H1146">
        <x:f>ROUND($C1146*10*VLOOKUP($B1146,Sheet2!$J$5:$K$7,2,FALSE)*VLOOKUP(Sheet1!$A1146,Sheet2!$B$5:$H$29,7,FALSE),0)</x:f>
        <x:v>0</x:v>
      </x:c>
      <x:c r="I1146">
        <x:f t="shared" si="19"/>
        <x:v>570</x:v>
      </x:c>
    </x:row>
    <x:row r="1147" spans="1:9" x14ac:dyDescent="0.15">
      <x:c r="A1147">
        <x:v>54052</x:v>
      </x:c>
      <x:c r="B1147">
        <x:v>2</x:v>
      </x:c>
      <x:c r="C1147">
        <x:v>6</x:v>
      </x:c>
      <x:c r="D1147">
        <x:f>ROUND($C1147*10*VLOOKUP($B1147,Sheet2!$J$5:$K$7,2,FALSE)*VLOOKUP(Sheet1!$A1147,Sheet2!$B$5:$H$29,3,FALSE),0)</x:f>
        <x:v>0</x:v>
      </x:c>
      <x:c r="E1147">
        <x:f>ROUND($C1147*10*VLOOKUP($B1147,Sheet2!$J$5:$K$7,2,FALSE)*VLOOKUP(Sheet1!$A1147,Sheet2!$B$5:$H$29,4,FALSE),0)</x:f>
        <x:v>72</x:v>
      </x:c>
      <x:c r="F1147">
        <x:f>ROUND($C1147*10*VLOOKUP($B1147,Sheet2!$J$5:$K$7,2,FALSE)*VLOOKUP(Sheet1!$A1147,Sheet2!$B$5:$H$29,5,FALSE),0)</x:f>
        <x:v>0</x:v>
      </x:c>
      <x:c r="G1147">
        <x:f>ROUND($C1147*10*VLOOKUP($B1147,Sheet2!$J$5:$K$7,2,FALSE)*VLOOKUP(Sheet1!$A1147,Sheet2!$B$5:$H$29,6,FALSE),0)</x:f>
        <x:v>0</x:v>
      </x:c>
      <x:c r="H1147">
        <x:f>ROUND($C1147*10*VLOOKUP($B1147,Sheet2!$J$5:$K$7,2,FALSE)*VLOOKUP(Sheet1!$A1147,Sheet2!$B$5:$H$29,7,FALSE),0)</x:f>
        <x:v>0</x:v>
      </x:c>
      <x:c r="I1147">
        <x:f t="shared" si="19"/>
        <x:v>820</x:v>
      </x:c>
    </x:row>
    <x:row r="1148" spans="1:9" x14ac:dyDescent="0.15">
      <x:c r="A1148">
        <x:v>54052</x:v>
      </x:c>
      <x:c r="B1148">
        <x:v>2</x:v>
      </x:c>
      <x:c r="C1148">
        <x:v>7</x:v>
      </x:c>
      <x:c r="D1148">
        <x:f>ROUND($C1148*10*VLOOKUP($B1148,Sheet2!$J$5:$K$7,2,FALSE)*VLOOKUP(Sheet1!$A1148,Sheet2!$B$5:$H$29,3,FALSE),0)</x:f>
        <x:v>0</x:v>
      </x:c>
      <x:c r="E1148">
        <x:f>ROUND($C1148*10*VLOOKUP($B1148,Sheet2!$J$5:$K$7,2,FALSE)*VLOOKUP(Sheet1!$A1148,Sheet2!$B$5:$H$29,4,FALSE),0)</x:f>
        <x:v>84</x:v>
      </x:c>
      <x:c r="F1148">
        <x:f>ROUND($C1148*10*VLOOKUP($B1148,Sheet2!$J$5:$K$7,2,FALSE)*VLOOKUP(Sheet1!$A1148,Sheet2!$B$5:$H$29,5,FALSE),0)</x:f>
        <x:v>0</x:v>
      </x:c>
      <x:c r="G1148">
        <x:f>ROUND($C1148*10*VLOOKUP($B1148,Sheet2!$J$5:$K$7,2,FALSE)*VLOOKUP(Sheet1!$A1148,Sheet2!$B$5:$H$29,6,FALSE),0)</x:f>
        <x:v>0</x:v>
      </x:c>
      <x:c r="H1148">
        <x:f>ROUND($C1148*10*VLOOKUP($B1148,Sheet2!$J$5:$K$7,2,FALSE)*VLOOKUP(Sheet1!$A1148,Sheet2!$B$5:$H$29,7,FALSE),0)</x:f>
        <x:v>0</x:v>
      </x:c>
      <x:c r="I1148">
        <x:f t="shared" si="19"/>
        <x:v>1120</x:v>
      </x:c>
    </x:row>
    <x:row r="1149" spans="1:9" x14ac:dyDescent="0.15">
      <x:c r="A1149">
        <x:v>54052</x:v>
      </x:c>
      <x:c r="B1149">
        <x:v>2</x:v>
      </x:c>
      <x:c r="C1149">
        <x:v>8</x:v>
      </x:c>
      <x:c r="D1149">
        <x:f>ROUND($C1149*10*VLOOKUP($B1149,Sheet2!$J$5:$K$7,2,FALSE)*VLOOKUP(Sheet1!$A1149,Sheet2!$B$5:$H$29,3,FALSE),0)</x:f>
        <x:v>0</x:v>
      </x:c>
      <x:c r="E1149">
        <x:f>ROUND($C1149*10*VLOOKUP($B1149,Sheet2!$J$5:$K$7,2,FALSE)*VLOOKUP(Sheet1!$A1149,Sheet2!$B$5:$H$29,4,FALSE),0)</x:f>
        <x:v>96</x:v>
      </x:c>
      <x:c r="F1149">
        <x:f>ROUND($C1149*10*VLOOKUP($B1149,Sheet2!$J$5:$K$7,2,FALSE)*VLOOKUP(Sheet1!$A1149,Sheet2!$B$5:$H$29,5,FALSE),0)</x:f>
        <x:v>0</x:v>
      </x:c>
      <x:c r="G1149">
        <x:f>ROUND($C1149*10*VLOOKUP($B1149,Sheet2!$J$5:$K$7,2,FALSE)*VLOOKUP(Sheet1!$A1149,Sheet2!$B$5:$H$29,6,FALSE),0)</x:f>
        <x:v>0</x:v>
      </x:c>
      <x:c r="H1149">
        <x:f>ROUND($C1149*10*VLOOKUP($B1149,Sheet2!$J$5:$K$7,2,FALSE)*VLOOKUP(Sheet1!$A1149,Sheet2!$B$5:$H$29,7,FALSE),0)</x:f>
        <x:v>0</x:v>
      </x:c>
      <x:c r="I1149">
        <x:f t="shared" si="19"/>
        <x:v>1450</x:v>
      </x:c>
    </x:row>
    <x:row r="1150" spans="1:9" x14ac:dyDescent="0.15">
      <x:c r="A1150">
        <x:v>54052</x:v>
      </x:c>
      <x:c r="B1150">
        <x:v>2</x:v>
      </x:c>
      <x:c r="C1150">
        <x:v>9</x:v>
      </x:c>
      <x:c r="D1150">
        <x:f>ROUND($C1150*10*VLOOKUP($B1150,Sheet2!$J$5:$K$7,2,FALSE)*VLOOKUP(Sheet1!$A1150,Sheet2!$B$5:$H$29,3,FALSE),0)</x:f>
        <x:v>0</x:v>
      </x:c>
      <x:c r="E1150">
        <x:f>ROUND($C1150*10*VLOOKUP($B1150,Sheet2!$J$5:$K$7,2,FALSE)*VLOOKUP(Sheet1!$A1150,Sheet2!$B$5:$H$29,4,FALSE),0)</x:f>
        <x:v>108</x:v>
      </x:c>
      <x:c r="F1150">
        <x:f>ROUND($C1150*10*VLOOKUP($B1150,Sheet2!$J$5:$K$7,2,FALSE)*VLOOKUP(Sheet1!$A1150,Sheet2!$B$5:$H$29,5,FALSE),0)</x:f>
        <x:v>0</x:v>
      </x:c>
      <x:c r="G1150">
        <x:f>ROUND($C1150*10*VLOOKUP($B1150,Sheet2!$J$5:$K$7,2,FALSE)*VLOOKUP(Sheet1!$A1150,Sheet2!$B$5:$H$29,6,FALSE),0)</x:f>
        <x:v>0</x:v>
      </x:c>
      <x:c r="H1150">
        <x:f>ROUND($C1150*10*VLOOKUP($B1150,Sheet2!$J$5:$K$7,2,FALSE)*VLOOKUP(Sheet1!$A1150,Sheet2!$B$5:$H$29,7,FALSE),0)</x:f>
        <x:v>0</x:v>
      </x:c>
      <x:c r="I1150">
        <x:f t="shared" si="19"/>
        <x:v>1830</x:v>
      </x:c>
    </x:row>
    <x:row r="1151" spans="1:9" x14ac:dyDescent="0.15">
      <x:c r="A1151">
        <x:v>54052</x:v>
      </x:c>
      <x:c r="B1151">
        <x:v>2</x:v>
      </x:c>
      <x:c r="C1151">
        <x:v>10</x:v>
      </x:c>
      <x:c r="D1151">
        <x:f>ROUND($C1151*10*VLOOKUP($B1151,Sheet2!$J$5:$K$7,2,FALSE)*VLOOKUP(Sheet1!$A1151,Sheet2!$B$5:$H$29,3,FALSE),0)</x:f>
        <x:v>0</x:v>
      </x:c>
      <x:c r="E1151">
        <x:f>ROUND($C1151*10*VLOOKUP($B1151,Sheet2!$J$5:$K$7,2,FALSE)*VLOOKUP(Sheet1!$A1151,Sheet2!$B$5:$H$29,4,FALSE),0)</x:f>
        <x:v>120</x:v>
      </x:c>
      <x:c r="F1151">
        <x:f>ROUND($C1151*10*VLOOKUP($B1151,Sheet2!$J$5:$K$7,2,FALSE)*VLOOKUP(Sheet1!$A1151,Sheet2!$B$5:$H$29,5,FALSE),0)</x:f>
        <x:v>0</x:v>
      </x:c>
      <x:c r="G1151">
        <x:f>ROUND($C1151*10*VLOOKUP($B1151,Sheet2!$J$5:$K$7,2,FALSE)*VLOOKUP(Sheet1!$A1151,Sheet2!$B$5:$H$29,6,FALSE),0)</x:f>
        <x:v>0</x:v>
      </x:c>
      <x:c r="H1151">
        <x:f>ROUND($C1151*10*VLOOKUP($B1151,Sheet2!$J$5:$K$7,2,FALSE)*VLOOKUP(Sheet1!$A1151,Sheet2!$B$5:$H$29,7,FALSE),0)</x:f>
        <x:v>0</x:v>
      </x:c>
      <x:c r="I1151">
        <x:f t="shared" si="19"/>
        <x:v>2250</x:v>
      </x:c>
    </x:row>
    <x:row r="1152" spans="1:9" x14ac:dyDescent="0.15">
      <x:c r="A1152">
        <x:v>54052</x:v>
      </x:c>
      <x:c r="B1152">
        <x:v>2</x:v>
      </x:c>
      <x:c r="C1152">
        <x:v>11</x:v>
      </x:c>
      <x:c r="D1152">
        <x:f>ROUND($C1152*10*VLOOKUP($B1152,Sheet2!$J$5:$K$7,2,FALSE)*VLOOKUP(Sheet1!$A1152,Sheet2!$B$5:$H$29,3,FALSE),0)</x:f>
        <x:v>0</x:v>
      </x:c>
      <x:c r="E1152">
        <x:f>ROUND($C1152*10*VLOOKUP($B1152,Sheet2!$J$5:$K$7,2,FALSE)*VLOOKUP(Sheet1!$A1152,Sheet2!$B$5:$H$29,4,FALSE),0)</x:f>
        <x:v>132</x:v>
      </x:c>
      <x:c r="F1152">
        <x:f>ROUND($C1152*10*VLOOKUP($B1152,Sheet2!$J$5:$K$7,2,FALSE)*VLOOKUP(Sheet1!$A1152,Sheet2!$B$5:$H$29,5,FALSE),0)</x:f>
        <x:v>0</x:v>
      </x:c>
      <x:c r="G1152">
        <x:f>ROUND($C1152*10*VLOOKUP($B1152,Sheet2!$J$5:$K$7,2,FALSE)*VLOOKUP(Sheet1!$A1152,Sheet2!$B$5:$H$29,6,FALSE),0)</x:f>
        <x:v>0</x:v>
      </x:c>
      <x:c r="H1152">
        <x:f>ROUND($C1152*10*VLOOKUP($B1152,Sheet2!$J$5:$K$7,2,FALSE)*VLOOKUP(Sheet1!$A1152,Sheet2!$B$5:$H$29,7,FALSE),0)</x:f>
        <x:v>0</x:v>
      </x:c>
      <x:c r="I1152">
        <x:f t="shared" si="19"/>
        <x:v>2710</x:v>
      </x:c>
    </x:row>
    <x:row r="1153" spans="1:9" x14ac:dyDescent="0.15">
      <x:c r="A1153">
        <x:v>54052</x:v>
      </x:c>
      <x:c r="B1153">
        <x:v>2</x:v>
      </x:c>
      <x:c r="C1153">
        <x:v>12</x:v>
      </x:c>
      <x:c r="D1153">
        <x:f>ROUND($C1153*10*VLOOKUP($B1153,Sheet2!$J$5:$K$7,2,FALSE)*VLOOKUP(Sheet1!$A1153,Sheet2!$B$5:$H$29,3,FALSE),0)</x:f>
        <x:v>0</x:v>
      </x:c>
      <x:c r="E1153">
        <x:f>ROUND($C1153*10*VLOOKUP($B1153,Sheet2!$J$5:$K$7,2,FALSE)*VLOOKUP(Sheet1!$A1153,Sheet2!$B$5:$H$29,4,FALSE),0)</x:f>
        <x:v>144</x:v>
      </x:c>
      <x:c r="F1153">
        <x:f>ROUND($C1153*10*VLOOKUP($B1153,Sheet2!$J$5:$K$7,2,FALSE)*VLOOKUP(Sheet1!$A1153,Sheet2!$B$5:$H$29,5,FALSE),0)</x:f>
        <x:v>0</x:v>
      </x:c>
      <x:c r="G1153">
        <x:f>ROUND($C1153*10*VLOOKUP($B1153,Sheet2!$J$5:$K$7,2,FALSE)*VLOOKUP(Sheet1!$A1153,Sheet2!$B$5:$H$29,6,FALSE),0)</x:f>
        <x:v>0</x:v>
      </x:c>
      <x:c r="H1153">
        <x:f>ROUND($C1153*10*VLOOKUP($B1153,Sheet2!$J$5:$K$7,2,FALSE)*VLOOKUP(Sheet1!$A1153,Sheet2!$B$5:$H$29,7,FALSE),0)</x:f>
        <x:v>0</x:v>
      </x:c>
      <x:c r="I1153">
        <x:f t="shared" si="19"/>
        <x:v>3210</x:v>
      </x:c>
    </x:row>
    <x:row r="1154" spans="1:9" x14ac:dyDescent="0.15">
      <x:c r="A1154">
        <x:v>54052</x:v>
      </x:c>
      <x:c r="B1154">
        <x:v>2</x:v>
      </x:c>
      <x:c r="C1154">
        <x:v>13</x:v>
      </x:c>
      <x:c r="D1154">
        <x:f>ROUND($C1154*10*VLOOKUP($B1154,Sheet2!$J$5:$K$7,2,FALSE)*VLOOKUP(Sheet1!$A1154,Sheet2!$B$5:$H$29,3,FALSE),0)</x:f>
        <x:v>0</x:v>
      </x:c>
      <x:c r="E1154">
        <x:f>ROUND($C1154*10*VLOOKUP($B1154,Sheet2!$J$5:$K$7,2,FALSE)*VLOOKUP(Sheet1!$A1154,Sheet2!$B$5:$H$29,4,FALSE),0)</x:f>
        <x:v>156</x:v>
      </x:c>
      <x:c r="F1154">
        <x:f>ROUND($C1154*10*VLOOKUP($B1154,Sheet2!$J$5:$K$7,2,FALSE)*VLOOKUP(Sheet1!$A1154,Sheet2!$B$5:$H$29,5,FALSE),0)</x:f>
        <x:v>0</x:v>
      </x:c>
      <x:c r="G1154">
        <x:f>ROUND($C1154*10*VLOOKUP($B1154,Sheet2!$J$5:$K$7,2,FALSE)*VLOOKUP(Sheet1!$A1154,Sheet2!$B$5:$H$29,6,FALSE),0)</x:f>
        <x:v>0</x:v>
      </x:c>
      <x:c r="H1154">
        <x:f>ROUND($C1154*10*VLOOKUP($B1154,Sheet2!$J$5:$K$7,2,FALSE)*VLOOKUP(Sheet1!$A1154,Sheet2!$B$5:$H$29,7,FALSE),0)</x:f>
        <x:v>0</x:v>
      </x:c>
      <x:c r="I1154">
        <x:f t="shared" si="19"/>
        <x:v>3740</x:v>
      </x:c>
    </x:row>
    <x:row r="1155" spans="1:9" x14ac:dyDescent="0.15">
      <x:c r="A1155">
        <x:v>54052</x:v>
      </x:c>
      <x:c r="B1155">
        <x:v>2</x:v>
      </x:c>
      <x:c r="C1155">
        <x:v>14</x:v>
      </x:c>
      <x:c r="D1155">
        <x:f>ROUND($C1155*10*VLOOKUP($B1155,Sheet2!$J$5:$K$7,2,FALSE)*VLOOKUP(Sheet1!$A1155,Sheet2!$B$5:$H$29,3,FALSE),0)</x:f>
        <x:v>0</x:v>
      </x:c>
      <x:c r="E1155">
        <x:f>ROUND($C1155*10*VLOOKUP($B1155,Sheet2!$J$5:$K$7,2,FALSE)*VLOOKUP(Sheet1!$A1155,Sheet2!$B$5:$H$29,4,FALSE),0)</x:f>
        <x:v>168</x:v>
      </x:c>
      <x:c r="F1155">
        <x:f>ROUND($C1155*10*VLOOKUP($B1155,Sheet2!$J$5:$K$7,2,FALSE)*VLOOKUP(Sheet1!$A1155,Sheet2!$B$5:$H$29,5,FALSE),0)</x:f>
        <x:v>0</x:v>
      </x:c>
      <x:c r="G1155">
        <x:f>ROUND($C1155*10*VLOOKUP($B1155,Sheet2!$J$5:$K$7,2,FALSE)*VLOOKUP(Sheet1!$A1155,Sheet2!$B$5:$H$29,6,FALSE),0)</x:f>
        <x:v>0</x:v>
      </x:c>
      <x:c r="H1155">
        <x:f>ROUND($C1155*10*VLOOKUP($B1155,Sheet2!$J$5:$K$7,2,FALSE)*VLOOKUP(Sheet1!$A1155,Sheet2!$B$5:$H$29,7,FALSE),0)</x:f>
        <x:v>0</x:v>
      </x:c>
      <x:c r="I1155">
        <x:f t="shared" si="19"/>
        <x:v>4310</x:v>
      </x:c>
    </x:row>
    <x:row r="1156" spans="1:9" x14ac:dyDescent="0.15">
      <x:c r="A1156">
        <x:v>54052</x:v>
      </x:c>
      <x:c r="B1156">
        <x:v>2</x:v>
      </x:c>
      <x:c r="C1156">
        <x:v>15</x:v>
      </x:c>
      <x:c r="D1156">
        <x:f>ROUND($C1156*10*VLOOKUP($B1156,Sheet2!$J$5:$K$7,2,FALSE)*VLOOKUP(Sheet1!$A1156,Sheet2!$B$5:$H$29,3,FALSE),0)</x:f>
        <x:v>0</x:v>
      </x:c>
      <x:c r="E1156">
        <x:f>ROUND($C1156*10*VLOOKUP($B1156,Sheet2!$J$5:$K$7,2,FALSE)*VLOOKUP(Sheet1!$A1156,Sheet2!$B$5:$H$29,4,FALSE),0)</x:f>
        <x:v>180</x:v>
      </x:c>
      <x:c r="F1156">
        <x:f>ROUND($C1156*10*VLOOKUP($B1156,Sheet2!$J$5:$K$7,2,FALSE)*VLOOKUP(Sheet1!$A1156,Sheet2!$B$5:$H$29,5,FALSE),0)</x:f>
        <x:v>0</x:v>
      </x:c>
      <x:c r="G1156">
        <x:f>ROUND($C1156*10*VLOOKUP($B1156,Sheet2!$J$5:$K$7,2,FALSE)*VLOOKUP(Sheet1!$A1156,Sheet2!$B$5:$H$29,6,FALSE),0)</x:f>
        <x:v>0</x:v>
      </x:c>
      <x:c r="H1156">
        <x:f>ROUND($C1156*10*VLOOKUP($B1156,Sheet2!$J$5:$K$7,2,FALSE)*VLOOKUP(Sheet1!$A1156,Sheet2!$B$5:$H$29,7,FALSE),0)</x:f>
        <x:v>0</x:v>
      </x:c>
      <x:c r="I1156">
        <x:f t="shared" si="19"/>
        <x:v>4920</x:v>
      </x:c>
    </x:row>
    <x:row r="1157" spans="1:9" x14ac:dyDescent="0.15">
      <x:c r="A1157">
        <x:v>54052</x:v>
      </x:c>
      <x:c r="B1157">
        <x:v>2</x:v>
      </x:c>
      <x:c r="C1157">
        <x:v>16</x:v>
      </x:c>
      <x:c r="D1157">
        <x:f>ROUND($C1157*10*VLOOKUP($B1157,Sheet2!$J$5:$K$7,2,FALSE)*VLOOKUP(Sheet1!$A1157,Sheet2!$B$5:$H$29,3,FALSE),0)</x:f>
        <x:v>0</x:v>
      </x:c>
      <x:c r="E1157">
        <x:f>ROUND($C1157*10*VLOOKUP($B1157,Sheet2!$J$5:$K$7,2,FALSE)*VLOOKUP(Sheet1!$A1157,Sheet2!$B$5:$H$29,4,FALSE),0)</x:f>
        <x:v>192</x:v>
      </x:c>
      <x:c r="F1157">
        <x:f>ROUND($C1157*10*VLOOKUP($B1157,Sheet2!$J$5:$K$7,2,FALSE)*VLOOKUP(Sheet1!$A1157,Sheet2!$B$5:$H$29,5,FALSE),0)</x:f>
        <x:v>0</x:v>
      </x:c>
      <x:c r="G1157">
        <x:f>ROUND($C1157*10*VLOOKUP($B1157,Sheet2!$J$5:$K$7,2,FALSE)*VLOOKUP(Sheet1!$A1157,Sheet2!$B$5:$H$29,6,FALSE),0)</x:f>
        <x:v>0</x:v>
      </x:c>
      <x:c r="H1157">
        <x:f>ROUND($C1157*10*VLOOKUP($B1157,Sheet2!$J$5:$K$7,2,FALSE)*VLOOKUP(Sheet1!$A1157,Sheet2!$B$5:$H$29,7,FALSE),0)</x:f>
        <x:v>0</x:v>
      </x:c>
      <x:c r="I1157">
        <x:f t="shared" si="19"/>
        <x:v>5560</x:v>
      </x:c>
    </x:row>
    <x:row r="1158" spans="1:9" x14ac:dyDescent="0.15">
      <x:c r="A1158">
        <x:v>54052</x:v>
      </x:c>
      <x:c r="B1158">
        <x:v>2</x:v>
      </x:c>
      <x:c r="C1158">
        <x:v>17</x:v>
      </x:c>
      <x:c r="D1158">
        <x:f>ROUND($C1158*10*VLOOKUP($B1158,Sheet2!$J$5:$K$7,2,FALSE)*VLOOKUP(Sheet1!$A1158,Sheet2!$B$5:$H$29,3,FALSE),0)</x:f>
        <x:v>0</x:v>
      </x:c>
      <x:c r="E1158">
        <x:f>ROUND($C1158*10*VLOOKUP($B1158,Sheet2!$J$5:$K$7,2,FALSE)*VLOOKUP(Sheet1!$A1158,Sheet2!$B$5:$H$29,4,FALSE),0)</x:f>
        <x:v>204</x:v>
      </x:c>
      <x:c r="F1158">
        <x:f>ROUND($C1158*10*VLOOKUP($B1158,Sheet2!$J$5:$K$7,2,FALSE)*VLOOKUP(Sheet1!$A1158,Sheet2!$B$5:$H$29,5,FALSE),0)</x:f>
        <x:v>0</x:v>
      </x:c>
      <x:c r="G1158">
        <x:f>ROUND($C1158*10*VLOOKUP($B1158,Sheet2!$J$5:$K$7,2,FALSE)*VLOOKUP(Sheet1!$A1158,Sheet2!$B$5:$H$29,6,FALSE),0)</x:f>
        <x:v>0</x:v>
      </x:c>
      <x:c r="H1158">
        <x:f>ROUND($C1158*10*VLOOKUP($B1158,Sheet2!$J$5:$K$7,2,FALSE)*VLOOKUP(Sheet1!$A1158,Sheet2!$B$5:$H$29,7,FALSE),0)</x:f>
        <x:v>0</x:v>
      </x:c>
      <x:c r="I1158">
        <x:f t="shared" si="19"/>
        <x:v>6240</x:v>
      </x:c>
    </x:row>
    <x:row r="1159" spans="1:9" x14ac:dyDescent="0.15">
      <x:c r="A1159">
        <x:v>54052</x:v>
      </x:c>
      <x:c r="B1159">
        <x:v>2</x:v>
      </x:c>
      <x:c r="C1159">
        <x:v>18</x:v>
      </x:c>
      <x:c r="D1159">
        <x:f>ROUND($C1159*10*VLOOKUP($B1159,Sheet2!$J$5:$K$7,2,FALSE)*VLOOKUP(Sheet1!$A1159,Sheet2!$B$5:$H$29,3,FALSE),0)</x:f>
        <x:v>0</x:v>
      </x:c>
      <x:c r="E1159">
        <x:f>ROUND($C1159*10*VLOOKUP($B1159,Sheet2!$J$5:$K$7,2,FALSE)*VLOOKUP(Sheet1!$A1159,Sheet2!$B$5:$H$29,4,FALSE),0)</x:f>
        <x:v>216</x:v>
      </x:c>
      <x:c r="F1159">
        <x:f>ROUND($C1159*10*VLOOKUP($B1159,Sheet2!$J$5:$K$7,2,FALSE)*VLOOKUP(Sheet1!$A1159,Sheet2!$B$5:$H$29,5,FALSE),0)</x:f>
        <x:v>0</x:v>
      </x:c>
      <x:c r="G1159">
        <x:f>ROUND($C1159*10*VLOOKUP($B1159,Sheet2!$J$5:$K$7,2,FALSE)*VLOOKUP(Sheet1!$A1159,Sheet2!$B$5:$H$29,6,FALSE),0)</x:f>
        <x:v>0</x:v>
      </x:c>
      <x:c r="H1159">
        <x:f>ROUND($C1159*10*VLOOKUP($B1159,Sheet2!$J$5:$K$7,2,FALSE)*VLOOKUP(Sheet1!$A1159,Sheet2!$B$5:$H$29,7,FALSE),0)</x:f>
        <x:v>0</x:v>
      </x:c>
      <x:c r="I1159">
        <x:f t="shared" si="19"/>
        <x:v>6950</x:v>
      </x:c>
    </x:row>
    <x:row r="1160" spans="1:9" x14ac:dyDescent="0.15">
      <x:c r="A1160">
        <x:v>54052</x:v>
      </x:c>
      <x:c r="B1160">
        <x:v>2</x:v>
      </x:c>
      <x:c r="C1160">
        <x:v>19</x:v>
      </x:c>
      <x:c r="D1160">
        <x:f>ROUND($C1160*10*VLOOKUP($B1160,Sheet2!$J$5:$K$7,2,FALSE)*VLOOKUP(Sheet1!$A1160,Sheet2!$B$5:$H$29,3,FALSE),0)</x:f>
        <x:v>0</x:v>
      </x:c>
      <x:c r="E1160">
        <x:f>ROUND($C1160*10*VLOOKUP($B1160,Sheet2!$J$5:$K$7,2,FALSE)*VLOOKUP(Sheet1!$A1160,Sheet2!$B$5:$H$29,4,FALSE),0)</x:f>
        <x:v>228</x:v>
      </x:c>
      <x:c r="F1160">
        <x:f>ROUND($C1160*10*VLOOKUP($B1160,Sheet2!$J$5:$K$7,2,FALSE)*VLOOKUP(Sheet1!$A1160,Sheet2!$B$5:$H$29,5,FALSE),0)</x:f>
        <x:v>0</x:v>
      </x:c>
      <x:c r="G1160">
        <x:f>ROUND($C1160*10*VLOOKUP($B1160,Sheet2!$J$5:$K$7,2,FALSE)*VLOOKUP(Sheet1!$A1160,Sheet2!$B$5:$H$29,6,FALSE),0)</x:f>
        <x:v>0</x:v>
      </x:c>
      <x:c r="H1160">
        <x:f>ROUND($C1160*10*VLOOKUP($B1160,Sheet2!$J$5:$K$7,2,FALSE)*VLOOKUP(Sheet1!$A1160,Sheet2!$B$5:$H$29,7,FALSE),0)</x:f>
        <x:v>0</x:v>
      </x:c>
      <x:c r="I1160">
        <x:f t="shared" si="19"/>
        <x:v>7690</x:v>
      </x:c>
    </x:row>
    <x:row r="1161" spans="1:9" x14ac:dyDescent="0.15">
      <x:c r="A1161">
        <x:v>54052</x:v>
      </x:c>
      <x:c r="B1161">
        <x:v>2</x:v>
      </x:c>
      <x:c r="C1161">
        <x:v>20</x:v>
      </x:c>
      <x:c r="D1161">
        <x:f>ROUND($C1161*10*VLOOKUP($B1161,Sheet2!$J$5:$K$7,2,FALSE)*VLOOKUP(Sheet1!$A1161,Sheet2!$B$5:$H$29,3,FALSE),0)</x:f>
        <x:v>0</x:v>
      </x:c>
      <x:c r="E1161">
        <x:f>ROUND($C1161*10*VLOOKUP($B1161,Sheet2!$J$5:$K$7,2,FALSE)*VLOOKUP(Sheet1!$A1161,Sheet2!$B$5:$H$29,4,FALSE),0)</x:f>
        <x:v>240</x:v>
      </x:c>
      <x:c r="F1161">
        <x:f>ROUND($C1161*10*VLOOKUP($B1161,Sheet2!$J$5:$K$7,2,FALSE)*VLOOKUP(Sheet1!$A1161,Sheet2!$B$5:$H$29,5,FALSE),0)</x:f>
        <x:v>0</x:v>
      </x:c>
      <x:c r="G1161">
        <x:f>ROUND($C1161*10*VLOOKUP($B1161,Sheet2!$J$5:$K$7,2,FALSE)*VLOOKUP(Sheet1!$A1161,Sheet2!$B$5:$H$29,6,FALSE),0)</x:f>
        <x:v>0</x:v>
      </x:c>
      <x:c r="H1161">
        <x:f>ROUND($C1161*10*VLOOKUP($B1161,Sheet2!$J$5:$K$7,2,FALSE)*VLOOKUP(Sheet1!$A1161,Sheet2!$B$5:$H$29,7,FALSE),0)</x:f>
        <x:v>0</x:v>
      </x:c>
      <x:c r="I1161">
        <x:f t="shared" si="19"/>
        <x:v>8470</x:v>
      </x:c>
    </x:row>
    <x:row r="1162" spans="1:9" x14ac:dyDescent="0.15">
      <x:c r="A1162">
        <x:v>54052</x:v>
      </x:c>
      <x:c r="B1162">
        <x:v>2</x:v>
      </x:c>
      <x:c r="C1162">
        <x:v>21</x:v>
      </x:c>
      <x:c r="D1162">
        <x:f>ROUND($C1162*10*VLOOKUP($B1162,Sheet2!$J$5:$K$7,2,FALSE)*VLOOKUP(Sheet1!$A1162,Sheet2!$B$5:$H$29,3,FALSE),0)</x:f>
        <x:v>0</x:v>
      </x:c>
      <x:c r="E1162">
        <x:f>ROUND($C1162*10*VLOOKUP($B1162,Sheet2!$J$5:$K$7,2,FALSE)*VLOOKUP(Sheet1!$A1162,Sheet2!$B$5:$H$29,4,FALSE),0)</x:f>
        <x:v>252</x:v>
      </x:c>
      <x:c r="F1162">
        <x:f>ROUND($C1162*10*VLOOKUP($B1162,Sheet2!$J$5:$K$7,2,FALSE)*VLOOKUP(Sheet1!$A1162,Sheet2!$B$5:$H$29,5,FALSE),0)</x:f>
        <x:v>0</x:v>
      </x:c>
      <x:c r="G1162">
        <x:f>ROUND($C1162*10*VLOOKUP($B1162,Sheet2!$J$5:$K$7,2,FALSE)*VLOOKUP(Sheet1!$A1162,Sheet2!$B$5:$H$29,6,FALSE),0)</x:f>
        <x:v>0</x:v>
      </x:c>
      <x:c r="H1162">
        <x:f>ROUND($C1162*10*VLOOKUP($B1162,Sheet2!$J$5:$K$7,2,FALSE)*VLOOKUP(Sheet1!$A1162,Sheet2!$B$5:$H$29,7,FALSE),0)</x:f>
        <x:v>0</x:v>
      </x:c>
      <x:c r="I1162">
        <x:f t="shared" si="19"/>
        <x:v>9290</x:v>
      </x:c>
    </x:row>
    <x:row r="1163" spans="1:9" x14ac:dyDescent="0.15">
      <x:c r="A1163">
        <x:v>54052</x:v>
      </x:c>
      <x:c r="B1163">
        <x:v>2</x:v>
      </x:c>
      <x:c r="C1163">
        <x:v>22</x:v>
      </x:c>
      <x:c r="D1163">
        <x:f>ROUND($C1163*10*VLOOKUP($B1163,Sheet2!$J$5:$K$7,2,FALSE)*VLOOKUP(Sheet1!$A1163,Sheet2!$B$5:$H$29,3,FALSE),0)</x:f>
        <x:v>0</x:v>
      </x:c>
      <x:c r="E1163">
        <x:f>ROUND($C1163*10*VLOOKUP($B1163,Sheet2!$J$5:$K$7,2,FALSE)*VLOOKUP(Sheet1!$A1163,Sheet2!$B$5:$H$29,4,FALSE),0)</x:f>
        <x:v>264</x:v>
      </x:c>
      <x:c r="F1163">
        <x:f>ROUND($C1163*10*VLOOKUP($B1163,Sheet2!$J$5:$K$7,2,FALSE)*VLOOKUP(Sheet1!$A1163,Sheet2!$B$5:$H$29,5,FALSE),0)</x:f>
        <x:v>0</x:v>
      </x:c>
      <x:c r="G1163">
        <x:f>ROUND($C1163*10*VLOOKUP($B1163,Sheet2!$J$5:$K$7,2,FALSE)*VLOOKUP(Sheet1!$A1163,Sheet2!$B$5:$H$29,6,FALSE),0)</x:f>
        <x:v>0</x:v>
      </x:c>
      <x:c r="H1163">
        <x:f>ROUND($C1163*10*VLOOKUP($B1163,Sheet2!$J$5:$K$7,2,FALSE)*VLOOKUP(Sheet1!$A1163,Sheet2!$B$5:$H$29,7,FALSE),0)</x:f>
        <x:v>0</x:v>
      </x:c>
      <x:c r="I1163">
        <x:f t="shared" si="19"/>
        <x:v>10130</x:v>
      </x:c>
    </x:row>
    <x:row r="1164" spans="1:9" x14ac:dyDescent="0.15">
      <x:c r="A1164">
        <x:v>54052</x:v>
      </x:c>
      <x:c r="B1164">
        <x:v>2</x:v>
      </x:c>
      <x:c r="C1164">
        <x:v>23</x:v>
      </x:c>
      <x:c r="D1164">
        <x:f>ROUND($C1164*10*VLOOKUP($B1164,Sheet2!$J$5:$K$7,2,FALSE)*VLOOKUP(Sheet1!$A1164,Sheet2!$B$5:$H$29,3,FALSE),0)</x:f>
        <x:v>0</x:v>
      </x:c>
      <x:c r="E1164">
        <x:f>ROUND($C1164*10*VLOOKUP($B1164,Sheet2!$J$5:$K$7,2,FALSE)*VLOOKUP(Sheet1!$A1164,Sheet2!$B$5:$H$29,4,FALSE),0)</x:f>
        <x:v>276</x:v>
      </x:c>
      <x:c r="F1164">
        <x:f>ROUND($C1164*10*VLOOKUP($B1164,Sheet2!$J$5:$K$7,2,FALSE)*VLOOKUP(Sheet1!$A1164,Sheet2!$B$5:$H$29,5,FALSE),0)</x:f>
        <x:v>0</x:v>
      </x:c>
      <x:c r="G1164">
        <x:f>ROUND($C1164*10*VLOOKUP($B1164,Sheet2!$J$5:$K$7,2,FALSE)*VLOOKUP(Sheet1!$A1164,Sheet2!$B$5:$H$29,6,FALSE),0)</x:f>
        <x:v>0</x:v>
      </x:c>
      <x:c r="H1164">
        <x:f>ROUND($C1164*10*VLOOKUP($B1164,Sheet2!$J$5:$K$7,2,FALSE)*VLOOKUP(Sheet1!$A1164,Sheet2!$B$5:$H$29,7,FALSE),0)</x:f>
        <x:v>0</x:v>
      </x:c>
      <x:c r="I1164">
        <x:f t="shared" si="19"/>
        <x:v>11010</x:v>
      </x:c>
    </x:row>
    <x:row r="1165" spans="1:9" x14ac:dyDescent="0.15">
      <x:c r="A1165">
        <x:v>54052</x:v>
      </x:c>
      <x:c r="B1165">
        <x:v>2</x:v>
      </x:c>
      <x:c r="C1165">
        <x:v>24</x:v>
      </x:c>
      <x:c r="D1165">
        <x:f>ROUND($C1165*10*VLOOKUP($B1165,Sheet2!$J$5:$K$7,2,FALSE)*VLOOKUP(Sheet1!$A1165,Sheet2!$B$5:$H$29,3,FALSE),0)</x:f>
        <x:v>0</x:v>
      </x:c>
      <x:c r="E1165">
        <x:f>ROUND($C1165*10*VLOOKUP($B1165,Sheet2!$J$5:$K$7,2,FALSE)*VLOOKUP(Sheet1!$A1165,Sheet2!$B$5:$H$29,4,FALSE),0)</x:f>
        <x:v>288</x:v>
      </x:c>
      <x:c r="F1165">
        <x:f>ROUND($C1165*10*VLOOKUP($B1165,Sheet2!$J$5:$K$7,2,FALSE)*VLOOKUP(Sheet1!$A1165,Sheet2!$B$5:$H$29,5,FALSE),0)</x:f>
        <x:v>0</x:v>
      </x:c>
      <x:c r="G1165">
        <x:f>ROUND($C1165*10*VLOOKUP($B1165,Sheet2!$J$5:$K$7,2,FALSE)*VLOOKUP(Sheet1!$A1165,Sheet2!$B$5:$H$29,6,FALSE),0)</x:f>
        <x:v>0</x:v>
      </x:c>
      <x:c r="H1165">
        <x:f>ROUND($C1165*10*VLOOKUP($B1165,Sheet2!$J$5:$K$7,2,FALSE)*VLOOKUP(Sheet1!$A1165,Sheet2!$B$5:$H$29,7,FALSE),0)</x:f>
        <x:v>0</x:v>
      </x:c>
      <x:c r="I1165">
        <x:f t="shared" si="19"/>
        <x:v>11930</x:v>
      </x:c>
    </x:row>
    <x:row r="1166" spans="1:9" x14ac:dyDescent="0.15">
      <x:c r="A1166">
        <x:v>54052</x:v>
      </x:c>
      <x:c r="B1166">
        <x:v>2</x:v>
      </x:c>
      <x:c r="C1166">
        <x:v>25</x:v>
      </x:c>
      <x:c r="D1166">
        <x:f>ROUND($C1166*10*VLOOKUP($B1166,Sheet2!$J$5:$K$7,2,FALSE)*VLOOKUP(Sheet1!$A1166,Sheet2!$B$5:$H$29,3,FALSE),0)</x:f>
        <x:v>0</x:v>
      </x:c>
      <x:c r="E1166">
        <x:f>ROUND($C1166*10*VLOOKUP($B1166,Sheet2!$J$5:$K$7,2,FALSE)*VLOOKUP(Sheet1!$A1166,Sheet2!$B$5:$H$29,4,FALSE),0)</x:f>
        <x:v>300</x:v>
      </x:c>
      <x:c r="F1166">
        <x:f>ROUND($C1166*10*VLOOKUP($B1166,Sheet2!$J$5:$K$7,2,FALSE)*VLOOKUP(Sheet1!$A1166,Sheet2!$B$5:$H$29,5,FALSE),0)</x:f>
        <x:v>0</x:v>
      </x:c>
      <x:c r="G1166">
        <x:f>ROUND($C1166*10*VLOOKUP($B1166,Sheet2!$J$5:$K$7,2,FALSE)*VLOOKUP(Sheet1!$A1166,Sheet2!$B$5:$H$29,6,FALSE),0)</x:f>
        <x:v>0</x:v>
      </x:c>
      <x:c r="H1166">
        <x:f>ROUND($C1166*10*VLOOKUP($B1166,Sheet2!$J$5:$K$7,2,FALSE)*VLOOKUP(Sheet1!$A1166,Sheet2!$B$5:$H$29,7,FALSE),0)</x:f>
        <x:v>0</x:v>
      </x:c>
      <x:c r="I1166">
        <x:f t="shared" si="19"/>
        <x:v>12870</x:v>
      </x:c>
    </x:row>
    <x:row r="1167" spans="1:9" x14ac:dyDescent="0.15">
      <x:c r="A1167">
        <x:v>54052</x:v>
      </x:c>
      <x:c r="B1167">
        <x:v>2</x:v>
      </x:c>
      <x:c r="C1167">
        <x:v>26</x:v>
      </x:c>
      <x:c r="D1167">
        <x:f>ROUND($C1167*10*VLOOKUP($B1167,Sheet2!$J$5:$K$7,2,FALSE)*VLOOKUP(Sheet1!$A1167,Sheet2!$B$5:$H$29,3,FALSE),0)</x:f>
        <x:v>0</x:v>
      </x:c>
      <x:c r="E1167">
        <x:f>ROUND($C1167*10*VLOOKUP($B1167,Sheet2!$J$5:$K$7,2,FALSE)*VLOOKUP(Sheet1!$A1167,Sheet2!$B$5:$H$29,4,FALSE),0)</x:f>
        <x:v>312</x:v>
      </x:c>
      <x:c r="F1167">
        <x:f>ROUND($C1167*10*VLOOKUP($B1167,Sheet2!$J$5:$K$7,2,FALSE)*VLOOKUP(Sheet1!$A1167,Sheet2!$B$5:$H$29,5,FALSE),0)</x:f>
        <x:v>0</x:v>
      </x:c>
      <x:c r="G1167">
        <x:f>ROUND($C1167*10*VLOOKUP($B1167,Sheet2!$J$5:$K$7,2,FALSE)*VLOOKUP(Sheet1!$A1167,Sheet2!$B$5:$H$29,6,FALSE),0)</x:f>
        <x:v>0</x:v>
      </x:c>
      <x:c r="H1167">
        <x:f>ROUND($C1167*10*VLOOKUP($B1167,Sheet2!$J$5:$K$7,2,FALSE)*VLOOKUP(Sheet1!$A1167,Sheet2!$B$5:$H$29,7,FALSE),0)</x:f>
        <x:v>0</x:v>
      </x:c>
      <x:c r="I1167">
        <x:f t="shared" si="19"/>
        <x:v>13850</x:v>
      </x:c>
    </x:row>
    <x:row r="1168" spans="1:9" x14ac:dyDescent="0.15">
      <x:c r="A1168">
        <x:v>54052</x:v>
      </x:c>
      <x:c r="B1168">
        <x:v>2</x:v>
      </x:c>
      <x:c r="C1168">
        <x:v>27</x:v>
      </x:c>
      <x:c r="D1168">
        <x:f>ROUND($C1168*10*VLOOKUP($B1168,Sheet2!$J$5:$K$7,2,FALSE)*VLOOKUP(Sheet1!$A1168,Sheet2!$B$5:$H$29,3,FALSE),0)</x:f>
        <x:v>0</x:v>
      </x:c>
      <x:c r="E1168">
        <x:f>ROUND($C1168*10*VLOOKUP($B1168,Sheet2!$J$5:$K$7,2,FALSE)*VLOOKUP(Sheet1!$A1168,Sheet2!$B$5:$H$29,4,FALSE),0)</x:f>
        <x:v>324</x:v>
      </x:c>
      <x:c r="F1168">
        <x:f>ROUND($C1168*10*VLOOKUP($B1168,Sheet2!$J$5:$K$7,2,FALSE)*VLOOKUP(Sheet1!$A1168,Sheet2!$B$5:$H$29,5,FALSE),0)</x:f>
        <x:v>0</x:v>
      </x:c>
      <x:c r="G1168">
        <x:f>ROUND($C1168*10*VLOOKUP($B1168,Sheet2!$J$5:$K$7,2,FALSE)*VLOOKUP(Sheet1!$A1168,Sheet2!$B$5:$H$29,6,FALSE),0)</x:f>
        <x:v>0</x:v>
      </x:c>
      <x:c r="H1168">
        <x:f>ROUND($C1168*10*VLOOKUP($B1168,Sheet2!$J$5:$K$7,2,FALSE)*VLOOKUP(Sheet1!$A1168,Sheet2!$B$5:$H$29,7,FALSE),0)</x:f>
        <x:v>0</x:v>
      </x:c>
      <x:c r="I1168">
        <x:f t="shared" si="19"/>
        <x:v>14860</x:v>
      </x:c>
    </x:row>
    <x:row r="1169" spans="1:9" x14ac:dyDescent="0.15">
      <x:c r="A1169">
        <x:v>54052</x:v>
      </x:c>
      <x:c r="B1169">
        <x:v>2</x:v>
      </x:c>
      <x:c r="C1169">
        <x:v>28</x:v>
      </x:c>
      <x:c r="D1169">
        <x:f>ROUND($C1169*10*VLOOKUP($B1169,Sheet2!$J$5:$K$7,2,FALSE)*VLOOKUP(Sheet1!$A1169,Sheet2!$B$5:$H$29,3,FALSE),0)</x:f>
        <x:v>0</x:v>
      </x:c>
      <x:c r="E1169">
        <x:f>ROUND($C1169*10*VLOOKUP($B1169,Sheet2!$J$5:$K$7,2,FALSE)*VLOOKUP(Sheet1!$A1169,Sheet2!$B$5:$H$29,4,FALSE),0)</x:f>
        <x:v>336</x:v>
      </x:c>
      <x:c r="F1169">
        <x:f>ROUND($C1169*10*VLOOKUP($B1169,Sheet2!$J$5:$K$7,2,FALSE)*VLOOKUP(Sheet1!$A1169,Sheet2!$B$5:$H$29,5,FALSE),0)</x:f>
        <x:v>0</x:v>
      </x:c>
      <x:c r="G1169">
        <x:f>ROUND($C1169*10*VLOOKUP($B1169,Sheet2!$J$5:$K$7,2,FALSE)*VLOOKUP(Sheet1!$A1169,Sheet2!$B$5:$H$29,6,FALSE),0)</x:f>
        <x:v>0</x:v>
      </x:c>
      <x:c r="H1169">
        <x:f>ROUND($C1169*10*VLOOKUP($B1169,Sheet2!$J$5:$K$7,2,FALSE)*VLOOKUP(Sheet1!$A1169,Sheet2!$B$5:$H$29,7,FALSE),0)</x:f>
        <x:v>0</x:v>
      </x:c>
      <x:c r="I1169">
        <x:f t="shared" si="19"/>
        <x:v>15900</x:v>
      </x:c>
    </x:row>
    <x:row r="1170" spans="1:9" x14ac:dyDescent="0.15">
      <x:c r="A1170">
        <x:v>54052</x:v>
      </x:c>
      <x:c r="B1170">
        <x:v>2</x:v>
      </x:c>
      <x:c r="C1170">
        <x:v>29</x:v>
      </x:c>
      <x:c r="D1170">
        <x:f>ROUND($C1170*10*VLOOKUP($B1170,Sheet2!$J$5:$K$7,2,FALSE)*VLOOKUP(Sheet1!$A1170,Sheet2!$B$5:$H$29,3,FALSE),0)</x:f>
        <x:v>0</x:v>
      </x:c>
      <x:c r="E1170">
        <x:f>ROUND($C1170*10*VLOOKUP($B1170,Sheet2!$J$5:$K$7,2,FALSE)*VLOOKUP(Sheet1!$A1170,Sheet2!$B$5:$H$29,4,FALSE),0)</x:f>
        <x:v>348</x:v>
      </x:c>
      <x:c r="F1170">
        <x:f>ROUND($C1170*10*VLOOKUP($B1170,Sheet2!$J$5:$K$7,2,FALSE)*VLOOKUP(Sheet1!$A1170,Sheet2!$B$5:$H$29,5,FALSE),0)</x:f>
        <x:v>0</x:v>
      </x:c>
      <x:c r="G1170">
        <x:f>ROUND($C1170*10*VLOOKUP($B1170,Sheet2!$J$5:$K$7,2,FALSE)*VLOOKUP(Sheet1!$A1170,Sheet2!$B$5:$H$29,6,FALSE),0)</x:f>
        <x:v>0</x:v>
      </x:c>
      <x:c r="H1170">
        <x:f>ROUND($C1170*10*VLOOKUP($B1170,Sheet2!$J$5:$K$7,2,FALSE)*VLOOKUP(Sheet1!$A1170,Sheet2!$B$5:$H$29,7,FALSE),0)</x:f>
        <x:v>0</x:v>
      </x:c>
      <x:c r="I1170">
        <x:f t="shared" si="19"/>
        <x:v>16970</x:v>
      </x:c>
    </x:row>
    <x:row r="1171" spans="1:9" x14ac:dyDescent="0.15">
      <x:c r="A1171">
        <x:v>54052</x:v>
      </x:c>
      <x:c r="B1171">
        <x:v>2</x:v>
      </x:c>
      <x:c r="C1171">
        <x:v>30</x:v>
      </x:c>
      <x:c r="D1171">
        <x:f>ROUND($C1171*10*VLOOKUP($B1171,Sheet2!$J$5:$K$7,2,FALSE)*VLOOKUP(Sheet1!$A1171,Sheet2!$B$5:$H$29,3,FALSE),0)</x:f>
        <x:v>0</x:v>
      </x:c>
      <x:c r="E1171">
        <x:f>ROUND($C1171*10*VLOOKUP($B1171,Sheet2!$J$5:$K$7,2,FALSE)*VLOOKUP(Sheet1!$A1171,Sheet2!$B$5:$H$29,4,FALSE),0)</x:f>
        <x:v>360</x:v>
      </x:c>
      <x:c r="F1171">
        <x:f>ROUND($C1171*10*VLOOKUP($B1171,Sheet2!$J$5:$K$7,2,FALSE)*VLOOKUP(Sheet1!$A1171,Sheet2!$B$5:$H$29,5,FALSE),0)</x:f>
        <x:v>0</x:v>
      </x:c>
      <x:c r="G1171">
        <x:f>ROUND($C1171*10*VLOOKUP($B1171,Sheet2!$J$5:$K$7,2,FALSE)*VLOOKUP(Sheet1!$A1171,Sheet2!$B$5:$H$29,6,FALSE),0)</x:f>
        <x:v>0</x:v>
      </x:c>
      <x:c r="H1171">
        <x:f>ROUND($C1171*10*VLOOKUP($B1171,Sheet2!$J$5:$K$7,2,FALSE)*VLOOKUP(Sheet1!$A1171,Sheet2!$B$5:$H$29,7,FALSE),0)</x:f>
        <x:v>0</x:v>
      </x:c>
      <x:c r="I1171">
        <x:f t="shared" si="19"/>
        <x:v>18070</x:v>
      </x:c>
    </x:row>
    <x:row r="1172" spans="1:9" x14ac:dyDescent="0.15">
      <x:c r="A1172">
        <x:v>54052</x:v>
      </x:c>
      <x:c r="B1172">
        <x:v>2</x:v>
      </x:c>
      <x:c r="C1172">
        <x:v>31</x:v>
      </x:c>
      <x:c r="D1172">
        <x:f>ROUND($C1172*10*VLOOKUP($B1172,Sheet2!$J$5:$K$7,2,FALSE)*VLOOKUP(Sheet1!$A1172,Sheet2!$B$5:$H$29,3,FALSE),0)</x:f>
        <x:v>0</x:v>
      </x:c>
      <x:c r="E1172">
        <x:f>ROUND($C1172*10*VLOOKUP($B1172,Sheet2!$J$5:$K$7,2,FALSE)*VLOOKUP(Sheet1!$A1172,Sheet2!$B$5:$H$29,4,FALSE),0)</x:f>
        <x:v>372</x:v>
      </x:c>
      <x:c r="F1172">
        <x:f>ROUND($C1172*10*VLOOKUP($B1172,Sheet2!$J$5:$K$7,2,FALSE)*VLOOKUP(Sheet1!$A1172,Sheet2!$B$5:$H$29,5,FALSE),0)</x:f>
        <x:v>0</x:v>
      </x:c>
      <x:c r="G1172">
        <x:f>ROUND($C1172*10*VLOOKUP($B1172,Sheet2!$J$5:$K$7,2,FALSE)*VLOOKUP(Sheet1!$A1172,Sheet2!$B$5:$H$29,6,FALSE),0)</x:f>
        <x:v>0</x:v>
      </x:c>
      <x:c r="H1172">
        <x:f>ROUND($C1172*10*VLOOKUP($B1172,Sheet2!$J$5:$K$7,2,FALSE)*VLOOKUP(Sheet1!$A1172,Sheet2!$B$5:$H$29,7,FALSE),0)</x:f>
        <x:v>0</x:v>
      </x:c>
      <x:c r="I1172">
        <x:f t="shared" si="19"/>
        <x:v>19210</x:v>
      </x:c>
    </x:row>
    <x:row r="1173" spans="1:9" x14ac:dyDescent="0.15">
      <x:c r="A1173">
        <x:v>54052</x:v>
      </x:c>
      <x:c r="B1173">
        <x:v>2</x:v>
      </x:c>
      <x:c r="C1173">
        <x:v>32</x:v>
      </x:c>
      <x:c r="D1173">
        <x:f>ROUND($C1173*10*VLOOKUP($B1173,Sheet2!$J$5:$K$7,2,FALSE)*VLOOKUP(Sheet1!$A1173,Sheet2!$B$5:$H$29,3,FALSE),0)</x:f>
        <x:v>0</x:v>
      </x:c>
      <x:c r="E1173">
        <x:f>ROUND($C1173*10*VLOOKUP($B1173,Sheet2!$J$5:$K$7,2,FALSE)*VLOOKUP(Sheet1!$A1173,Sheet2!$B$5:$H$29,4,FALSE),0)</x:f>
        <x:v>384</x:v>
      </x:c>
      <x:c r="F1173">
        <x:f>ROUND($C1173*10*VLOOKUP($B1173,Sheet2!$J$5:$K$7,2,FALSE)*VLOOKUP(Sheet1!$A1173,Sheet2!$B$5:$H$29,5,FALSE),0)</x:f>
        <x:v>0</x:v>
      </x:c>
      <x:c r="G1173">
        <x:f>ROUND($C1173*10*VLOOKUP($B1173,Sheet2!$J$5:$K$7,2,FALSE)*VLOOKUP(Sheet1!$A1173,Sheet2!$B$5:$H$29,6,FALSE),0)</x:f>
        <x:v>0</x:v>
      </x:c>
      <x:c r="H1173">
        <x:f>ROUND($C1173*10*VLOOKUP($B1173,Sheet2!$J$5:$K$7,2,FALSE)*VLOOKUP(Sheet1!$A1173,Sheet2!$B$5:$H$29,7,FALSE),0)</x:f>
        <x:v>0</x:v>
      </x:c>
      <x:c r="I1173">
        <x:f t="shared" si="19"/>
        <x:v>20370</x:v>
      </x:c>
    </x:row>
    <x:row r="1174" spans="1:9" x14ac:dyDescent="0.15">
      <x:c r="A1174">
        <x:v>54052</x:v>
      </x:c>
      <x:c r="B1174">
        <x:v>2</x:v>
      </x:c>
      <x:c r="C1174">
        <x:v>33</x:v>
      </x:c>
      <x:c r="D1174">
        <x:f>ROUND($C1174*10*VLOOKUP($B1174,Sheet2!$J$5:$K$7,2,FALSE)*VLOOKUP(Sheet1!$A1174,Sheet2!$B$5:$H$29,3,FALSE),0)</x:f>
        <x:v>0</x:v>
      </x:c>
      <x:c r="E1174">
        <x:f>ROUND($C1174*10*VLOOKUP($B1174,Sheet2!$J$5:$K$7,2,FALSE)*VLOOKUP(Sheet1!$A1174,Sheet2!$B$5:$H$29,4,FALSE),0)</x:f>
        <x:v>396</x:v>
      </x:c>
      <x:c r="F1174">
        <x:f>ROUND($C1174*10*VLOOKUP($B1174,Sheet2!$J$5:$K$7,2,FALSE)*VLOOKUP(Sheet1!$A1174,Sheet2!$B$5:$H$29,5,FALSE),0)</x:f>
        <x:v>0</x:v>
      </x:c>
      <x:c r="G1174">
        <x:f>ROUND($C1174*10*VLOOKUP($B1174,Sheet2!$J$5:$K$7,2,FALSE)*VLOOKUP(Sheet1!$A1174,Sheet2!$B$5:$H$29,6,FALSE),0)</x:f>
        <x:v>0</x:v>
      </x:c>
      <x:c r="H1174">
        <x:f>ROUND($C1174*10*VLOOKUP($B1174,Sheet2!$J$5:$K$7,2,FALSE)*VLOOKUP(Sheet1!$A1174,Sheet2!$B$5:$H$29,7,FALSE),0)</x:f>
        <x:v>0</x:v>
      </x:c>
      <x:c r="I1174">
        <x:f t="shared" si="19"/>
        <x:v>21560</x:v>
      </x:c>
    </x:row>
    <x:row r="1175" spans="1:9" x14ac:dyDescent="0.15">
      <x:c r="A1175">
        <x:v>54052</x:v>
      </x:c>
      <x:c r="B1175">
        <x:v>2</x:v>
      </x:c>
      <x:c r="C1175">
        <x:v>34</x:v>
      </x:c>
      <x:c r="D1175">
        <x:f>ROUND($C1175*10*VLOOKUP($B1175,Sheet2!$J$5:$K$7,2,FALSE)*VLOOKUP(Sheet1!$A1175,Sheet2!$B$5:$H$29,3,FALSE),0)</x:f>
        <x:v>0</x:v>
      </x:c>
      <x:c r="E1175">
        <x:f>ROUND($C1175*10*VLOOKUP($B1175,Sheet2!$J$5:$K$7,2,FALSE)*VLOOKUP(Sheet1!$A1175,Sheet2!$B$5:$H$29,4,FALSE),0)</x:f>
        <x:v>408</x:v>
      </x:c>
      <x:c r="F1175">
        <x:f>ROUND($C1175*10*VLOOKUP($B1175,Sheet2!$J$5:$K$7,2,FALSE)*VLOOKUP(Sheet1!$A1175,Sheet2!$B$5:$H$29,5,FALSE),0)</x:f>
        <x:v>0</x:v>
      </x:c>
      <x:c r="G1175">
        <x:f>ROUND($C1175*10*VLOOKUP($B1175,Sheet2!$J$5:$K$7,2,FALSE)*VLOOKUP(Sheet1!$A1175,Sheet2!$B$5:$H$29,6,FALSE),0)</x:f>
        <x:v>0</x:v>
      </x:c>
      <x:c r="H1175">
        <x:f>ROUND($C1175*10*VLOOKUP($B1175,Sheet2!$J$5:$K$7,2,FALSE)*VLOOKUP(Sheet1!$A1175,Sheet2!$B$5:$H$29,7,FALSE),0)</x:f>
        <x:v>0</x:v>
      </x:c>
      <x:c r="I1175">
        <x:f t="shared" si="19"/>
        <x:v>22790</x:v>
      </x:c>
    </x:row>
    <x:row r="1176" spans="1:9" x14ac:dyDescent="0.15">
      <x:c r="A1176">
        <x:v>54052</x:v>
      </x:c>
      <x:c r="B1176">
        <x:v>2</x:v>
      </x:c>
      <x:c r="C1176">
        <x:v>35</x:v>
      </x:c>
      <x:c r="D1176">
        <x:f>ROUND($C1176*10*VLOOKUP($B1176,Sheet2!$J$5:$K$7,2,FALSE)*VLOOKUP(Sheet1!$A1176,Sheet2!$B$5:$H$29,3,FALSE),0)</x:f>
        <x:v>0</x:v>
      </x:c>
      <x:c r="E1176">
        <x:f>ROUND($C1176*10*VLOOKUP($B1176,Sheet2!$J$5:$K$7,2,FALSE)*VLOOKUP(Sheet1!$A1176,Sheet2!$B$5:$H$29,4,FALSE),0)</x:f>
        <x:v>420</x:v>
      </x:c>
      <x:c r="F1176">
        <x:f>ROUND($C1176*10*VLOOKUP($B1176,Sheet2!$J$5:$K$7,2,FALSE)*VLOOKUP(Sheet1!$A1176,Sheet2!$B$5:$H$29,5,FALSE),0)</x:f>
        <x:v>0</x:v>
      </x:c>
      <x:c r="G1176">
        <x:f>ROUND($C1176*10*VLOOKUP($B1176,Sheet2!$J$5:$K$7,2,FALSE)*VLOOKUP(Sheet1!$A1176,Sheet2!$B$5:$H$29,6,FALSE),0)</x:f>
        <x:v>0</x:v>
      </x:c>
      <x:c r="H1176">
        <x:f>ROUND($C1176*10*VLOOKUP($B1176,Sheet2!$J$5:$K$7,2,FALSE)*VLOOKUP(Sheet1!$A1176,Sheet2!$B$5:$H$29,7,FALSE),0)</x:f>
        <x:v>0</x:v>
      </x:c>
      <x:c r="I1176">
        <x:f t="shared" si="19"/>
        <x:v>24040</x:v>
      </x:c>
    </x:row>
    <x:row r="1177" spans="1:9" x14ac:dyDescent="0.15">
      <x:c r="A1177">
        <x:v>54052</x:v>
      </x:c>
      <x:c r="B1177">
        <x:v>2</x:v>
      </x:c>
      <x:c r="C1177">
        <x:v>36</x:v>
      </x:c>
      <x:c r="D1177">
        <x:f>ROUND($C1177*10*VLOOKUP($B1177,Sheet2!$J$5:$K$7,2,FALSE)*VLOOKUP(Sheet1!$A1177,Sheet2!$B$5:$H$29,3,FALSE),0)</x:f>
        <x:v>0</x:v>
      </x:c>
      <x:c r="E1177">
        <x:f>ROUND($C1177*10*VLOOKUP($B1177,Sheet2!$J$5:$K$7,2,FALSE)*VLOOKUP(Sheet1!$A1177,Sheet2!$B$5:$H$29,4,FALSE),0)</x:f>
        <x:v>432</x:v>
      </x:c>
      <x:c r="F1177">
        <x:f>ROUND($C1177*10*VLOOKUP($B1177,Sheet2!$J$5:$K$7,2,FALSE)*VLOOKUP(Sheet1!$A1177,Sheet2!$B$5:$H$29,5,FALSE),0)</x:f>
        <x:v>0</x:v>
      </x:c>
      <x:c r="G1177">
        <x:f>ROUND($C1177*10*VLOOKUP($B1177,Sheet2!$J$5:$K$7,2,FALSE)*VLOOKUP(Sheet1!$A1177,Sheet2!$B$5:$H$29,6,FALSE),0)</x:f>
        <x:v>0</x:v>
      </x:c>
      <x:c r="H1177">
        <x:f>ROUND($C1177*10*VLOOKUP($B1177,Sheet2!$J$5:$K$7,2,FALSE)*VLOOKUP(Sheet1!$A1177,Sheet2!$B$5:$H$29,7,FALSE),0)</x:f>
        <x:v>0</x:v>
      </x:c>
      <x:c r="I1177">
        <x:f t="shared" si="19"/>
        <x:v>25330</x:v>
      </x:c>
    </x:row>
    <x:row r="1178" spans="1:9" x14ac:dyDescent="0.15">
      <x:c r="A1178">
        <x:v>54052</x:v>
      </x:c>
      <x:c r="B1178">
        <x:v>2</x:v>
      </x:c>
      <x:c r="C1178">
        <x:v>37</x:v>
      </x:c>
      <x:c r="D1178">
        <x:f>ROUND($C1178*10*VLOOKUP($B1178,Sheet2!$J$5:$K$7,2,FALSE)*VLOOKUP(Sheet1!$A1178,Sheet2!$B$5:$H$29,3,FALSE),0)</x:f>
        <x:v>0</x:v>
      </x:c>
      <x:c r="E1178">
        <x:f>ROUND($C1178*10*VLOOKUP($B1178,Sheet2!$J$5:$K$7,2,FALSE)*VLOOKUP(Sheet1!$A1178,Sheet2!$B$5:$H$29,4,FALSE),0)</x:f>
        <x:v>444</x:v>
      </x:c>
      <x:c r="F1178">
        <x:f>ROUND($C1178*10*VLOOKUP($B1178,Sheet2!$J$5:$K$7,2,FALSE)*VLOOKUP(Sheet1!$A1178,Sheet2!$B$5:$H$29,5,FALSE),0)</x:f>
        <x:v>0</x:v>
      </x:c>
      <x:c r="G1178">
        <x:f>ROUND($C1178*10*VLOOKUP($B1178,Sheet2!$J$5:$K$7,2,FALSE)*VLOOKUP(Sheet1!$A1178,Sheet2!$B$5:$H$29,6,FALSE),0)</x:f>
        <x:v>0</x:v>
      </x:c>
      <x:c r="H1178">
        <x:f>ROUND($C1178*10*VLOOKUP($B1178,Sheet2!$J$5:$K$7,2,FALSE)*VLOOKUP(Sheet1!$A1178,Sheet2!$B$5:$H$29,7,FALSE),0)</x:f>
        <x:v>0</x:v>
      </x:c>
      <x:c r="I1178">
        <x:f t="shared" si="19"/>
        <x:v>26640</x:v>
      </x:c>
    </x:row>
    <x:row r="1179" spans="1:9" x14ac:dyDescent="0.15">
      <x:c r="A1179">
        <x:v>54052</x:v>
      </x:c>
      <x:c r="B1179">
        <x:v>2</x:v>
      </x:c>
      <x:c r="C1179">
        <x:v>38</x:v>
      </x:c>
      <x:c r="D1179">
        <x:f>ROUND($C1179*10*VLOOKUP($B1179,Sheet2!$J$5:$K$7,2,FALSE)*VLOOKUP(Sheet1!$A1179,Sheet2!$B$5:$H$29,3,FALSE),0)</x:f>
        <x:v>0</x:v>
      </x:c>
      <x:c r="E1179">
        <x:f>ROUND($C1179*10*VLOOKUP($B1179,Sheet2!$J$5:$K$7,2,FALSE)*VLOOKUP(Sheet1!$A1179,Sheet2!$B$5:$H$29,4,FALSE),0)</x:f>
        <x:v>456</x:v>
      </x:c>
      <x:c r="F1179">
        <x:f>ROUND($C1179*10*VLOOKUP($B1179,Sheet2!$J$5:$K$7,2,FALSE)*VLOOKUP(Sheet1!$A1179,Sheet2!$B$5:$H$29,5,FALSE),0)</x:f>
        <x:v>0</x:v>
      </x:c>
      <x:c r="G1179">
        <x:f>ROUND($C1179*10*VLOOKUP($B1179,Sheet2!$J$5:$K$7,2,FALSE)*VLOOKUP(Sheet1!$A1179,Sheet2!$B$5:$H$29,6,FALSE),0)</x:f>
        <x:v>0</x:v>
      </x:c>
      <x:c r="H1179">
        <x:f>ROUND($C1179*10*VLOOKUP($B1179,Sheet2!$J$5:$K$7,2,FALSE)*VLOOKUP(Sheet1!$A1179,Sheet2!$B$5:$H$29,7,FALSE),0)</x:f>
        <x:v>0</x:v>
      </x:c>
      <x:c r="I1179">
        <x:f t="shared" si="19"/>
        <x:v>27990</x:v>
      </x:c>
    </x:row>
    <x:row r="1180" spans="1:9" x14ac:dyDescent="0.15">
      <x:c r="A1180">
        <x:v>54052</x:v>
      </x:c>
      <x:c r="B1180">
        <x:v>2</x:v>
      </x:c>
      <x:c r="C1180">
        <x:v>39</x:v>
      </x:c>
      <x:c r="D1180">
        <x:f>ROUND($C1180*10*VLOOKUP($B1180,Sheet2!$J$5:$K$7,2,FALSE)*VLOOKUP(Sheet1!$A1180,Sheet2!$B$5:$H$29,3,FALSE),0)</x:f>
        <x:v>0</x:v>
      </x:c>
      <x:c r="E1180">
        <x:f>ROUND($C1180*10*VLOOKUP($B1180,Sheet2!$J$5:$K$7,2,FALSE)*VLOOKUP(Sheet1!$A1180,Sheet2!$B$5:$H$29,4,FALSE),0)</x:f>
        <x:v>468</x:v>
      </x:c>
      <x:c r="F1180">
        <x:f>ROUND($C1180*10*VLOOKUP($B1180,Sheet2!$J$5:$K$7,2,FALSE)*VLOOKUP(Sheet1!$A1180,Sheet2!$B$5:$H$29,5,FALSE),0)</x:f>
        <x:v>0</x:v>
      </x:c>
      <x:c r="G1180">
        <x:f>ROUND($C1180*10*VLOOKUP($B1180,Sheet2!$J$5:$K$7,2,FALSE)*VLOOKUP(Sheet1!$A1180,Sheet2!$B$5:$H$29,6,FALSE),0)</x:f>
        <x:v>0</x:v>
      </x:c>
      <x:c r="H1180">
        <x:f>ROUND($C1180*10*VLOOKUP($B1180,Sheet2!$J$5:$K$7,2,FALSE)*VLOOKUP(Sheet1!$A1180,Sheet2!$B$5:$H$29,7,FALSE),0)</x:f>
        <x:v>0</x:v>
      </x:c>
      <x:c r="I1180">
        <x:f t="shared" si="19"/>
        <x:v>29360</x:v>
      </x:c>
    </x:row>
    <x:row r="1181" spans="1:9" x14ac:dyDescent="0.15">
      <x:c r="A1181">
        <x:v>54052</x:v>
      </x:c>
      <x:c r="B1181">
        <x:v>2</x:v>
      </x:c>
      <x:c r="C1181">
        <x:v>40</x:v>
      </x:c>
      <x:c r="D1181">
        <x:f>ROUND($C1181*10*VLOOKUP($B1181,Sheet2!$J$5:$K$7,2,FALSE)*VLOOKUP(Sheet1!$A1181,Sheet2!$B$5:$H$29,3,FALSE),0)</x:f>
        <x:v>0</x:v>
      </x:c>
      <x:c r="E1181">
        <x:f>ROUND($C1181*10*VLOOKUP($B1181,Sheet2!$J$5:$K$7,2,FALSE)*VLOOKUP(Sheet1!$A1181,Sheet2!$B$5:$H$29,4,FALSE),0)</x:f>
        <x:v>480</x:v>
      </x:c>
      <x:c r="F1181">
        <x:f>ROUND($C1181*10*VLOOKUP($B1181,Sheet2!$J$5:$K$7,2,FALSE)*VLOOKUP(Sheet1!$A1181,Sheet2!$B$5:$H$29,5,FALSE),0)</x:f>
        <x:v>0</x:v>
      </x:c>
      <x:c r="G1181">
        <x:f>ROUND($C1181*10*VLOOKUP($B1181,Sheet2!$J$5:$K$7,2,FALSE)*VLOOKUP(Sheet1!$A1181,Sheet2!$B$5:$H$29,6,FALSE),0)</x:f>
        <x:v>0</x:v>
      </x:c>
      <x:c r="H1181">
        <x:f>ROUND($C1181*10*VLOOKUP($B1181,Sheet2!$J$5:$K$7,2,FALSE)*VLOOKUP(Sheet1!$A1181,Sheet2!$B$5:$H$29,7,FALSE),0)</x:f>
        <x:v>0</x:v>
      </x:c>
      <x:c r="I1181">
        <x:f t="shared" si="19"/>
        <x:v>30760</x:v>
      </x:c>
    </x:row>
    <x:row r="1182" spans="1:9" x14ac:dyDescent="0.15">
      <x:c r="A1182">
        <x:v>54052</x:v>
      </x:c>
      <x:c r="B1182">
        <x:v>2</x:v>
      </x:c>
      <x:c r="C1182">
        <x:v>41</x:v>
      </x:c>
      <x:c r="D1182">
        <x:f>ROUND($C1182*10*VLOOKUP($B1182,Sheet2!$J$5:$K$7,2,FALSE)*VLOOKUP(Sheet1!$A1182,Sheet2!$B$5:$H$29,3,FALSE),0)</x:f>
        <x:v>0</x:v>
      </x:c>
      <x:c r="E1182">
        <x:f>ROUND($C1182*10*VLOOKUP($B1182,Sheet2!$J$5:$K$7,2,FALSE)*VLOOKUP(Sheet1!$A1182,Sheet2!$B$5:$H$29,4,FALSE),0)</x:f>
        <x:v>492</x:v>
      </x:c>
      <x:c r="F1182">
        <x:f>ROUND($C1182*10*VLOOKUP($B1182,Sheet2!$J$5:$K$7,2,FALSE)*VLOOKUP(Sheet1!$A1182,Sheet2!$B$5:$H$29,5,FALSE),0)</x:f>
        <x:v>0</x:v>
      </x:c>
      <x:c r="G1182">
        <x:f>ROUND($C1182*10*VLOOKUP($B1182,Sheet2!$J$5:$K$7,2,FALSE)*VLOOKUP(Sheet1!$A1182,Sheet2!$B$5:$H$29,6,FALSE),0)</x:f>
        <x:v>0</x:v>
      </x:c>
      <x:c r="H1182">
        <x:f>ROUND($C1182*10*VLOOKUP($B1182,Sheet2!$J$5:$K$7,2,FALSE)*VLOOKUP(Sheet1!$A1182,Sheet2!$B$5:$H$29,7,FALSE),0)</x:f>
        <x:v>0</x:v>
      </x:c>
      <x:c r="I1182">
        <x:f t="shared" si="19"/>
        <x:v>32190</x:v>
      </x:c>
    </x:row>
    <x:row r="1183" spans="1:9" x14ac:dyDescent="0.15">
      <x:c r="A1183">
        <x:v>54052</x:v>
      </x:c>
      <x:c r="B1183">
        <x:v>2</x:v>
      </x:c>
      <x:c r="C1183">
        <x:v>42</x:v>
      </x:c>
      <x:c r="D1183">
        <x:f>ROUND($C1183*10*VLOOKUP($B1183,Sheet2!$J$5:$K$7,2,FALSE)*VLOOKUP(Sheet1!$A1183,Sheet2!$B$5:$H$29,3,FALSE),0)</x:f>
        <x:v>0</x:v>
      </x:c>
      <x:c r="E1183">
        <x:f>ROUND($C1183*10*VLOOKUP($B1183,Sheet2!$J$5:$K$7,2,FALSE)*VLOOKUP(Sheet1!$A1183,Sheet2!$B$5:$H$29,4,FALSE),0)</x:f>
        <x:v>504</x:v>
      </x:c>
      <x:c r="F1183">
        <x:f>ROUND($C1183*10*VLOOKUP($B1183,Sheet2!$J$5:$K$7,2,FALSE)*VLOOKUP(Sheet1!$A1183,Sheet2!$B$5:$H$29,5,FALSE),0)</x:f>
        <x:v>0</x:v>
      </x:c>
      <x:c r="G1183">
        <x:f>ROUND($C1183*10*VLOOKUP($B1183,Sheet2!$J$5:$K$7,2,FALSE)*VLOOKUP(Sheet1!$A1183,Sheet2!$B$5:$H$29,6,FALSE),0)</x:f>
        <x:v>0</x:v>
      </x:c>
      <x:c r="H1183">
        <x:f>ROUND($C1183*10*VLOOKUP($B1183,Sheet2!$J$5:$K$7,2,FALSE)*VLOOKUP(Sheet1!$A1183,Sheet2!$B$5:$H$29,7,FALSE),0)</x:f>
        <x:v>0</x:v>
      </x:c>
      <x:c r="I1183">
        <x:f t="shared" si="19"/>
        <x:v>33650</x:v>
      </x:c>
    </x:row>
    <x:row r="1184" spans="1:9" x14ac:dyDescent="0.15">
      <x:c r="A1184">
        <x:v>54052</x:v>
      </x:c>
      <x:c r="B1184">
        <x:v>2</x:v>
      </x:c>
      <x:c r="C1184">
        <x:v>43</x:v>
      </x:c>
      <x:c r="D1184">
        <x:f>ROUND($C1184*10*VLOOKUP($B1184,Sheet2!$J$5:$K$7,2,FALSE)*VLOOKUP(Sheet1!$A1184,Sheet2!$B$5:$H$29,3,FALSE),0)</x:f>
        <x:v>0</x:v>
      </x:c>
      <x:c r="E1184">
        <x:f>ROUND($C1184*10*VLOOKUP($B1184,Sheet2!$J$5:$K$7,2,FALSE)*VLOOKUP(Sheet1!$A1184,Sheet2!$B$5:$H$29,4,FALSE),0)</x:f>
        <x:v>516</x:v>
      </x:c>
      <x:c r="F1184">
        <x:f>ROUND($C1184*10*VLOOKUP($B1184,Sheet2!$J$5:$K$7,2,FALSE)*VLOOKUP(Sheet1!$A1184,Sheet2!$B$5:$H$29,5,FALSE),0)</x:f>
        <x:v>0</x:v>
      </x:c>
      <x:c r="G1184">
        <x:f>ROUND($C1184*10*VLOOKUP($B1184,Sheet2!$J$5:$K$7,2,FALSE)*VLOOKUP(Sheet1!$A1184,Sheet2!$B$5:$H$29,6,FALSE),0)</x:f>
        <x:v>0</x:v>
      </x:c>
      <x:c r="H1184">
        <x:f>ROUND($C1184*10*VLOOKUP($B1184,Sheet2!$J$5:$K$7,2,FALSE)*VLOOKUP(Sheet1!$A1184,Sheet2!$B$5:$H$29,7,FALSE),0)</x:f>
        <x:v>0</x:v>
      </x:c>
      <x:c r="I1184">
        <x:f t="shared" si="19"/>
        <x:v>35140</x:v>
      </x:c>
    </x:row>
    <x:row r="1185" spans="1:9" x14ac:dyDescent="0.15">
      <x:c r="A1185">
        <x:v>54052</x:v>
      </x:c>
      <x:c r="B1185">
        <x:v>2</x:v>
      </x:c>
      <x:c r="C1185">
        <x:v>44</x:v>
      </x:c>
      <x:c r="D1185">
        <x:f>ROUND($C1185*10*VLOOKUP($B1185,Sheet2!$J$5:$K$7,2,FALSE)*VLOOKUP(Sheet1!$A1185,Sheet2!$B$5:$H$29,3,FALSE),0)</x:f>
        <x:v>0</x:v>
      </x:c>
      <x:c r="E1185">
        <x:f>ROUND($C1185*10*VLOOKUP($B1185,Sheet2!$J$5:$K$7,2,FALSE)*VLOOKUP(Sheet1!$A1185,Sheet2!$B$5:$H$29,4,FALSE),0)</x:f>
        <x:v>528</x:v>
      </x:c>
      <x:c r="F1185">
        <x:f>ROUND($C1185*10*VLOOKUP($B1185,Sheet2!$J$5:$K$7,2,FALSE)*VLOOKUP(Sheet1!$A1185,Sheet2!$B$5:$H$29,5,FALSE),0)</x:f>
        <x:v>0</x:v>
      </x:c>
      <x:c r="G1185">
        <x:f>ROUND($C1185*10*VLOOKUP($B1185,Sheet2!$J$5:$K$7,2,FALSE)*VLOOKUP(Sheet1!$A1185,Sheet2!$B$5:$H$29,6,FALSE),0)</x:f>
        <x:v>0</x:v>
      </x:c>
      <x:c r="H1185">
        <x:f>ROUND($C1185*10*VLOOKUP($B1185,Sheet2!$J$5:$K$7,2,FALSE)*VLOOKUP(Sheet1!$A1185,Sheet2!$B$5:$H$29,7,FALSE),0)</x:f>
        <x:v>0</x:v>
      </x:c>
      <x:c r="I1185">
        <x:f t="shared" si="19"/>
        <x:v>36660</x:v>
      </x:c>
    </x:row>
    <x:row r="1186" spans="1:9" x14ac:dyDescent="0.15">
      <x:c r="A1186">
        <x:v>54052</x:v>
      </x:c>
      <x:c r="B1186">
        <x:v>2</x:v>
      </x:c>
      <x:c r="C1186">
        <x:v>45</x:v>
      </x:c>
      <x:c r="D1186">
        <x:f>ROUND($C1186*10*VLOOKUP($B1186,Sheet2!$J$5:$K$7,2,FALSE)*VLOOKUP(Sheet1!$A1186,Sheet2!$B$5:$H$29,3,FALSE),0)</x:f>
        <x:v>0</x:v>
      </x:c>
      <x:c r="E1186">
        <x:f>ROUND($C1186*10*VLOOKUP($B1186,Sheet2!$J$5:$K$7,2,FALSE)*VLOOKUP(Sheet1!$A1186,Sheet2!$B$5:$H$29,4,FALSE),0)</x:f>
        <x:v>540</x:v>
      </x:c>
      <x:c r="F1186">
        <x:f>ROUND($C1186*10*VLOOKUP($B1186,Sheet2!$J$5:$K$7,2,FALSE)*VLOOKUP(Sheet1!$A1186,Sheet2!$B$5:$H$29,5,FALSE),0)</x:f>
        <x:v>0</x:v>
      </x:c>
      <x:c r="G1186">
        <x:f>ROUND($C1186*10*VLOOKUP($B1186,Sheet2!$J$5:$K$7,2,FALSE)*VLOOKUP(Sheet1!$A1186,Sheet2!$B$5:$H$29,6,FALSE),0)</x:f>
        <x:v>0</x:v>
      </x:c>
      <x:c r="H1186">
        <x:f>ROUND($C1186*10*VLOOKUP($B1186,Sheet2!$J$5:$K$7,2,FALSE)*VLOOKUP(Sheet1!$A1186,Sheet2!$B$5:$H$29,7,FALSE),0)</x:f>
        <x:v>0</x:v>
      </x:c>
      <x:c r="I1186">
        <x:f t="shared" si="19"/>
        <x:v>38210</x:v>
      </x:c>
    </x:row>
    <x:row r="1187" spans="1:9" x14ac:dyDescent="0.15">
      <x:c r="A1187">
        <x:v>54052</x:v>
      </x:c>
      <x:c r="B1187">
        <x:v>2</x:v>
      </x:c>
      <x:c r="C1187">
        <x:v>46</x:v>
      </x:c>
      <x:c r="D1187">
        <x:f>ROUND($C1187*10*VLOOKUP($B1187,Sheet2!$J$5:$K$7,2,FALSE)*VLOOKUP(Sheet1!$A1187,Sheet2!$B$5:$H$29,3,FALSE),0)</x:f>
        <x:v>0</x:v>
      </x:c>
      <x:c r="E1187">
        <x:f>ROUND($C1187*10*VLOOKUP($B1187,Sheet2!$J$5:$K$7,2,FALSE)*VLOOKUP(Sheet1!$A1187,Sheet2!$B$5:$H$29,4,FALSE),0)</x:f>
        <x:v>552</x:v>
      </x:c>
      <x:c r="F1187">
        <x:f>ROUND($C1187*10*VLOOKUP($B1187,Sheet2!$J$5:$K$7,2,FALSE)*VLOOKUP(Sheet1!$A1187,Sheet2!$B$5:$H$29,5,FALSE),0)</x:f>
        <x:v>0</x:v>
      </x:c>
      <x:c r="G1187">
        <x:f>ROUND($C1187*10*VLOOKUP($B1187,Sheet2!$J$5:$K$7,2,FALSE)*VLOOKUP(Sheet1!$A1187,Sheet2!$B$5:$H$29,6,FALSE),0)</x:f>
        <x:v>0</x:v>
      </x:c>
      <x:c r="H1187">
        <x:f>ROUND($C1187*10*VLOOKUP($B1187,Sheet2!$J$5:$K$7,2,FALSE)*VLOOKUP(Sheet1!$A1187,Sheet2!$B$5:$H$29,7,FALSE),0)</x:f>
        <x:v>0</x:v>
      </x:c>
      <x:c r="I1187">
        <x:f t="shared" si="19"/>
        <x:v>39780</x:v>
      </x:c>
    </x:row>
    <x:row r="1188" spans="1:9" x14ac:dyDescent="0.15">
      <x:c r="A1188">
        <x:v>54052</x:v>
      </x:c>
      <x:c r="B1188">
        <x:v>2</x:v>
      </x:c>
      <x:c r="C1188">
        <x:v>47</x:v>
      </x:c>
      <x:c r="D1188">
        <x:f>ROUND($C1188*10*VLOOKUP($B1188,Sheet2!$J$5:$K$7,2,FALSE)*VLOOKUP(Sheet1!$A1188,Sheet2!$B$5:$H$29,3,FALSE),0)</x:f>
        <x:v>0</x:v>
      </x:c>
      <x:c r="E1188">
        <x:f>ROUND($C1188*10*VLOOKUP($B1188,Sheet2!$J$5:$K$7,2,FALSE)*VLOOKUP(Sheet1!$A1188,Sheet2!$B$5:$H$29,4,FALSE),0)</x:f>
        <x:v>564</x:v>
      </x:c>
      <x:c r="F1188">
        <x:f>ROUND($C1188*10*VLOOKUP($B1188,Sheet2!$J$5:$K$7,2,FALSE)*VLOOKUP(Sheet1!$A1188,Sheet2!$B$5:$H$29,5,FALSE),0)</x:f>
        <x:v>0</x:v>
      </x:c>
      <x:c r="G1188">
        <x:f>ROUND($C1188*10*VLOOKUP($B1188,Sheet2!$J$5:$K$7,2,FALSE)*VLOOKUP(Sheet1!$A1188,Sheet2!$B$5:$H$29,6,FALSE),0)</x:f>
        <x:v>0</x:v>
      </x:c>
      <x:c r="H1188">
        <x:f>ROUND($C1188*10*VLOOKUP($B1188,Sheet2!$J$5:$K$7,2,FALSE)*VLOOKUP(Sheet1!$A1188,Sheet2!$B$5:$H$29,7,FALSE),0)</x:f>
        <x:v>0</x:v>
      </x:c>
      <x:c r="I1188">
        <x:f t="shared" si="19"/>
        <x:v>41390</x:v>
      </x:c>
    </x:row>
    <x:row r="1189" spans="1:9" x14ac:dyDescent="0.15">
      <x:c r="A1189">
        <x:v>54052</x:v>
      </x:c>
      <x:c r="B1189">
        <x:v>2</x:v>
      </x:c>
      <x:c r="C1189">
        <x:v>48</x:v>
      </x:c>
      <x:c r="D1189">
        <x:f>ROUND($C1189*10*VLOOKUP($B1189,Sheet2!$J$5:$K$7,2,FALSE)*VLOOKUP(Sheet1!$A1189,Sheet2!$B$5:$H$29,3,FALSE),0)</x:f>
        <x:v>0</x:v>
      </x:c>
      <x:c r="E1189">
        <x:f>ROUND($C1189*10*VLOOKUP($B1189,Sheet2!$J$5:$K$7,2,FALSE)*VLOOKUP(Sheet1!$A1189,Sheet2!$B$5:$H$29,4,FALSE),0)</x:f>
        <x:v>576</x:v>
      </x:c>
      <x:c r="F1189">
        <x:f>ROUND($C1189*10*VLOOKUP($B1189,Sheet2!$J$5:$K$7,2,FALSE)*VLOOKUP(Sheet1!$A1189,Sheet2!$B$5:$H$29,5,FALSE),0)</x:f>
        <x:v>0</x:v>
      </x:c>
      <x:c r="G1189">
        <x:f>ROUND($C1189*10*VLOOKUP($B1189,Sheet2!$J$5:$K$7,2,FALSE)*VLOOKUP(Sheet1!$A1189,Sheet2!$B$5:$H$29,6,FALSE),0)</x:f>
        <x:v>0</x:v>
      </x:c>
      <x:c r="H1189">
        <x:f>ROUND($C1189*10*VLOOKUP($B1189,Sheet2!$J$5:$K$7,2,FALSE)*VLOOKUP(Sheet1!$A1189,Sheet2!$B$5:$H$29,7,FALSE),0)</x:f>
        <x:v>0</x:v>
      </x:c>
      <x:c r="I1189">
        <x:f t="shared" si="19"/>
        <x:v>43020</x:v>
      </x:c>
    </x:row>
    <x:row r="1190" spans="1:9" x14ac:dyDescent="0.15">
      <x:c r="A1190">
        <x:v>54052</x:v>
      </x:c>
      <x:c r="B1190">
        <x:v>2</x:v>
      </x:c>
      <x:c r="C1190">
        <x:v>49</x:v>
      </x:c>
      <x:c r="D1190">
        <x:f>ROUND($C1190*10*VLOOKUP($B1190,Sheet2!$J$5:$K$7,2,FALSE)*VLOOKUP(Sheet1!$A1190,Sheet2!$B$5:$H$29,3,FALSE),0)</x:f>
        <x:v>0</x:v>
      </x:c>
      <x:c r="E1190">
        <x:f>ROUND($C1190*10*VLOOKUP($B1190,Sheet2!$J$5:$K$7,2,FALSE)*VLOOKUP(Sheet1!$A1190,Sheet2!$B$5:$H$29,4,FALSE),0)</x:f>
        <x:v>588</x:v>
      </x:c>
      <x:c r="F1190">
        <x:f>ROUND($C1190*10*VLOOKUP($B1190,Sheet2!$J$5:$K$7,2,FALSE)*VLOOKUP(Sheet1!$A1190,Sheet2!$B$5:$H$29,5,FALSE),0)</x:f>
        <x:v>0</x:v>
      </x:c>
      <x:c r="G1190">
        <x:f>ROUND($C1190*10*VLOOKUP($B1190,Sheet2!$J$5:$K$7,2,FALSE)*VLOOKUP(Sheet1!$A1190,Sheet2!$B$5:$H$29,6,FALSE),0)</x:f>
        <x:v>0</x:v>
      </x:c>
      <x:c r="H1190">
        <x:f>ROUND($C1190*10*VLOOKUP($B1190,Sheet2!$J$5:$K$7,2,FALSE)*VLOOKUP(Sheet1!$A1190,Sheet2!$B$5:$H$29,7,FALSE),0)</x:f>
        <x:v>0</x:v>
      </x:c>
      <x:c r="I1190">
        <x:f t="shared" si="19"/>
        <x:v>44680</x:v>
      </x:c>
    </x:row>
    <x:row r="1191" spans="1:9" x14ac:dyDescent="0.15">
      <x:c r="A1191">
        <x:v>54052</x:v>
      </x:c>
      <x:c r="B1191">
        <x:v>2</x:v>
      </x:c>
      <x:c r="C1191">
        <x:v>50</x:v>
      </x:c>
      <x:c r="D1191">
        <x:f>ROUND($C1191*10*VLOOKUP($B1191,Sheet2!$J$5:$K$7,2,FALSE)*VLOOKUP(Sheet1!$A1191,Sheet2!$B$5:$H$29,3,FALSE),0)</x:f>
        <x:v>0</x:v>
      </x:c>
      <x:c r="E1191">
        <x:f>ROUND($C1191*10*VLOOKUP($B1191,Sheet2!$J$5:$K$7,2,FALSE)*VLOOKUP(Sheet1!$A1191,Sheet2!$B$5:$H$29,4,FALSE),0)</x:f>
        <x:v>600</x:v>
      </x:c>
      <x:c r="F1191">
        <x:f>ROUND($C1191*10*VLOOKUP($B1191,Sheet2!$J$5:$K$7,2,FALSE)*VLOOKUP(Sheet1!$A1191,Sheet2!$B$5:$H$29,5,FALSE),0)</x:f>
        <x:v>0</x:v>
      </x:c>
      <x:c r="G1191">
        <x:f>ROUND($C1191*10*VLOOKUP($B1191,Sheet2!$J$5:$K$7,2,FALSE)*VLOOKUP(Sheet1!$A1191,Sheet2!$B$5:$H$29,6,FALSE),0)</x:f>
        <x:v>0</x:v>
      </x:c>
      <x:c r="H1191">
        <x:f>ROUND($C1191*10*VLOOKUP($B1191,Sheet2!$J$5:$K$7,2,FALSE)*VLOOKUP(Sheet1!$A1191,Sheet2!$B$5:$H$29,7,FALSE),0)</x:f>
        <x:v>0</x:v>
      </x:c>
      <x:c r="I1191">
        <x:f t="shared" si="19"/>
        <x:v>46360</x:v>
      </x:c>
    </x:row>
    <x:row r="1192" spans="1:9" x14ac:dyDescent="0.15">
      <x:c r="A1192">
        <x:v>54052</x:v>
      </x:c>
      <x:c r="B1192">
        <x:v>2</x:v>
      </x:c>
      <x:c r="C1192">
        <x:v>51</x:v>
      </x:c>
      <x:c r="D1192">
        <x:f>ROUND($C1192*10*VLOOKUP($B1192,Sheet2!$J$5:$K$7,2,FALSE)*VLOOKUP(Sheet1!$A1192,Sheet2!$B$5:$H$29,3,FALSE),0)</x:f>
        <x:v>0</x:v>
      </x:c>
      <x:c r="E1192">
        <x:f>ROUND($C1192*10*VLOOKUP($B1192,Sheet2!$J$5:$K$7,2,FALSE)*VLOOKUP(Sheet1!$A1192,Sheet2!$B$5:$H$29,4,FALSE),0)</x:f>
        <x:v>612</x:v>
      </x:c>
      <x:c r="F1192">
        <x:f>ROUND($C1192*10*VLOOKUP($B1192,Sheet2!$J$5:$K$7,2,FALSE)*VLOOKUP(Sheet1!$A1192,Sheet2!$B$5:$H$29,5,FALSE),0)</x:f>
        <x:v>0</x:v>
      </x:c>
      <x:c r="G1192">
        <x:f>ROUND($C1192*10*VLOOKUP($B1192,Sheet2!$J$5:$K$7,2,FALSE)*VLOOKUP(Sheet1!$A1192,Sheet2!$B$5:$H$29,6,FALSE),0)</x:f>
        <x:v>0</x:v>
      </x:c>
      <x:c r="H1192">
        <x:f>ROUND($C1192*10*VLOOKUP($B1192,Sheet2!$J$5:$K$7,2,FALSE)*VLOOKUP(Sheet1!$A1192,Sheet2!$B$5:$H$29,7,FALSE),0)</x:f>
        <x:v>0</x:v>
      </x:c>
      <x:c r="I1192">
        <x:f t="shared" si="19"/>
        <x:v>48080</x:v>
      </x:c>
    </x:row>
    <x:row r="1193" spans="1:9" x14ac:dyDescent="0.15">
      <x:c r="A1193">
        <x:v>54052</x:v>
      </x:c>
      <x:c r="B1193">
        <x:v>2</x:v>
      </x:c>
      <x:c r="C1193">
        <x:v>52</x:v>
      </x:c>
      <x:c r="D1193">
        <x:f>ROUND($C1193*10*VLOOKUP($B1193,Sheet2!$J$5:$K$7,2,FALSE)*VLOOKUP(Sheet1!$A1193,Sheet2!$B$5:$H$29,3,FALSE),0)</x:f>
        <x:v>0</x:v>
      </x:c>
      <x:c r="E1193">
        <x:f>ROUND($C1193*10*VLOOKUP($B1193,Sheet2!$J$5:$K$7,2,FALSE)*VLOOKUP(Sheet1!$A1193,Sheet2!$B$5:$H$29,4,FALSE),0)</x:f>
        <x:v>624</x:v>
      </x:c>
      <x:c r="F1193">
        <x:f>ROUND($C1193*10*VLOOKUP($B1193,Sheet2!$J$5:$K$7,2,FALSE)*VLOOKUP(Sheet1!$A1193,Sheet2!$B$5:$H$29,5,FALSE),0)</x:f>
        <x:v>0</x:v>
      </x:c>
      <x:c r="G1193">
        <x:f>ROUND($C1193*10*VLOOKUP($B1193,Sheet2!$J$5:$K$7,2,FALSE)*VLOOKUP(Sheet1!$A1193,Sheet2!$B$5:$H$29,6,FALSE),0)</x:f>
        <x:v>0</x:v>
      </x:c>
      <x:c r="H1193">
        <x:f>ROUND($C1193*10*VLOOKUP($B1193,Sheet2!$J$5:$K$7,2,FALSE)*VLOOKUP(Sheet1!$A1193,Sheet2!$B$5:$H$29,7,FALSE),0)</x:f>
        <x:v>0</x:v>
      </x:c>
      <x:c r="I1193">
        <x:f t="shared" si="19"/>
        <x:v>49820</x:v>
      </x:c>
    </x:row>
    <x:row r="1194" spans="1:9" x14ac:dyDescent="0.15">
      <x:c r="A1194">
        <x:v>54052</x:v>
      </x:c>
      <x:c r="B1194">
        <x:v>2</x:v>
      </x:c>
      <x:c r="C1194">
        <x:v>53</x:v>
      </x:c>
      <x:c r="D1194">
        <x:f>ROUND($C1194*10*VLOOKUP($B1194,Sheet2!$J$5:$K$7,2,FALSE)*VLOOKUP(Sheet1!$A1194,Sheet2!$B$5:$H$29,3,FALSE),0)</x:f>
        <x:v>0</x:v>
      </x:c>
      <x:c r="E1194">
        <x:f>ROUND($C1194*10*VLOOKUP($B1194,Sheet2!$J$5:$K$7,2,FALSE)*VLOOKUP(Sheet1!$A1194,Sheet2!$B$5:$H$29,4,FALSE),0)</x:f>
        <x:v>636</x:v>
      </x:c>
      <x:c r="F1194">
        <x:f>ROUND($C1194*10*VLOOKUP($B1194,Sheet2!$J$5:$K$7,2,FALSE)*VLOOKUP(Sheet1!$A1194,Sheet2!$B$5:$H$29,5,FALSE),0)</x:f>
        <x:v>0</x:v>
      </x:c>
      <x:c r="G1194">
        <x:f>ROUND($C1194*10*VLOOKUP($B1194,Sheet2!$J$5:$K$7,2,FALSE)*VLOOKUP(Sheet1!$A1194,Sheet2!$B$5:$H$29,6,FALSE),0)</x:f>
        <x:v>0</x:v>
      </x:c>
      <x:c r="H1194">
        <x:f>ROUND($C1194*10*VLOOKUP($B1194,Sheet2!$J$5:$K$7,2,FALSE)*VLOOKUP(Sheet1!$A1194,Sheet2!$B$5:$H$29,7,FALSE),0)</x:f>
        <x:v>0</x:v>
      </x:c>
      <x:c r="I1194">
        <x:f t="shared" si="19"/>
        <x:v>51590</x:v>
      </x:c>
    </x:row>
    <x:row r="1195" spans="1:9" x14ac:dyDescent="0.15">
      <x:c r="A1195">
        <x:v>54052</x:v>
      </x:c>
      <x:c r="B1195">
        <x:v>2</x:v>
      </x:c>
      <x:c r="C1195">
        <x:v>54</x:v>
      </x:c>
      <x:c r="D1195">
        <x:f>ROUND($C1195*10*VLOOKUP($B1195,Sheet2!$J$5:$K$7,2,FALSE)*VLOOKUP(Sheet1!$A1195,Sheet2!$B$5:$H$29,3,FALSE),0)</x:f>
        <x:v>0</x:v>
      </x:c>
      <x:c r="E1195">
        <x:f>ROUND($C1195*10*VLOOKUP($B1195,Sheet2!$J$5:$K$7,2,FALSE)*VLOOKUP(Sheet1!$A1195,Sheet2!$B$5:$H$29,4,FALSE),0)</x:f>
        <x:v>648</x:v>
      </x:c>
      <x:c r="F1195">
        <x:f>ROUND($C1195*10*VLOOKUP($B1195,Sheet2!$J$5:$K$7,2,FALSE)*VLOOKUP(Sheet1!$A1195,Sheet2!$B$5:$H$29,5,FALSE),0)</x:f>
        <x:v>0</x:v>
      </x:c>
      <x:c r="G1195">
        <x:f>ROUND($C1195*10*VLOOKUP($B1195,Sheet2!$J$5:$K$7,2,FALSE)*VLOOKUP(Sheet1!$A1195,Sheet2!$B$5:$H$29,6,FALSE),0)</x:f>
        <x:v>0</x:v>
      </x:c>
      <x:c r="H1195">
        <x:f>ROUND($C1195*10*VLOOKUP($B1195,Sheet2!$J$5:$K$7,2,FALSE)*VLOOKUP(Sheet1!$A1195,Sheet2!$B$5:$H$29,7,FALSE),0)</x:f>
        <x:v>0</x:v>
      </x:c>
      <x:c r="I1195">
        <x:f t="shared" si="19"/>
        <x:v>53390</x:v>
      </x:c>
    </x:row>
    <x:row r="1196" spans="1:9" x14ac:dyDescent="0.15">
      <x:c r="A1196">
        <x:v>54052</x:v>
      </x:c>
      <x:c r="B1196">
        <x:v>2</x:v>
      </x:c>
      <x:c r="C1196">
        <x:v>55</x:v>
      </x:c>
      <x:c r="D1196">
        <x:f>ROUND($C1196*10*VLOOKUP($B1196,Sheet2!$J$5:$K$7,2,FALSE)*VLOOKUP(Sheet1!$A1196,Sheet2!$B$5:$H$29,3,FALSE),0)</x:f>
        <x:v>0</x:v>
      </x:c>
      <x:c r="E1196">
        <x:f>ROUND($C1196*10*VLOOKUP($B1196,Sheet2!$J$5:$K$7,2,FALSE)*VLOOKUP(Sheet1!$A1196,Sheet2!$B$5:$H$29,4,FALSE),0)</x:f>
        <x:v>660</x:v>
      </x:c>
      <x:c r="F1196">
        <x:f>ROUND($C1196*10*VLOOKUP($B1196,Sheet2!$J$5:$K$7,2,FALSE)*VLOOKUP(Sheet1!$A1196,Sheet2!$B$5:$H$29,5,FALSE),0)</x:f>
        <x:v>0</x:v>
      </x:c>
      <x:c r="G1196">
        <x:f>ROUND($C1196*10*VLOOKUP($B1196,Sheet2!$J$5:$K$7,2,FALSE)*VLOOKUP(Sheet1!$A1196,Sheet2!$B$5:$H$29,6,FALSE),0)</x:f>
        <x:v>0</x:v>
      </x:c>
      <x:c r="H1196">
        <x:f>ROUND($C1196*10*VLOOKUP($B1196,Sheet2!$J$5:$K$7,2,FALSE)*VLOOKUP(Sheet1!$A1196,Sheet2!$B$5:$H$29,7,FALSE),0)</x:f>
        <x:v>0</x:v>
      </x:c>
      <x:c r="I1196">
        <x:f t="shared" si="19"/>
        <x:v>55210</x:v>
      </x:c>
    </x:row>
    <x:row r="1197" spans="1:9" x14ac:dyDescent="0.15">
      <x:c r="A1197">
        <x:v>54052</x:v>
      </x:c>
      <x:c r="B1197">
        <x:v>2</x:v>
      </x:c>
      <x:c r="C1197">
        <x:v>56</x:v>
      </x:c>
      <x:c r="D1197">
        <x:f>ROUND($C1197*10*VLOOKUP($B1197,Sheet2!$J$5:$K$7,2,FALSE)*VLOOKUP(Sheet1!$A1197,Sheet2!$B$5:$H$29,3,FALSE),0)</x:f>
        <x:v>0</x:v>
      </x:c>
      <x:c r="E1197">
        <x:f>ROUND($C1197*10*VLOOKUP($B1197,Sheet2!$J$5:$K$7,2,FALSE)*VLOOKUP(Sheet1!$A1197,Sheet2!$B$5:$H$29,4,FALSE),0)</x:f>
        <x:v>672</x:v>
      </x:c>
      <x:c r="F1197">
        <x:f>ROUND($C1197*10*VLOOKUP($B1197,Sheet2!$J$5:$K$7,2,FALSE)*VLOOKUP(Sheet1!$A1197,Sheet2!$B$5:$H$29,5,FALSE),0)</x:f>
        <x:v>0</x:v>
      </x:c>
      <x:c r="G1197">
        <x:f>ROUND($C1197*10*VLOOKUP($B1197,Sheet2!$J$5:$K$7,2,FALSE)*VLOOKUP(Sheet1!$A1197,Sheet2!$B$5:$H$29,6,FALSE),0)</x:f>
        <x:v>0</x:v>
      </x:c>
      <x:c r="H1197">
        <x:f>ROUND($C1197*10*VLOOKUP($B1197,Sheet2!$J$5:$K$7,2,FALSE)*VLOOKUP(Sheet1!$A1197,Sheet2!$B$5:$H$29,7,FALSE),0)</x:f>
        <x:v>0</x:v>
      </x:c>
      <x:c r="I1197">
        <x:f t="shared" si="19"/>
        <x:v>57060</x:v>
      </x:c>
    </x:row>
    <x:row r="1198" spans="1:9" x14ac:dyDescent="0.15">
      <x:c r="A1198">
        <x:v>54052</x:v>
      </x:c>
      <x:c r="B1198">
        <x:v>2</x:v>
      </x:c>
      <x:c r="C1198">
        <x:v>57</x:v>
      </x:c>
      <x:c r="D1198">
        <x:f>ROUND($C1198*10*VLOOKUP($B1198,Sheet2!$J$5:$K$7,2,FALSE)*VLOOKUP(Sheet1!$A1198,Sheet2!$B$5:$H$29,3,FALSE),0)</x:f>
        <x:v>0</x:v>
      </x:c>
      <x:c r="E1198">
        <x:f>ROUND($C1198*10*VLOOKUP($B1198,Sheet2!$J$5:$K$7,2,FALSE)*VLOOKUP(Sheet1!$A1198,Sheet2!$B$5:$H$29,4,FALSE),0)</x:f>
        <x:v>684</x:v>
      </x:c>
      <x:c r="F1198">
        <x:f>ROUND($C1198*10*VLOOKUP($B1198,Sheet2!$J$5:$K$7,2,FALSE)*VLOOKUP(Sheet1!$A1198,Sheet2!$B$5:$H$29,5,FALSE),0)</x:f>
        <x:v>0</x:v>
      </x:c>
      <x:c r="G1198">
        <x:f>ROUND($C1198*10*VLOOKUP($B1198,Sheet2!$J$5:$K$7,2,FALSE)*VLOOKUP(Sheet1!$A1198,Sheet2!$B$5:$H$29,6,FALSE),0)</x:f>
        <x:v>0</x:v>
      </x:c>
      <x:c r="H1198">
        <x:f>ROUND($C1198*10*VLOOKUP($B1198,Sheet2!$J$5:$K$7,2,FALSE)*VLOOKUP(Sheet1!$A1198,Sheet2!$B$5:$H$29,7,FALSE),0)</x:f>
        <x:v>0</x:v>
      </x:c>
      <x:c r="I1198">
        <x:f t="shared" si="19"/>
        <x:v>58940</x:v>
      </x:c>
    </x:row>
    <x:row r="1199" spans="1:9" x14ac:dyDescent="0.15">
      <x:c r="A1199">
        <x:v>54052</x:v>
      </x:c>
      <x:c r="B1199">
        <x:v>2</x:v>
      </x:c>
      <x:c r="C1199">
        <x:v>58</x:v>
      </x:c>
      <x:c r="D1199">
        <x:f>ROUND($C1199*10*VLOOKUP($B1199,Sheet2!$J$5:$K$7,2,FALSE)*VLOOKUP(Sheet1!$A1199,Sheet2!$B$5:$H$29,3,FALSE),0)</x:f>
        <x:v>0</x:v>
      </x:c>
      <x:c r="E1199">
        <x:f>ROUND($C1199*10*VLOOKUP($B1199,Sheet2!$J$5:$K$7,2,FALSE)*VLOOKUP(Sheet1!$A1199,Sheet2!$B$5:$H$29,4,FALSE),0)</x:f>
        <x:v>696</x:v>
      </x:c>
      <x:c r="F1199">
        <x:f>ROUND($C1199*10*VLOOKUP($B1199,Sheet2!$J$5:$K$7,2,FALSE)*VLOOKUP(Sheet1!$A1199,Sheet2!$B$5:$H$29,5,FALSE),0)</x:f>
        <x:v>0</x:v>
      </x:c>
      <x:c r="G1199">
        <x:f>ROUND($C1199*10*VLOOKUP($B1199,Sheet2!$J$5:$K$7,2,FALSE)*VLOOKUP(Sheet1!$A1199,Sheet2!$B$5:$H$29,6,FALSE),0)</x:f>
        <x:v>0</x:v>
      </x:c>
      <x:c r="H1199">
        <x:f>ROUND($C1199*10*VLOOKUP($B1199,Sheet2!$J$5:$K$7,2,FALSE)*VLOOKUP(Sheet1!$A1199,Sheet2!$B$5:$H$29,7,FALSE),0)</x:f>
        <x:v>0</x:v>
      </x:c>
      <x:c r="I1199">
        <x:f t="shared" si="19"/>
        <x:v>60850</x:v>
      </x:c>
    </x:row>
    <x:row r="1200" spans="1:9" x14ac:dyDescent="0.15">
      <x:c r="A1200">
        <x:v>54052</x:v>
      </x:c>
      <x:c r="B1200">
        <x:v>2</x:v>
      </x:c>
      <x:c r="C1200">
        <x:v>59</x:v>
      </x:c>
      <x:c r="D1200">
        <x:f>ROUND($C1200*10*VLOOKUP($B1200,Sheet2!$J$5:$K$7,2,FALSE)*VLOOKUP(Sheet1!$A1200,Sheet2!$B$5:$H$29,3,FALSE),0)</x:f>
        <x:v>0</x:v>
      </x:c>
      <x:c r="E1200">
        <x:f>ROUND($C1200*10*VLOOKUP($B1200,Sheet2!$J$5:$K$7,2,FALSE)*VLOOKUP(Sheet1!$A1200,Sheet2!$B$5:$H$29,4,FALSE),0)</x:f>
        <x:v>708</x:v>
      </x:c>
      <x:c r="F1200">
        <x:f>ROUND($C1200*10*VLOOKUP($B1200,Sheet2!$J$5:$K$7,2,FALSE)*VLOOKUP(Sheet1!$A1200,Sheet2!$B$5:$H$29,5,FALSE),0)</x:f>
        <x:v>0</x:v>
      </x:c>
      <x:c r="G1200">
        <x:f>ROUND($C1200*10*VLOOKUP($B1200,Sheet2!$J$5:$K$7,2,FALSE)*VLOOKUP(Sheet1!$A1200,Sheet2!$B$5:$H$29,6,FALSE),0)</x:f>
        <x:v>0</x:v>
      </x:c>
      <x:c r="H1200">
        <x:f>ROUND($C1200*10*VLOOKUP($B1200,Sheet2!$J$5:$K$7,2,FALSE)*VLOOKUP(Sheet1!$A1200,Sheet2!$B$5:$H$29,7,FALSE),0)</x:f>
        <x:v>0</x:v>
      </x:c>
      <x:c r="I1200">
        <x:f t="shared" si="19"/>
        <x:v>62780</x:v>
      </x:c>
    </x:row>
    <x:row r="1201" spans="1:9" x14ac:dyDescent="0.15">
      <x:c r="A1201">
        <x:v>54052</x:v>
      </x:c>
      <x:c r="B1201">
        <x:v>2</x:v>
      </x:c>
      <x:c r="C1201">
        <x:v>60</x:v>
      </x:c>
      <x:c r="D1201">
        <x:f>ROUND($C1201*10*VLOOKUP($B1201,Sheet2!$J$5:$K$7,2,FALSE)*VLOOKUP(Sheet1!$A1201,Sheet2!$B$5:$H$29,3,FALSE),0)</x:f>
        <x:v>0</x:v>
      </x:c>
      <x:c r="E1201">
        <x:f>ROUND($C1201*10*VLOOKUP($B1201,Sheet2!$J$5:$K$7,2,FALSE)*VLOOKUP(Sheet1!$A1201,Sheet2!$B$5:$H$29,4,FALSE),0)</x:f>
        <x:v>720</x:v>
      </x:c>
      <x:c r="F1201">
        <x:f>ROUND($C1201*10*VLOOKUP($B1201,Sheet2!$J$5:$K$7,2,FALSE)*VLOOKUP(Sheet1!$A1201,Sheet2!$B$5:$H$29,5,FALSE),0)</x:f>
        <x:v>0</x:v>
      </x:c>
      <x:c r="G1201">
        <x:f>ROUND($C1201*10*VLOOKUP($B1201,Sheet2!$J$5:$K$7,2,FALSE)*VLOOKUP(Sheet1!$A1201,Sheet2!$B$5:$H$29,6,FALSE),0)</x:f>
        <x:v>0</x:v>
      </x:c>
      <x:c r="H1201">
        <x:f>ROUND($C1201*10*VLOOKUP($B1201,Sheet2!$J$5:$K$7,2,FALSE)*VLOOKUP(Sheet1!$A1201,Sheet2!$B$5:$H$29,7,FALSE),0)</x:f>
        <x:v>0</x:v>
      </x:c>
      <x:c r="I1201">
        <x:f t="shared" si="19"/>
        <x:v>64740</x:v>
      </x:c>
    </x:row>
    <x:row r="1202" spans="1:9" x14ac:dyDescent="0.15">
      <x:c r="A1202">
        <x:v>54052</x:v>
      </x:c>
      <x:c r="B1202">
        <x:v>3</x:v>
      </x:c>
      <x:c r="C1202">
        <x:v>1</x:v>
      </x:c>
      <x:c r="D1202">
        <x:f>ROUND($C1202*10*VLOOKUP($B1202,Sheet2!$J$5:$K$7,2,FALSE)*VLOOKUP(Sheet1!$A1202,Sheet2!$B$5:$H$29,3,FALSE),0)</x:f>
        <x:v>0</x:v>
      </x:c>
      <x:c r="E1202">
        <x:f>ROUND($C1202*10*VLOOKUP($B1202,Sheet2!$J$5:$K$7,2,FALSE)*VLOOKUP(Sheet1!$A1202,Sheet2!$B$5:$H$29,4,FALSE),0)</x:f>
        <x:v>20</x:v>
      </x:c>
      <x:c r="F1202">
        <x:f>ROUND($C1202*10*VLOOKUP($B1202,Sheet2!$J$5:$K$7,2,FALSE)*VLOOKUP(Sheet1!$A1202,Sheet2!$B$5:$H$29,5,FALSE),0)</x:f>
        <x:v>0</x:v>
      </x:c>
      <x:c r="G1202">
        <x:f>ROUND($C1202*10*VLOOKUP($B1202,Sheet2!$J$5:$K$7,2,FALSE)*VLOOKUP(Sheet1!$A1202,Sheet2!$B$5:$H$29,6,FALSE),0)</x:f>
        <x:v>0</x:v>
      </x:c>
      <x:c r="H1202">
        <x:f>ROUND($C1202*10*VLOOKUP($B1202,Sheet2!$J$5:$K$7,2,FALSE)*VLOOKUP(Sheet1!$A1202,Sheet2!$B$5:$H$29,7,FALSE),0)</x:f>
        <x:v>0</x:v>
      </x:c>
      <x:c r="I1202">
        <x:f t="shared" ref="I1202:I1261" si="20">ROUND(1.2*10*10.5*(C1202-1)^1.8+90,-1)</x:f>
        <x:v>90</x:v>
      </x:c>
    </x:row>
    <x:row r="1203" spans="1:9" x14ac:dyDescent="0.15">
      <x:c r="A1203">
        <x:v>54052</x:v>
      </x:c>
      <x:c r="B1203">
        <x:v>3</x:v>
      </x:c>
      <x:c r="C1203">
        <x:v>2</x:v>
      </x:c>
      <x:c r="D1203">
        <x:f>ROUND($C1203*10*VLOOKUP($B1203,Sheet2!$J$5:$K$7,2,FALSE)*VLOOKUP(Sheet1!$A1203,Sheet2!$B$5:$H$29,3,FALSE),0)</x:f>
        <x:v>0</x:v>
      </x:c>
      <x:c r="E1203">
        <x:f>ROUND($C1203*10*VLOOKUP($B1203,Sheet2!$J$5:$K$7,2,FALSE)*VLOOKUP(Sheet1!$A1203,Sheet2!$B$5:$H$29,4,FALSE),0)</x:f>
        <x:v>40</x:v>
      </x:c>
      <x:c r="F1203">
        <x:f>ROUND($C1203*10*VLOOKUP($B1203,Sheet2!$J$5:$K$7,2,FALSE)*VLOOKUP(Sheet1!$A1203,Sheet2!$B$5:$H$29,5,FALSE),0)</x:f>
        <x:v>0</x:v>
      </x:c>
      <x:c r="G1203">
        <x:f>ROUND($C1203*10*VLOOKUP($B1203,Sheet2!$J$5:$K$7,2,FALSE)*VLOOKUP(Sheet1!$A1203,Sheet2!$B$5:$H$29,6,FALSE),0)</x:f>
        <x:v>0</x:v>
      </x:c>
      <x:c r="H1203">
        <x:f>ROUND($C1203*10*VLOOKUP($B1203,Sheet2!$J$5:$K$7,2,FALSE)*VLOOKUP(Sheet1!$A1203,Sheet2!$B$5:$H$29,7,FALSE),0)</x:f>
        <x:v>0</x:v>
      </x:c>
      <x:c r="I1203">
        <x:f t="shared" si="20"/>
        <x:v>220</x:v>
      </x:c>
    </x:row>
    <x:row r="1204" spans="1:9" x14ac:dyDescent="0.15">
      <x:c r="A1204">
        <x:v>54052</x:v>
      </x:c>
      <x:c r="B1204">
        <x:v>3</x:v>
      </x:c>
      <x:c r="C1204">
        <x:v>3</x:v>
      </x:c>
      <x:c r="D1204">
        <x:f>ROUND($C1204*10*VLOOKUP($B1204,Sheet2!$J$5:$K$7,2,FALSE)*VLOOKUP(Sheet1!$A1204,Sheet2!$B$5:$H$29,3,FALSE),0)</x:f>
        <x:v>0</x:v>
      </x:c>
      <x:c r="E1204">
        <x:f>ROUND($C1204*10*VLOOKUP($B1204,Sheet2!$J$5:$K$7,2,FALSE)*VLOOKUP(Sheet1!$A1204,Sheet2!$B$5:$H$29,4,FALSE),0)</x:f>
        <x:v>60</x:v>
      </x:c>
      <x:c r="F1204">
        <x:f>ROUND($C1204*10*VLOOKUP($B1204,Sheet2!$J$5:$K$7,2,FALSE)*VLOOKUP(Sheet1!$A1204,Sheet2!$B$5:$H$29,5,FALSE),0)</x:f>
        <x:v>0</x:v>
      </x:c>
      <x:c r="G1204">
        <x:f>ROUND($C1204*10*VLOOKUP($B1204,Sheet2!$J$5:$K$7,2,FALSE)*VLOOKUP(Sheet1!$A1204,Sheet2!$B$5:$H$29,6,FALSE),0)</x:f>
        <x:v>0</x:v>
      </x:c>
      <x:c r="H1204">
        <x:f>ROUND($C1204*10*VLOOKUP($B1204,Sheet2!$J$5:$K$7,2,FALSE)*VLOOKUP(Sheet1!$A1204,Sheet2!$B$5:$H$29,7,FALSE),0)</x:f>
        <x:v>0</x:v>
      </x:c>
      <x:c r="I1204">
        <x:f t="shared" si="20"/>
        <x:v>530</x:v>
      </x:c>
    </x:row>
    <x:row r="1205" spans="1:9" x14ac:dyDescent="0.15">
      <x:c r="A1205">
        <x:v>54052</x:v>
      </x:c>
      <x:c r="B1205">
        <x:v>3</x:v>
      </x:c>
      <x:c r="C1205">
        <x:v>4</x:v>
      </x:c>
      <x:c r="D1205">
        <x:f>ROUND($C1205*10*VLOOKUP($B1205,Sheet2!$J$5:$K$7,2,FALSE)*VLOOKUP(Sheet1!$A1205,Sheet2!$B$5:$H$29,3,FALSE),0)</x:f>
        <x:v>0</x:v>
      </x:c>
      <x:c r="E1205">
        <x:f>ROUND($C1205*10*VLOOKUP($B1205,Sheet2!$J$5:$K$7,2,FALSE)*VLOOKUP(Sheet1!$A1205,Sheet2!$B$5:$H$29,4,FALSE),0)</x:f>
        <x:v>80</x:v>
      </x:c>
      <x:c r="F1205">
        <x:f>ROUND($C1205*10*VLOOKUP($B1205,Sheet2!$J$5:$K$7,2,FALSE)*VLOOKUP(Sheet1!$A1205,Sheet2!$B$5:$H$29,5,FALSE),0)</x:f>
        <x:v>0</x:v>
      </x:c>
      <x:c r="G1205">
        <x:f>ROUND($C1205*10*VLOOKUP($B1205,Sheet2!$J$5:$K$7,2,FALSE)*VLOOKUP(Sheet1!$A1205,Sheet2!$B$5:$H$29,6,FALSE),0)</x:f>
        <x:v>0</x:v>
      </x:c>
      <x:c r="H1205">
        <x:f>ROUND($C1205*10*VLOOKUP($B1205,Sheet2!$J$5:$K$7,2,FALSE)*VLOOKUP(Sheet1!$A1205,Sheet2!$B$5:$H$29,7,FALSE),0)</x:f>
        <x:v>0</x:v>
      </x:c>
      <x:c r="I1205">
        <x:f t="shared" si="20"/>
        <x:v>1000</x:v>
      </x:c>
    </x:row>
    <x:row r="1206" spans="1:9" x14ac:dyDescent="0.15">
      <x:c r="A1206">
        <x:v>54052</x:v>
      </x:c>
      <x:c r="B1206">
        <x:v>3</x:v>
      </x:c>
      <x:c r="C1206">
        <x:v>5</x:v>
      </x:c>
      <x:c r="D1206">
        <x:f>ROUND($C1206*10*VLOOKUP($B1206,Sheet2!$J$5:$K$7,2,FALSE)*VLOOKUP(Sheet1!$A1206,Sheet2!$B$5:$H$29,3,FALSE),0)</x:f>
        <x:v>0</x:v>
      </x:c>
      <x:c r="E1206">
        <x:f>ROUND($C1206*10*VLOOKUP($B1206,Sheet2!$J$5:$K$7,2,FALSE)*VLOOKUP(Sheet1!$A1206,Sheet2!$B$5:$H$29,4,FALSE),0)</x:f>
        <x:v>100</x:v>
      </x:c>
      <x:c r="F1206">
        <x:f>ROUND($C1206*10*VLOOKUP($B1206,Sheet2!$J$5:$K$7,2,FALSE)*VLOOKUP(Sheet1!$A1206,Sheet2!$B$5:$H$29,5,FALSE),0)</x:f>
        <x:v>0</x:v>
      </x:c>
      <x:c r="G1206">
        <x:f>ROUND($C1206*10*VLOOKUP($B1206,Sheet2!$J$5:$K$7,2,FALSE)*VLOOKUP(Sheet1!$A1206,Sheet2!$B$5:$H$29,6,FALSE),0)</x:f>
        <x:v>0</x:v>
      </x:c>
      <x:c r="H1206">
        <x:f>ROUND($C1206*10*VLOOKUP($B1206,Sheet2!$J$5:$K$7,2,FALSE)*VLOOKUP(Sheet1!$A1206,Sheet2!$B$5:$H$29,7,FALSE),0)</x:f>
        <x:v>0</x:v>
      </x:c>
      <x:c r="I1206">
        <x:f t="shared" si="20"/>
        <x:v>1620</x:v>
      </x:c>
    </x:row>
    <x:row r="1207" spans="1:9" x14ac:dyDescent="0.15">
      <x:c r="A1207">
        <x:v>54052</x:v>
      </x:c>
      <x:c r="B1207">
        <x:v>3</x:v>
      </x:c>
      <x:c r="C1207">
        <x:v>6</x:v>
      </x:c>
      <x:c r="D1207">
        <x:f>ROUND($C1207*10*VLOOKUP($B1207,Sheet2!$J$5:$K$7,2,FALSE)*VLOOKUP(Sheet1!$A1207,Sheet2!$B$5:$H$29,3,FALSE),0)</x:f>
        <x:v>0</x:v>
      </x:c>
      <x:c r="E1207">
        <x:f>ROUND($C1207*10*VLOOKUP($B1207,Sheet2!$J$5:$K$7,2,FALSE)*VLOOKUP(Sheet1!$A1207,Sheet2!$B$5:$H$29,4,FALSE),0)</x:f>
        <x:v>120</x:v>
      </x:c>
      <x:c r="F1207">
        <x:f>ROUND($C1207*10*VLOOKUP($B1207,Sheet2!$J$5:$K$7,2,FALSE)*VLOOKUP(Sheet1!$A1207,Sheet2!$B$5:$H$29,5,FALSE),0)</x:f>
        <x:v>0</x:v>
      </x:c>
      <x:c r="G1207">
        <x:f>ROUND($C1207*10*VLOOKUP($B1207,Sheet2!$J$5:$K$7,2,FALSE)*VLOOKUP(Sheet1!$A1207,Sheet2!$B$5:$H$29,6,FALSE),0)</x:f>
        <x:v>0</x:v>
      </x:c>
      <x:c r="H1207">
        <x:f>ROUND($C1207*10*VLOOKUP($B1207,Sheet2!$J$5:$K$7,2,FALSE)*VLOOKUP(Sheet1!$A1207,Sheet2!$B$5:$H$29,7,FALSE),0)</x:f>
        <x:v>0</x:v>
      </x:c>
      <x:c r="I1207">
        <x:f t="shared" si="20"/>
        <x:v>2370</x:v>
      </x:c>
    </x:row>
    <x:row r="1208" spans="1:9" x14ac:dyDescent="0.15">
      <x:c r="A1208">
        <x:v>54052</x:v>
      </x:c>
      <x:c r="B1208">
        <x:v>3</x:v>
      </x:c>
      <x:c r="C1208">
        <x:v>7</x:v>
      </x:c>
      <x:c r="D1208">
        <x:f>ROUND($C1208*10*VLOOKUP($B1208,Sheet2!$J$5:$K$7,2,FALSE)*VLOOKUP(Sheet1!$A1208,Sheet2!$B$5:$H$29,3,FALSE),0)</x:f>
        <x:v>0</x:v>
      </x:c>
      <x:c r="E1208">
        <x:f>ROUND($C1208*10*VLOOKUP($B1208,Sheet2!$J$5:$K$7,2,FALSE)*VLOOKUP(Sheet1!$A1208,Sheet2!$B$5:$H$29,4,FALSE),0)</x:f>
        <x:v>140</x:v>
      </x:c>
      <x:c r="F1208">
        <x:f>ROUND($C1208*10*VLOOKUP($B1208,Sheet2!$J$5:$K$7,2,FALSE)*VLOOKUP(Sheet1!$A1208,Sheet2!$B$5:$H$29,5,FALSE),0)</x:f>
        <x:v>0</x:v>
      </x:c>
      <x:c r="G1208">
        <x:f>ROUND($C1208*10*VLOOKUP($B1208,Sheet2!$J$5:$K$7,2,FALSE)*VLOOKUP(Sheet1!$A1208,Sheet2!$B$5:$H$29,6,FALSE),0)</x:f>
        <x:v>0</x:v>
      </x:c>
      <x:c r="H1208">
        <x:f>ROUND($C1208*10*VLOOKUP($B1208,Sheet2!$J$5:$K$7,2,FALSE)*VLOOKUP(Sheet1!$A1208,Sheet2!$B$5:$H$29,7,FALSE),0)</x:f>
        <x:v>0</x:v>
      </x:c>
      <x:c r="I1208">
        <x:f t="shared" si="20"/>
        <x:v>3260</x:v>
      </x:c>
    </x:row>
    <x:row r="1209" spans="1:9" x14ac:dyDescent="0.15">
      <x:c r="A1209">
        <x:v>54052</x:v>
      </x:c>
      <x:c r="B1209">
        <x:v>3</x:v>
      </x:c>
      <x:c r="C1209">
        <x:v>8</x:v>
      </x:c>
      <x:c r="D1209">
        <x:f>ROUND($C1209*10*VLOOKUP($B1209,Sheet2!$J$5:$K$7,2,FALSE)*VLOOKUP(Sheet1!$A1209,Sheet2!$B$5:$H$29,3,FALSE),0)</x:f>
        <x:v>0</x:v>
      </x:c>
      <x:c r="E1209">
        <x:f>ROUND($C1209*10*VLOOKUP($B1209,Sheet2!$J$5:$K$7,2,FALSE)*VLOOKUP(Sheet1!$A1209,Sheet2!$B$5:$H$29,4,FALSE),0)</x:f>
        <x:v>160</x:v>
      </x:c>
      <x:c r="F1209">
        <x:f>ROUND($C1209*10*VLOOKUP($B1209,Sheet2!$J$5:$K$7,2,FALSE)*VLOOKUP(Sheet1!$A1209,Sheet2!$B$5:$H$29,5,FALSE),0)</x:f>
        <x:v>0</x:v>
      </x:c>
      <x:c r="G1209">
        <x:f>ROUND($C1209*10*VLOOKUP($B1209,Sheet2!$J$5:$K$7,2,FALSE)*VLOOKUP(Sheet1!$A1209,Sheet2!$B$5:$H$29,6,FALSE),0)</x:f>
        <x:v>0</x:v>
      </x:c>
      <x:c r="H1209">
        <x:f>ROUND($C1209*10*VLOOKUP($B1209,Sheet2!$J$5:$K$7,2,FALSE)*VLOOKUP(Sheet1!$A1209,Sheet2!$B$5:$H$29,7,FALSE),0)</x:f>
        <x:v>0</x:v>
      </x:c>
      <x:c r="I1209">
        <x:f t="shared" si="20"/>
        <x:v>4270</x:v>
      </x:c>
    </x:row>
    <x:row r="1210" spans="1:9" x14ac:dyDescent="0.15">
      <x:c r="A1210">
        <x:v>54052</x:v>
      </x:c>
      <x:c r="B1210">
        <x:v>3</x:v>
      </x:c>
      <x:c r="C1210">
        <x:v>9</x:v>
      </x:c>
      <x:c r="D1210">
        <x:f>ROUND($C1210*10*VLOOKUP($B1210,Sheet2!$J$5:$K$7,2,FALSE)*VLOOKUP(Sheet1!$A1210,Sheet2!$B$5:$H$29,3,FALSE),0)</x:f>
        <x:v>0</x:v>
      </x:c>
      <x:c r="E1210">
        <x:f>ROUND($C1210*10*VLOOKUP($B1210,Sheet2!$J$5:$K$7,2,FALSE)*VLOOKUP(Sheet1!$A1210,Sheet2!$B$5:$H$29,4,FALSE),0)</x:f>
        <x:v>180</x:v>
      </x:c>
      <x:c r="F1210">
        <x:f>ROUND($C1210*10*VLOOKUP($B1210,Sheet2!$J$5:$K$7,2,FALSE)*VLOOKUP(Sheet1!$A1210,Sheet2!$B$5:$H$29,5,FALSE),0)</x:f>
        <x:v>0</x:v>
      </x:c>
      <x:c r="G1210">
        <x:f>ROUND($C1210*10*VLOOKUP($B1210,Sheet2!$J$5:$K$7,2,FALSE)*VLOOKUP(Sheet1!$A1210,Sheet2!$B$5:$H$29,6,FALSE),0)</x:f>
        <x:v>0</x:v>
      </x:c>
      <x:c r="H1210">
        <x:f>ROUND($C1210*10*VLOOKUP($B1210,Sheet2!$J$5:$K$7,2,FALSE)*VLOOKUP(Sheet1!$A1210,Sheet2!$B$5:$H$29,7,FALSE),0)</x:f>
        <x:v>0</x:v>
      </x:c>
      <x:c r="I1210">
        <x:f t="shared" si="20"/>
        <x:v>5410</x:v>
      </x:c>
    </x:row>
    <x:row r="1211" spans="1:9" x14ac:dyDescent="0.15">
      <x:c r="A1211">
        <x:v>54052</x:v>
      </x:c>
      <x:c r="B1211">
        <x:v>3</x:v>
      </x:c>
      <x:c r="C1211">
        <x:v>10</x:v>
      </x:c>
      <x:c r="D1211">
        <x:f>ROUND($C1211*10*VLOOKUP($B1211,Sheet2!$J$5:$K$7,2,FALSE)*VLOOKUP(Sheet1!$A1211,Sheet2!$B$5:$H$29,3,FALSE),0)</x:f>
        <x:v>0</x:v>
      </x:c>
      <x:c r="E1211">
        <x:f>ROUND($C1211*10*VLOOKUP($B1211,Sheet2!$J$5:$K$7,2,FALSE)*VLOOKUP(Sheet1!$A1211,Sheet2!$B$5:$H$29,4,FALSE),0)</x:f>
        <x:v>200</x:v>
      </x:c>
      <x:c r="F1211">
        <x:f>ROUND($C1211*10*VLOOKUP($B1211,Sheet2!$J$5:$K$7,2,FALSE)*VLOOKUP(Sheet1!$A1211,Sheet2!$B$5:$H$29,5,FALSE),0)</x:f>
        <x:v>0</x:v>
      </x:c>
      <x:c r="G1211">
        <x:f>ROUND($C1211*10*VLOOKUP($B1211,Sheet2!$J$5:$K$7,2,FALSE)*VLOOKUP(Sheet1!$A1211,Sheet2!$B$5:$H$29,6,FALSE),0)</x:f>
        <x:v>0</x:v>
      </x:c>
      <x:c r="H1211">
        <x:f>ROUND($C1211*10*VLOOKUP($B1211,Sheet2!$J$5:$K$7,2,FALSE)*VLOOKUP(Sheet1!$A1211,Sheet2!$B$5:$H$29,7,FALSE),0)</x:f>
        <x:v>0</x:v>
      </x:c>
      <x:c r="I1211">
        <x:f t="shared" si="20"/>
        <x:v>6670</x:v>
      </x:c>
    </x:row>
    <x:row r="1212" spans="1:9" x14ac:dyDescent="0.15">
      <x:c r="A1212">
        <x:v>54052</x:v>
      </x:c>
      <x:c r="B1212">
        <x:v>3</x:v>
      </x:c>
      <x:c r="C1212">
        <x:v>11</x:v>
      </x:c>
      <x:c r="D1212">
        <x:f>ROUND($C1212*10*VLOOKUP($B1212,Sheet2!$J$5:$K$7,2,FALSE)*VLOOKUP(Sheet1!$A1212,Sheet2!$B$5:$H$29,3,FALSE),0)</x:f>
        <x:v>0</x:v>
      </x:c>
      <x:c r="E1212">
        <x:f>ROUND($C1212*10*VLOOKUP($B1212,Sheet2!$J$5:$K$7,2,FALSE)*VLOOKUP(Sheet1!$A1212,Sheet2!$B$5:$H$29,4,FALSE),0)</x:f>
        <x:v>220</x:v>
      </x:c>
      <x:c r="F1212">
        <x:f>ROUND($C1212*10*VLOOKUP($B1212,Sheet2!$J$5:$K$7,2,FALSE)*VLOOKUP(Sheet1!$A1212,Sheet2!$B$5:$H$29,5,FALSE),0)</x:f>
        <x:v>0</x:v>
      </x:c>
      <x:c r="G1212">
        <x:f>ROUND($C1212*10*VLOOKUP($B1212,Sheet2!$J$5:$K$7,2,FALSE)*VLOOKUP(Sheet1!$A1212,Sheet2!$B$5:$H$29,6,FALSE),0)</x:f>
        <x:v>0</x:v>
      </x:c>
      <x:c r="H1212">
        <x:f>ROUND($C1212*10*VLOOKUP($B1212,Sheet2!$J$5:$K$7,2,FALSE)*VLOOKUP(Sheet1!$A1212,Sheet2!$B$5:$H$29,7,FALSE),0)</x:f>
        <x:v>0</x:v>
      </x:c>
      <x:c r="I1212">
        <x:f t="shared" si="20"/>
        <x:v>8040</x:v>
      </x:c>
    </x:row>
    <x:row r="1213" spans="1:9" x14ac:dyDescent="0.15">
      <x:c r="A1213">
        <x:v>54052</x:v>
      </x:c>
      <x:c r="B1213">
        <x:v>3</x:v>
      </x:c>
      <x:c r="C1213">
        <x:v>12</x:v>
      </x:c>
      <x:c r="D1213">
        <x:f>ROUND($C1213*10*VLOOKUP($B1213,Sheet2!$J$5:$K$7,2,FALSE)*VLOOKUP(Sheet1!$A1213,Sheet2!$B$5:$H$29,3,FALSE),0)</x:f>
        <x:v>0</x:v>
      </x:c>
      <x:c r="E1213">
        <x:f>ROUND($C1213*10*VLOOKUP($B1213,Sheet2!$J$5:$K$7,2,FALSE)*VLOOKUP(Sheet1!$A1213,Sheet2!$B$5:$H$29,4,FALSE),0)</x:f>
        <x:v>240</x:v>
      </x:c>
      <x:c r="F1213">
        <x:f>ROUND($C1213*10*VLOOKUP($B1213,Sheet2!$J$5:$K$7,2,FALSE)*VLOOKUP(Sheet1!$A1213,Sheet2!$B$5:$H$29,5,FALSE),0)</x:f>
        <x:v>0</x:v>
      </x:c>
      <x:c r="G1213">
        <x:f>ROUND($C1213*10*VLOOKUP($B1213,Sheet2!$J$5:$K$7,2,FALSE)*VLOOKUP(Sheet1!$A1213,Sheet2!$B$5:$H$29,6,FALSE),0)</x:f>
        <x:v>0</x:v>
      </x:c>
      <x:c r="H1213">
        <x:f>ROUND($C1213*10*VLOOKUP($B1213,Sheet2!$J$5:$K$7,2,FALSE)*VLOOKUP(Sheet1!$A1213,Sheet2!$B$5:$H$29,7,FALSE),0)</x:f>
        <x:v>0</x:v>
      </x:c>
      <x:c r="I1213">
        <x:f t="shared" si="20"/>
        <x:v>9530</x:v>
      </x:c>
    </x:row>
    <x:row r="1214" spans="1:9" x14ac:dyDescent="0.15">
      <x:c r="A1214">
        <x:v>54052</x:v>
      </x:c>
      <x:c r="B1214">
        <x:v>3</x:v>
      </x:c>
      <x:c r="C1214">
        <x:v>13</x:v>
      </x:c>
      <x:c r="D1214">
        <x:f>ROUND($C1214*10*VLOOKUP($B1214,Sheet2!$J$5:$K$7,2,FALSE)*VLOOKUP(Sheet1!$A1214,Sheet2!$B$5:$H$29,3,FALSE),0)</x:f>
        <x:v>0</x:v>
      </x:c>
      <x:c r="E1214">
        <x:f>ROUND($C1214*10*VLOOKUP($B1214,Sheet2!$J$5:$K$7,2,FALSE)*VLOOKUP(Sheet1!$A1214,Sheet2!$B$5:$H$29,4,FALSE),0)</x:f>
        <x:v>260</x:v>
      </x:c>
      <x:c r="F1214">
        <x:f>ROUND($C1214*10*VLOOKUP($B1214,Sheet2!$J$5:$K$7,2,FALSE)*VLOOKUP(Sheet1!$A1214,Sheet2!$B$5:$H$29,5,FALSE),0)</x:f>
        <x:v>0</x:v>
      </x:c>
      <x:c r="G1214">
        <x:f>ROUND($C1214*10*VLOOKUP($B1214,Sheet2!$J$5:$K$7,2,FALSE)*VLOOKUP(Sheet1!$A1214,Sheet2!$B$5:$H$29,6,FALSE),0)</x:f>
        <x:v>0</x:v>
      </x:c>
      <x:c r="H1214">
        <x:f>ROUND($C1214*10*VLOOKUP($B1214,Sheet2!$J$5:$K$7,2,FALSE)*VLOOKUP(Sheet1!$A1214,Sheet2!$B$5:$H$29,7,FALSE),0)</x:f>
        <x:v>0</x:v>
      </x:c>
      <x:c r="I1214">
        <x:f t="shared" si="20"/>
        <x:v>11130</x:v>
      </x:c>
    </x:row>
    <x:row r="1215" spans="1:9" x14ac:dyDescent="0.15">
      <x:c r="A1215">
        <x:v>54052</x:v>
      </x:c>
      <x:c r="B1215">
        <x:v>3</x:v>
      </x:c>
      <x:c r="C1215">
        <x:v>14</x:v>
      </x:c>
      <x:c r="D1215">
        <x:f>ROUND($C1215*10*VLOOKUP($B1215,Sheet2!$J$5:$K$7,2,FALSE)*VLOOKUP(Sheet1!$A1215,Sheet2!$B$5:$H$29,3,FALSE),0)</x:f>
        <x:v>0</x:v>
      </x:c>
      <x:c r="E1215">
        <x:f>ROUND($C1215*10*VLOOKUP($B1215,Sheet2!$J$5:$K$7,2,FALSE)*VLOOKUP(Sheet1!$A1215,Sheet2!$B$5:$H$29,4,FALSE),0)</x:f>
        <x:v>280</x:v>
      </x:c>
      <x:c r="F1215">
        <x:f>ROUND($C1215*10*VLOOKUP($B1215,Sheet2!$J$5:$K$7,2,FALSE)*VLOOKUP(Sheet1!$A1215,Sheet2!$B$5:$H$29,5,FALSE),0)</x:f>
        <x:v>0</x:v>
      </x:c>
      <x:c r="G1215">
        <x:f>ROUND($C1215*10*VLOOKUP($B1215,Sheet2!$J$5:$K$7,2,FALSE)*VLOOKUP(Sheet1!$A1215,Sheet2!$B$5:$H$29,6,FALSE),0)</x:f>
        <x:v>0</x:v>
      </x:c>
      <x:c r="H1215">
        <x:f>ROUND($C1215*10*VLOOKUP($B1215,Sheet2!$J$5:$K$7,2,FALSE)*VLOOKUP(Sheet1!$A1215,Sheet2!$B$5:$H$29,7,FALSE),0)</x:f>
        <x:v>0</x:v>
      </x:c>
      <x:c r="I1215">
        <x:f t="shared" si="20"/>
        <x:v>12840</x:v>
      </x:c>
    </x:row>
    <x:row r="1216" spans="1:9" x14ac:dyDescent="0.15">
      <x:c r="A1216">
        <x:v>54052</x:v>
      </x:c>
      <x:c r="B1216">
        <x:v>3</x:v>
      </x:c>
      <x:c r="C1216">
        <x:v>15</x:v>
      </x:c>
      <x:c r="D1216">
        <x:f>ROUND($C1216*10*VLOOKUP($B1216,Sheet2!$J$5:$K$7,2,FALSE)*VLOOKUP(Sheet1!$A1216,Sheet2!$B$5:$H$29,3,FALSE),0)</x:f>
        <x:v>0</x:v>
      </x:c>
      <x:c r="E1216">
        <x:f>ROUND($C1216*10*VLOOKUP($B1216,Sheet2!$J$5:$K$7,2,FALSE)*VLOOKUP(Sheet1!$A1216,Sheet2!$B$5:$H$29,4,FALSE),0)</x:f>
        <x:v>300</x:v>
      </x:c>
      <x:c r="F1216">
        <x:f>ROUND($C1216*10*VLOOKUP($B1216,Sheet2!$J$5:$K$7,2,FALSE)*VLOOKUP(Sheet1!$A1216,Sheet2!$B$5:$H$29,5,FALSE),0)</x:f>
        <x:v>0</x:v>
      </x:c>
      <x:c r="G1216">
        <x:f>ROUND($C1216*10*VLOOKUP($B1216,Sheet2!$J$5:$K$7,2,FALSE)*VLOOKUP(Sheet1!$A1216,Sheet2!$B$5:$H$29,6,FALSE),0)</x:f>
        <x:v>0</x:v>
      </x:c>
      <x:c r="H1216">
        <x:f>ROUND($C1216*10*VLOOKUP($B1216,Sheet2!$J$5:$K$7,2,FALSE)*VLOOKUP(Sheet1!$A1216,Sheet2!$B$5:$H$29,7,FALSE),0)</x:f>
        <x:v>0</x:v>
      </x:c>
      <x:c r="I1216">
        <x:f t="shared" si="20"/>
        <x:v>14660</x:v>
      </x:c>
    </x:row>
    <x:row r="1217" spans="1:9" x14ac:dyDescent="0.15">
      <x:c r="A1217">
        <x:v>54052</x:v>
      </x:c>
      <x:c r="B1217">
        <x:v>3</x:v>
      </x:c>
      <x:c r="C1217">
        <x:v>16</x:v>
      </x:c>
      <x:c r="D1217">
        <x:f>ROUND($C1217*10*VLOOKUP($B1217,Sheet2!$J$5:$K$7,2,FALSE)*VLOOKUP(Sheet1!$A1217,Sheet2!$B$5:$H$29,3,FALSE),0)</x:f>
        <x:v>0</x:v>
      </x:c>
      <x:c r="E1217">
        <x:f>ROUND($C1217*10*VLOOKUP($B1217,Sheet2!$J$5:$K$7,2,FALSE)*VLOOKUP(Sheet1!$A1217,Sheet2!$B$5:$H$29,4,FALSE),0)</x:f>
        <x:v>320</x:v>
      </x:c>
      <x:c r="F1217">
        <x:f>ROUND($C1217*10*VLOOKUP($B1217,Sheet2!$J$5:$K$7,2,FALSE)*VLOOKUP(Sheet1!$A1217,Sheet2!$B$5:$H$29,5,FALSE),0)</x:f>
        <x:v>0</x:v>
      </x:c>
      <x:c r="G1217">
        <x:f>ROUND($C1217*10*VLOOKUP($B1217,Sheet2!$J$5:$K$7,2,FALSE)*VLOOKUP(Sheet1!$A1217,Sheet2!$B$5:$H$29,6,FALSE),0)</x:f>
        <x:v>0</x:v>
      </x:c>
      <x:c r="H1217">
        <x:f>ROUND($C1217*10*VLOOKUP($B1217,Sheet2!$J$5:$K$7,2,FALSE)*VLOOKUP(Sheet1!$A1217,Sheet2!$B$5:$H$29,7,FALSE),0)</x:f>
        <x:v>0</x:v>
      </x:c>
      <x:c r="I1217">
        <x:f t="shared" si="20"/>
        <x:v>16580</x:v>
      </x:c>
    </x:row>
    <x:row r="1218" spans="1:9" x14ac:dyDescent="0.15">
      <x:c r="A1218">
        <x:v>54052</x:v>
      </x:c>
      <x:c r="B1218">
        <x:v>3</x:v>
      </x:c>
      <x:c r="C1218">
        <x:v>17</x:v>
      </x:c>
      <x:c r="D1218">
        <x:f>ROUND($C1218*10*VLOOKUP($B1218,Sheet2!$J$5:$K$7,2,FALSE)*VLOOKUP(Sheet1!$A1218,Sheet2!$B$5:$H$29,3,FALSE),0)</x:f>
        <x:v>0</x:v>
      </x:c>
      <x:c r="E1218">
        <x:f>ROUND($C1218*10*VLOOKUP($B1218,Sheet2!$J$5:$K$7,2,FALSE)*VLOOKUP(Sheet1!$A1218,Sheet2!$B$5:$H$29,4,FALSE),0)</x:f>
        <x:v>340</x:v>
      </x:c>
      <x:c r="F1218">
        <x:f>ROUND($C1218*10*VLOOKUP($B1218,Sheet2!$J$5:$K$7,2,FALSE)*VLOOKUP(Sheet1!$A1218,Sheet2!$B$5:$H$29,5,FALSE),0)</x:f>
        <x:v>0</x:v>
      </x:c>
      <x:c r="G1218">
        <x:f>ROUND($C1218*10*VLOOKUP($B1218,Sheet2!$J$5:$K$7,2,FALSE)*VLOOKUP(Sheet1!$A1218,Sheet2!$B$5:$H$29,6,FALSE),0)</x:f>
        <x:v>0</x:v>
      </x:c>
      <x:c r="H1218">
        <x:f>ROUND($C1218*10*VLOOKUP($B1218,Sheet2!$J$5:$K$7,2,FALSE)*VLOOKUP(Sheet1!$A1218,Sheet2!$B$5:$H$29,7,FALSE),0)</x:f>
        <x:v>0</x:v>
      </x:c>
      <x:c r="I1218">
        <x:f t="shared" si="20"/>
        <x:v>18620</x:v>
      </x:c>
    </x:row>
    <x:row r="1219" spans="1:9" x14ac:dyDescent="0.15">
      <x:c r="A1219">
        <x:v>54052</x:v>
      </x:c>
      <x:c r="B1219">
        <x:v>3</x:v>
      </x:c>
      <x:c r="C1219">
        <x:v>18</x:v>
      </x:c>
      <x:c r="D1219">
        <x:f>ROUND($C1219*10*VLOOKUP($B1219,Sheet2!$J$5:$K$7,2,FALSE)*VLOOKUP(Sheet1!$A1219,Sheet2!$B$5:$H$29,3,FALSE),0)</x:f>
        <x:v>0</x:v>
      </x:c>
      <x:c r="E1219">
        <x:f>ROUND($C1219*10*VLOOKUP($B1219,Sheet2!$J$5:$K$7,2,FALSE)*VLOOKUP(Sheet1!$A1219,Sheet2!$B$5:$H$29,4,FALSE),0)</x:f>
        <x:v>360</x:v>
      </x:c>
      <x:c r="F1219">
        <x:f>ROUND($C1219*10*VLOOKUP($B1219,Sheet2!$J$5:$K$7,2,FALSE)*VLOOKUP(Sheet1!$A1219,Sheet2!$B$5:$H$29,5,FALSE),0)</x:f>
        <x:v>0</x:v>
      </x:c>
      <x:c r="G1219">
        <x:f>ROUND($C1219*10*VLOOKUP($B1219,Sheet2!$J$5:$K$7,2,FALSE)*VLOOKUP(Sheet1!$A1219,Sheet2!$B$5:$H$29,6,FALSE),0)</x:f>
        <x:v>0</x:v>
      </x:c>
      <x:c r="H1219">
        <x:f>ROUND($C1219*10*VLOOKUP($B1219,Sheet2!$J$5:$K$7,2,FALSE)*VLOOKUP(Sheet1!$A1219,Sheet2!$B$5:$H$29,7,FALSE),0)</x:f>
        <x:v>0</x:v>
      </x:c>
      <x:c r="I1219">
        <x:f t="shared" si="20"/>
        <x:v>20750</x:v>
      </x:c>
    </x:row>
    <x:row r="1220" spans="1:9" x14ac:dyDescent="0.15">
      <x:c r="A1220">
        <x:v>54052</x:v>
      </x:c>
      <x:c r="B1220">
        <x:v>3</x:v>
      </x:c>
      <x:c r="C1220">
        <x:v>19</x:v>
      </x:c>
      <x:c r="D1220">
        <x:f>ROUND($C1220*10*VLOOKUP($B1220,Sheet2!$J$5:$K$7,2,FALSE)*VLOOKUP(Sheet1!$A1220,Sheet2!$B$5:$H$29,3,FALSE),0)</x:f>
        <x:v>0</x:v>
      </x:c>
      <x:c r="E1220">
        <x:f>ROUND($C1220*10*VLOOKUP($B1220,Sheet2!$J$5:$K$7,2,FALSE)*VLOOKUP(Sheet1!$A1220,Sheet2!$B$5:$H$29,4,FALSE),0)</x:f>
        <x:v>380</x:v>
      </x:c>
      <x:c r="F1220">
        <x:f>ROUND($C1220*10*VLOOKUP($B1220,Sheet2!$J$5:$K$7,2,FALSE)*VLOOKUP(Sheet1!$A1220,Sheet2!$B$5:$H$29,5,FALSE),0)</x:f>
        <x:v>0</x:v>
      </x:c>
      <x:c r="G1220">
        <x:f>ROUND($C1220*10*VLOOKUP($B1220,Sheet2!$J$5:$K$7,2,FALSE)*VLOOKUP(Sheet1!$A1220,Sheet2!$B$5:$H$29,6,FALSE),0)</x:f>
        <x:v>0</x:v>
      </x:c>
      <x:c r="H1220">
        <x:f>ROUND($C1220*10*VLOOKUP($B1220,Sheet2!$J$5:$K$7,2,FALSE)*VLOOKUP(Sheet1!$A1220,Sheet2!$B$5:$H$29,7,FALSE),0)</x:f>
        <x:v>0</x:v>
      </x:c>
      <x:c r="I1220">
        <x:f t="shared" si="20"/>
        <x:v>22990</x:v>
      </x:c>
    </x:row>
    <x:row r="1221" spans="1:9" x14ac:dyDescent="0.15">
      <x:c r="A1221">
        <x:v>54052</x:v>
      </x:c>
      <x:c r="B1221">
        <x:v>3</x:v>
      </x:c>
      <x:c r="C1221">
        <x:v>20</x:v>
      </x:c>
      <x:c r="D1221">
        <x:f>ROUND($C1221*10*VLOOKUP($B1221,Sheet2!$J$5:$K$7,2,FALSE)*VLOOKUP(Sheet1!$A1221,Sheet2!$B$5:$H$29,3,FALSE),0)</x:f>
        <x:v>0</x:v>
      </x:c>
      <x:c r="E1221">
        <x:f>ROUND($C1221*10*VLOOKUP($B1221,Sheet2!$J$5:$K$7,2,FALSE)*VLOOKUP(Sheet1!$A1221,Sheet2!$B$5:$H$29,4,FALSE),0)</x:f>
        <x:v>400</x:v>
      </x:c>
      <x:c r="F1221">
        <x:f>ROUND($C1221*10*VLOOKUP($B1221,Sheet2!$J$5:$K$7,2,FALSE)*VLOOKUP(Sheet1!$A1221,Sheet2!$B$5:$H$29,5,FALSE),0)</x:f>
        <x:v>0</x:v>
      </x:c>
      <x:c r="G1221">
        <x:f>ROUND($C1221*10*VLOOKUP($B1221,Sheet2!$J$5:$K$7,2,FALSE)*VLOOKUP(Sheet1!$A1221,Sheet2!$B$5:$H$29,6,FALSE),0)</x:f>
        <x:v>0</x:v>
      </x:c>
      <x:c r="H1221">
        <x:f>ROUND($C1221*10*VLOOKUP($B1221,Sheet2!$J$5:$K$7,2,FALSE)*VLOOKUP(Sheet1!$A1221,Sheet2!$B$5:$H$29,7,FALSE),0)</x:f>
        <x:v>0</x:v>
      </x:c>
      <x:c r="I1221">
        <x:f t="shared" si="20"/>
        <x:v>25330</x:v>
      </x:c>
    </x:row>
    <x:row r="1222" spans="1:9" x14ac:dyDescent="0.15">
      <x:c r="A1222">
        <x:v>54052</x:v>
      </x:c>
      <x:c r="B1222">
        <x:v>3</x:v>
      </x:c>
      <x:c r="C1222">
        <x:v>21</x:v>
      </x:c>
      <x:c r="D1222">
        <x:f>ROUND($C1222*10*VLOOKUP($B1222,Sheet2!$J$5:$K$7,2,FALSE)*VLOOKUP(Sheet1!$A1222,Sheet2!$B$5:$H$29,3,FALSE),0)</x:f>
        <x:v>0</x:v>
      </x:c>
      <x:c r="E1222">
        <x:f>ROUND($C1222*10*VLOOKUP($B1222,Sheet2!$J$5:$K$7,2,FALSE)*VLOOKUP(Sheet1!$A1222,Sheet2!$B$5:$H$29,4,FALSE),0)</x:f>
        <x:v>420</x:v>
      </x:c>
      <x:c r="F1222">
        <x:f>ROUND($C1222*10*VLOOKUP($B1222,Sheet2!$J$5:$K$7,2,FALSE)*VLOOKUP(Sheet1!$A1222,Sheet2!$B$5:$H$29,5,FALSE),0)</x:f>
        <x:v>0</x:v>
      </x:c>
      <x:c r="G1222">
        <x:f>ROUND($C1222*10*VLOOKUP($B1222,Sheet2!$J$5:$K$7,2,FALSE)*VLOOKUP(Sheet1!$A1222,Sheet2!$B$5:$H$29,6,FALSE),0)</x:f>
        <x:v>0</x:v>
      </x:c>
      <x:c r="H1222">
        <x:f>ROUND($C1222*10*VLOOKUP($B1222,Sheet2!$J$5:$K$7,2,FALSE)*VLOOKUP(Sheet1!$A1222,Sheet2!$B$5:$H$29,7,FALSE),0)</x:f>
        <x:v>0</x:v>
      </x:c>
      <x:c r="I1222">
        <x:f t="shared" si="20"/>
        <x:v>27770</x:v>
      </x:c>
    </x:row>
    <x:row r="1223" spans="1:9" x14ac:dyDescent="0.15">
      <x:c r="A1223">
        <x:v>54052</x:v>
      </x:c>
      <x:c r="B1223">
        <x:v>3</x:v>
      </x:c>
      <x:c r="C1223">
        <x:v>22</x:v>
      </x:c>
      <x:c r="D1223">
        <x:f>ROUND($C1223*10*VLOOKUP($B1223,Sheet2!$J$5:$K$7,2,FALSE)*VLOOKUP(Sheet1!$A1223,Sheet2!$B$5:$H$29,3,FALSE),0)</x:f>
        <x:v>0</x:v>
      </x:c>
      <x:c r="E1223">
        <x:f>ROUND($C1223*10*VLOOKUP($B1223,Sheet2!$J$5:$K$7,2,FALSE)*VLOOKUP(Sheet1!$A1223,Sheet2!$B$5:$H$29,4,FALSE),0)</x:f>
        <x:v>440</x:v>
      </x:c>
      <x:c r="F1223">
        <x:f>ROUND($C1223*10*VLOOKUP($B1223,Sheet2!$J$5:$K$7,2,FALSE)*VLOOKUP(Sheet1!$A1223,Sheet2!$B$5:$H$29,5,FALSE),0)</x:f>
        <x:v>0</x:v>
      </x:c>
      <x:c r="G1223">
        <x:f>ROUND($C1223*10*VLOOKUP($B1223,Sheet2!$J$5:$K$7,2,FALSE)*VLOOKUP(Sheet1!$A1223,Sheet2!$B$5:$H$29,6,FALSE),0)</x:f>
        <x:v>0</x:v>
      </x:c>
      <x:c r="H1223">
        <x:f>ROUND($C1223*10*VLOOKUP($B1223,Sheet2!$J$5:$K$7,2,FALSE)*VLOOKUP(Sheet1!$A1223,Sheet2!$B$5:$H$29,7,FALSE),0)</x:f>
        <x:v>0</x:v>
      </x:c>
      <x:c r="I1223">
        <x:f t="shared" si="20"/>
        <x:v>30310</x:v>
      </x:c>
    </x:row>
    <x:row r="1224" spans="1:9" x14ac:dyDescent="0.15">
      <x:c r="A1224">
        <x:v>54052</x:v>
      </x:c>
      <x:c r="B1224">
        <x:v>3</x:v>
      </x:c>
      <x:c r="C1224">
        <x:v>23</x:v>
      </x:c>
      <x:c r="D1224">
        <x:f>ROUND($C1224*10*VLOOKUP($B1224,Sheet2!$J$5:$K$7,2,FALSE)*VLOOKUP(Sheet1!$A1224,Sheet2!$B$5:$H$29,3,FALSE),0)</x:f>
        <x:v>0</x:v>
      </x:c>
      <x:c r="E1224">
        <x:f>ROUND($C1224*10*VLOOKUP($B1224,Sheet2!$J$5:$K$7,2,FALSE)*VLOOKUP(Sheet1!$A1224,Sheet2!$B$5:$H$29,4,FALSE),0)</x:f>
        <x:v>460</x:v>
      </x:c>
      <x:c r="F1224">
        <x:f>ROUND($C1224*10*VLOOKUP($B1224,Sheet2!$J$5:$K$7,2,FALSE)*VLOOKUP(Sheet1!$A1224,Sheet2!$B$5:$H$29,5,FALSE),0)</x:f>
        <x:v>0</x:v>
      </x:c>
      <x:c r="G1224">
        <x:f>ROUND($C1224*10*VLOOKUP($B1224,Sheet2!$J$5:$K$7,2,FALSE)*VLOOKUP(Sheet1!$A1224,Sheet2!$B$5:$H$29,6,FALSE),0)</x:f>
        <x:v>0</x:v>
      </x:c>
      <x:c r="H1224">
        <x:f>ROUND($C1224*10*VLOOKUP($B1224,Sheet2!$J$5:$K$7,2,FALSE)*VLOOKUP(Sheet1!$A1224,Sheet2!$B$5:$H$29,7,FALSE),0)</x:f>
        <x:v>0</x:v>
      </x:c>
      <x:c r="I1224">
        <x:f t="shared" si="20"/>
        <x:v>32950</x:v>
      </x:c>
    </x:row>
    <x:row r="1225" spans="1:9" x14ac:dyDescent="0.15">
      <x:c r="A1225">
        <x:v>54052</x:v>
      </x:c>
      <x:c r="B1225">
        <x:v>3</x:v>
      </x:c>
      <x:c r="C1225">
        <x:v>24</x:v>
      </x:c>
      <x:c r="D1225">
        <x:f>ROUND($C1225*10*VLOOKUP($B1225,Sheet2!$J$5:$K$7,2,FALSE)*VLOOKUP(Sheet1!$A1225,Sheet2!$B$5:$H$29,3,FALSE),0)</x:f>
        <x:v>0</x:v>
      </x:c>
      <x:c r="E1225">
        <x:f>ROUND($C1225*10*VLOOKUP($B1225,Sheet2!$J$5:$K$7,2,FALSE)*VLOOKUP(Sheet1!$A1225,Sheet2!$B$5:$H$29,4,FALSE),0)</x:f>
        <x:v>480</x:v>
      </x:c>
      <x:c r="F1225">
        <x:f>ROUND($C1225*10*VLOOKUP($B1225,Sheet2!$J$5:$K$7,2,FALSE)*VLOOKUP(Sheet1!$A1225,Sheet2!$B$5:$H$29,5,FALSE),0)</x:f>
        <x:v>0</x:v>
      </x:c>
      <x:c r="G1225">
        <x:f>ROUND($C1225*10*VLOOKUP($B1225,Sheet2!$J$5:$K$7,2,FALSE)*VLOOKUP(Sheet1!$A1225,Sheet2!$B$5:$H$29,6,FALSE),0)</x:f>
        <x:v>0</x:v>
      </x:c>
      <x:c r="H1225">
        <x:f>ROUND($C1225*10*VLOOKUP($B1225,Sheet2!$J$5:$K$7,2,FALSE)*VLOOKUP(Sheet1!$A1225,Sheet2!$B$5:$H$29,7,FALSE),0)</x:f>
        <x:v>0</x:v>
      </x:c>
      <x:c r="I1225">
        <x:f t="shared" si="20"/>
        <x:v>35690</x:v>
      </x:c>
    </x:row>
    <x:row r="1226" spans="1:9" x14ac:dyDescent="0.15">
      <x:c r="A1226">
        <x:v>54052</x:v>
      </x:c>
      <x:c r="B1226">
        <x:v>3</x:v>
      </x:c>
      <x:c r="C1226">
        <x:v>25</x:v>
      </x:c>
      <x:c r="D1226">
        <x:f>ROUND($C1226*10*VLOOKUP($B1226,Sheet2!$J$5:$K$7,2,FALSE)*VLOOKUP(Sheet1!$A1226,Sheet2!$B$5:$H$29,3,FALSE),0)</x:f>
        <x:v>0</x:v>
      </x:c>
      <x:c r="E1226">
        <x:f>ROUND($C1226*10*VLOOKUP($B1226,Sheet2!$J$5:$K$7,2,FALSE)*VLOOKUP(Sheet1!$A1226,Sheet2!$B$5:$H$29,4,FALSE),0)</x:f>
        <x:v>500</x:v>
      </x:c>
      <x:c r="F1226">
        <x:f>ROUND($C1226*10*VLOOKUP($B1226,Sheet2!$J$5:$K$7,2,FALSE)*VLOOKUP(Sheet1!$A1226,Sheet2!$B$5:$H$29,5,FALSE),0)</x:f>
        <x:v>0</x:v>
      </x:c>
      <x:c r="G1226">
        <x:f>ROUND($C1226*10*VLOOKUP($B1226,Sheet2!$J$5:$K$7,2,FALSE)*VLOOKUP(Sheet1!$A1226,Sheet2!$B$5:$H$29,6,FALSE),0)</x:f>
        <x:v>0</x:v>
      </x:c>
      <x:c r="H1226">
        <x:f>ROUND($C1226*10*VLOOKUP($B1226,Sheet2!$J$5:$K$7,2,FALSE)*VLOOKUP(Sheet1!$A1226,Sheet2!$B$5:$H$29,7,FALSE),0)</x:f>
        <x:v>0</x:v>
      </x:c>
      <x:c r="I1226">
        <x:f t="shared" si="20"/>
        <x:v>38530</x:v>
      </x:c>
    </x:row>
    <x:row r="1227" spans="1:9" x14ac:dyDescent="0.15">
      <x:c r="A1227">
        <x:v>54052</x:v>
      </x:c>
      <x:c r="B1227">
        <x:v>3</x:v>
      </x:c>
      <x:c r="C1227">
        <x:v>26</x:v>
      </x:c>
      <x:c r="D1227">
        <x:f>ROUND($C1227*10*VLOOKUP($B1227,Sheet2!$J$5:$K$7,2,FALSE)*VLOOKUP(Sheet1!$A1227,Sheet2!$B$5:$H$29,3,FALSE),0)</x:f>
        <x:v>0</x:v>
      </x:c>
      <x:c r="E1227">
        <x:f>ROUND($C1227*10*VLOOKUP($B1227,Sheet2!$J$5:$K$7,2,FALSE)*VLOOKUP(Sheet1!$A1227,Sheet2!$B$5:$H$29,4,FALSE),0)</x:f>
        <x:v>520</x:v>
      </x:c>
      <x:c r="F1227">
        <x:f>ROUND($C1227*10*VLOOKUP($B1227,Sheet2!$J$5:$K$7,2,FALSE)*VLOOKUP(Sheet1!$A1227,Sheet2!$B$5:$H$29,5,FALSE),0)</x:f>
        <x:v>0</x:v>
      </x:c>
      <x:c r="G1227">
        <x:f>ROUND($C1227*10*VLOOKUP($B1227,Sheet2!$J$5:$K$7,2,FALSE)*VLOOKUP(Sheet1!$A1227,Sheet2!$B$5:$H$29,6,FALSE),0)</x:f>
        <x:v>0</x:v>
      </x:c>
      <x:c r="H1227">
        <x:f>ROUND($C1227*10*VLOOKUP($B1227,Sheet2!$J$5:$K$7,2,FALSE)*VLOOKUP(Sheet1!$A1227,Sheet2!$B$5:$H$29,7,FALSE),0)</x:f>
        <x:v>0</x:v>
      </x:c>
      <x:c r="I1227">
        <x:f t="shared" si="20"/>
        <x:v>41460</x:v>
      </x:c>
    </x:row>
    <x:row r="1228" spans="1:9" x14ac:dyDescent="0.15">
      <x:c r="A1228">
        <x:v>54052</x:v>
      </x:c>
      <x:c r="B1228">
        <x:v>3</x:v>
      </x:c>
      <x:c r="C1228">
        <x:v>27</x:v>
      </x:c>
      <x:c r="D1228">
        <x:f>ROUND($C1228*10*VLOOKUP($B1228,Sheet2!$J$5:$K$7,2,FALSE)*VLOOKUP(Sheet1!$A1228,Sheet2!$B$5:$H$29,3,FALSE),0)</x:f>
        <x:v>0</x:v>
      </x:c>
      <x:c r="E1228">
        <x:f>ROUND($C1228*10*VLOOKUP($B1228,Sheet2!$J$5:$K$7,2,FALSE)*VLOOKUP(Sheet1!$A1228,Sheet2!$B$5:$H$29,4,FALSE),0)</x:f>
        <x:v>540</x:v>
      </x:c>
      <x:c r="F1228">
        <x:f>ROUND($C1228*10*VLOOKUP($B1228,Sheet2!$J$5:$K$7,2,FALSE)*VLOOKUP(Sheet1!$A1228,Sheet2!$B$5:$H$29,5,FALSE),0)</x:f>
        <x:v>0</x:v>
      </x:c>
      <x:c r="G1228">
        <x:f>ROUND($C1228*10*VLOOKUP($B1228,Sheet2!$J$5:$K$7,2,FALSE)*VLOOKUP(Sheet1!$A1228,Sheet2!$B$5:$H$29,6,FALSE),0)</x:f>
        <x:v>0</x:v>
      </x:c>
      <x:c r="H1228">
        <x:f>ROUND($C1228*10*VLOOKUP($B1228,Sheet2!$J$5:$K$7,2,FALSE)*VLOOKUP(Sheet1!$A1228,Sheet2!$B$5:$H$29,7,FALSE),0)</x:f>
        <x:v>0</x:v>
      </x:c>
      <x:c r="I1228">
        <x:f t="shared" si="20"/>
        <x:v>44480</x:v>
      </x:c>
    </x:row>
    <x:row r="1229" spans="1:9" x14ac:dyDescent="0.15">
      <x:c r="A1229">
        <x:v>54052</x:v>
      </x:c>
      <x:c r="B1229">
        <x:v>3</x:v>
      </x:c>
      <x:c r="C1229">
        <x:v>28</x:v>
      </x:c>
      <x:c r="D1229">
        <x:f>ROUND($C1229*10*VLOOKUP($B1229,Sheet2!$J$5:$K$7,2,FALSE)*VLOOKUP(Sheet1!$A1229,Sheet2!$B$5:$H$29,3,FALSE),0)</x:f>
        <x:v>0</x:v>
      </x:c>
      <x:c r="E1229">
        <x:f>ROUND($C1229*10*VLOOKUP($B1229,Sheet2!$J$5:$K$7,2,FALSE)*VLOOKUP(Sheet1!$A1229,Sheet2!$B$5:$H$29,4,FALSE),0)</x:f>
        <x:v>560</x:v>
      </x:c>
      <x:c r="F1229">
        <x:f>ROUND($C1229*10*VLOOKUP($B1229,Sheet2!$J$5:$K$7,2,FALSE)*VLOOKUP(Sheet1!$A1229,Sheet2!$B$5:$H$29,5,FALSE),0)</x:f>
        <x:v>0</x:v>
      </x:c>
      <x:c r="G1229">
        <x:f>ROUND($C1229*10*VLOOKUP($B1229,Sheet2!$J$5:$K$7,2,FALSE)*VLOOKUP(Sheet1!$A1229,Sheet2!$B$5:$H$29,6,FALSE),0)</x:f>
        <x:v>0</x:v>
      </x:c>
      <x:c r="H1229">
        <x:f>ROUND($C1229*10*VLOOKUP($B1229,Sheet2!$J$5:$K$7,2,FALSE)*VLOOKUP(Sheet1!$A1229,Sheet2!$B$5:$H$29,7,FALSE),0)</x:f>
        <x:v>0</x:v>
      </x:c>
      <x:c r="I1229">
        <x:f t="shared" si="20"/>
        <x:v>47600</x:v>
      </x:c>
    </x:row>
    <x:row r="1230" spans="1:9" x14ac:dyDescent="0.15">
      <x:c r="A1230">
        <x:v>54052</x:v>
      </x:c>
      <x:c r="B1230">
        <x:v>3</x:v>
      </x:c>
      <x:c r="C1230">
        <x:v>29</x:v>
      </x:c>
      <x:c r="D1230">
        <x:f>ROUND($C1230*10*VLOOKUP($B1230,Sheet2!$J$5:$K$7,2,FALSE)*VLOOKUP(Sheet1!$A1230,Sheet2!$B$5:$H$29,3,FALSE),0)</x:f>
        <x:v>0</x:v>
      </x:c>
      <x:c r="E1230">
        <x:f>ROUND($C1230*10*VLOOKUP($B1230,Sheet2!$J$5:$K$7,2,FALSE)*VLOOKUP(Sheet1!$A1230,Sheet2!$B$5:$H$29,4,FALSE),0)</x:f>
        <x:v>580</x:v>
      </x:c>
      <x:c r="F1230">
        <x:f>ROUND($C1230*10*VLOOKUP($B1230,Sheet2!$J$5:$K$7,2,FALSE)*VLOOKUP(Sheet1!$A1230,Sheet2!$B$5:$H$29,5,FALSE),0)</x:f>
        <x:v>0</x:v>
      </x:c>
      <x:c r="G1230">
        <x:f>ROUND($C1230*10*VLOOKUP($B1230,Sheet2!$J$5:$K$7,2,FALSE)*VLOOKUP(Sheet1!$A1230,Sheet2!$B$5:$H$29,6,FALSE),0)</x:f>
        <x:v>0</x:v>
      </x:c>
      <x:c r="H1230">
        <x:f>ROUND($C1230*10*VLOOKUP($B1230,Sheet2!$J$5:$K$7,2,FALSE)*VLOOKUP(Sheet1!$A1230,Sheet2!$B$5:$H$29,7,FALSE),0)</x:f>
        <x:v>0</x:v>
      </x:c>
      <x:c r="I1230">
        <x:f t="shared" si="20"/>
        <x:v>50820</x:v>
      </x:c>
    </x:row>
    <x:row r="1231" spans="1:9" x14ac:dyDescent="0.15">
      <x:c r="A1231">
        <x:v>54052</x:v>
      </x:c>
      <x:c r="B1231">
        <x:v>3</x:v>
      </x:c>
      <x:c r="C1231">
        <x:v>30</x:v>
      </x:c>
      <x:c r="D1231">
        <x:f>ROUND($C1231*10*VLOOKUP($B1231,Sheet2!$J$5:$K$7,2,FALSE)*VLOOKUP(Sheet1!$A1231,Sheet2!$B$5:$H$29,3,FALSE),0)</x:f>
        <x:v>0</x:v>
      </x:c>
      <x:c r="E1231">
        <x:f>ROUND($C1231*10*VLOOKUP($B1231,Sheet2!$J$5:$K$7,2,FALSE)*VLOOKUP(Sheet1!$A1231,Sheet2!$B$5:$H$29,4,FALSE),0)</x:f>
        <x:v>600</x:v>
      </x:c>
      <x:c r="F1231">
        <x:f>ROUND($C1231*10*VLOOKUP($B1231,Sheet2!$J$5:$K$7,2,FALSE)*VLOOKUP(Sheet1!$A1231,Sheet2!$B$5:$H$29,5,FALSE),0)</x:f>
        <x:v>0</x:v>
      </x:c>
      <x:c r="G1231">
        <x:f>ROUND($C1231*10*VLOOKUP($B1231,Sheet2!$J$5:$K$7,2,FALSE)*VLOOKUP(Sheet1!$A1231,Sheet2!$B$5:$H$29,6,FALSE),0)</x:f>
        <x:v>0</x:v>
      </x:c>
      <x:c r="H1231">
        <x:f>ROUND($C1231*10*VLOOKUP($B1231,Sheet2!$J$5:$K$7,2,FALSE)*VLOOKUP(Sheet1!$A1231,Sheet2!$B$5:$H$29,7,FALSE),0)</x:f>
        <x:v>0</x:v>
      </x:c>
      <x:c r="I1231">
        <x:f t="shared" si="20"/>
        <x:v>54130</x:v>
      </x:c>
    </x:row>
    <x:row r="1232" spans="1:9" x14ac:dyDescent="0.15">
      <x:c r="A1232">
        <x:v>54052</x:v>
      </x:c>
      <x:c r="B1232">
        <x:v>3</x:v>
      </x:c>
      <x:c r="C1232">
        <x:v>31</x:v>
      </x:c>
      <x:c r="D1232">
        <x:f>ROUND($C1232*10*VLOOKUP($B1232,Sheet2!$J$5:$K$7,2,FALSE)*VLOOKUP(Sheet1!$A1232,Sheet2!$B$5:$H$29,3,FALSE),0)</x:f>
        <x:v>0</x:v>
      </x:c>
      <x:c r="E1232">
        <x:f>ROUND($C1232*10*VLOOKUP($B1232,Sheet2!$J$5:$K$7,2,FALSE)*VLOOKUP(Sheet1!$A1232,Sheet2!$B$5:$H$29,4,FALSE),0)</x:f>
        <x:v>620</x:v>
      </x:c>
      <x:c r="F1232">
        <x:f>ROUND($C1232*10*VLOOKUP($B1232,Sheet2!$J$5:$K$7,2,FALSE)*VLOOKUP(Sheet1!$A1232,Sheet2!$B$5:$H$29,5,FALSE),0)</x:f>
        <x:v>0</x:v>
      </x:c>
      <x:c r="G1232">
        <x:f>ROUND($C1232*10*VLOOKUP($B1232,Sheet2!$J$5:$K$7,2,FALSE)*VLOOKUP(Sheet1!$A1232,Sheet2!$B$5:$H$29,6,FALSE),0)</x:f>
        <x:v>0</x:v>
      </x:c>
      <x:c r="H1232">
        <x:f>ROUND($C1232*10*VLOOKUP($B1232,Sheet2!$J$5:$K$7,2,FALSE)*VLOOKUP(Sheet1!$A1232,Sheet2!$B$5:$H$29,7,FALSE),0)</x:f>
        <x:v>0</x:v>
      </x:c>
      <x:c r="I1232">
        <x:f t="shared" si="20"/>
        <x:v>57530</x:v>
      </x:c>
    </x:row>
    <x:row r="1233" spans="1:9" x14ac:dyDescent="0.15">
      <x:c r="A1233">
        <x:v>54052</x:v>
      </x:c>
      <x:c r="B1233">
        <x:v>3</x:v>
      </x:c>
      <x:c r="C1233">
        <x:v>32</x:v>
      </x:c>
      <x:c r="D1233">
        <x:f>ROUND($C1233*10*VLOOKUP($B1233,Sheet2!$J$5:$K$7,2,FALSE)*VLOOKUP(Sheet1!$A1233,Sheet2!$B$5:$H$29,3,FALSE),0)</x:f>
        <x:v>0</x:v>
      </x:c>
      <x:c r="E1233">
        <x:f>ROUND($C1233*10*VLOOKUP($B1233,Sheet2!$J$5:$K$7,2,FALSE)*VLOOKUP(Sheet1!$A1233,Sheet2!$B$5:$H$29,4,FALSE),0)</x:f>
        <x:v>640</x:v>
      </x:c>
      <x:c r="F1233">
        <x:f>ROUND($C1233*10*VLOOKUP($B1233,Sheet2!$J$5:$K$7,2,FALSE)*VLOOKUP(Sheet1!$A1233,Sheet2!$B$5:$H$29,5,FALSE),0)</x:f>
        <x:v>0</x:v>
      </x:c>
      <x:c r="G1233">
        <x:f>ROUND($C1233*10*VLOOKUP($B1233,Sheet2!$J$5:$K$7,2,FALSE)*VLOOKUP(Sheet1!$A1233,Sheet2!$B$5:$H$29,6,FALSE),0)</x:f>
        <x:v>0</x:v>
      </x:c>
      <x:c r="H1233">
        <x:f>ROUND($C1233*10*VLOOKUP($B1233,Sheet2!$J$5:$K$7,2,FALSE)*VLOOKUP(Sheet1!$A1233,Sheet2!$B$5:$H$29,7,FALSE),0)</x:f>
        <x:v>0</x:v>
      </x:c>
      <x:c r="I1233">
        <x:f t="shared" si="20"/>
        <x:v>61020</x:v>
      </x:c>
    </x:row>
    <x:row r="1234" spans="1:9" x14ac:dyDescent="0.15">
      <x:c r="A1234">
        <x:v>54052</x:v>
      </x:c>
      <x:c r="B1234">
        <x:v>3</x:v>
      </x:c>
      <x:c r="C1234">
        <x:v>33</x:v>
      </x:c>
      <x:c r="D1234">
        <x:f>ROUND($C1234*10*VLOOKUP($B1234,Sheet2!$J$5:$K$7,2,FALSE)*VLOOKUP(Sheet1!$A1234,Sheet2!$B$5:$H$29,3,FALSE),0)</x:f>
        <x:v>0</x:v>
      </x:c>
      <x:c r="E1234">
        <x:f>ROUND($C1234*10*VLOOKUP($B1234,Sheet2!$J$5:$K$7,2,FALSE)*VLOOKUP(Sheet1!$A1234,Sheet2!$B$5:$H$29,4,FALSE),0)</x:f>
        <x:v>660</x:v>
      </x:c>
      <x:c r="F1234">
        <x:f>ROUND($C1234*10*VLOOKUP($B1234,Sheet2!$J$5:$K$7,2,FALSE)*VLOOKUP(Sheet1!$A1234,Sheet2!$B$5:$H$29,5,FALSE),0)</x:f>
        <x:v>0</x:v>
      </x:c>
      <x:c r="G1234">
        <x:f>ROUND($C1234*10*VLOOKUP($B1234,Sheet2!$J$5:$K$7,2,FALSE)*VLOOKUP(Sheet1!$A1234,Sheet2!$B$5:$H$29,6,FALSE),0)</x:f>
        <x:v>0</x:v>
      </x:c>
      <x:c r="H1234">
        <x:f>ROUND($C1234*10*VLOOKUP($B1234,Sheet2!$J$5:$K$7,2,FALSE)*VLOOKUP(Sheet1!$A1234,Sheet2!$B$5:$H$29,7,FALSE),0)</x:f>
        <x:v>0</x:v>
      </x:c>
      <x:c r="I1234">
        <x:f t="shared" si="20"/>
        <x:v>64600</x:v>
      </x:c>
    </x:row>
    <x:row r="1235" spans="1:9" x14ac:dyDescent="0.15">
      <x:c r="A1235">
        <x:v>54052</x:v>
      </x:c>
      <x:c r="B1235">
        <x:v>3</x:v>
      </x:c>
      <x:c r="C1235">
        <x:v>34</x:v>
      </x:c>
      <x:c r="D1235">
        <x:f>ROUND($C1235*10*VLOOKUP($B1235,Sheet2!$J$5:$K$7,2,FALSE)*VLOOKUP(Sheet1!$A1235,Sheet2!$B$5:$H$29,3,FALSE),0)</x:f>
        <x:v>0</x:v>
      </x:c>
      <x:c r="E1235">
        <x:f>ROUND($C1235*10*VLOOKUP($B1235,Sheet2!$J$5:$K$7,2,FALSE)*VLOOKUP(Sheet1!$A1235,Sheet2!$B$5:$H$29,4,FALSE),0)</x:f>
        <x:v>680</x:v>
      </x:c>
      <x:c r="F1235">
        <x:f>ROUND($C1235*10*VLOOKUP($B1235,Sheet2!$J$5:$K$7,2,FALSE)*VLOOKUP(Sheet1!$A1235,Sheet2!$B$5:$H$29,5,FALSE),0)</x:f>
        <x:v>0</x:v>
      </x:c>
      <x:c r="G1235">
        <x:f>ROUND($C1235*10*VLOOKUP($B1235,Sheet2!$J$5:$K$7,2,FALSE)*VLOOKUP(Sheet1!$A1235,Sheet2!$B$5:$H$29,6,FALSE),0)</x:f>
        <x:v>0</x:v>
      </x:c>
      <x:c r="H1235">
        <x:f>ROUND($C1235*10*VLOOKUP($B1235,Sheet2!$J$5:$K$7,2,FALSE)*VLOOKUP(Sheet1!$A1235,Sheet2!$B$5:$H$29,7,FALSE),0)</x:f>
        <x:v>0</x:v>
      </x:c>
      <x:c r="I1235">
        <x:f t="shared" si="20"/>
        <x:v>68280</x:v>
      </x:c>
    </x:row>
    <x:row r="1236" spans="1:9" x14ac:dyDescent="0.15">
      <x:c r="A1236">
        <x:v>54052</x:v>
      </x:c>
      <x:c r="B1236">
        <x:v>3</x:v>
      </x:c>
      <x:c r="C1236">
        <x:v>35</x:v>
      </x:c>
      <x:c r="D1236">
        <x:f>ROUND($C1236*10*VLOOKUP($B1236,Sheet2!$J$5:$K$7,2,FALSE)*VLOOKUP(Sheet1!$A1236,Sheet2!$B$5:$H$29,3,FALSE),0)</x:f>
        <x:v>0</x:v>
      </x:c>
      <x:c r="E1236">
        <x:f>ROUND($C1236*10*VLOOKUP($B1236,Sheet2!$J$5:$K$7,2,FALSE)*VLOOKUP(Sheet1!$A1236,Sheet2!$B$5:$H$29,4,FALSE),0)</x:f>
        <x:v>700</x:v>
      </x:c>
      <x:c r="F1236">
        <x:f>ROUND($C1236*10*VLOOKUP($B1236,Sheet2!$J$5:$K$7,2,FALSE)*VLOOKUP(Sheet1!$A1236,Sheet2!$B$5:$H$29,5,FALSE),0)</x:f>
        <x:v>0</x:v>
      </x:c>
      <x:c r="G1236">
        <x:f>ROUND($C1236*10*VLOOKUP($B1236,Sheet2!$J$5:$K$7,2,FALSE)*VLOOKUP(Sheet1!$A1236,Sheet2!$B$5:$H$29,6,FALSE),0)</x:f>
        <x:v>0</x:v>
      </x:c>
      <x:c r="H1236">
        <x:f>ROUND($C1236*10*VLOOKUP($B1236,Sheet2!$J$5:$K$7,2,FALSE)*VLOOKUP(Sheet1!$A1236,Sheet2!$B$5:$H$29,7,FALSE),0)</x:f>
        <x:v>0</x:v>
      </x:c>
      <x:c r="I1236">
        <x:f t="shared" si="20"/>
        <x:v>72040</x:v>
      </x:c>
    </x:row>
    <x:row r="1237" spans="1:9" x14ac:dyDescent="0.15">
      <x:c r="A1237">
        <x:v>54052</x:v>
      </x:c>
      <x:c r="B1237">
        <x:v>3</x:v>
      </x:c>
      <x:c r="C1237">
        <x:v>36</x:v>
      </x:c>
      <x:c r="D1237">
        <x:f>ROUND($C1237*10*VLOOKUP($B1237,Sheet2!$J$5:$K$7,2,FALSE)*VLOOKUP(Sheet1!$A1237,Sheet2!$B$5:$H$29,3,FALSE),0)</x:f>
        <x:v>0</x:v>
      </x:c>
      <x:c r="E1237">
        <x:f>ROUND($C1237*10*VLOOKUP($B1237,Sheet2!$J$5:$K$7,2,FALSE)*VLOOKUP(Sheet1!$A1237,Sheet2!$B$5:$H$29,4,FALSE),0)</x:f>
        <x:v>720</x:v>
      </x:c>
      <x:c r="F1237">
        <x:f>ROUND($C1237*10*VLOOKUP($B1237,Sheet2!$J$5:$K$7,2,FALSE)*VLOOKUP(Sheet1!$A1237,Sheet2!$B$5:$H$29,5,FALSE),0)</x:f>
        <x:v>0</x:v>
      </x:c>
      <x:c r="G1237">
        <x:f>ROUND($C1237*10*VLOOKUP($B1237,Sheet2!$J$5:$K$7,2,FALSE)*VLOOKUP(Sheet1!$A1237,Sheet2!$B$5:$H$29,6,FALSE),0)</x:f>
        <x:v>0</x:v>
      </x:c>
      <x:c r="H1237">
        <x:f>ROUND($C1237*10*VLOOKUP($B1237,Sheet2!$J$5:$K$7,2,FALSE)*VLOOKUP(Sheet1!$A1237,Sheet2!$B$5:$H$29,7,FALSE),0)</x:f>
        <x:v>0</x:v>
      </x:c>
      <x:c r="I1237">
        <x:f t="shared" si="20"/>
        <x:v>75890</x:v>
      </x:c>
    </x:row>
    <x:row r="1238" spans="1:9" x14ac:dyDescent="0.15">
      <x:c r="A1238">
        <x:v>54052</x:v>
      </x:c>
      <x:c r="B1238">
        <x:v>3</x:v>
      </x:c>
      <x:c r="C1238">
        <x:v>37</x:v>
      </x:c>
      <x:c r="D1238">
        <x:f>ROUND($C1238*10*VLOOKUP($B1238,Sheet2!$J$5:$K$7,2,FALSE)*VLOOKUP(Sheet1!$A1238,Sheet2!$B$5:$H$29,3,FALSE),0)</x:f>
        <x:v>0</x:v>
      </x:c>
      <x:c r="E1238">
        <x:f>ROUND($C1238*10*VLOOKUP($B1238,Sheet2!$J$5:$K$7,2,FALSE)*VLOOKUP(Sheet1!$A1238,Sheet2!$B$5:$H$29,4,FALSE),0)</x:f>
        <x:v>740</x:v>
      </x:c>
      <x:c r="F1238">
        <x:f>ROUND($C1238*10*VLOOKUP($B1238,Sheet2!$J$5:$K$7,2,FALSE)*VLOOKUP(Sheet1!$A1238,Sheet2!$B$5:$H$29,5,FALSE),0)</x:f>
        <x:v>0</x:v>
      </x:c>
      <x:c r="G1238">
        <x:f>ROUND($C1238*10*VLOOKUP($B1238,Sheet2!$J$5:$K$7,2,FALSE)*VLOOKUP(Sheet1!$A1238,Sheet2!$B$5:$H$29,6,FALSE),0)</x:f>
        <x:v>0</x:v>
      </x:c>
      <x:c r="H1238">
        <x:f>ROUND($C1238*10*VLOOKUP($B1238,Sheet2!$J$5:$K$7,2,FALSE)*VLOOKUP(Sheet1!$A1238,Sheet2!$B$5:$H$29,7,FALSE),0)</x:f>
        <x:v>0</x:v>
      </x:c>
      <x:c r="I1238">
        <x:f t="shared" si="20"/>
        <x:v>79840</x:v>
      </x:c>
    </x:row>
    <x:row r="1239" spans="1:9" x14ac:dyDescent="0.15">
      <x:c r="A1239">
        <x:v>54052</x:v>
      </x:c>
      <x:c r="B1239">
        <x:v>3</x:v>
      </x:c>
      <x:c r="C1239">
        <x:v>38</x:v>
      </x:c>
      <x:c r="D1239">
        <x:f>ROUND($C1239*10*VLOOKUP($B1239,Sheet2!$J$5:$K$7,2,FALSE)*VLOOKUP(Sheet1!$A1239,Sheet2!$B$5:$H$29,3,FALSE),0)</x:f>
        <x:v>0</x:v>
      </x:c>
      <x:c r="E1239">
        <x:f>ROUND($C1239*10*VLOOKUP($B1239,Sheet2!$J$5:$K$7,2,FALSE)*VLOOKUP(Sheet1!$A1239,Sheet2!$B$5:$H$29,4,FALSE),0)</x:f>
        <x:v>760</x:v>
      </x:c>
      <x:c r="F1239">
        <x:f>ROUND($C1239*10*VLOOKUP($B1239,Sheet2!$J$5:$K$7,2,FALSE)*VLOOKUP(Sheet1!$A1239,Sheet2!$B$5:$H$29,5,FALSE),0)</x:f>
        <x:v>0</x:v>
      </x:c>
      <x:c r="G1239">
        <x:f>ROUND($C1239*10*VLOOKUP($B1239,Sheet2!$J$5:$K$7,2,FALSE)*VLOOKUP(Sheet1!$A1239,Sheet2!$B$5:$H$29,6,FALSE),0)</x:f>
        <x:v>0</x:v>
      </x:c>
      <x:c r="H1239">
        <x:f>ROUND($C1239*10*VLOOKUP($B1239,Sheet2!$J$5:$K$7,2,FALSE)*VLOOKUP(Sheet1!$A1239,Sheet2!$B$5:$H$29,7,FALSE),0)</x:f>
        <x:v>0</x:v>
      </x:c>
      <x:c r="I1239">
        <x:f t="shared" si="20"/>
        <x:v>83870</x:v>
      </x:c>
    </x:row>
    <x:row r="1240" spans="1:9" x14ac:dyDescent="0.15">
      <x:c r="A1240">
        <x:v>54052</x:v>
      </x:c>
      <x:c r="B1240">
        <x:v>3</x:v>
      </x:c>
      <x:c r="C1240">
        <x:v>39</x:v>
      </x:c>
      <x:c r="D1240">
        <x:f>ROUND($C1240*10*VLOOKUP($B1240,Sheet2!$J$5:$K$7,2,FALSE)*VLOOKUP(Sheet1!$A1240,Sheet2!$B$5:$H$29,3,FALSE),0)</x:f>
        <x:v>0</x:v>
      </x:c>
      <x:c r="E1240">
        <x:f>ROUND($C1240*10*VLOOKUP($B1240,Sheet2!$J$5:$K$7,2,FALSE)*VLOOKUP(Sheet1!$A1240,Sheet2!$B$5:$H$29,4,FALSE),0)</x:f>
        <x:v>780</x:v>
      </x:c>
      <x:c r="F1240">
        <x:f>ROUND($C1240*10*VLOOKUP($B1240,Sheet2!$J$5:$K$7,2,FALSE)*VLOOKUP(Sheet1!$A1240,Sheet2!$B$5:$H$29,5,FALSE),0)</x:f>
        <x:v>0</x:v>
      </x:c>
      <x:c r="G1240">
        <x:f>ROUND($C1240*10*VLOOKUP($B1240,Sheet2!$J$5:$K$7,2,FALSE)*VLOOKUP(Sheet1!$A1240,Sheet2!$B$5:$H$29,6,FALSE),0)</x:f>
        <x:v>0</x:v>
      </x:c>
      <x:c r="H1240">
        <x:f>ROUND($C1240*10*VLOOKUP($B1240,Sheet2!$J$5:$K$7,2,FALSE)*VLOOKUP(Sheet1!$A1240,Sheet2!$B$5:$H$29,7,FALSE),0)</x:f>
        <x:v>0</x:v>
      </x:c>
      <x:c r="I1240">
        <x:f t="shared" si="20"/>
        <x:v>87990</x:v>
      </x:c>
    </x:row>
    <x:row r="1241" spans="1:9" x14ac:dyDescent="0.15">
      <x:c r="A1241">
        <x:v>54052</x:v>
      </x:c>
      <x:c r="B1241">
        <x:v>3</x:v>
      </x:c>
      <x:c r="C1241">
        <x:v>40</x:v>
      </x:c>
      <x:c r="D1241">
        <x:f>ROUND($C1241*10*VLOOKUP($B1241,Sheet2!$J$5:$K$7,2,FALSE)*VLOOKUP(Sheet1!$A1241,Sheet2!$B$5:$H$29,3,FALSE),0)</x:f>
        <x:v>0</x:v>
      </x:c>
      <x:c r="E1241">
        <x:f>ROUND($C1241*10*VLOOKUP($B1241,Sheet2!$J$5:$K$7,2,FALSE)*VLOOKUP(Sheet1!$A1241,Sheet2!$B$5:$H$29,4,FALSE),0)</x:f>
        <x:v>800</x:v>
      </x:c>
      <x:c r="F1241">
        <x:f>ROUND($C1241*10*VLOOKUP($B1241,Sheet2!$J$5:$K$7,2,FALSE)*VLOOKUP(Sheet1!$A1241,Sheet2!$B$5:$H$29,5,FALSE),0)</x:f>
        <x:v>0</x:v>
      </x:c>
      <x:c r="G1241">
        <x:f>ROUND($C1241*10*VLOOKUP($B1241,Sheet2!$J$5:$K$7,2,FALSE)*VLOOKUP(Sheet1!$A1241,Sheet2!$B$5:$H$29,6,FALSE),0)</x:f>
        <x:v>0</x:v>
      </x:c>
      <x:c r="H1241">
        <x:f>ROUND($C1241*10*VLOOKUP($B1241,Sheet2!$J$5:$K$7,2,FALSE)*VLOOKUP(Sheet1!$A1241,Sheet2!$B$5:$H$29,7,FALSE),0)</x:f>
        <x:v>0</x:v>
      </x:c>
      <x:c r="I1241">
        <x:f t="shared" si="20"/>
        <x:v>92200</x:v>
      </x:c>
    </x:row>
    <x:row r="1242" spans="1:9" x14ac:dyDescent="0.15">
      <x:c r="A1242">
        <x:v>54052</x:v>
      </x:c>
      <x:c r="B1242">
        <x:v>3</x:v>
      </x:c>
      <x:c r="C1242">
        <x:v>41</x:v>
      </x:c>
      <x:c r="D1242">
        <x:f>ROUND($C1242*10*VLOOKUP($B1242,Sheet2!$J$5:$K$7,2,FALSE)*VLOOKUP(Sheet1!$A1242,Sheet2!$B$5:$H$29,3,FALSE),0)</x:f>
        <x:v>0</x:v>
      </x:c>
      <x:c r="E1242">
        <x:f>ROUND($C1242*10*VLOOKUP($B1242,Sheet2!$J$5:$K$7,2,FALSE)*VLOOKUP(Sheet1!$A1242,Sheet2!$B$5:$H$29,4,FALSE),0)</x:f>
        <x:v>820</x:v>
      </x:c>
      <x:c r="F1242">
        <x:f>ROUND($C1242*10*VLOOKUP($B1242,Sheet2!$J$5:$K$7,2,FALSE)*VLOOKUP(Sheet1!$A1242,Sheet2!$B$5:$H$29,5,FALSE),0)</x:f>
        <x:v>0</x:v>
      </x:c>
      <x:c r="G1242">
        <x:f>ROUND($C1242*10*VLOOKUP($B1242,Sheet2!$J$5:$K$7,2,FALSE)*VLOOKUP(Sheet1!$A1242,Sheet2!$B$5:$H$29,6,FALSE),0)</x:f>
        <x:v>0</x:v>
      </x:c>
      <x:c r="H1242">
        <x:f>ROUND($C1242*10*VLOOKUP($B1242,Sheet2!$J$5:$K$7,2,FALSE)*VLOOKUP(Sheet1!$A1242,Sheet2!$B$5:$H$29,7,FALSE),0)</x:f>
        <x:v>0</x:v>
      </x:c>
      <x:c r="I1242">
        <x:f t="shared" si="20"/>
        <x:v>96490</x:v>
      </x:c>
    </x:row>
    <x:row r="1243" spans="1:9" x14ac:dyDescent="0.15">
      <x:c r="A1243">
        <x:v>54052</x:v>
      </x:c>
      <x:c r="B1243">
        <x:v>3</x:v>
      </x:c>
      <x:c r="C1243">
        <x:v>42</x:v>
      </x:c>
      <x:c r="D1243">
        <x:f>ROUND($C1243*10*VLOOKUP($B1243,Sheet2!$J$5:$K$7,2,FALSE)*VLOOKUP(Sheet1!$A1243,Sheet2!$B$5:$H$29,3,FALSE),0)</x:f>
        <x:v>0</x:v>
      </x:c>
      <x:c r="E1243">
        <x:f>ROUND($C1243*10*VLOOKUP($B1243,Sheet2!$J$5:$K$7,2,FALSE)*VLOOKUP(Sheet1!$A1243,Sheet2!$B$5:$H$29,4,FALSE),0)</x:f>
        <x:v>840</x:v>
      </x:c>
      <x:c r="F1243">
        <x:f>ROUND($C1243*10*VLOOKUP($B1243,Sheet2!$J$5:$K$7,2,FALSE)*VLOOKUP(Sheet1!$A1243,Sheet2!$B$5:$H$29,5,FALSE),0)</x:f>
        <x:v>0</x:v>
      </x:c>
      <x:c r="G1243">
        <x:f>ROUND($C1243*10*VLOOKUP($B1243,Sheet2!$J$5:$K$7,2,FALSE)*VLOOKUP(Sheet1!$A1243,Sheet2!$B$5:$H$29,6,FALSE),0)</x:f>
        <x:v>0</x:v>
      </x:c>
      <x:c r="H1243">
        <x:f>ROUND($C1243*10*VLOOKUP($B1243,Sheet2!$J$5:$K$7,2,FALSE)*VLOOKUP(Sheet1!$A1243,Sheet2!$B$5:$H$29,7,FALSE),0)</x:f>
        <x:v>0</x:v>
      </x:c>
      <x:c r="I1243">
        <x:f t="shared" si="20"/>
        <x:v>100870</x:v>
      </x:c>
    </x:row>
    <x:row r="1244" spans="1:9" x14ac:dyDescent="0.15">
      <x:c r="A1244">
        <x:v>54052</x:v>
      </x:c>
      <x:c r="B1244">
        <x:v>3</x:v>
      </x:c>
      <x:c r="C1244">
        <x:v>43</x:v>
      </x:c>
      <x:c r="D1244">
        <x:f>ROUND($C1244*10*VLOOKUP($B1244,Sheet2!$J$5:$K$7,2,FALSE)*VLOOKUP(Sheet1!$A1244,Sheet2!$B$5:$H$29,3,FALSE),0)</x:f>
        <x:v>0</x:v>
      </x:c>
      <x:c r="E1244">
        <x:f>ROUND($C1244*10*VLOOKUP($B1244,Sheet2!$J$5:$K$7,2,FALSE)*VLOOKUP(Sheet1!$A1244,Sheet2!$B$5:$H$29,4,FALSE),0)</x:f>
        <x:v>860</x:v>
      </x:c>
      <x:c r="F1244">
        <x:f>ROUND($C1244*10*VLOOKUP($B1244,Sheet2!$J$5:$K$7,2,FALSE)*VLOOKUP(Sheet1!$A1244,Sheet2!$B$5:$H$29,5,FALSE),0)</x:f>
        <x:v>0</x:v>
      </x:c>
      <x:c r="G1244">
        <x:f>ROUND($C1244*10*VLOOKUP($B1244,Sheet2!$J$5:$K$7,2,FALSE)*VLOOKUP(Sheet1!$A1244,Sheet2!$B$5:$H$29,6,FALSE),0)</x:f>
        <x:v>0</x:v>
      </x:c>
      <x:c r="H1244">
        <x:f>ROUND($C1244*10*VLOOKUP($B1244,Sheet2!$J$5:$K$7,2,FALSE)*VLOOKUP(Sheet1!$A1244,Sheet2!$B$5:$H$29,7,FALSE),0)</x:f>
        <x:v>0</x:v>
      </x:c>
      <x:c r="I1244">
        <x:f t="shared" si="20"/>
        <x:v>105340</x:v>
      </x:c>
    </x:row>
    <x:row r="1245" spans="1:9" x14ac:dyDescent="0.15">
      <x:c r="A1245">
        <x:v>54052</x:v>
      </x:c>
      <x:c r="B1245">
        <x:v>3</x:v>
      </x:c>
      <x:c r="C1245">
        <x:v>44</x:v>
      </x:c>
      <x:c r="D1245">
        <x:f>ROUND($C1245*10*VLOOKUP($B1245,Sheet2!$J$5:$K$7,2,FALSE)*VLOOKUP(Sheet1!$A1245,Sheet2!$B$5:$H$29,3,FALSE),0)</x:f>
        <x:v>0</x:v>
      </x:c>
      <x:c r="E1245">
        <x:f>ROUND($C1245*10*VLOOKUP($B1245,Sheet2!$J$5:$K$7,2,FALSE)*VLOOKUP(Sheet1!$A1245,Sheet2!$B$5:$H$29,4,FALSE),0)</x:f>
        <x:v>880</x:v>
      </x:c>
      <x:c r="F1245">
        <x:f>ROUND($C1245*10*VLOOKUP($B1245,Sheet2!$J$5:$K$7,2,FALSE)*VLOOKUP(Sheet1!$A1245,Sheet2!$B$5:$H$29,5,FALSE),0)</x:f>
        <x:v>0</x:v>
      </x:c>
      <x:c r="G1245">
        <x:f>ROUND($C1245*10*VLOOKUP($B1245,Sheet2!$J$5:$K$7,2,FALSE)*VLOOKUP(Sheet1!$A1245,Sheet2!$B$5:$H$29,6,FALSE),0)</x:f>
        <x:v>0</x:v>
      </x:c>
      <x:c r="H1245">
        <x:f>ROUND($C1245*10*VLOOKUP($B1245,Sheet2!$J$5:$K$7,2,FALSE)*VLOOKUP(Sheet1!$A1245,Sheet2!$B$5:$H$29,7,FALSE),0)</x:f>
        <x:v>0</x:v>
      </x:c>
      <x:c r="I1245">
        <x:f t="shared" si="20"/>
        <x:v>109890</x:v>
      </x:c>
    </x:row>
    <x:row r="1246" spans="1:9" x14ac:dyDescent="0.15">
      <x:c r="A1246">
        <x:v>54052</x:v>
      </x:c>
      <x:c r="B1246">
        <x:v>3</x:v>
      </x:c>
      <x:c r="C1246">
        <x:v>45</x:v>
      </x:c>
      <x:c r="D1246">
        <x:f>ROUND($C1246*10*VLOOKUP($B1246,Sheet2!$J$5:$K$7,2,FALSE)*VLOOKUP(Sheet1!$A1246,Sheet2!$B$5:$H$29,3,FALSE),0)</x:f>
        <x:v>0</x:v>
      </x:c>
      <x:c r="E1246">
        <x:f>ROUND($C1246*10*VLOOKUP($B1246,Sheet2!$J$5:$K$7,2,FALSE)*VLOOKUP(Sheet1!$A1246,Sheet2!$B$5:$H$29,4,FALSE),0)</x:f>
        <x:v>900</x:v>
      </x:c>
      <x:c r="F1246">
        <x:f>ROUND($C1246*10*VLOOKUP($B1246,Sheet2!$J$5:$K$7,2,FALSE)*VLOOKUP(Sheet1!$A1246,Sheet2!$B$5:$H$29,5,FALSE),0)</x:f>
        <x:v>0</x:v>
      </x:c>
      <x:c r="G1246">
        <x:f>ROUND($C1246*10*VLOOKUP($B1246,Sheet2!$J$5:$K$7,2,FALSE)*VLOOKUP(Sheet1!$A1246,Sheet2!$B$5:$H$29,6,FALSE),0)</x:f>
        <x:v>0</x:v>
      </x:c>
      <x:c r="H1246">
        <x:f>ROUND($C1246*10*VLOOKUP($B1246,Sheet2!$J$5:$K$7,2,FALSE)*VLOOKUP(Sheet1!$A1246,Sheet2!$B$5:$H$29,7,FALSE),0)</x:f>
        <x:v>0</x:v>
      </x:c>
      <x:c r="I1246">
        <x:f t="shared" si="20"/>
        <x:v>114530</x:v>
      </x:c>
    </x:row>
    <x:row r="1247" spans="1:9" x14ac:dyDescent="0.15">
      <x:c r="A1247">
        <x:v>54052</x:v>
      </x:c>
      <x:c r="B1247">
        <x:v>3</x:v>
      </x:c>
      <x:c r="C1247">
        <x:v>46</x:v>
      </x:c>
      <x:c r="D1247">
        <x:f>ROUND($C1247*10*VLOOKUP($B1247,Sheet2!$J$5:$K$7,2,FALSE)*VLOOKUP(Sheet1!$A1247,Sheet2!$B$5:$H$29,3,FALSE),0)</x:f>
        <x:v>0</x:v>
      </x:c>
      <x:c r="E1247">
        <x:f>ROUND($C1247*10*VLOOKUP($B1247,Sheet2!$J$5:$K$7,2,FALSE)*VLOOKUP(Sheet1!$A1247,Sheet2!$B$5:$H$29,4,FALSE),0)</x:f>
        <x:v>920</x:v>
      </x:c>
      <x:c r="F1247">
        <x:f>ROUND($C1247*10*VLOOKUP($B1247,Sheet2!$J$5:$K$7,2,FALSE)*VLOOKUP(Sheet1!$A1247,Sheet2!$B$5:$H$29,5,FALSE),0)</x:f>
        <x:v>0</x:v>
      </x:c>
      <x:c r="G1247">
        <x:f>ROUND($C1247*10*VLOOKUP($B1247,Sheet2!$J$5:$K$7,2,FALSE)*VLOOKUP(Sheet1!$A1247,Sheet2!$B$5:$H$29,6,FALSE),0)</x:f>
        <x:v>0</x:v>
      </x:c>
      <x:c r="H1247">
        <x:f>ROUND($C1247*10*VLOOKUP($B1247,Sheet2!$J$5:$K$7,2,FALSE)*VLOOKUP(Sheet1!$A1247,Sheet2!$B$5:$H$29,7,FALSE),0)</x:f>
        <x:v>0</x:v>
      </x:c>
      <x:c r="I1247">
        <x:f t="shared" si="20"/>
        <x:v>119260</x:v>
      </x:c>
    </x:row>
    <x:row r="1248" spans="1:9" x14ac:dyDescent="0.15">
      <x:c r="A1248">
        <x:v>54052</x:v>
      </x:c>
      <x:c r="B1248">
        <x:v>3</x:v>
      </x:c>
      <x:c r="C1248">
        <x:v>47</x:v>
      </x:c>
      <x:c r="D1248">
        <x:f>ROUND($C1248*10*VLOOKUP($B1248,Sheet2!$J$5:$K$7,2,FALSE)*VLOOKUP(Sheet1!$A1248,Sheet2!$B$5:$H$29,3,FALSE),0)</x:f>
        <x:v>0</x:v>
      </x:c>
      <x:c r="E1248">
        <x:f>ROUND($C1248*10*VLOOKUP($B1248,Sheet2!$J$5:$K$7,2,FALSE)*VLOOKUP(Sheet1!$A1248,Sheet2!$B$5:$H$29,4,FALSE),0)</x:f>
        <x:v>940</x:v>
      </x:c>
      <x:c r="F1248">
        <x:f>ROUND($C1248*10*VLOOKUP($B1248,Sheet2!$J$5:$K$7,2,FALSE)*VLOOKUP(Sheet1!$A1248,Sheet2!$B$5:$H$29,5,FALSE),0)</x:f>
        <x:v>0</x:v>
      </x:c>
      <x:c r="G1248">
        <x:f>ROUND($C1248*10*VLOOKUP($B1248,Sheet2!$J$5:$K$7,2,FALSE)*VLOOKUP(Sheet1!$A1248,Sheet2!$B$5:$H$29,6,FALSE),0)</x:f>
        <x:v>0</x:v>
      </x:c>
      <x:c r="H1248">
        <x:f>ROUND($C1248*10*VLOOKUP($B1248,Sheet2!$J$5:$K$7,2,FALSE)*VLOOKUP(Sheet1!$A1248,Sheet2!$B$5:$H$29,7,FALSE),0)</x:f>
        <x:v>0</x:v>
      </x:c>
      <x:c r="I1248">
        <x:f t="shared" si="20"/>
        <x:v>124070</x:v>
      </x:c>
    </x:row>
    <x:row r="1249" spans="1:9" x14ac:dyDescent="0.15">
      <x:c r="A1249">
        <x:v>54052</x:v>
      </x:c>
      <x:c r="B1249">
        <x:v>3</x:v>
      </x:c>
      <x:c r="C1249">
        <x:v>48</x:v>
      </x:c>
      <x:c r="D1249">
        <x:f>ROUND($C1249*10*VLOOKUP($B1249,Sheet2!$J$5:$K$7,2,FALSE)*VLOOKUP(Sheet1!$A1249,Sheet2!$B$5:$H$29,3,FALSE),0)</x:f>
        <x:v>0</x:v>
      </x:c>
      <x:c r="E1249">
        <x:f>ROUND($C1249*10*VLOOKUP($B1249,Sheet2!$J$5:$K$7,2,FALSE)*VLOOKUP(Sheet1!$A1249,Sheet2!$B$5:$H$29,4,FALSE),0)</x:f>
        <x:v>960</x:v>
      </x:c>
      <x:c r="F1249">
        <x:f>ROUND($C1249*10*VLOOKUP($B1249,Sheet2!$J$5:$K$7,2,FALSE)*VLOOKUP(Sheet1!$A1249,Sheet2!$B$5:$H$29,5,FALSE),0)</x:f>
        <x:v>0</x:v>
      </x:c>
      <x:c r="G1249">
        <x:f>ROUND($C1249*10*VLOOKUP($B1249,Sheet2!$J$5:$K$7,2,FALSE)*VLOOKUP(Sheet1!$A1249,Sheet2!$B$5:$H$29,6,FALSE),0)</x:f>
        <x:v>0</x:v>
      </x:c>
      <x:c r="H1249">
        <x:f>ROUND($C1249*10*VLOOKUP($B1249,Sheet2!$J$5:$K$7,2,FALSE)*VLOOKUP(Sheet1!$A1249,Sheet2!$B$5:$H$29,7,FALSE),0)</x:f>
        <x:v>0</x:v>
      </x:c>
      <x:c r="I1249">
        <x:f t="shared" si="20"/>
        <x:v>128960</x:v>
      </x:c>
    </x:row>
    <x:row r="1250" spans="1:9" x14ac:dyDescent="0.15">
      <x:c r="A1250">
        <x:v>54052</x:v>
      </x:c>
      <x:c r="B1250">
        <x:v>3</x:v>
      </x:c>
      <x:c r="C1250">
        <x:v>49</x:v>
      </x:c>
      <x:c r="D1250">
        <x:f>ROUND($C1250*10*VLOOKUP($B1250,Sheet2!$J$5:$K$7,2,FALSE)*VLOOKUP(Sheet1!$A1250,Sheet2!$B$5:$H$29,3,FALSE),0)</x:f>
        <x:v>0</x:v>
      </x:c>
      <x:c r="E1250">
        <x:f>ROUND($C1250*10*VLOOKUP($B1250,Sheet2!$J$5:$K$7,2,FALSE)*VLOOKUP(Sheet1!$A1250,Sheet2!$B$5:$H$29,4,FALSE),0)</x:f>
        <x:v>980</x:v>
      </x:c>
      <x:c r="F1250">
        <x:f>ROUND($C1250*10*VLOOKUP($B1250,Sheet2!$J$5:$K$7,2,FALSE)*VLOOKUP(Sheet1!$A1250,Sheet2!$B$5:$H$29,5,FALSE),0)</x:f>
        <x:v>0</x:v>
      </x:c>
      <x:c r="G1250">
        <x:f>ROUND($C1250*10*VLOOKUP($B1250,Sheet2!$J$5:$K$7,2,FALSE)*VLOOKUP(Sheet1!$A1250,Sheet2!$B$5:$H$29,6,FALSE),0)</x:f>
        <x:v>0</x:v>
      </x:c>
      <x:c r="H1250">
        <x:f>ROUND($C1250*10*VLOOKUP($B1250,Sheet2!$J$5:$K$7,2,FALSE)*VLOOKUP(Sheet1!$A1250,Sheet2!$B$5:$H$29,7,FALSE),0)</x:f>
        <x:v>0</x:v>
      </x:c>
      <x:c r="I1250">
        <x:f t="shared" si="20"/>
        <x:v>133940</x:v>
      </x:c>
    </x:row>
    <x:row r="1251" spans="1:9" x14ac:dyDescent="0.15">
      <x:c r="A1251">
        <x:v>54052</x:v>
      </x:c>
      <x:c r="B1251">
        <x:v>3</x:v>
      </x:c>
      <x:c r="C1251">
        <x:v>50</x:v>
      </x:c>
      <x:c r="D1251">
        <x:f>ROUND($C1251*10*VLOOKUP($B1251,Sheet2!$J$5:$K$7,2,FALSE)*VLOOKUP(Sheet1!$A1251,Sheet2!$B$5:$H$29,3,FALSE),0)</x:f>
        <x:v>0</x:v>
      </x:c>
      <x:c r="E1251">
        <x:f>ROUND($C1251*10*VLOOKUP($B1251,Sheet2!$J$5:$K$7,2,FALSE)*VLOOKUP(Sheet1!$A1251,Sheet2!$B$5:$H$29,4,FALSE),0)</x:f>
        <x:v>1000</x:v>
      </x:c>
      <x:c r="F1251">
        <x:f>ROUND($C1251*10*VLOOKUP($B1251,Sheet2!$J$5:$K$7,2,FALSE)*VLOOKUP(Sheet1!$A1251,Sheet2!$B$5:$H$29,5,FALSE),0)</x:f>
        <x:v>0</x:v>
      </x:c>
      <x:c r="G1251">
        <x:f>ROUND($C1251*10*VLOOKUP($B1251,Sheet2!$J$5:$K$7,2,FALSE)*VLOOKUP(Sheet1!$A1251,Sheet2!$B$5:$H$29,6,FALSE),0)</x:f>
        <x:v>0</x:v>
      </x:c>
      <x:c r="H1251">
        <x:f>ROUND($C1251*10*VLOOKUP($B1251,Sheet2!$J$5:$K$7,2,FALSE)*VLOOKUP(Sheet1!$A1251,Sheet2!$B$5:$H$29,7,FALSE),0)</x:f>
        <x:v>0</x:v>
      </x:c>
      <x:c r="I1251">
        <x:f t="shared" si="20"/>
        <x:v>139000</x:v>
      </x:c>
    </x:row>
    <x:row r="1252" spans="1:9" x14ac:dyDescent="0.15">
      <x:c r="A1252">
        <x:v>54052</x:v>
      </x:c>
      <x:c r="B1252">
        <x:v>3</x:v>
      </x:c>
      <x:c r="C1252">
        <x:v>51</x:v>
      </x:c>
      <x:c r="D1252">
        <x:f>ROUND($C1252*10*VLOOKUP($B1252,Sheet2!$J$5:$K$7,2,FALSE)*VLOOKUP(Sheet1!$A1252,Sheet2!$B$5:$H$29,3,FALSE),0)</x:f>
        <x:v>0</x:v>
      </x:c>
      <x:c r="E1252">
        <x:f>ROUND($C1252*10*VLOOKUP($B1252,Sheet2!$J$5:$K$7,2,FALSE)*VLOOKUP(Sheet1!$A1252,Sheet2!$B$5:$H$29,4,FALSE),0)</x:f>
        <x:v>1020</x:v>
      </x:c>
      <x:c r="F1252">
        <x:f>ROUND($C1252*10*VLOOKUP($B1252,Sheet2!$J$5:$K$7,2,FALSE)*VLOOKUP(Sheet1!$A1252,Sheet2!$B$5:$H$29,5,FALSE),0)</x:f>
        <x:v>0</x:v>
      </x:c>
      <x:c r="G1252">
        <x:f>ROUND($C1252*10*VLOOKUP($B1252,Sheet2!$J$5:$K$7,2,FALSE)*VLOOKUP(Sheet1!$A1252,Sheet2!$B$5:$H$29,6,FALSE),0)</x:f>
        <x:v>0</x:v>
      </x:c>
      <x:c r="H1252">
        <x:f>ROUND($C1252*10*VLOOKUP($B1252,Sheet2!$J$5:$K$7,2,FALSE)*VLOOKUP(Sheet1!$A1252,Sheet2!$B$5:$H$29,7,FALSE),0)</x:f>
        <x:v>0</x:v>
      </x:c>
      <x:c r="I1252">
        <x:f t="shared" si="20"/>
        <x:v>144140</x:v>
      </x:c>
    </x:row>
    <x:row r="1253" spans="1:9" x14ac:dyDescent="0.15">
      <x:c r="A1253">
        <x:v>54052</x:v>
      </x:c>
      <x:c r="B1253">
        <x:v>3</x:v>
      </x:c>
      <x:c r="C1253">
        <x:v>52</x:v>
      </x:c>
      <x:c r="D1253">
        <x:f>ROUND($C1253*10*VLOOKUP($B1253,Sheet2!$J$5:$K$7,2,FALSE)*VLOOKUP(Sheet1!$A1253,Sheet2!$B$5:$H$29,3,FALSE),0)</x:f>
        <x:v>0</x:v>
      </x:c>
      <x:c r="E1253">
        <x:f>ROUND($C1253*10*VLOOKUP($B1253,Sheet2!$J$5:$K$7,2,FALSE)*VLOOKUP(Sheet1!$A1253,Sheet2!$B$5:$H$29,4,FALSE),0)</x:f>
        <x:v>1040</x:v>
      </x:c>
      <x:c r="F1253">
        <x:f>ROUND($C1253*10*VLOOKUP($B1253,Sheet2!$J$5:$K$7,2,FALSE)*VLOOKUP(Sheet1!$A1253,Sheet2!$B$5:$H$29,5,FALSE),0)</x:f>
        <x:v>0</x:v>
      </x:c>
      <x:c r="G1253">
        <x:f>ROUND($C1253*10*VLOOKUP($B1253,Sheet2!$J$5:$K$7,2,FALSE)*VLOOKUP(Sheet1!$A1253,Sheet2!$B$5:$H$29,6,FALSE),0)</x:f>
        <x:v>0</x:v>
      </x:c>
      <x:c r="H1253">
        <x:f>ROUND($C1253*10*VLOOKUP($B1253,Sheet2!$J$5:$K$7,2,FALSE)*VLOOKUP(Sheet1!$A1253,Sheet2!$B$5:$H$29,7,FALSE),0)</x:f>
        <x:v>0</x:v>
      </x:c>
      <x:c r="I1253">
        <x:f t="shared" si="20"/>
        <x:v>149370</x:v>
      </x:c>
    </x:row>
    <x:row r="1254" spans="1:9" x14ac:dyDescent="0.15">
      <x:c r="A1254">
        <x:v>54052</x:v>
      </x:c>
      <x:c r="B1254">
        <x:v>3</x:v>
      </x:c>
      <x:c r="C1254">
        <x:v>53</x:v>
      </x:c>
      <x:c r="D1254">
        <x:f>ROUND($C1254*10*VLOOKUP($B1254,Sheet2!$J$5:$K$7,2,FALSE)*VLOOKUP(Sheet1!$A1254,Sheet2!$B$5:$H$29,3,FALSE),0)</x:f>
        <x:v>0</x:v>
      </x:c>
      <x:c r="E1254">
        <x:f>ROUND($C1254*10*VLOOKUP($B1254,Sheet2!$J$5:$K$7,2,FALSE)*VLOOKUP(Sheet1!$A1254,Sheet2!$B$5:$H$29,4,FALSE),0)</x:f>
        <x:v>1060</x:v>
      </x:c>
      <x:c r="F1254">
        <x:f>ROUND($C1254*10*VLOOKUP($B1254,Sheet2!$J$5:$K$7,2,FALSE)*VLOOKUP(Sheet1!$A1254,Sheet2!$B$5:$H$29,5,FALSE),0)</x:f>
        <x:v>0</x:v>
      </x:c>
      <x:c r="G1254">
        <x:f>ROUND($C1254*10*VLOOKUP($B1254,Sheet2!$J$5:$K$7,2,FALSE)*VLOOKUP(Sheet1!$A1254,Sheet2!$B$5:$H$29,6,FALSE),0)</x:f>
        <x:v>0</x:v>
      </x:c>
      <x:c r="H1254">
        <x:f>ROUND($C1254*10*VLOOKUP($B1254,Sheet2!$J$5:$K$7,2,FALSE)*VLOOKUP(Sheet1!$A1254,Sheet2!$B$5:$H$29,7,FALSE),0)</x:f>
        <x:v>0</x:v>
      </x:c>
      <x:c r="I1254">
        <x:f t="shared" si="20"/>
        <x:v>154680</x:v>
      </x:c>
    </x:row>
    <x:row r="1255" spans="1:9" x14ac:dyDescent="0.15">
      <x:c r="A1255">
        <x:v>54052</x:v>
      </x:c>
      <x:c r="B1255">
        <x:v>3</x:v>
      </x:c>
      <x:c r="C1255">
        <x:v>54</x:v>
      </x:c>
      <x:c r="D1255">
        <x:f>ROUND($C1255*10*VLOOKUP($B1255,Sheet2!$J$5:$K$7,2,FALSE)*VLOOKUP(Sheet1!$A1255,Sheet2!$B$5:$H$29,3,FALSE),0)</x:f>
        <x:v>0</x:v>
      </x:c>
      <x:c r="E1255">
        <x:f>ROUND($C1255*10*VLOOKUP($B1255,Sheet2!$J$5:$K$7,2,FALSE)*VLOOKUP(Sheet1!$A1255,Sheet2!$B$5:$H$29,4,FALSE),0)</x:f>
        <x:v>1080</x:v>
      </x:c>
      <x:c r="F1255">
        <x:f>ROUND($C1255*10*VLOOKUP($B1255,Sheet2!$J$5:$K$7,2,FALSE)*VLOOKUP(Sheet1!$A1255,Sheet2!$B$5:$H$29,5,FALSE),0)</x:f>
        <x:v>0</x:v>
      </x:c>
      <x:c r="G1255">
        <x:f>ROUND($C1255*10*VLOOKUP($B1255,Sheet2!$J$5:$K$7,2,FALSE)*VLOOKUP(Sheet1!$A1255,Sheet2!$B$5:$H$29,6,FALSE),0)</x:f>
        <x:v>0</x:v>
      </x:c>
      <x:c r="H1255">
        <x:f>ROUND($C1255*10*VLOOKUP($B1255,Sheet2!$J$5:$K$7,2,FALSE)*VLOOKUP(Sheet1!$A1255,Sheet2!$B$5:$H$29,7,FALSE),0)</x:f>
        <x:v>0</x:v>
      </x:c>
      <x:c r="I1255">
        <x:f t="shared" si="20"/>
        <x:v>160070</x:v>
      </x:c>
    </x:row>
    <x:row r="1256" spans="1:9" x14ac:dyDescent="0.15">
      <x:c r="A1256">
        <x:v>54052</x:v>
      </x:c>
      <x:c r="B1256">
        <x:v>3</x:v>
      </x:c>
      <x:c r="C1256">
        <x:v>55</x:v>
      </x:c>
      <x:c r="D1256">
        <x:f>ROUND($C1256*10*VLOOKUP($B1256,Sheet2!$J$5:$K$7,2,FALSE)*VLOOKUP(Sheet1!$A1256,Sheet2!$B$5:$H$29,3,FALSE),0)</x:f>
        <x:v>0</x:v>
      </x:c>
      <x:c r="E1256">
        <x:f>ROUND($C1256*10*VLOOKUP($B1256,Sheet2!$J$5:$K$7,2,FALSE)*VLOOKUP(Sheet1!$A1256,Sheet2!$B$5:$H$29,4,FALSE),0)</x:f>
        <x:v>1100</x:v>
      </x:c>
      <x:c r="F1256">
        <x:f>ROUND($C1256*10*VLOOKUP($B1256,Sheet2!$J$5:$K$7,2,FALSE)*VLOOKUP(Sheet1!$A1256,Sheet2!$B$5:$H$29,5,FALSE),0)</x:f>
        <x:v>0</x:v>
      </x:c>
      <x:c r="G1256">
        <x:f>ROUND($C1256*10*VLOOKUP($B1256,Sheet2!$J$5:$K$7,2,FALSE)*VLOOKUP(Sheet1!$A1256,Sheet2!$B$5:$H$29,6,FALSE),0)</x:f>
        <x:v>0</x:v>
      </x:c>
      <x:c r="H1256">
        <x:f>ROUND($C1256*10*VLOOKUP($B1256,Sheet2!$J$5:$K$7,2,FALSE)*VLOOKUP(Sheet1!$A1256,Sheet2!$B$5:$H$29,7,FALSE),0)</x:f>
        <x:v>0</x:v>
      </x:c>
      <x:c r="I1256">
        <x:f t="shared" si="20"/>
        <x:v>165540</x:v>
      </x:c>
    </x:row>
    <x:row r="1257" spans="1:9" x14ac:dyDescent="0.15">
      <x:c r="A1257">
        <x:v>54052</x:v>
      </x:c>
      <x:c r="B1257">
        <x:v>3</x:v>
      </x:c>
      <x:c r="C1257">
        <x:v>56</x:v>
      </x:c>
      <x:c r="D1257">
        <x:f>ROUND($C1257*10*VLOOKUP($B1257,Sheet2!$J$5:$K$7,2,FALSE)*VLOOKUP(Sheet1!$A1257,Sheet2!$B$5:$H$29,3,FALSE),0)</x:f>
        <x:v>0</x:v>
      </x:c>
      <x:c r="E1257">
        <x:f>ROUND($C1257*10*VLOOKUP($B1257,Sheet2!$J$5:$K$7,2,FALSE)*VLOOKUP(Sheet1!$A1257,Sheet2!$B$5:$H$29,4,FALSE),0)</x:f>
        <x:v>1120</x:v>
      </x:c>
      <x:c r="F1257">
        <x:f>ROUND($C1257*10*VLOOKUP($B1257,Sheet2!$J$5:$K$7,2,FALSE)*VLOOKUP(Sheet1!$A1257,Sheet2!$B$5:$H$29,5,FALSE),0)</x:f>
        <x:v>0</x:v>
      </x:c>
      <x:c r="G1257">
        <x:f>ROUND($C1257*10*VLOOKUP($B1257,Sheet2!$J$5:$K$7,2,FALSE)*VLOOKUP(Sheet1!$A1257,Sheet2!$B$5:$H$29,6,FALSE),0)</x:f>
        <x:v>0</x:v>
      </x:c>
      <x:c r="H1257">
        <x:f>ROUND($C1257*10*VLOOKUP($B1257,Sheet2!$J$5:$K$7,2,FALSE)*VLOOKUP(Sheet1!$A1257,Sheet2!$B$5:$H$29,7,FALSE),0)</x:f>
        <x:v>0</x:v>
      </x:c>
      <x:c r="I1257">
        <x:f t="shared" si="20"/>
        <x:v>171100</x:v>
      </x:c>
    </x:row>
    <x:row r="1258" spans="1:9" x14ac:dyDescent="0.15">
      <x:c r="A1258">
        <x:v>54052</x:v>
      </x:c>
      <x:c r="B1258">
        <x:v>3</x:v>
      </x:c>
      <x:c r="C1258">
        <x:v>57</x:v>
      </x:c>
      <x:c r="D1258">
        <x:f>ROUND($C1258*10*VLOOKUP($B1258,Sheet2!$J$5:$K$7,2,FALSE)*VLOOKUP(Sheet1!$A1258,Sheet2!$B$5:$H$29,3,FALSE),0)</x:f>
        <x:v>0</x:v>
      </x:c>
      <x:c r="E1258">
        <x:f>ROUND($C1258*10*VLOOKUP($B1258,Sheet2!$J$5:$K$7,2,FALSE)*VLOOKUP(Sheet1!$A1258,Sheet2!$B$5:$H$29,4,FALSE),0)</x:f>
        <x:v>1140</x:v>
      </x:c>
      <x:c r="F1258">
        <x:f>ROUND($C1258*10*VLOOKUP($B1258,Sheet2!$J$5:$K$7,2,FALSE)*VLOOKUP(Sheet1!$A1258,Sheet2!$B$5:$H$29,5,FALSE),0)</x:f>
        <x:v>0</x:v>
      </x:c>
      <x:c r="G1258">
        <x:f>ROUND($C1258*10*VLOOKUP($B1258,Sheet2!$J$5:$K$7,2,FALSE)*VLOOKUP(Sheet1!$A1258,Sheet2!$B$5:$H$29,6,FALSE),0)</x:f>
        <x:v>0</x:v>
      </x:c>
      <x:c r="H1258">
        <x:f>ROUND($C1258*10*VLOOKUP($B1258,Sheet2!$J$5:$K$7,2,FALSE)*VLOOKUP(Sheet1!$A1258,Sheet2!$B$5:$H$29,7,FALSE),0)</x:f>
        <x:v>0</x:v>
      </x:c>
      <x:c r="I1258">
        <x:f t="shared" si="20"/>
        <x:v>176740</x:v>
      </x:c>
    </x:row>
    <x:row r="1259" spans="1:9" x14ac:dyDescent="0.15">
      <x:c r="A1259">
        <x:v>54052</x:v>
      </x:c>
      <x:c r="B1259">
        <x:v>3</x:v>
      </x:c>
      <x:c r="C1259">
        <x:v>58</x:v>
      </x:c>
      <x:c r="D1259">
        <x:f>ROUND($C1259*10*VLOOKUP($B1259,Sheet2!$J$5:$K$7,2,FALSE)*VLOOKUP(Sheet1!$A1259,Sheet2!$B$5:$H$29,3,FALSE),0)</x:f>
        <x:v>0</x:v>
      </x:c>
      <x:c r="E1259">
        <x:f>ROUND($C1259*10*VLOOKUP($B1259,Sheet2!$J$5:$K$7,2,FALSE)*VLOOKUP(Sheet1!$A1259,Sheet2!$B$5:$H$29,4,FALSE),0)</x:f>
        <x:v>1160</x:v>
      </x:c>
      <x:c r="F1259">
        <x:f>ROUND($C1259*10*VLOOKUP($B1259,Sheet2!$J$5:$K$7,2,FALSE)*VLOOKUP(Sheet1!$A1259,Sheet2!$B$5:$H$29,5,FALSE),0)</x:f>
        <x:v>0</x:v>
      </x:c>
      <x:c r="G1259">
        <x:f>ROUND($C1259*10*VLOOKUP($B1259,Sheet2!$J$5:$K$7,2,FALSE)*VLOOKUP(Sheet1!$A1259,Sheet2!$B$5:$H$29,6,FALSE),0)</x:f>
        <x:v>0</x:v>
      </x:c>
      <x:c r="H1259">
        <x:f>ROUND($C1259*10*VLOOKUP($B1259,Sheet2!$J$5:$K$7,2,FALSE)*VLOOKUP(Sheet1!$A1259,Sheet2!$B$5:$H$29,7,FALSE),0)</x:f>
        <x:v>0</x:v>
      </x:c>
      <x:c r="I1259">
        <x:f t="shared" si="20"/>
        <x:v>182460</x:v>
      </x:c>
    </x:row>
    <x:row r="1260" spans="1:9" x14ac:dyDescent="0.15">
      <x:c r="A1260">
        <x:v>54052</x:v>
      </x:c>
      <x:c r="B1260">
        <x:v>3</x:v>
      </x:c>
      <x:c r="C1260">
        <x:v>59</x:v>
      </x:c>
      <x:c r="D1260">
        <x:f>ROUND($C1260*10*VLOOKUP($B1260,Sheet2!$J$5:$K$7,2,FALSE)*VLOOKUP(Sheet1!$A1260,Sheet2!$B$5:$H$29,3,FALSE),0)</x:f>
        <x:v>0</x:v>
      </x:c>
      <x:c r="E1260">
        <x:f>ROUND($C1260*10*VLOOKUP($B1260,Sheet2!$J$5:$K$7,2,FALSE)*VLOOKUP(Sheet1!$A1260,Sheet2!$B$5:$H$29,4,FALSE),0)</x:f>
        <x:v>1180</x:v>
      </x:c>
      <x:c r="F1260">
        <x:f>ROUND($C1260*10*VLOOKUP($B1260,Sheet2!$J$5:$K$7,2,FALSE)*VLOOKUP(Sheet1!$A1260,Sheet2!$B$5:$H$29,5,FALSE),0)</x:f>
        <x:v>0</x:v>
      </x:c>
      <x:c r="G1260">
        <x:f>ROUND($C1260*10*VLOOKUP($B1260,Sheet2!$J$5:$K$7,2,FALSE)*VLOOKUP(Sheet1!$A1260,Sheet2!$B$5:$H$29,6,FALSE),0)</x:f>
        <x:v>0</x:v>
      </x:c>
      <x:c r="H1260">
        <x:f>ROUND($C1260*10*VLOOKUP($B1260,Sheet2!$J$5:$K$7,2,FALSE)*VLOOKUP(Sheet1!$A1260,Sheet2!$B$5:$H$29,7,FALSE),0)</x:f>
        <x:v>0</x:v>
      </x:c>
      <x:c r="I1260">
        <x:f t="shared" si="20"/>
        <x:v>188260</x:v>
      </x:c>
    </x:row>
    <x:row r="1261" spans="1:9" x14ac:dyDescent="0.15">
      <x:c r="A1261">
        <x:v>54052</x:v>
      </x:c>
      <x:c r="B1261">
        <x:v>3</x:v>
      </x:c>
      <x:c r="C1261">
        <x:v>60</x:v>
      </x:c>
      <x:c r="D1261">
        <x:f>ROUND($C1261*10*VLOOKUP($B1261,Sheet2!$J$5:$K$7,2,FALSE)*VLOOKUP(Sheet1!$A1261,Sheet2!$B$5:$H$29,3,FALSE),0)</x:f>
        <x:v>0</x:v>
      </x:c>
      <x:c r="E1261">
        <x:f>ROUND($C1261*10*VLOOKUP($B1261,Sheet2!$J$5:$K$7,2,FALSE)*VLOOKUP(Sheet1!$A1261,Sheet2!$B$5:$H$29,4,FALSE),0)</x:f>
        <x:v>1200</x:v>
      </x:c>
      <x:c r="F1261">
        <x:f>ROUND($C1261*10*VLOOKUP($B1261,Sheet2!$J$5:$K$7,2,FALSE)*VLOOKUP(Sheet1!$A1261,Sheet2!$B$5:$H$29,5,FALSE),0)</x:f>
        <x:v>0</x:v>
      </x:c>
      <x:c r="G1261">
        <x:f>ROUND($C1261*10*VLOOKUP($B1261,Sheet2!$J$5:$K$7,2,FALSE)*VLOOKUP(Sheet1!$A1261,Sheet2!$B$5:$H$29,6,FALSE),0)</x:f>
        <x:v>0</x:v>
      </x:c>
      <x:c r="H1261">
        <x:f>ROUND($C1261*10*VLOOKUP($B1261,Sheet2!$J$5:$K$7,2,FALSE)*VLOOKUP(Sheet1!$A1261,Sheet2!$B$5:$H$29,7,FALSE),0)</x:f>
        <x:v>0</x:v>
      </x:c>
      <x:c r="I1261">
        <x:f t="shared" si="20"/>
        <x:v>194140</x:v>
      </x:c>
    </x:row>
    <x:row r="1262" spans="1:9" x14ac:dyDescent="0.15">
      <x:c r="A1262">
        <x:v>54053</x:v>
      </x:c>
      <x:c r="B1262">
        <x:v>1</x:v>
      </x:c>
      <x:c r="C1262">
        <x:v>1</x:v>
      </x:c>
      <x:c r="D1262">
        <x:f>ROUND($C1262*10*VLOOKUP($B1262,Sheet2!$J$5:$K$7,2,FALSE)*VLOOKUP(Sheet1!$A1262,Sheet2!$B$5:$H$29,3,FALSE),0)</x:f>
        <x:v>0</x:v>
      </x:c>
      <x:c r="E1262">
        <x:f>ROUND($C1262*10*VLOOKUP($B1262,Sheet2!$J$5:$K$7,2,FALSE)*VLOOKUP(Sheet1!$A1262,Sheet2!$B$5:$H$29,4,FALSE),0)</x:f>
        <x:v>6</x:v>
      </x:c>
      <x:c r="F1262">
        <x:f>ROUND($C1262*10*VLOOKUP($B1262,Sheet2!$J$5:$K$7,2,FALSE)*VLOOKUP(Sheet1!$A1262,Sheet2!$B$5:$H$29,5,FALSE),0)</x:f>
        <x:v>2</x:v>
      </x:c>
      <x:c r="G1262">
        <x:f>ROUND($C1262*10*VLOOKUP($B1262,Sheet2!$J$5:$K$7,2,FALSE)*VLOOKUP(Sheet1!$A1262,Sheet2!$B$5:$H$29,6,FALSE),0)</x:f>
        <x:v>0</x:v>
      </x:c>
      <x:c r="H1262">
        <x:f>ROUND($C1262*10*VLOOKUP($B1262,Sheet2!$J$5:$K$7,2,FALSE)*VLOOKUP(Sheet1!$A1262,Sheet2!$B$5:$H$29,7,FALSE),0)</x:f>
        <x:v>0</x:v>
      </x:c>
      <x:c r="I1262">
        <x:f t="shared" ref="I1262:I1321" si="21">ROUND(1.2*10*1.8*(C1262-1)^1.8+30,-1)</x:f>
        <x:v>30</x:v>
      </x:c>
    </x:row>
    <x:row r="1263" spans="1:9" x14ac:dyDescent="0.15">
      <x:c r="A1263">
        <x:v>54053</x:v>
      </x:c>
      <x:c r="B1263">
        <x:v>1</x:v>
      </x:c>
      <x:c r="C1263">
        <x:v>2</x:v>
      </x:c>
      <x:c r="D1263">
        <x:f>ROUND($C1263*10*VLOOKUP($B1263,Sheet2!$J$5:$K$7,2,FALSE)*VLOOKUP(Sheet1!$A1263,Sheet2!$B$5:$H$29,3,FALSE),0)</x:f>
        <x:v>0</x:v>
      </x:c>
      <x:c r="E1263">
        <x:f>ROUND($C1263*10*VLOOKUP($B1263,Sheet2!$J$5:$K$7,2,FALSE)*VLOOKUP(Sheet1!$A1263,Sheet2!$B$5:$H$29,4,FALSE),0)</x:f>
        <x:v>12</x:v>
      </x:c>
      <x:c r="F1263">
        <x:f>ROUND($C1263*10*VLOOKUP($B1263,Sheet2!$J$5:$K$7,2,FALSE)*VLOOKUP(Sheet1!$A1263,Sheet2!$B$5:$H$29,5,FALSE),0)</x:f>
        <x:v>3</x:v>
      </x:c>
      <x:c r="G1263">
        <x:f>ROUND($C1263*10*VLOOKUP($B1263,Sheet2!$J$5:$K$7,2,FALSE)*VLOOKUP(Sheet1!$A1263,Sheet2!$B$5:$H$29,6,FALSE),0)</x:f>
        <x:v>0</x:v>
      </x:c>
      <x:c r="H1263">
        <x:f>ROUND($C1263*10*VLOOKUP($B1263,Sheet2!$J$5:$K$7,2,FALSE)*VLOOKUP(Sheet1!$A1263,Sheet2!$B$5:$H$29,7,FALSE),0)</x:f>
        <x:v>0</x:v>
      </x:c>
      <x:c r="I1263">
        <x:f t="shared" si="21"/>
        <x:v>50</x:v>
      </x:c>
    </x:row>
    <x:row r="1264" spans="1:9" x14ac:dyDescent="0.15">
      <x:c r="A1264">
        <x:v>54053</x:v>
      </x:c>
      <x:c r="B1264">
        <x:v>1</x:v>
      </x:c>
      <x:c r="C1264">
        <x:v>3</x:v>
      </x:c>
      <x:c r="D1264">
        <x:f>ROUND($C1264*10*VLOOKUP($B1264,Sheet2!$J$5:$K$7,2,FALSE)*VLOOKUP(Sheet1!$A1264,Sheet2!$B$5:$H$29,3,FALSE),0)</x:f>
        <x:v>0</x:v>
      </x:c>
      <x:c r="E1264">
        <x:f>ROUND($C1264*10*VLOOKUP($B1264,Sheet2!$J$5:$K$7,2,FALSE)*VLOOKUP(Sheet1!$A1264,Sheet2!$B$5:$H$29,4,FALSE),0)</x:f>
        <x:v>18</x:v>
      </x:c>
      <x:c r="F1264">
        <x:f>ROUND($C1264*10*VLOOKUP($B1264,Sheet2!$J$5:$K$7,2,FALSE)*VLOOKUP(Sheet1!$A1264,Sheet2!$B$5:$H$29,5,FALSE),0)</x:f>
        <x:v>5</x:v>
      </x:c>
      <x:c r="G1264">
        <x:f>ROUND($C1264*10*VLOOKUP($B1264,Sheet2!$J$5:$K$7,2,FALSE)*VLOOKUP(Sheet1!$A1264,Sheet2!$B$5:$H$29,6,FALSE),0)</x:f>
        <x:v>0</x:v>
      </x:c>
      <x:c r="H1264">
        <x:f>ROUND($C1264*10*VLOOKUP($B1264,Sheet2!$J$5:$K$7,2,FALSE)*VLOOKUP(Sheet1!$A1264,Sheet2!$B$5:$H$29,7,FALSE),0)</x:f>
        <x:v>0</x:v>
      </x:c>
      <x:c r="I1264">
        <x:f t="shared" si="21"/>
        <x:v>110</x:v>
      </x:c>
    </x:row>
    <x:row r="1265" spans="1:9" x14ac:dyDescent="0.15">
      <x:c r="A1265">
        <x:v>54053</x:v>
      </x:c>
      <x:c r="B1265">
        <x:v>1</x:v>
      </x:c>
      <x:c r="C1265">
        <x:v>4</x:v>
      </x:c>
      <x:c r="D1265">
        <x:f>ROUND($C1265*10*VLOOKUP($B1265,Sheet2!$J$5:$K$7,2,FALSE)*VLOOKUP(Sheet1!$A1265,Sheet2!$B$5:$H$29,3,FALSE),0)</x:f>
        <x:v>0</x:v>
      </x:c>
      <x:c r="E1265">
        <x:f>ROUND($C1265*10*VLOOKUP($B1265,Sheet2!$J$5:$K$7,2,FALSE)*VLOOKUP(Sheet1!$A1265,Sheet2!$B$5:$H$29,4,FALSE),0)</x:f>
        <x:v>24</x:v>
      </x:c>
      <x:c r="F1265">
        <x:f>ROUND($C1265*10*VLOOKUP($B1265,Sheet2!$J$5:$K$7,2,FALSE)*VLOOKUP(Sheet1!$A1265,Sheet2!$B$5:$H$29,5,FALSE),0)</x:f>
        <x:v>6</x:v>
      </x:c>
      <x:c r="G1265">
        <x:f>ROUND($C1265*10*VLOOKUP($B1265,Sheet2!$J$5:$K$7,2,FALSE)*VLOOKUP(Sheet1!$A1265,Sheet2!$B$5:$H$29,6,FALSE),0)</x:f>
        <x:v>0</x:v>
      </x:c>
      <x:c r="H1265">
        <x:f>ROUND($C1265*10*VLOOKUP($B1265,Sheet2!$J$5:$K$7,2,FALSE)*VLOOKUP(Sheet1!$A1265,Sheet2!$B$5:$H$29,7,FALSE),0)</x:f>
        <x:v>0</x:v>
      </x:c>
      <x:c r="I1265">
        <x:f t="shared" si="21"/>
        <x:v>190</x:v>
      </x:c>
    </x:row>
    <x:row r="1266" spans="1:9" x14ac:dyDescent="0.15">
      <x:c r="A1266">
        <x:v>54053</x:v>
      </x:c>
      <x:c r="B1266">
        <x:v>1</x:v>
      </x:c>
      <x:c r="C1266">
        <x:v>5</x:v>
      </x:c>
      <x:c r="D1266">
        <x:f>ROUND($C1266*10*VLOOKUP($B1266,Sheet2!$J$5:$K$7,2,FALSE)*VLOOKUP(Sheet1!$A1266,Sheet2!$B$5:$H$29,3,FALSE),0)</x:f>
        <x:v>0</x:v>
      </x:c>
      <x:c r="E1266">
        <x:f>ROUND($C1266*10*VLOOKUP($B1266,Sheet2!$J$5:$K$7,2,FALSE)*VLOOKUP(Sheet1!$A1266,Sheet2!$B$5:$H$29,4,FALSE),0)</x:f>
        <x:v>30</x:v>
      </x:c>
      <x:c r="F1266">
        <x:f>ROUND($C1266*10*VLOOKUP($B1266,Sheet2!$J$5:$K$7,2,FALSE)*VLOOKUP(Sheet1!$A1266,Sheet2!$B$5:$H$29,5,FALSE),0)</x:f>
        <x:v>8</x:v>
      </x:c>
      <x:c r="G1266">
        <x:f>ROUND($C1266*10*VLOOKUP($B1266,Sheet2!$J$5:$K$7,2,FALSE)*VLOOKUP(Sheet1!$A1266,Sheet2!$B$5:$H$29,6,FALSE),0)</x:f>
        <x:v>0</x:v>
      </x:c>
      <x:c r="H1266">
        <x:f>ROUND($C1266*10*VLOOKUP($B1266,Sheet2!$J$5:$K$7,2,FALSE)*VLOOKUP(Sheet1!$A1266,Sheet2!$B$5:$H$29,7,FALSE),0)</x:f>
        <x:v>0</x:v>
      </x:c>
      <x:c r="I1266">
        <x:f t="shared" si="21"/>
        <x:v>290</x:v>
      </x:c>
    </x:row>
    <x:row r="1267" spans="1:9" x14ac:dyDescent="0.15">
      <x:c r="A1267">
        <x:v>54053</x:v>
      </x:c>
      <x:c r="B1267">
        <x:v>1</x:v>
      </x:c>
      <x:c r="C1267">
        <x:v>6</x:v>
      </x:c>
      <x:c r="D1267">
        <x:f>ROUND($C1267*10*VLOOKUP($B1267,Sheet2!$J$5:$K$7,2,FALSE)*VLOOKUP(Sheet1!$A1267,Sheet2!$B$5:$H$29,3,FALSE),0)</x:f>
        <x:v>0</x:v>
      </x:c>
      <x:c r="E1267">
        <x:f>ROUND($C1267*10*VLOOKUP($B1267,Sheet2!$J$5:$K$7,2,FALSE)*VLOOKUP(Sheet1!$A1267,Sheet2!$B$5:$H$29,4,FALSE),0)</x:f>
        <x:v>36</x:v>
      </x:c>
      <x:c r="F1267">
        <x:f>ROUND($C1267*10*VLOOKUP($B1267,Sheet2!$J$5:$K$7,2,FALSE)*VLOOKUP(Sheet1!$A1267,Sheet2!$B$5:$H$29,5,FALSE),0)</x:f>
        <x:v>10</x:v>
      </x:c>
      <x:c r="G1267">
        <x:f>ROUND($C1267*10*VLOOKUP($B1267,Sheet2!$J$5:$K$7,2,FALSE)*VLOOKUP(Sheet1!$A1267,Sheet2!$B$5:$H$29,6,FALSE),0)</x:f>
        <x:v>0</x:v>
      </x:c>
      <x:c r="H1267">
        <x:f>ROUND($C1267*10*VLOOKUP($B1267,Sheet2!$J$5:$K$7,2,FALSE)*VLOOKUP(Sheet1!$A1267,Sheet2!$B$5:$H$29,7,FALSE),0)</x:f>
        <x:v>0</x:v>
      </x:c>
      <x:c r="I1267">
        <x:f t="shared" si="21"/>
        <x:v>420</x:v>
      </x:c>
    </x:row>
    <x:row r="1268" spans="1:9" x14ac:dyDescent="0.15">
      <x:c r="A1268">
        <x:v>54053</x:v>
      </x:c>
      <x:c r="B1268">
        <x:v>1</x:v>
      </x:c>
      <x:c r="C1268">
        <x:v>7</x:v>
      </x:c>
      <x:c r="D1268">
        <x:f>ROUND($C1268*10*VLOOKUP($B1268,Sheet2!$J$5:$K$7,2,FALSE)*VLOOKUP(Sheet1!$A1268,Sheet2!$B$5:$H$29,3,FALSE),0)</x:f>
        <x:v>0</x:v>
      </x:c>
      <x:c r="E1268">
        <x:f>ROUND($C1268*10*VLOOKUP($B1268,Sheet2!$J$5:$K$7,2,FALSE)*VLOOKUP(Sheet1!$A1268,Sheet2!$B$5:$H$29,4,FALSE),0)</x:f>
        <x:v>42</x:v>
      </x:c>
      <x:c r="F1268">
        <x:f>ROUND($C1268*10*VLOOKUP($B1268,Sheet2!$J$5:$K$7,2,FALSE)*VLOOKUP(Sheet1!$A1268,Sheet2!$B$5:$H$29,5,FALSE),0)</x:f>
        <x:v>11</x:v>
      </x:c>
      <x:c r="G1268">
        <x:f>ROUND($C1268*10*VLOOKUP($B1268,Sheet2!$J$5:$K$7,2,FALSE)*VLOOKUP(Sheet1!$A1268,Sheet2!$B$5:$H$29,6,FALSE),0)</x:f>
        <x:v>0</x:v>
      </x:c>
      <x:c r="H1268">
        <x:f>ROUND($C1268*10*VLOOKUP($B1268,Sheet2!$J$5:$K$7,2,FALSE)*VLOOKUP(Sheet1!$A1268,Sheet2!$B$5:$H$29,7,FALSE),0)</x:f>
        <x:v>0</x:v>
      </x:c>
      <x:c r="I1268">
        <x:f t="shared" si="21"/>
        <x:v>570</x:v>
      </x:c>
    </x:row>
    <x:row r="1269" spans="1:9" x14ac:dyDescent="0.15">
      <x:c r="A1269">
        <x:v>54053</x:v>
      </x:c>
      <x:c r="B1269">
        <x:v>1</x:v>
      </x:c>
      <x:c r="C1269">
        <x:v>8</x:v>
      </x:c>
      <x:c r="D1269">
        <x:f>ROUND($C1269*10*VLOOKUP($B1269,Sheet2!$J$5:$K$7,2,FALSE)*VLOOKUP(Sheet1!$A1269,Sheet2!$B$5:$H$29,3,FALSE),0)</x:f>
        <x:v>0</x:v>
      </x:c>
      <x:c r="E1269">
        <x:f>ROUND($C1269*10*VLOOKUP($B1269,Sheet2!$J$5:$K$7,2,FALSE)*VLOOKUP(Sheet1!$A1269,Sheet2!$B$5:$H$29,4,FALSE),0)</x:f>
        <x:v>48</x:v>
      </x:c>
      <x:c r="F1269">
        <x:f>ROUND($C1269*10*VLOOKUP($B1269,Sheet2!$J$5:$K$7,2,FALSE)*VLOOKUP(Sheet1!$A1269,Sheet2!$B$5:$H$29,5,FALSE),0)</x:f>
        <x:v>13</x:v>
      </x:c>
      <x:c r="G1269">
        <x:f>ROUND($C1269*10*VLOOKUP($B1269,Sheet2!$J$5:$K$7,2,FALSE)*VLOOKUP(Sheet1!$A1269,Sheet2!$B$5:$H$29,6,FALSE),0)</x:f>
        <x:v>0</x:v>
      </x:c>
      <x:c r="H1269">
        <x:f>ROUND($C1269*10*VLOOKUP($B1269,Sheet2!$J$5:$K$7,2,FALSE)*VLOOKUP(Sheet1!$A1269,Sheet2!$B$5:$H$29,7,FALSE),0)</x:f>
        <x:v>0</x:v>
      </x:c>
      <x:c r="I1269">
        <x:f t="shared" si="21"/>
        <x:v>750</x:v>
      </x:c>
    </x:row>
    <x:row r="1270" spans="1:9" x14ac:dyDescent="0.15">
      <x:c r="A1270">
        <x:v>54053</x:v>
      </x:c>
      <x:c r="B1270">
        <x:v>1</x:v>
      </x:c>
      <x:c r="C1270">
        <x:v>9</x:v>
      </x:c>
      <x:c r="D1270">
        <x:f>ROUND($C1270*10*VLOOKUP($B1270,Sheet2!$J$5:$K$7,2,FALSE)*VLOOKUP(Sheet1!$A1270,Sheet2!$B$5:$H$29,3,FALSE),0)</x:f>
        <x:v>0</x:v>
      </x:c>
      <x:c r="E1270">
        <x:f>ROUND($C1270*10*VLOOKUP($B1270,Sheet2!$J$5:$K$7,2,FALSE)*VLOOKUP(Sheet1!$A1270,Sheet2!$B$5:$H$29,4,FALSE),0)</x:f>
        <x:v>54</x:v>
      </x:c>
      <x:c r="F1270">
        <x:f>ROUND($C1270*10*VLOOKUP($B1270,Sheet2!$J$5:$K$7,2,FALSE)*VLOOKUP(Sheet1!$A1270,Sheet2!$B$5:$H$29,5,FALSE),0)</x:f>
        <x:v>14</x:v>
      </x:c>
      <x:c r="G1270">
        <x:f>ROUND($C1270*10*VLOOKUP($B1270,Sheet2!$J$5:$K$7,2,FALSE)*VLOOKUP(Sheet1!$A1270,Sheet2!$B$5:$H$29,6,FALSE),0)</x:f>
        <x:v>0</x:v>
      </x:c>
      <x:c r="H1270">
        <x:f>ROUND($C1270*10*VLOOKUP($B1270,Sheet2!$J$5:$K$7,2,FALSE)*VLOOKUP(Sheet1!$A1270,Sheet2!$B$5:$H$29,7,FALSE),0)</x:f>
        <x:v>0</x:v>
      </x:c>
      <x:c r="I1270">
        <x:f t="shared" si="21"/>
        <x:v>940</x:v>
      </x:c>
    </x:row>
    <x:row r="1271" spans="1:9" x14ac:dyDescent="0.15">
      <x:c r="A1271">
        <x:v>54053</x:v>
      </x:c>
      <x:c r="B1271">
        <x:v>1</x:v>
      </x:c>
      <x:c r="C1271">
        <x:v>10</x:v>
      </x:c>
      <x:c r="D1271">
        <x:f>ROUND($C1271*10*VLOOKUP($B1271,Sheet2!$J$5:$K$7,2,FALSE)*VLOOKUP(Sheet1!$A1271,Sheet2!$B$5:$H$29,3,FALSE),0)</x:f>
        <x:v>0</x:v>
      </x:c>
      <x:c r="E1271">
        <x:f>ROUND($C1271*10*VLOOKUP($B1271,Sheet2!$J$5:$K$7,2,FALSE)*VLOOKUP(Sheet1!$A1271,Sheet2!$B$5:$H$29,4,FALSE),0)</x:f>
        <x:v>60</x:v>
      </x:c>
      <x:c r="F1271">
        <x:f>ROUND($C1271*10*VLOOKUP($B1271,Sheet2!$J$5:$K$7,2,FALSE)*VLOOKUP(Sheet1!$A1271,Sheet2!$B$5:$H$29,5,FALSE),0)</x:f>
        <x:v>16</x:v>
      </x:c>
      <x:c r="G1271">
        <x:f>ROUND($C1271*10*VLOOKUP($B1271,Sheet2!$J$5:$K$7,2,FALSE)*VLOOKUP(Sheet1!$A1271,Sheet2!$B$5:$H$29,6,FALSE),0)</x:f>
        <x:v>0</x:v>
      </x:c>
      <x:c r="H1271">
        <x:f>ROUND($C1271*10*VLOOKUP($B1271,Sheet2!$J$5:$K$7,2,FALSE)*VLOOKUP(Sheet1!$A1271,Sheet2!$B$5:$H$29,7,FALSE),0)</x:f>
        <x:v>0</x:v>
      </x:c>
      <x:c r="I1271">
        <x:f t="shared" si="21"/>
        <x:v>1160</x:v>
      </x:c>
    </x:row>
    <x:row r="1272" spans="1:9" x14ac:dyDescent="0.15">
      <x:c r="A1272">
        <x:v>54053</x:v>
      </x:c>
      <x:c r="B1272">
        <x:v>1</x:v>
      </x:c>
      <x:c r="C1272">
        <x:v>11</x:v>
      </x:c>
      <x:c r="D1272">
        <x:f>ROUND($C1272*10*VLOOKUP($B1272,Sheet2!$J$5:$K$7,2,FALSE)*VLOOKUP(Sheet1!$A1272,Sheet2!$B$5:$H$29,3,FALSE),0)</x:f>
        <x:v>0</x:v>
      </x:c>
      <x:c r="E1272">
        <x:f>ROUND($C1272*10*VLOOKUP($B1272,Sheet2!$J$5:$K$7,2,FALSE)*VLOOKUP(Sheet1!$A1272,Sheet2!$B$5:$H$29,4,FALSE),0)</x:f>
        <x:v>66</x:v>
      </x:c>
      <x:c r="F1272">
        <x:f>ROUND($C1272*10*VLOOKUP($B1272,Sheet2!$J$5:$K$7,2,FALSE)*VLOOKUP(Sheet1!$A1272,Sheet2!$B$5:$H$29,5,FALSE),0)</x:f>
        <x:v>18</x:v>
      </x:c>
      <x:c r="G1272">
        <x:f>ROUND($C1272*10*VLOOKUP($B1272,Sheet2!$J$5:$K$7,2,FALSE)*VLOOKUP(Sheet1!$A1272,Sheet2!$B$5:$H$29,6,FALSE),0)</x:f>
        <x:v>0</x:v>
      </x:c>
      <x:c r="H1272">
        <x:f>ROUND($C1272*10*VLOOKUP($B1272,Sheet2!$J$5:$K$7,2,FALSE)*VLOOKUP(Sheet1!$A1272,Sheet2!$B$5:$H$29,7,FALSE),0)</x:f>
        <x:v>0</x:v>
      </x:c>
      <x:c r="I1272">
        <x:f t="shared" si="21"/>
        <x:v>1390</x:v>
      </x:c>
    </x:row>
    <x:row r="1273" spans="1:9" x14ac:dyDescent="0.15">
      <x:c r="A1273">
        <x:v>54053</x:v>
      </x:c>
      <x:c r="B1273">
        <x:v>1</x:v>
      </x:c>
      <x:c r="C1273">
        <x:v>12</x:v>
      </x:c>
      <x:c r="D1273">
        <x:f>ROUND($C1273*10*VLOOKUP($B1273,Sheet2!$J$5:$K$7,2,FALSE)*VLOOKUP(Sheet1!$A1273,Sheet2!$B$5:$H$29,3,FALSE),0)</x:f>
        <x:v>0</x:v>
      </x:c>
      <x:c r="E1273">
        <x:f>ROUND($C1273*10*VLOOKUP($B1273,Sheet2!$J$5:$K$7,2,FALSE)*VLOOKUP(Sheet1!$A1273,Sheet2!$B$5:$H$29,4,FALSE),0)</x:f>
        <x:v>72</x:v>
      </x:c>
      <x:c r="F1273">
        <x:f>ROUND($C1273*10*VLOOKUP($B1273,Sheet2!$J$5:$K$7,2,FALSE)*VLOOKUP(Sheet1!$A1273,Sheet2!$B$5:$H$29,5,FALSE),0)</x:f>
        <x:v>19</x:v>
      </x:c>
      <x:c r="G1273">
        <x:f>ROUND($C1273*10*VLOOKUP($B1273,Sheet2!$J$5:$K$7,2,FALSE)*VLOOKUP(Sheet1!$A1273,Sheet2!$B$5:$H$29,6,FALSE),0)</x:f>
        <x:v>0</x:v>
      </x:c>
      <x:c r="H1273">
        <x:f>ROUND($C1273*10*VLOOKUP($B1273,Sheet2!$J$5:$K$7,2,FALSE)*VLOOKUP(Sheet1!$A1273,Sheet2!$B$5:$H$29,7,FALSE),0)</x:f>
        <x:v>0</x:v>
      </x:c>
      <x:c r="I1273">
        <x:f t="shared" si="21"/>
        <x:v>1650</x:v>
      </x:c>
    </x:row>
    <x:row r="1274" spans="1:9" x14ac:dyDescent="0.15">
      <x:c r="A1274">
        <x:v>54053</x:v>
      </x:c>
      <x:c r="B1274">
        <x:v>1</x:v>
      </x:c>
      <x:c r="C1274">
        <x:v>13</x:v>
      </x:c>
      <x:c r="D1274">
        <x:f>ROUND($C1274*10*VLOOKUP($B1274,Sheet2!$J$5:$K$7,2,FALSE)*VLOOKUP(Sheet1!$A1274,Sheet2!$B$5:$H$29,3,FALSE),0)</x:f>
        <x:v>0</x:v>
      </x:c>
      <x:c r="E1274">
        <x:f>ROUND($C1274*10*VLOOKUP($B1274,Sheet2!$J$5:$K$7,2,FALSE)*VLOOKUP(Sheet1!$A1274,Sheet2!$B$5:$H$29,4,FALSE),0)</x:f>
        <x:v>78</x:v>
      </x:c>
      <x:c r="F1274">
        <x:f>ROUND($C1274*10*VLOOKUP($B1274,Sheet2!$J$5:$K$7,2,FALSE)*VLOOKUP(Sheet1!$A1274,Sheet2!$B$5:$H$29,5,FALSE),0)</x:f>
        <x:v>21</x:v>
      </x:c>
      <x:c r="G1274">
        <x:f>ROUND($C1274*10*VLOOKUP($B1274,Sheet2!$J$5:$K$7,2,FALSE)*VLOOKUP(Sheet1!$A1274,Sheet2!$B$5:$H$29,6,FALSE),0)</x:f>
        <x:v>0</x:v>
      </x:c>
      <x:c r="H1274">
        <x:f>ROUND($C1274*10*VLOOKUP($B1274,Sheet2!$J$5:$K$7,2,FALSE)*VLOOKUP(Sheet1!$A1274,Sheet2!$B$5:$H$29,7,FALSE),0)</x:f>
        <x:v>0</x:v>
      </x:c>
      <x:c r="I1274">
        <x:f t="shared" si="21"/>
        <x:v>1920</x:v>
      </x:c>
    </x:row>
    <x:row r="1275" spans="1:9" x14ac:dyDescent="0.15">
      <x:c r="A1275">
        <x:v>54053</x:v>
      </x:c>
      <x:c r="B1275">
        <x:v>1</x:v>
      </x:c>
      <x:c r="C1275">
        <x:v>14</x:v>
      </x:c>
      <x:c r="D1275">
        <x:f>ROUND($C1275*10*VLOOKUP($B1275,Sheet2!$J$5:$K$7,2,FALSE)*VLOOKUP(Sheet1!$A1275,Sheet2!$B$5:$H$29,3,FALSE),0)</x:f>
        <x:v>0</x:v>
      </x:c>
      <x:c r="E1275">
        <x:f>ROUND($C1275*10*VLOOKUP($B1275,Sheet2!$J$5:$K$7,2,FALSE)*VLOOKUP(Sheet1!$A1275,Sheet2!$B$5:$H$29,4,FALSE),0)</x:f>
        <x:v>84</x:v>
      </x:c>
      <x:c r="F1275">
        <x:f>ROUND($C1275*10*VLOOKUP($B1275,Sheet2!$J$5:$K$7,2,FALSE)*VLOOKUP(Sheet1!$A1275,Sheet2!$B$5:$H$29,5,FALSE),0)</x:f>
        <x:v>22</x:v>
      </x:c>
      <x:c r="G1275">
        <x:f>ROUND($C1275*10*VLOOKUP($B1275,Sheet2!$J$5:$K$7,2,FALSE)*VLOOKUP(Sheet1!$A1275,Sheet2!$B$5:$H$29,6,FALSE),0)</x:f>
        <x:v>0</x:v>
      </x:c>
      <x:c r="H1275">
        <x:f>ROUND($C1275*10*VLOOKUP($B1275,Sheet2!$J$5:$K$7,2,FALSE)*VLOOKUP(Sheet1!$A1275,Sheet2!$B$5:$H$29,7,FALSE),0)</x:f>
        <x:v>0</x:v>
      </x:c>
      <x:c r="I1275">
        <x:f t="shared" si="21"/>
        <x:v>2220</x:v>
      </x:c>
    </x:row>
    <x:row r="1276" spans="1:9" x14ac:dyDescent="0.15">
      <x:c r="A1276">
        <x:v>54053</x:v>
      </x:c>
      <x:c r="B1276">
        <x:v>1</x:v>
      </x:c>
      <x:c r="C1276">
        <x:v>15</x:v>
      </x:c>
      <x:c r="D1276">
        <x:f>ROUND($C1276*10*VLOOKUP($B1276,Sheet2!$J$5:$K$7,2,FALSE)*VLOOKUP(Sheet1!$A1276,Sheet2!$B$5:$H$29,3,FALSE),0)</x:f>
        <x:v>0</x:v>
      </x:c>
      <x:c r="E1276">
        <x:f>ROUND($C1276*10*VLOOKUP($B1276,Sheet2!$J$5:$K$7,2,FALSE)*VLOOKUP(Sheet1!$A1276,Sheet2!$B$5:$H$29,4,FALSE),0)</x:f>
        <x:v>90</x:v>
      </x:c>
      <x:c r="F1276">
        <x:f>ROUND($C1276*10*VLOOKUP($B1276,Sheet2!$J$5:$K$7,2,FALSE)*VLOOKUP(Sheet1!$A1276,Sheet2!$B$5:$H$29,5,FALSE),0)</x:f>
        <x:v>24</x:v>
      </x:c>
      <x:c r="G1276">
        <x:f>ROUND($C1276*10*VLOOKUP($B1276,Sheet2!$J$5:$K$7,2,FALSE)*VLOOKUP(Sheet1!$A1276,Sheet2!$B$5:$H$29,6,FALSE),0)</x:f>
        <x:v>0</x:v>
      </x:c>
      <x:c r="H1276">
        <x:f>ROUND($C1276*10*VLOOKUP($B1276,Sheet2!$J$5:$K$7,2,FALSE)*VLOOKUP(Sheet1!$A1276,Sheet2!$B$5:$H$29,7,FALSE),0)</x:f>
        <x:v>0</x:v>
      </x:c>
      <x:c r="I1276">
        <x:f t="shared" si="21"/>
        <x:v>2530</x:v>
      </x:c>
    </x:row>
    <x:row r="1277" spans="1:9" x14ac:dyDescent="0.15">
      <x:c r="A1277">
        <x:v>54053</x:v>
      </x:c>
      <x:c r="B1277">
        <x:v>1</x:v>
      </x:c>
      <x:c r="C1277">
        <x:v>16</x:v>
      </x:c>
      <x:c r="D1277">
        <x:f>ROUND($C1277*10*VLOOKUP($B1277,Sheet2!$J$5:$K$7,2,FALSE)*VLOOKUP(Sheet1!$A1277,Sheet2!$B$5:$H$29,3,FALSE),0)</x:f>
        <x:v>0</x:v>
      </x:c>
      <x:c r="E1277">
        <x:f>ROUND($C1277*10*VLOOKUP($B1277,Sheet2!$J$5:$K$7,2,FALSE)*VLOOKUP(Sheet1!$A1277,Sheet2!$B$5:$H$29,4,FALSE),0)</x:f>
        <x:v>96</x:v>
      </x:c>
      <x:c r="F1277">
        <x:f>ROUND($C1277*10*VLOOKUP($B1277,Sheet2!$J$5:$K$7,2,FALSE)*VLOOKUP(Sheet1!$A1277,Sheet2!$B$5:$H$29,5,FALSE),0)</x:f>
        <x:v>26</x:v>
      </x:c>
      <x:c r="G1277">
        <x:f>ROUND($C1277*10*VLOOKUP($B1277,Sheet2!$J$5:$K$7,2,FALSE)*VLOOKUP(Sheet1!$A1277,Sheet2!$B$5:$H$29,6,FALSE),0)</x:f>
        <x:v>0</x:v>
      </x:c>
      <x:c r="H1277">
        <x:f>ROUND($C1277*10*VLOOKUP($B1277,Sheet2!$J$5:$K$7,2,FALSE)*VLOOKUP(Sheet1!$A1277,Sheet2!$B$5:$H$29,7,FALSE),0)</x:f>
        <x:v>0</x:v>
      </x:c>
      <x:c r="I1277">
        <x:f t="shared" si="21"/>
        <x:v>2860</x:v>
      </x:c>
    </x:row>
    <x:row r="1278" spans="1:9" x14ac:dyDescent="0.15">
      <x:c r="A1278">
        <x:v>54053</x:v>
      </x:c>
      <x:c r="B1278">
        <x:v>1</x:v>
      </x:c>
      <x:c r="C1278">
        <x:v>17</x:v>
      </x:c>
      <x:c r="D1278">
        <x:f>ROUND($C1278*10*VLOOKUP($B1278,Sheet2!$J$5:$K$7,2,FALSE)*VLOOKUP(Sheet1!$A1278,Sheet2!$B$5:$H$29,3,FALSE),0)</x:f>
        <x:v>0</x:v>
      </x:c>
      <x:c r="E1278">
        <x:f>ROUND($C1278*10*VLOOKUP($B1278,Sheet2!$J$5:$K$7,2,FALSE)*VLOOKUP(Sheet1!$A1278,Sheet2!$B$5:$H$29,4,FALSE),0)</x:f>
        <x:v>102</x:v>
      </x:c>
      <x:c r="F1278">
        <x:f>ROUND($C1278*10*VLOOKUP($B1278,Sheet2!$J$5:$K$7,2,FALSE)*VLOOKUP(Sheet1!$A1278,Sheet2!$B$5:$H$29,5,FALSE),0)</x:f>
        <x:v>27</x:v>
      </x:c>
      <x:c r="G1278">
        <x:f>ROUND($C1278*10*VLOOKUP($B1278,Sheet2!$J$5:$K$7,2,FALSE)*VLOOKUP(Sheet1!$A1278,Sheet2!$B$5:$H$29,6,FALSE),0)</x:f>
        <x:v>0</x:v>
      </x:c>
      <x:c r="H1278">
        <x:f>ROUND($C1278*10*VLOOKUP($B1278,Sheet2!$J$5:$K$7,2,FALSE)*VLOOKUP(Sheet1!$A1278,Sheet2!$B$5:$H$29,7,FALSE),0)</x:f>
        <x:v>0</x:v>
      </x:c>
      <x:c r="I1278">
        <x:f t="shared" si="21"/>
        <x:v>3210</x:v>
      </x:c>
    </x:row>
    <x:row r="1279" spans="1:9" x14ac:dyDescent="0.15">
      <x:c r="A1279">
        <x:v>54053</x:v>
      </x:c>
      <x:c r="B1279">
        <x:v>1</x:v>
      </x:c>
      <x:c r="C1279">
        <x:v>18</x:v>
      </x:c>
      <x:c r="D1279">
        <x:f>ROUND($C1279*10*VLOOKUP($B1279,Sheet2!$J$5:$K$7,2,FALSE)*VLOOKUP(Sheet1!$A1279,Sheet2!$B$5:$H$29,3,FALSE),0)</x:f>
        <x:v>0</x:v>
      </x:c>
      <x:c r="E1279">
        <x:f>ROUND($C1279*10*VLOOKUP($B1279,Sheet2!$J$5:$K$7,2,FALSE)*VLOOKUP(Sheet1!$A1279,Sheet2!$B$5:$H$29,4,FALSE),0)</x:f>
        <x:v>108</x:v>
      </x:c>
      <x:c r="F1279">
        <x:f>ROUND($C1279*10*VLOOKUP($B1279,Sheet2!$J$5:$K$7,2,FALSE)*VLOOKUP(Sheet1!$A1279,Sheet2!$B$5:$H$29,5,FALSE),0)</x:f>
        <x:v>29</x:v>
      </x:c>
      <x:c r="G1279">
        <x:f>ROUND($C1279*10*VLOOKUP($B1279,Sheet2!$J$5:$K$7,2,FALSE)*VLOOKUP(Sheet1!$A1279,Sheet2!$B$5:$H$29,6,FALSE),0)</x:f>
        <x:v>0</x:v>
      </x:c>
      <x:c r="H1279">
        <x:f>ROUND($C1279*10*VLOOKUP($B1279,Sheet2!$J$5:$K$7,2,FALSE)*VLOOKUP(Sheet1!$A1279,Sheet2!$B$5:$H$29,7,FALSE),0)</x:f>
        <x:v>0</x:v>
      </x:c>
      <x:c r="I1279">
        <x:f t="shared" si="21"/>
        <x:v>3570</x:v>
      </x:c>
    </x:row>
    <x:row r="1280" spans="1:9" x14ac:dyDescent="0.15">
      <x:c r="A1280">
        <x:v>54053</x:v>
      </x:c>
      <x:c r="B1280">
        <x:v>1</x:v>
      </x:c>
      <x:c r="C1280">
        <x:v>19</x:v>
      </x:c>
      <x:c r="D1280">
        <x:f>ROUND($C1280*10*VLOOKUP($B1280,Sheet2!$J$5:$K$7,2,FALSE)*VLOOKUP(Sheet1!$A1280,Sheet2!$B$5:$H$29,3,FALSE),0)</x:f>
        <x:v>0</x:v>
      </x:c>
      <x:c r="E1280">
        <x:f>ROUND($C1280*10*VLOOKUP($B1280,Sheet2!$J$5:$K$7,2,FALSE)*VLOOKUP(Sheet1!$A1280,Sheet2!$B$5:$H$29,4,FALSE),0)</x:f>
        <x:v>114</x:v>
      </x:c>
      <x:c r="F1280">
        <x:f>ROUND($C1280*10*VLOOKUP($B1280,Sheet2!$J$5:$K$7,2,FALSE)*VLOOKUP(Sheet1!$A1280,Sheet2!$B$5:$H$29,5,FALSE),0)</x:f>
        <x:v>30</x:v>
      </x:c>
      <x:c r="G1280">
        <x:f>ROUND($C1280*10*VLOOKUP($B1280,Sheet2!$J$5:$K$7,2,FALSE)*VLOOKUP(Sheet1!$A1280,Sheet2!$B$5:$H$29,6,FALSE),0)</x:f>
        <x:v>0</x:v>
      </x:c>
      <x:c r="H1280">
        <x:f>ROUND($C1280*10*VLOOKUP($B1280,Sheet2!$J$5:$K$7,2,FALSE)*VLOOKUP(Sheet1!$A1280,Sheet2!$B$5:$H$29,7,FALSE),0)</x:f>
        <x:v>0</x:v>
      </x:c>
      <x:c r="I1280">
        <x:f t="shared" si="21"/>
        <x:v>3960</x:v>
      </x:c>
    </x:row>
    <x:row r="1281" spans="1:9" x14ac:dyDescent="0.15">
      <x:c r="A1281">
        <x:v>54053</x:v>
      </x:c>
      <x:c r="B1281">
        <x:v>1</x:v>
      </x:c>
      <x:c r="C1281">
        <x:v>20</x:v>
      </x:c>
      <x:c r="D1281">
        <x:f>ROUND($C1281*10*VLOOKUP($B1281,Sheet2!$J$5:$K$7,2,FALSE)*VLOOKUP(Sheet1!$A1281,Sheet2!$B$5:$H$29,3,FALSE),0)</x:f>
        <x:v>0</x:v>
      </x:c>
      <x:c r="E1281">
        <x:f>ROUND($C1281*10*VLOOKUP($B1281,Sheet2!$J$5:$K$7,2,FALSE)*VLOOKUP(Sheet1!$A1281,Sheet2!$B$5:$H$29,4,FALSE),0)</x:f>
        <x:v>120</x:v>
      </x:c>
      <x:c r="F1281">
        <x:f>ROUND($C1281*10*VLOOKUP($B1281,Sheet2!$J$5:$K$7,2,FALSE)*VLOOKUP(Sheet1!$A1281,Sheet2!$B$5:$H$29,5,FALSE),0)</x:f>
        <x:v>32</x:v>
      </x:c>
      <x:c r="G1281">
        <x:f>ROUND($C1281*10*VLOOKUP($B1281,Sheet2!$J$5:$K$7,2,FALSE)*VLOOKUP(Sheet1!$A1281,Sheet2!$B$5:$H$29,6,FALSE),0)</x:f>
        <x:v>0</x:v>
      </x:c>
      <x:c r="H1281">
        <x:f>ROUND($C1281*10*VLOOKUP($B1281,Sheet2!$J$5:$K$7,2,FALSE)*VLOOKUP(Sheet1!$A1281,Sheet2!$B$5:$H$29,7,FALSE),0)</x:f>
        <x:v>0</x:v>
      </x:c>
      <x:c r="I1281">
        <x:f t="shared" si="21"/>
        <x:v>4360</x:v>
      </x:c>
    </x:row>
    <x:row r="1282" spans="1:9" x14ac:dyDescent="0.15">
      <x:c r="A1282">
        <x:v>54053</x:v>
      </x:c>
      <x:c r="B1282">
        <x:v>1</x:v>
      </x:c>
      <x:c r="C1282">
        <x:v>21</x:v>
      </x:c>
      <x:c r="D1282">
        <x:f>ROUND($C1282*10*VLOOKUP($B1282,Sheet2!$J$5:$K$7,2,FALSE)*VLOOKUP(Sheet1!$A1282,Sheet2!$B$5:$H$29,3,FALSE),0)</x:f>
        <x:v>0</x:v>
      </x:c>
      <x:c r="E1282">
        <x:f>ROUND($C1282*10*VLOOKUP($B1282,Sheet2!$J$5:$K$7,2,FALSE)*VLOOKUP(Sheet1!$A1282,Sheet2!$B$5:$H$29,4,FALSE),0)</x:f>
        <x:v>126</x:v>
      </x:c>
      <x:c r="F1282">
        <x:f>ROUND($C1282*10*VLOOKUP($B1282,Sheet2!$J$5:$K$7,2,FALSE)*VLOOKUP(Sheet1!$A1282,Sheet2!$B$5:$H$29,5,FALSE),0)</x:f>
        <x:v>34</x:v>
      </x:c>
      <x:c r="G1282">
        <x:f>ROUND($C1282*10*VLOOKUP($B1282,Sheet2!$J$5:$K$7,2,FALSE)*VLOOKUP(Sheet1!$A1282,Sheet2!$B$5:$H$29,6,FALSE),0)</x:f>
        <x:v>0</x:v>
      </x:c>
      <x:c r="H1282">
        <x:f>ROUND($C1282*10*VLOOKUP($B1282,Sheet2!$J$5:$K$7,2,FALSE)*VLOOKUP(Sheet1!$A1282,Sheet2!$B$5:$H$29,7,FALSE),0)</x:f>
        <x:v>0</x:v>
      </x:c>
      <x:c r="I1282">
        <x:f t="shared" si="21"/>
        <x:v>4780</x:v>
      </x:c>
    </x:row>
    <x:row r="1283" spans="1:9" x14ac:dyDescent="0.15">
      <x:c r="A1283">
        <x:v>54053</x:v>
      </x:c>
      <x:c r="B1283">
        <x:v>1</x:v>
      </x:c>
      <x:c r="C1283">
        <x:v>22</x:v>
      </x:c>
      <x:c r="D1283">
        <x:f>ROUND($C1283*10*VLOOKUP($B1283,Sheet2!$J$5:$K$7,2,FALSE)*VLOOKUP(Sheet1!$A1283,Sheet2!$B$5:$H$29,3,FALSE),0)</x:f>
        <x:v>0</x:v>
      </x:c>
      <x:c r="E1283">
        <x:f>ROUND($C1283*10*VLOOKUP($B1283,Sheet2!$J$5:$K$7,2,FALSE)*VLOOKUP(Sheet1!$A1283,Sheet2!$B$5:$H$29,4,FALSE),0)</x:f>
        <x:v>132</x:v>
      </x:c>
      <x:c r="F1283">
        <x:f>ROUND($C1283*10*VLOOKUP($B1283,Sheet2!$J$5:$K$7,2,FALSE)*VLOOKUP(Sheet1!$A1283,Sheet2!$B$5:$H$29,5,FALSE),0)</x:f>
        <x:v>35</x:v>
      </x:c>
      <x:c r="G1283">
        <x:f>ROUND($C1283*10*VLOOKUP($B1283,Sheet2!$J$5:$K$7,2,FALSE)*VLOOKUP(Sheet1!$A1283,Sheet2!$B$5:$H$29,6,FALSE),0)</x:f>
        <x:v>0</x:v>
      </x:c>
      <x:c r="H1283">
        <x:f>ROUND($C1283*10*VLOOKUP($B1283,Sheet2!$J$5:$K$7,2,FALSE)*VLOOKUP(Sheet1!$A1283,Sheet2!$B$5:$H$29,7,FALSE),0)</x:f>
        <x:v>0</x:v>
      </x:c>
      <x:c r="I1283">
        <x:f t="shared" si="21"/>
        <x:v>5210</x:v>
      </x:c>
    </x:row>
    <x:row r="1284" spans="1:9" x14ac:dyDescent="0.15">
      <x:c r="A1284">
        <x:v>54053</x:v>
      </x:c>
      <x:c r="B1284">
        <x:v>1</x:v>
      </x:c>
      <x:c r="C1284">
        <x:v>23</x:v>
      </x:c>
      <x:c r="D1284">
        <x:f>ROUND($C1284*10*VLOOKUP($B1284,Sheet2!$J$5:$K$7,2,FALSE)*VLOOKUP(Sheet1!$A1284,Sheet2!$B$5:$H$29,3,FALSE),0)</x:f>
        <x:v>0</x:v>
      </x:c>
      <x:c r="E1284">
        <x:f>ROUND($C1284*10*VLOOKUP($B1284,Sheet2!$J$5:$K$7,2,FALSE)*VLOOKUP(Sheet1!$A1284,Sheet2!$B$5:$H$29,4,FALSE),0)</x:f>
        <x:v>138</x:v>
      </x:c>
      <x:c r="F1284">
        <x:f>ROUND($C1284*10*VLOOKUP($B1284,Sheet2!$J$5:$K$7,2,FALSE)*VLOOKUP(Sheet1!$A1284,Sheet2!$B$5:$H$29,5,FALSE),0)</x:f>
        <x:v>37</x:v>
      </x:c>
      <x:c r="G1284">
        <x:f>ROUND($C1284*10*VLOOKUP($B1284,Sheet2!$J$5:$K$7,2,FALSE)*VLOOKUP(Sheet1!$A1284,Sheet2!$B$5:$H$29,6,FALSE),0)</x:f>
        <x:v>0</x:v>
      </x:c>
      <x:c r="H1284">
        <x:f>ROUND($C1284*10*VLOOKUP($B1284,Sheet2!$J$5:$K$7,2,FALSE)*VLOOKUP(Sheet1!$A1284,Sheet2!$B$5:$H$29,7,FALSE),0)</x:f>
        <x:v>0</x:v>
      </x:c>
      <x:c r="I1284">
        <x:f t="shared" si="21"/>
        <x:v>5660</x:v>
      </x:c>
    </x:row>
    <x:row r="1285" spans="1:9" x14ac:dyDescent="0.15">
      <x:c r="A1285">
        <x:v>54053</x:v>
      </x:c>
      <x:c r="B1285">
        <x:v>1</x:v>
      </x:c>
      <x:c r="C1285">
        <x:v>24</x:v>
      </x:c>
      <x:c r="D1285">
        <x:f>ROUND($C1285*10*VLOOKUP($B1285,Sheet2!$J$5:$K$7,2,FALSE)*VLOOKUP(Sheet1!$A1285,Sheet2!$B$5:$H$29,3,FALSE),0)</x:f>
        <x:v>0</x:v>
      </x:c>
      <x:c r="E1285">
        <x:f>ROUND($C1285*10*VLOOKUP($B1285,Sheet2!$J$5:$K$7,2,FALSE)*VLOOKUP(Sheet1!$A1285,Sheet2!$B$5:$H$29,4,FALSE),0)</x:f>
        <x:v>144</x:v>
      </x:c>
      <x:c r="F1285">
        <x:f>ROUND($C1285*10*VLOOKUP($B1285,Sheet2!$J$5:$K$7,2,FALSE)*VLOOKUP(Sheet1!$A1285,Sheet2!$B$5:$H$29,5,FALSE),0)</x:f>
        <x:v>38</x:v>
      </x:c>
      <x:c r="G1285">
        <x:f>ROUND($C1285*10*VLOOKUP($B1285,Sheet2!$J$5:$K$7,2,FALSE)*VLOOKUP(Sheet1!$A1285,Sheet2!$B$5:$H$29,6,FALSE),0)</x:f>
        <x:v>0</x:v>
      </x:c>
      <x:c r="H1285">
        <x:f>ROUND($C1285*10*VLOOKUP($B1285,Sheet2!$J$5:$K$7,2,FALSE)*VLOOKUP(Sheet1!$A1285,Sheet2!$B$5:$H$29,7,FALSE),0)</x:f>
        <x:v>0</x:v>
      </x:c>
      <x:c r="I1285">
        <x:f t="shared" si="21"/>
        <x:v>6130</x:v>
      </x:c>
    </x:row>
    <x:row r="1286" spans="1:9" x14ac:dyDescent="0.15">
      <x:c r="A1286">
        <x:v>54053</x:v>
      </x:c>
      <x:c r="B1286">
        <x:v>1</x:v>
      </x:c>
      <x:c r="C1286">
        <x:v>25</x:v>
      </x:c>
      <x:c r="D1286">
        <x:f>ROUND($C1286*10*VLOOKUP($B1286,Sheet2!$J$5:$K$7,2,FALSE)*VLOOKUP(Sheet1!$A1286,Sheet2!$B$5:$H$29,3,FALSE),0)</x:f>
        <x:v>0</x:v>
      </x:c>
      <x:c r="E1286">
        <x:f>ROUND($C1286*10*VLOOKUP($B1286,Sheet2!$J$5:$K$7,2,FALSE)*VLOOKUP(Sheet1!$A1286,Sheet2!$B$5:$H$29,4,FALSE),0)</x:f>
        <x:v>150</x:v>
      </x:c>
      <x:c r="F1286">
        <x:f>ROUND($C1286*10*VLOOKUP($B1286,Sheet2!$J$5:$K$7,2,FALSE)*VLOOKUP(Sheet1!$A1286,Sheet2!$B$5:$H$29,5,FALSE),0)</x:f>
        <x:v>40</x:v>
      </x:c>
      <x:c r="G1286">
        <x:f>ROUND($C1286*10*VLOOKUP($B1286,Sheet2!$J$5:$K$7,2,FALSE)*VLOOKUP(Sheet1!$A1286,Sheet2!$B$5:$H$29,6,FALSE),0)</x:f>
        <x:v>0</x:v>
      </x:c>
      <x:c r="H1286">
        <x:f>ROUND($C1286*10*VLOOKUP($B1286,Sheet2!$J$5:$K$7,2,FALSE)*VLOOKUP(Sheet1!$A1286,Sheet2!$B$5:$H$29,7,FALSE),0)</x:f>
        <x:v>0</x:v>
      </x:c>
      <x:c r="I1286">
        <x:f t="shared" si="21"/>
        <x:v>6620</x:v>
      </x:c>
    </x:row>
    <x:row r="1287" spans="1:9" x14ac:dyDescent="0.15">
      <x:c r="A1287">
        <x:v>54053</x:v>
      </x:c>
      <x:c r="B1287">
        <x:v>1</x:v>
      </x:c>
      <x:c r="C1287">
        <x:v>26</x:v>
      </x:c>
      <x:c r="D1287">
        <x:f>ROUND($C1287*10*VLOOKUP($B1287,Sheet2!$J$5:$K$7,2,FALSE)*VLOOKUP(Sheet1!$A1287,Sheet2!$B$5:$H$29,3,FALSE),0)</x:f>
        <x:v>0</x:v>
      </x:c>
      <x:c r="E1287">
        <x:f>ROUND($C1287*10*VLOOKUP($B1287,Sheet2!$J$5:$K$7,2,FALSE)*VLOOKUP(Sheet1!$A1287,Sheet2!$B$5:$H$29,4,FALSE),0)</x:f>
        <x:v>156</x:v>
      </x:c>
      <x:c r="F1287">
        <x:f>ROUND($C1287*10*VLOOKUP($B1287,Sheet2!$J$5:$K$7,2,FALSE)*VLOOKUP(Sheet1!$A1287,Sheet2!$B$5:$H$29,5,FALSE),0)</x:f>
        <x:v>42</x:v>
      </x:c>
      <x:c r="G1287">
        <x:f>ROUND($C1287*10*VLOOKUP($B1287,Sheet2!$J$5:$K$7,2,FALSE)*VLOOKUP(Sheet1!$A1287,Sheet2!$B$5:$H$29,6,FALSE),0)</x:f>
        <x:v>0</x:v>
      </x:c>
      <x:c r="H1287">
        <x:f>ROUND($C1287*10*VLOOKUP($B1287,Sheet2!$J$5:$K$7,2,FALSE)*VLOOKUP(Sheet1!$A1287,Sheet2!$B$5:$H$29,7,FALSE),0)</x:f>
        <x:v>0</x:v>
      </x:c>
      <x:c r="I1287">
        <x:f t="shared" si="21"/>
        <x:v>7120</x:v>
      </x:c>
    </x:row>
    <x:row r="1288" spans="1:9" x14ac:dyDescent="0.15">
      <x:c r="A1288">
        <x:v>54053</x:v>
      </x:c>
      <x:c r="B1288">
        <x:v>1</x:v>
      </x:c>
      <x:c r="C1288">
        <x:v>27</x:v>
      </x:c>
      <x:c r="D1288">
        <x:f>ROUND($C1288*10*VLOOKUP($B1288,Sheet2!$J$5:$K$7,2,FALSE)*VLOOKUP(Sheet1!$A1288,Sheet2!$B$5:$H$29,3,FALSE),0)</x:f>
        <x:v>0</x:v>
      </x:c>
      <x:c r="E1288">
        <x:f>ROUND($C1288*10*VLOOKUP($B1288,Sheet2!$J$5:$K$7,2,FALSE)*VLOOKUP(Sheet1!$A1288,Sheet2!$B$5:$H$29,4,FALSE),0)</x:f>
        <x:v>162</x:v>
      </x:c>
      <x:c r="F1288">
        <x:f>ROUND($C1288*10*VLOOKUP($B1288,Sheet2!$J$5:$K$7,2,FALSE)*VLOOKUP(Sheet1!$A1288,Sheet2!$B$5:$H$29,5,FALSE),0)</x:f>
        <x:v>43</x:v>
      </x:c>
      <x:c r="G1288">
        <x:f>ROUND($C1288*10*VLOOKUP($B1288,Sheet2!$J$5:$K$7,2,FALSE)*VLOOKUP(Sheet1!$A1288,Sheet2!$B$5:$H$29,6,FALSE),0)</x:f>
        <x:v>0</x:v>
      </x:c>
      <x:c r="H1288">
        <x:f>ROUND($C1288*10*VLOOKUP($B1288,Sheet2!$J$5:$K$7,2,FALSE)*VLOOKUP(Sheet1!$A1288,Sheet2!$B$5:$H$29,7,FALSE),0)</x:f>
        <x:v>0</x:v>
      </x:c>
      <x:c r="I1288">
        <x:f t="shared" si="21"/>
        <x:v>7640</x:v>
      </x:c>
    </x:row>
    <x:row r="1289" spans="1:9" x14ac:dyDescent="0.15">
      <x:c r="A1289">
        <x:v>54053</x:v>
      </x:c>
      <x:c r="B1289">
        <x:v>1</x:v>
      </x:c>
      <x:c r="C1289">
        <x:v>28</x:v>
      </x:c>
      <x:c r="D1289">
        <x:f>ROUND($C1289*10*VLOOKUP($B1289,Sheet2!$J$5:$K$7,2,FALSE)*VLOOKUP(Sheet1!$A1289,Sheet2!$B$5:$H$29,3,FALSE),0)</x:f>
        <x:v>0</x:v>
      </x:c>
      <x:c r="E1289">
        <x:f>ROUND($C1289*10*VLOOKUP($B1289,Sheet2!$J$5:$K$7,2,FALSE)*VLOOKUP(Sheet1!$A1289,Sheet2!$B$5:$H$29,4,FALSE),0)</x:f>
        <x:v>168</x:v>
      </x:c>
      <x:c r="F1289">
        <x:f>ROUND($C1289*10*VLOOKUP($B1289,Sheet2!$J$5:$K$7,2,FALSE)*VLOOKUP(Sheet1!$A1289,Sheet2!$B$5:$H$29,5,FALSE),0)</x:f>
        <x:v>45</x:v>
      </x:c>
      <x:c r="G1289">
        <x:f>ROUND($C1289*10*VLOOKUP($B1289,Sheet2!$J$5:$K$7,2,FALSE)*VLOOKUP(Sheet1!$A1289,Sheet2!$B$5:$H$29,6,FALSE),0)</x:f>
        <x:v>0</x:v>
      </x:c>
      <x:c r="H1289">
        <x:f>ROUND($C1289*10*VLOOKUP($B1289,Sheet2!$J$5:$K$7,2,FALSE)*VLOOKUP(Sheet1!$A1289,Sheet2!$B$5:$H$29,7,FALSE),0)</x:f>
        <x:v>0</x:v>
      </x:c>
      <x:c r="I1289">
        <x:f t="shared" si="21"/>
        <x:v>8180</x:v>
      </x:c>
    </x:row>
    <x:row r="1290" spans="1:9" x14ac:dyDescent="0.15">
      <x:c r="A1290">
        <x:v>54053</x:v>
      </x:c>
      <x:c r="B1290">
        <x:v>1</x:v>
      </x:c>
      <x:c r="C1290">
        <x:v>29</x:v>
      </x:c>
      <x:c r="D1290">
        <x:f>ROUND($C1290*10*VLOOKUP($B1290,Sheet2!$J$5:$K$7,2,FALSE)*VLOOKUP(Sheet1!$A1290,Sheet2!$B$5:$H$29,3,FALSE),0)</x:f>
        <x:v>0</x:v>
      </x:c>
      <x:c r="E1290">
        <x:f>ROUND($C1290*10*VLOOKUP($B1290,Sheet2!$J$5:$K$7,2,FALSE)*VLOOKUP(Sheet1!$A1290,Sheet2!$B$5:$H$29,4,FALSE),0)</x:f>
        <x:v>174</x:v>
      </x:c>
      <x:c r="F1290">
        <x:f>ROUND($C1290*10*VLOOKUP($B1290,Sheet2!$J$5:$K$7,2,FALSE)*VLOOKUP(Sheet1!$A1290,Sheet2!$B$5:$H$29,5,FALSE),0)</x:f>
        <x:v>46</x:v>
      </x:c>
      <x:c r="G1290">
        <x:f>ROUND($C1290*10*VLOOKUP($B1290,Sheet2!$J$5:$K$7,2,FALSE)*VLOOKUP(Sheet1!$A1290,Sheet2!$B$5:$H$29,6,FALSE),0)</x:f>
        <x:v>0</x:v>
      </x:c>
      <x:c r="H1290">
        <x:f>ROUND($C1290*10*VLOOKUP($B1290,Sheet2!$J$5:$K$7,2,FALSE)*VLOOKUP(Sheet1!$A1290,Sheet2!$B$5:$H$29,7,FALSE),0)</x:f>
        <x:v>0</x:v>
      </x:c>
      <x:c r="I1290">
        <x:f t="shared" si="21"/>
        <x:v>8730</x:v>
      </x:c>
    </x:row>
    <x:row r="1291" spans="1:9" x14ac:dyDescent="0.15">
      <x:c r="A1291">
        <x:v>54053</x:v>
      </x:c>
      <x:c r="B1291">
        <x:v>1</x:v>
      </x:c>
      <x:c r="C1291">
        <x:v>30</x:v>
      </x:c>
      <x:c r="D1291">
        <x:f>ROUND($C1291*10*VLOOKUP($B1291,Sheet2!$J$5:$K$7,2,FALSE)*VLOOKUP(Sheet1!$A1291,Sheet2!$B$5:$H$29,3,FALSE),0)</x:f>
        <x:v>0</x:v>
      </x:c>
      <x:c r="E1291">
        <x:f>ROUND($C1291*10*VLOOKUP($B1291,Sheet2!$J$5:$K$7,2,FALSE)*VLOOKUP(Sheet1!$A1291,Sheet2!$B$5:$H$29,4,FALSE),0)</x:f>
        <x:v>180</x:v>
      </x:c>
      <x:c r="F1291">
        <x:f>ROUND($C1291*10*VLOOKUP($B1291,Sheet2!$J$5:$K$7,2,FALSE)*VLOOKUP(Sheet1!$A1291,Sheet2!$B$5:$H$29,5,FALSE),0)</x:f>
        <x:v>48</x:v>
      </x:c>
      <x:c r="G1291">
        <x:f>ROUND($C1291*10*VLOOKUP($B1291,Sheet2!$J$5:$K$7,2,FALSE)*VLOOKUP(Sheet1!$A1291,Sheet2!$B$5:$H$29,6,FALSE),0)</x:f>
        <x:v>0</x:v>
      </x:c>
      <x:c r="H1291">
        <x:f>ROUND($C1291*10*VLOOKUP($B1291,Sheet2!$J$5:$K$7,2,FALSE)*VLOOKUP(Sheet1!$A1291,Sheet2!$B$5:$H$29,7,FALSE),0)</x:f>
        <x:v>0</x:v>
      </x:c>
      <x:c r="I1291">
        <x:f t="shared" si="21"/>
        <x:v>9290</x:v>
      </x:c>
    </x:row>
    <x:row r="1292" spans="1:9" x14ac:dyDescent="0.15">
      <x:c r="A1292">
        <x:v>54053</x:v>
      </x:c>
      <x:c r="B1292">
        <x:v>1</x:v>
      </x:c>
      <x:c r="C1292">
        <x:v>31</x:v>
      </x:c>
      <x:c r="D1292">
        <x:f>ROUND($C1292*10*VLOOKUP($B1292,Sheet2!$J$5:$K$7,2,FALSE)*VLOOKUP(Sheet1!$A1292,Sheet2!$B$5:$H$29,3,FALSE),0)</x:f>
        <x:v>0</x:v>
      </x:c>
      <x:c r="E1292">
        <x:f>ROUND($C1292*10*VLOOKUP($B1292,Sheet2!$J$5:$K$7,2,FALSE)*VLOOKUP(Sheet1!$A1292,Sheet2!$B$5:$H$29,4,FALSE),0)</x:f>
        <x:v>186</x:v>
      </x:c>
      <x:c r="F1292">
        <x:f>ROUND($C1292*10*VLOOKUP($B1292,Sheet2!$J$5:$K$7,2,FALSE)*VLOOKUP(Sheet1!$A1292,Sheet2!$B$5:$H$29,5,FALSE),0)</x:f>
        <x:v>50</x:v>
      </x:c>
      <x:c r="G1292">
        <x:f>ROUND($C1292*10*VLOOKUP($B1292,Sheet2!$J$5:$K$7,2,FALSE)*VLOOKUP(Sheet1!$A1292,Sheet2!$B$5:$H$29,6,FALSE),0)</x:f>
        <x:v>0</x:v>
      </x:c>
      <x:c r="H1292">
        <x:f>ROUND($C1292*10*VLOOKUP($B1292,Sheet2!$J$5:$K$7,2,FALSE)*VLOOKUP(Sheet1!$A1292,Sheet2!$B$5:$H$29,7,FALSE),0)</x:f>
        <x:v>0</x:v>
      </x:c>
      <x:c r="I1292">
        <x:f t="shared" si="21"/>
        <x:v>9880</x:v>
      </x:c>
    </x:row>
    <x:row r="1293" spans="1:9" x14ac:dyDescent="0.15">
      <x:c r="A1293">
        <x:v>54053</x:v>
      </x:c>
      <x:c r="B1293">
        <x:v>1</x:v>
      </x:c>
      <x:c r="C1293">
        <x:v>32</x:v>
      </x:c>
      <x:c r="D1293">
        <x:f>ROUND($C1293*10*VLOOKUP($B1293,Sheet2!$J$5:$K$7,2,FALSE)*VLOOKUP(Sheet1!$A1293,Sheet2!$B$5:$H$29,3,FALSE),0)</x:f>
        <x:v>0</x:v>
      </x:c>
      <x:c r="E1293">
        <x:f>ROUND($C1293*10*VLOOKUP($B1293,Sheet2!$J$5:$K$7,2,FALSE)*VLOOKUP(Sheet1!$A1293,Sheet2!$B$5:$H$29,4,FALSE),0)</x:f>
        <x:v>192</x:v>
      </x:c>
      <x:c r="F1293">
        <x:f>ROUND($C1293*10*VLOOKUP($B1293,Sheet2!$J$5:$K$7,2,FALSE)*VLOOKUP(Sheet1!$A1293,Sheet2!$B$5:$H$29,5,FALSE),0)</x:f>
        <x:v>51</x:v>
      </x:c>
      <x:c r="G1293">
        <x:f>ROUND($C1293*10*VLOOKUP($B1293,Sheet2!$J$5:$K$7,2,FALSE)*VLOOKUP(Sheet1!$A1293,Sheet2!$B$5:$H$29,6,FALSE),0)</x:f>
        <x:v>0</x:v>
      </x:c>
      <x:c r="H1293">
        <x:f>ROUND($C1293*10*VLOOKUP($B1293,Sheet2!$J$5:$K$7,2,FALSE)*VLOOKUP(Sheet1!$A1293,Sheet2!$B$5:$H$29,7,FALSE),0)</x:f>
        <x:v>0</x:v>
      </x:c>
      <x:c r="I1293">
        <x:f t="shared" si="21"/>
        <x:v>10470</x:v>
      </x:c>
    </x:row>
    <x:row r="1294" spans="1:9" x14ac:dyDescent="0.15">
      <x:c r="A1294">
        <x:v>54053</x:v>
      </x:c>
      <x:c r="B1294">
        <x:v>1</x:v>
      </x:c>
      <x:c r="C1294">
        <x:v>33</x:v>
      </x:c>
      <x:c r="D1294">
        <x:f>ROUND($C1294*10*VLOOKUP($B1294,Sheet2!$J$5:$K$7,2,FALSE)*VLOOKUP(Sheet1!$A1294,Sheet2!$B$5:$H$29,3,FALSE),0)</x:f>
        <x:v>0</x:v>
      </x:c>
      <x:c r="E1294">
        <x:f>ROUND($C1294*10*VLOOKUP($B1294,Sheet2!$J$5:$K$7,2,FALSE)*VLOOKUP(Sheet1!$A1294,Sheet2!$B$5:$H$29,4,FALSE),0)</x:f>
        <x:v>198</x:v>
      </x:c>
      <x:c r="F1294">
        <x:f>ROUND($C1294*10*VLOOKUP($B1294,Sheet2!$J$5:$K$7,2,FALSE)*VLOOKUP(Sheet1!$A1294,Sheet2!$B$5:$H$29,5,FALSE),0)</x:f>
        <x:v>53</x:v>
      </x:c>
      <x:c r="G1294">
        <x:f>ROUND($C1294*10*VLOOKUP($B1294,Sheet2!$J$5:$K$7,2,FALSE)*VLOOKUP(Sheet1!$A1294,Sheet2!$B$5:$H$29,6,FALSE),0)</x:f>
        <x:v>0</x:v>
      </x:c>
      <x:c r="H1294">
        <x:f>ROUND($C1294*10*VLOOKUP($B1294,Sheet2!$J$5:$K$7,2,FALSE)*VLOOKUP(Sheet1!$A1294,Sheet2!$B$5:$H$29,7,FALSE),0)</x:f>
        <x:v>0</x:v>
      </x:c>
      <x:c r="I1294">
        <x:f t="shared" si="21"/>
        <x:v>11090</x:v>
      </x:c>
    </x:row>
    <x:row r="1295" spans="1:9" x14ac:dyDescent="0.15">
      <x:c r="A1295">
        <x:v>54053</x:v>
      </x:c>
      <x:c r="B1295">
        <x:v>1</x:v>
      </x:c>
      <x:c r="C1295">
        <x:v>34</x:v>
      </x:c>
      <x:c r="D1295">
        <x:f>ROUND($C1295*10*VLOOKUP($B1295,Sheet2!$J$5:$K$7,2,FALSE)*VLOOKUP(Sheet1!$A1295,Sheet2!$B$5:$H$29,3,FALSE),0)</x:f>
        <x:v>0</x:v>
      </x:c>
      <x:c r="E1295">
        <x:f>ROUND($C1295*10*VLOOKUP($B1295,Sheet2!$J$5:$K$7,2,FALSE)*VLOOKUP(Sheet1!$A1295,Sheet2!$B$5:$H$29,4,FALSE),0)</x:f>
        <x:v>204</x:v>
      </x:c>
      <x:c r="F1295">
        <x:f>ROUND($C1295*10*VLOOKUP($B1295,Sheet2!$J$5:$K$7,2,FALSE)*VLOOKUP(Sheet1!$A1295,Sheet2!$B$5:$H$29,5,FALSE),0)</x:f>
        <x:v>54</x:v>
      </x:c>
      <x:c r="G1295">
        <x:f>ROUND($C1295*10*VLOOKUP($B1295,Sheet2!$J$5:$K$7,2,FALSE)*VLOOKUP(Sheet1!$A1295,Sheet2!$B$5:$H$29,6,FALSE),0)</x:f>
        <x:v>0</x:v>
      </x:c>
      <x:c r="H1295">
        <x:f>ROUND($C1295*10*VLOOKUP($B1295,Sheet2!$J$5:$K$7,2,FALSE)*VLOOKUP(Sheet1!$A1295,Sheet2!$B$5:$H$29,7,FALSE),0)</x:f>
        <x:v>0</x:v>
      </x:c>
      <x:c r="I1295">
        <x:f t="shared" si="21"/>
        <x:v>11720</x:v>
      </x:c>
    </x:row>
    <x:row r="1296" spans="1:9" x14ac:dyDescent="0.15">
      <x:c r="A1296">
        <x:v>54053</x:v>
      </x:c>
      <x:c r="B1296">
        <x:v>1</x:v>
      </x:c>
      <x:c r="C1296">
        <x:v>35</x:v>
      </x:c>
      <x:c r="D1296">
        <x:f>ROUND($C1296*10*VLOOKUP($B1296,Sheet2!$J$5:$K$7,2,FALSE)*VLOOKUP(Sheet1!$A1296,Sheet2!$B$5:$H$29,3,FALSE),0)</x:f>
        <x:v>0</x:v>
      </x:c>
      <x:c r="E1296">
        <x:f>ROUND($C1296*10*VLOOKUP($B1296,Sheet2!$J$5:$K$7,2,FALSE)*VLOOKUP(Sheet1!$A1296,Sheet2!$B$5:$H$29,4,FALSE),0)</x:f>
        <x:v>210</x:v>
      </x:c>
      <x:c r="F1296">
        <x:f>ROUND($C1296*10*VLOOKUP($B1296,Sheet2!$J$5:$K$7,2,FALSE)*VLOOKUP(Sheet1!$A1296,Sheet2!$B$5:$H$29,5,FALSE),0)</x:f>
        <x:v>56</x:v>
      </x:c>
      <x:c r="G1296">
        <x:f>ROUND($C1296*10*VLOOKUP($B1296,Sheet2!$J$5:$K$7,2,FALSE)*VLOOKUP(Sheet1!$A1296,Sheet2!$B$5:$H$29,6,FALSE),0)</x:f>
        <x:v>0</x:v>
      </x:c>
      <x:c r="H1296">
        <x:f>ROUND($C1296*10*VLOOKUP($B1296,Sheet2!$J$5:$K$7,2,FALSE)*VLOOKUP(Sheet1!$A1296,Sheet2!$B$5:$H$29,7,FALSE),0)</x:f>
        <x:v>0</x:v>
      </x:c>
      <x:c r="I1296">
        <x:f t="shared" si="21"/>
        <x:v>12360</x:v>
      </x:c>
    </x:row>
    <x:row r="1297" spans="1:9" x14ac:dyDescent="0.15">
      <x:c r="A1297">
        <x:v>54053</x:v>
      </x:c>
      <x:c r="B1297">
        <x:v>1</x:v>
      </x:c>
      <x:c r="C1297">
        <x:v>36</x:v>
      </x:c>
      <x:c r="D1297">
        <x:f>ROUND($C1297*10*VLOOKUP($B1297,Sheet2!$J$5:$K$7,2,FALSE)*VLOOKUP(Sheet1!$A1297,Sheet2!$B$5:$H$29,3,FALSE),0)</x:f>
        <x:v>0</x:v>
      </x:c>
      <x:c r="E1297">
        <x:f>ROUND($C1297*10*VLOOKUP($B1297,Sheet2!$J$5:$K$7,2,FALSE)*VLOOKUP(Sheet1!$A1297,Sheet2!$B$5:$H$29,4,FALSE),0)</x:f>
        <x:v>216</x:v>
      </x:c>
      <x:c r="F1297">
        <x:f>ROUND($C1297*10*VLOOKUP($B1297,Sheet2!$J$5:$K$7,2,FALSE)*VLOOKUP(Sheet1!$A1297,Sheet2!$B$5:$H$29,5,FALSE),0)</x:f>
        <x:v>58</x:v>
      </x:c>
      <x:c r="G1297">
        <x:f>ROUND($C1297*10*VLOOKUP($B1297,Sheet2!$J$5:$K$7,2,FALSE)*VLOOKUP(Sheet1!$A1297,Sheet2!$B$5:$H$29,6,FALSE),0)</x:f>
        <x:v>0</x:v>
      </x:c>
      <x:c r="H1297">
        <x:f>ROUND($C1297*10*VLOOKUP($B1297,Sheet2!$J$5:$K$7,2,FALSE)*VLOOKUP(Sheet1!$A1297,Sheet2!$B$5:$H$29,7,FALSE),0)</x:f>
        <x:v>0</x:v>
      </x:c>
      <x:c r="I1297">
        <x:f t="shared" si="21"/>
        <x:v>13020</x:v>
      </x:c>
    </x:row>
    <x:row r="1298" spans="1:9" x14ac:dyDescent="0.15">
      <x:c r="A1298">
        <x:v>54053</x:v>
      </x:c>
      <x:c r="B1298">
        <x:v>1</x:v>
      </x:c>
      <x:c r="C1298">
        <x:v>37</x:v>
      </x:c>
      <x:c r="D1298">
        <x:f>ROUND($C1298*10*VLOOKUP($B1298,Sheet2!$J$5:$K$7,2,FALSE)*VLOOKUP(Sheet1!$A1298,Sheet2!$B$5:$H$29,3,FALSE),0)</x:f>
        <x:v>0</x:v>
      </x:c>
      <x:c r="E1298">
        <x:f>ROUND($C1298*10*VLOOKUP($B1298,Sheet2!$J$5:$K$7,2,FALSE)*VLOOKUP(Sheet1!$A1298,Sheet2!$B$5:$H$29,4,FALSE),0)</x:f>
        <x:v>222</x:v>
      </x:c>
      <x:c r="F1298">
        <x:f>ROUND($C1298*10*VLOOKUP($B1298,Sheet2!$J$5:$K$7,2,FALSE)*VLOOKUP(Sheet1!$A1298,Sheet2!$B$5:$H$29,5,FALSE),0)</x:f>
        <x:v>59</x:v>
      </x:c>
      <x:c r="G1298">
        <x:f>ROUND($C1298*10*VLOOKUP($B1298,Sheet2!$J$5:$K$7,2,FALSE)*VLOOKUP(Sheet1!$A1298,Sheet2!$B$5:$H$29,6,FALSE),0)</x:f>
        <x:v>0</x:v>
      </x:c>
      <x:c r="H1298">
        <x:f>ROUND($C1298*10*VLOOKUP($B1298,Sheet2!$J$5:$K$7,2,FALSE)*VLOOKUP(Sheet1!$A1298,Sheet2!$B$5:$H$29,7,FALSE),0)</x:f>
        <x:v>0</x:v>
      </x:c>
      <x:c r="I1298">
        <x:f t="shared" si="21"/>
        <x:v>13700</x:v>
      </x:c>
    </x:row>
    <x:row r="1299" spans="1:9" x14ac:dyDescent="0.15">
      <x:c r="A1299">
        <x:v>54053</x:v>
      </x:c>
      <x:c r="B1299">
        <x:v>1</x:v>
      </x:c>
      <x:c r="C1299">
        <x:v>38</x:v>
      </x:c>
      <x:c r="D1299">
        <x:f>ROUND($C1299*10*VLOOKUP($B1299,Sheet2!$J$5:$K$7,2,FALSE)*VLOOKUP(Sheet1!$A1299,Sheet2!$B$5:$H$29,3,FALSE),0)</x:f>
        <x:v>0</x:v>
      </x:c>
      <x:c r="E1299">
        <x:f>ROUND($C1299*10*VLOOKUP($B1299,Sheet2!$J$5:$K$7,2,FALSE)*VLOOKUP(Sheet1!$A1299,Sheet2!$B$5:$H$29,4,FALSE),0)</x:f>
        <x:v>228</x:v>
      </x:c>
      <x:c r="F1299">
        <x:f>ROUND($C1299*10*VLOOKUP($B1299,Sheet2!$J$5:$K$7,2,FALSE)*VLOOKUP(Sheet1!$A1299,Sheet2!$B$5:$H$29,5,FALSE),0)</x:f>
        <x:v>61</x:v>
      </x:c>
      <x:c r="G1299">
        <x:f>ROUND($C1299*10*VLOOKUP($B1299,Sheet2!$J$5:$K$7,2,FALSE)*VLOOKUP(Sheet1!$A1299,Sheet2!$B$5:$H$29,6,FALSE),0)</x:f>
        <x:v>0</x:v>
      </x:c>
      <x:c r="H1299">
        <x:f>ROUND($C1299*10*VLOOKUP($B1299,Sheet2!$J$5:$K$7,2,FALSE)*VLOOKUP(Sheet1!$A1299,Sheet2!$B$5:$H$29,7,FALSE),0)</x:f>
        <x:v>0</x:v>
      </x:c>
      <x:c r="I1299">
        <x:f t="shared" si="21"/>
        <x:v>14390</x:v>
      </x:c>
    </x:row>
    <x:row r="1300" spans="1:9" x14ac:dyDescent="0.15">
      <x:c r="A1300">
        <x:v>54053</x:v>
      </x:c>
      <x:c r="B1300">
        <x:v>1</x:v>
      </x:c>
      <x:c r="C1300">
        <x:v>39</x:v>
      </x:c>
      <x:c r="D1300">
        <x:f>ROUND($C1300*10*VLOOKUP($B1300,Sheet2!$J$5:$K$7,2,FALSE)*VLOOKUP(Sheet1!$A1300,Sheet2!$B$5:$H$29,3,FALSE),0)</x:f>
        <x:v>0</x:v>
      </x:c>
      <x:c r="E1300">
        <x:f>ROUND($C1300*10*VLOOKUP($B1300,Sheet2!$J$5:$K$7,2,FALSE)*VLOOKUP(Sheet1!$A1300,Sheet2!$B$5:$H$29,4,FALSE),0)</x:f>
        <x:v>234</x:v>
      </x:c>
      <x:c r="F1300">
        <x:f>ROUND($C1300*10*VLOOKUP($B1300,Sheet2!$J$5:$K$7,2,FALSE)*VLOOKUP(Sheet1!$A1300,Sheet2!$B$5:$H$29,5,FALSE),0)</x:f>
        <x:v>62</x:v>
      </x:c>
      <x:c r="G1300">
        <x:f>ROUND($C1300*10*VLOOKUP($B1300,Sheet2!$J$5:$K$7,2,FALSE)*VLOOKUP(Sheet1!$A1300,Sheet2!$B$5:$H$29,6,FALSE),0)</x:f>
        <x:v>0</x:v>
      </x:c>
      <x:c r="H1300">
        <x:f>ROUND($C1300*10*VLOOKUP($B1300,Sheet2!$J$5:$K$7,2,FALSE)*VLOOKUP(Sheet1!$A1300,Sheet2!$B$5:$H$29,7,FALSE),0)</x:f>
        <x:v>0</x:v>
      </x:c>
      <x:c r="I1300">
        <x:f t="shared" si="21"/>
        <x:v>15100</x:v>
      </x:c>
    </x:row>
    <x:row r="1301" spans="1:9" x14ac:dyDescent="0.15">
      <x:c r="A1301">
        <x:v>54053</x:v>
      </x:c>
      <x:c r="B1301">
        <x:v>1</x:v>
      </x:c>
      <x:c r="C1301">
        <x:v>40</x:v>
      </x:c>
      <x:c r="D1301">
        <x:f>ROUND($C1301*10*VLOOKUP($B1301,Sheet2!$J$5:$K$7,2,FALSE)*VLOOKUP(Sheet1!$A1301,Sheet2!$B$5:$H$29,3,FALSE),0)</x:f>
        <x:v>0</x:v>
      </x:c>
      <x:c r="E1301">
        <x:f>ROUND($C1301*10*VLOOKUP($B1301,Sheet2!$J$5:$K$7,2,FALSE)*VLOOKUP(Sheet1!$A1301,Sheet2!$B$5:$H$29,4,FALSE),0)</x:f>
        <x:v>240</x:v>
      </x:c>
      <x:c r="F1301">
        <x:f>ROUND($C1301*10*VLOOKUP($B1301,Sheet2!$J$5:$K$7,2,FALSE)*VLOOKUP(Sheet1!$A1301,Sheet2!$B$5:$H$29,5,FALSE),0)</x:f>
        <x:v>64</x:v>
      </x:c>
      <x:c r="G1301">
        <x:f>ROUND($C1301*10*VLOOKUP($B1301,Sheet2!$J$5:$K$7,2,FALSE)*VLOOKUP(Sheet1!$A1301,Sheet2!$B$5:$H$29,6,FALSE),0)</x:f>
        <x:v>0</x:v>
      </x:c>
      <x:c r="H1301">
        <x:f>ROUND($C1301*10*VLOOKUP($B1301,Sheet2!$J$5:$K$7,2,FALSE)*VLOOKUP(Sheet1!$A1301,Sheet2!$B$5:$H$29,7,FALSE),0)</x:f>
        <x:v>0</x:v>
      </x:c>
      <x:c r="I1301">
        <x:f t="shared" si="21"/>
        <x:v>15820</x:v>
      </x:c>
    </x:row>
    <x:row r="1302" spans="1:9" x14ac:dyDescent="0.15">
      <x:c r="A1302">
        <x:v>54053</x:v>
      </x:c>
      <x:c r="B1302">
        <x:v>1</x:v>
      </x:c>
      <x:c r="C1302">
        <x:v>41</x:v>
      </x:c>
      <x:c r="D1302">
        <x:f>ROUND($C1302*10*VLOOKUP($B1302,Sheet2!$J$5:$K$7,2,FALSE)*VLOOKUP(Sheet1!$A1302,Sheet2!$B$5:$H$29,3,FALSE),0)</x:f>
        <x:v>0</x:v>
      </x:c>
      <x:c r="E1302">
        <x:f>ROUND($C1302*10*VLOOKUP($B1302,Sheet2!$J$5:$K$7,2,FALSE)*VLOOKUP(Sheet1!$A1302,Sheet2!$B$5:$H$29,4,FALSE),0)</x:f>
        <x:v>246</x:v>
      </x:c>
      <x:c r="F1302">
        <x:f>ROUND($C1302*10*VLOOKUP($B1302,Sheet2!$J$5:$K$7,2,FALSE)*VLOOKUP(Sheet1!$A1302,Sheet2!$B$5:$H$29,5,FALSE),0)</x:f>
        <x:v>66</x:v>
      </x:c>
      <x:c r="G1302">
        <x:f>ROUND($C1302*10*VLOOKUP($B1302,Sheet2!$J$5:$K$7,2,FALSE)*VLOOKUP(Sheet1!$A1302,Sheet2!$B$5:$H$29,6,FALSE),0)</x:f>
        <x:v>0</x:v>
      </x:c>
      <x:c r="H1302">
        <x:f>ROUND($C1302*10*VLOOKUP($B1302,Sheet2!$J$5:$K$7,2,FALSE)*VLOOKUP(Sheet1!$A1302,Sheet2!$B$5:$H$29,7,FALSE),0)</x:f>
        <x:v>0</x:v>
      </x:c>
      <x:c r="I1302">
        <x:f t="shared" si="21"/>
        <x:v>16560</x:v>
      </x:c>
    </x:row>
    <x:row r="1303" spans="1:9" x14ac:dyDescent="0.15">
      <x:c r="A1303">
        <x:v>54053</x:v>
      </x:c>
      <x:c r="B1303">
        <x:v>1</x:v>
      </x:c>
      <x:c r="C1303">
        <x:v>42</x:v>
      </x:c>
      <x:c r="D1303">
        <x:f>ROUND($C1303*10*VLOOKUP($B1303,Sheet2!$J$5:$K$7,2,FALSE)*VLOOKUP(Sheet1!$A1303,Sheet2!$B$5:$H$29,3,FALSE),0)</x:f>
        <x:v>0</x:v>
      </x:c>
      <x:c r="E1303">
        <x:f>ROUND($C1303*10*VLOOKUP($B1303,Sheet2!$J$5:$K$7,2,FALSE)*VLOOKUP(Sheet1!$A1303,Sheet2!$B$5:$H$29,4,FALSE),0)</x:f>
        <x:v>252</x:v>
      </x:c>
      <x:c r="F1303">
        <x:f>ROUND($C1303*10*VLOOKUP($B1303,Sheet2!$J$5:$K$7,2,FALSE)*VLOOKUP(Sheet1!$A1303,Sheet2!$B$5:$H$29,5,FALSE),0)</x:f>
        <x:v>67</x:v>
      </x:c>
      <x:c r="G1303">
        <x:f>ROUND($C1303*10*VLOOKUP($B1303,Sheet2!$J$5:$K$7,2,FALSE)*VLOOKUP(Sheet1!$A1303,Sheet2!$B$5:$H$29,6,FALSE),0)</x:f>
        <x:v>0</x:v>
      </x:c>
      <x:c r="H1303">
        <x:f>ROUND($C1303*10*VLOOKUP($B1303,Sheet2!$J$5:$K$7,2,FALSE)*VLOOKUP(Sheet1!$A1303,Sheet2!$B$5:$H$29,7,FALSE),0)</x:f>
        <x:v>0</x:v>
      </x:c>
      <x:c r="I1303">
        <x:f t="shared" si="21"/>
        <x:v>17310</x:v>
      </x:c>
    </x:row>
    <x:row r="1304" spans="1:9" x14ac:dyDescent="0.15">
      <x:c r="A1304">
        <x:v>54053</x:v>
      </x:c>
      <x:c r="B1304">
        <x:v>1</x:v>
      </x:c>
      <x:c r="C1304">
        <x:v>43</x:v>
      </x:c>
      <x:c r="D1304">
        <x:f>ROUND($C1304*10*VLOOKUP($B1304,Sheet2!$J$5:$K$7,2,FALSE)*VLOOKUP(Sheet1!$A1304,Sheet2!$B$5:$H$29,3,FALSE),0)</x:f>
        <x:v>0</x:v>
      </x:c>
      <x:c r="E1304">
        <x:f>ROUND($C1304*10*VLOOKUP($B1304,Sheet2!$J$5:$K$7,2,FALSE)*VLOOKUP(Sheet1!$A1304,Sheet2!$B$5:$H$29,4,FALSE),0)</x:f>
        <x:v>258</x:v>
      </x:c>
      <x:c r="F1304">
        <x:f>ROUND($C1304*10*VLOOKUP($B1304,Sheet2!$J$5:$K$7,2,FALSE)*VLOOKUP(Sheet1!$A1304,Sheet2!$B$5:$H$29,5,FALSE),0)</x:f>
        <x:v>69</x:v>
      </x:c>
      <x:c r="G1304">
        <x:f>ROUND($C1304*10*VLOOKUP($B1304,Sheet2!$J$5:$K$7,2,FALSE)*VLOOKUP(Sheet1!$A1304,Sheet2!$B$5:$H$29,6,FALSE),0)</x:f>
        <x:v>0</x:v>
      </x:c>
      <x:c r="H1304">
        <x:f>ROUND($C1304*10*VLOOKUP($B1304,Sheet2!$J$5:$K$7,2,FALSE)*VLOOKUP(Sheet1!$A1304,Sheet2!$B$5:$H$29,7,FALSE),0)</x:f>
        <x:v>0</x:v>
      </x:c>
      <x:c r="I1304">
        <x:f t="shared" si="21"/>
        <x:v>18070</x:v>
      </x:c>
    </x:row>
    <x:row r="1305" spans="1:9" x14ac:dyDescent="0.15">
      <x:c r="A1305">
        <x:v>54053</x:v>
      </x:c>
      <x:c r="B1305">
        <x:v>1</x:v>
      </x:c>
      <x:c r="C1305">
        <x:v>44</x:v>
      </x:c>
      <x:c r="D1305">
        <x:f>ROUND($C1305*10*VLOOKUP($B1305,Sheet2!$J$5:$K$7,2,FALSE)*VLOOKUP(Sheet1!$A1305,Sheet2!$B$5:$H$29,3,FALSE),0)</x:f>
        <x:v>0</x:v>
      </x:c>
      <x:c r="E1305">
        <x:f>ROUND($C1305*10*VLOOKUP($B1305,Sheet2!$J$5:$K$7,2,FALSE)*VLOOKUP(Sheet1!$A1305,Sheet2!$B$5:$H$29,4,FALSE),0)</x:f>
        <x:v>264</x:v>
      </x:c>
      <x:c r="F1305">
        <x:f>ROUND($C1305*10*VLOOKUP($B1305,Sheet2!$J$5:$K$7,2,FALSE)*VLOOKUP(Sheet1!$A1305,Sheet2!$B$5:$H$29,5,FALSE),0)</x:f>
        <x:v>70</x:v>
      </x:c>
      <x:c r="G1305">
        <x:f>ROUND($C1305*10*VLOOKUP($B1305,Sheet2!$J$5:$K$7,2,FALSE)*VLOOKUP(Sheet1!$A1305,Sheet2!$B$5:$H$29,6,FALSE),0)</x:f>
        <x:v>0</x:v>
      </x:c>
      <x:c r="H1305">
        <x:f>ROUND($C1305*10*VLOOKUP($B1305,Sheet2!$J$5:$K$7,2,FALSE)*VLOOKUP(Sheet1!$A1305,Sheet2!$B$5:$H$29,7,FALSE),0)</x:f>
        <x:v>0</x:v>
      </x:c>
      <x:c r="I1305">
        <x:f t="shared" si="21"/>
        <x:v>18850</x:v>
      </x:c>
    </x:row>
    <x:row r="1306" spans="1:9" x14ac:dyDescent="0.15">
      <x:c r="A1306">
        <x:v>54053</x:v>
      </x:c>
      <x:c r="B1306">
        <x:v>1</x:v>
      </x:c>
      <x:c r="C1306">
        <x:v>45</x:v>
      </x:c>
      <x:c r="D1306">
        <x:f>ROUND($C1306*10*VLOOKUP($B1306,Sheet2!$J$5:$K$7,2,FALSE)*VLOOKUP(Sheet1!$A1306,Sheet2!$B$5:$H$29,3,FALSE),0)</x:f>
        <x:v>0</x:v>
      </x:c>
      <x:c r="E1306">
        <x:f>ROUND($C1306*10*VLOOKUP($B1306,Sheet2!$J$5:$K$7,2,FALSE)*VLOOKUP(Sheet1!$A1306,Sheet2!$B$5:$H$29,4,FALSE),0)</x:f>
        <x:v>270</x:v>
      </x:c>
      <x:c r="F1306">
        <x:f>ROUND($C1306*10*VLOOKUP($B1306,Sheet2!$J$5:$K$7,2,FALSE)*VLOOKUP(Sheet1!$A1306,Sheet2!$B$5:$H$29,5,FALSE),0)</x:f>
        <x:v>72</x:v>
      </x:c>
      <x:c r="G1306">
        <x:f>ROUND($C1306*10*VLOOKUP($B1306,Sheet2!$J$5:$K$7,2,FALSE)*VLOOKUP(Sheet1!$A1306,Sheet2!$B$5:$H$29,6,FALSE),0)</x:f>
        <x:v>0</x:v>
      </x:c>
      <x:c r="H1306">
        <x:f>ROUND($C1306*10*VLOOKUP($B1306,Sheet2!$J$5:$K$7,2,FALSE)*VLOOKUP(Sheet1!$A1306,Sheet2!$B$5:$H$29,7,FALSE),0)</x:f>
        <x:v>0</x:v>
      </x:c>
      <x:c r="I1306">
        <x:f t="shared" si="21"/>
        <x:v>19650</x:v>
      </x:c>
    </x:row>
    <x:row r="1307" spans="1:9" x14ac:dyDescent="0.15">
      <x:c r="A1307">
        <x:v>54053</x:v>
      </x:c>
      <x:c r="B1307">
        <x:v>1</x:v>
      </x:c>
      <x:c r="C1307">
        <x:v>46</x:v>
      </x:c>
      <x:c r="D1307">
        <x:f>ROUND($C1307*10*VLOOKUP($B1307,Sheet2!$J$5:$K$7,2,FALSE)*VLOOKUP(Sheet1!$A1307,Sheet2!$B$5:$H$29,3,FALSE),0)</x:f>
        <x:v>0</x:v>
      </x:c>
      <x:c r="E1307">
        <x:f>ROUND($C1307*10*VLOOKUP($B1307,Sheet2!$J$5:$K$7,2,FALSE)*VLOOKUP(Sheet1!$A1307,Sheet2!$B$5:$H$29,4,FALSE),0)</x:f>
        <x:v>276</x:v>
      </x:c>
      <x:c r="F1307">
        <x:f>ROUND($C1307*10*VLOOKUP($B1307,Sheet2!$J$5:$K$7,2,FALSE)*VLOOKUP(Sheet1!$A1307,Sheet2!$B$5:$H$29,5,FALSE),0)</x:f>
        <x:v>74</x:v>
      </x:c>
      <x:c r="G1307">
        <x:f>ROUND($C1307*10*VLOOKUP($B1307,Sheet2!$J$5:$K$7,2,FALSE)*VLOOKUP(Sheet1!$A1307,Sheet2!$B$5:$H$29,6,FALSE),0)</x:f>
        <x:v>0</x:v>
      </x:c>
      <x:c r="H1307">
        <x:f>ROUND($C1307*10*VLOOKUP($B1307,Sheet2!$J$5:$K$7,2,FALSE)*VLOOKUP(Sheet1!$A1307,Sheet2!$B$5:$H$29,7,FALSE),0)</x:f>
        <x:v>0</x:v>
      </x:c>
      <x:c r="I1307">
        <x:f t="shared" si="21"/>
        <x:v>20460</x:v>
      </x:c>
    </x:row>
    <x:row r="1308" spans="1:9" x14ac:dyDescent="0.15">
      <x:c r="A1308">
        <x:v>54053</x:v>
      </x:c>
      <x:c r="B1308">
        <x:v>1</x:v>
      </x:c>
      <x:c r="C1308">
        <x:v>47</x:v>
      </x:c>
      <x:c r="D1308">
        <x:f>ROUND($C1308*10*VLOOKUP($B1308,Sheet2!$J$5:$K$7,2,FALSE)*VLOOKUP(Sheet1!$A1308,Sheet2!$B$5:$H$29,3,FALSE),0)</x:f>
        <x:v>0</x:v>
      </x:c>
      <x:c r="E1308">
        <x:f>ROUND($C1308*10*VLOOKUP($B1308,Sheet2!$J$5:$K$7,2,FALSE)*VLOOKUP(Sheet1!$A1308,Sheet2!$B$5:$H$29,4,FALSE),0)</x:f>
        <x:v>282</x:v>
      </x:c>
      <x:c r="F1308">
        <x:f>ROUND($C1308*10*VLOOKUP($B1308,Sheet2!$J$5:$K$7,2,FALSE)*VLOOKUP(Sheet1!$A1308,Sheet2!$B$5:$H$29,5,FALSE),0)</x:f>
        <x:v>75</x:v>
      </x:c>
      <x:c r="G1308">
        <x:f>ROUND($C1308*10*VLOOKUP($B1308,Sheet2!$J$5:$K$7,2,FALSE)*VLOOKUP(Sheet1!$A1308,Sheet2!$B$5:$H$29,6,FALSE),0)</x:f>
        <x:v>0</x:v>
      </x:c>
      <x:c r="H1308">
        <x:f>ROUND($C1308*10*VLOOKUP($B1308,Sheet2!$J$5:$K$7,2,FALSE)*VLOOKUP(Sheet1!$A1308,Sheet2!$B$5:$H$29,7,FALSE),0)</x:f>
        <x:v>0</x:v>
      </x:c>
      <x:c r="I1308">
        <x:f t="shared" si="21"/>
        <x:v>21280</x:v>
      </x:c>
    </x:row>
    <x:row r="1309" spans="1:9" x14ac:dyDescent="0.15">
      <x:c r="A1309">
        <x:v>54053</x:v>
      </x:c>
      <x:c r="B1309">
        <x:v>1</x:v>
      </x:c>
      <x:c r="C1309">
        <x:v>48</x:v>
      </x:c>
      <x:c r="D1309">
        <x:f>ROUND($C1309*10*VLOOKUP($B1309,Sheet2!$J$5:$K$7,2,FALSE)*VLOOKUP(Sheet1!$A1309,Sheet2!$B$5:$H$29,3,FALSE),0)</x:f>
        <x:v>0</x:v>
      </x:c>
      <x:c r="E1309">
        <x:f>ROUND($C1309*10*VLOOKUP($B1309,Sheet2!$J$5:$K$7,2,FALSE)*VLOOKUP(Sheet1!$A1309,Sheet2!$B$5:$H$29,4,FALSE),0)</x:f>
        <x:v>288</x:v>
      </x:c>
      <x:c r="F1309">
        <x:f>ROUND($C1309*10*VLOOKUP($B1309,Sheet2!$J$5:$K$7,2,FALSE)*VLOOKUP(Sheet1!$A1309,Sheet2!$B$5:$H$29,5,FALSE),0)</x:f>
        <x:v>77</x:v>
      </x:c>
      <x:c r="G1309">
        <x:f>ROUND($C1309*10*VLOOKUP($B1309,Sheet2!$J$5:$K$7,2,FALSE)*VLOOKUP(Sheet1!$A1309,Sheet2!$B$5:$H$29,6,FALSE),0)</x:f>
        <x:v>0</x:v>
      </x:c>
      <x:c r="H1309">
        <x:f>ROUND($C1309*10*VLOOKUP($B1309,Sheet2!$J$5:$K$7,2,FALSE)*VLOOKUP(Sheet1!$A1309,Sheet2!$B$5:$H$29,7,FALSE),0)</x:f>
        <x:v>0</x:v>
      </x:c>
      <x:c r="I1309">
        <x:f t="shared" si="21"/>
        <x:v>22120</x:v>
      </x:c>
    </x:row>
    <x:row r="1310" spans="1:9" x14ac:dyDescent="0.15">
      <x:c r="A1310">
        <x:v>54053</x:v>
      </x:c>
      <x:c r="B1310">
        <x:v>1</x:v>
      </x:c>
      <x:c r="C1310">
        <x:v>49</x:v>
      </x:c>
      <x:c r="D1310">
        <x:f>ROUND($C1310*10*VLOOKUP($B1310,Sheet2!$J$5:$K$7,2,FALSE)*VLOOKUP(Sheet1!$A1310,Sheet2!$B$5:$H$29,3,FALSE),0)</x:f>
        <x:v>0</x:v>
      </x:c>
      <x:c r="E1310">
        <x:f>ROUND($C1310*10*VLOOKUP($B1310,Sheet2!$J$5:$K$7,2,FALSE)*VLOOKUP(Sheet1!$A1310,Sheet2!$B$5:$H$29,4,FALSE),0)</x:f>
        <x:v>294</x:v>
      </x:c>
      <x:c r="F1310">
        <x:f>ROUND($C1310*10*VLOOKUP($B1310,Sheet2!$J$5:$K$7,2,FALSE)*VLOOKUP(Sheet1!$A1310,Sheet2!$B$5:$H$29,5,FALSE),0)</x:f>
        <x:v>78</x:v>
      </x:c>
      <x:c r="G1310">
        <x:f>ROUND($C1310*10*VLOOKUP($B1310,Sheet2!$J$5:$K$7,2,FALSE)*VLOOKUP(Sheet1!$A1310,Sheet2!$B$5:$H$29,6,FALSE),0)</x:f>
        <x:v>0</x:v>
      </x:c>
      <x:c r="H1310">
        <x:f>ROUND($C1310*10*VLOOKUP($B1310,Sheet2!$J$5:$K$7,2,FALSE)*VLOOKUP(Sheet1!$A1310,Sheet2!$B$5:$H$29,7,FALSE),0)</x:f>
        <x:v>0</x:v>
      </x:c>
      <x:c r="I1310">
        <x:f t="shared" si="21"/>
        <x:v>22970</x:v>
      </x:c>
    </x:row>
    <x:row r="1311" spans="1:9" x14ac:dyDescent="0.15">
      <x:c r="A1311">
        <x:v>54053</x:v>
      </x:c>
      <x:c r="B1311">
        <x:v>1</x:v>
      </x:c>
      <x:c r="C1311">
        <x:v>50</x:v>
      </x:c>
      <x:c r="D1311">
        <x:f>ROUND($C1311*10*VLOOKUP($B1311,Sheet2!$J$5:$K$7,2,FALSE)*VLOOKUP(Sheet1!$A1311,Sheet2!$B$5:$H$29,3,FALSE),0)</x:f>
        <x:v>0</x:v>
      </x:c>
      <x:c r="E1311">
        <x:f>ROUND($C1311*10*VLOOKUP($B1311,Sheet2!$J$5:$K$7,2,FALSE)*VLOOKUP(Sheet1!$A1311,Sheet2!$B$5:$H$29,4,FALSE),0)</x:f>
        <x:v>300</x:v>
      </x:c>
      <x:c r="F1311">
        <x:f>ROUND($C1311*10*VLOOKUP($B1311,Sheet2!$J$5:$K$7,2,FALSE)*VLOOKUP(Sheet1!$A1311,Sheet2!$B$5:$H$29,5,FALSE),0)</x:f>
        <x:v>80</x:v>
      </x:c>
      <x:c r="G1311">
        <x:f>ROUND($C1311*10*VLOOKUP($B1311,Sheet2!$J$5:$K$7,2,FALSE)*VLOOKUP(Sheet1!$A1311,Sheet2!$B$5:$H$29,6,FALSE),0)</x:f>
        <x:v>0</x:v>
      </x:c>
      <x:c r="H1311">
        <x:f>ROUND($C1311*10*VLOOKUP($B1311,Sheet2!$J$5:$K$7,2,FALSE)*VLOOKUP(Sheet1!$A1311,Sheet2!$B$5:$H$29,7,FALSE),0)</x:f>
        <x:v>0</x:v>
      </x:c>
      <x:c r="I1311">
        <x:f t="shared" si="21"/>
        <x:v>23840</x:v>
      </x:c>
    </x:row>
    <x:row r="1312" spans="1:9" x14ac:dyDescent="0.15">
      <x:c r="A1312">
        <x:v>54053</x:v>
      </x:c>
      <x:c r="B1312">
        <x:v>1</x:v>
      </x:c>
      <x:c r="C1312">
        <x:v>51</x:v>
      </x:c>
      <x:c r="D1312">
        <x:f>ROUND($C1312*10*VLOOKUP($B1312,Sheet2!$J$5:$K$7,2,FALSE)*VLOOKUP(Sheet1!$A1312,Sheet2!$B$5:$H$29,3,FALSE),0)</x:f>
        <x:v>0</x:v>
      </x:c>
      <x:c r="E1312">
        <x:f>ROUND($C1312*10*VLOOKUP($B1312,Sheet2!$J$5:$K$7,2,FALSE)*VLOOKUP(Sheet1!$A1312,Sheet2!$B$5:$H$29,4,FALSE),0)</x:f>
        <x:v>306</x:v>
      </x:c>
      <x:c r="F1312">
        <x:f>ROUND($C1312*10*VLOOKUP($B1312,Sheet2!$J$5:$K$7,2,FALSE)*VLOOKUP(Sheet1!$A1312,Sheet2!$B$5:$H$29,5,FALSE),0)</x:f>
        <x:v>82</x:v>
      </x:c>
      <x:c r="G1312">
        <x:f>ROUND($C1312*10*VLOOKUP($B1312,Sheet2!$J$5:$K$7,2,FALSE)*VLOOKUP(Sheet1!$A1312,Sheet2!$B$5:$H$29,6,FALSE),0)</x:f>
        <x:v>0</x:v>
      </x:c>
      <x:c r="H1312">
        <x:f>ROUND($C1312*10*VLOOKUP($B1312,Sheet2!$J$5:$K$7,2,FALSE)*VLOOKUP(Sheet1!$A1312,Sheet2!$B$5:$H$29,7,FALSE),0)</x:f>
        <x:v>0</x:v>
      </x:c>
      <x:c r="I1312">
        <x:f t="shared" si="21"/>
        <x:v>24720</x:v>
      </x:c>
    </x:row>
    <x:row r="1313" spans="1:9" x14ac:dyDescent="0.15">
      <x:c r="A1313">
        <x:v>54053</x:v>
      </x:c>
      <x:c r="B1313">
        <x:v>1</x:v>
      </x:c>
      <x:c r="C1313">
        <x:v>52</x:v>
      </x:c>
      <x:c r="D1313">
        <x:f>ROUND($C1313*10*VLOOKUP($B1313,Sheet2!$J$5:$K$7,2,FALSE)*VLOOKUP(Sheet1!$A1313,Sheet2!$B$5:$H$29,3,FALSE),0)</x:f>
        <x:v>0</x:v>
      </x:c>
      <x:c r="E1313">
        <x:f>ROUND($C1313*10*VLOOKUP($B1313,Sheet2!$J$5:$K$7,2,FALSE)*VLOOKUP(Sheet1!$A1313,Sheet2!$B$5:$H$29,4,FALSE),0)</x:f>
        <x:v>312</x:v>
      </x:c>
      <x:c r="F1313">
        <x:f>ROUND($C1313*10*VLOOKUP($B1313,Sheet2!$J$5:$K$7,2,FALSE)*VLOOKUP(Sheet1!$A1313,Sheet2!$B$5:$H$29,5,FALSE),0)</x:f>
        <x:v>83</x:v>
      </x:c>
      <x:c r="G1313">
        <x:f>ROUND($C1313*10*VLOOKUP($B1313,Sheet2!$J$5:$K$7,2,FALSE)*VLOOKUP(Sheet1!$A1313,Sheet2!$B$5:$H$29,6,FALSE),0)</x:f>
        <x:v>0</x:v>
      </x:c>
      <x:c r="H1313">
        <x:f>ROUND($C1313*10*VLOOKUP($B1313,Sheet2!$J$5:$K$7,2,FALSE)*VLOOKUP(Sheet1!$A1313,Sheet2!$B$5:$H$29,7,FALSE),0)</x:f>
        <x:v>0</x:v>
      </x:c>
      <x:c r="I1313">
        <x:f t="shared" si="21"/>
        <x:v>25620</x:v>
      </x:c>
    </x:row>
    <x:row r="1314" spans="1:9" x14ac:dyDescent="0.15">
      <x:c r="A1314">
        <x:v>54053</x:v>
      </x:c>
      <x:c r="B1314">
        <x:v>1</x:v>
      </x:c>
      <x:c r="C1314">
        <x:v>53</x:v>
      </x:c>
      <x:c r="D1314">
        <x:f>ROUND($C1314*10*VLOOKUP($B1314,Sheet2!$J$5:$K$7,2,FALSE)*VLOOKUP(Sheet1!$A1314,Sheet2!$B$5:$H$29,3,FALSE),0)</x:f>
        <x:v>0</x:v>
      </x:c>
      <x:c r="E1314">
        <x:f>ROUND($C1314*10*VLOOKUP($B1314,Sheet2!$J$5:$K$7,2,FALSE)*VLOOKUP(Sheet1!$A1314,Sheet2!$B$5:$H$29,4,FALSE),0)</x:f>
        <x:v>318</x:v>
      </x:c>
      <x:c r="F1314">
        <x:f>ROUND($C1314*10*VLOOKUP($B1314,Sheet2!$J$5:$K$7,2,FALSE)*VLOOKUP(Sheet1!$A1314,Sheet2!$B$5:$H$29,5,FALSE),0)</x:f>
        <x:v>85</x:v>
      </x:c>
      <x:c r="G1314">
        <x:f>ROUND($C1314*10*VLOOKUP($B1314,Sheet2!$J$5:$K$7,2,FALSE)*VLOOKUP(Sheet1!$A1314,Sheet2!$B$5:$H$29,6,FALSE),0)</x:f>
        <x:v>0</x:v>
      </x:c>
      <x:c r="H1314">
        <x:f>ROUND($C1314*10*VLOOKUP($B1314,Sheet2!$J$5:$K$7,2,FALSE)*VLOOKUP(Sheet1!$A1314,Sheet2!$B$5:$H$29,7,FALSE),0)</x:f>
        <x:v>0</x:v>
      </x:c>
      <x:c r="I1314">
        <x:f t="shared" si="21"/>
        <x:v>26530</x:v>
      </x:c>
    </x:row>
    <x:row r="1315" spans="1:9" x14ac:dyDescent="0.15">
      <x:c r="A1315">
        <x:v>54053</x:v>
      </x:c>
      <x:c r="B1315">
        <x:v>1</x:v>
      </x:c>
      <x:c r="C1315">
        <x:v>54</x:v>
      </x:c>
      <x:c r="D1315">
        <x:f>ROUND($C1315*10*VLOOKUP($B1315,Sheet2!$J$5:$K$7,2,FALSE)*VLOOKUP(Sheet1!$A1315,Sheet2!$B$5:$H$29,3,FALSE),0)</x:f>
        <x:v>0</x:v>
      </x:c>
      <x:c r="E1315">
        <x:f>ROUND($C1315*10*VLOOKUP($B1315,Sheet2!$J$5:$K$7,2,FALSE)*VLOOKUP(Sheet1!$A1315,Sheet2!$B$5:$H$29,4,FALSE),0)</x:f>
        <x:v>324</x:v>
      </x:c>
      <x:c r="F1315">
        <x:f>ROUND($C1315*10*VLOOKUP($B1315,Sheet2!$J$5:$K$7,2,FALSE)*VLOOKUP(Sheet1!$A1315,Sheet2!$B$5:$H$29,5,FALSE),0)</x:f>
        <x:v>86</x:v>
      </x:c>
      <x:c r="G1315">
        <x:f>ROUND($C1315*10*VLOOKUP($B1315,Sheet2!$J$5:$K$7,2,FALSE)*VLOOKUP(Sheet1!$A1315,Sheet2!$B$5:$H$29,6,FALSE),0)</x:f>
        <x:v>0</x:v>
      </x:c>
      <x:c r="H1315">
        <x:f>ROUND($C1315*10*VLOOKUP($B1315,Sheet2!$J$5:$K$7,2,FALSE)*VLOOKUP(Sheet1!$A1315,Sheet2!$B$5:$H$29,7,FALSE),0)</x:f>
        <x:v>0</x:v>
      </x:c>
      <x:c r="I1315">
        <x:f t="shared" si="21"/>
        <x:v>27460</x:v>
      </x:c>
    </x:row>
    <x:row r="1316" spans="1:9" x14ac:dyDescent="0.15">
      <x:c r="A1316">
        <x:v>54053</x:v>
      </x:c>
      <x:c r="B1316">
        <x:v>1</x:v>
      </x:c>
      <x:c r="C1316">
        <x:v>55</x:v>
      </x:c>
      <x:c r="D1316">
        <x:f>ROUND($C1316*10*VLOOKUP($B1316,Sheet2!$J$5:$K$7,2,FALSE)*VLOOKUP(Sheet1!$A1316,Sheet2!$B$5:$H$29,3,FALSE),0)</x:f>
        <x:v>0</x:v>
      </x:c>
      <x:c r="E1316">
        <x:f>ROUND($C1316*10*VLOOKUP($B1316,Sheet2!$J$5:$K$7,2,FALSE)*VLOOKUP(Sheet1!$A1316,Sheet2!$B$5:$H$29,4,FALSE),0)</x:f>
        <x:v>330</x:v>
      </x:c>
      <x:c r="F1316">
        <x:f>ROUND($C1316*10*VLOOKUP($B1316,Sheet2!$J$5:$K$7,2,FALSE)*VLOOKUP(Sheet1!$A1316,Sheet2!$B$5:$H$29,5,FALSE),0)</x:f>
        <x:v>88</x:v>
      </x:c>
      <x:c r="G1316">
        <x:f>ROUND($C1316*10*VLOOKUP($B1316,Sheet2!$J$5:$K$7,2,FALSE)*VLOOKUP(Sheet1!$A1316,Sheet2!$B$5:$H$29,6,FALSE),0)</x:f>
        <x:v>0</x:v>
      </x:c>
      <x:c r="H1316">
        <x:f>ROUND($C1316*10*VLOOKUP($B1316,Sheet2!$J$5:$K$7,2,FALSE)*VLOOKUP(Sheet1!$A1316,Sheet2!$B$5:$H$29,7,FALSE),0)</x:f>
        <x:v>0</x:v>
      </x:c>
      <x:c r="I1316">
        <x:f t="shared" si="21"/>
        <x:v>28390</x:v>
      </x:c>
    </x:row>
    <x:row r="1317" spans="1:9" x14ac:dyDescent="0.15">
      <x:c r="A1317">
        <x:v>54053</x:v>
      </x:c>
      <x:c r="B1317">
        <x:v>1</x:v>
      </x:c>
      <x:c r="C1317">
        <x:v>56</x:v>
      </x:c>
      <x:c r="D1317">
        <x:f>ROUND($C1317*10*VLOOKUP($B1317,Sheet2!$J$5:$K$7,2,FALSE)*VLOOKUP(Sheet1!$A1317,Sheet2!$B$5:$H$29,3,FALSE),0)</x:f>
        <x:v>0</x:v>
      </x:c>
      <x:c r="E1317">
        <x:f>ROUND($C1317*10*VLOOKUP($B1317,Sheet2!$J$5:$K$7,2,FALSE)*VLOOKUP(Sheet1!$A1317,Sheet2!$B$5:$H$29,4,FALSE),0)</x:f>
        <x:v>336</x:v>
      </x:c>
      <x:c r="F1317">
        <x:f>ROUND($C1317*10*VLOOKUP($B1317,Sheet2!$J$5:$K$7,2,FALSE)*VLOOKUP(Sheet1!$A1317,Sheet2!$B$5:$H$29,5,FALSE),0)</x:f>
        <x:v>90</x:v>
      </x:c>
      <x:c r="G1317">
        <x:f>ROUND($C1317*10*VLOOKUP($B1317,Sheet2!$J$5:$K$7,2,FALSE)*VLOOKUP(Sheet1!$A1317,Sheet2!$B$5:$H$29,6,FALSE),0)</x:f>
        <x:v>0</x:v>
      </x:c>
      <x:c r="H1317">
        <x:f>ROUND($C1317*10*VLOOKUP($B1317,Sheet2!$J$5:$K$7,2,FALSE)*VLOOKUP(Sheet1!$A1317,Sheet2!$B$5:$H$29,7,FALSE),0)</x:f>
        <x:v>0</x:v>
      </x:c>
      <x:c r="I1317">
        <x:f t="shared" si="21"/>
        <x:v>29350</x:v>
      </x:c>
    </x:row>
    <x:row r="1318" spans="1:9" x14ac:dyDescent="0.15">
      <x:c r="A1318">
        <x:v>54053</x:v>
      </x:c>
      <x:c r="B1318">
        <x:v>1</x:v>
      </x:c>
      <x:c r="C1318">
        <x:v>57</x:v>
      </x:c>
      <x:c r="D1318">
        <x:f>ROUND($C1318*10*VLOOKUP($B1318,Sheet2!$J$5:$K$7,2,FALSE)*VLOOKUP(Sheet1!$A1318,Sheet2!$B$5:$H$29,3,FALSE),0)</x:f>
        <x:v>0</x:v>
      </x:c>
      <x:c r="E1318">
        <x:f>ROUND($C1318*10*VLOOKUP($B1318,Sheet2!$J$5:$K$7,2,FALSE)*VLOOKUP(Sheet1!$A1318,Sheet2!$B$5:$H$29,4,FALSE),0)</x:f>
        <x:v>342</x:v>
      </x:c>
      <x:c r="F1318">
        <x:f>ROUND($C1318*10*VLOOKUP($B1318,Sheet2!$J$5:$K$7,2,FALSE)*VLOOKUP(Sheet1!$A1318,Sheet2!$B$5:$H$29,5,FALSE),0)</x:f>
        <x:v>91</x:v>
      </x:c>
      <x:c r="G1318">
        <x:f>ROUND($C1318*10*VLOOKUP($B1318,Sheet2!$J$5:$K$7,2,FALSE)*VLOOKUP(Sheet1!$A1318,Sheet2!$B$5:$H$29,6,FALSE),0)</x:f>
        <x:v>0</x:v>
      </x:c>
      <x:c r="H1318">
        <x:f>ROUND($C1318*10*VLOOKUP($B1318,Sheet2!$J$5:$K$7,2,FALSE)*VLOOKUP(Sheet1!$A1318,Sheet2!$B$5:$H$29,7,FALSE),0)</x:f>
        <x:v>0</x:v>
      </x:c>
      <x:c r="I1318">
        <x:f t="shared" si="21"/>
        <x:v>30310</x:v>
      </x:c>
    </x:row>
    <x:row r="1319" spans="1:9" x14ac:dyDescent="0.15">
      <x:c r="A1319">
        <x:v>54053</x:v>
      </x:c>
      <x:c r="B1319">
        <x:v>1</x:v>
      </x:c>
      <x:c r="C1319">
        <x:v>58</x:v>
      </x:c>
      <x:c r="D1319">
        <x:f>ROUND($C1319*10*VLOOKUP($B1319,Sheet2!$J$5:$K$7,2,FALSE)*VLOOKUP(Sheet1!$A1319,Sheet2!$B$5:$H$29,3,FALSE),0)</x:f>
        <x:v>0</x:v>
      </x:c>
      <x:c r="E1319">
        <x:f>ROUND($C1319*10*VLOOKUP($B1319,Sheet2!$J$5:$K$7,2,FALSE)*VLOOKUP(Sheet1!$A1319,Sheet2!$B$5:$H$29,4,FALSE),0)</x:f>
        <x:v>348</x:v>
      </x:c>
      <x:c r="F1319">
        <x:f>ROUND($C1319*10*VLOOKUP($B1319,Sheet2!$J$5:$K$7,2,FALSE)*VLOOKUP(Sheet1!$A1319,Sheet2!$B$5:$H$29,5,FALSE),0)</x:f>
        <x:v>93</x:v>
      </x:c>
      <x:c r="G1319">
        <x:f>ROUND($C1319*10*VLOOKUP($B1319,Sheet2!$J$5:$K$7,2,FALSE)*VLOOKUP(Sheet1!$A1319,Sheet2!$B$5:$H$29,6,FALSE),0)</x:f>
        <x:v>0</x:v>
      </x:c>
      <x:c r="H1319">
        <x:f>ROUND($C1319*10*VLOOKUP($B1319,Sheet2!$J$5:$K$7,2,FALSE)*VLOOKUP(Sheet1!$A1319,Sheet2!$B$5:$H$29,7,FALSE),0)</x:f>
        <x:v>0</x:v>
      </x:c>
      <x:c r="I1319">
        <x:f t="shared" si="21"/>
        <x:v>31290</x:v>
      </x:c>
    </x:row>
    <x:row r="1320" spans="1:9" x14ac:dyDescent="0.15">
      <x:c r="A1320">
        <x:v>54053</x:v>
      </x:c>
      <x:c r="B1320">
        <x:v>1</x:v>
      </x:c>
      <x:c r="C1320">
        <x:v>59</x:v>
      </x:c>
      <x:c r="D1320">
        <x:f>ROUND($C1320*10*VLOOKUP($B1320,Sheet2!$J$5:$K$7,2,FALSE)*VLOOKUP(Sheet1!$A1320,Sheet2!$B$5:$H$29,3,FALSE),0)</x:f>
        <x:v>0</x:v>
      </x:c>
      <x:c r="E1320">
        <x:f>ROUND($C1320*10*VLOOKUP($B1320,Sheet2!$J$5:$K$7,2,FALSE)*VLOOKUP(Sheet1!$A1320,Sheet2!$B$5:$H$29,4,FALSE),0)</x:f>
        <x:v>354</x:v>
      </x:c>
      <x:c r="F1320">
        <x:f>ROUND($C1320*10*VLOOKUP($B1320,Sheet2!$J$5:$K$7,2,FALSE)*VLOOKUP(Sheet1!$A1320,Sheet2!$B$5:$H$29,5,FALSE),0)</x:f>
        <x:v>94</x:v>
      </x:c>
      <x:c r="G1320">
        <x:f>ROUND($C1320*10*VLOOKUP($B1320,Sheet2!$J$5:$K$7,2,FALSE)*VLOOKUP(Sheet1!$A1320,Sheet2!$B$5:$H$29,6,FALSE),0)</x:f>
        <x:v>0</x:v>
      </x:c>
      <x:c r="H1320">
        <x:f>ROUND($C1320*10*VLOOKUP($B1320,Sheet2!$J$5:$K$7,2,FALSE)*VLOOKUP(Sheet1!$A1320,Sheet2!$B$5:$H$29,7,FALSE),0)</x:f>
        <x:v>0</x:v>
      </x:c>
      <x:c r="I1320">
        <x:f t="shared" si="21"/>
        <x:v>32290</x:v>
      </x:c>
    </x:row>
    <x:row r="1321" spans="1:9" x14ac:dyDescent="0.15">
      <x:c r="A1321">
        <x:v>54053</x:v>
      </x:c>
      <x:c r="B1321">
        <x:v>1</x:v>
      </x:c>
      <x:c r="C1321">
        <x:v>60</x:v>
      </x:c>
      <x:c r="D1321">
        <x:f>ROUND($C1321*10*VLOOKUP($B1321,Sheet2!$J$5:$K$7,2,FALSE)*VLOOKUP(Sheet1!$A1321,Sheet2!$B$5:$H$29,3,FALSE),0)</x:f>
        <x:v>0</x:v>
      </x:c>
      <x:c r="E1321">
        <x:f>ROUND($C1321*10*VLOOKUP($B1321,Sheet2!$J$5:$K$7,2,FALSE)*VLOOKUP(Sheet1!$A1321,Sheet2!$B$5:$H$29,4,FALSE),0)</x:f>
        <x:v>360</x:v>
      </x:c>
      <x:c r="F1321">
        <x:f>ROUND($C1321*10*VLOOKUP($B1321,Sheet2!$J$5:$K$7,2,FALSE)*VLOOKUP(Sheet1!$A1321,Sheet2!$B$5:$H$29,5,FALSE),0)</x:f>
        <x:v>96</x:v>
      </x:c>
      <x:c r="G1321">
        <x:f>ROUND($C1321*10*VLOOKUP($B1321,Sheet2!$J$5:$K$7,2,FALSE)*VLOOKUP(Sheet1!$A1321,Sheet2!$B$5:$H$29,6,FALSE),0)</x:f>
        <x:v>0</x:v>
      </x:c>
      <x:c r="H1321">
        <x:f>ROUND($C1321*10*VLOOKUP($B1321,Sheet2!$J$5:$K$7,2,FALSE)*VLOOKUP(Sheet1!$A1321,Sheet2!$B$5:$H$29,7,FALSE),0)</x:f>
        <x:v>0</x:v>
      </x:c>
      <x:c r="I1321">
        <x:f t="shared" si="21"/>
        <x:v>33290</x:v>
      </x:c>
    </x:row>
    <x:row r="1322" spans="1:9" x14ac:dyDescent="0.15">
      <x:c r="A1322">
        <x:v>54053</x:v>
      </x:c>
      <x:c r="B1322">
        <x:v>2</x:v>
      </x:c>
      <x:c r="C1322">
        <x:v>1</x:v>
      </x:c>
      <x:c r="D1322">
        <x:f>ROUND($C1322*10*VLOOKUP($B1322,Sheet2!$J$5:$K$7,2,FALSE)*VLOOKUP(Sheet1!$A1322,Sheet2!$B$5:$H$29,3,FALSE),0)</x:f>
        <x:v>0</x:v>
      </x:c>
      <x:c r="E1322">
        <x:f>ROUND($C1322*10*VLOOKUP($B1322,Sheet2!$J$5:$K$7,2,FALSE)*VLOOKUP(Sheet1!$A1322,Sheet2!$B$5:$H$29,4,FALSE),0)</x:f>
        <x:v>7</x:v>
      </x:c>
      <x:c r="F1322">
        <x:f>ROUND($C1322*10*VLOOKUP($B1322,Sheet2!$J$5:$K$7,2,FALSE)*VLOOKUP(Sheet1!$A1322,Sheet2!$B$5:$H$29,5,FALSE),0)</x:f>
        <x:v>2</x:v>
      </x:c>
      <x:c r="G1322">
        <x:f>ROUND($C1322*10*VLOOKUP($B1322,Sheet2!$J$5:$K$7,2,FALSE)*VLOOKUP(Sheet1!$A1322,Sheet2!$B$5:$H$29,6,FALSE),0)</x:f>
        <x:v>0</x:v>
      </x:c>
      <x:c r="H1322">
        <x:f>ROUND($C1322*10*VLOOKUP($B1322,Sheet2!$J$5:$K$7,2,FALSE)*VLOOKUP(Sheet1!$A1322,Sheet2!$B$5:$H$29,7,FALSE),0)</x:f>
        <x:v>0</x:v>
      </x:c>
      <x:c r="I1322">
        <x:f t="shared" ref="I1322:I1381" si="22">ROUND(1.2*10*3.5*(C1322-1)^1.8+60,-1)</x:f>
        <x:v>60</x:v>
      </x:c>
    </x:row>
    <x:row r="1323" spans="1:9" x14ac:dyDescent="0.15">
      <x:c r="A1323">
        <x:v>54053</x:v>
      </x:c>
      <x:c r="B1323">
        <x:v>2</x:v>
      </x:c>
      <x:c r="C1323">
        <x:v>2</x:v>
      </x:c>
      <x:c r="D1323">
        <x:f>ROUND($C1323*10*VLOOKUP($B1323,Sheet2!$J$5:$K$7,2,FALSE)*VLOOKUP(Sheet1!$A1323,Sheet2!$B$5:$H$29,3,FALSE),0)</x:f>
        <x:v>0</x:v>
      </x:c>
      <x:c r="E1323">
        <x:f>ROUND($C1323*10*VLOOKUP($B1323,Sheet2!$J$5:$K$7,2,FALSE)*VLOOKUP(Sheet1!$A1323,Sheet2!$B$5:$H$29,4,FALSE),0)</x:f>
        <x:v>14</x:v>
      </x:c>
      <x:c r="F1323">
        <x:f>ROUND($C1323*10*VLOOKUP($B1323,Sheet2!$J$5:$K$7,2,FALSE)*VLOOKUP(Sheet1!$A1323,Sheet2!$B$5:$H$29,5,FALSE),0)</x:f>
        <x:v>4</x:v>
      </x:c>
      <x:c r="G1323">
        <x:f>ROUND($C1323*10*VLOOKUP($B1323,Sheet2!$J$5:$K$7,2,FALSE)*VLOOKUP(Sheet1!$A1323,Sheet2!$B$5:$H$29,6,FALSE),0)</x:f>
        <x:v>0</x:v>
      </x:c>
      <x:c r="H1323">
        <x:f>ROUND($C1323*10*VLOOKUP($B1323,Sheet2!$J$5:$K$7,2,FALSE)*VLOOKUP(Sheet1!$A1323,Sheet2!$B$5:$H$29,7,FALSE),0)</x:f>
        <x:v>0</x:v>
      </x:c>
      <x:c r="I1323">
        <x:f t="shared" si="22"/>
        <x:v>100</x:v>
      </x:c>
    </x:row>
    <x:row r="1324" spans="1:9" x14ac:dyDescent="0.15">
      <x:c r="A1324">
        <x:v>54053</x:v>
      </x:c>
      <x:c r="B1324">
        <x:v>2</x:v>
      </x:c>
      <x:c r="C1324">
        <x:v>3</x:v>
      </x:c>
      <x:c r="D1324">
        <x:f>ROUND($C1324*10*VLOOKUP($B1324,Sheet2!$J$5:$K$7,2,FALSE)*VLOOKUP(Sheet1!$A1324,Sheet2!$B$5:$H$29,3,FALSE),0)</x:f>
        <x:v>0</x:v>
      </x:c>
      <x:c r="E1324">
        <x:f>ROUND($C1324*10*VLOOKUP($B1324,Sheet2!$J$5:$K$7,2,FALSE)*VLOOKUP(Sheet1!$A1324,Sheet2!$B$5:$H$29,4,FALSE),0)</x:f>
        <x:v>22</x:v>
      </x:c>
      <x:c r="F1324">
        <x:f>ROUND($C1324*10*VLOOKUP($B1324,Sheet2!$J$5:$K$7,2,FALSE)*VLOOKUP(Sheet1!$A1324,Sheet2!$B$5:$H$29,5,FALSE),0)</x:f>
        <x:v>6</x:v>
      </x:c>
      <x:c r="G1324">
        <x:f>ROUND($C1324*10*VLOOKUP($B1324,Sheet2!$J$5:$K$7,2,FALSE)*VLOOKUP(Sheet1!$A1324,Sheet2!$B$5:$H$29,6,FALSE),0)</x:f>
        <x:v>0</x:v>
      </x:c>
      <x:c r="H1324">
        <x:f>ROUND($C1324*10*VLOOKUP($B1324,Sheet2!$J$5:$K$7,2,FALSE)*VLOOKUP(Sheet1!$A1324,Sheet2!$B$5:$H$29,7,FALSE),0)</x:f>
        <x:v>0</x:v>
      </x:c>
      <x:c r="I1324">
        <x:f t="shared" si="22"/>
        <x:v>210</x:v>
      </x:c>
    </x:row>
    <x:row r="1325" spans="1:9" x14ac:dyDescent="0.15">
      <x:c r="A1325">
        <x:v>54053</x:v>
      </x:c>
      <x:c r="B1325">
        <x:v>2</x:v>
      </x:c>
      <x:c r="C1325">
        <x:v>4</x:v>
      </x:c>
      <x:c r="D1325">
        <x:f>ROUND($C1325*10*VLOOKUP($B1325,Sheet2!$J$5:$K$7,2,FALSE)*VLOOKUP(Sheet1!$A1325,Sheet2!$B$5:$H$29,3,FALSE),0)</x:f>
        <x:v>0</x:v>
      </x:c>
      <x:c r="E1325">
        <x:f>ROUND($C1325*10*VLOOKUP($B1325,Sheet2!$J$5:$K$7,2,FALSE)*VLOOKUP(Sheet1!$A1325,Sheet2!$B$5:$H$29,4,FALSE),0)</x:f>
        <x:v>29</x:v>
      </x:c>
      <x:c r="F1325">
        <x:f>ROUND($C1325*10*VLOOKUP($B1325,Sheet2!$J$5:$K$7,2,FALSE)*VLOOKUP(Sheet1!$A1325,Sheet2!$B$5:$H$29,5,FALSE),0)</x:f>
        <x:v>8</x:v>
      </x:c>
      <x:c r="G1325">
        <x:f>ROUND($C1325*10*VLOOKUP($B1325,Sheet2!$J$5:$K$7,2,FALSE)*VLOOKUP(Sheet1!$A1325,Sheet2!$B$5:$H$29,6,FALSE),0)</x:f>
        <x:v>0</x:v>
      </x:c>
      <x:c r="H1325">
        <x:f>ROUND($C1325*10*VLOOKUP($B1325,Sheet2!$J$5:$K$7,2,FALSE)*VLOOKUP(Sheet1!$A1325,Sheet2!$B$5:$H$29,7,FALSE),0)</x:f>
        <x:v>0</x:v>
      </x:c>
      <x:c r="I1325">
        <x:f t="shared" si="22"/>
        <x:v>360</x:v>
      </x:c>
    </x:row>
    <x:row r="1326" spans="1:9" x14ac:dyDescent="0.15">
      <x:c r="A1326">
        <x:v>54053</x:v>
      </x:c>
      <x:c r="B1326">
        <x:v>2</x:v>
      </x:c>
      <x:c r="C1326">
        <x:v>5</x:v>
      </x:c>
      <x:c r="D1326">
        <x:f>ROUND($C1326*10*VLOOKUP($B1326,Sheet2!$J$5:$K$7,2,FALSE)*VLOOKUP(Sheet1!$A1326,Sheet2!$B$5:$H$29,3,FALSE),0)</x:f>
        <x:v>0</x:v>
      </x:c>
      <x:c r="E1326">
        <x:f>ROUND($C1326*10*VLOOKUP($B1326,Sheet2!$J$5:$K$7,2,FALSE)*VLOOKUP(Sheet1!$A1326,Sheet2!$B$5:$H$29,4,FALSE),0)</x:f>
        <x:v>36</x:v>
      </x:c>
      <x:c r="F1326">
        <x:f>ROUND($C1326*10*VLOOKUP($B1326,Sheet2!$J$5:$K$7,2,FALSE)*VLOOKUP(Sheet1!$A1326,Sheet2!$B$5:$H$29,5,FALSE),0)</x:f>
        <x:v>10</x:v>
      </x:c>
      <x:c r="G1326">
        <x:f>ROUND($C1326*10*VLOOKUP($B1326,Sheet2!$J$5:$K$7,2,FALSE)*VLOOKUP(Sheet1!$A1326,Sheet2!$B$5:$H$29,6,FALSE),0)</x:f>
        <x:v>0</x:v>
      </x:c>
      <x:c r="H1326">
        <x:f>ROUND($C1326*10*VLOOKUP($B1326,Sheet2!$J$5:$K$7,2,FALSE)*VLOOKUP(Sheet1!$A1326,Sheet2!$B$5:$H$29,7,FALSE),0)</x:f>
        <x:v>0</x:v>
      </x:c>
      <x:c r="I1326">
        <x:f t="shared" si="22"/>
        <x:v>570</x:v>
      </x:c>
    </x:row>
    <x:row r="1327" spans="1:9" x14ac:dyDescent="0.15">
      <x:c r="A1327">
        <x:v>54053</x:v>
      </x:c>
      <x:c r="B1327">
        <x:v>2</x:v>
      </x:c>
      <x:c r="C1327">
        <x:v>6</x:v>
      </x:c>
      <x:c r="D1327">
        <x:f>ROUND($C1327*10*VLOOKUP($B1327,Sheet2!$J$5:$K$7,2,FALSE)*VLOOKUP(Sheet1!$A1327,Sheet2!$B$5:$H$29,3,FALSE),0)</x:f>
        <x:v>0</x:v>
      </x:c>
      <x:c r="E1327">
        <x:f>ROUND($C1327*10*VLOOKUP($B1327,Sheet2!$J$5:$K$7,2,FALSE)*VLOOKUP(Sheet1!$A1327,Sheet2!$B$5:$H$29,4,FALSE),0)</x:f>
        <x:v>43</x:v>
      </x:c>
      <x:c r="F1327">
        <x:f>ROUND($C1327*10*VLOOKUP($B1327,Sheet2!$J$5:$K$7,2,FALSE)*VLOOKUP(Sheet1!$A1327,Sheet2!$B$5:$H$29,5,FALSE),0)</x:f>
        <x:v>12</x:v>
      </x:c>
      <x:c r="G1327">
        <x:f>ROUND($C1327*10*VLOOKUP($B1327,Sheet2!$J$5:$K$7,2,FALSE)*VLOOKUP(Sheet1!$A1327,Sheet2!$B$5:$H$29,6,FALSE),0)</x:f>
        <x:v>0</x:v>
      </x:c>
      <x:c r="H1327">
        <x:f>ROUND($C1327*10*VLOOKUP($B1327,Sheet2!$J$5:$K$7,2,FALSE)*VLOOKUP(Sheet1!$A1327,Sheet2!$B$5:$H$29,7,FALSE),0)</x:f>
        <x:v>0</x:v>
      </x:c>
      <x:c r="I1327">
        <x:f t="shared" si="22"/>
        <x:v>820</x:v>
      </x:c>
    </x:row>
    <x:row r="1328" spans="1:9" x14ac:dyDescent="0.15">
      <x:c r="A1328">
        <x:v>54053</x:v>
      </x:c>
      <x:c r="B1328">
        <x:v>2</x:v>
      </x:c>
      <x:c r="C1328">
        <x:v>7</x:v>
      </x:c>
      <x:c r="D1328">
        <x:f>ROUND($C1328*10*VLOOKUP($B1328,Sheet2!$J$5:$K$7,2,FALSE)*VLOOKUP(Sheet1!$A1328,Sheet2!$B$5:$H$29,3,FALSE),0)</x:f>
        <x:v>0</x:v>
      </x:c>
      <x:c r="E1328">
        <x:f>ROUND($C1328*10*VLOOKUP($B1328,Sheet2!$J$5:$K$7,2,FALSE)*VLOOKUP(Sheet1!$A1328,Sheet2!$B$5:$H$29,4,FALSE),0)</x:f>
        <x:v>50</x:v>
      </x:c>
      <x:c r="F1328">
        <x:f>ROUND($C1328*10*VLOOKUP($B1328,Sheet2!$J$5:$K$7,2,FALSE)*VLOOKUP(Sheet1!$A1328,Sheet2!$B$5:$H$29,5,FALSE),0)</x:f>
        <x:v>13</x:v>
      </x:c>
      <x:c r="G1328">
        <x:f>ROUND($C1328*10*VLOOKUP($B1328,Sheet2!$J$5:$K$7,2,FALSE)*VLOOKUP(Sheet1!$A1328,Sheet2!$B$5:$H$29,6,FALSE),0)</x:f>
        <x:v>0</x:v>
      </x:c>
      <x:c r="H1328">
        <x:f>ROUND($C1328*10*VLOOKUP($B1328,Sheet2!$J$5:$K$7,2,FALSE)*VLOOKUP(Sheet1!$A1328,Sheet2!$B$5:$H$29,7,FALSE),0)</x:f>
        <x:v>0</x:v>
      </x:c>
      <x:c r="I1328">
        <x:f t="shared" si="22"/>
        <x:v>1120</x:v>
      </x:c>
    </x:row>
    <x:row r="1329" spans="1:9" x14ac:dyDescent="0.15">
      <x:c r="A1329">
        <x:v>54053</x:v>
      </x:c>
      <x:c r="B1329">
        <x:v>2</x:v>
      </x:c>
      <x:c r="C1329">
        <x:v>8</x:v>
      </x:c>
      <x:c r="D1329">
        <x:f>ROUND($C1329*10*VLOOKUP($B1329,Sheet2!$J$5:$K$7,2,FALSE)*VLOOKUP(Sheet1!$A1329,Sheet2!$B$5:$H$29,3,FALSE),0)</x:f>
        <x:v>0</x:v>
      </x:c>
      <x:c r="E1329">
        <x:f>ROUND($C1329*10*VLOOKUP($B1329,Sheet2!$J$5:$K$7,2,FALSE)*VLOOKUP(Sheet1!$A1329,Sheet2!$B$5:$H$29,4,FALSE),0)</x:f>
        <x:v>58</x:v>
      </x:c>
      <x:c r="F1329">
        <x:f>ROUND($C1329*10*VLOOKUP($B1329,Sheet2!$J$5:$K$7,2,FALSE)*VLOOKUP(Sheet1!$A1329,Sheet2!$B$5:$H$29,5,FALSE),0)</x:f>
        <x:v>15</x:v>
      </x:c>
      <x:c r="G1329">
        <x:f>ROUND($C1329*10*VLOOKUP($B1329,Sheet2!$J$5:$K$7,2,FALSE)*VLOOKUP(Sheet1!$A1329,Sheet2!$B$5:$H$29,6,FALSE),0)</x:f>
        <x:v>0</x:v>
      </x:c>
      <x:c r="H1329">
        <x:f>ROUND($C1329*10*VLOOKUP($B1329,Sheet2!$J$5:$K$7,2,FALSE)*VLOOKUP(Sheet1!$A1329,Sheet2!$B$5:$H$29,7,FALSE),0)</x:f>
        <x:v>0</x:v>
      </x:c>
      <x:c r="I1329">
        <x:f t="shared" si="22"/>
        <x:v>1450</x:v>
      </x:c>
    </x:row>
    <x:row r="1330" spans="1:9" x14ac:dyDescent="0.15">
      <x:c r="A1330">
        <x:v>54053</x:v>
      </x:c>
      <x:c r="B1330">
        <x:v>2</x:v>
      </x:c>
      <x:c r="C1330">
        <x:v>9</x:v>
      </x:c>
      <x:c r="D1330">
        <x:f>ROUND($C1330*10*VLOOKUP($B1330,Sheet2!$J$5:$K$7,2,FALSE)*VLOOKUP(Sheet1!$A1330,Sheet2!$B$5:$H$29,3,FALSE),0)</x:f>
        <x:v>0</x:v>
      </x:c>
      <x:c r="E1330">
        <x:f>ROUND($C1330*10*VLOOKUP($B1330,Sheet2!$J$5:$K$7,2,FALSE)*VLOOKUP(Sheet1!$A1330,Sheet2!$B$5:$H$29,4,FALSE),0)</x:f>
        <x:v>65</x:v>
      </x:c>
      <x:c r="F1330">
        <x:f>ROUND($C1330*10*VLOOKUP($B1330,Sheet2!$J$5:$K$7,2,FALSE)*VLOOKUP(Sheet1!$A1330,Sheet2!$B$5:$H$29,5,FALSE),0)</x:f>
        <x:v>17</x:v>
      </x:c>
      <x:c r="G1330">
        <x:f>ROUND($C1330*10*VLOOKUP($B1330,Sheet2!$J$5:$K$7,2,FALSE)*VLOOKUP(Sheet1!$A1330,Sheet2!$B$5:$H$29,6,FALSE),0)</x:f>
        <x:v>0</x:v>
      </x:c>
      <x:c r="H1330">
        <x:f>ROUND($C1330*10*VLOOKUP($B1330,Sheet2!$J$5:$K$7,2,FALSE)*VLOOKUP(Sheet1!$A1330,Sheet2!$B$5:$H$29,7,FALSE),0)</x:f>
        <x:v>0</x:v>
      </x:c>
      <x:c r="I1330">
        <x:f t="shared" si="22"/>
        <x:v>1830</x:v>
      </x:c>
    </x:row>
    <x:row r="1331" spans="1:9" x14ac:dyDescent="0.15">
      <x:c r="A1331">
        <x:v>54053</x:v>
      </x:c>
      <x:c r="B1331">
        <x:v>2</x:v>
      </x:c>
      <x:c r="C1331">
        <x:v>10</x:v>
      </x:c>
      <x:c r="D1331">
        <x:f>ROUND($C1331*10*VLOOKUP($B1331,Sheet2!$J$5:$K$7,2,FALSE)*VLOOKUP(Sheet1!$A1331,Sheet2!$B$5:$H$29,3,FALSE),0)</x:f>
        <x:v>0</x:v>
      </x:c>
      <x:c r="E1331">
        <x:f>ROUND($C1331*10*VLOOKUP($B1331,Sheet2!$J$5:$K$7,2,FALSE)*VLOOKUP(Sheet1!$A1331,Sheet2!$B$5:$H$29,4,FALSE),0)</x:f>
        <x:v>72</x:v>
      </x:c>
      <x:c r="F1331">
        <x:f>ROUND($C1331*10*VLOOKUP($B1331,Sheet2!$J$5:$K$7,2,FALSE)*VLOOKUP(Sheet1!$A1331,Sheet2!$B$5:$H$29,5,FALSE),0)</x:f>
        <x:v>19</x:v>
      </x:c>
      <x:c r="G1331">
        <x:f>ROUND($C1331*10*VLOOKUP($B1331,Sheet2!$J$5:$K$7,2,FALSE)*VLOOKUP(Sheet1!$A1331,Sheet2!$B$5:$H$29,6,FALSE),0)</x:f>
        <x:v>0</x:v>
      </x:c>
      <x:c r="H1331">
        <x:f>ROUND($C1331*10*VLOOKUP($B1331,Sheet2!$J$5:$K$7,2,FALSE)*VLOOKUP(Sheet1!$A1331,Sheet2!$B$5:$H$29,7,FALSE),0)</x:f>
        <x:v>0</x:v>
      </x:c>
      <x:c r="I1331">
        <x:f t="shared" si="22"/>
        <x:v>2250</x:v>
      </x:c>
    </x:row>
    <x:row r="1332" spans="1:9" x14ac:dyDescent="0.15">
      <x:c r="A1332">
        <x:v>54053</x:v>
      </x:c>
      <x:c r="B1332">
        <x:v>2</x:v>
      </x:c>
      <x:c r="C1332">
        <x:v>11</x:v>
      </x:c>
      <x:c r="D1332">
        <x:f>ROUND($C1332*10*VLOOKUP($B1332,Sheet2!$J$5:$K$7,2,FALSE)*VLOOKUP(Sheet1!$A1332,Sheet2!$B$5:$H$29,3,FALSE),0)</x:f>
        <x:v>0</x:v>
      </x:c>
      <x:c r="E1332">
        <x:f>ROUND($C1332*10*VLOOKUP($B1332,Sheet2!$J$5:$K$7,2,FALSE)*VLOOKUP(Sheet1!$A1332,Sheet2!$B$5:$H$29,4,FALSE),0)</x:f>
        <x:v>79</x:v>
      </x:c>
      <x:c r="F1332">
        <x:f>ROUND($C1332*10*VLOOKUP($B1332,Sheet2!$J$5:$K$7,2,FALSE)*VLOOKUP(Sheet1!$A1332,Sheet2!$B$5:$H$29,5,FALSE),0)</x:f>
        <x:v>21</x:v>
      </x:c>
      <x:c r="G1332">
        <x:f>ROUND($C1332*10*VLOOKUP($B1332,Sheet2!$J$5:$K$7,2,FALSE)*VLOOKUP(Sheet1!$A1332,Sheet2!$B$5:$H$29,6,FALSE),0)</x:f>
        <x:v>0</x:v>
      </x:c>
      <x:c r="H1332">
        <x:f>ROUND($C1332*10*VLOOKUP($B1332,Sheet2!$J$5:$K$7,2,FALSE)*VLOOKUP(Sheet1!$A1332,Sheet2!$B$5:$H$29,7,FALSE),0)</x:f>
        <x:v>0</x:v>
      </x:c>
      <x:c r="I1332">
        <x:f t="shared" si="22"/>
        <x:v>2710</x:v>
      </x:c>
    </x:row>
    <x:row r="1333" spans="1:9" x14ac:dyDescent="0.15">
      <x:c r="A1333">
        <x:v>54053</x:v>
      </x:c>
      <x:c r="B1333">
        <x:v>2</x:v>
      </x:c>
      <x:c r="C1333">
        <x:v>12</x:v>
      </x:c>
      <x:c r="D1333">
        <x:f>ROUND($C1333*10*VLOOKUP($B1333,Sheet2!$J$5:$K$7,2,FALSE)*VLOOKUP(Sheet1!$A1333,Sheet2!$B$5:$H$29,3,FALSE),0)</x:f>
        <x:v>0</x:v>
      </x:c>
      <x:c r="E1333">
        <x:f>ROUND($C1333*10*VLOOKUP($B1333,Sheet2!$J$5:$K$7,2,FALSE)*VLOOKUP(Sheet1!$A1333,Sheet2!$B$5:$H$29,4,FALSE),0)</x:f>
        <x:v>86</x:v>
      </x:c>
      <x:c r="F1333">
        <x:f>ROUND($C1333*10*VLOOKUP($B1333,Sheet2!$J$5:$K$7,2,FALSE)*VLOOKUP(Sheet1!$A1333,Sheet2!$B$5:$H$29,5,FALSE),0)</x:f>
        <x:v>23</x:v>
      </x:c>
      <x:c r="G1333">
        <x:f>ROUND($C1333*10*VLOOKUP($B1333,Sheet2!$J$5:$K$7,2,FALSE)*VLOOKUP(Sheet1!$A1333,Sheet2!$B$5:$H$29,6,FALSE),0)</x:f>
        <x:v>0</x:v>
      </x:c>
      <x:c r="H1333">
        <x:f>ROUND($C1333*10*VLOOKUP($B1333,Sheet2!$J$5:$K$7,2,FALSE)*VLOOKUP(Sheet1!$A1333,Sheet2!$B$5:$H$29,7,FALSE),0)</x:f>
        <x:v>0</x:v>
      </x:c>
      <x:c r="I1333">
        <x:f t="shared" si="22"/>
        <x:v>3210</x:v>
      </x:c>
    </x:row>
    <x:row r="1334" spans="1:9" x14ac:dyDescent="0.15">
      <x:c r="A1334">
        <x:v>54053</x:v>
      </x:c>
      <x:c r="B1334">
        <x:v>2</x:v>
      </x:c>
      <x:c r="C1334">
        <x:v>13</x:v>
      </x:c>
      <x:c r="D1334">
        <x:f>ROUND($C1334*10*VLOOKUP($B1334,Sheet2!$J$5:$K$7,2,FALSE)*VLOOKUP(Sheet1!$A1334,Sheet2!$B$5:$H$29,3,FALSE),0)</x:f>
        <x:v>0</x:v>
      </x:c>
      <x:c r="E1334">
        <x:f>ROUND($C1334*10*VLOOKUP($B1334,Sheet2!$J$5:$K$7,2,FALSE)*VLOOKUP(Sheet1!$A1334,Sheet2!$B$5:$H$29,4,FALSE),0)</x:f>
        <x:v>94</x:v>
      </x:c>
      <x:c r="F1334">
        <x:f>ROUND($C1334*10*VLOOKUP($B1334,Sheet2!$J$5:$K$7,2,FALSE)*VLOOKUP(Sheet1!$A1334,Sheet2!$B$5:$H$29,5,FALSE),0)</x:f>
        <x:v>25</x:v>
      </x:c>
      <x:c r="G1334">
        <x:f>ROUND($C1334*10*VLOOKUP($B1334,Sheet2!$J$5:$K$7,2,FALSE)*VLOOKUP(Sheet1!$A1334,Sheet2!$B$5:$H$29,6,FALSE),0)</x:f>
        <x:v>0</x:v>
      </x:c>
      <x:c r="H1334">
        <x:f>ROUND($C1334*10*VLOOKUP($B1334,Sheet2!$J$5:$K$7,2,FALSE)*VLOOKUP(Sheet1!$A1334,Sheet2!$B$5:$H$29,7,FALSE),0)</x:f>
        <x:v>0</x:v>
      </x:c>
      <x:c r="I1334">
        <x:f t="shared" si="22"/>
        <x:v>3740</x:v>
      </x:c>
    </x:row>
    <x:row r="1335" spans="1:9" x14ac:dyDescent="0.15">
      <x:c r="A1335">
        <x:v>54053</x:v>
      </x:c>
      <x:c r="B1335">
        <x:v>2</x:v>
      </x:c>
      <x:c r="C1335">
        <x:v>14</x:v>
      </x:c>
      <x:c r="D1335">
        <x:f>ROUND($C1335*10*VLOOKUP($B1335,Sheet2!$J$5:$K$7,2,FALSE)*VLOOKUP(Sheet1!$A1335,Sheet2!$B$5:$H$29,3,FALSE),0)</x:f>
        <x:v>0</x:v>
      </x:c>
      <x:c r="E1335">
        <x:f>ROUND($C1335*10*VLOOKUP($B1335,Sheet2!$J$5:$K$7,2,FALSE)*VLOOKUP(Sheet1!$A1335,Sheet2!$B$5:$H$29,4,FALSE),0)</x:f>
        <x:v>101</x:v>
      </x:c>
      <x:c r="F1335">
        <x:f>ROUND($C1335*10*VLOOKUP($B1335,Sheet2!$J$5:$K$7,2,FALSE)*VLOOKUP(Sheet1!$A1335,Sheet2!$B$5:$H$29,5,FALSE),0)</x:f>
        <x:v>27</x:v>
      </x:c>
      <x:c r="G1335">
        <x:f>ROUND($C1335*10*VLOOKUP($B1335,Sheet2!$J$5:$K$7,2,FALSE)*VLOOKUP(Sheet1!$A1335,Sheet2!$B$5:$H$29,6,FALSE),0)</x:f>
        <x:v>0</x:v>
      </x:c>
      <x:c r="H1335">
        <x:f>ROUND($C1335*10*VLOOKUP($B1335,Sheet2!$J$5:$K$7,2,FALSE)*VLOOKUP(Sheet1!$A1335,Sheet2!$B$5:$H$29,7,FALSE),0)</x:f>
        <x:v>0</x:v>
      </x:c>
      <x:c r="I1335">
        <x:f t="shared" si="22"/>
        <x:v>4310</x:v>
      </x:c>
    </x:row>
    <x:row r="1336" spans="1:9" x14ac:dyDescent="0.15">
      <x:c r="A1336">
        <x:v>54053</x:v>
      </x:c>
      <x:c r="B1336">
        <x:v>2</x:v>
      </x:c>
      <x:c r="C1336">
        <x:v>15</x:v>
      </x:c>
      <x:c r="D1336">
        <x:f>ROUND($C1336*10*VLOOKUP($B1336,Sheet2!$J$5:$K$7,2,FALSE)*VLOOKUP(Sheet1!$A1336,Sheet2!$B$5:$H$29,3,FALSE),0)</x:f>
        <x:v>0</x:v>
      </x:c>
      <x:c r="E1336">
        <x:f>ROUND($C1336*10*VLOOKUP($B1336,Sheet2!$J$5:$K$7,2,FALSE)*VLOOKUP(Sheet1!$A1336,Sheet2!$B$5:$H$29,4,FALSE),0)</x:f>
        <x:v>108</x:v>
      </x:c>
      <x:c r="F1336">
        <x:f>ROUND($C1336*10*VLOOKUP($B1336,Sheet2!$J$5:$K$7,2,FALSE)*VLOOKUP(Sheet1!$A1336,Sheet2!$B$5:$H$29,5,FALSE),0)</x:f>
        <x:v>29</x:v>
      </x:c>
      <x:c r="G1336">
        <x:f>ROUND($C1336*10*VLOOKUP($B1336,Sheet2!$J$5:$K$7,2,FALSE)*VLOOKUP(Sheet1!$A1336,Sheet2!$B$5:$H$29,6,FALSE),0)</x:f>
        <x:v>0</x:v>
      </x:c>
      <x:c r="H1336">
        <x:f>ROUND($C1336*10*VLOOKUP($B1336,Sheet2!$J$5:$K$7,2,FALSE)*VLOOKUP(Sheet1!$A1336,Sheet2!$B$5:$H$29,7,FALSE),0)</x:f>
        <x:v>0</x:v>
      </x:c>
      <x:c r="I1336">
        <x:f t="shared" si="22"/>
        <x:v>4920</x:v>
      </x:c>
    </x:row>
    <x:row r="1337" spans="1:9" x14ac:dyDescent="0.15">
      <x:c r="A1337">
        <x:v>54053</x:v>
      </x:c>
      <x:c r="B1337">
        <x:v>2</x:v>
      </x:c>
      <x:c r="C1337">
        <x:v>16</x:v>
      </x:c>
      <x:c r="D1337">
        <x:f>ROUND($C1337*10*VLOOKUP($B1337,Sheet2!$J$5:$K$7,2,FALSE)*VLOOKUP(Sheet1!$A1337,Sheet2!$B$5:$H$29,3,FALSE),0)</x:f>
        <x:v>0</x:v>
      </x:c>
      <x:c r="E1337">
        <x:f>ROUND($C1337*10*VLOOKUP($B1337,Sheet2!$J$5:$K$7,2,FALSE)*VLOOKUP(Sheet1!$A1337,Sheet2!$B$5:$H$29,4,FALSE),0)</x:f>
        <x:v>115</x:v>
      </x:c>
      <x:c r="F1337">
        <x:f>ROUND($C1337*10*VLOOKUP($B1337,Sheet2!$J$5:$K$7,2,FALSE)*VLOOKUP(Sheet1!$A1337,Sheet2!$B$5:$H$29,5,FALSE),0)</x:f>
        <x:v>31</x:v>
      </x:c>
      <x:c r="G1337">
        <x:f>ROUND($C1337*10*VLOOKUP($B1337,Sheet2!$J$5:$K$7,2,FALSE)*VLOOKUP(Sheet1!$A1337,Sheet2!$B$5:$H$29,6,FALSE),0)</x:f>
        <x:v>0</x:v>
      </x:c>
      <x:c r="H1337">
        <x:f>ROUND($C1337*10*VLOOKUP($B1337,Sheet2!$J$5:$K$7,2,FALSE)*VLOOKUP(Sheet1!$A1337,Sheet2!$B$5:$H$29,7,FALSE),0)</x:f>
        <x:v>0</x:v>
      </x:c>
      <x:c r="I1337">
        <x:f t="shared" si="22"/>
        <x:v>5560</x:v>
      </x:c>
    </x:row>
    <x:row r="1338" spans="1:9" x14ac:dyDescent="0.15">
      <x:c r="A1338">
        <x:v>54053</x:v>
      </x:c>
      <x:c r="B1338">
        <x:v>2</x:v>
      </x:c>
      <x:c r="C1338">
        <x:v>17</x:v>
      </x:c>
      <x:c r="D1338">
        <x:f>ROUND($C1338*10*VLOOKUP($B1338,Sheet2!$J$5:$K$7,2,FALSE)*VLOOKUP(Sheet1!$A1338,Sheet2!$B$5:$H$29,3,FALSE),0)</x:f>
        <x:v>0</x:v>
      </x:c>
      <x:c r="E1338">
        <x:f>ROUND($C1338*10*VLOOKUP($B1338,Sheet2!$J$5:$K$7,2,FALSE)*VLOOKUP(Sheet1!$A1338,Sheet2!$B$5:$H$29,4,FALSE),0)</x:f>
        <x:v>122</x:v>
      </x:c>
      <x:c r="F1338">
        <x:f>ROUND($C1338*10*VLOOKUP($B1338,Sheet2!$J$5:$K$7,2,FALSE)*VLOOKUP(Sheet1!$A1338,Sheet2!$B$5:$H$29,5,FALSE),0)</x:f>
        <x:v>33</x:v>
      </x:c>
      <x:c r="G1338">
        <x:f>ROUND($C1338*10*VLOOKUP($B1338,Sheet2!$J$5:$K$7,2,FALSE)*VLOOKUP(Sheet1!$A1338,Sheet2!$B$5:$H$29,6,FALSE),0)</x:f>
        <x:v>0</x:v>
      </x:c>
      <x:c r="H1338">
        <x:f>ROUND($C1338*10*VLOOKUP($B1338,Sheet2!$J$5:$K$7,2,FALSE)*VLOOKUP(Sheet1!$A1338,Sheet2!$B$5:$H$29,7,FALSE),0)</x:f>
        <x:v>0</x:v>
      </x:c>
      <x:c r="I1338">
        <x:f t="shared" si="22"/>
        <x:v>6240</x:v>
      </x:c>
    </x:row>
    <x:row r="1339" spans="1:9" x14ac:dyDescent="0.15">
      <x:c r="A1339">
        <x:v>54053</x:v>
      </x:c>
      <x:c r="B1339">
        <x:v>2</x:v>
      </x:c>
      <x:c r="C1339">
        <x:v>18</x:v>
      </x:c>
      <x:c r="D1339">
        <x:f>ROUND($C1339*10*VLOOKUP($B1339,Sheet2!$J$5:$K$7,2,FALSE)*VLOOKUP(Sheet1!$A1339,Sheet2!$B$5:$H$29,3,FALSE),0)</x:f>
        <x:v>0</x:v>
      </x:c>
      <x:c r="E1339">
        <x:f>ROUND($C1339*10*VLOOKUP($B1339,Sheet2!$J$5:$K$7,2,FALSE)*VLOOKUP(Sheet1!$A1339,Sheet2!$B$5:$H$29,4,FALSE),0)</x:f>
        <x:v>130</x:v>
      </x:c>
      <x:c r="F1339">
        <x:f>ROUND($C1339*10*VLOOKUP($B1339,Sheet2!$J$5:$K$7,2,FALSE)*VLOOKUP(Sheet1!$A1339,Sheet2!$B$5:$H$29,5,FALSE),0)</x:f>
        <x:v>35</x:v>
      </x:c>
      <x:c r="G1339">
        <x:f>ROUND($C1339*10*VLOOKUP($B1339,Sheet2!$J$5:$K$7,2,FALSE)*VLOOKUP(Sheet1!$A1339,Sheet2!$B$5:$H$29,6,FALSE),0)</x:f>
        <x:v>0</x:v>
      </x:c>
      <x:c r="H1339">
        <x:f>ROUND($C1339*10*VLOOKUP($B1339,Sheet2!$J$5:$K$7,2,FALSE)*VLOOKUP(Sheet1!$A1339,Sheet2!$B$5:$H$29,7,FALSE),0)</x:f>
        <x:v>0</x:v>
      </x:c>
      <x:c r="I1339">
        <x:f t="shared" si="22"/>
        <x:v>6950</x:v>
      </x:c>
    </x:row>
    <x:row r="1340" spans="1:9" x14ac:dyDescent="0.15">
      <x:c r="A1340">
        <x:v>54053</x:v>
      </x:c>
      <x:c r="B1340">
        <x:v>2</x:v>
      </x:c>
      <x:c r="C1340">
        <x:v>19</x:v>
      </x:c>
      <x:c r="D1340">
        <x:f>ROUND($C1340*10*VLOOKUP($B1340,Sheet2!$J$5:$K$7,2,FALSE)*VLOOKUP(Sheet1!$A1340,Sheet2!$B$5:$H$29,3,FALSE),0)</x:f>
        <x:v>0</x:v>
      </x:c>
      <x:c r="E1340">
        <x:f>ROUND($C1340*10*VLOOKUP($B1340,Sheet2!$J$5:$K$7,2,FALSE)*VLOOKUP(Sheet1!$A1340,Sheet2!$B$5:$H$29,4,FALSE),0)</x:f>
        <x:v>137</x:v>
      </x:c>
      <x:c r="F1340">
        <x:f>ROUND($C1340*10*VLOOKUP($B1340,Sheet2!$J$5:$K$7,2,FALSE)*VLOOKUP(Sheet1!$A1340,Sheet2!$B$5:$H$29,5,FALSE),0)</x:f>
        <x:v>36</x:v>
      </x:c>
      <x:c r="G1340">
        <x:f>ROUND($C1340*10*VLOOKUP($B1340,Sheet2!$J$5:$K$7,2,FALSE)*VLOOKUP(Sheet1!$A1340,Sheet2!$B$5:$H$29,6,FALSE),0)</x:f>
        <x:v>0</x:v>
      </x:c>
      <x:c r="H1340">
        <x:f>ROUND($C1340*10*VLOOKUP($B1340,Sheet2!$J$5:$K$7,2,FALSE)*VLOOKUP(Sheet1!$A1340,Sheet2!$B$5:$H$29,7,FALSE),0)</x:f>
        <x:v>0</x:v>
      </x:c>
      <x:c r="I1340">
        <x:f t="shared" si="22"/>
        <x:v>7690</x:v>
      </x:c>
    </x:row>
    <x:row r="1341" spans="1:9" x14ac:dyDescent="0.15">
      <x:c r="A1341">
        <x:v>54053</x:v>
      </x:c>
      <x:c r="B1341">
        <x:v>2</x:v>
      </x:c>
      <x:c r="C1341">
        <x:v>20</x:v>
      </x:c>
      <x:c r="D1341">
        <x:f>ROUND($C1341*10*VLOOKUP($B1341,Sheet2!$J$5:$K$7,2,FALSE)*VLOOKUP(Sheet1!$A1341,Sheet2!$B$5:$H$29,3,FALSE),0)</x:f>
        <x:v>0</x:v>
      </x:c>
      <x:c r="E1341">
        <x:f>ROUND($C1341*10*VLOOKUP($B1341,Sheet2!$J$5:$K$7,2,FALSE)*VLOOKUP(Sheet1!$A1341,Sheet2!$B$5:$H$29,4,FALSE),0)</x:f>
        <x:v>144</x:v>
      </x:c>
      <x:c r="F1341">
        <x:f>ROUND($C1341*10*VLOOKUP($B1341,Sheet2!$J$5:$K$7,2,FALSE)*VLOOKUP(Sheet1!$A1341,Sheet2!$B$5:$H$29,5,FALSE),0)</x:f>
        <x:v>38</x:v>
      </x:c>
      <x:c r="G1341">
        <x:f>ROUND($C1341*10*VLOOKUP($B1341,Sheet2!$J$5:$K$7,2,FALSE)*VLOOKUP(Sheet1!$A1341,Sheet2!$B$5:$H$29,6,FALSE),0)</x:f>
        <x:v>0</x:v>
      </x:c>
      <x:c r="H1341">
        <x:f>ROUND($C1341*10*VLOOKUP($B1341,Sheet2!$J$5:$K$7,2,FALSE)*VLOOKUP(Sheet1!$A1341,Sheet2!$B$5:$H$29,7,FALSE),0)</x:f>
        <x:v>0</x:v>
      </x:c>
      <x:c r="I1341">
        <x:f t="shared" si="22"/>
        <x:v>8470</x:v>
      </x:c>
    </x:row>
    <x:row r="1342" spans="1:9" x14ac:dyDescent="0.15">
      <x:c r="A1342">
        <x:v>54053</x:v>
      </x:c>
      <x:c r="B1342">
        <x:v>2</x:v>
      </x:c>
      <x:c r="C1342">
        <x:v>21</x:v>
      </x:c>
      <x:c r="D1342">
        <x:f>ROUND($C1342*10*VLOOKUP($B1342,Sheet2!$J$5:$K$7,2,FALSE)*VLOOKUP(Sheet1!$A1342,Sheet2!$B$5:$H$29,3,FALSE),0)</x:f>
        <x:v>0</x:v>
      </x:c>
      <x:c r="E1342">
        <x:f>ROUND($C1342*10*VLOOKUP($B1342,Sheet2!$J$5:$K$7,2,FALSE)*VLOOKUP(Sheet1!$A1342,Sheet2!$B$5:$H$29,4,FALSE),0)</x:f>
        <x:v>151</x:v>
      </x:c>
      <x:c r="F1342">
        <x:f>ROUND($C1342*10*VLOOKUP($B1342,Sheet2!$J$5:$K$7,2,FALSE)*VLOOKUP(Sheet1!$A1342,Sheet2!$B$5:$H$29,5,FALSE),0)</x:f>
        <x:v>40</x:v>
      </x:c>
      <x:c r="G1342">
        <x:f>ROUND($C1342*10*VLOOKUP($B1342,Sheet2!$J$5:$K$7,2,FALSE)*VLOOKUP(Sheet1!$A1342,Sheet2!$B$5:$H$29,6,FALSE),0)</x:f>
        <x:v>0</x:v>
      </x:c>
      <x:c r="H1342">
        <x:f>ROUND($C1342*10*VLOOKUP($B1342,Sheet2!$J$5:$K$7,2,FALSE)*VLOOKUP(Sheet1!$A1342,Sheet2!$B$5:$H$29,7,FALSE),0)</x:f>
        <x:v>0</x:v>
      </x:c>
      <x:c r="I1342">
        <x:f t="shared" si="22"/>
        <x:v>9290</x:v>
      </x:c>
    </x:row>
    <x:row r="1343" spans="1:9" x14ac:dyDescent="0.15">
      <x:c r="A1343">
        <x:v>54053</x:v>
      </x:c>
      <x:c r="B1343">
        <x:v>2</x:v>
      </x:c>
      <x:c r="C1343">
        <x:v>22</x:v>
      </x:c>
      <x:c r="D1343">
        <x:f>ROUND($C1343*10*VLOOKUP($B1343,Sheet2!$J$5:$K$7,2,FALSE)*VLOOKUP(Sheet1!$A1343,Sheet2!$B$5:$H$29,3,FALSE),0)</x:f>
        <x:v>0</x:v>
      </x:c>
      <x:c r="E1343">
        <x:f>ROUND($C1343*10*VLOOKUP($B1343,Sheet2!$J$5:$K$7,2,FALSE)*VLOOKUP(Sheet1!$A1343,Sheet2!$B$5:$H$29,4,FALSE),0)</x:f>
        <x:v>158</x:v>
      </x:c>
      <x:c r="F1343">
        <x:f>ROUND($C1343*10*VLOOKUP($B1343,Sheet2!$J$5:$K$7,2,FALSE)*VLOOKUP(Sheet1!$A1343,Sheet2!$B$5:$H$29,5,FALSE),0)</x:f>
        <x:v>42</x:v>
      </x:c>
      <x:c r="G1343">
        <x:f>ROUND($C1343*10*VLOOKUP($B1343,Sheet2!$J$5:$K$7,2,FALSE)*VLOOKUP(Sheet1!$A1343,Sheet2!$B$5:$H$29,6,FALSE),0)</x:f>
        <x:v>0</x:v>
      </x:c>
      <x:c r="H1343">
        <x:f>ROUND($C1343*10*VLOOKUP($B1343,Sheet2!$J$5:$K$7,2,FALSE)*VLOOKUP(Sheet1!$A1343,Sheet2!$B$5:$H$29,7,FALSE),0)</x:f>
        <x:v>0</x:v>
      </x:c>
      <x:c r="I1343">
        <x:f t="shared" si="22"/>
        <x:v>10130</x:v>
      </x:c>
    </x:row>
    <x:row r="1344" spans="1:9" x14ac:dyDescent="0.15">
      <x:c r="A1344">
        <x:v>54053</x:v>
      </x:c>
      <x:c r="B1344">
        <x:v>2</x:v>
      </x:c>
      <x:c r="C1344">
        <x:v>23</x:v>
      </x:c>
      <x:c r="D1344">
        <x:f>ROUND($C1344*10*VLOOKUP($B1344,Sheet2!$J$5:$K$7,2,FALSE)*VLOOKUP(Sheet1!$A1344,Sheet2!$B$5:$H$29,3,FALSE),0)</x:f>
        <x:v>0</x:v>
      </x:c>
      <x:c r="E1344">
        <x:f>ROUND($C1344*10*VLOOKUP($B1344,Sheet2!$J$5:$K$7,2,FALSE)*VLOOKUP(Sheet1!$A1344,Sheet2!$B$5:$H$29,4,FALSE),0)</x:f>
        <x:v>166</x:v>
      </x:c>
      <x:c r="F1344">
        <x:f>ROUND($C1344*10*VLOOKUP($B1344,Sheet2!$J$5:$K$7,2,FALSE)*VLOOKUP(Sheet1!$A1344,Sheet2!$B$5:$H$29,5,FALSE),0)</x:f>
        <x:v>44</x:v>
      </x:c>
      <x:c r="G1344">
        <x:f>ROUND($C1344*10*VLOOKUP($B1344,Sheet2!$J$5:$K$7,2,FALSE)*VLOOKUP(Sheet1!$A1344,Sheet2!$B$5:$H$29,6,FALSE),0)</x:f>
        <x:v>0</x:v>
      </x:c>
      <x:c r="H1344">
        <x:f>ROUND($C1344*10*VLOOKUP($B1344,Sheet2!$J$5:$K$7,2,FALSE)*VLOOKUP(Sheet1!$A1344,Sheet2!$B$5:$H$29,7,FALSE),0)</x:f>
        <x:v>0</x:v>
      </x:c>
      <x:c r="I1344">
        <x:f t="shared" si="22"/>
        <x:v>11010</x:v>
      </x:c>
    </x:row>
    <x:row r="1345" spans="1:9" x14ac:dyDescent="0.15">
      <x:c r="A1345">
        <x:v>54053</x:v>
      </x:c>
      <x:c r="B1345">
        <x:v>2</x:v>
      </x:c>
      <x:c r="C1345">
        <x:v>24</x:v>
      </x:c>
      <x:c r="D1345">
        <x:f>ROUND($C1345*10*VLOOKUP($B1345,Sheet2!$J$5:$K$7,2,FALSE)*VLOOKUP(Sheet1!$A1345,Sheet2!$B$5:$H$29,3,FALSE),0)</x:f>
        <x:v>0</x:v>
      </x:c>
      <x:c r="E1345">
        <x:f>ROUND($C1345*10*VLOOKUP($B1345,Sheet2!$J$5:$K$7,2,FALSE)*VLOOKUP(Sheet1!$A1345,Sheet2!$B$5:$H$29,4,FALSE),0)</x:f>
        <x:v>173</x:v>
      </x:c>
      <x:c r="F1345">
        <x:f>ROUND($C1345*10*VLOOKUP($B1345,Sheet2!$J$5:$K$7,2,FALSE)*VLOOKUP(Sheet1!$A1345,Sheet2!$B$5:$H$29,5,FALSE),0)</x:f>
        <x:v>46</x:v>
      </x:c>
      <x:c r="G1345">
        <x:f>ROUND($C1345*10*VLOOKUP($B1345,Sheet2!$J$5:$K$7,2,FALSE)*VLOOKUP(Sheet1!$A1345,Sheet2!$B$5:$H$29,6,FALSE),0)</x:f>
        <x:v>0</x:v>
      </x:c>
      <x:c r="H1345">
        <x:f>ROUND($C1345*10*VLOOKUP($B1345,Sheet2!$J$5:$K$7,2,FALSE)*VLOOKUP(Sheet1!$A1345,Sheet2!$B$5:$H$29,7,FALSE),0)</x:f>
        <x:v>0</x:v>
      </x:c>
      <x:c r="I1345">
        <x:f t="shared" si="22"/>
        <x:v>11930</x:v>
      </x:c>
    </x:row>
    <x:row r="1346" spans="1:9" x14ac:dyDescent="0.15">
      <x:c r="A1346">
        <x:v>54053</x:v>
      </x:c>
      <x:c r="B1346">
        <x:v>2</x:v>
      </x:c>
      <x:c r="C1346">
        <x:v>25</x:v>
      </x:c>
      <x:c r="D1346">
        <x:f>ROUND($C1346*10*VLOOKUP($B1346,Sheet2!$J$5:$K$7,2,FALSE)*VLOOKUP(Sheet1!$A1346,Sheet2!$B$5:$H$29,3,FALSE),0)</x:f>
        <x:v>0</x:v>
      </x:c>
      <x:c r="E1346">
        <x:f>ROUND($C1346*10*VLOOKUP($B1346,Sheet2!$J$5:$K$7,2,FALSE)*VLOOKUP(Sheet1!$A1346,Sheet2!$B$5:$H$29,4,FALSE),0)</x:f>
        <x:v>180</x:v>
      </x:c>
      <x:c r="F1346">
        <x:f>ROUND($C1346*10*VLOOKUP($B1346,Sheet2!$J$5:$K$7,2,FALSE)*VLOOKUP(Sheet1!$A1346,Sheet2!$B$5:$H$29,5,FALSE),0)</x:f>
        <x:v>48</x:v>
      </x:c>
      <x:c r="G1346">
        <x:f>ROUND($C1346*10*VLOOKUP($B1346,Sheet2!$J$5:$K$7,2,FALSE)*VLOOKUP(Sheet1!$A1346,Sheet2!$B$5:$H$29,6,FALSE),0)</x:f>
        <x:v>0</x:v>
      </x:c>
      <x:c r="H1346">
        <x:f>ROUND($C1346*10*VLOOKUP($B1346,Sheet2!$J$5:$K$7,2,FALSE)*VLOOKUP(Sheet1!$A1346,Sheet2!$B$5:$H$29,7,FALSE),0)</x:f>
        <x:v>0</x:v>
      </x:c>
      <x:c r="I1346">
        <x:f t="shared" si="22"/>
        <x:v>12870</x:v>
      </x:c>
    </x:row>
    <x:row r="1347" spans="1:9" x14ac:dyDescent="0.15">
      <x:c r="A1347">
        <x:v>54053</x:v>
      </x:c>
      <x:c r="B1347">
        <x:v>2</x:v>
      </x:c>
      <x:c r="C1347">
        <x:v>26</x:v>
      </x:c>
      <x:c r="D1347">
        <x:f>ROUND($C1347*10*VLOOKUP($B1347,Sheet2!$J$5:$K$7,2,FALSE)*VLOOKUP(Sheet1!$A1347,Sheet2!$B$5:$H$29,3,FALSE),0)</x:f>
        <x:v>0</x:v>
      </x:c>
      <x:c r="E1347">
        <x:f>ROUND($C1347*10*VLOOKUP($B1347,Sheet2!$J$5:$K$7,2,FALSE)*VLOOKUP(Sheet1!$A1347,Sheet2!$B$5:$H$29,4,FALSE),0)</x:f>
        <x:v>187</x:v>
      </x:c>
      <x:c r="F1347">
        <x:f>ROUND($C1347*10*VLOOKUP($B1347,Sheet2!$J$5:$K$7,2,FALSE)*VLOOKUP(Sheet1!$A1347,Sheet2!$B$5:$H$29,5,FALSE),0)</x:f>
        <x:v>50</x:v>
      </x:c>
      <x:c r="G1347">
        <x:f>ROUND($C1347*10*VLOOKUP($B1347,Sheet2!$J$5:$K$7,2,FALSE)*VLOOKUP(Sheet1!$A1347,Sheet2!$B$5:$H$29,6,FALSE),0)</x:f>
        <x:v>0</x:v>
      </x:c>
      <x:c r="H1347">
        <x:f>ROUND($C1347*10*VLOOKUP($B1347,Sheet2!$J$5:$K$7,2,FALSE)*VLOOKUP(Sheet1!$A1347,Sheet2!$B$5:$H$29,7,FALSE),0)</x:f>
        <x:v>0</x:v>
      </x:c>
      <x:c r="I1347">
        <x:f t="shared" si="22"/>
        <x:v>13850</x:v>
      </x:c>
    </x:row>
    <x:row r="1348" spans="1:9" x14ac:dyDescent="0.15">
      <x:c r="A1348">
        <x:v>54053</x:v>
      </x:c>
      <x:c r="B1348">
        <x:v>2</x:v>
      </x:c>
      <x:c r="C1348">
        <x:v>27</x:v>
      </x:c>
      <x:c r="D1348">
        <x:f>ROUND($C1348*10*VLOOKUP($B1348,Sheet2!$J$5:$K$7,2,FALSE)*VLOOKUP(Sheet1!$A1348,Sheet2!$B$5:$H$29,3,FALSE),0)</x:f>
        <x:v>0</x:v>
      </x:c>
      <x:c r="E1348">
        <x:f>ROUND($C1348*10*VLOOKUP($B1348,Sheet2!$J$5:$K$7,2,FALSE)*VLOOKUP(Sheet1!$A1348,Sheet2!$B$5:$H$29,4,FALSE),0)</x:f>
        <x:v>194</x:v>
      </x:c>
      <x:c r="F1348">
        <x:f>ROUND($C1348*10*VLOOKUP($B1348,Sheet2!$J$5:$K$7,2,FALSE)*VLOOKUP(Sheet1!$A1348,Sheet2!$B$5:$H$29,5,FALSE),0)</x:f>
        <x:v>52</x:v>
      </x:c>
      <x:c r="G1348">
        <x:f>ROUND($C1348*10*VLOOKUP($B1348,Sheet2!$J$5:$K$7,2,FALSE)*VLOOKUP(Sheet1!$A1348,Sheet2!$B$5:$H$29,6,FALSE),0)</x:f>
        <x:v>0</x:v>
      </x:c>
      <x:c r="H1348">
        <x:f>ROUND($C1348*10*VLOOKUP($B1348,Sheet2!$J$5:$K$7,2,FALSE)*VLOOKUP(Sheet1!$A1348,Sheet2!$B$5:$H$29,7,FALSE),0)</x:f>
        <x:v>0</x:v>
      </x:c>
      <x:c r="I1348">
        <x:f t="shared" si="22"/>
        <x:v>14860</x:v>
      </x:c>
    </x:row>
    <x:row r="1349" spans="1:9" x14ac:dyDescent="0.15">
      <x:c r="A1349">
        <x:v>54053</x:v>
      </x:c>
      <x:c r="B1349">
        <x:v>2</x:v>
      </x:c>
      <x:c r="C1349">
        <x:v>28</x:v>
      </x:c>
      <x:c r="D1349">
        <x:f>ROUND($C1349*10*VLOOKUP($B1349,Sheet2!$J$5:$K$7,2,FALSE)*VLOOKUP(Sheet1!$A1349,Sheet2!$B$5:$H$29,3,FALSE),0)</x:f>
        <x:v>0</x:v>
      </x:c>
      <x:c r="E1349">
        <x:f>ROUND($C1349*10*VLOOKUP($B1349,Sheet2!$J$5:$K$7,2,FALSE)*VLOOKUP(Sheet1!$A1349,Sheet2!$B$5:$H$29,4,FALSE),0)</x:f>
        <x:v>202</x:v>
      </x:c>
      <x:c r="F1349">
        <x:f>ROUND($C1349*10*VLOOKUP($B1349,Sheet2!$J$5:$K$7,2,FALSE)*VLOOKUP(Sheet1!$A1349,Sheet2!$B$5:$H$29,5,FALSE),0)</x:f>
        <x:v>54</x:v>
      </x:c>
      <x:c r="G1349">
        <x:f>ROUND($C1349*10*VLOOKUP($B1349,Sheet2!$J$5:$K$7,2,FALSE)*VLOOKUP(Sheet1!$A1349,Sheet2!$B$5:$H$29,6,FALSE),0)</x:f>
        <x:v>0</x:v>
      </x:c>
      <x:c r="H1349">
        <x:f>ROUND($C1349*10*VLOOKUP($B1349,Sheet2!$J$5:$K$7,2,FALSE)*VLOOKUP(Sheet1!$A1349,Sheet2!$B$5:$H$29,7,FALSE),0)</x:f>
        <x:v>0</x:v>
      </x:c>
      <x:c r="I1349">
        <x:f t="shared" si="22"/>
        <x:v>15900</x:v>
      </x:c>
    </x:row>
    <x:row r="1350" spans="1:9" x14ac:dyDescent="0.15">
      <x:c r="A1350">
        <x:v>54053</x:v>
      </x:c>
      <x:c r="B1350">
        <x:v>2</x:v>
      </x:c>
      <x:c r="C1350">
        <x:v>29</x:v>
      </x:c>
      <x:c r="D1350">
        <x:f>ROUND($C1350*10*VLOOKUP($B1350,Sheet2!$J$5:$K$7,2,FALSE)*VLOOKUP(Sheet1!$A1350,Sheet2!$B$5:$H$29,3,FALSE),0)</x:f>
        <x:v>0</x:v>
      </x:c>
      <x:c r="E1350">
        <x:f>ROUND($C1350*10*VLOOKUP($B1350,Sheet2!$J$5:$K$7,2,FALSE)*VLOOKUP(Sheet1!$A1350,Sheet2!$B$5:$H$29,4,FALSE),0)</x:f>
        <x:v>209</x:v>
      </x:c>
      <x:c r="F1350">
        <x:f>ROUND($C1350*10*VLOOKUP($B1350,Sheet2!$J$5:$K$7,2,FALSE)*VLOOKUP(Sheet1!$A1350,Sheet2!$B$5:$H$29,5,FALSE),0)</x:f>
        <x:v>56</x:v>
      </x:c>
      <x:c r="G1350">
        <x:f>ROUND($C1350*10*VLOOKUP($B1350,Sheet2!$J$5:$K$7,2,FALSE)*VLOOKUP(Sheet1!$A1350,Sheet2!$B$5:$H$29,6,FALSE),0)</x:f>
        <x:v>0</x:v>
      </x:c>
      <x:c r="H1350">
        <x:f>ROUND($C1350*10*VLOOKUP($B1350,Sheet2!$J$5:$K$7,2,FALSE)*VLOOKUP(Sheet1!$A1350,Sheet2!$B$5:$H$29,7,FALSE),0)</x:f>
        <x:v>0</x:v>
      </x:c>
      <x:c r="I1350">
        <x:f t="shared" si="22"/>
        <x:v>16970</x:v>
      </x:c>
    </x:row>
    <x:row r="1351" spans="1:9" x14ac:dyDescent="0.15">
      <x:c r="A1351">
        <x:v>54053</x:v>
      </x:c>
      <x:c r="B1351">
        <x:v>2</x:v>
      </x:c>
      <x:c r="C1351">
        <x:v>30</x:v>
      </x:c>
      <x:c r="D1351">
        <x:f>ROUND($C1351*10*VLOOKUP($B1351,Sheet2!$J$5:$K$7,2,FALSE)*VLOOKUP(Sheet1!$A1351,Sheet2!$B$5:$H$29,3,FALSE),0)</x:f>
        <x:v>0</x:v>
      </x:c>
      <x:c r="E1351">
        <x:f>ROUND($C1351*10*VLOOKUP($B1351,Sheet2!$J$5:$K$7,2,FALSE)*VLOOKUP(Sheet1!$A1351,Sheet2!$B$5:$H$29,4,FALSE),0)</x:f>
        <x:v>216</x:v>
      </x:c>
      <x:c r="F1351">
        <x:f>ROUND($C1351*10*VLOOKUP($B1351,Sheet2!$J$5:$K$7,2,FALSE)*VLOOKUP(Sheet1!$A1351,Sheet2!$B$5:$H$29,5,FALSE),0)</x:f>
        <x:v>58</x:v>
      </x:c>
      <x:c r="G1351">
        <x:f>ROUND($C1351*10*VLOOKUP($B1351,Sheet2!$J$5:$K$7,2,FALSE)*VLOOKUP(Sheet1!$A1351,Sheet2!$B$5:$H$29,6,FALSE),0)</x:f>
        <x:v>0</x:v>
      </x:c>
      <x:c r="H1351">
        <x:f>ROUND($C1351*10*VLOOKUP($B1351,Sheet2!$J$5:$K$7,2,FALSE)*VLOOKUP(Sheet1!$A1351,Sheet2!$B$5:$H$29,7,FALSE),0)</x:f>
        <x:v>0</x:v>
      </x:c>
      <x:c r="I1351">
        <x:f t="shared" si="22"/>
        <x:v>18070</x:v>
      </x:c>
    </x:row>
    <x:row r="1352" spans="1:9" x14ac:dyDescent="0.15">
      <x:c r="A1352">
        <x:v>54053</x:v>
      </x:c>
      <x:c r="B1352">
        <x:v>2</x:v>
      </x:c>
      <x:c r="C1352">
        <x:v>31</x:v>
      </x:c>
      <x:c r="D1352">
        <x:f>ROUND($C1352*10*VLOOKUP($B1352,Sheet2!$J$5:$K$7,2,FALSE)*VLOOKUP(Sheet1!$A1352,Sheet2!$B$5:$H$29,3,FALSE),0)</x:f>
        <x:v>0</x:v>
      </x:c>
      <x:c r="E1352">
        <x:f>ROUND($C1352*10*VLOOKUP($B1352,Sheet2!$J$5:$K$7,2,FALSE)*VLOOKUP(Sheet1!$A1352,Sheet2!$B$5:$H$29,4,FALSE),0)</x:f>
        <x:v>223</x:v>
      </x:c>
      <x:c r="F1352">
        <x:f>ROUND($C1352*10*VLOOKUP($B1352,Sheet2!$J$5:$K$7,2,FALSE)*VLOOKUP(Sheet1!$A1352,Sheet2!$B$5:$H$29,5,FALSE),0)</x:f>
        <x:v>60</x:v>
      </x:c>
      <x:c r="G1352">
        <x:f>ROUND($C1352*10*VLOOKUP($B1352,Sheet2!$J$5:$K$7,2,FALSE)*VLOOKUP(Sheet1!$A1352,Sheet2!$B$5:$H$29,6,FALSE),0)</x:f>
        <x:v>0</x:v>
      </x:c>
      <x:c r="H1352">
        <x:f>ROUND($C1352*10*VLOOKUP($B1352,Sheet2!$J$5:$K$7,2,FALSE)*VLOOKUP(Sheet1!$A1352,Sheet2!$B$5:$H$29,7,FALSE),0)</x:f>
        <x:v>0</x:v>
      </x:c>
      <x:c r="I1352">
        <x:f t="shared" si="22"/>
        <x:v>19210</x:v>
      </x:c>
    </x:row>
    <x:row r="1353" spans="1:9" x14ac:dyDescent="0.15">
      <x:c r="A1353">
        <x:v>54053</x:v>
      </x:c>
      <x:c r="B1353">
        <x:v>2</x:v>
      </x:c>
      <x:c r="C1353">
        <x:v>32</x:v>
      </x:c>
      <x:c r="D1353">
        <x:f>ROUND($C1353*10*VLOOKUP($B1353,Sheet2!$J$5:$K$7,2,FALSE)*VLOOKUP(Sheet1!$A1353,Sheet2!$B$5:$H$29,3,FALSE),0)</x:f>
        <x:v>0</x:v>
      </x:c>
      <x:c r="E1353">
        <x:f>ROUND($C1353*10*VLOOKUP($B1353,Sheet2!$J$5:$K$7,2,FALSE)*VLOOKUP(Sheet1!$A1353,Sheet2!$B$5:$H$29,4,FALSE),0)</x:f>
        <x:v>230</x:v>
      </x:c>
      <x:c r="F1353">
        <x:f>ROUND($C1353*10*VLOOKUP($B1353,Sheet2!$J$5:$K$7,2,FALSE)*VLOOKUP(Sheet1!$A1353,Sheet2!$B$5:$H$29,5,FALSE),0)</x:f>
        <x:v>61</x:v>
      </x:c>
      <x:c r="G1353">
        <x:f>ROUND($C1353*10*VLOOKUP($B1353,Sheet2!$J$5:$K$7,2,FALSE)*VLOOKUP(Sheet1!$A1353,Sheet2!$B$5:$H$29,6,FALSE),0)</x:f>
        <x:v>0</x:v>
      </x:c>
      <x:c r="H1353">
        <x:f>ROUND($C1353*10*VLOOKUP($B1353,Sheet2!$J$5:$K$7,2,FALSE)*VLOOKUP(Sheet1!$A1353,Sheet2!$B$5:$H$29,7,FALSE),0)</x:f>
        <x:v>0</x:v>
      </x:c>
      <x:c r="I1353">
        <x:f t="shared" si="22"/>
        <x:v>20370</x:v>
      </x:c>
    </x:row>
    <x:row r="1354" spans="1:9" x14ac:dyDescent="0.15">
      <x:c r="A1354">
        <x:v>54053</x:v>
      </x:c>
      <x:c r="B1354">
        <x:v>2</x:v>
      </x:c>
      <x:c r="C1354">
        <x:v>33</x:v>
      </x:c>
      <x:c r="D1354">
        <x:f>ROUND($C1354*10*VLOOKUP($B1354,Sheet2!$J$5:$K$7,2,FALSE)*VLOOKUP(Sheet1!$A1354,Sheet2!$B$5:$H$29,3,FALSE),0)</x:f>
        <x:v>0</x:v>
      </x:c>
      <x:c r="E1354">
        <x:f>ROUND($C1354*10*VLOOKUP($B1354,Sheet2!$J$5:$K$7,2,FALSE)*VLOOKUP(Sheet1!$A1354,Sheet2!$B$5:$H$29,4,FALSE),0)</x:f>
        <x:v>238</x:v>
      </x:c>
      <x:c r="F1354">
        <x:f>ROUND($C1354*10*VLOOKUP($B1354,Sheet2!$J$5:$K$7,2,FALSE)*VLOOKUP(Sheet1!$A1354,Sheet2!$B$5:$H$29,5,FALSE),0)</x:f>
        <x:v>63</x:v>
      </x:c>
      <x:c r="G1354">
        <x:f>ROUND($C1354*10*VLOOKUP($B1354,Sheet2!$J$5:$K$7,2,FALSE)*VLOOKUP(Sheet1!$A1354,Sheet2!$B$5:$H$29,6,FALSE),0)</x:f>
        <x:v>0</x:v>
      </x:c>
      <x:c r="H1354">
        <x:f>ROUND($C1354*10*VLOOKUP($B1354,Sheet2!$J$5:$K$7,2,FALSE)*VLOOKUP(Sheet1!$A1354,Sheet2!$B$5:$H$29,7,FALSE),0)</x:f>
        <x:v>0</x:v>
      </x:c>
      <x:c r="I1354">
        <x:f t="shared" si="22"/>
        <x:v>21560</x:v>
      </x:c>
    </x:row>
    <x:row r="1355" spans="1:9" x14ac:dyDescent="0.15">
      <x:c r="A1355">
        <x:v>54053</x:v>
      </x:c>
      <x:c r="B1355">
        <x:v>2</x:v>
      </x:c>
      <x:c r="C1355">
        <x:v>34</x:v>
      </x:c>
      <x:c r="D1355">
        <x:f>ROUND($C1355*10*VLOOKUP($B1355,Sheet2!$J$5:$K$7,2,FALSE)*VLOOKUP(Sheet1!$A1355,Sheet2!$B$5:$H$29,3,FALSE),0)</x:f>
        <x:v>0</x:v>
      </x:c>
      <x:c r="E1355">
        <x:f>ROUND($C1355*10*VLOOKUP($B1355,Sheet2!$J$5:$K$7,2,FALSE)*VLOOKUP(Sheet1!$A1355,Sheet2!$B$5:$H$29,4,FALSE),0)</x:f>
        <x:v>245</x:v>
      </x:c>
      <x:c r="F1355">
        <x:f>ROUND($C1355*10*VLOOKUP($B1355,Sheet2!$J$5:$K$7,2,FALSE)*VLOOKUP(Sheet1!$A1355,Sheet2!$B$5:$H$29,5,FALSE),0)</x:f>
        <x:v>65</x:v>
      </x:c>
      <x:c r="G1355">
        <x:f>ROUND($C1355*10*VLOOKUP($B1355,Sheet2!$J$5:$K$7,2,FALSE)*VLOOKUP(Sheet1!$A1355,Sheet2!$B$5:$H$29,6,FALSE),0)</x:f>
        <x:v>0</x:v>
      </x:c>
      <x:c r="H1355">
        <x:f>ROUND($C1355*10*VLOOKUP($B1355,Sheet2!$J$5:$K$7,2,FALSE)*VLOOKUP(Sheet1!$A1355,Sheet2!$B$5:$H$29,7,FALSE),0)</x:f>
        <x:v>0</x:v>
      </x:c>
      <x:c r="I1355">
        <x:f t="shared" si="22"/>
        <x:v>22790</x:v>
      </x:c>
    </x:row>
    <x:row r="1356" spans="1:9" x14ac:dyDescent="0.15">
      <x:c r="A1356">
        <x:v>54053</x:v>
      </x:c>
      <x:c r="B1356">
        <x:v>2</x:v>
      </x:c>
      <x:c r="C1356">
        <x:v>35</x:v>
      </x:c>
      <x:c r="D1356">
        <x:f>ROUND($C1356*10*VLOOKUP($B1356,Sheet2!$J$5:$K$7,2,FALSE)*VLOOKUP(Sheet1!$A1356,Sheet2!$B$5:$H$29,3,FALSE),0)</x:f>
        <x:v>0</x:v>
      </x:c>
      <x:c r="E1356">
        <x:f>ROUND($C1356*10*VLOOKUP($B1356,Sheet2!$J$5:$K$7,2,FALSE)*VLOOKUP(Sheet1!$A1356,Sheet2!$B$5:$H$29,4,FALSE),0)</x:f>
        <x:v>252</x:v>
      </x:c>
      <x:c r="F1356">
        <x:f>ROUND($C1356*10*VLOOKUP($B1356,Sheet2!$J$5:$K$7,2,FALSE)*VLOOKUP(Sheet1!$A1356,Sheet2!$B$5:$H$29,5,FALSE),0)</x:f>
        <x:v>67</x:v>
      </x:c>
      <x:c r="G1356">
        <x:f>ROUND($C1356*10*VLOOKUP($B1356,Sheet2!$J$5:$K$7,2,FALSE)*VLOOKUP(Sheet1!$A1356,Sheet2!$B$5:$H$29,6,FALSE),0)</x:f>
        <x:v>0</x:v>
      </x:c>
      <x:c r="H1356">
        <x:f>ROUND($C1356*10*VLOOKUP($B1356,Sheet2!$J$5:$K$7,2,FALSE)*VLOOKUP(Sheet1!$A1356,Sheet2!$B$5:$H$29,7,FALSE),0)</x:f>
        <x:v>0</x:v>
      </x:c>
      <x:c r="I1356">
        <x:f t="shared" si="22"/>
        <x:v>24040</x:v>
      </x:c>
    </x:row>
    <x:row r="1357" spans="1:9" x14ac:dyDescent="0.15">
      <x:c r="A1357">
        <x:v>54053</x:v>
      </x:c>
      <x:c r="B1357">
        <x:v>2</x:v>
      </x:c>
      <x:c r="C1357">
        <x:v>36</x:v>
      </x:c>
      <x:c r="D1357">
        <x:f>ROUND($C1357*10*VLOOKUP($B1357,Sheet2!$J$5:$K$7,2,FALSE)*VLOOKUP(Sheet1!$A1357,Sheet2!$B$5:$H$29,3,FALSE),0)</x:f>
        <x:v>0</x:v>
      </x:c>
      <x:c r="E1357">
        <x:f>ROUND($C1357*10*VLOOKUP($B1357,Sheet2!$J$5:$K$7,2,FALSE)*VLOOKUP(Sheet1!$A1357,Sheet2!$B$5:$H$29,4,FALSE),0)</x:f>
        <x:v>259</x:v>
      </x:c>
      <x:c r="F1357">
        <x:f>ROUND($C1357*10*VLOOKUP($B1357,Sheet2!$J$5:$K$7,2,FALSE)*VLOOKUP(Sheet1!$A1357,Sheet2!$B$5:$H$29,5,FALSE),0)</x:f>
        <x:v>69</x:v>
      </x:c>
      <x:c r="G1357">
        <x:f>ROUND($C1357*10*VLOOKUP($B1357,Sheet2!$J$5:$K$7,2,FALSE)*VLOOKUP(Sheet1!$A1357,Sheet2!$B$5:$H$29,6,FALSE),0)</x:f>
        <x:v>0</x:v>
      </x:c>
      <x:c r="H1357">
        <x:f>ROUND($C1357*10*VLOOKUP($B1357,Sheet2!$J$5:$K$7,2,FALSE)*VLOOKUP(Sheet1!$A1357,Sheet2!$B$5:$H$29,7,FALSE),0)</x:f>
        <x:v>0</x:v>
      </x:c>
      <x:c r="I1357">
        <x:f t="shared" si="22"/>
        <x:v>25330</x:v>
      </x:c>
    </x:row>
    <x:row r="1358" spans="1:9" x14ac:dyDescent="0.15">
      <x:c r="A1358">
        <x:v>54053</x:v>
      </x:c>
      <x:c r="B1358">
        <x:v>2</x:v>
      </x:c>
      <x:c r="C1358">
        <x:v>37</x:v>
      </x:c>
      <x:c r="D1358">
        <x:f>ROUND($C1358*10*VLOOKUP($B1358,Sheet2!$J$5:$K$7,2,FALSE)*VLOOKUP(Sheet1!$A1358,Sheet2!$B$5:$H$29,3,FALSE),0)</x:f>
        <x:v>0</x:v>
      </x:c>
      <x:c r="E1358">
        <x:f>ROUND($C1358*10*VLOOKUP($B1358,Sheet2!$J$5:$K$7,2,FALSE)*VLOOKUP(Sheet1!$A1358,Sheet2!$B$5:$H$29,4,FALSE),0)</x:f>
        <x:v>266</x:v>
      </x:c>
      <x:c r="F1358">
        <x:f>ROUND($C1358*10*VLOOKUP($B1358,Sheet2!$J$5:$K$7,2,FALSE)*VLOOKUP(Sheet1!$A1358,Sheet2!$B$5:$H$29,5,FALSE),0)</x:f>
        <x:v>71</x:v>
      </x:c>
      <x:c r="G1358">
        <x:f>ROUND($C1358*10*VLOOKUP($B1358,Sheet2!$J$5:$K$7,2,FALSE)*VLOOKUP(Sheet1!$A1358,Sheet2!$B$5:$H$29,6,FALSE),0)</x:f>
        <x:v>0</x:v>
      </x:c>
      <x:c r="H1358">
        <x:f>ROUND($C1358*10*VLOOKUP($B1358,Sheet2!$J$5:$K$7,2,FALSE)*VLOOKUP(Sheet1!$A1358,Sheet2!$B$5:$H$29,7,FALSE),0)</x:f>
        <x:v>0</x:v>
      </x:c>
      <x:c r="I1358">
        <x:f t="shared" si="22"/>
        <x:v>26640</x:v>
      </x:c>
    </x:row>
    <x:row r="1359" spans="1:9" x14ac:dyDescent="0.15">
      <x:c r="A1359">
        <x:v>54053</x:v>
      </x:c>
      <x:c r="B1359">
        <x:v>2</x:v>
      </x:c>
      <x:c r="C1359">
        <x:v>38</x:v>
      </x:c>
      <x:c r="D1359">
        <x:f>ROUND($C1359*10*VLOOKUP($B1359,Sheet2!$J$5:$K$7,2,FALSE)*VLOOKUP(Sheet1!$A1359,Sheet2!$B$5:$H$29,3,FALSE),0)</x:f>
        <x:v>0</x:v>
      </x:c>
      <x:c r="E1359">
        <x:f>ROUND($C1359*10*VLOOKUP($B1359,Sheet2!$J$5:$K$7,2,FALSE)*VLOOKUP(Sheet1!$A1359,Sheet2!$B$5:$H$29,4,FALSE),0)</x:f>
        <x:v>274</x:v>
      </x:c>
      <x:c r="F1359">
        <x:f>ROUND($C1359*10*VLOOKUP($B1359,Sheet2!$J$5:$K$7,2,FALSE)*VLOOKUP(Sheet1!$A1359,Sheet2!$B$5:$H$29,5,FALSE),0)</x:f>
        <x:v>73</x:v>
      </x:c>
      <x:c r="G1359">
        <x:f>ROUND($C1359*10*VLOOKUP($B1359,Sheet2!$J$5:$K$7,2,FALSE)*VLOOKUP(Sheet1!$A1359,Sheet2!$B$5:$H$29,6,FALSE),0)</x:f>
        <x:v>0</x:v>
      </x:c>
      <x:c r="H1359">
        <x:f>ROUND($C1359*10*VLOOKUP($B1359,Sheet2!$J$5:$K$7,2,FALSE)*VLOOKUP(Sheet1!$A1359,Sheet2!$B$5:$H$29,7,FALSE),0)</x:f>
        <x:v>0</x:v>
      </x:c>
      <x:c r="I1359">
        <x:f t="shared" si="22"/>
        <x:v>27990</x:v>
      </x:c>
    </x:row>
    <x:row r="1360" spans="1:9" x14ac:dyDescent="0.15">
      <x:c r="A1360">
        <x:v>54053</x:v>
      </x:c>
      <x:c r="B1360">
        <x:v>2</x:v>
      </x:c>
      <x:c r="C1360">
        <x:v>39</x:v>
      </x:c>
      <x:c r="D1360">
        <x:f>ROUND($C1360*10*VLOOKUP($B1360,Sheet2!$J$5:$K$7,2,FALSE)*VLOOKUP(Sheet1!$A1360,Sheet2!$B$5:$H$29,3,FALSE),0)</x:f>
        <x:v>0</x:v>
      </x:c>
      <x:c r="E1360">
        <x:f>ROUND($C1360*10*VLOOKUP($B1360,Sheet2!$J$5:$K$7,2,FALSE)*VLOOKUP(Sheet1!$A1360,Sheet2!$B$5:$H$29,4,FALSE),0)</x:f>
        <x:v>281</x:v>
      </x:c>
      <x:c r="F1360">
        <x:f>ROUND($C1360*10*VLOOKUP($B1360,Sheet2!$J$5:$K$7,2,FALSE)*VLOOKUP(Sheet1!$A1360,Sheet2!$B$5:$H$29,5,FALSE),0)</x:f>
        <x:v>75</x:v>
      </x:c>
      <x:c r="G1360">
        <x:f>ROUND($C1360*10*VLOOKUP($B1360,Sheet2!$J$5:$K$7,2,FALSE)*VLOOKUP(Sheet1!$A1360,Sheet2!$B$5:$H$29,6,FALSE),0)</x:f>
        <x:v>0</x:v>
      </x:c>
      <x:c r="H1360">
        <x:f>ROUND($C1360*10*VLOOKUP($B1360,Sheet2!$J$5:$K$7,2,FALSE)*VLOOKUP(Sheet1!$A1360,Sheet2!$B$5:$H$29,7,FALSE),0)</x:f>
        <x:v>0</x:v>
      </x:c>
      <x:c r="I1360">
        <x:f t="shared" si="22"/>
        <x:v>29360</x:v>
      </x:c>
    </x:row>
    <x:row r="1361" spans="1:9" x14ac:dyDescent="0.15">
      <x:c r="A1361">
        <x:v>54053</x:v>
      </x:c>
      <x:c r="B1361">
        <x:v>2</x:v>
      </x:c>
      <x:c r="C1361">
        <x:v>40</x:v>
      </x:c>
      <x:c r="D1361">
        <x:f>ROUND($C1361*10*VLOOKUP($B1361,Sheet2!$J$5:$K$7,2,FALSE)*VLOOKUP(Sheet1!$A1361,Sheet2!$B$5:$H$29,3,FALSE),0)</x:f>
        <x:v>0</x:v>
      </x:c>
      <x:c r="E1361">
        <x:f>ROUND($C1361*10*VLOOKUP($B1361,Sheet2!$J$5:$K$7,2,FALSE)*VLOOKUP(Sheet1!$A1361,Sheet2!$B$5:$H$29,4,FALSE),0)</x:f>
        <x:v>288</x:v>
      </x:c>
      <x:c r="F1361">
        <x:f>ROUND($C1361*10*VLOOKUP($B1361,Sheet2!$J$5:$K$7,2,FALSE)*VLOOKUP(Sheet1!$A1361,Sheet2!$B$5:$H$29,5,FALSE),0)</x:f>
        <x:v>77</x:v>
      </x:c>
      <x:c r="G1361">
        <x:f>ROUND($C1361*10*VLOOKUP($B1361,Sheet2!$J$5:$K$7,2,FALSE)*VLOOKUP(Sheet1!$A1361,Sheet2!$B$5:$H$29,6,FALSE),0)</x:f>
        <x:v>0</x:v>
      </x:c>
      <x:c r="H1361">
        <x:f>ROUND($C1361*10*VLOOKUP($B1361,Sheet2!$J$5:$K$7,2,FALSE)*VLOOKUP(Sheet1!$A1361,Sheet2!$B$5:$H$29,7,FALSE),0)</x:f>
        <x:v>0</x:v>
      </x:c>
      <x:c r="I1361">
        <x:f t="shared" si="22"/>
        <x:v>30760</x:v>
      </x:c>
    </x:row>
    <x:row r="1362" spans="1:9" x14ac:dyDescent="0.15">
      <x:c r="A1362">
        <x:v>54053</x:v>
      </x:c>
      <x:c r="B1362">
        <x:v>2</x:v>
      </x:c>
      <x:c r="C1362">
        <x:v>41</x:v>
      </x:c>
      <x:c r="D1362">
        <x:f>ROUND($C1362*10*VLOOKUP($B1362,Sheet2!$J$5:$K$7,2,FALSE)*VLOOKUP(Sheet1!$A1362,Sheet2!$B$5:$H$29,3,FALSE),0)</x:f>
        <x:v>0</x:v>
      </x:c>
      <x:c r="E1362">
        <x:f>ROUND($C1362*10*VLOOKUP($B1362,Sheet2!$J$5:$K$7,2,FALSE)*VLOOKUP(Sheet1!$A1362,Sheet2!$B$5:$H$29,4,FALSE),0)</x:f>
        <x:v>295</x:v>
      </x:c>
      <x:c r="F1362">
        <x:f>ROUND($C1362*10*VLOOKUP($B1362,Sheet2!$J$5:$K$7,2,FALSE)*VLOOKUP(Sheet1!$A1362,Sheet2!$B$5:$H$29,5,FALSE),0)</x:f>
        <x:v>79</x:v>
      </x:c>
      <x:c r="G1362">
        <x:f>ROUND($C1362*10*VLOOKUP($B1362,Sheet2!$J$5:$K$7,2,FALSE)*VLOOKUP(Sheet1!$A1362,Sheet2!$B$5:$H$29,6,FALSE),0)</x:f>
        <x:v>0</x:v>
      </x:c>
      <x:c r="H1362">
        <x:f>ROUND($C1362*10*VLOOKUP($B1362,Sheet2!$J$5:$K$7,2,FALSE)*VLOOKUP(Sheet1!$A1362,Sheet2!$B$5:$H$29,7,FALSE),0)</x:f>
        <x:v>0</x:v>
      </x:c>
      <x:c r="I1362">
        <x:f t="shared" si="22"/>
        <x:v>32190</x:v>
      </x:c>
    </x:row>
    <x:row r="1363" spans="1:9" x14ac:dyDescent="0.15">
      <x:c r="A1363">
        <x:v>54053</x:v>
      </x:c>
      <x:c r="B1363">
        <x:v>2</x:v>
      </x:c>
      <x:c r="C1363">
        <x:v>42</x:v>
      </x:c>
      <x:c r="D1363">
        <x:f>ROUND($C1363*10*VLOOKUP($B1363,Sheet2!$J$5:$K$7,2,FALSE)*VLOOKUP(Sheet1!$A1363,Sheet2!$B$5:$H$29,3,FALSE),0)</x:f>
        <x:v>0</x:v>
      </x:c>
      <x:c r="E1363">
        <x:f>ROUND($C1363*10*VLOOKUP($B1363,Sheet2!$J$5:$K$7,2,FALSE)*VLOOKUP(Sheet1!$A1363,Sheet2!$B$5:$H$29,4,FALSE),0)</x:f>
        <x:v>302</x:v>
      </x:c>
      <x:c r="F1363">
        <x:f>ROUND($C1363*10*VLOOKUP($B1363,Sheet2!$J$5:$K$7,2,FALSE)*VLOOKUP(Sheet1!$A1363,Sheet2!$B$5:$H$29,5,FALSE),0)</x:f>
        <x:v>81</x:v>
      </x:c>
      <x:c r="G1363">
        <x:f>ROUND($C1363*10*VLOOKUP($B1363,Sheet2!$J$5:$K$7,2,FALSE)*VLOOKUP(Sheet1!$A1363,Sheet2!$B$5:$H$29,6,FALSE),0)</x:f>
        <x:v>0</x:v>
      </x:c>
      <x:c r="H1363">
        <x:f>ROUND($C1363*10*VLOOKUP($B1363,Sheet2!$J$5:$K$7,2,FALSE)*VLOOKUP(Sheet1!$A1363,Sheet2!$B$5:$H$29,7,FALSE),0)</x:f>
        <x:v>0</x:v>
      </x:c>
      <x:c r="I1363">
        <x:f t="shared" si="22"/>
        <x:v>33650</x:v>
      </x:c>
    </x:row>
    <x:row r="1364" spans="1:9" x14ac:dyDescent="0.15">
      <x:c r="A1364">
        <x:v>54053</x:v>
      </x:c>
      <x:c r="B1364">
        <x:v>2</x:v>
      </x:c>
      <x:c r="C1364">
        <x:v>43</x:v>
      </x:c>
      <x:c r="D1364">
        <x:f>ROUND($C1364*10*VLOOKUP($B1364,Sheet2!$J$5:$K$7,2,FALSE)*VLOOKUP(Sheet1!$A1364,Sheet2!$B$5:$H$29,3,FALSE),0)</x:f>
        <x:v>0</x:v>
      </x:c>
      <x:c r="E1364">
        <x:f>ROUND($C1364*10*VLOOKUP($B1364,Sheet2!$J$5:$K$7,2,FALSE)*VLOOKUP(Sheet1!$A1364,Sheet2!$B$5:$H$29,4,FALSE),0)</x:f>
        <x:v>310</x:v>
      </x:c>
      <x:c r="F1364">
        <x:f>ROUND($C1364*10*VLOOKUP($B1364,Sheet2!$J$5:$K$7,2,FALSE)*VLOOKUP(Sheet1!$A1364,Sheet2!$B$5:$H$29,5,FALSE),0)</x:f>
        <x:v>83</x:v>
      </x:c>
      <x:c r="G1364">
        <x:f>ROUND($C1364*10*VLOOKUP($B1364,Sheet2!$J$5:$K$7,2,FALSE)*VLOOKUP(Sheet1!$A1364,Sheet2!$B$5:$H$29,6,FALSE),0)</x:f>
        <x:v>0</x:v>
      </x:c>
      <x:c r="H1364">
        <x:f>ROUND($C1364*10*VLOOKUP($B1364,Sheet2!$J$5:$K$7,2,FALSE)*VLOOKUP(Sheet1!$A1364,Sheet2!$B$5:$H$29,7,FALSE),0)</x:f>
        <x:v>0</x:v>
      </x:c>
      <x:c r="I1364">
        <x:f t="shared" si="22"/>
        <x:v>35140</x:v>
      </x:c>
    </x:row>
    <x:row r="1365" spans="1:9" x14ac:dyDescent="0.15">
      <x:c r="A1365">
        <x:v>54053</x:v>
      </x:c>
      <x:c r="B1365">
        <x:v>2</x:v>
      </x:c>
      <x:c r="C1365">
        <x:v>44</x:v>
      </x:c>
      <x:c r="D1365">
        <x:f>ROUND($C1365*10*VLOOKUP($B1365,Sheet2!$J$5:$K$7,2,FALSE)*VLOOKUP(Sheet1!$A1365,Sheet2!$B$5:$H$29,3,FALSE),0)</x:f>
        <x:v>0</x:v>
      </x:c>
      <x:c r="E1365">
        <x:f>ROUND($C1365*10*VLOOKUP($B1365,Sheet2!$J$5:$K$7,2,FALSE)*VLOOKUP(Sheet1!$A1365,Sheet2!$B$5:$H$29,4,FALSE),0)</x:f>
        <x:v>317</x:v>
      </x:c>
      <x:c r="F1365">
        <x:f>ROUND($C1365*10*VLOOKUP($B1365,Sheet2!$J$5:$K$7,2,FALSE)*VLOOKUP(Sheet1!$A1365,Sheet2!$B$5:$H$29,5,FALSE),0)</x:f>
        <x:v>84</x:v>
      </x:c>
      <x:c r="G1365">
        <x:f>ROUND($C1365*10*VLOOKUP($B1365,Sheet2!$J$5:$K$7,2,FALSE)*VLOOKUP(Sheet1!$A1365,Sheet2!$B$5:$H$29,6,FALSE),0)</x:f>
        <x:v>0</x:v>
      </x:c>
      <x:c r="H1365">
        <x:f>ROUND($C1365*10*VLOOKUP($B1365,Sheet2!$J$5:$K$7,2,FALSE)*VLOOKUP(Sheet1!$A1365,Sheet2!$B$5:$H$29,7,FALSE),0)</x:f>
        <x:v>0</x:v>
      </x:c>
      <x:c r="I1365">
        <x:f t="shared" si="22"/>
        <x:v>36660</x:v>
      </x:c>
    </x:row>
    <x:row r="1366" spans="1:9" x14ac:dyDescent="0.15">
      <x:c r="A1366">
        <x:v>54053</x:v>
      </x:c>
      <x:c r="B1366">
        <x:v>2</x:v>
      </x:c>
      <x:c r="C1366">
        <x:v>45</x:v>
      </x:c>
      <x:c r="D1366">
        <x:f>ROUND($C1366*10*VLOOKUP($B1366,Sheet2!$J$5:$K$7,2,FALSE)*VLOOKUP(Sheet1!$A1366,Sheet2!$B$5:$H$29,3,FALSE),0)</x:f>
        <x:v>0</x:v>
      </x:c>
      <x:c r="E1366">
        <x:f>ROUND($C1366*10*VLOOKUP($B1366,Sheet2!$J$5:$K$7,2,FALSE)*VLOOKUP(Sheet1!$A1366,Sheet2!$B$5:$H$29,4,FALSE),0)</x:f>
        <x:v>324</x:v>
      </x:c>
      <x:c r="F1366">
        <x:f>ROUND($C1366*10*VLOOKUP($B1366,Sheet2!$J$5:$K$7,2,FALSE)*VLOOKUP(Sheet1!$A1366,Sheet2!$B$5:$H$29,5,FALSE),0)</x:f>
        <x:v>86</x:v>
      </x:c>
      <x:c r="G1366">
        <x:f>ROUND($C1366*10*VLOOKUP($B1366,Sheet2!$J$5:$K$7,2,FALSE)*VLOOKUP(Sheet1!$A1366,Sheet2!$B$5:$H$29,6,FALSE),0)</x:f>
        <x:v>0</x:v>
      </x:c>
      <x:c r="H1366">
        <x:f>ROUND($C1366*10*VLOOKUP($B1366,Sheet2!$J$5:$K$7,2,FALSE)*VLOOKUP(Sheet1!$A1366,Sheet2!$B$5:$H$29,7,FALSE),0)</x:f>
        <x:v>0</x:v>
      </x:c>
      <x:c r="I1366">
        <x:f t="shared" si="22"/>
        <x:v>38210</x:v>
      </x:c>
    </x:row>
    <x:row r="1367" spans="1:9" x14ac:dyDescent="0.15">
      <x:c r="A1367">
        <x:v>54053</x:v>
      </x:c>
      <x:c r="B1367">
        <x:v>2</x:v>
      </x:c>
      <x:c r="C1367">
        <x:v>46</x:v>
      </x:c>
      <x:c r="D1367">
        <x:f>ROUND($C1367*10*VLOOKUP($B1367,Sheet2!$J$5:$K$7,2,FALSE)*VLOOKUP(Sheet1!$A1367,Sheet2!$B$5:$H$29,3,FALSE),0)</x:f>
        <x:v>0</x:v>
      </x:c>
      <x:c r="E1367">
        <x:f>ROUND($C1367*10*VLOOKUP($B1367,Sheet2!$J$5:$K$7,2,FALSE)*VLOOKUP(Sheet1!$A1367,Sheet2!$B$5:$H$29,4,FALSE),0)</x:f>
        <x:v>331</x:v>
      </x:c>
      <x:c r="F1367">
        <x:f>ROUND($C1367*10*VLOOKUP($B1367,Sheet2!$J$5:$K$7,2,FALSE)*VLOOKUP(Sheet1!$A1367,Sheet2!$B$5:$H$29,5,FALSE),0)</x:f>
        <x:v>88</x:v>
      </x:c>
      <x:c r="G1367">
        <x:f>ROUND($C1367*10*VLOOKUP($B1367,Sheet2!$J$5:$K$7,2,FALSE)*VLOOKUP(Sheet1!$A1367,Sheet2!$B$5:$H$29,6,FALSE),0)</x:f>
        <x:v>0</x:v>
      </x:c>
      <x:c r="H1367">
        <x:f>ROUND($C1367*10*VLOOKUP($B1367,Sheet2!$J$5:$K$7,2,FALSE)*VLOOKUP(Sheet1!$A1367,Sheet2!$B$5:$H$29,7,FALSE),0)</x:f>
        <x:v>0</x:v>
      </x:c>
      <x:c r="I1367">
        <x:f t="shared" si="22"/>
        <x:v>39780</x:v>
      </x:c>
    </x:row>
    <x:row r="1368" spans="1:9" x14ac:dyDescent="0.15">
      <x:c r="A1368">
        <x:v>54053</x:v>
      </x:c>
      <x:c r="B1368">
        <x:v>2</x:v>
      </x:c>
      <x:c r="C1368">
        <x:v>47</x:v>
      </x:c>
      <x:c r="D1368">
        <x:f>ROUND($C1368*10*VLOOKUP($B1368,Sheet2!$J$5:$K$7,2,FALSE)*VLOOKUP(Sheet1!$A1368,Sheet2!$B$5:$H$29,3,FALSE),0)</x:f>
        <x:v>0</x:v>
      </x:c>
      <x:c r="E1368">
        <x:f>ROUND($C1368*10*VLOOKUP($B1368,Sheet2!$J$5:$K$7,2,FALSE)*VLOOKUP(Sheet1!$A1368,Sheet2!$B$5:$H$29,4,FALSE),0)</x:f>
        <x:v>338</x:v>
      </x:c>
      <x:c r="F1368">
        <x:f>ROUND($C1368*10*VLOOKUP($B1368,Sheet2!$J$5:$K$7,2,FALSE)*VLOOKUP(Sheet1!$A1368,Sheet2!$B$5:$H$29,5,FALSE),0)</x:f>
        <x:v>90</x:v>
      </x:c>
      <x:c r="G1368">
        <x:f>ROUND($C1368*10*VLOOKUP($B1368,Sheet2!$J$5:$K$7,2,FALSE)*VLOOKUP(Sheet1!$A1368,Sheet2!$B$5:$H$29,6,FALSE),0)</x:f>
        <x:v>0</x:v>
      </x:c>
      <x:c r="H1368">
        <x:f>ROUND($C1368*10*VLOOKUP($B1368,Sheet2!$J$5:$K$7,2,FALSE)*VLOOKUP(Sheet1!$A1368,Sheet2!$B$5:$H$29,7,FALSE),0)</x:f>
        <x:v>0</x:v>
      </x:c>
      <x:c r="I1368">
        <x:f t="shared" si="22"/>
        <x:v>41390</x:v>
      </x:c>
    </x:row>
    <x:row r="1369" spans="1:9" x14ac:dyDescent="0.15">
      <x:c r="A1369">
        <x:v>54053</x:v>
      </x:c>
      <x:c r="B1369">
        <x:v>2</x:v>
      </x:c>
      <x:c r="C1369">
        <x:v>48</x:v>
      </x:c>
      <x:c r="D1369">
        <x:f>ROUND($C1369*10*VLOOKUP($B1369,Sheet2!$J$5:$K$7,2,FALSE)*VLOOKUP(Sheet1!$A1369,Sheet2!$B$5:$H$29,3,FALSE),0)</x:f>
        <x:v>0</x:v>
      </x:c>
      <x:c r="E1369">
        <x:f>ROUND($C1369*10*VLOOKUP($B1369,Sheet2!$J$5:$K$7,2,FALSE)*VLOOKUP(Sheet1!$A1369,Sheet2!$B$5:$H$29,4,FALSE),0)</x:f>
        <x:v>346</x:v>
      </x:c>
      <x:c r="F1369">
        <x:f>ROUND($C1369*10*VLOOKUP($B1369,Sheet2!$J$5:$K$7,2,FALSE)*VLOOKUP(Sheet1!$A1369,Sheet2!$B$5:$H$29,5,FALSE),0)</x:f>
        <x:v>92</x:v>
      </x:c>
      <x:c r="G1369">
        <x:f>ROUND($C1369*10*VLOOKUP($B1369,Sheet2!$J$5:$K$7,2,FALSE)*VLOOKUP(Sheet1!$A1369,Sheet2!$B$5:$H$29,6,FALSE),0)</x:f>
        <x:v>0</x:v>
      </x:c>
      <x:c r="H1369">
        <x:f>ROUND($C1369*10*VLOOKUP($B1369,Sheet2!$J$5:$K$7,2,FALSE)*VLOOKUP(Sheet1!$A1369,Sheet2!$B$5:$H$29,7,FALSE),0)</x:f>
        <x:v>0</x:v>
      </x:c>
      <x:c r="I1369">
        <x:f t="shared" si="22"/>
        <x:v>43020</x:v>
      </x:c>
    </x:row>
    <x:row r="1370" spans="1:9" x14ac:dyDescent="0.15">
      <x:c r="A1370">
        <x:v>54053</x:v>
      </x:c>
      <x:c r="B1370">
        <x:v>2</x:v>
      </x:c>
      <x:c r="C1370">
        <x:v>49</x:v>
      </x:c>
      <x:c r="D1370">
        <x:f>ROUND($C1370*10*VLOOKUP($B1370,Sheet2!$J$5:$K$7,2,FALSE)*VLOOKUP(Sheet1!$A1370,Sheet2!$B$5:$H$29,3,FALSE),0)</x:f>
        <x:v>0</x:v>
      </x:c>
      <x:c r="E1370">
        <x:f>ROUND($C1370*10*VLOOKUP($B1370,Sheet2!$J$5:$K$7,2,FALSE)*VLOOKUP(Sheet1!$A1370,Sheet2!$B$5:$H$29,4,FALSE),0)</x:f>
        <x:v>353</x:v>
      </x:c>
      <x:c r="F1370">
        <x:f>ROUND($C1370*10*VLOOKUP($B1370,Sheet2!$J$5:$K$7,2,FALSE)*VLOOKUP(Sheet1!$A1370,Sheet2!$B$5:$H$29,5,FALSE),0)</x:f>
        <x:v>94</x:v>
      </x:c>
      <x:c r="G1370">
        <x:f>ROUND($C1370*10*VLOOKUP($B1370,Sheet2!$J$5:$K$7,2,FALSE)*VLOOKUP(Sheet1!$A1370,Sheet2!$B$5:$H$29,6,FALSE),0)</x:f>
        <x:v>0</x:v>
      </x:c>
      <x:c r="H1370">
        <x:f>ROUND($C1370*10*VLOOKUP($B1370,Sheet2!$J$5:$K$7,2,FALSE)*VLOOKUP(Sheet1!$A1370,Sheet2!$B$5:$H$29,7,FALSE),0)</x:f>
        <x:v>0</x:v>
      </x:c>
      <x:c r="I1370">
        <x:f t="shared" si="22"/>
        <x:v>44680</x:v>
      </x:c>
    </x:row>
    <x:row r="1371" spans="1:9" x14ac:dyDescent="0.15">
      <x:c r="A1371">
        <x:v>54053</x:v>
      </x:c>
      <x:c r="B1371">
        <x:v>2</x:v>
      </x:c>
      <x:c r="C1371">
        <x:v>50</x:v>
      </x:c>
      <x:c r="D1371">
        <x:f>ROUND($C1371*10*VLOOKUP($B1371,Sheet2!$J$5:$K$7,2,FALSE)*VLOOKUP(Sheet1!$A1371,Sheet2!$B$5:$H$29,3,FALSE),0)</x:f>
        <x:v>0</x:v>
      </x:c>
      <x:c r="E1371">
        <x:f>ROUND($C1371*10*VLOOKUP($B1371,Sheet2!$J$5:$K$7,2,FALSE)*VLOOKUP(Sheet1!$A1371,Sheet2!$B$5:$H$29,4,FALSE),0)</x:f>
        <x:v>360</x:v>
      </x:c>
      <x:c r="F1371">
        <x:f>ROUND($C1371*10*VLOOKUP($B1371,Sheet2!$J$5:$K$7,2,FALSE)*VLOOKUP(Sheet1!$A1371,Sheet2!$B$5:$H$29,5,FALSE),0)</x:f>
        <x:v>96</x:v>
      </x:c>
      <x:c r="G1371">
        <x:f>ROUND($C1371*10*VLOOKUP($B1371,Sheet2!$J$5:$K$7,2,FALSE)*VLOOKUP(Sheet1!$A1371,Sheet2!$B$5:$H$29,6,FALSE),0)</x:f>
        <x:v>0</x:v>
      </x:c>
      <x:c r="H1371">
        <x:f>ROUND($C1371*10*VLOOKUP($B1371,Sheet2!$J$5:$K$7,2,FALSE)*VLOOKUP(Sheet1!$A1371,Sheet2!$B$5:$H$29,7,FALSE),0)</x:f>
        <x:v>0</x:v>
      </x:c>
      <x:c r="I1371">
        <x:f t="shared" si="22"/>
        <x:v>46360</x:v>
      </x:c>
    </x:row>
    <x:row r="1372" spans="1:9" x14ac:dyDescent="0.15">
      <x:c r="A1372">
        <x:v>54053</x:v>
      </x:c>
      <x:c r="B1372">
        <x:v>2</x:v>
      </x:c>
      <x:c r="C1372">
        <x:v>51</x:v>
      </x:c>
      <x:c r="D1372">
        <x:f>ROUND($C1372*10*VLOOKUP($B1372,Sheet2!$J$5:$K$7,2,FALSE)*VLOOKUP(Sheet1!$A1372,Sheet2!$B$5:$H$29,3,FALSE),0)</x:f>
        <x:v>0</x:v>
      </x:c>
      <x:c r="E1372">
        <x:f>ROUND($C1372*10*VLOOKUP($B1372,Sheet2!$J$5:$K$7,2,FALSE)*VLOOKUP(Sheet1!$A1372,Sheet2!$B$5:$H$29,4,FALSE),0)</x:f>
        <x:v>367</x:v>
      </x:c>
      <x:c r="F1372">
        <x:f>ROUND($C1372*10*VLOOKUP($B1372,Sheet2!$J$5:$K$7,2,FALSE)*VLOOKUP(Sheet1!$A1372,Sheet2!$B$5:$H$29,5,FALSE),0)</x:f>
        <x:v>98</x:v>
      </x:c>
      <x:c r="G1372">
        <x:f>ROUND($C1372*10*VLOOKUP($B1372,Sheet2!$J$5:$K$7,2,FALSE)*VLOOKUP(Sheet1!$A1372,Sheet2!$B$5:$H$29,6,FALSE),0)</x:f>
        <x:v>0</x:v>
      </x:c>
      <x:c r="H1372">
        <x:f>ROUND($C1372*10*VLOOKUP($B1372,Sheet2!$J$5:$K$7,2,FALSE)*VLOOKUP(Sheet1!$A1372,Sheet2!$B$5:$H$29,7,FALSE),0)</x:f>
        <x:v>0</x:v>
      </x:c>
      <x:c r="I1372">
        <x:f t="shared" si="22"/>
        <x:v>48080</x:v>
      </x:c>
    </x:row>
    <x:row r="1373" spans="1:9" x14ac:dyDescent="0.15">
      <x:c r="A1373">
        <x:v>54053</x:v>
      </x:c>
      <x:c r="B1373">
        <x:v>2</x:v>
      </x:c>
      <x:c r="C1373">
        <x:v>52</x:v>
      </x:c>
      <x:c r="D1373">
        <x:f>ROUND($C1373*10*VLOOKUP($B1373,Sheet2!$J$5:$K$7,2,FALSE)*VLOOKUP(Sheet1!$A1373,Sheet2!$B$5:$H$29,3,FALSE),0)</x:f>
        <x:v>0</x:v>
      </x:c>
      <x:c r="E1373">
        <x:f>ROUND($C1373*10*VLOOKUP($B1373,Sheet2!$J$5:$K$7,2,FALSE)*VLOOKUP(Sheet1!$A1373,Sheet2!$B$5:$H$29,4,FALSE),0)</x:f>
        <x:v>374</x:v>
      </x:c>
      <x:c r="F1373">
        <x:f>ROUND($C1373*10*VLOOKUP($B1373,Sheet2!$J$5:$K$7,2,FALSE)*VLOOKUP(Sheet1!$A1373,Sheet2!$B$5:$H$29,5,FALSE),0)</x:f>
        <x:v>100</x:v>
      </x:c>
      <x:c r="G1373">
        <x:f>ROUND($C1373*10*VLOOKUP($B1373,Sheet2!$J$5:$K$7,2,FALSE)*VLOOKUP(Sheet1!$A1373,Sheet2!$B$5:$H$29,6,FALSE),0)</x:f>
        <x:v>0</x:v>
      </x:c>
      <x:c r="H1373">
        <x:f>ROUND($C1373*10*VLOOKUP($B1373,Sheet2!$J$5:$K$7,2,FALSE)*VLOOKUP(Sheet1!$A1373,Sheet2!$B$5:$H$29,7,FALSE),0)</x:f>
        <x:v>0</x:v>
      </x:c>
      <x:c r="I1373">
        <x:f t="shared" si="22"/>
        <x:v>49820</x:v>
      </x:c>
    </x:row>
    <x:row r="1374" spans="1:9" x14ac:dyDescent="0.15">
      <x:c r="A1374">
        <x:v>54053</x:v>
      </x:c>
      <x:c r="B1374">
        <x:v>2</x:v>
      </x:c>
      <x:c r="C1374">
        <x:v>53</x:v>
      </x:c>
      <x:c r="D1374">
        <x:f>ROUND($C1374*10*VLOOKUP($B1374,Sheet2!$J$5:$K$7,2,FALSE)*VLOOKUP(Sheet1!$A1374,Sheet2!$B$5:$H$29,3,FALSE),0)</x:f>
        <x:v>0</x:v>
      </x:c>
      <x:c r="E1374">
        <x:f>ROUND($C1374*10*VLOOKUP($B1374,Sheet2!$J$5:$K$7,2,FALSE)*VLOOKUP(Sheet1!$A1374,Sheet2!$B$5:$H$29,4,FALSE),0)</x:f>
        <x:v>382</x:v>
      </x:c>
      <x:c r="F1374">
        <x:f>ROUND($C1374*10*VLOOKUP($B1374,Sheet2!$J$5:$K$7,2,FALSE)*VLOOKUP(Sheet1!$A1374,Sheet2!$B$5:$H$29,5,FALSE),0)</x:f>
        <x:v>102</x:v>
      </x:c>
      <x:c r="G1374">
        <x:f>ROUND($C1374*10*VLOOKUP($B1374,Sheet2!$J$5:$K$7,2,FALSE)*VLOOKUP(Sheet1!$A1374,Sheet2!$B$5:$H$29,6,FALSE),0)</x:f>
        <x:v>0</x:v>
      </x:c>
      <x:c r="H1374">
        <x:f>ROUND($C1374*10*VLOOKUP($B1374,Sheet2!$J$5:$K$7,2,FALSE)*VLOOKUP(Sheet1!$A1374,Sheet2!$B$5:$H$29,7,FALSE),0)</x:f>
        <x:v>0</x:v>
      </x:c>
      <x:c r="I1374">
        <x:f t="shared" si="22"/>
        <x:v>51590</x:v>
      </x:c>
    </x:row>
    <x:row r="1375" spans="1:9" x14ac:dyDescent="0.15">
      <x:c r="A1375">
        <x:v>54053</x:v>
      </x:c>
      <x:c r="B1375">
        <x:v>2</x:v>
      </x:c>
      <x:c r="C1375">
        <x:v>54</x:v>
      </x:c>
      <x:c r="D1375">
        <x:f>ROUND($C1375*10*VLOOKUP($B1375,Sheet2!$J$5:$K$7,2,FALSE)*VLOOKUP(Sheet1!$A1375,Sheet2!$B$5:$H$29,3,FALSE),0)</x:f>
        <x:v>0</x:v>
      </x:c>
      <x:c r="E1375">
        <x:f>ROUND($C1375*10*VLOOKUP($B1375,Sheet2!$J$5:$K$7,2,FALSE)*VLOOKUP(Sheet1!$A1375,Sheet2!$B$5:$H$29,4,FALSE),0)</x:f>
        <x:v>389</x:v>
      </x:c>
      <x:c r="F1375">
        <x:f>ROUND($C1375*10*VLOOKUP($B1375,Sheet2!$J$5:$K$7,2,FALSE)*VLOOKUP(Sheet1!$A1375,Sheet2!$B$5:$H$29,5,FALSE),0)</x:f>
        <x:v>104</x:v>
      </x:c>
      <x:c r="G1375">
        <x:f>ROUND($C1375*10*VLOOKUP($B1375,Sheet2!$J$5:$K$7,2,FALSE)*VLOOKUP(Sheet1!$A1375,Sheet2!$B$5:$H$29,6,FALSE),0)</x:f>
        <x:v>0</x:v>
      </x:c>
      <x:c r="H1375">
        <x:f>ROUND($C1375*10*VLOOKUP($B1375,Sheet2!$J$5:$K$7,2,FALSE)*VLOOKUP(Sheet1!$A1375,Sheet2!$B$5:$H$29,7,FALSE),0)</x:f>
        <x:v>0</x:v>
      </x:c>
      <x:c r="I1375">
        <x:f t="shared" si="22"/>
        <x:v>53390</x:v>
      </x:c>
    </x:row>
    <x:row r="1376" spans="1:9" x14ac:dyDescent="0.15">
      <x:c r="A1376">
        <x:v>54053</x:v>
      </x:c>
      <x:c r="B1376">
        <x:v>2</x:v>
      </x:c>
      <x:c r="C1376">
        <x:v>55</x:v>
      </x:c>
      <x:c r="D1376">
        <x:f>ROUND($C1376*10*VLOOKUP($B1376,Sheet2!$J$5:$K$7,2,FALSE)*VLOOKUP(Sheet1!$A1376,Sheet2!$B$5:$H$29,3,FALSE),0)</x:f>
        <x:v>0</x:v>
      </x:c>
      <x:c r="E1376">
        <x:f>ROUND($C1376*10*VLOOKUP($B1376,Sheet2!$J$5:$K$7,2,FALSE)*VLOOKUP(Sheet1!$A1376,Sheet2!$B$5:$H$29,4,FALSE),0)</x:f>
        <x:v>396</x:v>
      </x:c>
      <x:c r="F1376">
        <x:f>ROUND($C1376*10*VLOOKUP($B1376,Sheet2!$J$5:$K$7,2,FALSE)*VLOOKUP(Sheet1!$A1376,Sheet2!$B$5:$H$29,5,FALSE),0)</x:f>
        <x:v>106</x:v>
      </x:c>
      <x:c r="G1376">
        <x:f>ROUND($C1376*10*VLOOKUP($B1376,Sheet2!$J$5:$K$7,2,FALSE)*VLOOKUP(Sheet1!$A1376,Sheet2!$B$5:$H$29,6,FALSE),0)</x:f>
        <x:v>0</x:v>
      </x:c>
      <x:c r="H1376">
        <x:f>ROUND($C1376*10*VLOOKUP($B1376,Sheet2!$J$5:$K$7,2,FALSE)*VLOOKUP(Sheet1!$A1376,Sheet2!$B$5:$H$29,7,FALSE),0)</x:f>
        <x:v>0</x:v>
      </x:c>
      <x:c r="I1376">
        <x:f t="shared" si="22"/>
        <x:v>55210</x:v>
      </x:c>
    </x:row>
    <x:row r="1377" spans="1:9" x14ac:dyDescent="0.15">
      <x:c r="A1377">
        <x:v>54053</x:v>
      </x:c>
      <x:c r="B1377">
        <x:v>2</x:v>
      </x:c>
      <x:c r="C1377">
        <x:v>56</x:v>
      </x:c>
      <x:c r="D1377">
        <x:f>ROUND($C1377*10*VLOOKUP($B1377,Sheet2!$J$5:$K$7,2,FALSE)*VLOOKUP(Sheet1!$A1377,Sheet2!$B$5:$H$29,3,FALSE),0)</x:f>
        <x:v>0</x:v>
      </x:c>
      <x:c r="E1377">
        <x:f>ROUND($C1377*10*VLOOKUP($B1377,Sheet2!$J$5:$K$7,2,FALSE)*VLOOKUP(Sheet1!$A1377,Sheet2!$B$5:$H$29,4,FALSE),0)</x:f>
        <x:v>403</x:v>
      </x:c>
      <x:c r="F1377">
        <x:f>ROUND($C1377*10*VLOOKUP($B1377,Sheet2!$J$5:$K$7,2,FALSE)*VLOOKUP(Sheet1!$A1377,Sheet2!$B$5:$H$29,5,FALSE),0)</x:f>
        <x:v>108</x:v>
      </x:c>
      <x:c r="G1377">
        <x:f>ROUND($C1377*10*VLOOKUP($B1377,Sheet2!$J$5:$K$7,2,FALSE)*VLOOKUP(Sheet1!$A1377,Sheet2!$B$5:$H$29,6,FALSE),0)</x:f>
        <x:v>0</x:v>
      </x:c>
      <x:c r="H1377">
        <x:f>ROUND($C1377*10*VLOOKUP($B1377,Sheet2!$J$5:$K$7,2,FALSE)*VLOOKUP(Sheet1!$A1377,Sheet2!$B$5:$H$29,7,FALSE),0)</x:f>
        <x:v>0</x:v>
      </x:c>
      <x:c r="I1377">
        <x:f t="shared" si="22"/>
        <x:v>57060</x:v>
      </x:c>
    </x:row>
    <x:row r="1378" spans="1:9" x14ac:dyDescent="0.15">
      <x:c r="A1378">
        <x:v>54053</x:v>
      </x:c>
      <x:c r="B1378">
        <x:v>2</x:v>
      </x:c>
      <x:c r="C1378">
        <x:v>57</x:v>
      </x:c>
      <x:c r="D1378">
        <x:f>ROUND($C1378*10*VLOOKUP($B1378,Sheet2!$J$5:$K$7,2,FALSE)*VLOOKUP(Sheet1!$A1378,Sheet2!$B$5:$H$29,3,FALSE),0)</x:f>
        <x:v>0</x:v>
      </x:c>
      <x:c r="E1378">
        <x:f>ROUND($C1378*10*VLOOKUP($B1378,Sheet2!$J$5:$K$7,2,FALSE)*VLOOKUP(Sheet1!$A1378,Sheet2!$B$5:$H$29,4,FALSE),0)</x:f>
        <x:v>410</x:v>
      </x:c>
      <x:c r="F1378">
        <x:f>ROUND($C1378*10*VLOOKUP($B1378,Sheet2!$J$5:$K$7,2,FALSE)*VLOOKUP(Sheet1!$A1378,Sheet2!$B$5:$H$29,5,FALSE),0)</x:f>
        <x:v>109</x:v>
      </x:c>
      <x:c r="G1378">
        <x:f>ROUND($C1378*10*VLOOKUP($B1378,Sheet2!$J$5:$K$7,2,FALSE)*VLOOKUP(Sheet1!$A1378,Sheet2!$B$5:$H$29,6,FALSE),0)</x:f>
        <x:v>0</x:v>
      </x:c>
      <x:c r="H1378">
        <x:f>ROUND($C1378*10*VLOOKUP($B1378,Sheet2!$J$5:$K$7,2,FALSE)*VLOOKUP(Sheet1!$A1378,Sheet2!$B$5:$H$29,7,FALSE),0)</x:f>
        <x:v>0</x:v>
      </x:c>
      <x:c r="I1378">
        <x:f t="shared" si="22"/>
        <x:v>58940</x:v>
      </x:c>
    </x:row>
    <x:row r="1379" spans="1:9" x14ac:dyDescent="0.15">
      <x:c r="A1379">
        <x:v>54053</x:v>
      </x:c>
      <x:c r="B1379">
        <x:v>2</x:v>
      </x:c>
      <x:c r="C1379">
        <x:v>58</x:v>
      </x:c>
      <x:c r="D1379">
        <x:f>ROUND($C1379*10*VLOOKUP($B1379,Sheet2!$J$5:$K$7,2,FALSE)*VLOOKUP(Sheet1!$A1379,Sheet2!$B$5:$H$29,3,FALSE),0)</x:f>
        <x:v>0</x:v>
      </x:c>
      <x:c r="E1379">
        <x:f>ROUND($C1379*10*VLOOKUP($B1379,Sheet2!$J$5:$K$7,2,FALSE)*VLOOKUP(Sheet1!$A1379,Sheet2!$B$5:$H$29,4,FALSE),0)</x:f>
        <x:v>418</x:v>
      </x:c>
      <x:c r="F1379">
        <x:f>ROUND($C1379*10*VLOOKUP($B1379,Sheet2!$J$5:$K$7,2,FALSE)*VLOOKUP(Sheet1!$A1379,Sheet2!$B$5:$H$29,5,FALSE),0)</x:f>
        <x:v>111</x:v>
      </x:c>
      <x:c r="G1379">
        <x:f>ROUND($C1379*10*VLOOKUP($B1379,Sheet2!$J$5:$K$7,2,FALSE)*VLOOKUP(Sheet1!$A1379,Sheet2!$B$5:$H$29,6,FALSE),0)</x:f>
        <x:v>0</x:v>
      </x:c>
      <x:c r="H1379">
        <x:f>ROUND($C1379*10*VLOOKUP($B1379,Sheet2!$J$5:$K$7,2,FALSE)*VLOOKUP(Sheet1!$A1379,Sheet2!$B$5:$H$29,7,FALSE),0)</x:f>
        <x:v>0</x:v>
      </x:c>
      <x:c r="I1379">
        <x:f t="shared" si="22"/>
        <x:v>60850</x:v>
      </x:c>
    </x:row>
    <x:row r="1380" spans="1:9" x14ac:dyDescent="0.15">
      <x:c r="A1380">
        <x:v>54053</x:v>
      </x:c>
      <x:c r="B1380">
        <x:v>2</x:v>
      </x:c>
      <x:c r="C1380">
        <x:v>59</x:v>
      </x:c>
      <x:c r="D1380">
        <x:f>ROUND($C1380*10*VLOOKUP($B1380,Sheet2!$J$5:$K$7,2,FALSE)*VLOOKUP(Sheet1!$A1380,Sheet2!$B$5:$H$29,3,FALSE),0)</x:f>
        <x:v>0</x:v>
      </x:c>
      <x:c r="E1380">
        <x:f>ROUND($C1380*10*VLOOKUP($B1380,Sheet2!$J$5:$K$7,2,FALSE)*VLOOKUP(Sheet1!$A1380,Sheet2!$B$5:$H$29,4,FALSE),0)</x:f>
        <x:v>425</x:v>
      </x:c>
      <x:c r="F1380">
        <x:f>ROUND($C1380*10*VLOOKUP($B1380,Sheet2!$J$5:$K$7,2,FALSE)*VLOOKUP(Sheet1!$A1380,Sheet2!$B$5:$H$29,5,FALSE),0)</x:f>
        <x:v>113</x:v>
      </x:c>
      <x:c r="G1380">
        <x:f>ROUND($C1380*10*VLOOKUP($B1380,Sheet2!$J$5:$K$7,2,FALSE)*VLOOKUP(Sheet1!$A1380,Sheet2!$B$5:$H$29,6,FALSE),0)</x:f>
        <x:v>0</x:v>
      </x:c>
      <x:c r="H1380">
        <x:f>ROUND($C1380*10*VLOOKUP($B1380,Sheet2!$J$5:$K$7,2,FALSE)*VLOOKUP(Sheet1!$A1380,Sheet2!$B$5:$H$29,7,FALSE),0)</x:f>
        <x:v>0</x:v>
      </x:c>
      <x:c r="I1380">
        <x:f t="shared" si="22"/>
        <x:v>62780</x:v>
      </x:c>
    </x:row>
    <x:row r="1381" spans="1:9" x14ac:dyDescent="0.15">
      <x:c r="A1381">
        <x:v>54053</x:v>
      </x:c>
      <x:c r="B1381">
        <x:v>2</x:v>
      </x:c>
      <x:c r="C1381">
        <x:v>60</x:v>
      </x:c>
      <x:c r="D1381">
        <x:f>ROUND($C1381*10*VLOOKUP($B1381,Sheet2!$J$5:$K$7,2,FALSE)*VLOOKUP(Sheet1!$A1381,Sheet2!$B$5:$H$29,3,FALSE),0)</x:f>
        <x:v>0</x:v>
      </x:c>
      <x:c r="E1381">
        <x:f>ROUND($C1381*10*VLOOKUP($B1381,Sheet2!$J$5:$K$7,2,FALSE)*VLOOKUP(Sheet1!$A1381,Sheet2!$B$5:$H$29,4,FALSE),0)</x:f>
        <x:v>432</x:v>
      </x:c>
      <x:c r="F1381">
        <x:f>ROUND($C1381*10*VLOOKUP($B1381,Sheet2!$J$5:$K$7,2,FALSE)*VLOOKUP(Sheet1!$A1381,Sheet2!$B$5:$H$29,5,FALSE),0)</x:f>
        <x:v>115</x:v>
      </x:c>
      <x:c r="G1381">
        <x:f>ROUND($C1381*10*VLOOKUP($B1381,Sheet2!$J$5:$K$7,2,FALSE)*VLOOKUP(Sheet1!$A1381,Sheet2!$B$5:$H$29,6,FALSE),0)</x:f>
        <x:v>0</x:v>
      </x:c>
      <x:c r="H1381">
        <x:f>ROUND($C1381*10*VLOOKUP($B1381,Sheet2!$J$5:$K$7,2,FALSE)*VLOOKUP(Sheet1!$A1381,Sheet2!$B$5:$H$29,7,FALSE),0)</x:f>
        <x:v>0</x:v>
      </x:c>
      <x:c r="I1381">
        <x:f t="shared" si="22"/>
        <x:v>64740</x:v>
      </x:c>
    </x:row>
    <x:row r="1382" spans="1:9" x14ac:dyDescent="0.15">
      <x:c r="A1382">
        <x:v>54053</x:v>
      </x:c>
      <x:c r="B1382">
        <x:v>3</x:v>
      </x:c>
      <x:c r="C1382">
        <x:v>1</x:v>
      </x:c>
      <x:c r="D1382">
        <x:f>ROUND($C1382*10*VLOOKUP($B1382,Sheet2!$J$5:$K$7,2,FALSE)*VLOOKUP(Sheet1!$A1382,Sheet2!$B$5:$H$29,3,FALSE),0)</x:f>
        <x:v>0</x:v>
      </x:c>
      <x:c r="E1382">
        <x:f>ROUND($C1382*10*VLOOKUP($B1382,Sheet2!$J$5:$K$7,2,FALSE)*VLOOKUP(Sheet1!$A1382,Sheet2!$B$5:$H$29,4,FALSE),0)</x:f>
        <x:v>12</x:v>
      </x:c>
      <x:c r="F1382">
        <x:f>ROUND($C1382*10*VLOOKUP($B1382,Sheet2!$J$5:$K$7,2,FALSE)*VLOOKUP(Sheet1!$A1382,Sheet2!$B$5:$H$29,5,FALSE),0)</x:f>
        <x:v>3</x:v>
      </x:c>
      <x:c r="G1382">
        <x:f>ROUND($C1382*10*VLOOKUP($B1382,Sheet2!$J$5:$K$7,2,FALSE)*VLOOKUP(Sheet1!$A1382,Sheet2!$B$5:$H$29,6,FALSE),0)</x:f>
        <x:v>0</x:v>
      </x:c>
      <x:c r="H1382">
        <x:f>ROUND($C1382*10*VLOOKUP($B1382,Sheet2!$J$5:$K$7,2,FALSE)*VLOOKUP(Sheet1!$A1382,Sheet2!$B$5:$H$29,7,FALSE),0)</x:f>
        <x:v>0</x:v>
      </x:c>
      <x:c r="I1382">
        <x:f t="shared" ref="I1382:I1441" si="23">ROUND(1.2*10*10.5*(C1382-1)^1.8+90,-1)</x:f>
        <x:v>90</x:v>
      </x:c>
    </x:row>
    <x:row r="1383" spans="1:9" x14ac:dyDescent="0.15">
      <x:c r="A1383">
        <x:v>54053</x:v>
      </x:c>
      <x:c r="B1383">
        <x:v>3</x:v>
      </x:c>
      <x:c r="C1383">
        <x:v>2</x:v>
      </x:c>
      <x:c r="D1383">
        <x:f>ROUND($C1383*10*VLOOKUP($B1383,Sheet2!$J$5:$K$7,2,FALSE)*VLOOKUP(Sheet1!$A1383,Sheet2!$B$5:$H$29,3,FALSE),0)</x:f>
        <x:v>0</x:v>
      </x:c>
      <x:c r="E1383">
        <x:f>ROUND($C1383*10*VLOOKUP($B1383,Sheet2!$J$5:$K$7,2,FALSE)*VLOOKUP(Sheet1!$A1383,Sheet2!$B$5:$H$29,4,FALSE),0)</x:f>
        <x:v>24</x:v>
      </x:c>
      <x:c r="F1383">
        <x:f>ROUND($C1383*10*VLOOKUP($B1383,Sheet2!$J$5:$K$7,2,FALSE)*VLOOKUP(Sheet1!$A1383,Sheet2!$B$5:$H$29,5,FALSE),0)</x:f>
        <x:v>6</x:v>
      </x:c>
      <x:c r="G1383">
        <x:f>ROUND($C1383*10*VLOOKUP($B1383,Sheet2!$J$5:$K$7,2,FALSE)*VLOOKUP(Sheet1!$A1383,Sheet2!$B$5:$H$29,6,FALSE),0)</x:f>
        <x:v>0</x:v>
      </x:c>
      <x:c r="H1383">
        <x:f>ROUND($C1383*10*VLOOKUP($B1383,Sheet2!$J$5:$K$7,2,FALSE)*VLOOKUP(Sheet1!$A1383,Sheet2!$B$5:$H$29,7,FALSE),0)</x:f>
        <x:v>0</x:v>
      </x:c>
      <x:c r="I1383">
        <x:f t="shared" si="23"/>
        <x:v>220</x:v>
      </x:c>
    </x:row>
    <x:row r="1384" spans="1:9" x14ac:dyDescent="0.15">
      <x:c r="A1384">
        <x:v>54053</x:v>
      </x:c>
      <x:c r="B1384">
        <x:v>3</x:v>
      </x:c>
      <x:c r="C1384">
        <x:v>3</x:v>
      </x:c>
      <x:c r="D1384">
        <x:f>ROUND($C1384*10*VLOOKUP($B1384,Sheet2!$J$5:$K$7,2,FALSE)*VLOOKUP(Sheet1!$A1384,Sheet2!$B$5:$H$29,3,FALSE),0)</x:f>
        <x:v>0</x:v>
      </x:c>
      <x:c r="E1384">
        <x:f>ROUND($C1384*10*VLOOKUP($B1384,Sheet2!$J$5:$K$7,2,FALSE)*VLOOKUP(Sheet1!$A1384,Sheet2!$B$5:$H$29,4,FALSE),0)</x:f>
        <x:v>36</x:v>
      </x:c>
      <x:c r="F1384">
        <x:f>ROUND($C1384*10*VLOOKUP($B1384,Sheet2!$J$5:$K$7,2,FALSE)*VLOOKUP(Sheet1!$A1384,Sheet2!$B$5:$H$29,5,FALSE),0)</x:f>
        <x:v>10</x:v>
      </x:c>
      <x:c r="G1384">
        <x:f>ROUND($C1384*10*VLOOKUP($B1384,Sheet2!$J$5:$K$7,2,FALSE)*VLOOKUP(Sheet1!$A1384,Sheet2!$B$5:$H$29,6,FALSE),0)</x:f>
        <x:v>0</x:v>
      </x:c>
      <x:c r="H1384">
        <x:f>ROUND($C1384*10*VLOOKUP($B1384,Sheet2!$J$5:$K$7,2,FALSE)*VLOOKUP(Sheet1!$A1384,Sheet2!$B$5:$H$29,7,FALSE),0)</x:f>
        <x:v>0</x:v>
      </x:c>
      <x:c r="I1384">
        <x:f t="shared" si="23"/>
        <x:v>530</x:v>
      </x:c>
    </x:row>
    <x:row r="1385" spans="1:9" x14ac:dyDescent="0.15">
      <x:c r="A1385">
        <x:v>54053</x:v>
      </x:c>
      <x:c r="B1385">
        <x:v>3</x:v>
      </x:c>
      <x:c r="C1385">
        <x:v>4</x:v>
      </x:c>
      <x:c r="D1385">
        <x:f>ROUND($C1385*10*VLOOKUP($B1385,Sheet2!$J$5:$K$7,2,FALSE)*VLOOKUP(Sheet1!$A1385,Sheet2!$B$5:$H$29,3,FALSE),0)</x:f>
        <x:v>0</x:v>
      </x:c>
      <x:c r="E1385">
        <x:f>ROUND($C1385*10*VLOOKUP($B1385,Sheet2!$J$5:$K$7,2,FALSE)*VLOOKUP(Sheet1!$A1385,Sheet2!$B$5:$H$29,4,FALSE),0)</x:f>
        <x:v>48</x:v>
      </x:c>
      <x:c r="F1385">
        <x:f>ROUND($C1385*10*VLOOKUP($B1385,Sheet2!$J$5:$K$7,2,FALSE)*VLOOKUP(Sheet1!$A1385,Sheet2!$B$5:$H$29,5,FALSE),0)</x:f>
        <x:v>13</x:v>
      </x:c>
      <x:c r="G1385">
        <x:f>ROUND($C1385*10*VLOOKUP($B1385,Sheet2!$J$5:$K$7,2,FALSE)*VLOOKUP(Sheet1!$A1385,Sheet2!$B$5:$H$29,6,FALSE),0)</x:f>
        <x:v>0</x:v>
      </x:c>
      <x:c r="H1385">
        <x:f>ROUND($C1385*10*VLOOKUP($B1385,Sheet2!$J$5:$K$7,2,FALSE)*VLOOKUP(Sheet1!$A1385,Sheet2!$B$5:$H$29,7,FALSE),0)</x:f>
        <x:v>0</x:v>
      </x:c>
      <x:c r="I1385">
        <x:f t="shared" si="23"/>
        <x:v>1000</x:v>
      </x:c>
    </x:row>
    <x:row r="1386" spans="1:9" x14ac:dyDescent="0.15">
      <x:c r="A1386">
        <x:v>54053</x:v>
      </x:c>
      <x:c r="B1386">
        <x:v>3</x:v>
      </x:c>
      <x:c r="C1386">
        <x:v>5</x:v>
      </x:c>
      <x:c r="D1386">
        <x:f>ROUND($C1386*10*VLOOKUP($B1386,Sheet2!$J$5:$K$7,2,FALSE)*VLOOKUP(Sheet1!$A1386,Sheet2!$B$5:$H$29,3,FALSE),0)</x:f>
        <x:v>0</x:v>
      </x:c>
      <x:c r="E1386">
        <x:f>ROUND($C1386*10*VLOOKUP($B1386,Sheet2!$J$5:$K$7,2,FALSE)*VLOOKUP(Sheet1!$A1386,Sheet2!$B$5:$H$29,4,FALSE),0)</x:f>
        <x:v>60</x:v>
      </x:c>
      <x:c r="F1386">
        <x:f>ROUND($C1386*10*VLOOKUP($B1386,Sheet2!$J$5:$K$7,2,FALSE)*VLOOKUP(Sheet1!$A1386,Sheet2!$B$5:$H$29,5,FALSE),0)</x:f>
        <x:v>16</x:v>
      </x:c>
      <x:c r="G1386">
        <x:f>ROUND($C1386*10*VLOOKUP($B1386,Sheet2!$J$5:$K$7,2,FALSE)*VLOOKUP(Sheet1!$A1386,Sheet2!$B$5:$H$29,6,FALSE),0)</x:f>
        <x:v>0</x:v>
      </x:c>
      <x:c r="H1386">
        <x:f>ROUND($C1386*10*VLOOKUP($B1386,Sheet2!$J$5:$K$7,2,FALSE)*VLOOKUP(Sheet1!$A1386,Sheet2!$B$5:$H$29,7,FALSE),0)</x:f>
        <x:v>0</x:v>
      </x:c>
      <x:c r="I1386">
        <x:f t="shared" si="23"/>
        <x:v>1620</x:v>
      </x:c>
    </x:row>
    <x:row r="1387" spans="1:9" x14ac:dyDescent="0.15">
      <x:c r="A1387">
        <x:v>54053</x:v>
      </x:c>
      <x:c r="B1387">
        <x:v>3</x:v>
      </x:c>
      <x:c r="C1387">
        <x:v>6</x:v>
      </x:c>
      <x:c r="D1387">
        <x:f>ROUND($C1387*10*VLOOKUP($B1387,Sheet2!$J$5:$K$7,2,FALSE)*VLOOKUP(Sheet1!$A1387,Sheet2!$B$5:$H$29,3,FALSE),0)</x:f>
        <x:v>0</x:v>
      </x:c>
      <x:c r="E1387">
        <x:f>ROUND($C1387*10*VLOOKUP($B1387,Sheet2!$J$5:$K$7,2,FALSE)*VLOOKUP(Sheet1!$A1387,Sheet2!$B$5:$H$29,4,FALSE),0)</x:f>
        <x:v>72</x:v>
      </x:c>
      <x:c r="F1387">
        <x:f>ROUND($C1387*10*VLOOKUP($B1387,Sheet2!$J$5:$K$7,2,FALSE)*VLOOKUP(Sheet1!$A1387,Sheet2!$B$5:$H$29,5,FALSE),0)</x:f>
        <x:v>19</x:v>
      </x:c>
      <x:c r="G1387">
        <x:f>ROUND($C1387*10*VLOOKUP($B1387,Sheet2!$J$5:$K$7,2,FALSE)*VLOOKUP(Sheet1!$A1387,Sheet2!$B$5:$H$29,6,FALSE),0)</x:f>
        <x:v>0</x:v>
      </x:c>
      <x:c r="H1387">
        <x:f>ROUND($C1387*10*VLOOKUP($B1387,Sheet2!$J$5:$K$7,2,FALSE)*VLOOKUP(Sheet1!$A1387,Sheet2!$B$5:$H$29,7,FALSE),0)</x:f>
        <x:v>0</x:v>
      </x:c>
      <x:c r="I1387">
        <x:f t="shared" si="23"/>
        <x:v>2370</x:v>
      </x:c>
    </x:row>
    <x:row r="1388" spans="1:9" x14ac:dyDescent="0.15">
      <x:c r="A1388">
        <x:v>54053</x:v>
      </x:c>
      <x:c r="B1388">
        <x:v>3</x:v>
      </x:c>
      <x:c r="C1388">
        <x:v>7</x:v>
      </x:c>
      <x:c r="D1388">
        <x:f>ROUND($C1388*10*VLOOKUP($B1388,Sheet2!$J$5:$K$7,2,FALSE)*VLOOKUP(Sheet1!$A1388,Sheet2!$B$5:$H$29,3,FALSE),0)</x:f>
        <x:v>0</x:v>
      </x:c>
      <x:c r="E1388">
        <x:f>ROUND($C1388*10*VLOOKUP($B1388,Sheet2!$J$5:$K$7,2,FALSE)*VLOOKUP(Sheet1!$A1388,Sheet2!$B$5:$H$29,4,FALSE),0)</x:f>
        <x:v>84</x:v>
      </x:c>
      <x:c r="F1388">
        <x:f>ROUND($C1388*10*VLOOKUP($B1388,Sheet2!$J$5:$K$7,2,FALSE)*VLOOKUP(Sheet1!$A1388,Sheet2!$B$5:$H$29,5,FALSE),0)</x:f>
        <x:v>22</x:v>
      </x:c>
      <x:c r="G1388">
        <x:f>ROUND($C1388*10*VLOOKUP($B1388,Sheet2!$J$5:$K$7,2,FALSE)*VLOOKUP(Sheet1!$A1388,Sheet2!$B$5:$H$29,6,FALSE),0)</x:f>
        <x:v>0</x:v>
      </x:c>
      <x:c r="H1388">
        <x:f>ROUND($C1388*10*VLOOKUP($B1388,Sheet2!$J$5:$K$7,2,FALSE)*VLOOKUP(Sheet1!$A1388,Sheet2!$B$5:$H$29,7,FALSE),0)</x:f>
        <x:v>0</x:v>
      </x:c>
      <x:c r="I1388">
        <x:f t="shared" si="23"/>
        <x:v>3260</x:v>
      </x:c>
    </x:row>
    <x:row r="1389" spans="1:9" x14ac:dyDescent="0.15">
      <x:c r="A1389">
        <x:v>54053</x:v>
      </x:c>
      <x:c r="B1389">
        <x:v>3</x:v>
      </x:c>
      <x:c r="C1389">
        <x:v>8</x:v>
      </x:c>
      <x:c r="D1389">
        <x:f>ROUND($C1389*10*VLOOKUP($B1389,Sheet2!$J$5:$K$7,2,FALSE)*VLOOKUP(Sheet1!$A1389,Sheet2!$B$5:$H$29,3,FALSE),0)</x:f>
        <x:v>0</x:v>
      </x:c>
      <x:c r="E1389">
        <x:f>ROUND($C1389*10*VLOOKUP($B1389,Sheet2!$J$5:$K$7,2,FALSE)*VLOOKUP(Sheet1!$A1389,Sheet2!$B$5:$H$29,4,FALSE),0)</x:f>
        <x:v>96</x:v>
      </x:c>
      <x:c r="F1389">
        <x:f>ROUND($C1389*10*VLOOKUP($B1389,Sheet2!$J$5:$K$7,2,FALSE)*VLOOKUP(Sheet1!$A1389,Sheet2!$B$5:$H$29,5,FALSE),0)</x:f>
        <x:v>26</x:v>
      </x:c>
      <x:c r="G1389">
        <x:f>ROUND($C1389*10*VLOOKUP($B1389,Sheet2!$J$5:$K$7,2,FALSE)*VLOOKUP(Sheet1!$A1389,Sheet2!$B$5:$H$29,6,FALSE),0)</x:f>
        <x:v>0</x:v>
      </x:c>
      <x:c r="H1389">
        <x:f>ROUND($C1389*10*VLOOKUP($B1389,Sheet2!$J$5:$K$7,2,FALSE)*VLOOKUP(Sheet1!$A1389,Sheet2!$B$5:$H$29,7,FALSE),0)</x:f>
        <x:v>0</x:v>
      </x:c>
      <x:c r="I1389">
        <x:f t="shared" si="23"/>
        <x:v>4270</x:v>
      </x:c>
    </x:row>
    <x:row r="1390" spans="1:9" x14ac:dyDescent="0.15">
      <x:c r="A1390">
        <x:v>54053</x:v>
      </x:c>
      <x:c r="B1390">
        <x:v>3</x:v>
      </x:c>
      <x:c r="C1390">
        <x:v>9</x:v>
      </x:c>
      <x:c r="D1390">
        <x:f>ROUND($C1390*10*VLOOKUP($B1390,Sheet2!$J$5:$K$7,2,FALSE)*VLOOKUP(Sheet1!$A1390,Sheet2!$B$5:$H$29,3,FALSE),0)</x:f>
        <x:v>0</x:v>
      </x:c>
      <x:c r="E1390">
        <x:f>ROUND($C1390*10*VLOOKUP($B1390,Sheet2!$J$5:$K$7,2,FALSE)*VLOOKUP(Sheet1!$A1390,Sheet2!$B$5:$H$29,4,FALSE),0)</x:f>
        <x:v>108</x:v>
      </x:c>
      <x:c r="F1390">
        <x:f>ROUND($C1390*10*VLOOKUP($B1390,Sheet2!$J$5:$K$7,2,FALSE)*VLOOKUP(Sheet1!$A1390,Sheet2!$B$5:$H$29,5,FALSE),0)</x:f>
        <x:v>29</x:v>
      </x:c>
      <x:c r="G1390">
        <x:f>ROUND($C1390*10*VLOOKUP($B1390,Sheet2!$J$5:$K$7,2,FALSE)*VLOOKUP(Sheet1!$A1390,Sheet2!$B$5:$H$29,6,FALSE),0)</x:f>
        <x:v>0</x:v>
      </x:c>
      <x:c r="H1390">
        <x:f>ROUND($C1390*10*VLOOKUP($B1390,Sheet2!$J$5:$K$7,2,FALSE)*VLOOKUP(Sheet1!$A1390,Sheet2!$B$5:$H$29,7,FALSE),0)</x:f>
        <x:v>0</x:v>
      </x:c>
      <x:c r="I1390">
        <x:f t="shared" si="23"/>
        <x:v>5410</x:v>
      </x:c>
    </x:row>
    <x:row r="1391" spans="1:9" x14ac:dyDescent="0.15">
      <x:c r="A1391">
        <x:v>54053</x:v>
      </x:c>
      <x:c r="B1391">
        <x:v>3</x:v>
      </x:c>
      <x:c r="C1391">
        <x:v>10</x:v>
      </x:c>
      <x:c r="D1391">
        <x:f>ROUND($C1391*10*VLOOKUP($B1391,Sheet2!$J$5:$K$7,2,FALSE)*VLOOKUP(Sheet1!$A1391,Sheet2!$B$5:$H$29,3,FALSE),0)</x:f>
        <x:v>0</x:v>
      </x:c>
      <x:c r="E1391">
        <x:f>ROUND($C1391*10*VLOOKUP($B1391,Sheet2!$J$5:$K$7,2,FALSE)*VLOOKUP(Sheet1!$A1391,Sheet2!$B$5:$H$29,4,FALSE),0)</x:f>
        <x:v>120</x:v>
      </x:c>
      <x:c r="F1391">
        <x:f>ROUND($C1391*10*VLOOKUP($B1391,Sheet2!$J$5:$K$7,2,FALSE)*VLOOKUP(Sheet1!$A1391,Sheet2!$B$5:$H$29,5,FALSE),0)</x:f>
        <x:v>32</x:v>
      </x:c>
      <x:c r="G1391">
        <x:f>ROUND($C1391*10*VLOOKUP($B1391,Sheet2!$J$5:$K$7,2,FALSE)*VLOOKUP(Sheet1!$A1391,Sheet2!$B$5:$H$29,6,FALSE),0)</x:f>
        <x:v>0</x:v>
      </x:c>
      <x:c r="H1391">
        <x:f>ROUND($C1391*10*VLOOKUP($B1391,Sheet2!$J$5:$K$7,2,FALSE)*VLOOKUP(Sheet1!$A1391,Sheet2!$B$5:$H$29,7,FALSE),0)</x:f>
        <x:v>0</x:v>
      </x:c>
      <x:c r="I1391">
        <x:f t="shared" si="23"/>
        <x:v>6670</x:v>
      </x:c>
    </x:row>
    <x:row r="1392" spans="1:9" x14ac:dyDescent="0.15">
      <x:c r="A1392">
        <x:v>54053</x:v>
      </x:c>
      <x:c r="B1392">
        <x:v>3</x:v>
      </x:c>
      <x:c r="C1392">
        <x:v>11</x:v>
      </x:c>
      <x:c r="D1392">
        <x:f>ROUND($C1392*10*VLOOKUP($B1392,Sheet2!$J$5:$K$7,2,FALSE)*VLOOKUP(Sheet1!$A1392,Sheet2!$B$5:$H$29,3,FALSE),0)</x:f>
        <x:v>0</x:v>
      </x:c>
      <x:c r="E1392">
        <x:f>ROUND($C1392*10*VLOOKUP($B1392,Sheet2!$J$5:$K$7,2,FALSE)*VLOOKUP(Sheet1!$A1392,Sheet2!$B$5:$H$29,4,FALSE),0)</x:f>
        <x:v>132</x:v>
      </x:c>
      <x:c r="F1392">
        <x:f>ROUND($C1392*10*VLOOKUP($B1392,Sheet2!$J$5:$K$7,2,FALSE)*VLOOKUP(Sheet1!$A1392,Sheet2!$B$5:$H$29,5,FALSE),0)</x:f>
        <x:v>35</x:v>
      </x:c>
      <x:c r="G1392">
        <x:f>ROUND($C1392*10*VLOOKUP($B1392,Sheet2!$J$5:$K$7,2,FALSE)*VLOOKUP(Sheet1!$A1392,Sheet2!$B$5:$H$29,6,FALSE),0)</x:f>
        <x:v>0</x:v>
      </x:c>
      <x:c r="H1392">
        <x:f>ROUND($C1392*10*VLOOKUP($B1392,Sheet2!$J$5:$K$7,2,FALSE)*VLOOKUP(Sheet1!$A1392,Sheet2!$B$5:$H$29,7,FALSE),0)</x:f>
        <x:v>0</x:v>
      </x:c>
      <x:c r="I1392">
        <x:f t="shared" si="23"/>
        <x:v>8040</x:v>
      </x:c>
    </x:row>
    <x:row r="1393" spans="1:9" x14ac:dyDescent="0.15">
      <x:c r="A1393">
        <x:v>54053</x:v>
      </x:c>
      <x:c r="B1393">
        <x:v>3</x:v>
      </x:c>
      <x:c r="C1393">
        <x:v>12</x:v>
      </x:c>
      <x:c r="D1393">
        <x:f>ROUND($C1393*10*VLOOKUP($B1393,Sheet2!$J$5:$K$7,2,FALSE)*VLOOKUP(Sheet1!$A1393,Sheet2!$B$5:$H$29,3,FALSE),0)</x:f>
        <x:v>0</x:v>
      </x:c>
      <x:c r="E1393">
        <x:f>ROUND($C1393*10*VLOOKUP($B1393,Sheet2!$J$5:$K$7,2,FALSE)*VLOOKUP(Sheet1!$A1393,Sheet2!$B$5:$H$29,4,FALSE),0)</x:f>
        <x:v>144</x:v>
      </x:c>
      <x:c r="F1393">
        <x:f>ROUND($C1393*10*VLOOKUP($B1393,Sheet2!$J$5:$K$7,2,FALSE)*VLOOKUP(Sheet1!$A1393,Sheet2!$B$5:$H$29,5,FALSE),0)</x:f>
        <x:v>38</x:v>
      </x:c>
      <x:c r="G1393">
        <x:f>ROUND($C1393*10*VLOOKUP($B1393,Sheet2!$J$5:$K$7,2,FALSE)*VLOOKUP(Sheet1!$A1393,Sheet2!$B$5:$H$29,6,FALSE),0)</x:f>
        <x:v>0</x:v>
      </x:c>
      <x:c r="H1393">
        <x:f>ROUND($C1393*10*VLOOKUP($B1393,Sheet2!$J$5:$K$7,2,FALSE)*VLOOKUP(Sheet1!$A1393,Sheet2!$B$5:$H$29,7,FALSE),0)</x:f>
        <x:v>0</x:v>
      </x:c>
      <x:c r="I1393">
        <x:f t="shared" si="23"/>
        <x:v>9530</x:v>
      </x:c>
    </x:row>
    <x:row r="1394" spans="1:9" x14ac:dyDescent="0.15">
      <x:c r="A1394">
        <x:v>54053</x:v>
      </x:c>
      <x:c r="B1394">
        <x:v>3</x:v>
      </x:c>
      <x:c r="C1394">
        <x:v>13</x:v>
      </x:c>
      <x:c r="D1394">
        <x:f>ROUND($C1394*10*VLOOKUP($B1394,Sheet2!$J$5:$K$7,2,FALSE)*VLOOKUP(Sheet1!$A1394,Sheet2!$B$5:$H$29,3,FALSE),0)</x:f>
        <x:v>0</x:v>
      </x:c>
      <x:c r="E1394">
        <x:f>ROUND($C1394*10*VLOOKUP($B1394,Sheet2!$J$5:$K$7,2,FALSE)*VLOOKUP(Sheet1!$A1394,Sheet2!$B$5:$H$29,4,FALSE),0)</x:f>
        <x:v>156</x:v>
      </x:c>
      <x:c r="F1394">
        <x:f>ROUND($C1394*10*VLOOKUP($B1394,Sheet2!$J$5:$K$7,2,FALSE)*VLOOKUP(Sheet1!$A1394,Sheet2!$B$5:$H$29,5,FALSE),0)</x:f>
        <x:v>42</x:v>
      </x:c>
      <x:c r="G1394">
        <x:f>ROUND($C1394*10*VLOOKUP($B1394,Sheet2!$J$5:$K$7,2,FALSE)*VLOOKUP(Sheet1!$A1394,Sheet2!$B$5:$H$29,6,FALSE),0)</x:f>
        <x:v>0</x:v>
      </x:c>
      <x:c r="H1394">
        <x:f>ROUND($C1394*10*VLOOKUP($B1394,Sheet2!$J$5:$K$7,2,FALSE)*VLOOKUP(Sheet1!$A1394,Sheet2!$B$5:$H$29,7,FALSE),0)</x:f>
        <x:v>0</x:v>
      </x:c>
      <x:c r="I1394">
        <x:f t="shared" si="23"/>
        <x:v>11130</x:v>
      </x:c>
    </x:row>
    <x:row r="1395" spans="1:9" x14ac:dyDescent="0.15">
      <x:c r="A1395">
        <x:v>54053</x:v>
      </x:c>
      <x:c r="B1395">
        <x:v>3</x:v>
      </x:c>
      <x:c r="C1395">
        <x:v>14</x:v>
      </x:c>
      <x:c r="D1395">
        <x:f>ROUND($C1395*10*VLOOKUP($B1395,Sheet2!$J$5:$K$7,2,FALSE)*VLOOKUP(Sheet1!$A1395,Sheet2!$B$5:$H$29,3,FALSE),0)</x:f>
        <x:v>0</x:v>
      </x:c>
      <x:c r="E1395">
        <x:f>ROUND($C1395*10*VLOOKUP($B1395,Sheet2!$J$5:$K$7,2,FALSE)*VLOOKUP(Sheet1!$A1395,Sheet2!$B$5:$H$29,4,FALSE),0)</x:f>
        <x:v>168</x:v>
      </x:c>
      <x:c r="F1395">
        <x:f>ROUND($C1395*10*VLOOKUP($B1395,Sheet2!$J$5:$K$7,2,FALSE)*VLOOKUP(Sheet1!$A1395,Sheet2!$B$5:$H$29,5,FALSE),0)</x:f>
        <x:v>45</x:v>
      </x:c>
      <x:c r="G1395">
        <x:f>ROUND($C1395*10*VLOOKUP($B1395,Sheet2!$J$5:$K$7,2,FALSE)*VLOOKUP(Sheet1!$A1395,Sheet2!$B$5:$H$29,6,FALSE),0)</x:f>
        <x:v>0</x:v>
      </x:c>
      <x:c r="H1395">
        <x:f>ROUND($C1395*10*VLOOKUP($B1395,Sheet2!$J$5:$K$7,2,FALSE)*VLOOKUP(Sheet1!$A1395,Sheet2!$B$5:$H$29,7,FALSE),0)</x:f>
        <x:v>0</x:v>
      </x:c>
      <x:c r="I1395">
        <x:f t="shared" si="23"/>
        <x:v>12840</x:v>
      </x:c>
    </x:row>
    <x:row r="1396" spans="1:9" x14ac:dyDescent="0.15">
      <x:c r="A1396">
        <x:v>54053</x:v>
      </x:c>
      <x:c r="B1396">
        <x:v>3</x:v>
      </x:c>
      <x:c r="C1396">
        <x:v>15</x:v>
      </x:c>
      <x:c r="D1396">
        <x:f>ROUND($C1396*10*VLOOKUP($B1396,Sheet2!$J$5:$K$7,2,FALSE)*VLOOKUP(Sheet1!$A1396,Sheet2!$B$5:$H$29,3,FALSE),0)</x:f>
        <x:v>0</x:v>
      </x:c>
      <x:c r="E1396">
        <x:f>ROUND($C1396*10*VLOOKUP($B1396,Sheet2!$J$5:$K$7,2,FALSE)*VLOOKUP(Sheet1!$A1396,Sheet2!$B$5:$H$29,4,FALSE),0)</x:f>
        <x:v>180</x:v>
      </x:c>
      <x:c r="F1396">
        <x:f>ROUND($C1396*10*VLOOKUP($B1396,Sheet2!$J$5:$K$7,2,FALSE)*VLOOKUP(Sheet1!$A1396,Sheet2!$B$5:$H$29,5,FALSE),0)</x:f>
        <x:v>48</x:v>
      </x:c>
      <x:c r="G1396">
        <x:f>ROUND($C1396*10*VLOOKUP($B1396,Sheet2!$J$5:$K$7,2,FALSE)*VLOOKUP(Sheet1!$A1396,Sheet2!$B$5:$H$29,6,FALSE),0)</x:f>
        <x:v>0</x:v>
      </x:c>
      <x:c r="H1396">
        <x:f>ROUND($C1396*10*VLOOKUP($B1396,Sheet2!$J$5:$K$7,2,FALSE)*VLOOKUP(Sheet1!$A1396,Sheet2!$B$5:$H$29,7,FALSE),0)</x:f>
        <x:v>0</x:v>
      </x:c>
      <x:c r="I1396">
        <x:f t="shared" si="23"/>
        <x:v>14660</x:v>
      </x:c>
    </x:row>
    <x:row r="1397" spans="1:9" x14ac:dyDescent="0.15">
      <x:c r="A1397">
        <x:v>54053</x:v>
      </x:c>
      <x:c r="B1397">
        <x:v>3</x:v>
      </x:c>
      <x:c r="C1397">
        <x:v>16</x:v>
      </x:c>
      <x:c r="D1397">
        <x:f>ROUND($C1397*10*VLOOKUP($B1397,Sheet2!$J$5:$K$7,2,FALSE)*VLOOKUP(Sheet1!$A1397,Sheet2!$B$5:$H$29,3,FALSE),0)</x:f>
        <x:v>0</x:v>
      </x:c>
      <x:c r="E1397">
        <x:f>ROUND($C1397*10*VLOOKUP($B1397,Sheet2!$J$5:$K$7,2,FALSE)*VLOOKUP(Sheet1!$A1397,Sheet2!$B$5:$H$29,4,FALSE),0)</x:f>
        <x:v>192</x:v>
      </x:c>
      <x:c r="F1397">
        <x:f>ROUND($C1397*10*VLOOKUP($B1397,Sheet2!$J$5:$K$7,2,FALSE)*VLOOKUP(Sheet1!$A1397,Sheet2!$B$5:$H$29,5,FALSE),0)</x:f>
        <x:v>51</x:v>
      </x:c>
      <x:c r="G1397">
        <x:f>ROUND($C1397*10*VLOOKUP($B1397,Sheet2!$J$5:$K$7,2,FALSE)*VLOOKUP(Sheet1!$A1397,Sheet2!$B$5:$H$29,6,FALSE),0)</x:f>
        <x:v>0</x:v>
      </x:c>
      <x:c r="H1397">
        <x:f>ROUND($C1397*10*VLOOKUP($B1397,Sheet2!$J$5:$K$7,2,FALSE)*VLOOKUP(Sheet1!$A1397,Sheet2!$B$5:$H$29,7,FALSE),0)</x:f>
        <x:v>0</x:v>
      </x:c>
      <x:c r="I1397">
        <x:f t="shared" si="23"/>
        <x:v>16580</x:v>
      </x:c>
    </x:row>
    <x:row r="1398" spans="1:9" x14ac:dyDescent="0.15">
      <x:c r="A1398">
        <x:v>54053</x:v>
      </x:c>
      <x:c r="B1398">
        <x:v>3</x:v>
      </x:c>
      <x:c r="C1398">
        <x:v>17</x:v>
      </x:c>
      <x:c r="D1398">
        <x:f>ROUND($C1398*10*VLOOKUP($B1398,Sheet2!$J$5:$K$7,2,FALSE)*VLOOKUP(Sheet1!$A1398,Sheet2!$B$5:$H$29,3,FALSE),0)</x:f>
        <x:v>0</x:v>
      </x:c>
      <x:c r="E1398">
        <x:f>ROUND($C1398*10*VLOOKUP($B1398,Sheet2!$J$5:$K$7,2,FALSE)*VLOOKUP(Sheet1!$A1398,Sheet2!$B$5:$H$29,4,FALSE),0)</x:f>
        <x:v>204</x:v>
      </x:c>
      <x:c r="F1398">
        <x:f>ROUND($C1398*10*VLOOKUP($B1398,Sheet2!$J$5:$K$7,2,FALSE)*VLOOKUP(Sheet1!$A1398,Sheet2!$B$5:$H$29,5,FALSE),0)</x:f>
        <x:v>54</x:v>
      </x:c>
      <x:c r="G1398">
        <x:f>ROUND($C1398*10*VLOOKUP($B1398,Sheet2!$J$5:$K$7,2,FALSE)*VLOOKUP(Sheet1!$A1398,Sheet2!$B$5:$H$29,6,FALSE),0)</x:f>
        <x:v>0</x:v>
      </x:c>
      <x:c r="H1398">
        <x:f>ROUND($C1398*10*VLOOKUP($B1398,Sheet2!$J$5:$K$7,2,FALSE)*VLOOKUP(Sheet1!$A1398,Sheet2!$B$5:$H$29,7,FALSE),0)</x:f>
        <x:v>0</x:v>
      </x:c>
      <x:c r="I1398">
        <x:f t="shared" si="23"/>
        <x:v>18620</x:v>
      </x:c>
    </x:row>
    <x:row r="1399" spans="1:9" x14ac:dyDescent="0.15">
      <x:c r="A1399">
        <x:v>54053</x:v>
      </x:c>
      <x:c r="B1399">
        <x:v>3</x:v>
      </x:c>
      <x:c r="C1399">
        <x:v>18</x:v>
      </x:c>
      <x:c r="D1399">
        <x:f>ROUND($C1399*10*VLOOKUP($B1399,Sheet2!$J$5:$K$7,2,FALSE)*VLOOKUP(Sheet1!$A1399,Sheet2!$B$5:$H$29,3,FALSE),0)</x:f>
        <x:v>0</x:v>
      </x:c>
      <x:c r="E1399">
        <x:f>ROUND($C1399*10*VLOOKUP($B1399,Sheet2!$J$5:$K$7,2,FALSE)*VLOOKUP(Sheet1!$A1399,Sheet2!$B$5:$H$29,4,FALSE),0)</x:f>
        <x:v>216</x:v>
      </x:c>
      <x:c r="F1399">
        <x:f>ROUND($C1399*10*VLOOKUP($B1399,Sheet2!$J$5:$K$7,2,FALSE)*VLOOKUP(Sheet1!$A1399,Sheet2!$B$5:$H$29,5,FALSE),0)</x:f>
        <x:v>58</x:v>
      </x:c>
      <x:c r="G1399">
        <x:f>ROUND($C1399*10*VLOOKUP($B1399,Sheet2!$J$5:$K$7,2,FALSE)*VLOOKUP(Sheet1!$A1399,Sheet2!$B$5:$H$29,6,FALSE),0)</x:f>
        <x:v>0</x:v>
      </x:c>
      <x:c r="H1399">
        <x:f>ROUND($C1399*10*VLOOKUP($B1399,Sheet2!$J$5:$K$7,2,FALSE)*VLOOKUP(Sheet1!$A1399,Sheet2!$B$5:$H$29,7,FALSE),0)</x:f>
        <x:v>0</x:v>
      </x:c>
      <x:c r="I1399">
        <x:f t="shared" si="23"/>
        <x:v>20750</x:v>
      </x:c>
    </x:row>
    <x:row r="1400" spans="1:9" x14ac:dyDescent="0.15">
      <x:c r="A1400">
        <x:v>54053</x:v>
      </x:c>
      <x:c r="B1400">
        <x:v>3</x:v>
      </x:c>
      <x:c r="C1400">
        <x:v>19</x:v>
      </x:c>
      <x:c r="D1400">
        <x:f>ROUND($C1400*10*VLOOKUP($B1400,Sheet2!$J$5:$K$7,2,FALSE)*VLOOKUP(Sheet1!$A1400,Sheet2!$B$5:$H$29,3,FALSE),0)</x:f>
        <x:v>0</x:v>
      </x:c>
      <x:c r="E1400">
        <x:f>ROUND($C1400*10*VLOOKUP($B1400,Sheet2!$J$5:$K$7,2,FALSE)*VLOOKUP(Sheet1!$A1400,Sheet2!$B$5:$H$29,4,FALSE),0)</x:f>
        <x:v>228</x:v>
      </x:c>
      <x:c r="F1400">
        <x:f>ROUND($C1400*10*VLOOKUP($B1400,Sheet2!$J$5:$K$7,2,FALSE)*VLOOKUP(Sheet1!$A1400,Sheet2!$B$5:$H$29,5,FALSE),0)</x:f>
        <x:v>61</x:v>
      </x:c>
      <x:c r="G1400">
        <x:f>ROUND($C1400*10*VLOOKUP($B1400,Sheet2!$J$5:$K$7,2,FALSE)*VLOOKUP(Sheet1!$A1400,Sheet2!$B$5:$H$29,6,FALSE),0)</x:f>
        <x:v>0</x:v>
      </x:c>
      <x:c r="H1400">
        <x:f>ROUND($C1400*10*VLOOKUP($B1400,Sheet2!$J$5:$K$7,2,FALSE)*VLOOKUP(Sheet1!$A1400,Sheet2!$B$5:$H$29,7,FALSE),0)</x:f>
        <x:v>0</x:v>
      </x:c>
      <x:c r="I1400">
        <x:f t="shared" si="23"/>
        <x:v>22990</x:v>
      </x:c>
    </x:row>
    <x:row r="1401" spans="1:9" x14ac:dyDescent="0.15">
      <x:c r="A1401">
        <x:v>54053</x:v>
      </x:c>
      <x:c r="B1401">
        <x:v>3</x:v>
      </x:c>
      <x:c r="C1401">
        <x:v>20</x:v>
      </x:c>
      <x:c r="D1401">
        <x:f>ROUND($C1401*10*VLOOKUP($B1401,Sheet2!$J$5:$K$7,2,FALSE)*VLOOKUP(Sheet1!$A1401,Sheet2!$B$5:$H$29,3,FALSE),0)</x:f>
        <x:v>0</x:v>
      </x:c>
      <x:c r="E1401">
        <x:f>ROUND($C1401*10*VLOOKUP($B1401,Sheet2!$J$5:$K$7,2,FALSE)*VLOOKUP(Sheet1!$A1401,Sheet2!$B$5:$H$29,4,FALSE),0)</x:f>
        <x:v>240</x:v>
      </x:c>
      <x:c r="F1401">
        <x:f>ROUND($C1401*10*VLOOKUP($B1401,Sheet2!$J$5:$K$7,2,FALSE)*VLOOKUP(Sheet1!$A1401,Sheet2!$B$5:$H$29,5,FALSE),0)</x:f>
        <x:v>64</x:v>
      </x:c>
      <x:c r="G1401">
        <x:f>ROUND($C1401*10*VLOOKUP($B1401,Sheet2!$J$5:$K$7,2,FALSE)*VLOOKUP(Sheet1!$A1401,Sheet2!$B$5:$H$29,6,FALSE),0)</x:f>
        <x:v>0</x:v>
      </x:c>
      <x:c r="H1401">
        <x:f>ROUND($C1401*10*VLOOKUP($B1401,Sheet2!$J$5:$K$7,2,FALSE)*VLOOKUP(Sheet1!$A1401,Sheet2!$B$5:$H$29,7,FALSE),0)</x:f>
        <x:v>0</x:v>
      </x:c>
      <x:c r="I1401">
        <x:f t="shared" si="23"/>
        <x:v>25330</x:v>
      </x:c>
    </x:row>
    <x:row r="1402" spans="1:9" x14ac:dyDescent="0.15">
      <x:c r="A1402">
        <x:v>54053</x:v>
      </x:c>
      <x:c r="B1402">
        <x:v>3</x:v>
      </x:c>
      <x:c r="C1402">
        <x:v>21</x:v>
      </x:c>
      <x:c r="D1402">
        <x:f>ROUND($C1402*10*VLOOKUP($B1402,Sheet2!$J$5:$K$7,2,FALSE)*VLOOKUP(Sheet1!$A1402,Sheet2!$B$5:$H$29,3,FALSE),0)</x:f>
        <x:v>0</x:v>
      </x:c>
      <x:c r="E1402">
        <x:f>ROUND($C1402*10*VLOOKUP($B1402,Sheet2!$J$5:$K$7,2,FALSE)*VLOOKUP(Sheet1!$A1402,Sheet2!$B$5:$H$29,4,FALSE),0)</x:f>
        <x:v>252</x:v>
      </x:c>
      <x:c r="F1402">
        <x:f>ROUND($C1402*10*VLOOKUP($B1402,Sheet2!$J$5:$K$7,2,FALSE)*VLOOKUP(Sheet1!$A1402,Sheet2!$B$5:$H$29,5,FALSE),0)</x:f>
        <x:v>67</x:v>
      </x:c>
      <x:c r="G1402">
        <x:f>ROUND($C1402*10*VLOOKUP($B1402,Sheet2!$J$5:$K$7,2,FALSE)*VLOOKUP(Sheet1!$A1402,Sheet2!$B$5:$H$29,6,FALSE),0)</x:f>
        <x:v>0</x:v>
      </x:c>
      <x:c r="H1402">
        <x:f>ROUND($C1402*10*VLOOKUP($B1402,Sheet2!$J$5:$K$7,2,FALSE)*VLOOKUP(Sheet1!$A1402,Sheet2!$B$5:$H$29,7,FALSE),0)</x:f>
        <x:v>0</x:v>
      </x:c>
      <x:c r="I1402">
        <x:f t="shared" si="23"/>
        <x:v>27770</x:v>
      </x:c>
    </x:row>
    <x:row r="1403" spans="1:9" x14ac:dyDescent="0.15">
      <x:c r="A1403">
        <x:v>54053</x:v>
      </x:c>
      <x:c r="B1403">
        <x:v>3</x:v>
      </x:c>
      <x:c r="C1403">
        <x:v>22</x:v>
      </x:c>
      <x:c r="D1403">
        <x:f>ROUND($C1403*10*VLOOKUP($B1403,Sheet2!$J$5:$K$7,2,FALSE)*VLOOKUP(Sheet1!$A1403,Sheet2!$B$5:$H$29,3,FALSE),0)</x:f>
        <x:v>0</x:v>
      </x:c>
      <x:c r="E1403">
        <x:f>ROUND($C1403*10*VLOOKUP($B1403,Sheet2!$J$5:$K$7,2,FALSE)*VLOOKUP(Sheet1!$A1403,Sheet2!$B$5:$H$29,4,FALSE),0)</x:f>
        <x:v>264</x:v>
      </x:c>
      <x:c r="F1403">
        <x:f>ROUND($C1403*10*VLOOKUP($B1403,Sheet2!$J$5:$K$7,2,FALSE)*VLOOKUP(Sheet1!$A1403,Sheet2!$B$5:$H$29,5,FALSE),0)</x:f>
        <x:v>70</x:v>
      </x:c>
      <x:c r="G1403">
        <x:f>ROUND($C1403*10*VLOOKUP($B1403,Sheet2!$J$5:$K$7,2,FALSE)*VLOOKUP(Sheet1!$A1403,Sheet2!$B$5:$H$29,6,FALSE),0)</x:f>
        <x:v>0</x:v>
      </x:c>
      <x:c r="H1403">
        <x:f>ROUND($C1403*10*VLOOKUP($B1403,Sheet2!$J$5:$K$7,2,FALSE)*VLOOKUP(Sheet1!$A1403,Sheet2!$B$5:$H$29,7,FALSE),0)</x:f>
        <x:v>0</x:v>
      </x:c>
      <x:c r="I1403">
        <x:f t="shared" si="23"/>
        <x:v>30310</x:v>
      </x:c>
    </x:row>
    <x:row r="1404" spans="1:9" x14ac:dyDescent="0.15">
      <x:c r="A1404">
        <x:v>54053</x:v>
      </x:c>
      <x:c r="B1404">
        <x:v>3</x:v>
      </x:c>
      <x:c r="C1404">
        <x:v>23</x:v>
      </x:c>
      <x:c r="D1404">
        <x:f>ROUND($C1404*10*VLOOKUP($B1404,Sheet2!$J$5:$K$7,2,FALSE)*VLOOKUP(Sheet1!$A1404,Sheet2!$B$5:$H$29,3,FALSE),0)</x:f>
        <x:v>0</x:v>
      </x:c>
      <x:c r="E1404">
        <x:f>ROUND($C1404*10*VLOOKUP($B1404,Sheet2!$J$5:$K$7,2,FALSE)*VLOOKUP(Sheet1!$A1404,Sheet2!$B$5:$H$29,4,FALSE),0)</x:f>
        <x:v>276</x:v>
      </x:c>
      <x:c r="F1404">
        <x:f>ROUND($C1404*10*VLOOKUP($B1404,Sheet2!$J$5:$K$7,2,FALSE)*VLOOKUP(Sheet1!$A1404,Sheet2!$B$5:$H$29,5,FALSE),0)</x:f>
        <x:v>74</x:v>
      </x:c>
      <x:c r="G1404">
        <x:f>ROUND($C1404*10*VLOOKUP($B1404,Sheet2!$J$5:$K$7,2,FALSE)*VLOOKUP(Sheet1!$A1404,Sheet2!$B$5:$H$29,6,FALSE),0)</x:f>
        <x:v>0</x:v>
      </x:c>
      <x:c r="H1404">
        <x:f>ROUND($C1404*10*VLOOKUP($B1404,Sheet2!$J$5:$K$7,2,FALSE)*VLOOKUP(Sheet1!$A1404,Sheet2!$B$5:$H$29,7,FALSE),0)</x:f>
        <x:v>0</x:v>
      </x:c>
      <x:c r="I1404">
        <x:f t="shared" si="23"/>
        <x:v>32950</x:v>
      </x:c>
    </x:row>
    <x:row r="1405" spans="1:9" x14ac:dyDescent="0.15">
      <x:c r="A1405">
        <x:v>54053</x:v>
      </x:c>
      <x:c r="B1405">
        <x:v>3</x:v>
      </x:c>
      <x:c r="C1405">
        <x:v>24</x:v>
      </x:c>
      <x:c r="D1405">
        <x:f>ROUND($C1405*10*VLOOKUP($B1405,Sheet2!$J$5:$K$7,2,FALSE)*VLOOKUP(Sheet1!$A1405,Sheet2!$B$5:$H$29,3,FALSE),0)</x:f>
        <x:v>0</x:v>
      </x:c>
      <x:c r="E1405">
        <x:f>ROUND($C1405*10*VLOOKUP($B1405,Sheet2!$J$5:$K$7,2,FALSE)*VLOOKUP(Sheet1!$A1405,Sheet2!$B$5:$H$29,4,FALSE),0)</x:f>
        <x:v>288</x:v>
      </x:c>
      <x:c r="F1405">
        <x:f>ROUND($C1405*10*VLOOKUP($B1405,Sheet2!$J$5:$K$7,2,FALSE)*VLOOKUP(Sheet1!$A1405,Sheet2!$B$5:$H$29,5,FALSE),0)</x:f>
        <x:v>77</x:v>
      </x:c>
      <x:c r="G1405">
        <x:f>ROUND($C1405*10*VLOOKUP($B1405,Sheet2!$J$5:$K$7,2,FALSE)*VLOOKUP(Sheet1!$A1405,Sheet2!$B$5:$H$29,6,FALSE),0)</x:f>
        <x:v>0</x:v>
      </x:c>
      <x:c r="H1405">
        <x:f>ROUND($C1405*10*VLOOKUP($B1405,Sheet2!$J$5:$K$7,2,FALSE)*VLOOKUP(Sheet1!$A1405,Sheet2!$B$5:$H$29,7,FALSE),0)</x:f>
        <x:v>0</x:v>
      </x:c>
      <x:c r="I1405">
        <x:f t="shared" si="23"/>
        <x:v>35690</x:v>
      </x:c>
    </x:row>
    <x:row r="1406" spans="1:9" x14ac:dyDescent="0.15">
      <x:c r="A1406">
        <x:v>54053</x:v>
      </x:c>
      <x:c r="B1406">
        <x:v>3</x:v>
      </x:c>
      <x:c r="C1406">
        <x:v>25</x:v>
      </x:c>
      <x:c r="D1406">
        <x:f>ROUND($C1406*10*VLOOKUP($B1406,Sheet2!$J$5:$K$7,2,FALSE)*VLOOKUP(Sheet1!$A1406,Sheet2!$B$5:$H$29,3,FALSE),0)</x:f>
        <x:v>0</x:v>
      </x:c>
      <x:c r="E1406">
        <x:f>ROUND($C1406*10*VLOOKUP($B1406,Sheet2!$J$5:$K$7,2,FALSE)*VLOOKUP(Sheet1!$A1406,Sheet2!$B$5:$H$29,4,FALSE),0)</x:f>
        <x:v>300</x:v>
      </x:c>
      <x:c r="F1406">
        <x:f>ROUND($C1406*10*VLOOKUP($B1406,Sheet2!$J$5:$K$7,2,FALSE)*VLOOKUP(Sheet1!$A1406,Sheet2!$B$5:$H$29,5,FALSE),0)</x:f>
        <x:v>80</x:v>
      </x:c>
      <x:c r="G1406">
        <x:f>ROUND($C1406*10*VLOOKUP($B1406,Sheet2!$J$5:$K$7,2,FALSE)*VLOOKUP(Sheet1!$A1406,Sheet2!$B$5:$H$29,6,FALSE),0)</x:f>
        <x:v>0</x:v>
      </x:c>
      <x:c r="H1406">
        <x:f>ROUND($C1406*10*VLOOKUP($B1406,Sheet2!$J$5:$K$7,2,FALSE)*VLOOKUP(Sheet1!$A1406,Sheet2!$B$5:$H$29,7,FALSE),0)</x:f>
        <x:v>0</x:v>
      </x:c>
      <x:c r="I1406">
        <x:f t="shared" si="23"/>
        <x:v>38530</x:v>
      </x:c>
    </x:row>
    <x:row r="1407" spans="1:9" x14ac:dyDescent="0.15">
      <x:c r="A1407">
        <x:v>54053</x:v>
      </x:c>
      <x:c r="B1407">
        <x:v>3</x:v>
      </x:c>
      <x:c r="C1407">
        <x:v>26</x:v>
      </x:c>
      <x:c r="D1407">
        <x:f>ROUND($C1407*10*VLOOKUP($B1407,Sheet2!$J$5:$K$7,2,FALSE)*VLOOKUP(Sheet1!$A1407,Sheet2!$B$5:$H$29,3,FALSE),0)</x:f>
        <x:v>0</x:v>
      </x:c>
      <x:c r="E1407">
        <x:f>ROUND($C1407*10*VLOOKUP($B1407,Sheet2!$J$5:$K$7,2,FALSE)*VLOOKUP(Sheet1!$A1407,Sheet2!$B$5:$H$29,4,FALSE),0)</x:f>
        <x:v>312</x:v>
      </x:c>
      <x:c r="F1407">
        <x:f>ROUND($C1407*10*VLOOKUP($B1407,Sheet2!$J$5:$K$7,2,FALSE)*VLOOKUP(Sheet1!$A1407,Sheet2!$B$5:$H$29,5,FALSE),0)</x:f>
        <x:v>83</x:v>
      </x:c>
      <x:c r="G1407">
        <x:f>ROUND($C1407*10*VLOOKUP($B1407,Sheet2!$J$5:$K$7,2,FALSE)*VLOOKUP(Sheet1!$A1407,Sheet2!$B$5:$H$29,6,FALSE),0)</x:f>
        <x:v>0</x:v>
      </x:c>
      <x:c r="H1407">
        <x:f>ROUND($C1407*10*VLOOKUP($B1407,Sheet2!$J$5:$K$7,2,FALSE)*VLOOKUP(Sheet1!$A1407,Sheet2!$B$5:$H$29,7,FALSE),0)</x:f>
        <x:v>0</x:v>
      </x:c>
      <x:c r="I1407">
        <x:f t="shared" si="23"/>
        <x:v>41460</x:v>
      </x:c>
    </x:row>
    <x:row r="1408" spans="1:9" x14ac:dyDescent="0.15">
      <x:c r="A1408">
        <x:v>54053</x:v>
      </x:c>
      <x:c r="B1408">
        <x:v>3</x:v>
      </x:c>
      <x:c r="C1408">
        <x:v>27</x:v>
      </x:c>
      <x:c r="D1408">
        <x:f>ROUND($C1408*10*VLOOKUP($B1408,Sheet2!$J$5:$K$7,2,FALSE)*VLOOKUP(Sheet1!$A1408,Sheet2!$B$5:$H$29,3,FALSE),0)</x:f>
        <x:v>0</x:v>
      </x:c>
      <x:c r="E1408">
        <x:f>ROUND($C1408*10*VLOOKUP($B1408,Sheet2!$J$5:$K$7,2,FALSE)*VLOOKUP(Sheet1!$A1408,Sheet2!$B$5:$H$29,4,FALSE),0)</x:f>
        <x:v>324</x:v>
      </x:c>
      <x:c r="F1408">
        <x:f>ROUND($C1408*10*VLOOKUP($B1408,Sheet2!$J$5:$K$7,2,FALSE)*VLOOKUP(Sheet1!$A1408,Sheet2!$B$5:$H$29,5,FALSE),0)</x:f>
        <x:v>86</x:v>
      </x:c>
      <x:c r="G1408">
        <x:f>ROUND($C1408*10*VLOOKUP($B1408,Sheet2!$J$5:$K$7,2,FALSE)*VLOOKUP(Sheet1!$A1408,Sheet2!$B$5:$H$29,6,FALSE),0)</x:f>
        <x:v>0</x:v>
      </x:c>
      <x:c r="H1408">
        <x:f>ROUND($C1408*10*VLOOKUP($B1408,Sheet2!$J$5:$K$7,2,FALSE)*VLOOKUP(Sheet1!$A1408,Sheet2!$B$5:$H$29,7,FALSE),0)</x:f>
        <x:v>0</x:v>
      </x:c>
      <x:c r="I1408">
        <x:f t="shared" si="23"/>
        <x:v>44480</x:v>
      </x:c>
    </x:row>
    <x:row r="1409" spans="1:9" x14ac:dyDescent="0.15">
      <x:c r="A1409">
        <x:v>54053</x:v>
      </x:c>
      <x:c r="B1409">
        <x:v>3</x:v>
      </x:c>
      <x:c r="C1409">
        <x:v>28</x:v>
      </x:c>
      <x:c r="D1409">
        <x:f>ROUND($C1409*10*VLOOKUP($B1409,Sheet2!$J$5:$K$7,2,FALSE)*VLOOKUP(Sheet1!$A1409,Sheet2!$B$5:$H$29,3,FALSE),0)</x:f>
        <x:v>0</x:v>
      </x:c>
      <x:c r="E1409">
        <x:f>ROUND($C1409*10*VLOOKUP($B1409,Sheet2!$J$5:$K$7,2,FALSE)*VLOOKUP(Sheet1!$A1409,Sheet2!$B$5:$H$29,4,FALSE),0)</x:f>
        <x:v>336</x:v>
      </x:c>
      <x:c r="F1409">
        <x:f>ROUND($C1409*10*VLOOKUP($B1409,Sheet2!$J$5:$K$7,2,FALSE)*VLOOKUP(Sheet1!$A1409,Sheet2!$B$5:$H$29,5,FALSE),0)</x:f>
        <x:v>90</x:v>
      </x:c>
      <x:c r="G1409">
        <x:f>ROUND($C1409*10*VLOOKUP($B1409,Sheet2!$J$5:$K$7,2,FALSE)*VLOOKUP(Sheet1!$A1409,Sheet2!$B$5:$H$29,6,FALSE),0)</x:f>
        <x:v>0</x:v>
      </x:c>
      <x:c r="H1409">
        <x:f>ROUND($C1409*10*VLOOKUP($B1409,Sheet2!$J$5:$K$7,2,FALSE)*VLOOKUP(Sheet1!$A1409,Sheet2!$B$5:$H$29,7,FALSE),0)</x:f>
        <x:v>0</x:v>
      </x:c>
      <x:c r="I1409">
        <x:f t="shared" si="23"/>
        <x:v>47600</x:v>
      </x:c>
    </x:row>
    <x:row r="1410" spans="1:9" x14ac:dyDescent="0.15">
      <x:c r="A1410">
        <x:v>54053</x:v>
      </x:c>
      <x:c r="B1410">
        <x:v>3</x:v>
      </x:c>
      <x:c r="C1410">
        <x:v>29</x:v>
      </x:c>
      <x:c r="D1410">
        <x:f>ROUND($C1410*10*VLOOKUP($B1410,Sheet2!$J$5:$K$7,2,FALSE)*VLOOKUP(Sheet1!$A1410,Sheet2!$B$5:$H$29,3,FALSE),0)</x:f>
        <x:v>0</x:v>
      </x:c>
      <x:c r="E1410">
        <x:f>ROUND($C1410*10*VLOOKUP($B1410,Sheet2!$J$5:$K$7,2,FALSE)*VLOOKUP(Sheet1!$A1410,Sheet2!$B$5:$H$29,4,FALSE),0)</x:f>
        <x:v>348</x:v>
      </x:c>
      <x:c r="F1410">
        <x:f>ROUND($C1410*10*VLOOKUP($B1410,Sheet2!$J$5:$K$7,2,FALSE)*VLOOKUP(Sheet1!$A1410,Sheet2!$B$5:$H$29,5,FALSE),0)</x:f>
        <x:v>93</x:v>
      </x:c>
      <x:c r="G1410">
        <x:f>ROUND($C1410*10*VLOOKUP($B1410,Sheet2!$J$5:$K$7,2,FALSE)*VLOOKUP(Sheet1!$A1410,Sheet2!$B$5:$H$29,6,FALSE),0)</x:f>
        <x:v>0</x:v>
      </x:c>
      <x:c r="H1410">
        <x:f>ROUND($C1410*10*VLOOKUP($B1410,Sheet2!$J$5:$K$7,2,FALSE)*VLOOKUP(Sheet1!$A1410,Sheet2!$B$5:$H$29,7,FALSE),0)</x:f>
        <x:v>0</x:v>
      </x:c>
      <x:c r="I1410">
        <x:f t="shared" si="23"/>
        <x:v>50820</x:v>
      </x:c>
    </x:row>
    <x:row r="1411" spans="1:9" x14ac:dyDescent="0.15">
      <x:c r="A1411">
        <x:v>54053</x:v>
      </x:c>
      <x:c r="B1411">
        <x:v>3</x:v>
      </x:c>
      <x:c r="C1411">
        <x:v>30</x:v>
      </x:c>
      <x:c r="D1411">
        <x:f>ROUND($C1411*10*VLOOKUP($B1411,Sheet2!$J$5:$K$7,2,FALSE)*VLOOKUP(Sheet1!$A1411,Sheet2!$B$5:$H$29,3,FALSE),0)</x:f>
        <x:v>0</x:v>
      </x:c>
      <x:c r="E1411">
        <x:f>ROUND($C1411*10*VLOOKUP($B1411,Sheet2!$J$5:$K$7,2,FALSE)*VLOOKUP(Sheet1!$A1411,Sheet2!$B$5:$H$29,4,FALSE),0)</x:f>
        <x:v>360</x:v>
      </x:c>
      <x:c r="F1411">
        <x:f>ROUND($C1411*10*VLOOKUP($B1411,Sheet2!$J$5:$K$7,2,FALSE)*VLOOKUP(Sheet1!$A1411,Sheet2!$B$5:$H$29,5,FALSE),0)</x:f>
        <x:v>96</x:v>
      </x:c>
      <x:c r="G1411">
        <x:f>ROUND($C1411*10*VLOOKUP($B1411,Sheet2!$J$5:$K$7,2,FALSE)*VLOOKUP(Sheet1!$A1411,Sheet2!$B$5:$H$29,6,FALSE),0)</x:f>
        <x:v>0</x:v>
      </x:c>
      <x:c r="H1411">
        <x:f>ROUND($C1411*10*VLOOKUP($B1411,Sheet2!$J$5:$K$7,2,FALSE)*VLOOKUP(Sheet1!$A1411,Sheet2!$B$5:$H$29,7,FALSE),0)</x:f>
        <x:v>0</x:v>
      </x:c>
      <x:c r="I1411">
        <x:f t="shared" si="23"/>
        <x:v>54130</x:v>
      </x:c>
    </x:row>
    <x:row r="1412" spans="1:9" x14ac:dyDescent="0.15">
      <x:c r="A1412">
        <x:v>54053</x:v>
      </x:c>
      <x:c r="B1412">
        <x:v>3</x:v>
      </x:c>
      <x:c r="C1412">
        <x:v>31</x:v>
      </x:c>
      <x:c r="D1412">
        <x:f>ROUND($C1412*10*VLOOKUP($B1412,Sheet2!$J$5:$K$7,2,FALSE)*VLOOKUP(Sheet1!$A1412,Sheet2!$B$5:$H$29,3,FALSE),0)</x:f>
        <x:v>0</x:v>
      </x:c>
      <x:c r="E1412">
        <x:f>ROUND($C1412*10*VLOOKUP($B1412,Sheet2!$J$5:$K$7,2,FALSE)*VLOOKUP(Sheet1!$A1412,Sheet2!$B$5:$H$29,4,FALSE),0)</x:f>
        <x:v>372</x:v>
      </x:c>
      <x:c r="F1412">
        <x:f>ROUND($C1412*10*VLOOKUP($B1412,Sheet2!$J$5:$K$7,2,FALSE)*VLOOKUP(Sheet1!$A1412,Sheet2!$B$5:$H$29,5,FALSE),0)</x:f>
        <x:v>99</x:v>
      </x:c>
      <x:c r="G1412">
        <x:f>ROUND($C1412*10*VLOOKUP($B1412,Sheet2!$J$5:$K$7,2,FALSE)*VLOOKUP(Sheet1!$A1412,Sheet2!$B$5:$H$29,6,FALSE),0)</x:f>
        <x:v>0</x:v>
      </x:c>
      <x:c r="H1412">
        <x:f>ROUND($C1412*10*VLOOKUP($B1412,Sheet2!$J$5:$K$7,2,FALSE)*VLOOKUP(Sheet1!$A1412,Sheet2!$B$5:$H$29,7,FALSE),0)</x:f>
        <x:v>0</x:v>
      </x:c>
      <x:c r="I1412">
        <x:f t="shared" si="23"/>
        <x:v>57530</x:v>
      </x:c>
    </x:row>
    <x:row r="1413" spans="1:9" x14ac:dyDescent="0.15">
      <x:c r="A1413">
        <x:v>54053</x:v>
      </x:c>
      <x:c r="B1413">
        <x:v>3</x:v>
      </x:c>
      <x:c r="C1413">
        <x:v>32</x:v>
      </x:c>
      <x:c r="D1413">
        <x:f>ROUND($C1413*10*VLOOKUP($B1413,Sheet2!$J$5:$K$7,2,FALSE)*VLOOKUP(Sheet1!$A1413,Sheet2!$B$5:$H$29,3,FALSE),0)</x:f>
        <x:v>0</x:v>
      </x:c>
      <x:c r="E1413">
        <x:f>ROUND($C1413*10*VLOOKUP($B1413,Sheet2!$J$5:$K$7,2,FALSE)*VLOOKUP(Sheet1!$A1413,Sheet2!$B$5:$H$29,4,FALSE),0)</x:f>
        <x:v>384</x:v>
      </x:c>
      <x:c r="F1413">
        <x:f>ROUND($C1413*10*VLOOKUP($B1413,Sheet2!$J$5:$K$7,2,FALSE)*VLOOKUP(Sheet1!$A1413,Sheet2!$B$5:$H$29,5,FALSE),0)</x:f>
        <x:v>102</x:v>
      </x:c>
      <x:c r="G1413">
        <x:f>ROUND($C1413*10*VLOOKUP($B1413,Sheet2!$J$5:$K$7,2,FALSE)*VLOOKUP(Sheet1!$A1413,Sheet2!$B$5:$H$29,6,FALSE),0)</x:f>
        <x:v>0</x:v>
      </x:c>
      <x:c r="H1413">
        <x:f>ROUND($C1413*10*VLOOKUP($B1413,Sheet2!$J$5:$K$7,2,FALSE)*VLOOKUP(Sheet1!$A1413,Sheet2!$B$5:$H$29,7,FALSE),0)</x:f>
        <x:v>0</x:v>
      </x:c>
      <x:c r="I1413">
        <x:f t="shared" si="23"/>
        <x:v>61020</x:v>
      </x:c>
    </x:row>
    <x:row r="1414" spans="1:9" x14ac:dyDescent="0.15">
      <x:c r="A1414">
        <x:v>54053</x:v>
      </x:c>
      <x:c r="B1414">
        <x:v>3</x:v>
      </x:c>
      <x:c r="C1414">
        <x:v>33</x:v>
      </x:c>
      <x:c r="D1414">
        <x:f>ROUND($C1414*10*VLOOKUP($B1414,Sheet2!$J$5:$K$7,2,FALSE)*VLOOKUP(Sheet1!$A1414,Sheet2!$B$5:$H$29,3,FALSE),0)</x:f>
        <x:v>0</x:v>
      </x:c>
      <x:c r="E1414">
        <x:f>ROUND($C1414*10*VLOOKUP($B1414,Sheet2!$J$5:$K$7,2,FALSE)*VLOOKUP(Sheet1!$A1414,Sheet2!$B$5:$H$29,4,FALSE),0)</x:f>
        <x:v>396</x:v>
      </x:c>
      <x:c r="F1414">
        <x:f>ROUND($C1414*10*VLOOKUP($B1414,Sheet2!$J$5:$K$7,2,FALSE)*VLOOKUP(Sheet1!$A1414,Sheet2!$B$5:$H$29,5,FALSE),0)</x:f>
        <x:v>106</x:v>
      </x:c>
      <x:c r="G1414">
        <x:f>ROUND($C1414*10*VLOOKUP($B1414,Sheet2!$J$5:$K$7,2,FALSE)*VLOOKUP(Sheet1!$A1414,Sheet2!$B$5:$H$29,6,FALSE),0)</x:f>
        <x:v>0</x:v>
      </x:c>
      <x:c r="H1414">
        <x:f>ROUND($C1414*10*VLOOKUP($B1414,Sheet2!$J$5:$K$7,2,FALSE)*VLOOKUP(Sheet1!$A1414,Sheet2!$B$5:$H$29,7,FALSE),0)</x:f>
        <x:v>0</x:v>
      </x:c>
      <x:c r="I1414">
        <x:f t="shared" si="23"/>
        <x:v>64600</x:v>
      </x:c>
    </x:row>
    <x:row r="1415" spans="1:9" x14ac:dyDescent="0.15">
      <x:c r="A1415">
        <x:v>54053</x:v>
      </x:c>
      <x:c r="B1415">
        <x:v>3</x:v>
      </x:c>
      <x:c r="C1415">
        <x:v>34</x:v>
      </x:c>
      <x:c r="D1415">
        <x:f>ROUND($C1415*10*VLOOKUP($B1415,Sheet2!$J$5:$K$7,2,FALSE)*VLOOKUP(Sheet1!$A1415,Sheet2!$B$5:$H$29,3,FALSE),0)</x:f>
        <x:v>0</x:v>
      </x:c>
      <x:c r="E1415">
        <x:f>ROUND($C1415*10*VLOOKUP($B1415,Sheet2!$J$5:$K$7,2,FALSE)*VLOOKUP(Sheet1!$A1415,Sheet2!$B$5:$H$29,4,FALSE),0)</x:f>
        <x:v>408</x:v>
      </x:c>
      <x:c r="F1415">
        <x:f>ROUND($C1415*10*VLOOKUP($B1415,Sheet2!$J$5:$K$7,2,FALSE)*VLOOKUP(Sheet1!$A1415,Sheet2!$B$5:$H$29,5,FALSE),0)</x:f>
        <x:v>109</x:v>
      </x:c>
      <x:c r="G1415">
        <x:f>ROUND($C1415*10*VLOOKUP($B1415,Sheet2!$J$5:$K$7,2,FALSE)*VLOOKUP(Sheet1!$A1415,Sheet2!$B$5:$H$29,6,FALSE),0)</x:f>
        <x:v>0</x:v>
      </x:c>
      <x:c r="H1415">
        <x:f>ROUND($C1415*10*VLOOKUP($B1415,Sheet2!$J$5:$K$7,2,FALSE)*VLOOKUP(Sheet1!$A1415,Sheet2!$B$5:$H$29,7,FALSE),0)</x:f>
        <x:v>0</x:v>
      </x:c>
      <x:c r="I1415">
        <x:f t="shared" si="23"/>
        <x:v>68280</x:v>
      </x:c>
    </x:row>
    <x:row r="1416" spans="1:9" x14ac:dyDescent="0.15">
      <x:c r="A1416">
        <x:v>54053</x:v>
      </x:c>
      <x:c r="B1416">
        <x:v>3</x:v>
      </x:c>
      <x:c r="C1416">
        <x:v>35</x:v>
      </x:c>
      <x:c r="D1416">
        <x:f>ROUND($C1416*10*VLOOKUP($B1416,Sheet2!$J$5:$K$7,2,FALSE)*VLOOKUP(Sheet1!$A1416,Sheet2!$B$5:$H$29,3,FALSE),0)</x:f>
        <x:v>0</x:v>
      </x:c>
      <x:c r="E1416">
        <x:f>ROUND($C1416*10*VLOOKUP($B1416,Sheet2!$J$5:$K$7,2,FALSE)*VLOOKUP(Sheet1!$A1416,Sheet2!$B$5:$H$29,4,FALSE),0)</x:f>
        <x:v>420</x:v>
      </x:c>
      <x:c r="F1416">
        <x:f>ROUND($C1416*10*VLOOKUP($B1416,Sheet2!$J$5:$K$7,2,FALSE)*VLOOKUP(Sheet1!$A1416,Sheet2!$B$5:$H$29,5,FALSE),0)</x:f>
        <x:v>112</x:v>
      </x:c>
      <x:c r="G1416">
        <x:f>ROUND($C1416*10*VLOOKUP($B1416,Sheet2!$J$5:$K$7,2,FALSE)*VLOOKUP(Sheet1!$A1416,Sheet2!$B$5:$H$29,6,FALSE),0)</x:f>
        <x:v>0</x:v>
      </x:c>
      <x:c r="H1416">
        <x:f>ROUND($C1416*10*VLOOKUP($B1416,Sheet2!$J$5:$K$7,2,FALSE)*VLOOKUP(Sheet1!$A1416,Sheet2!$B$5:$H$29,7,FALSE),0)</x:f>
        <x:v>0</x:v>
      </x:c>
      <x:c r="I1416">
        <x:f t="shared" si="23"/>
        <x:v>72040</x:v>
      </x:c>
    </x:row>
    <x:row r="1417" spans="1:9" x14ac:dyDescent="0.15">
      <x:c r="A1417">
        <x:v>54053</x:v>
      </x:c>
      <x:c r="B1417">
        <x:v>3</x:v>
      </x:c>
      <x:c r="C1417">
        <x:v>36</x:v>
      </x:c>
      <x:c r="D1417">
        <x:f>ROUND($C1417*10*VLOOKUP($B1417,Sheet2!$J$5:$K$7,2,FALSE)*VLOOKUP(Sheet1!$A1417,Sheet2!$B$5:$H$29,3,FALSE),0)</x:f>
        <x:v>0</x:v>
      </x:c>
      <x:c r="E1417">
        <x:f>ROUND($C1417*10*VLOOKUP($B1417,Sheet2!$J$5:$K$7,2,FALSE)*VLOOKUP(Sheet1!$A1417,Sheet2!$B$5:$H$29,4,FALSE),0)</x:f>
        <x:v>432</x:v>
      </x:c>
      <x:c r="F1417">
        <x:f>ROUND($C1417*10*VLOOKUP($B1417,Sheet2!$J$5:$K$7,2,FALSE)*VLOOKUP(Sheet1!$A1417,Sheet2!$B$5:$H$29,5,FALSE),0)</x:f>
        <x:v>115</x:v>
      </x:c>
      <x:c r="G1417">
        <x:f>ROUND($C1417*10*VLOOKUP($B1417,Sheet2!$J$5:$K$7,2,FALSE)*VLOOKUP(Sheet1!$A1417,Sheet2!$B$5:$H$29,6,FALSE),0)</x:f>
        <x:v>0</x:v>
      </x:c>
      <x:c r="H1417">
        <x:f>ROUND($C1417*10*VLOOKUP($B1417,Sheet2!$J$5:$K$7,2,FALSE)*VLOOKUP(Sheet1!$A1417,Sheet2!$B$5:$H$29,7,FALSE),0)</x:f>
        <x:v>0</x:v>
      </x:c>
      <x:c r="I1417">
        <x:f t="shared" si="23"/>
        <x:v>75890</x:v>
      </x:c>
    </x:row>
    <x:row r="1418" spans="1:9" x14ac:dyDescent="0.15">
      <x:c r="A1418">
        <x:v>54053</x:v>
      </x:c>
      <x:c r="B1418">
        <x:v>3</x:v>
      </x:c>
      <x:c r="C1418">
        <x:v>37</x:v>
      </x:c>
      <x:c r="D1418">
        <x:f>ROUND($C1418*10*VLOOKUP($B1418,Sheet2!$J$5:$K$7,2,FALSE)*VLOOKUP(Sheet1!$A1418,Sheet2!$B$5:$H$29,3,FALSE),0)</x:f>
        <x:v>0</x:v>
      </x:c>
      <x:c r="E1418">
        <x:f>ROUND($C1418*10*VLOOKUP($B1418,Sheet2!$J$5:$K$7,2,FALSE)*VLOOKUP(Sheet1!$A1418,Sheet2!$B$5:$H$29,4,FALSE),0)</x:f>
        <x:v>444</x:v>
      </x:c>
      <x:c r="F1418">
        <x:f>ROUND($C1418*10*VLOOKUP($B1418,Sheet2!$J$5:$K$7,2,FALSE)*VLOOKUP(Sheet1!$A1418,Sheet2!$B$5:$H$29,5,FALSE),0)</x:f>
        <x:v>118</x:v>
      </x:c>
      <x:c r="G1418">
        <x:f>ROUND($C1418*10*VLOOKUP($B1418,Sheet2!$J$5:$K$7,2,FALSE)*VLOOKUP(Sheet1!$A1418,Sheet2!$B$5:$H$29,6,FALSE),0)</x:f>
        <x:v>0</x:v>
      </x:c>
      <x:c r="H1418">
        <x:f>ROUND($C1418*10*VLOOKUP($B1418,Sheet2!$J$5:$K$7,2,FALSE)*VLOOKUP(Sheet1!$A1418,Sheet2!$B$5:$H$29,7,FALSE),0)</x:f>
        <x:v>0</x:v>
      </x:c>
      <x:c r="I1418">
        <x:f t="shared" si="23"/>
        <x:v>79840</x:v>
      </x:c>
    </x:row>
    <x:row r="1419" spans="1:9" x14ac:dyDescent="0.15">
      <x:c r="A1419">
        <x:v>54053</x:v>
      </x:c>
      <x:c r="B1419">
        <x:v>3</x:v>
      </x:c>
      <x:c r="C1419">
        <x:v>38</x:v>
      </x:c>
      <x:c r="D1419">
        <x:f>ROUND($C1419*10*VLOOKUP($B1419,Sheet2!$J$5:$K$7,2,FALSE)*VLOOKUP(Sheet1!$A1419,Sheet2!$B$5:$H$29,3,FALSE),0)</x:f>
        <x:v>0</x:v>
      </x:c>
      <x:c r="E1419">
        <x:f>ROUND($C1419*10*VLOOKUP($B1419,Sheet2!$J$5:$K$7,2,FALSE)*VLOOKUP(Sheet1!$A1419,Sheet2!$B$5:$H$29,4,FALSE),0)</x:f>
        <x:v>456</x:v>
      </x:c>
      <x:c r="F1419">
        <x:f>ROUND($C1419*10*VLOOKUP($B1419,Sheet2!$J$5:$K$7,2,FALSE)*VLOOKUP(Sheet1!$A1419,Sheet2!$B$5:$H$29,5,FALSE),0)</x:f>
        <x:v>122</x:v>
      </x:c>
      <x:c r="G1419">
        <x:f>ROUND($C1419*10*VLOOKUP($B1419,Sheet2!$J$5:$K$7,2,FALSE)*VLOOKUP(Sheet1!$A1419,Sheet2!$B$5:$H$29,6,FALSE),0)</x:f>
        <x:v>0</x:v>
      </x:c>
      <x:c r="H1419">
        <x:f>ROUND($C1419*10*VLOOKUP($B1419,Sheet2!$J$5:$K$7,2,FALSE)*VLOOKUP(Sheet1!$A1419,Sheet2!$B$5:$H$29,7,FALSE),0)</x:f>
        <x:v>0</x:v>
      </x:c>
      <x:c r="I1419">
        <x:f t="shared" si="23"/>
        <x:v>83870</x:v>
      </x:c>
    </x:row>
    <x:row r="1420" spans="1:9" x14ac:dyDescent="0.15">
      <x:c r="A1420">
        <x:v>54053</x:v>
      </x:c>
      <x:c r="B1420">
        <x:v>3</x:v>
      </x:c>
      <x:c r="C1420">
        <x:v>39</x:v>
      </x:c>
      <x:c r="D1420">
        <x:f>ROUND($C1420*10*VLOOKUP($B1420,Sheet2!$J$5:$K$7,2,FALSE)*VLOOKUP(Sheet1!$A1420,Sheet2!$B$5:$H$29,3,FALSE),0)</x:f>
        <x:v>0</x:v>
      </x:c>
      <x:c r="E1420">
        <x:f>ROUND($C1420*10*VLOOKUP($B1420,Sheet2!$J$5:$K$7,2,FALSE)*VLOOKUP(Sheet1!$A1420,Sheet2!$B$5:$H$29,4,FALSE),0)</x:f>
        <x:v>468</x:v>
      </x:c>
      <x:c r="F1420">
        <x:f>ROUND($C1420*10*VLOOKUP($B1420,Sheet2!$J$5:$K$7,2,FALSE)*VLOOKUP(Sheet1!$A1420,Sheet2!$B$5:$H$29,5,FALSE),0)</x:f>
        <x:v>125</x:v>
      </x:c>
      <x:c r="G1420">
        <x:f>ROUND($C1420*10*VLOOKUP($B1420,Sheet2!$J$5:$K$7,2,FALSE)*VLOOKUP(Sheet1!$A1420,Sheet2!$B$5:$H$29,6,FALSE),0)</x:f>
        <x:v>0</x:v>
      </x:c>
      <x:c r="H1420">
        <x:f>ROUND($C1420*10*VLOOKUP($B1420,Sheet2!$J$5:$K$7,2,FALSE)*VLOOKUP(Sheet1!$A1420,Sheet2!$B$5:$H$29,7,FALSE),0)</x:f>
        <x:v>0</x:v>
      </x:c>
      <x:c r="I1420">
        <x:f t="shared" si="23"/>
        <x:v>87990</x:v>
      </x:c>
    </x:row>
    <x:row r="1421" spans="1:9" x14ac:dyDescent="0.15">
      <x:c r="A1421">
        <x:v>54053</x:v>
      </x:c>
      <x:c r="B1421">
        <x:v>3</x:v>
      </x:c>
      <x:c r="C1421">
        <x:v>40</x:v>
      </x:c>
      <x:c r="D1421">
        <x:f>ROUND($C1421*10*VLOOKUP($B1421,Sheet2!$J$5:$K$7,2,FALSE)*VLOOKUP(Sheet1!$A1421,Sheet2!$B$5:$H$29,3,FALSE),0)</x:f>
        <x:v>0</x:v>
      </x:c>
      <x:c r="E1421">
        <x:f>ROUND($C1421*10*VLOOKUP($B1421,Sheet2!$J$5:$K$7,2,FALSE)*VLOOKUP(Sheet1!$A1421,Sheet2!$B$5:$H$29,4,FALSE),0)</x:f>
        <x:v>480</x:v>
      </x:c>
      <x:c r="F1421">
        <x:f>ROUND($C1421*10*VLOOKUP($B1421,Sheet2!$J$5:$K$7,2,FALSE)*VLOOKUP(Sheet1!$A1421,Sheet2!$B$5:$H$29,5,FALSE),0)</x:f>
        <x:v>128</x:v>
      </x:c>
      <x:c r="G1421">
        <x:f>ROUND($C1421*10*VLOOKUP($B1421,Sheet2!$J$5:$K$7,2,FALSE)*VLOOKUP(Sheet1!$A1421,Sheet2!$B$5:$H$29,6,FALSE),0)</x:f>
        <x:v>0</x:v>
      </x:c>
      <x:c r="H1421">
        <x:f>ROUND($C1421*10*VLOOKUP($B1421,Sheet2!$J$5:$K$7,2,FALSE)*VLOOKUP(Sheet1!$A1421,Sheet2!$B$5:$H$29,7,FALSE),0)</x:f>
        <x:v>0</x:v>
      </x:c>
      <x:c r="I1421">
        <x:f t="shared" si="23"/>
        <x:v>92200</x:v>
      </x:c>
    </x:row>
    <x:row r="1422" spans="1:9" x14ac:dyDescent="0.15">
      <x:c r="A1422">
        <x:v>54053</x:v>
      </x:c>
      <x:c r="B1422">
        <x:v>3</x:v>
      </x:c>
      <x:c r="C1422">
        <x:v>41</x:v>
      </x:c>
      <x:c r="D1422">
        <x:f>ROUND($C1422*10*VLOOKUP($B1422,Sheet2!$J$5:$K$7,2,FALSE)*VLOOKUP(Sheet1!$A1422,Sheet2!$B$5:$H$29,3,FALSE),0)</x:f>
        <x:v>0</x:v>
      </x:c>
      <x:c r="E1422">
        <x:f>ROUND($C1422*10*VLOOKUP($B1422,Sheet2!$J$5:$K$7,2,FALSE)*VLOOKUP(Sheet1!$A1422,Sheet2!$B$5:$H$29,4,FALSE),0)</x:f>
        <x:v>492</x:v>
      </x:c>
      <x:c r="F1422">
        <x:f>ROUND($C1422*10*VLOOKUP($B1422,Sheet2!$J$5:$K$7,2,FALSE)*VLOOKUP(Sheet1!$A1422,Sheet2!$B$5:$H$29,5,FALSE),0)</x:f>
        <x:v>131</x:v>
      </x:c>
      <x:c r="G1422">
        <x:f>ROUND($C1422*10*VLOOKUP($B1422,Sheet2!$J$5:$K$7,2,FALSE)*VLOOKUP(Sheet1!$A1422,Sheet2!$B$5:$H$29,6,FALSE),0)</x:f>
        <x:v>0</x:v>
      </x:c>
      <x:c r="H1422">
        <x:f>ROUND($C1422*10*VLOOKUP($B1422,Sheet2!$J$5:$K$7,2,FALSE)*VLOOKUP(Sheet1!$A1422,Sheet2!$B$5:$H$29,7,FALSE),0)</x:f>
        <x:v>0</x:v>
      </x:c>
      <x:c r="I1422">
        <x:f t="shared" si="23"/>
        <x:v>96490</x:v>
      </x:c>
    </x:row>
    <x:row r="1423" spans="1:9" x14ac:dyDescent="0.15">
      <x:c r="A1423">
        <x:v>54053</x:v>
      </x:c>
      <x:c r="B1423">
        <x:v>3</x:v>
      </x:c>
      <x:c r="C1423">
        <x:v>42</x:v>
      </x:c>
      <x:c r="D1423">
        <x:f>ROUND($C1423*10*VLOOKUP($B1423,Sheet2!$J$5:$K$7,2,FALSE)*VLOOKUP(Sheet1!$A1423,Sheet2!$B$5:$H$29,3,FALSE),0)</x:f>
        <x:v>0</x:v>
      </x:c>
      <x:c r="E1423">
        <x:f>ROUND($C1423*10*VLOOKUP($B1423,Sheet2!$J$5:$K$7,2,FALSE)*VLOOKUP(Sheet1!$A1423,Sheet2!$B$5:$H$29,4,FALSE),0)</x:f>
        <x:v>504</x:v>
      </x:c>
      <x:c r="F1423">
        <x:f>ROUND($C1423*10*VLOOKUP($B1423,Sheet2!$J$5:$K$7,2,FALSE)*VLOOKUP(Sheet1!$A1423,Sheet2!$B$5:$H$29,5,FALSE),0)</x:f>
        <x:v>134</x:v>
      </x:c>
      <x:c r="G1423">
        <x:f>ROUND($C1423*10*VLOOKUP($B1423,Sheet2!$J$5:$K$7,2,FALSE)*VLOOKUP(Sheet1!$A1423,Sheet2!$B$5:$H$29,6,FALSE),0)</x:f>
        <x:v>0</x:v>
      </x:c>
      <x:c r="H1423">
        <x:f>ROUND($C1423*10*VLOOKUP($B1423,Sheet2!$J$5:$K$7,2,FALSE)*VLOOKUP(Sheet1!$A1423,Sheet2!$B$5:$H$29,7,FALSE),0)</x:f>
        <x:v>0</x:v>
      </x:c>
      <x:c r="I1423">
        <x:f t="shared" si="23"/>
        <x:v>100870</x:v>
      </x:c>
    </x:row>
    <x:row r="1424" spans="1:9" x14ac:dyDescent="0.15">
      <x:c r="A1424">
        <x:v>54053</x:v>
      </x:c>
      <x:c r="B1424">
        <x:v>3</x:v>
      </x:c>
      <x:c r="C1424">
        <x:v>43</x:v>
      </x:c>
      <x:c r="D1424">
        <x:f>ROUND($C1424*10*VLOOKUP($B1424,Sheet2!$J$5:$K$7,2,FALSE)*VLOOKUP(Sheet1!$A1424,Sheet2!$B$5:$H$29,3,FALSE),0)</x:f>
        <x:v>0</x:v>
      </x:c>
      <x:c r="E1424">
        <x:f>ROUND($C1424*10*VLOOKUP($B1424,Sheet2!$J$5:$K$7,2,FALSE)*VLOOKUP(Sheet1!$A1424,Sheet2!$B$5:$H$29,4,FALSE),0)</x:f>
        <x:v>516</x:v>
      </x:c>
      <x:c r="F1424">
        <x:f>ROUND($C1424*10*VLOOKUP($B1424,Sheet2!$J$5:$K$7,2,FALSE)*VLOOKUP(Sheet1!$A1424,Sheet2!$B$5:$H$29,5,FALSE),0)</x:f>
        <x:v>138</x:v>
      </x:c>
      <x:c r="G1424">
        <x:f>ROUND($C1424*10*VLOOKUP($B1424,Sheet2!$J$5:$K$7,2,FALSE)*VLOOKUP(Sheet1!$A1424,Sheet2!$B$5:$H$29,6,FALSE),0)</x:f>
        <x:v>0</x:v>
      </x:c>
      <x:c r="H1424">
        <x:f>ROUND($C1424*10*VLOOKUP($B1424,Sheet2!$J$5:$K$7,2,FALSE)*VLOOKUP(Sheet1!$A1424,Sheet2!$B$5:$H$29,7,FALSE),0)</x:f>
        <x:v>0</x:v>
      </x:c>
      <x:c r="I1424">
        <x:f t="shared" si="23"/>
        <x:v>105340</x:v>
      </x:c>
    </x:row>
    <x:row r="1425" spans="1:9" x14ac:dyDescent="0.15">
      <x:c r="A1425">
        <x:v>54053</x:v>
      </x:c>
      <x:c r="B1425">
        <x:v>3</x:v>
      </x:c>
      <x:c r="C1425">
        <x:v>44</x:v>
      </x:c>
      <x:c r="D1425">
        <x:f>ROUND($C1425*10*VLOOKUP($B1425,Sheet2!$J$5:$K$7,2,FALSE)*VLOOKUP(Sheet1!$A1425,Sheet2!$B$5:$H$29,3,FALSE),0)</x:f>
        <x:v>0</x:v>
      </x:c>
      <x:c r="E1425">
        <x:f>ROUND($C1425*10*VLOOKUP($B1425,Sheet2!$J$5:$K$7,2,FALSE)*VLOOKUP(Sheet1!$A1425,Sheet2!$B$5:$H$29,4,FALSE),0)</x:f>
        <x:v>528</x:v>
      </x:c>
      <x:c r="F1425">
        <x:f>ROUND($C1425*10*VLOOKUP($B1425,Sheet2!$J$5:$K$7,2,FALSE)*VLOOKUP(Sheet1!$A1425,Sheet2!$B$5:$H$29,5,FALSE),0)</x:f>
        <x:v>141</x:v>
      </x:c>
      <x:c r="G1425">
        <x:f>ROUND($C1425*10*VLOOKUP($B1425,Sheet2!$J$5:$K$7,2,FALSE)*VLOOKUP(Sheet1!$A1425,Sheet2!$B$5:$H$29,6,FALSE),0)</x:f>
        <x:v>0</x:v>
      </x:c>
      <x:c r="H1425">
        <x:f>ROUND($C1425*10*VLOOKUP($B1425,Sheet2!$J$5:$K$7,2,FALSE)*VLOOKUP(Sheet1!$A1425,Sheet2!$B$5:$H$29,7,FALSE),0)</x:f>
        <x:v>0</x:v>
      </x:c>
      <x:c r="I1425">
        <x:f t="shared" si="23"/>
        <x:v>109890</x:v>
      </x:c>
    </x:row>
    <x:row r="1426" spans="1:9" x14ac:dyDescent="0.15">
      <x:c r="A1426">
        <x:v>54053</x:v>
      </x:c>
      <x:c r="B1426">
        <x:v>3</x:v>
      </x:c>
      <x:c r="C1426">
        <x:v>45</x:v>
      </x:c>
      <x:c r="D1426">
        <x:f>ROUND($C1426*10*VLOOKUP($B1426,Sheet2!$J$5:$K$7,2,FALSE)*VLOOKUP(Sheet1!$A1426,Sheet2!$B$5:$H$29,3,FALSE),0)</x:f>
        <x:v>0</x:v>
      </x:c>
      <x:c r="E1426">
        <x:f>ROUND($C1426*10*VLOOKUP($B1426,Sheet2!$J$5:$K$7,2,FALSE)*VLOOKUP(Sheet1!$A1426,Sheet2!$B$5:$H$29,4,FALSE),0)</x:f>
        <x:v>540</x:v>
      </x:c>
      <x:c r="F1426">
        <x:f>ROUND($C1426*10*VLOOKUP($B1426,Sheet2!$J$5:$K$7,2,FALSE)*VLOOKUP(Sheet1!$A1426,Sheet2!$B$5:$H$29,5,FALSE),0)</x:f>
        <x:v>144</x:v>
      </x:c>
      <x:c r="G1426">
        <x:f>ROUND($C1426*10*VLOOKUP($B1426,Sheet2!$J$5:$K$7,2,FALSE)*VLOOKUP(Sheet1!$A1426,Sheet2!$B$5:$H$29,6,FALSE),0)</x:f>
        <x:v>0</x:v>
      </x:c>
      <x:c r="H1426">
        <x:f>ROUND($C1426*10*VLOOKUP($B1426,Sheet2!$J$5:$K$7,2,FALSE)*VLOOKUP(Sheet1!$A1426,Sheet2!$B$5:$H$29,7,FALSE),0)</x:f>
        <x:v>0</x:v>
      </x:c>
      <x:c r="I1426">
        <x:f t="shared" si="23"/>
        <x:v>114530</x:v>
      </x:c>
    </x:row>
    <x:row r="1427" spans="1:9" x14ac:dyDescent="0.15">
      <x:c r="A1427">
        <x:v>54053</x:v>
      </x:c>
      <x:c r="B1427">
        <x:v>3</x:v>
      </x:c>
      <x:c r="C1427">
        <x:v>46</x:v>
      </x:c>
      <x:c r="D1427">
        <x:f>ROUND($C1427*10*VLOOKUP($B1427,Sheet2!$J$5:$K$7,2,FALSE)*VLOOKUP(Sheet1!$A1427,Sheet2!$B$5:$H$29,3,FALSE),0)</x:f>
        <x:v>0</x:v>
      </x:c>
      <x:c r="E1427">
        <x:f>ROUND($C1427*10*VLOOKUP($B1427,Sheet2!$J$5:$K$7,2,FALSE)*VLOOKUP(Sheet1!$A1427,Sheet2!$B$5:$H$29,4,FALSE),0)</x:f>
        <x:v>552</x:v>
      </x:c>
      <x:c r="F1427">
        <x:f>ROUND($C1427*10*VLOOKUP($B1427,Sheet2!$J$5:$K$7,2,FALSE)*VLOOKUP(Sheet1!$A1427,Sheet2!$B$5:$H$29,5,FALSE),0)</x:f>
        <x:v>147</x:v>
      </x:c>
      <x:c r="G1427">
        <x:f>ROUND($C1427*10*VLOOKUP($B1427,Sheet2!$J$5:$K$7,2,FALSE)*VLOOKUP(Sheet1!$A1427,Sheet2!$B$5:$H$29,6,FALSE),0)</x:f>
        <x:v>0</x:v>
      </x:c>
      <x:c r="H1427">
        <x:f>ROUND($C1427*10*VLOOKUP($B1427,Sheet2!$J$5:$K$7,2,FALSE)*VLOOKUP(Sheet1!$A1427,Sheet2!$B$5:$H$29,7,FALSE),0)</x:f>
        <x:v>0</x:v>
      </x:c>
      <x:c r="I1427">
        <x:f t="shared" si="23"/>
        <x:v>119260</x:v>
      </x:c>
    </x:row>
    <x:row r="1428" spans="1:9" x14ac:dyDescent="0.15">
      <x:c r="A1428">
        <x:v>54053</x:v>
      </x:c>
      <x:c r="B1428">
        <x:v>3</x:v>
      </x:c>
      <x:c r="C1428">
        <x:v>47</x:v>
      </x:c>
      <x:c r="D1428">
        <x:f>ROUND($C1428*10*VLOOKUP($B1428,Sheet2!$J$5:$K$7,2,FALSE)*VLOOKUP(Sheet1!$A1428,Sheet2!$B$5:$H$29,3,FALSE),0)</x:f>
        <x:v>0</x:v>
      </x:c>
      <x:c r="E1428">
        <x:f>ROUND($C1428*10*VLOOKUP($B1428,Sheet2!$J$5:$K$7,2,FALSE)*VLOOKUP(Sheet1!$A1428,Sheet2!$B$5:$H$29,4,FALSE),0)</x:f>
        <x:v>564</x:v>
      </x:c>
      <x:c r="F1428">
        <x:f>ROUND($C1428*10*VLOOKUP($B1428,Sheet2!$J$5:$K$7,2,FALSE)*VLOOKUP(Sheet1!$A1428,Sheet2!$B$5:$H$29,5,FALSE),0)</x:f>
        <x:v>150</x:v>
      </x:c>
      <x:c r="G1428">
        <x:f>ROUND($C1428*10*VLOOKUP($B1428,Sheet2!$J$5:$K$7,2,FALSE)*VLOOKUP(Sheet1!$A1428,Sheet2!$B$5:$H$29,6,FALSE),0)</x:f>
        <x:v>0</x:v>
      </x:c>
      <x:c r="H1428">
        <x:f>ROUND($C1428*10*VLOOKUP($B1428,Sheet2!$J$5:$K$7,2,FALSE)*VLOOKUP(Sheet1!$A1428,Sheet2!$B$5:$H$29,7,FALSE),0)</x:f>
        <x:v>0</x:v>
      </x:c>
      <x:c r="I1428">
        <x:f t="shared" si="23"/>
        <x:v>124070</x:v>
      </x:c>
    </x:row>
    <x:row r="1429" spans="1:9" x14ac:dyDescent="0.15">
      <x:c r="A1429">
        <x:v>54053</x:v>
      </x:c>
      <x:c r="B1429">
        <x:v>3</x:v>
      </x:c>
      <x:c r="C1429">
        <x:v>48</x:v>
      </x:c>
      <x:c r="D1429">
        <x:f>ROUND($C1429*10*VLOOKUP($B1429,Sheet2!$J$5:$K$7,2,FALSE)*VLOOKUP(Sheet1!$A1429,Sheet2!$B$5:$H$29,3,FALSE),0)</x:f>
        <x:v>0</x:v>
      </x:c>
      <x:c r="E1429">
        <x:f>ROUND($C1429*10*VLOOKUP($B1429,Sheet2!$J$5:$K$7,2,FALSE)*VLOOKUP(Sheet1!$A1429,Sheet2!$B$5:$H$29,4,FALSE),0)</x:f>
        <x:v>576</x:v>
      </x:c>
      <x:c r="F1429">
        <x:f>ROUND($C1429*10*VLOOKUP($B1429,Sheet2!$J$5:$K$7,2,FALSE)*VLOOKUP(Sheet1!$A1429,Sheet2!$B$5:$H$29,5,FALSE),0)</x:f>
        <x:v>154</x:v>
      </x:c>
      <x:c r="G1429">
        <x:f>ROUND($C1429*10*VLOOKUP($B1429,Sheet2!$J$5:$K$7,2,FALSE)*VLOOKUP(Sheet1!$A1429,Sheet2!$B$5:$H$29,6,FALSE),0)</x:f>
        <x:v>0</x:v>
      </x:c>
      <x:c r="H1429">
        <x:f>ROUND($C1429*10*VLOOKUP($B1429,Sheet2!$J$5:$K$7,2,FALSE)*VLOOKUP(Sheet1!$A1429,Sheet2!$B$5:$H$29,7,FALSE),0)</x:f>
        <x:v>0</x:v>
      </x:c>
      <x:c r="I1429">
        <x:f t="shared" si="23"/>
        <x:v>128960</x:v>
      </x:c>
    </x:row>
    <x:row r="1430" spans="1:9" x14ac:dyDescent="0.15">
      <x:c r="A1430">
        <x:v>54053</x:v>
      </x:c>
      <x:c r="B1430">
        <x:v>3</x:v>
      </x:c>
      <x:c r="C1430">
        <x:v>49</x:v>
      </x:c>
      <x:c r="D1430">
        <x:f>ROUND($C1430*10*VLOOKUP($B1430,Sheet2!$J$5:$K$7,2,FALSE)*VLOOKUP(Sheet1!$A1430,Sheet2!$B$5:$H$29,3,FALSE),0)</x:f>
        <x:v>0</x:v>
      </x:c>
      <x:c r="E1430">
        <x:f>ROUND($C1430*10*VLOOKUP($B1430,Sheet2!$J$5:$K$7,2,FALSE)*VLOOKUP(Sheet1!$A1430,Sheet2!$B$5:$H$29,4,FALSE),0)</x:f>
        <x:v>588</x:v>
      </x:c>
      <x:c r="F1430">
        <x:f>ROUND($C1430*10*VLOOKUP($B1430,Sheet2!$J$5:$K$7,2,FALSE)*VLOOKUP(Sheet1!$A1430,Sheet2!$B$5:$H$29,5,FALSE),0)</x:f>
        <x:v>157</x:v>
      </x:c>
      <x:c r="G1430">
        <x:f>ROUND($C1430*10*VLOOKUP($B1430,Sheet2!$J$5:$K$7,2,FALSE)*VLOOKUP(Sheet1!$A1430,Sheet2!$B$5:$H$29,6,FALSE),0)</x:f>
        <x:v>0</x:v>
      </x:c>
      <x:c r="H1430">
        <x:f>ROUND($C1430*10*VLOOKUP($B1430,Sheet2!$J$5:$K$7,2,FALSE)*VLOOKUP(Sheet1!$A1430,Sheet2!$B$5:$H$29,7,FALSE),0)</x:f>
        <x:v>0</x:v>
      </x:c>
      <x:c r="I1430">
        <x:f t="shared" si="23"/>
        <x:v>133940</x:v>
      </x:c>
    </x:row>
    <x:row r="1431" spans="1:9" x14ac:dyDescent="0.15">
      <x:c r="A1431">
        <x:v>54053</x:v>
      </x:c>
      <x:c r="B1431">
        <x:v>3</x:v>
      </x:c>
      <x:c r="C1431">
        <x:v>50</x:v>
      </x:c>
      <x:c r="D1431">
        <x:f>ROUND($C1431*10*VLOOKUP($B1431,Sheet2!$J$5:$K$7,2,FALSE)*VLOOKUP(Sheet1!$A1431,Sheet2!$B$5:$H$29,3,FALSE),0)</x:f>
        <x:v>0</x:v>
      </x:c>
      <x:c r="E1431">
        <x:f>ROUND($C1431*10*VLOOKUP($B1431,Sheet2!$J$5:$K$7,2,FALSE)*VLOOKUP(Sheet1!$A1431,Sheet2!$B$5:$H$29,4,FALSE),0)</x:f>
        <x:v>600</x:v>
      </x:c>
      <x:c r="F1431">
        <x:f>ROUND($C1431*10*VLOOKUP($B1431,Sheet2!$J$5:$K$7,2,FALSE)*VLOOKUP(Sheet1!$A1431,Sheet2!$B$5:$H$29,5,FALSE),0)</x:f>
        <x:v>160</x:v>
      </x:c>
      <x:c r="G1431">
        <x:f>ROUND($C1431*10*VLOOKUP($B1431,Sheet2!$J$5:$K$7,2,FALSE)*VLOOKUP(Sheet1!$A1431,Sheet2!$B$5:$H$29,6,FALSE),0)</x:f>
        <x:v>0</x:v>
      </x:c>
      <x:c r="H1431">
        <x:f>ROUND($C1431*10*VLOOKUP($B1431,Sheet2!$J$5:$K$7,2,FALSE)*VLOOKUP(Sheet1!$A1431,Sheet2!$B$5:$H$29,7,FALSE),0)</x:f>
        <x:v>0</x:v>
      </x:c>
      <x:c r="I1431">
        <x:f t="shared" si="23"/>
        <x:v>139000</x:v>
      </x:c>
    </x:row>
    <x:row r="1432" spans="1:9" x14ac:dyDescent="0.15">
      <x:c r="A1432">
        <x:v>54053</x:v>
      </x:c>
      <x:c r="B1432">
        <x:v>3</x:v>
      </x:c>
      <x:c r="C1432">
        <x:v>51</x:v>
      </x:c>
      <x:c r="D1432">
        <x:f>ROUND($C1432*10*VLOOKUP($B1432,Sheet2!$J$5:$K$7,2,FALSE)*VLOOKUP(Sheet1!$A1432,Sheet2!$B$5:$H$29,3,FALSE),0)</x:f>
        <x:v>0</x:v>
      </x:c>
      <x:c r="E1432">
        <x:f>ROUND($C1432*10*VLOOKUP($B1432,Sheet2!$J$5:$K$7,2,FALSE)*VLOOKUP(Sheet1!$A1432,Sheet2!$B$5:$H$29,4,FALSE),0)</x:f>
        <x:v>612</x:v>
      </x:c>
      <x:c r="F1432">
        <x:f>ROUND($C1432*10*VLOOKUP($B1432,Sheet2!$J$5:$K$7,2,FALSE)*VLOOKUP(Sheet1!$A1432,Sheet2!$B$5:$H$29,5,FALSE),0)</x:f>
        <x:v>163</x:v>
      </x:c>
      <x:c r="G1432">
        <x:f>ROUND($C1432*10*VLOOKUP($B1432,Sheet2!$J$5:$K$7,2,FALSE)*VLOOKUP(Sheet1!$A1432,Sheet2!$B$5:$H$29,6,FALSE),0)</x:f>
        <x:v>0</x:v>
      </x:c>
      <x:c r="H1432">
        <x:f>ROUND($C1432*10*VLOOKUP($B1432,Sheet2!$J$5:$K$7,2,FALSE)*VLOOKUP(Sheet1!$A1432,Sheet2!$B$5:$H$29,7,FALSE),0)</x:f>
        <x:v>0</x:v>
      </x:c>
      <x:c r="I1432">
        <x:f t="shared" si="23"/>
        <x:v>144140</x:v>
      </x:c>
    </x:row>
    <x:row r="1433" spans="1:9" x14ac:dyDescent="0.15">
      <x:c r="A1433">
        <x:v>54053</x:v>
      </x:c>
      <x:c r="B1433">
        <x:v>3</x:v>
      </x:c>
      <x:c r="C1433">
        <x:v>52</x:v>
      </x:c>
      <x:c r="D1433">
        <x:f>ROUND($C1433*10*VLOOKUP($B1433,Sheet2!$J$5:$K$7,2,FALSE)*VLOOKUP(Sheet1!$A1433,Sheet2!$B$5:$H$29,3,FALSE),0)</x:f>
        <x:v>0</x:v>
      </x:c>
      <x:c r="E1433">
        <x:f>ROUND($C1433*10*VLOOKUP($B1433,Sheet2!$J$5:$K$7,2,FALSE)*VLOOKUP(Sheet1!$A1433,Sheet2!$B$5:$H$29,4,FALSE),0)</x:f>
        <x:v>624</x:v>
      </x:c>
      <x:c r="F1433">
        <x:f>ROUND($C1433*10*VLOOKUP($B1433,Sheet2!$J$5:$K$7,2,FALSE)*VLOOKUP(Sheet1!$A1433,Sheet2!$B$5:$H$29,5,FALSE),0)</x:f>
        <x:v>166</x:v>
      </x:c>
      <x:c r="G1433">
        <x:f>ROUND($C1433*10*VLOOKUP($B1433,Sheet2!$J$5:$K$7,2,FALSE)*VLOOKUP(Sheet1!$A1433,Sheet2!$B$5:$H$29,6,FALSE),0)</x:f>
        <x:v>0</x:v>
      </x:c>
      <x:c r="H1433">
        <x:f>ROUND($C1433*10*VLOOKUP($B1433,Sheet2!$J$5:$K$7,2,FALSE)*VLOOKUP(Sheet1!$A1433,Sheet2!$B$5:$H$29,7,FALSE),0)</x:f>
        <x:v>0</x:v>
      </x:c>
      <x:c r="I1433">
        <x:f t="shared" si="23"/>
        <x:v>149370</x:v>
      </x:c>
    </x:row>
    <x:row r="1434" spans="1:9" x14ac:dyDescent="0.15">
      <x:c r="A1434">
        <x:v>54053</x:v>
      </x:c>
      <x:c r="B1434">
        <x:v>3</x:v>
      </x:c>
      <x:c r="C1434">
        <x:v>53</x:v>
      </x:c>
      <x:c r="D1434">
        <x:f>ROUND($C1434*10*VLOOKUP($B1434,Sheet2!$J$5:$K$7,2,FALSE)*VLOOKUP(Sheet1!$A1434,Sheet2!$B$5:$H$29,3,FALSE),0)</x:f>
        <x:v>0</x:v>
      </x:c>
      <x:c r="E1434">
        <x:f>ROUND($C1434*10*VLOOKUP($B1434,Sheet2!$J$5:$K$7,2,FALSE)*VLOOKUP(Sheet1!$A1434,Sheet2!$B$5:$H$29,4,FALSE),0)</x:f>
        <x:v>636</x:v>
      </x:c>
      <x:c r="F1434">
        <x:f>ROUND($C1434*10*VLOOKUP($B1434,Sheet2!$J$5:$K$7,2,FALSE)*VLOOKUP(Sheet1!$A1434,Sheet2!$B$5:$H$29,5,FALSE),0)</x:f>
        <x:v>170</x:v>
      </x:c>
      <x:c r="G1434">
        <x:f>ROUND($C1434*10*VLOOKUP($B1434,Sheet2!$J$5:$K$7,2,FALSE)*VLOOKUP(Sheet1!$A1434,Sheet2!$B$5:$H$29,6,FALSE),0)</x:f>
        <x:v>0</x:v>
      </x:c>
      <x:c r="H1434">
        <x:f>ROUND($C1434*10*VLOOKUP($B1434,Sheet2!$J$5:$K$7,2,FALSE)*VLOOKUP(Sheet1!$A1434,Sheet2!$B$5:$H$29,7,FALSE),0)</x:f>
        <x:v>0</x:v>
      </x:c>
      <x:c r="I1434">
        <x:f t="shared" si="23"/>
        <x:v>154680</x:v>
      </x:c>
    </x:row>
    <x:row r="1435" spans="1:9" x14ac:dyDescent="0.15">
      <x:c r="A1435">
        <x:v>54053</x:v>
      </x:c>
      <x:c r="B1435">
        <x:v>3</x:v>
      </x:c>
      <x:c r="C1435">
        <x:v>54</x:v>
      </x:c>
      <x:c r="D1435">
        <x:f>ROUND($C1435*10*VLOOKUP($B1435,Sheet2!$J$5:$K$7,2,FALSE)*VLOOKUP(Sheet1!$A1435,Sheet2!$B$5:$H$29,3,FALSE),0)</x:f>
        <x:v>0</x:v>
      </x:c>
      <x:c r="E1435">
        <x:f>ROUND($C1435*10*VLOOKUP($B1435,Sheet2!$J$5:$K$7,2,FALSE)*VLOOKUP(Sheet1!$A1435,Sheet2!$B$5:$H$29,4,FALSE),0)</x:f>
        <x:v>648</x:v>
      </x:c>
      <x:c r="F1435">
        <x:f>ROUND($C1435*10*VLOOKUP($B1435,Sheet2!$J$5:$K$7,2,FALSE)*VLOOKUP(Sheet1!$A1435,Sheet2!$B$5:$H$29,5,FALSE),0)</x:f>
        <x:v>173</x:v>
      </x:c>
      <x:c r="G1435">
        <x:f>ROUND($C1435*10*VLOOKUP($B1435,Sheet2!$J$5:$K$7,2,FALSE)*VLOOKUP(Sheet1!$A1435,Sheet2!$B$5:$H$29,6,FALSE),0)</x:f>
        <x:v>0</x:v>
      </x:c>
      <x:c r="H1435">
        <x:f>ROUND($C1435*10*VLOOKUP($B1435,Sheet2!$J$5:$K$7,2,FALSE)*VLOOKUP(Sheet1!$A1435,Sheet2!$B$5:$H$29,7,FALSE),0)</x:f>
        <x:v>0</x:v>
      </x:c>
      <x:c r="I1435">
        <x:f t="shared" si="23"/>
        <x:v>160070</x:v>
      </x:c>
    </x:row>
    <x:row r="1436" spans="1:9" x14ac:dyDescent="0.15">
      <x:c r="A1436">
        <x:v>54053</x:v>
      </x:c>
      <x:c r="B1436">
        <x:v>3</x:v>
      </x:c>
      <x:c r="C1436">
        <x:v>55</x:v>
      </x:c>
      <x:c r="D1436">
        <x:f>ROUND($C1436*10*VLOOKUP($B1436,Sheet2!$J$5:$K$7,2,FALSE)*VLOOKUP(Sheet1!$A1436,Sheet2!$B$5:$H$29,3,FALSE),0)</x:f>
        <x:v>0</x:v>
      </x:c>
      <x:c r="E1436">
        <x:f>ROUND($C1436*10*VLOOKUP($B1436,Sheet2!$J$5:$K$7,2,FALSE)*VLOOKUP(Sheet1!$A1436,Sheet2!$B$5:$H$29,4,FALSE),0)</x:f>
        <x:v>660</x:v>
      </x:c>
      <x:c r="F1436">
        <x:f>ROUND($C1436*10*VLOOKUP($B1436,Sheet2!$J$5:$K$7,2,FALSE)*VLOOKUP(Sheet1!$A1436,Sheet2!$B$5:$H$29,5,FALSE),0)</x:f>
        <x:v>176</x:v>
      </x:c>
      <x:c r="G1436">
        <x:f>ROUND($C1436*10*VLOOKUP($B1436,Sheet2!$J$5:$K$7,2,FALSE)*VLOOKUP(Sheet1!$A1436,Sheet2!$B$5:$H$29,6,FALSE),0)</x:f>
        <x:v>0</x:v>
      </x:c>
      <x:c r="H1436">
        <x:f>ROUND($C1436*10*VLOOKUP($B1436,Sheet2!$J$5:$K$7,2,FALSE)*VLOOKUP(Sheet1!$A1436,Sheet2!$B$5:$H$29,7,FALSE),0)</x:f>
        <x:v>0</x:v>
      </x:c>
      <x:c r="I1436">
        <x:f t="shared" si="23"/>
        <x:v>165540</x:v>
      </x:c>
    </x:row>
    <x:row r="1437" spans="1:9" x14ac:dyDescent="0.15">
      <x:c r="A1437">
        <x:v>54053</x:v>
      </x:c>
      <x:c r="B1437">
        <x:v>3</x:v>
      </x:c>
      <x:c r="C1437">
        <x:v>56</x:v>
      </x:c>
      <x:c r="D1437">
        <x:f>ROUND($C1437*10*VLOOKUP($B1437,Sheet2!$J$5:$K$7,2,FALSE)*VLOOKUP(Sheet1!$A1437,Sheet2!$B$5:$H$29,3,FALSE),0)</x:f>
        <x:v>0</x:v>
      </x:c>
      <x:c r="E1437">
        <x:f>ROUND($C1437*10*VLOOKUP($B1437,Sheet2!$J$5:$K$7,2,FALSE)*VLOOKUP(Sheet1!$A1437,Sheet2!$B$5:$H$29,4,FALSE),0)</x:f>
        <x:v>672</x:v>
      </x:c>
      <x:c r="F1437">
        <x:f>ROUND($C1437*10*VLOOKUP($B1437,Sheet2!$J$5:$K$7,2,FALSE)*VLOOKUP(Sheet1!$A1437,Sheet2!$B$5:$H$29,5,FALSE),0)</x:f>
        <x:v>179</x:v>
      </x:c>
      <x:c r="G1437">
        <x:f>ROUND($C1437*10*VLOOKUP($B1437,Sheet2!$J$5:$K$7,2,FALSE)*VLOOKUP(Sheet1!$A1437,Sheet2!$B$5:$H$29,6,FALSE),0)</x:f>
        <x:v>0</x:v>
      </x:c>
      <x:c r="H1437">
        <x:f>ROUND($C1437*10*VLOOKUP($B1437,Sheet2!$J$5:$K$7,2,FALSE)*VLOOKUP(Sheet1!$A1437,Sheet2!$B$5:$H$29,7,FALSE),0)</x:f>
        <x:v>0</x:v>
      </x:c>
      <x:c r="I1437">
        <x:f t="shared" si="23"/>
        <x:v>171100</x:v>
      </x:c>
    </x:row>
    <x:row r="1438" spans="1:9" x14ac:dyDescent="0.15">
      <x:c r="A1438">
        <x:v>54053</x:v>
      </x:c>
      <x:c r="B1438">
        <x:v>3</x:v>
      </x:c>
      <x:c r="C1438">
        <x:v>57</x:v>
      </x:c>
      <x:c r="D1438">
        <x:f>ROUND($C1438*10*VLOOKUP($B1438,Sheet2!$J$5:$K$7,2,FALSE)*VLOOKUP(Sheet1!$A1438,Sheet2!$B$5:$H$29,3,FALSE),0)</x:f>
        <x:v>0</x:v>
      </x:c>
      <x:c r="E1438">
        <x:f>ROUND($C1438*10*VLOOKUP($B1438,Sheet2!$J$5:$K$7,2,FALSE)*VLOOKUP(Sheet1!$A1438,Sheet2!$B$5:$H$29,4,FALSE),0)</x:f>
        <x:v>684</x:v>
      </x:c>
      <x:c r="F1438">
        <x:f>ROUND($C1438*10*VLOOKUP($B1438,Sheet2!$J$5:$K$7,2,FALSE)*VLOOKUP(Sheet1!$A1438,Sheet2!$B$5:$H$29,5,FALSE),0)</x:f>
        <x:v>182</x:v>
      </x:c>
      <x:c r="G1438">
        <x:f>ROUND($C1438*10*VLOOKUP($B1438,Sheet2!$J$5:$K$7,2,FALSE)*VLOOKUP(Sheet1!$A1438,Sheet2!$B$5:$H$29,6,FALSE),0)</x:f>
        <x:v>0</x:v>
      </x:c>
      <x:c r="H1438">
        <x:f>ROUND($C1438*10*VLOOKUP($B1438,Sheet2!$J$5:$K$7,2,FALSE)*VLOOKUP(Sheet1!$A1438,Sheet2!$B$5:$H$29,7,FALSE),0)</x:f>
        <x:v>0</x:v>
      </x:c>
      <x:c r="I1438">
        <x:f t="shared" si="23"/>
        <x:v>176740</x:v>
      </x:c>
    </x:row>
    <x:row r="1439" spans="1:9" x14ac:dyDescent="0.15">
      <x:c r="A1439">
        <x:v>54053</x:v>
      </x:c>
      <x:c r="B1439">
        <x:v>3</x:v>
      </x:c>
      <x:c r="C1439">
        <x:v>58</x:v>
      </x:c>
      <x:c r="D1439">
        <x:f>ROUND($C1439*10*VLOOKUP($B1439,Sheet2!$J$5:$K$7,2,FALSE)*VLOOKUP(Sheet1!$A1439,Sheet2!$B$5:$H$29,3,FALSE),0)</x:f>
        <x:v>0</x:v>
      </x:c>
      <x:c r="E1439">
        <x:f>ROUND($C1439*10*VLOOKUP($B1439,Sheet2!$J$5:$K$7,2,FALSE)*VLOOKUP(Sheet1!$A1439,Sheet2!$B$5:$H$29,4,FALSE),0)</x:f>
        <x:v>696</x:v>
      </x:c>
      <x:c r="F1439">
        <x:f>ROUND($C1439*10*VLOOKUP($B1439,Sheet2!$J$5:$K$7,2,FALSE)*VLOOKUP(Sheet1!$A1439,Sheet2!$B$5:$H$29,5,FALSE),0)</x:f>
        <x:v>186</x:v>
      </x:c>
      <x:c r="G1439">
        <x:f>ROUND($C1439*10*VLOOKUP($B1439,Sheet2!$J$5:$K$7,2,FALSE)*VLOOKUP(Sheet1!$A1439,Sheet2!$B$5:$H$29,6,FALSE),0)</x:f>
        <x:v>0</x:v>
      </x:c>
      <x:c r="H1439">
        <x:f>ROUND($C1439*10*VLOOKUP($B1439,Sheet2!$J$5:$K$7,2,FALSE)*VLOOKUP(Sheet1!$A1439,Sheet2!$B$5:$H$29,7,FALSE),0)</x:f>
        <x:v>0</x:v>
      </x:c>
      <x:c r="I1439">
        <x:f t="shared" si="23"/>
        <x:v>182460</x:v>
      </x:c>
    </x:row>
    <x:row r="1440" spans="1:9" x14ac:dyDescent="0.15">
      <x:c r="A1440">
        <x:v>54053</x:v>
      </x:c>
      <x:c r="B1440">
        <x:v>3</x:v>
      </x:c>
      <x:c r="C1440">
        <x:v>59</x:v>
      </x:c>
      <x:c r="D1440">
        <x:f>ROUND($C1440*10*VLOOKUP($B1440,Sheet2!$J$5:$K$7,2,FALSE)*VLOOKUP(Sheet1!$A1440,Sheet2!$B$5:$H$29,3,FALSE),0)</x:f>
        <x:v>0</x:v>
      </x:c>
      <x:c r="E1440">
        <x:f>ROUND($C1440*10*VLOOKUP($B1440,Sheet2!$J$5:$K$7,2,FALSE)*VLOOKUP(Sheet1!$A1440,Sheet2!$B$5:$H$29,4,FALSE),0)</x:f>
        <x:v>708</x:v>
      </x:c>
      <x:c r="F1440">
        <x:f>ROUND($C1440*10*VLOOKUP($B1440,Sheet2!$J$5:$K$7,2,FALSE)*VLOOKUP(Sheet1!$A1440,Sheet2!$B$5:$H$29,5,FALSE),0)</x:f>
        <x:v>189</x:v>
      </x:c>
      <x:c r="G1440">
        <x:f>ROUND($C1440*10*VLOOKUP($B1440,Sheet2!$J$5:$K$7,2,FALSE)*VLOOKUP(Sheet1!$A1440,Sheet2!$B$5:$H$29,6,FALSE),0)</x:f>
        <x:v>0</x:v>
      </x:c>
      <x:c r="H1440">
        <x:f>ROUND($C1440*10*VLOOKUP($B1440,Sheet2!$J$5:$K$7,2,FALSE)*VLOOKUP(Sheet1!$A1440,Sheet2!$B$5:$H$29,7,FALSE),0)</x:f>
        <x:v>0</x:v>
      </x:c>
      <x:c r="I1440">
        <x:f t="shared" si="23"/>
        <x:v>188260</x:v>
      </x:c>
    </x:row>
    <x:row r="1441" spans="1:9" x14ac:dyDescent="0.15">
      <x:c r="A1441">
        <x:v>54053</x:v>
      </x:c>
      <x:c r="B1441">
        <x:v>3</x:v>
      </x:c>
      <x:c r="C1441">
        <x:v>60</x:v>
      </x:c>
      <x:c r="D1441">
        <x:f>ROUND($C1441*10*VLOOKUP($B1441,Sheet2!$J$5:$K$7,2,FALSE)*VLOOKUP(Sheet1!$A1441,Sheet2!$B$5:$H$29,3,FALSE),0)</x:f>
        <x:v>0</x:v>
      </x:c>
      <x:c r="E1441">
        <x:f>ROUND($C1441*10*VLOOKUP($B1441,Sheet2!$J$5:$K$7,2,FALSE)*VLOOKUP(Sheet1!$A1441,Sheet2!$B$5:$H$29,4,FALSE),0)</x:f>
        <x:v>720</x:v>
      </x:c>
      <x:c r="F1441">
        <x:f>ROUND($C1441*10*VLOOKUP($B1441,Sheet2!$J$5:$K$7,2,FALSE)*VLOOKUP(Sheet1!$A1441,Sheet2!$B$5:$H$29,5,FALSE),0)</x:f>
        <x:v>192</x:v>
      </x:c>
      <x:c r="G1441">
        <x:f>ROUND($C1441*10*VLOOKUP($B1441,Sheet2!$J$5:$K$7,2,FALSE)*VLOOKUP(Sheet1!$A1441,Sheet2!$B$5:$H$29,6,FALSE),0)</x:f>
        <x:v>0</x:v>
      </x:c>
      <x:c r="H1441">
        <x:f>ROUND($C1441*10*VLOOKUP($B1441,Sheet2!$J$5:$K$7,2,FALSE)*VLOOKUP(Sheet1!$A1441,Sheet2!$B$5:$H$29,7,FALSE),0)</x:f>
        <x:v>0</x:v>
      </x:c>
      <x:c r="I1441">
        <x:f t="shared" si="23"/>
        <x:v>194140</x:v>
      </x:c>
    </x:row>
    <x:row r="1442" spans="1:9" x14ac:dyDescent="0.15">
      <x:c r="A1442">
        <x:v>54054</x:v>
      </x:c>
      <x:c r="B1442">
        <x:v>1</x:v>
      </x:c>
      <x:c r="C1442">
        <x:v>1</x:v>
      </x:c>
      <x:c r="D1442">
        <x:f>ROUND($C1442*10*VLOOKUP($B1442,Sheet2!$J$5:$K$7,2,FALSE)*VLOOKUP(Sheet1!$A1442,Sheet2!$B$5:$H$29,3,FALSE),0)</x:f>
        <x:v>0</x:v>
      </x:c>
      <x:c r="E1442">
        <x:f>ROUND($C1442*10*VLOOKUP($B1442,Sheet2!$J$5:$K$7,2,FALSE)*VLOOKUP(Sheet1!$A1442,Sheet2!$B$5:$H$29,4,FALSE),0)</x:f>
        <x:v>6</x:v>
      </x:c>
      <x:c r="F1442">
        <x:f>ROUND($C1442*10*VLOOKUP($B1442,Sheet2!$J$5:$K$7,2,FALSE)*VLOOKUP(Sheet1!$A1442,Sheet2!$B$5:$H$29,5,FALSE),0)</x:f>
        <x:v>0</x:v>
      </x:c>
      <x:c r="G1442">
        <x:f>ROUND($C1442*10*VLOOKUP($B1442,Sheet2!$J$5:$K$7,2,FALSE)*VLOOKUP(Sheet1!$A1442,Sheet2!$B$5:$H$29,6,FALSE),0)</x:f>
        <x:v>2</x:v>
      </x:c>
      <x:c r="H1442">
        <x:f>ROUND($C1442*10*VLOOKUP($B1442,Sheet2!$J$5:$K$7,2,FALSE)*VLOOKUP(Sheet1!$A1442,Sheet2!$B$5:$H$29,7,FALSE),0)</x:f>
        <x:v>0</x:v>
      </x:c>
      <x:c r="I1442">
        <x:f t="shared" ref="I1442:I1501" si="24">ROUND(1.2*10*1.8*(C1442-1)^1.8+30,-1)</x:f>
        <x:v>30</x:v>
      </x:c>
    </x:row>
    <x:row r="1443" spans="1:9" x14ac:dyDescent="0.15">
      <x:c r="A1443">
        <x:v>54054</x:v>
      </x:c>
      <x:c r="B1443">
        <x:v>1</x:v>
      </x:c>
      <x:c r="C1443">
        <x:v>2</x:v>
      </x:c>
      <x:c r="D1443">
        <x:f>ROUND($C1443*10*VLOOKUP($B1443,Sheet2!$J$5:$K$7,2,FALSE)*VLOOKUP(Sheet1!$A1443,Sheet2!$B$5:$H$29,3,FALSE),0)</x:f>
        <x:v>0</x:v>
      </x:c>
      <x:c r="E1443">
        <x:f>ROUND($C1443*10*VLOOKUP($B1443,Sheet2!$J$5:$K$7,2,FALSE)*VLOOKUP(Sheet1!$A1443,Sheet2!$B$5:$H$29,4,FALSE),0)</x:f>
        <x:v>12</x:v>
      </x:c>
      <x:c r="F1443">
        <x:f>ROUND($C1443*10*VLOOKUP($B1443,Sheet2!$J$5:$K$7,2,FALSE)*VLOOKUP(Sheet1!$A1443,Sheet2!$B$5:$H$29,5,FALSE),0)</x:f>
        <x:v>0</x:v>
      </x:c>
      <x:c r="G1443">
        <x:f>ROUND($C1443*10*VLOOKUP($B1443,Sheet2!$J$5:$K$7,2,FALSE)*VLOOKUP(Sheet1!$A1443,Sheet2!$B$5:$H$29,6,FALSE),0)</x:f>
        <x:v>3</x:v>
      </x:c>
      <x:c r="H1443">
        <x:f>ROUND($C1443*10*VLOOKUP($B1443,Sheet2!$J$5:$K$7,2,FALSE)*VLOOKUP(Sheet1!$A1443,Sheet2!$B$5:$H$29,7,FALSE),0)</x:f>
        <x:v>0</x:v>
      </x:c>
      <x:c r="I1443">
        <x:f t="shared" si="24"/>
        <x:v>50</x:v>
      </x:c>
    </x:row>
    <x:row r="1444" spans="1:9" x14ac:dyDescent="0.15">
      <x:c r="A1444">
        <x:v>54054</x:v>
      </x:c>
      <x:c r="B1444">
        <x:v>1</x:v>
      </x:c>
      <x:c r="C1444">
        <x:v>3</x:v>
      </x:c>
      <x:c r="D1444">
        <x:f>ROUND($C1444*10*VLOOKUP($B1444,Sheet2!$J$5:$K$7,2,FALSE)*VLOOKUP(Sheet1!$A1444,Sheet2!$B$5:$H$29,3,FALSE),0)</x:f>
        <x:v>0</x:v>
      </x:c>
      <x:c r="E1444">
        <x:f>ROUND($C1444*10*VLOOKUP($B1444,Sheet2!$J$5:$K$7,2,FALSE)*VLOOKUP(Sheet1!$A1444,Sheet2!$B$5:$H$29,4,FALSE),0)</x:f>
        <x:v>18</x:v>
      </x:c>
      <x:c r="F1444">
        <x:f>ROUND($C1444*10*VLOOKUP($B1444,Sheet2!$J$5:$K$7,2,FALSE)*VLOOKUP(Sheet1!$A1444,Sheet2!$B$5:$H$29,5,FALSE),0)</x:f>
        <x:v>0</x:v>
      </x:c>
      <x:c r="G1444">
        <x:f>ROUND($C1444*10*VLOOKUP($B1444,Sheet2!$J$5:$K$7,2,FALSE)*VLOOKUP(Sheet1!$A1444,Sheet2!$B$5:$H$29,6,FALSE),0)</x:f>
        <x:v>5</x:v>
      </x:c>
      <x:c r="H1444">
        <x:f>ROUND($C1444*10*VLOOKUP($B1444,Sheet2!$J$5:$K$7,2,FALSE)*VLOOKUP(Sheet1!$A1444,Sheet2!$B$5:$H$29,7,FALSE),0)</x:f>
        <x:v>0</x:v>
      </x:c>
      <x:c r="I1444">
        <x:f t="shared" si="24"/>
        <x:v>110</x:v>
      </x:c>
    </x:row>
    <x:row r="1445" spans="1:9" x14ac:dyDescent="0.15">
      <x:c r="A1445">
        <x:v>54054</x:v>
      </x:c>
      <x:c r="B1445">
        <x:v>1</x:v>
      </x:c>
      <x:c r="C1445">
        <x:v>4</x:v>
      </x:c>
      <x:c r="D1445">
        <x:f>ROUND($C1445*10*VLOOKUP($B1445,Sheet2!$J$5:$K$7,2,FALSE)*VLOOKUP(Sheet1!$A1445,Sheet2!$B$5:$H$29,3,FALSE),0)</x:f>
        <x:v>0</x:v>
      </x:c>
      <x:c r="E1445">
        <x:f>ROUND($C1445*10*VLOOKUP($B1445,Sheet2!$J$5:$K$7,2,FALSE)*VLOOKUP(Sheet1!$A1445,Sheet2!$B$5:$H$29,4,FALSE),0)</x:f>
        <x:v>24</x:v>
      </x:c>
      <x:c r="F1445">
        <x:f>ROUND($C1445*10*VLOOKUP($B1445,Sheet2!$J$5:$K$7,2,FALSE)*VLOOKUP(Sheet1!$A1445,Sheet2!$B$5:$H$29,5,FALSE),0)</x:f>
        <x:v>0</x:v>
      </x:c>
      <x:c r="G1445">
        <x:f>ROUND($C1445*10*VLOOKUP($B1445,Sheet2!$J$5:$K$7,2,FALSE)*VLOOKUP(Sheet1!$A1445,Sheet2!$B$5:$H$29,6,FALSE),0)</x:f>
        <x:v>6</x:v>
      </x:c>
      <x:c r="H1445">
        <x:f>ROUND($C1445*10*VLOOKUP($B1445,Sheet2!$J$5:$K$7,2,FALSE)*VLOOKUP(Sheet1!$A1445,Sheet2!$B$5:$H$29,7,FALSE),0)</x:f>
        <x:v>0</x:v>
      </x:c>
      <x:c r="I1445">
        <x:f t="shared" si="24"/>
        <x:v>190</x:v>
      </x:c>
    </x:row>
    <x:row r="1446" spans="1:9" x14ac:dyDescent="0.15">
      <x:c r="A1446">
        <x:v>54054</x:v>
      </x:c>
      <x:c r="B1446">
        <x:v>1</x:v>
      </x:c>
      <x:c r="C1446">
        <x:v>5</x:v>
      </x:c>
      <x:c r="D1446">
        <x:f>ROUND($C1446*10*VLOOKUP($B1446,Sheet2!$J$5:$K$7,2,FALSE)*VLOOKUP(Sheet1!$A1446,Sheet2!$B$5:$H$29,3,FALSE),0)</x:f>
        <x:v>0</x:v>
      </x:c>
      <x:c r="E1446">
        <x:f>ROUND($C1446*10*VLOOKUP($B1446,Sheet2!$J$5:$K$7,2,FALSE)*VLOOKUP(Sheet1!$A1446,Sheet2!$B$5:$H$29,4,FALSE),0)</x:f>
        <x:v>30</x:v>
      </x:c>
      <x:c r="F1446">
        <x:f>ROUND($C1446*10*VLOOKUP($B1446,Sheet2!$J$5:$K$7,2,FALSE)*VLOOKUP(Sheet1!$A1446,Sheet2!$B$5:$H$29,5,FALSE),0)</x:f>
        <x:v>0</x:v>
      </x:c>
      <x:c r="G1446">
        <x:f>ROUND($C1446*10*VLOOKUP($B1446,Sheet2!$J$5:$K$7,2,FALSE)*VLOOKUP(Sheet1!$A1446,Sheet2!$B$5:$H$29,6,FALSE),0)</x:f>
        <x:v>8</x:v>
      </x:c>
      <x:c r="H1446">
        <x:f>ROUND($C1446*10*VLOOKUP($B1446,Sheet2!$J$5:$K$7,2,FALSE)*VLOOKUP(Sheet1!$A1446,Sheet2!$B$5:$H$29,7,FALSE),0)</x:f>
        <x:v>0</x:v>
      </x:c>
      <x:c r="I1446">
        <x:f t="shared" si="24"/>
        <x:v>290</x:v>
      </x:c>
    </x:row>
    <x:row r="1447" spans="1:9" x14ac:dyDescent="0.15">
      <x:c r="A1447">
        <x:v>54054</x:v>
      </x:c>
      <x:c r="B1447">
        <x:v>1</x:v>
      </x:c>
      <x:c r="C1447">
        <x:v>6</x:v>
      </x:c>
      <x:c r="D1447">
        <x:f>ROUND($C1447*10*VLOOKUP($B1447,Sheet2!$J$5:$K$7,2,FALSE)*VLOOKUP(Sheet1!$A1447,Sheet2!$B$5:$H$29,3,FALSE),0)</x:f>
        <x:v>0</x:v>
      </x:c>
      <x:c r="E1447">
        <x:f>ROUND($C1447*10*VLOOKUP($B1447,Sheet2!$J$5:$K$7,2,FALSE)*VLOOKUP(Sheet1!$A1447,Sheet2!$B$5:$H$29,4,FALSE),0)</x:f>
        <x:v>36</x:v>
      </x:c>
      <x:c r="F1447">
        <x:f>ROUND($C1447*10*VLOOKUP($B1447,Sheet2!$J$5:$K$7,2,FALSE)*VLOOKUP(Sheet1!$A1447,Sheet2!$B$5:$H$29,5,FALSE),0)</x:f>
        <x:v>0</x:v>
      </x:c>
      <x:c r="G1447">
        <x:f>ROUND($C1447*10*VLOOKUP($B1447,Sheet2!$J$5:$K$7,2,FALSE)*VLOOKUP(Sheet1!$A1447,Sheet2!$B$5:$H$29,6,FALSE),0)</x:f>
        <x:v>10</x:v>
      </x:c>
      <x:c r="H1447">
        <x:f>ROUND($C1447*10*VLOOKUP($B1447,Sheet2!$J$5:$K$7,2,FALSE)*VLOOKUP(Sheet1!$A1447,Sheet2!$B$5:$H$29,7,FALSE),0)</x:f>
        <x:v>0</x:v>
      </x:c>
      <x:c r="I1447">
        <x:f t="shared" si="24"/>
        <x:v>420</x:v>
      </x:c>
    </x:row>
    <x:row r="1448" spans="1:9" x14ac:dyDescent="0.15">
      <x:c r="A1448">
        <x:v>54054</x:v>
      </x:c>
      <x:c r="B1448">
        <x:v>1</x:v>
      </x:c>
      <x:c r="C1448">
        <x:v>7</x:v>
      </x:c>
      <x:c r="D1448">
        <x:f>ROUND($C1448*10*VLOOKUP($B1448,Sheet2!$J$5:$K$7,2,FALSE)*VLOOKUP(Sheet1!$A1448,Sheet2!$B$5:$H$29,3,FALSE),0)</x:f>
        <x:v>0</x:v>
      </x:c>
      <x:c r="E1448">
        <x:f>ROUND($C1448*10*VLOOKUP($B1448,Sheet2!$J$5:$K$7,2,FALSE)*VLOOKUP(Sheet1!$A1448,Sheet2!$B$5:$H$29,4,FALSE),0)</x:f>
        <x:v>42</x:v>
      </x:c>
      <x:c r="F1448">
        <x:f>ROUND($C1448*10*VLOOKUP($B1448,Sheet2!$J$5:$K$7,2,FALSE)*VLOOKUP(Sheet1!$A1448,Sheet2!$B$5:$H$29,5,FALSE),0)</x:f>
        <x:v>0</x:v>
      </x:c>
      <x:c r="G1448">
        <x:f>ROUND($C1448*10*VLOOKUP($B1448,Sheet2!$J$5:$K$7,2,FALSE)*VLOOKUP(Sheet1!$A1448,Sheet2!$B$5:$H$29,6,FALSE),0)</x:f>
        <x:v>11</x:v>
      </x:c>
      <x:c r="H1448">
        <x:f>ROUND($C1448*10*VLOOKUP($B1448,Sheet2!$J$5:$K$7,2,FALSE)*VLOOKUP(Sheet1!$A1448,Sheet2!$B$5:$H$29,7,FALSE),0)</x:f>
        <x:v>0</x:v>
      </x:c>
      <x:c r="I1448">
        <x:f t="shared" si="24"/>
        <x:v>570</x:v>
      </x:c>
    </x:row>
    <x:row r="1449" spans="1:9" x14ac:dyDescent="0.15">
      <x:c r="A1449">
        <x:v>54054</x:v>
      </x:c>
      <x:c r="B1449">
        <x:v>1</x:v>
      </x:c>
      <x:c r="C1449">
        <x:v>8</x:v>
      </x:c>
      <x:c r="D1449">
        <x:f>ROUND($C1449*10*VLOOKUP($B1449,Sheet2!$J$5:$K$7,2,FALSE)*VLOOKUP(Sheet1!$A1449,Sheet2!$B$5:$H$29,3,FALSE),0)</x:f>
        <x:v>0</x:v>
      </x:c>
      <x:c r="E1449">
        <x:f>ROUND($C1449*10*VLOOKUP($B1449,Sheet2!$J$5:$K$7,2,FALSE)*VLOOKUP(Sheet1!$A1449,Sheet2!$B$5:$H$29,4,FALSE),0)</x:f>
        <x:v>48</x:v>
      </x:c>
      <x:c r="F1449">
        <x:f>ROUND($C1449*10*VLOOKUP($B1449,Sheet2!$J$5:$K$7,2,FALSE)*VLOOKUP(Sheet1!$A1449,Sheet2!$B$5:$H$29,5,FALSE),0)</x:f>
        <x:v>0</x:v>
      </x:c>
      <x:c r="G1449">
        <x:f>ROUND($C1449*10*VLOOKUP($B1449,Sheet2!$J$5:$K$7,2,FALSE)*VLOOKUP(Sheet1!$A1449,Sheet2!$B$5:$H$29,6,FALSE),0)</x:f>
        <x:v>13</x:v>
      </x:c>
      <x:c r="H1449">
        <x:f>ROUND($C1449*10*VLOOKUP($B1449,Sheet2!$J$5:$K$7,2,FALSE)*VLOOKUP(Sheet1!$A1449,Sheet2!$B$5:$H$29,7,FALSE),0)</x:f>
        <x:v>0</x:v>
      </x:c>
      <x:c r="I1449">
        <x:f t="shared" si="24"/>
        <x:v>750</x:v>
      </x:c>
    </x:row>
    <x:row r="1450" spans="1:9" x14ac:dyDescent="0.15">
      <x:c r="A1450">
        <x:v>54054</x:v>
      </x:c>
      <x:c r="B1450">
        <x:v>1</x:v>
      </x:c>
      <x:c r="C1450">
        <x:v>9</x:v>
      </x:c>
      <x:c r="D1450">
        <x:f>ROUND($C1450*10*VLOOKUP($B1450,Sheet2!$J$5:$K$7,2,FALSE)*VLOOKUP(Sheet1!$A1450,Sheet2!$B$5:$H$29,3,FALSE),0)</x:f>
        <x:v>0</x:v>
      </x:c>
      <x:c r="E1450">
        <x:f>ROUND($C1450*10*VLOOKUP($B1450,Sheet2!$J$5:$K$7,2,FALSE)*VLOOKUP(Sheet1!$A1450,Sheet2!$B$5:$H$29,4,FALSE),0)</x:f>
        <x:v>54</x:v>
      </x:c>
      <x:c r="F1450">
        <x:f>ROUND($C1450*10*VLOOKUP($B1450,Sheet2!$J$5:$K$7,2,FALSE)*VLOOKUP(Sheet1!$A1450,Sheet2!$B$5:$H$29,5,FALSE),0)</x:f>
        <x:v>0</x:v>
      </x:c>
      <x:c r="G1450">
        <x:f>ROUND($C1450*10*VLOOKUP($B1450,Sheet2!$J$5:$K$7,2,FALSE)*VLOOKUP(Sheet1!$A1450,Sheet2!$B$5:$H$29,6,FALSE),0)</x:f>
        <x:v>14</x:v>
      </x:c>
      <x:c r="H1450">
        <x:f>ROUND($C1450*10*VLOOKUP($B1450,Sheet2!$J$5:$K$7,2,FALSE)*VLOOKUP(Sheet1!$A1450,Sheet2!$B$5:$H$29,7,FALSE),0)</x:f>
        <x:v>0</x:v>
      </x:c>
      <x:c r="I1450">
        <x:f t="shared" si="24"/>
        <x:v>940</x:v>
      </x:c>
    </x:row>
    <x:row r="1451" spans="1:9" x14ac:dyDescent="0.15">
      <x:c r="A1451">
        <x:v>54054</x:v>
      </x:c>
      <x:c r="B1451">
        <x:v>1</x:v>
      </x:c>
      <x:c r="C1451">
        <x:v>10</x:v>
      </x:c>
      <x:c r="D1451">
        <x:f>ROUND($C1451*10*VLOOKUP($B1451,Sheet2!$J$5:$K$7,2,FALSE)*VLOOKUP(Sheet1!$A1451,Sheet2!$B$5:$H$29,3,FALSE),0)</x:f>
        <x:v>0</x:v>
      </x:c>
      <x:c r="E1451">
        <x:f>ROUND($C1451*10*VLOOKUP($B1451,Sheet2!$J$5:$K$7,2,FALSE)*VLOOKUP(Sheet1!$A1451,Sheet2!$B$5:$H$29,4,FALSE),0)</x:f>
        <x:v>60</x:v>
      </x:c>
      <x:c r="F1451">
        <x:f>ROUND($C1451*10*VLOOKUP($B1451,Sheet2!$J$5:$K$7,2,FALSE)*VLOOKUP(Sheet1!$A1451,Sheet2!$B$5:$H$29,5,FALSE),0)</x:f>
        <x:v>0</x:v>
      </x:c>
      <x:c r="G1451">
        <x:f>ROUND($C1451*10*VLOOKUP($B1451,Sheet2!$J$5:$K$7,2,FALSE)*VLOOKUP(Sheet1!$A1451,Sheet2!$B$5:$H$29,6,FALSE),0)</x:f>
        <x:v>16</x:v>
      </x:c>
      <x:c r="H1451">
        <x:f>ROUND($C1451*10*VLOOKUP($B1451,Sheet2!$J$5:$K$7,2,FALSE)*VLOOKUP(Sheet1!$A1451,Sheet2!$B$5:$H$29,7,FALSE),0)</x:f>
        <x:v>0</x:v>
      </x:c>
      <x:c r="I1451">
        <x:f t="shared" si="24"/>
        <x:v>1160</x:v>
      </x:c>
    </x:row>
    <x:row r="1452" spans="1:9" x14ac:dyDescent="0.15">
      <x:c r="A1452">
        <x:v>54054</x:v>
      </x:c>
      <x:c r="B1452">
        <x:v>1</x:v>
      </x:c>
      <x:c r="C1452">
        <x:v>11</x:v>
      </x:c>
      <x:c r="D1452">
        <x:f>ROUND($C1452*10*VLOOKUP($B1452,Sheet2!$J$5:$K$7,2,FALSE)*VLOOKUP(Sheet1!$A1452,Sheet2!$B$5:$H$29,3,FALSE),0)</x:f>
        <x:v>0</x:v>
      </x:c>
      <x:c r="E1452">
        <x:f>ROUND($C1452*10*VLOOKUP($B1452,Sheet2!$J$5:$K$7,2,FALSE)*VLOOKUP(Sheet1!$A1452,Sheet2!$B$5:$H$29,4,FALSE),0)</x:f>
        <x:v>66</x:v>
      </x:c>
      <x:c r="F1452">
        <x:f>ROUND($C1452*10*VLOOKUP($B1452,Sheet2!$J$5:$K$7,2,FALSE)*VLOOKUP(Sheet1!$A1452,Sheet2!$B$5:$H$29,5,FALSE),0)</x:f>
        <x:v>0</x:v>
      </x:c>
      <x:c r="G1452">
        <x:f>ROUND($C1452*10*VLOOKUP($B1452,Sheet2!$J$5:$K$7,2,FALSE)*VLOOKUP(Sheet1!$A1452,Sheet2!$B$5:$H$29,6,FALSE),0)</x:f>
        <x:v>18</x:v>
      </x:c>
      <x:c r="H1452">
        <x:f>ROUND($C1452*10*VLOOKUP($B1452,Sheet2!$J$5:$K$7,2,FALSE)*VLOOKUP(Sheet1!$A1452,Sheet2!$B$5:$H$29,7,FALSE),0)</x:f>
        <x:v>0</x:v>
      </x:c>
      <x:c r="I1452">
        <x:f t="shared" si="24"/>
        <x:v>1390</x:v>
      </x:c>
    </x:row>
    <x:row r="1453" spans="1:9" x14ac:dyDescent="0.15">
      <x:c r="A1453">
        <x:v>54054</x:v>
      </x:c>
      <x:c r="B1453">
        <x:v>1</x:v>
      </x:c>
      <x:c r="C1453">
        <x:v>12</x:v>
      </x:c>
      <x:c r="D1453">
        <x:f>ROUND($C1453*10*VLOOKUP($B1453,Sheet2!$J$5:$K$7,2,FALSE)*VLOOKUP(Sheet1!$A1453,Sheet2!$B$5:$H$29,3,FALSE),0)</x:f>
        <x:v>0</x:v>
      </x:c>
      <x:c r="E1453">
        <x:f>ROUND($C1453*10*VLOOKUP($B1453,Sheet2!$J$5:$K$7,2,FALSE)*VLOOKUP(Sheet1!$A1453,Sheet2!$B$5:$H$29,4,FALSE),0)</x:f>
        <x:v>72</x:v>
      </x:c>
      <x:c r="F1453">
        <x:f>ROUND($C1453*10*VLOOKUP($B1453,Sheet2!$J$5:$K$7,2,FALSE)*VLOOKUP(Sheet1!$A1453,Sheet2!$B$5:$H$29,5,FALSE),0)</x:f>
        <x:v>0</x:v>
      </x:c>
      <x:c r="G1453">
        <x:f>ROUND($C1453*10*VLOOKUP($B1453,Sheet2!$J$5:$K$7,2,FALSE)*VLOOKUP(Sheet1!$A1453,Sheet2!$B$5:$H$29,6,FALSE),0)</x:f>
        <x:v>19</x:v>
      </x:c>
      <x:c r="H1453">
        <x:f>ROUND($C1453*10*VLOOKUP($B1453,Sheet2!$J$5:$K$7,2,FALSE)*VLOOKUP(Sheet1!$A1453,Sheet2!$B$5:$H$29,7,FALSE),0)</x:f>
        <x:v>0</x:v>
      </x:c>
      <x:c r="I1453">
        <x:f t="shared" si="24"/>
        <x:v>1650</x:v>
      </x:c>
    </x:row>
    <x:row r="1454" spans="1:9" x14ac:dyDescent="0.15">
      <x:c r="A1454">
        <x:v>54054</x:v>
      </x:c>
      <x:c r="B1454">
        <x:v>1</x:v>
      </x:c>
      <x:c r="C1454">
        <x:v>13</x:v>
      </x:c>
      <x:c r="D1454">
        <x:f>ROUND($C1454*10*VLOOKUP($B1454,Sheet2!$J$5:$K$7,2,FALSE)*VLOOKUP(Sheet1!$A1454,Sheet2!$B$5:$H$29,3,FALSE),0)</x:f>
        <x:v>0</x:v>
      </x:c>
      <x:c r="E1454">
        <x:f>ROUND($C1454*10*VLOOKUP($B1454,Sheet2!$J$5:$K$7,2,FALSE)*VLOOKUP(Sheet1!$A1454,Sheet2!$B$5:$H$29,4,FALSE),0)</x:f>
        <x:v>78</x:v>
      </x:c>
      <x:c r="F1454">
        <x:f>ROUND($C1454*10*VLOOKUP($B1454,Sheet2!$J$5:$K$7,2,FALSE)*VLOOKUP(Sheet1!$A1454,Sheet2!$B$5:$H$29,5,FALSE),0)</x:f>
        <x:v>0</x:v>
      </x:c>
      <x:c r="G1454">
        <x:f>ROUND($C1454*10*VLOOKUP($B1454,Sheet2!$J$5:$K$7,2,FALSE)*VLOOKUP(Sheet1!$A1454,Sheet2!$B$5:$H$29,6,FALSE),0)</x:f>
        <x:v>21</x:v>
      </x:c>
      <x:c r="H1454">
        <x:f>ROUND($C1454*10*VLOOKUP($B1454,Sheet2!$J$5:$K$7,2,FALSE)*VLOOKUP(Sheet1!$A1454,Sheet2!$B$5:$H$29,7,FALSE),0)</x:f>
        <x:v>0</x:v>
      </x:c>
      <x:c r="I1454">
        <x:f t="shared" si="24"/>
        <x:v>1920</x:v>
      </x:c>
    </x:row>
    <x:row r="1455" spans="1:9" x14ac:dyDescent="0.15">
      <x:c r="A1455">
        <x:v>54054</x:v>
      </x:c>
      <x:c r="B1455">
        <x:v>1</x:v>
      </x:c>
      <x:c r="C1455">
        <x:v>14</x:v>
      </x:c>
      <x:c r="D1455">
        <x:f>ROUND($C1455*10*VLOOKUP($B1455,Sheet2!$J$5:$K$7,2,FALSE)*VLOOKUP(Sheet1!$A1455,Sheet2!$B$5:$H$29,3,FALSE),0)</x:f>
        <x:v>0</x:v>
      </x:c>
      <x:c r="E1455">
        <x:f>ROUND($C1455*10*VLOOKUP($B1455,Sheet2!$J$5:$K$7,2,FALSE)*VLOOKUP(Sheet1!$A1455,Sheet2!$B$5:$H$29,4,FALSE),0)</x:f>
        <x:v>84</x:v>
      </x:c>
      <x:c r="F1455">
        <x:f>ROUND($C1455*10*VLOOKUP($B1455,Sheet2!$J$5:$K$7,2,FALSE)*VLOOKUP(Sheet1!$A1455,Sheet2!$B$5:$H$29,5,FALSE),0)</x:f>
        <x:v>0</x:v>
      </x:c>
      <x:c r="G1455">
        <x:f>ROUND($C1455*10*VLOOKUP($B1455,Sheet2!$J$5:$K$7,2,FALSE)*VLOOKUP(Sheet1!$A1455,Sheet2!$B$5:$H$29,6,FALSE),0)</x:f>
        <x:v>22</x:v>
      </x:c>
      <x:c r="H1455">
        <x:f>ROUND($C1455*10*VLOOKUP($B1455,Sheet2!$J$5:$K$7,2,FALSE)*VLOOKUP(Sheet1!$A1455,Sheet2!$B$5:$H$29,7,FALSE),0)</x:f>
        <x:v>0</x:v>
      </x:c>
      <x:c r="I1455">
        <x:f t="shared" si="24"/>
        <x:v>2220</x:v>
      </x:c>
    </x:row>
    <x:row r="1456" spans="1:9" x14ac:dyDescent="0.15">
      <x:c r="A1456">
        <x:v>54054</x:v>
      </x:c>
      <x:c r="B1456">
        <x:v>1</x:v>
      </x:c>
      <x:c r="C1456">
        <x:v>15</x:v>
      </x:c>
      <x:c r="D1456">
        <x:f>ROUND($C1456*10*VLOOKUP($B1456,Sheet2!$J$5:$K$7,2,FALSE)*VLOOKUP(Sheet1!$A1456,Sheet2!$B$5:$H$29,3,FALSE),0)</x:f>
        <x:v>0</x:v>
      </x:c>
      <x:c r="E1456">
        <x:f>ROUND($C1456*10*VLOOKUP($B1456,Sheet2!$J$5:$K$7,2,FALSE)*VLOOKUP(Sheet1!$A1456,Sheet2!$B$5:$H$29,4,FALSE),0)</x:f>
        <x:v>90</x:v>
      </x:c>
      <x:c r="F1456">
        <x:f>ROUND($C1456*10*VLOOKUP($B1456,Sheet2!$J$5:$K$7,2,FALSE)*VLOOKUP(Sheet1!$A1456,Sheet2!$B$5:$H$29,5,FALSE),0)</x:f>
        <x:v>0</x:v>
      </x:c>
      <x:c r="G1456">
        <x:f>ROUND($C1456*10*VLOOKUP($B1456,Sheet2!$J$5:$K$7,2,FALSE)*VLOOKUP(Sheet1!$A1456,Sheet2!$B$5:$H$29,6,FALSE),0)</x:f>
        <x:v>24</x:v>
      </x:c>
      <x:c r="H1456">
        <x:f>ROUND($C1456*10*VLOOKUP($B1456,Sheet2!$J$5:$K$7,2,FALSE)*VLOOKUP(Sheet1!$A1456,Sheet2!$B$5:$H$29,7,FALSE),0)</x:f>
        <x:v>0</x:v>
      </x:c>
      <x:c r="I1456">
        <x:f t="shared" si="24"/>
        <x:v>2530</x:v>
      </x:c>
    </x:row>
    <x:row r="1457" spans="1:9" x14ac:dyDescent="0.15">
      <x:c r="A1457">
        <x:v>54054</x:v>
      </x:c>
      <x:c r="B1457">
        <x:v>1</x:v>
      </x:c>
      <x:c r="C1457">
        <x:v>16</x:v>
      </x:c>
      <x:c r="D1457">
        <x:f>ROUND($C1457*10*VLOOKUP($B1457,Sheet2!$J$5:$K$7,2,FALSE)*VLOOKUP(Sheet1!$A1457,Sheet2!$B$5:$H$29,3,FALSE),0)</x:f>
        <x:v>0</x:v>
      </x:c>
      <x:c r="E1457">
        <x:f>ROUND($C1457*10*VLOOKUP($B1457,Sheet2!$J$5:$K$7,2,FALSE)*VLOOKUP(Sheet1!$A1457,Sheet2!$B$5:$H$29,4,FALSE),0)</x:f>
        <x:v>96</x:v>
      </x:c>
      <x:c r="F1457">
        <x:f>ROUND($C1457*10*VLOOKUP($B1457,Sheet2!$J$5:$K$7,2,FALSE)*VLOOKUP(Sheet1!$A1457,Sheet2!$B$5:$H$29,5,FALSE),0)</x:f>
        <x:v>0</x:v>
      </x:c>
      <x:c r="G1457">
        <x:f>ROUND($C1457*10*VLOOKUP($B1457,Sheet2!$J$5:$K$7,2,FALSE)*VLOOKUP(Sheet1!$A1457,Sheet2!$B$5:$H$29,6,FALSE),0)</x:f>
        <x:v>26</x:v>
      </x:c>
      <x:c r="H1457">
        <x:f>ROUND($C1457*10*VLOOKUP($B1457,Sheet2!$J$5:$K$7,2,FALSE)*VLOOKUP(Sheet1!$A1457,Sheet2!$B$5:$H$29,7,FALSE),0)</x:f>
        <x:v>0</x:v>
      </x:c>
      <x:c r="I1457">
        <x:f t="shared" si="24"/>
        <x:v>2860</x:v>
      </x:c>
    </x:row>
    <x:row r="1458" spans="1:9" x14ac:dyDescent="0.15">
      <x:c r="A1458">
        <x:v>54054</x:v>
      </x:c>
      <x:c r="B1458">
        <x:v>1</x:v>
      </x:c>
      <x:c r="C1458">
        <x:v>17</x:v>
      </x:c>
      <x:c r="D1458">
        <x:f>ROUND($C1458*10*VLOOKUP($B1458,Sheet2!$J$5:$K$7,2,FALSE)*VLOOKUP(Sheet1!$A1458,Sheet2!$B$5:$H$29,3,FALSE),0)</x:f>
        <x:v>0</x:v>
      </x:c>
      <x:c r="E1458">
        <x:f>ROUND($C1458*10*VLOOKUP($B1458,Sheet2!$J$5:$K$7,2,FALSE)*VLOOKUP(Sheet1!$A1458,Sheet2!$B$5:$H$29,4,FALSE),0)</x:f>
        <x:v>102</x:v>
      </x:c>
      <x:c r="F1458">
        <x:f>ROUND($C1458*10*VLOOKUP($B1458,Sheet2!$J$5:$K$7,2,FALSE)*VLOOKUP(Sheet1!$A1458,Sheet2!$B$5:$H$29,5,FALSE),0)</x:f>
        <x:v>0</x:v>
      </x:c>
      <x:c r="G1458">
        <x:f>ROUND($C1458*10*VLOOKUP($B1458,Sheet2!$J$5:$K$7,2,FALSE)*VLOOKUP(Sheet1!$A1458,Sheet2!$B$5:$H$29,6,FALSE),0)</x:f>
        <x:v>27</x:v>
      </x:c>
      <x:c r="H1458">
        <x:f>ROUND($C1458*10*VLOOKUP($B1458,Sheet2!$J$5:$K$7,2,FALSE)*VLOOKUP(Sheet1!$A1458,Sheet2!$B$5:$H$29,7,FALSE),0)</x:f>
        <x:v>0</x:v>
      </x:c>
      <x:c r="I1458">
        <x:f t="shared" si="24"/>
        <x:v>3210</x:v>
      </x:c>
    </x:row>
    <x:row r="1459" spans="1:9" x14ac:dyDescent="0.15">
      <x:c r="A1459">
        <x:v>54054</x:v>
      </x:c>
      <x:c r="B1459">
        <x:v>1</x:v>
      </x:c>
      <x:c r="C1459">
        <x:v>18</x:v>
      </x:c>
      <x:c r="D1459">
        <x:f>ROUND($C1459*10*VLOOKUP($B1459,Sheet2!$J$5:$K$7,2,FALSE)*VLOOKUP(Sheet1!$A1459,Sheet2!$B$5:$H$29,3,FALSE),0)</x:f>
        <x:v>0</x:v>
      </x:c>
      <x:c r="E1459">
        <x:f>ROUND($C1459*10*VLOOKUP($B1459,Sheet2!$J$5:$K$7,2,FALSE)*VLOOKUP(Sheet1!$A1459,Sheet2!$B$5:$H$29,4,FALSE),0)</x:f>
        <x:v>108</x:v>
      </x:c>
      <x:c r="F1459">
        <x:f>ROUND($C1459*10*VLOOKUP($B1459,Sheet2!$J$5:$K$7,2,FALSE)*VLOOKUP(Sheet1!$A1459,Sheet2!$B$5:$H$29,5,FALSE),0)</x:f>
        <x:v>0</x:v>
      </x:c>
      <x:c r="G1459">
        <x:f>ROUND($C1459*10*VLOOKUP($B1459,Sheet2!$J$5:$K$7,2,FALSE)*VLOOKUP(Sheet1!$A1459,Sheet2!$B$5:$H$29,6,FALSE),0)</x:f>
        <x:v>29</x:v>
      </x:c>
      <x:c r="H1459">
        <x:f>ROUND($C1459*10*VLOOKUP($B1459,Sheet2!$J$5:$K$7,2,FALSE)*VLOOKUP(Sheet1!$A1459,Sheet2!$B$5:$H$29,7,FALSE),0)</x:f>
        <x:v>0</x:v>
      </x:c>
      <x:c r="I1459">
        <x:f t="shared" si="24"/>
        <x:v>3570</x:v>
      </x:c>
    </x:row>
    <x:row r="1460" spans="1:9" x14ac:dyDescent="0.15">
      <x:c r="A1460">
        <x:v>54054</x:v>
      </x:c>
      <x:c r="B1460">
        <x:v>1</x:v>
      </x:c>
      <x:c r="C1460">
        <x:v>19</x:v>
      </x:c>
      <x:c r="D1460">
        <x:f>ROUND($C1460*10*VLOOKUP($B1460,Sheet2!$J$5:$K$7,2,FALSE)*VLOOKUP(Sheet1!$A1460,Sheet2!$B$5:$H$29,3,FALSE),0)</x:f>
        <x:v>0</x:v>
      </x:c>
      <x:c r="E1460">
        <x:f>ROUND($C1460*10*VLOOKUP($B1460,Sheet2!$J$5:$K$7,2,FALSE)*VLOOKUP(Sheet1!$A1460,Sheet2!$B$5:$H$29,4,FALSE),0)</x:f>
        <x:v>114</x:v>
      </x:c>
      <x:c r="F1460">
        <x:f>ROUND($C1460*10*VLOOKUP($B1460,Sheet2!$J$5:$K$7,2,FALSE)*VLOOKUP(Sheet1!$A1460,Sheet2!$B$5:$H$29,5,FALSE),0)</x:f>
        <x:v>0</x:v>
      </x:c>
      <x:c r="G1460">
        <x:f>ROUND($C1460*10*VLOOKUP($B1460,Sheet2!$J$5:$K$7,2,FALSE)*VLOOKUP(Sheet1!$A1460,Sheet2!$B$5:$H$29,6,FALSE),0)</x:f>
        <x:v>30</x:v>
      </x:c>
      <x:c r="H1460">
        <x:f>ROUND($C1460*10*VLOOKUP($B1460,Sheet2!$J$5:$K$7,2,FALSE)*VLOOKUP(Sheet1!$A1460,Sheet2!$B$5:$H$29,7,FALSE),0)</x:f>
        <x:v>0</x:v>
      </x:c>
      <x:c r="I1460">
        <x:f t="shared" si="24"/>
        <x:v>3960</x:v>
      </x:c>
    </x:row>
    <x:row r="1461" spans="1:9" x14ac:dyDescent="0.15">
      <x:c r="A1461">
        <x:v>54054</x:v>
      </x:c>
      <x:c r="B1461">
        <x:v>1</x:v>
      </x:c>
      <x:c r="C1461">
        <x:v>20</x:v>
      </x:c>
      <x:c r="D1461">
        <x:f>ROUND($C1461*10*VLOOKUP($B1461,Sheet2!$J$5:$K$7,2,FALSE)*VLOOKUP(Sheet1!$A1461,Sheet2!$B$5:$H$29,3,FALSE),0)</x:f>
        <x:v>0</x:v>
      </x:c>
      <x:c r="E1461">
        <x:f>ROUND($C1461*10*VLOOKUP($B1461,Sheet2!$J$5:$K$7,2,FALSE)*VLOOKUP(Sheet1!$A1461,Sheet2!$B$5:$H$29,4,FALSE),0)</x:f>
        <x:v>120</x:v>
      </x:c>
      <x:c r="F1461">
        <x:f>ROUND($C1461*10*VLOOKUP($B1461,Sheet2!$J$5:$K$7,2,FALSE)*VLOOKUP(Sheet1!$A1461,Sheet2!$B$5:$H$29,5,FALSE),0)</x:f>
        <x:v>0</x:v>
      </x:c>
      <x:c r="G1461">
        <x:f>ROUND($C1461*10*VLOOKUP($B1461,Sheet2!$J$5:$K$7,2,FALSE)*VLOOKUP(Sheet1!$A1461,Sheet2!$B$5:$H$29,6,FALSE),0)</x:f>
        <x:v>32</x:v>
      </x:c>
      <x:c r="H1461">
        <x:f>ROUND($C1461*10*VLOOKUP($B1461,Sheet2!$J$5:$K$7,2,FALSE)*VLOOKUP(Sheet1!$A1461,Sheet2!$B$5:$H$29,7,FALSE),0)</x:f>
        <x:v>0</x:v>
      </x:c>
      <x:c r="I1461">
        <x:f t="shared" si="24"/>
        <x:v>4360</x:v>
      </x:c>
    </x:row>
    <x:row r="1462" spans="1:9" x14ac:dyDescent="0.15">
      <x:c r="A1462">
        <x:v>54054</x:v>
      </x:c>
      <x:c r="B1462">
        <x:v>1</x:v>
      </x:c>
      <x:c r="C1462">
        <x:v>21</x:v>
      </x:c>
      <x:c r="D1462">
        <x:f>ROUND($C1462*10*VLOOKUP($B1462,Sheet2!$J$5:$K$7,2,FALSE)*VLOOKUP(Sheet1!$A1462,Sheet2!$B$5:$H$29,3,FALSE),0)</x:f>
        <x:v>0</x:v>
      </x:c>
      <x:c r="E1462">
        <x:f>ROUND($C1462*10*VLOOKUP($B1462,Sheet2!$J$5:$K$7,2,FALSE)*VLOOKUP(Sheet1!$A1462,Sheet2!$B$5:$H$29,4,FALSE),0)</x:f>
        <x:v>126</x:v>
      </x:c>
      <x:c r="F1462">
        <x:f>ROUND($C1462*10*VLOOKUP($B1462,Sheet2!$J$5:$K$7,2,FALSE)*VLOOKUP(Sheet1!$A1462,Sheet2!$B$5:$H$29,5,FALSE),0)</x:f>
        <x:v>0</x:v>
      </x:c>
      <x:c r="G1462">
        <x:f>ROUND($C1462*10*VLOOKUP($B1462,Sheet2!$J$5:$K$7,2,FALSE)*VLOOKUP(Sheet1!$A1462,Sheet2!$B$5:$H$29,6,FALSE),0)</x:f>
        <x:v>34</x:v>
      </x:c>
      <x:c r="H1462">
        <x:f>ROUND($C1462*10*VLOOKUP($B1462,Sheet2!$J$5:$K$7,2,FALSE)*VLOOKUP(Sheet1!$A1462,Sheet2!$B$5:$H$29,7,FALSE),0)</x:f>
        <x:v>0</x:v>
      </x:c>
      <x:c r="I1462">
        <x:f t="shared" si="24"/>
        <x:v>4780</x:v>
      </x:c>
    </x:row>
    <x:row r="1463" spans="1:9" x14ac:dyDescent="0.15">
      <x:c r="A1463">
        <x:v>54054</x:v>
      </x:c>
      <x:c r="B1463">
        <x:v>1</x:v>
      </x:c>
      <x:c r="C1463">
        <x:v>22</x:v>
      </x:c>
      <x:c r="D1463">
        <x:f>ROUND($C1463*10*VLOOKUP($B1463,Sheet2!$J$5:$K$7,2,FALSE)*VLOOKUP(Sheet1!$A1463,Sheet2!$B$5:$H$29,3,FALSE),0)</x:f>
        <x:v>0</x:v>
      </x:c>
      <x:c r="E1463">
        <x:f>ROUND($C1463*10*VLOOKUP($B1463,Sheet2!$J$5:$K$7,2,FALSE)*VLOOKUP(Sheet1!$A1463,Sheet2!$B$5:$H$29,4,FALSE),0)</x:f>
        <x:v>132</x:v>
      </x:c>
      <x:c r="F1463">
        <x:f>ROUND($C1463*10*VLOOKUP($B1463,Sheet2!$J$5:$K$7,2,FALSE)*VLOOKUP(Sheet1!$A1463,Sheet2!$B$5:$H$29,5,FALSE),0)</x:f>
        <x:v>0</x:v>
      </x:c>
      <x:c r="G1463">
        <x:f>ROUND($C1463*10*VLOOKUP($B1463,Sheet2!$J$5:$K$7,2,FALSE)*VLOOKUP(Sheet1!$A1463,Sheet2!$B$5:$H$29,6,FALSE),0)</x:f>
        <x:v>35</x:v>
      </x:c>
      <x:c r="H1463">
        <x:f>ROUND($C1463*10*VLOOKUP($B1463,Sheet2!$J$5:$K$7,2,FALSE)*VLOOKUP(Sheet1!$A1463,Sheet2!$B$5:$H$29,7,FALSE),0)</x:f>
        <x:v>0</x:v>
      </x:c>
      <x:c r="I1463">
        <x:f t="shared" si="24"/>
        <x:v>5210</x:v>
      </x:c>
    </x:row>
    <x:row r="1464" spans="1:9" x14ac:dyDescent="0.15">
      <x:c r="A1464">
        <x:v>54054</x:v>
      </x:c>
      <x:c r="B1464">
        <x:v>1</x:v>
      </x:c>
      <x:c r="C1464">
        <x:v>23</x:v>
      </x:c>
      <x:c r="D1464">
        <x:f>ROUND($C1464*10*VLOOKUP($B1464,Sheet2!$J$5:$K$7,2,FALSE)*VLOOKUP(Sheet1!$A1464,Sheet2!$B$5:$H$29,3,FALSE),0)</x:f>
        <x:v>0</x:v>
      </x:c>
      <x:c r="E1464">
        <x:f>ROUND($C1464*10*VLOOKUP($B1464,Sheet2!$J$5:$K$7,2,FALSE)*VLOOKUP(Sheet1!$A1464,Sheet2!$B$5:$H$29,4,FALSE),0)</x:f>
        <x:v>138</x:v>
      </x:c>
      <x:c r="F1464">
        <x:f>ROUND($C1464*10*VLOOKUP($B1464,Sheet2!$J$5:$K$7,2,FALSE)*VLOOKUP(Sheet1!$A1464,Sheet2!$B$5:$H$29,5,FALSE),0)</x:f>
        <x:v>0</x:v>
      </x:c>
      <x:c r="G1464">
        <x:f>ROUND($C1464*10*VLOOKUP($B1464,Sheet2!$J$5:$K$7,2,FALSE)*VLOOKUP(Sheet1!$A1464,Sheet2!$B$5:$H$29,6,FALSE),0)</x:f>
        <x:v>37</x:v>
      </x:c>
      <x:c r="H1464">
        <x:f>ROUND($C1464*10*VLOOKUP($B1464,Sheet2!$J$5:$K$7,2,FALSE)*VLOOKUP(Sheet1!$A1464,Sheet2!$B$5:$H$29,7,FALSE),0)</x:f>
        <x:v>0</x:v>
      </x:c>
      <x:c r="I1464">
        <x:f t="shared" si="24"/>
        <x:v>5660</x:v>
      </x:c>
    </x:row>
    <x:row r="1465" spans="1:9" x14ac:dyDescent="0.15">
      <x:c r="A1465">
        <x:v>54054</x:v>
      </x:c>
      <x:c r="B1465">
        <x:v>1</x:v>
      </x:c>
      <x:c r="C1465">
        <x:v>24</x:v>
      </x:c>
      <x:c r="D1465">
        <x:f>ROUND($C1465*10*VLOOKUP($B1465,Sheet2!$J$5:$K$7,2,FALSE)*VLOOKUP(Sheet1!$A1465,Sheet2!$B$5:$H$29,3,FALSE),0)</x:f>
        <x:v>0</x:v>
      </x:c>
      <x:c r="E1465">
        <x:f>ROUND($C1465*10*VLOOKUP($B1465,Sheet2!$J$5:$K$7,2,FALSE)*VLOOKUP(Sheet1!$A1465,Sheet2!$B$5:$H$29,4,FALSE),0)</x:f>
        <x:v>144</x:v>
      </x:c>
      <x:c r="F1465">
        <x:f>ROUND($C1465*10*VLOOKUP($B1465,Sheet2!$J$5:$K$7,2,FALSE)*VLOOKUP(Sheet1!$A1465,Sheet2!$B$5:$H$29,5,FALSE),0)</x:f>
        <x:v>0</x:v>
      </x:c>
      <x:c r="G1465">
        <x:f>ROUND($C1465*10*VLOOKUP($B1465,Sheet2!$J$5:$K$7,2,FALSE)*VLOOKUP(Sheet1!$A1465,Sheet2!$B$5:$H$29,6,FALSE),0)</x:f>
        <x:v>38</x:v>
      </x:c>
      <x:c r="H1465">
        <x:f>ROUND($C1465*10*VLOOKUP($B1465,Sheet2!$J$5:$K$7,2,FALSE)*VLOOKUP(Sheet1!$A1465,Sheet2!$B$5:$H$29,7,FALSE),0)</x:f>
        <x:v>0</x:v>
      </x:c>
      <x:c r="I1465">
        <x:f t="shared" si="24"/>
        <x:v>6130</x:v>
      </x:c>
    </x:row>
    <x:row r="1466" spans="1:9" x14ac:dyDescent="0.15">
      <x:c r="A1466">
        <x:v>54054</x:v>
      </x:c>
      <x:c r="B1466">
        <x:v>1</x:v>
      </x:c>
      <x:c r="C1466">
        <x:v>25</x:v>
      </x:c>
      <x:c r="D1466">
        <x:f>ROUND($C1466*10*VLOOKUP($B1466,Sheet2!$J$5:$K$7,2,FALSE)*VLOOKUP(Sheet1!$A1466,Sheet2!$B$5:$H$29,3,FALSE),0)</x:f>
        <x:v>0</x:v>
      </x:c>
      <x:c r="E1466">
        <x:f>ROUND($C1466*10*VLOOKUP($B1466,Sheet2!$J$5:$K$7,2,FALSE)*VLOOKUP(Sheet1!$A1466,Sheet2!$B$5:$H$29,4,FALSE),0)</x:f>
        <x:v>150</x:v>
      </x:c>
      <x:c r="F1466">
        <x:f>ROUND($C1466*10*VLOOKUP($B1466,Sheet2!$J$5:$K$7,2,FALSE)*VLOOKUP(Sheet1!$A1466,Sheet2!$B$5:$H$29,5,FALSE),0)</x:f>
        <x:v>0</x:v>
      </x:c>
      <x:c r="G1466">
        <x:f>ROUND($C1466*10*VLOOKUP($B1466,Sheet2!$J$5:$K$7,2,FALSE)*VLOOKUP(Sheet1!$A1466,Sheet2!$B$5:$H$29,6,FALSE),0)</x:f>
        <x:v>40</x:v>
      </x:c>
      <x:c r="H1466">
        <x:f>ROUND($C1466*10*VLOOKUP($B1466,Sheet2!$J$5:$K$7,2,FALSE)*VLOOKUP(Sheet1!$A1466,Sheet2!$B$5:$H$29,7,FALSE),0)</x:f>
        <x:v>0</x:v>
      </x:c>
      <x:c r="I1466">
        <x:f t="shared" si="24"/>
        <x:v>6620</x:v>
      </x:c>
    </x:row>
    <x:row r="1467" spans="1:9" x14ac:dyDescent="0.15">
      <x:c r="A1467">
        <x:v>54054</x:v>
      </x:c>
      <x:c r="B1467">
        <x:v>1</x:v>
      </x:c>
      <x:c r="C1467">
        <x:v>26</x:v>
      </x:c>
      <x:c r="D1467">
        <x:f>ROUND($C1467*10*VLOOKUP($B1467,Sheet2!$J$5:$K$7,2,FALSE)*VLOOKUP(Sheet1!$A1467,Sheet2!$B$5:$H$29,3,FALSE),0)</x:f>
        <x:v>0</x:v>
      </x:c>
      <x:c r="E1467">
        <x:f>ROUND($C1467*10*VLOOKUP($B1467,Sheet2!$J$5:$K$7,2,FALSE)*VLOOKUP(Sheet1!$A1467,Sheet2!$B$5:$H$29,4,FALSE),0)</x:f>
        <x:v>156</x:v>
      </x:c>
      <x:c r="F1467">
        <x:f>ROUND($C1467*10*VLOOKUP($B1467,Sheet2!$J$5:$K$7,2,FALSE)*VLOOKUP(Sheet1!$A1467,Sheet2!$B$5:$H$29,5,FALSE),0)</x:f>
        <x:v>0</x:v>
      </x:c>
      <x:c r="G1467">
        <x:f>ROUND($C1467*10*VLOOKUP($B1467,Sheet2!$J$5:$K$7,2,FALSE)*VLOOKUP(Sheet1!$A1467,Sheet2!$B$5:$H$29,6,FALSE),0)</x:f>
        <x:v>42</x:v>
      </x:c>
      <x:c r="H1467">
        <x:f>ROUND($C1467*10*VLOOKUP($B1467,Sheet2!$J$5:$K$7,2,FALSE)*VLOOKUP(Sheet1!$A1467,Sheet2!$B$5:$H$29,7,FALSE),0)</x:f>
        <x:v>0</x:v>
      </x:c>
      <x:c r="I1467">
        <x:f t="shared" si="24"/>
        <x:v>7120</x:v>
      </x:c>
    </x:row>
    <x:row r="1468" spans="1:9" x14ac:dyDescent="0.15">
      <x:c r="A1468">
        <x:v>54054</x:v>
      </x:c>
      <x:c r="B1468">
        <x:v>1</x:v>
      </x:c>
      <x:c r="C1468">
        <x:v>27</x:v>
      </x:c>
      <x:c r="D1468">
        <x:f>ROUND($C1468*10*VLOOKUP($B1468,Sheet2!$J$5:$K$7,2,FALSE)*VLOOKUP(Sheet1!$A1468,Sheet2!$B$5:$H$29,3,FALSE),0)</x:f>
        <x:v>0</x:v>
      </x:c>
      <x:c r="E1468">
        <x:f>ROUND($C1468*10*VLOOKUP($B1468,Sheet2!$J$5:$K$7,2,FALSE)*VLOOKUP(Sheet1!$A1468,Sheet2!$B$5:$H$29,4,FALSE),0)</x:f>
        <x:v>162</x:v>
      </x:c>
      <x:c r="F1468">
        <x:f>ROUND($C1468*10*VLOOKUP($B1468,Sheet2!$J$5:$K$7,2,FALSE)*VLOOKUP(Sheet1!$A1468,Sheet2!$B$5:$H$29,5,FALSE),0)</x:f>
        <x:v>0</x:v>
      </x:c>
      <x:c r="G1468">
        <x:f>ROUND($C1468*10*VLOOKUP($B1468,Sheet2!$J$5:$K$7,2,FALSE)*VLOOKUP(Sheet1!$A1468,Sheet2!$B$5:$H$29,6,FALSE),0)</x:f>
        <x:v>43</x:v>
      </x:c>
      <x:c r="H1468">
        <x:f>ROUND($C1468*10*VLOOKUP($B1468,Sheet2!$J$5:$K$7,2,FALSE)*VLOOKUP(Sheet1!$A1468,Sheet2!$B$5:$H$29,7,FALSE),0)</x:f>
        <x:v>0</x:v>
      </x:c>
      <x:c r="I1468">
        <x:f t="shared" si="24"/>
        <x:v>7640</x:v>
      </x:c>
    </x:row>
    <x:row r="1469" spans="1:9" x14ac:dyDescent="0.15">
      <x:c r="A1469">
        <x:v>54054</x:v>
      </x:c>
      <x:c r="B1469">
        <x:v>1</x:v>
      </x:c>
      <x:c r="C1469">
        <x:v>28</x:v>
      </x:c>
      <x:c r="D1469">
        <x:f>ROUND($C1469*10*VLOOKUP($B1469,Sheet2!$J$5:$K$7,2,FALSE)*VLOOKUP(Sheet1!$A1469,Sheet2!$B$5:$H$29,3,FALSE),0)</x:f>
        <x:v>0</x:v>
      </x:c>
      <x:c r="E1469">
        <x:f>ROUND($C1469*10*VLOOKUP($B1469,Sheet2!$J$5:$K$7,2,FALSE)*VLOOKUP(Sheet1!$A1469,Sheet2!$B$5:$H$29,4,FALSE),0)</x:f>
        <x:v>168</x:v>
      </x:c>
      <x:c r="F1469">
        <x:f>ROUND($C1469*10*VLOOKUP($B1469,Sheet2!$J$5:$K$7,2,FALSE)*VLOOKUP(Sheet1!$A1469,Sheet2!$B$5:$H$29,5,FALSE),0)</x:f>
        <x:v>0</x:v>
      </x:c>
      <x:c r="G1469">
        <x:f>ROUND($C1469*10*VLOOKUP($B1469,Sheet2!$J$5:$K$7,2,FALSE)*VLOOKUP(Sheet1!$A1469,Sheet2!$B$5:$H$29,6,FALSE),0)</x:f>
        <x:v>45</x:v>
      </x:c>
      <x:c r="H1469">
        <x:f>ROUND($C1469*10*VLOOKUP($B1469,Sheet2!$J$5:$K$7,2,FALSE)*VLOOKUP(Sheet1!$A1469,Sheet2!$B$5:$H$29,7,FALSE),0)</x:f>
        <x:v>0</x:v>
      </x:c>
      <x:c r="I1469">
        <x:f t="shared" si="24"/>
        <x:v>8180</x:v>
      </x:c>
    </x:row>
    <x:row r="1470" spans="1:9" x14ac:dyDescent="0.15">
      <x:c r="A1470">
        <x:v>54054</x:v>
      </x:c>
      <x:c r="B1470">
        <x:v>1</x:v>
      </x:c>
      <x:c r="C1470">
        <x:v>29</x:v>
      </x:c>
      <x:c r="D1470">
        <x:f>ROUND($C1470*10*VLOOKUP($B1470,Sheet2!$J$5:$K$7,2,FALSE)*VLOOKUP(Sheet1!$A1470,Sheet2!$B$5:$H$29,3,FALSE),0)</x:f>
        <x:v>0</x:v>
      </x:c>
      <x:c r="E1470">
        <x:f>ROUND($C1470*10*VLOOKUP($B1470,Sheet2!$J$5:$K$7,2,FALSE)*VLOOKUP(Sheet1!$A1470,Sheet2!$B$5:$H$29,4,FALSE),0)</x:f>
        <x:v>174</x:v>
      </x:c>
      <x:c r="F1470">
        <x:f>ROUND($C1470*10*VLOOKUP($B1470,Sheet2!$J$5:$K$7,2,FALSE)*VLOOKUP(Sheet1!$A1470,Sheet2!$B$5:$H$29,5,FALSE),0)</x:f>
        <x:v>0</x:v>
      </x:c>
      <x:c r="G1470">
        <x:f>ROUND($C1470*10*VLOOKUP($B1470,Sheet2!$J$5:$K$7,2,FALSE)*VLOOKUP(Sheet1!$A1470,Sheet2!$B$5:$H$29,6,FALSE),0)</x:f>
        <x:v>46</x:v>
      </x:c>
      <x:c r="H1470">
        <x:f>ROUND($C1470*10*VLOOKUP($B1470,Sheet2!$J$5:$K$7,2,FALSE)*VLOOKUP(Sheet1!$A1470,Sheet2!$B$5:$H$29,7,FALSE),0)</x:f>
        <x:v>0</x:v>
      </x:c>
      <x:c r="I1470">
        <x:f t="shared" si="24"/>
        <x:v>8730</x:v>
      </x:c>
    </x:row>
    <x:row r="1471" spans="1:9" x14ac:dyDescent="0.15">
      <x:c r="A1471">
        <x:v>54054</x:v>
      </x:c>
      <x:c r="B1471">
        <x:v>1</x:v>
      </x:c>
      <x:c r="C1471">
        <x:v>30</x:v>
      </x:c>
      <x:c r="D1471">
        <x:f>ROUND($C1471*10*VLOOKUP($B1471,Sheet2!$J$5:$K$7,2,FALSE)*VLOOKUP(Sheet1!$A1471,Sheet2!$B$5:$H$29,3,FALSE),0)</x:f>
        <x:v>0</x:v>
      </x:c>
      <x:c r="E1471">
        <x:f>ROUND($C1471*10*VLOOKUP($B1471,Sheet2!$J$5:$K$7,2,FALSE)*VLOOKUP(Sheet1!$A1471,Sheet2!$B$5:$H$29,4,FALSE),0)</x:f>
        <x:v>180</x:v>
      </x:c>
      <x:c r="F1471">
        <x:f>ROUND($C1471*10*VLOOKUP($B1471,Sheet2!$J$5:$K$7,2,FALSE)*VLOOKUP(Sheet1!$A1471,Sheet2!$B$5:$H$29,5,FALSE),0)</x:f>
        <x:v>0</x:v>
      </x:c>
      <x:c r="G1471">
        <x:f>ROUND($C1471*10*VLOOKUP($B1471,Sheet2!$J$5:$K$7,2,FALSE)*VLOOKUP(Sheet1!$A1471,Sheet2!$B$5:$H$29,6,FALSE),0)</x:f>
        <x:v>48</x:v>
      </x:c>
      <x:c r="H1471">
        <x:f>ROUND($C1471*10*VLOOKUP($B1471,Sheet2!$J$5:$K$7,2,FALSE)*VLOOKUP(Sheet1!$A1471,Sheet2!$B$5:$H$29,7,FALSE),0)</x:f>
        <x:v>0</x:v>
      </x:c>
      <x:c r="I1471">
        <x:f t="shared" si="24"/>
        <x:v>9290</x:v>
      </x:c>
    </x:row>
    <x:row r="1472" spans="1:9" x14ac:dyDescent="0.15">
      <x:c r="A1472">
        <x:v>54054</x:v>
      </x:c>
      <x:c r="B1472">
        <x:v>1</x:v>
      </x:c>
      <x:c r="C1472">
        <x:v>31</x:v>
      </x:c>
      <x:c r="D1472">
        <x:f>ROUND($C1472*10*VLOOKUP($B1472,Sheet2!$J$5:$K$7,2,FALSE)*VLOOKUP(Sheet1!$A1472,Sheet2!$B$5:$H$29,3,FALSE),0)</x:f>
        <x:v>0</x:v>
      </x:c>
      <x:c r="E1472">
        <x:f>ROUND($C1472*10*VLOOKUP($B1472,Sheet2!$J$5:$K$7,2,FALSE)*VLOOKUP(Sheet1!$A1472,Sheet2!$B$5:$H$29,4,FALSE),0)</x:f>
        <x:v>186</x:v>
      </x:c>
      <x:c r="F1472">
        <x:f>ROUND($C1472*10*VLOOKUP($B1472,Sheet2!$J$5:$K$7,2,FALSE)*VLOOKUP(Sheet1!$A1472,Sheet2!$B$5:$H$29,5,FALSE),0)</x:f>
        <x:v>0</x:v>
      </x:c>
      <x:c r="G1472">
        <x:f>ROUND($C1472*10*VLOOKUP($B1472,Sheet2!$J$5:$K$7,2,FALSE)*VLOOKUP(Sheet1!$A1472,Sheet2!$B$5:$H$29,6,FALSE),0)</x:f>
        <x:v>50</x:v>
      </x:c>
      <x:c r="H1472">
        <x:f>ROUND($C1472*10*VLOOKUP($B1472,Sheet2!$J$5:$K$7,2,FALSE)*VLOOKUP(Sheet1!$A1472,Sheet2!$B$5:$H$29,7,FALSE),0)</x:f>
        <x:v>0</x:v>
      </x:c>
      <x:c r="I1472">
        <x:f t="shared" si="24"/>
        <x:v>9880</x:v>
      </x:c>
    </x:row>
    <x:row r="1473" spans="1:9" x14ac:dyDescent="0.15">
      <x:c r="A1473">
        <x:v>54054</x:v>
      </x:c>
      <x:c r="B1473">
        <x:v>1</x:v>
      </x:c>
      <x:c r="C1473">
        <x:v>32</x:v>
      </x:c>
      <x:c r="D1473">
        <x:f>ROUND($C1473*10*VLOOKUP($B1473,Sheet2!$J$5:$K$7,2,FALSE)*VLOOKUP(Sheet1!$A1473,Sheet2!$B$5:$H$29,3,FALSE),0)</x:f>
        <x:v>0</x:v>
      </x:c>
      <x:c r="E1473">
        <x:f>ROUND($C1473*10*VLOOKUP($B1473,Sheet2!$J$5:$K$7,2,FALSE)*VLOOKUP(Sheet1!$A1473,Sheet2!$B$5:$H$29,4,FALSE),0)</x:f>
        <x:v>192</x:v>
      </x:c>
      <x:c r="F1473">
        <x:f>ROUND($C1473*10*VLOOKUP($B1473,Sheet2!$J$5:$K$7,2,FALSE)*VLOOKUP(Sheet1!$A1473,Sheet2!$B$5:$H$29,5,FALSE),0)</x:f>
        <x:v>0</x:v>
      </x:c>
      <x:c r="G1473">
        <x:f>ROUND($C1473*10*VLOOKUP($B1473,Sheet2!$J$5:$K$7,2,FALSE)*VLOOKUP(Sheet1!$A1473,Sheet2!$B$5:$H$29,6,FALSE),0)</x:f>
        <x:v>51</x:v>
      </x:c>
      <x:c r="H1473">
        <x:f>ROUND($C1473*10*VLOOKUP($B1473,Sheet2!$J$5:$K$7,2,FALSE)*VLOOKUP(Sheet1!$A1473,Sheet2!$B$5:$H$29,7,FALSE),0)</x:f>
        <x:v>0</x:v>
      </x:c>
      <x:c r="I1473">
        <x:f t="shared" si="24"/>
        <x:v>10470</x:v>
      </x:c>
    </x:row>
    <x:row r="1474" spans="1:9" x14ac:dyDescent="0.15">
      <x:c r="A1474">
        <x:v>54054</x:v>
      </x:c>
      <x:c r="B1474">
        <x:v>1</x:v>
      </x:c>
      <x:c r="C1474">
        <x:v>33</x:v>
      </x:c>
      <x:c r="D1474">
        <x:f>ROUND($C1474*10*VLOOKUP($B1474,Sheet2!$J$5:$K$7,2,FALSE)*VLOOKUP(Sheet1!$A1474,Sheet2!$B$5:$H$29,3,FALSE),0)</x:f>
        <x:v>0</x:v>
      </x:c>
      <x:c r="E1474">
        <x:f>ROUND($C1474*10*VLOOKUP($B1474,Sheet2!$J$5:$K$7,2,FALSE)*VLOOKUP(Sheet1!$A1474,Sheet2!$B$5:$H$29,4,FALSE),0)</x:f>
        <x:v>198</x:v>
      </x:c>
      <x:c r="F1474">
        <x:f>ROUND($C1474*10*VLOOKUP($B1474,Sheet2!$J$5:$K$7,2,FALSE)*VLOOKUP(Sheet1!$A1474,Sheet2!$B$5:$H$29,5,FALSE),0)</x:f>
        <x:v>0</x:v>
      </x:c>
      <x:c r="G1474">
        <x:f>ROUND($C1474*10*VLOOKUP($B1474,Sheet2!$J$5:$K$7,2,FALSE)*VLOOKUP(Sheet1!$A1474,Sheet2!$B$5:$H$29,6,FALSE),0)</x:f>
        <x:v>53</x:v>
      </x:c>
      <x:c r="H1474">
        <x:f>ROUND($C1474*10*VLOOKUP($B1474,Sheet2!$J$5:$K$7,2,FALSE)*VLOOKUP(Sheet1!$A1474,Sheet2!$B$5:$H$29,7,FALSE),0)</x:f>
        <x:v>0</x:v>
      </x:c>
      <x:c r="I1474">
        <x:f t="shared" si="24"/>
        <x:v>11090</x:v>
      </x:c>
    </x:row>
    <x:row r="1475" spans="1:9" x14ac:dyDescent="0.15">
      <x:c r="A1475">
        <x:v>54054</x:v>
      </x:c>
      <x:c r="B1475">
        <x:v>1</x:v>
      </x:c>
      <x:c r="C1475">
        <x:v>34</x:v>
      </x:c>
      <x:c r="D1475">
        <x:f>ROUND($C1475*10*VLOOKUP($B1475,Sheet2!$J$5:$K$7,2,FALSE)*VLOOKUP(Sheet1!$A1475,Sheet2!$B$5:$H$29,3,FALSE),0)</x:f>
        <x:v>0</x:v>
      </x:c>
      <x:c r="E1475">
        <x:f>ROUND($C1475*10*VLOOKUP($B1475,Sheet2!$J$5:$K$7,2,FALSE)*VLOOKUP(Sheet1!$A1475,Sheet2!$B$5:$H$29,4,FALSE),0)</x:f>
        <x:v>204</x:v>
      </x:c>
      <x:c r="F1475">
        <x:f>ROUND($C1475*10*VLOOKUP($B1475,Sheet2!$J$5:$K$7,2,FALSE)*VLOOKUP(Sheet1!$A1475,Sheet2!$B$5:$H$29,5,FALSE),0)</x:f>
        <x:v>0</x:v>
      </x:c>
      <x:c r="G1475">
        <x:f>ROUND($C1475*10*VLOOKUP($B1475,Sheet2!$J$5:$K$7,2,FALSE)*VLOOKUP(Sheet1!$A1475,Sheet2!$B$5:$H$29,6,FALSE),0)</x:f>
        <x:v>54</x:v>
      </x:c>
      <x:c r="H1475">
        <x:f>ROUND($C1475*10*VLOOKUP($B1475,Sheet2!$J$5:$K$7,2,FALSE)*VLOOKUP(Sheet1!$A1475,Sheet2!$B$5:$H$29,7,FALSE),0)</x:f>
        <x:v>0</x:v>
      </x:c>
      <x:c r="I1475">
        <x:f t="shared" si="24"/>
        <x:v>11720</x:v>
      </x:c>
    </x:row>
    <x:row r="1476" spans="1:9" x14ac:dyDescent="0.15">
      <x:c r="A1476">
        <x:v>54054</x:v>
      </x:c>
      <x:c r="B1476">
        <x:v>1</x:v>
      </x:c>
      <x:c r="C1476">
        <x:v>35</x:v>
      </x:c>
      <x:c r="D1476">
        <x:f>ROUND($C1476*10*VLOOKUP($B1476,Sheet2!$J$5:$K$7,2,FALSE)*VLOOKUP(Sheet1!$A1476,Sheet2!$B$5:$H$29,3,FALSE),0)</x:f>
        <x:v>0</x:v>
      </x:c>
      <x:c r="E1476">
        <x:f>ROUND($C1476*10*VLOOKUP($B1476,Sheet2!$J$5:$K$7,2,FALSE)*VLOOKUP(Sheet1!$A1476,Sheet2!$B$5:$H$29,4,FALSE),0)</x:f>
        <x:v>210</x:v>
      </x:c>
      <x:c r="F1476">
        <x:f>ROUND($C1476*10*VLOOKUP($B1476,Sheet2!$J$5:$K$7,2,FALSE)*VLOOKUP(Sheet1!$A1476,Sheet2!$B$5:$H$29,5,FALSE),0)</x:f>
        <x:v>0</x:v>
      </x:c>
      <x:c r="G1476">
        <x:f>ROUND($C1476*10*VLOOKUP($B1476,Sheet2!$J$5:$K$7,2,FALSE)*VLOOKUP(Sheet1!$A1476,Sheet2!$B$5:$H$29,6,FALSE),0)</x:f>
        <x:v>56</x:v>
      </x:c>
      <x:c r="H1476">
        <x:f>ROUND($C1476*10*VLOOKUP($B1476,Sheet2!$J$5:$K$7,2,FALSE)*VLOOKUP(Sheet1!$A1476,Sheet2!$B$5:$H$29,7,FALSE),0)</x:f>
        <x:v>0</x:v>
      </x:c>
      <x:c r="I1476">
        <x:f t="shared" si="24"/>
        <x:v>12360</x:v>
      </x:c>
    </x:row>
    <x:row r="1477" spans="1:9" x14ac:dyDescent="0.15">
      <x:c r="A1477">
        <x:v>54054</x:v>
      </x:c>
      <x:c r="B1477">
        <x:v>1</x:v>
      </x:c>
      <x:c r="C1477">
        <x:v>36</x:v>
      </x:c>
      <x:c r="D1477">
        <x:f>ROUND($C1477*10*VLOOKUP($B1477,Sheet2!$J$5:$K$7,2,FALSE)*VLOOKUP(Sheet1!$A1477,Sheet2!$B$5:$H$29,3,FALSE),0)</x:f>
        <x:v>0</x:v>
      </x:c>
      <x:c r="E1477">
        <x:f>ROUND($C1477*10*VLOOKUP($B1477,Sheet2!$J$5:$K$7,2,FALSE)*VLOOKUP(Sheet1!$A1477,Sheet2!$B$5:$H$29,4,FALSE),0)</x:f>
        <x:v>216</x:v>
      </x:c>
      <x:c r="F1477">
        <x:f>ROUND($C1477*10*VLOOKUP($B1477,Sheet2!$J$5:$K$7,2,FALSE)*VLOOKUP(Sheet1!$A1477,Sheet2!$B$5:$H$29,5,FALSE),0)</x:f>
        <x:v>0</x:v>
      </x:c>
      <x:c r="G1477">
        <x:f>ROUND($C1477*10*VLOOKUP($B1477,Sheet2!$J$5:$K$7,2,FALSE)*VLOOKUP(Sheet1!$A1477,Sheet2!$B$5:$H$29,6,FALSE),0)</x:f>
        <x:v>58</x:v>
      </x:c>
      <x:c r="H1477">
        <x:f>ROUND($C1477*10*VLOOKUP($B1477,Sheet2!$J$5:$K$7,2,FALSE)*VLOOKUP(Sheet1!$A1477,Sheet2!$B$5:$H$29,7,FALSE),0)</x:f>
        <x:v>0</x:v>
      </x:c>
      <x:c r="I1477">
        <x:f t="shared" si="24"/>
        <x:v>13020</x:v>
      </x:c>
    </x:row>
    <x:row r="1478" spans="1:9" x14ac:dyDescent="0.15">
      <x:c r="A1478">
        <x:v>54054</x:v>
      </x:c>
      <x:c r="B1478">
        <x:v>1</x:v>
      </x:c>
      <x:c r="C1478">
        <x:v>37</x:v>
      </x:c>
      <x:c r="D1478">
        <x:f>ROUND($C1478*10*VLOOKUP($B1478,Sheet2!$J$5:$K$7,2,FALSE)*VLOOKUP(Sheet1!$A1478,Sheet2!$B$5:$H$29,3,FALSE),0)</x:f>
        <x:v>0</x:v>
      </x:c>
      <x:c r="E1478">
        <x:f>ROUND($C1478*10*VLOOKUP($B1478,Sheet2!$J$5:$K$7,2,FALSE)*VLOOKUP(Sheet1!$A1478,Sheet2!$B$5:$H$29,4,FALSE),0)</x:f>
        <x:v>222</x:v>
      </x:c>
      <x:c r="F1478">
        <x:f>ROUND($C1478*10*VLOOKUP($B1478,Sheet2!$J$5:$K$7,2,FALSE)*VLOOKUP(Sheet1!$A1478,Sheet2!$B$5:$H$29,5,FALSE),0)</x:f>
        <x:v>0</x:v>
      </x:c>
      <x:c r="G1478">
        <x:f>ROUND($C1478*10*VLOOKUP($B1478,Sheet2!$J$5:$K$7,2,FALSE)*VLOOKUP(Sheet1!$A1478,Sheet2!$B$5:$H$29,6,FALSE),0)</x:f>
        <x:v>59</x:v>
      </x:c>
      <x:c r="H1478">
        <x:f>ROUND($C1478*10*VLOOKUP($B1478,Sheet2!$J$5:$K$7,2,FALSE)*VLOOKUP(Sheet1!$A1478,Sheet2!$B$5:$H$29,7,FALSE),0)</x:f>
        <x:v>0</x:v>
      </x:c>
      <x:c r="I1478">
        <x:f t="shared" si="24"/>
        <x:v>13700</x:v>
      </x:c>
    </x:row>
    <x:row r="1479" spans="1:9" x14ac:dyDescent="0.15">
      <x:c r="A1479">
        <x:v>54054</x:v>
      </x:c>
      <x:c r="B1479">
        <x:v>1</x:v>
      </x:c>
      <x:c r="C1479">
        <x:v>38</x:v>
      </x:c>
      <x:c r="D1479">
        <x:f>ROUND($C1479*10*VLOOKUP($B1479,Sheet2!$J$5:$K$7,2,FALSE)*VLOOKUP(Sheet1!$A1479,Sheet2!$B$5:$H$29,3,FALSE),0)</x:f>
        <x:v>0</x:v>
      </x:c>
      <x:c r="E1479">
        <x:f>ROUND($C1479*10*VLOOKUP($B1479,Sheet2!$J$5:$K$7,2,FALSE)*VLOOKUP(Sheet1!$A1479,Sheet2!$B$5:$H$29,4,FALSE),0)</x:f>
        <x:v>228</x:v>
      </x:c>
      <x:c r="F1479">
        <x:f>ROUND($C1479*10*VLOOKUP($B1479,Sheet2!$J$5:$K$7,2,FALSE)*VLOOKUP(Sheet1!$A1479,Sheet2!$B$5:$H$29,5,FALSE),0)</x:f>
        <x:v>0</x:v>
      </x:c>
      <x:c r="G1479">
        <x:f>ROUND($C1479*10*VLOOKUP($B1479,Sheet2!$J$5:$K$7,2,FALSE)*VLOOKUP(Sheet1!$A1479,Sheet2!$B$5:$H$29,6,FALSE),0)</x:f>
        <x:v>61</x:v>
      </x:c>
      <x:c r="H1479">
        <x:f>ROUND($C1479*10*VLOOKUP($B1479,Sheet2!$J$5:$K$7,2,FALSE)*VLOOKUP(Sheet1!$A1479,Sheet2!$B$5:$H$29,7,FALSE),0)</x:f>
        <x:v>0</x:v>
      </x:c>
      <x:c r="I1479">
        <x:f t="shared" si="24"/>
        <x:v>14390</x:v>
      </x:c>
    </x:row>
    <x:row r="1480" spans="1:9" x14ac:dyDescent="0.15">
      <x:c r="A1480">
        <x:v>54054</x:v>
      </x:c>
      <x:c r="B1480">
        <x:v>1</x:v>
      </x:c>
      <x:c r="C1480">
        <x:v>39</x:v>
      </x:c>
      <x:c r="D1480">
        <x:f>ROUND($C1480*10*VLOOKUP($B1480,Sheet2!$J$5:$K$7,2,FALSE)*VLOOKUP(Sheet1!$A1480,Sheet2!$B$5:$H$29,3,FALSE),0)</x:f>
        <x:v>0</x:v>
      </x:c>
      <x:c r="E1480">
        <x:f>ROUND($C1480*10*VLOOKUP($B1480,Sheet2!$J$5:$K$7,2,FALSE)*VLOOKUP(Sheet1!$A1480,Sheet2!$B$5:$H$29,4,FALSE),0)</x:f>
        <x:v>234</x:v>
      </x:c>
      <x:c r="F1480">
        <x:f>ROUND($C1480*10*VLOOKUP($B1480,Sheet2!$J$5:$K$7,2,FALSE)*VLOOKUP(Sheet1!$A1480,Sheet2!$B$5:$H$29,5,FALSE),0)</x:f>
        <x:v>0</x:v>
      </x:c>
      <x:c r="G1480">
        <x:f>ROUND($C1480*10*VLOOKUP($B1480,Sheet2!$J$5:$K$7,2,FALSE)*VLOOKUP(Sheet1!$A1480,Sheet2!$B$5:$H$29,6,FALSE),0)</x:f>
        <x:v>62</x:v>
      </x:c>
      <x:c r="H1480">
        <x:f>ROUND($C1480*10*VLOOKUP($B1480,Sheet2!$J$5:$K$7,2,FALSE)*VLOOKUP(Sheet1!$A1480,Sheet2!$B$5:$H$29,7,FALSE),0)</x:f>
        <x:v>0</x:v>
      </x:c>
      <x:c r="I1480">
        <x:f t="shared" si="24"/>
        <x:v>15100</x:v>
      </x:c>
    </x:row>
    <x:row r="1481" spans="1:9" x14ac:dyDescent="0.15">
      <x:c r="A1481">
        <x:v>54054</x:v>
      </x:c>
      <x:c r="B1481">
        <x:v>1</x:v>
      </x:c>
      <x:c r="C1481">
        <x:v>40</x:v>
      </x:c>
      <x:c r="D1481">
        <x:f>ROUND($C1481*10*VLOOKUP($B1481,Sheet2!$J$5:$K$7,2,FALSE)*VLOOKUP(Sheet1!$A1481,Sheet2!$B$5:$H$29,3,FALSE),0)</x:f>
        <x:v>0</x:v>
      </x:c>
      <x:c r="E1481">
        <x:f>ROUND($C1481*10*VLOOKUP($B1481,Sheet2!$J$5:$K$7,2,FALSE)*VLOOKUP(Sheet1!$A1481,Sheet2!$B$5:$H$29,4,FALSE),0)</x:f>
        <x:v>240</x:v>
      </x:c>
      <x:c r="F1481">
        <x:f>ROUND($C1481*10*VLOOKUP($B1481,Sheet2!$J$5:$K$7,2,FALSE)*VLOOKUP(Sheet1!$A1481,Sheet2!$B$5:$H$29,5,FALSE),0)</x:f>
        <x:v>0</x:v>
      </x:c>
      <x:c r="G1481">
        <x:f>ROUND($C1481*10*VLOOKUP($B1481,Sheet2!$J$5:$K$7,2,FALSE)*VLOOKUP(Sheet1!$A1481,Sheet2!$B$5:$H$29,6,FALSE),0)</x:f>
        <x:v>64</x:v>
      </x:c>
      <x:c r="H1481">
        <x:f>ROUND($C1481*10*VLOOKUP($B1481,Sheet2!$J$5:$K$7,2,FALSE)*VLOOKUP(Sheet1!$A1481,Sheet2!$B$5:$H$29,7,FALSE),0)</x:f>
        <x:v>0</x:v>
      </x:c>
      <x:c r="I1481">
        <x:f t="shared" si="24"/>
        <x:v>15820</x:v>
      </x:c>
    </x:row>
    <x:row r="1482" spans="1:9" x14ac:dyDescent="0.15">
      <x:c r="A1482">
        <x:v>54054</x:v>
      </x:c>
      <x:c r="B1482">
        <x:v>1</x:v>
      </x:c>
      <x:c r="C1482">
        <x:v>41</x:v>
      </x:c>
      <x:c r="D1482">
        <x:f>ROUND($C1482*10*VLOOKUP($B1482,Sheet2!$J$5:$K$7,2,FALSE)*VLOOKUP(Sheet1!$A1482,Sheet2!$B$5:$H$29,3,FALSE),0)</x:f>
        <x:v>0</x:v>
      </x:c>
      <x:c r="E1482">
        <x:f>ROUND($C1482*10*VLOOKUP($B1482,Sheet2!$J$5:$K$7,2,FALSE)*VLOOKUP(Sheet1!$A1482,Sheet2!$B$5:$H$29,4,FALSE),0)</x:f>
        <x:v>246</x:v>
      </x:c>
      <x:c r="F1482">
        <x:f>ROUND($C1482*10*VLOOKUP($B1482,Sheet2!$J$5:$K$7,2,FALSE)*VLOOKUP(Sheet1!$A1482,Sheet2!$B$5:$H$29,5,FALSE),0)</x:f>
        <x:v>0</x:v>
      </x:c>
      <x:c r="G1482">
        <x:f>ROUND($C1482*10*VLOOKUP($B1482,Sheet2!$J$5:$K$7,2,FALSE)*VLOOKUP(Sheet1!$A1482,Sheet2!$B$5:$H$29,6,FALSE),0)</x:f>
        <x:v>66</x:v>
      </x:c>
      <x:c r="H1482">
        <x:f>ROUND($C1482*10*VLOOKUP($B1482,Sheet2!$J$5:$K$7,2,FALSE)*VLOOKUP(Sheet1!$A1482,Sheet2!$B$5:$H$29,7,FALSE),0)</x:f>
        <x:v>0</x:v>
      </x:c>
      <x:c r="I1482">
        <x:f t="shared" si="24"/>
        <x:v>16560</x:v>
      </x:c>
    </x:row>
    <x:row r="1483" spans="1:9" x14ac:dyDescent="0.15">
      <x:c r="A1483">
        <x:v>54054</x:v>
      </x:c>
      <x:c r="B1483">
        <x:v>1</x:v>
      </x:c>
      <x:c r="C1483">
        <x:v>42</x:v>
      </x:c>
      <x:c r="D1483">
        <x:f>ROUND($C1483*10*VLOOKUP($B1483,Sheet2!$J$5:$K$7,2,FALSE)*VLOOKUP(Sheet1!$A1483,Sheet2!$B$5:$H$29,3,FALSE),0)</x:f>
        <x:v>0</x:v>
      </x:c>
      <x:c r="E1483">
        <x:f>ROUND($C1483*10*VLOOKUP($B1483,Sheet2!$J$5:$K$7,2,FALSE)*VLOOKUP(Sheet1!$A1483,Sheet2!$B$5:$H$29,4,FALSE),0)</x:f>
        <x:v>252</x:v>
      </x:c>
      <x:c r="F1483">
        <x:f>ROUND($C1483*10*VLOOKUP($B1483,Sheet2!$J$5:$K$7,2,FALSE)*VLOOKUP(Sheet1!$A1483,Sheet2!$B$5:$H$29,5,FALSE),0)</x:f>
        <x:v>0</x:v>
      </x:c>
      <x:c r="G1483">
        <x:f>ROUND($C1483*10*VLOOKUP($B1483,Sheet2!$J$5:$K$7,2,FALSE)*VLOOKUP(Sheet1!$A1483,Sheet2!$B$5:$H$29,6,FALSE),0)</x:f>
        <x:v>67</x:v>
      </x:c>
      <x:c r="H1483">
        <x:f>ROUND($C1483*10*VLOOKUP($B1483,Sheet2!$J$5:$K$7,2,FALSE)*VLOOKUP(Sheet1!$A1483,Sheet2!$B$5:$H$29,7,FALSE),0)</x:f>
        <x:v>0</x:v>
      </x:c>
      <x:c r="I1483">
        <x:f t="shared" si="24"/>
        <x:v>17310</x:v>
      </x:c>
    </x:row>
    <x:row r="1484" spans="1:9" x14ac:dyDescent="0.15">
      <x:c r="A1484">
        <x:v>54054</x:v>
      </x:c>
      <x:c r="B1484">
        <x:v>1</x:v>
      </x:c>
      <x:c r="C1484">
        <x:v>43</x:v>
      </x:c>
      <x:c r="D1484">
        <x:f>ROUND($C1484*10*VLOOKUP($B1484,Sheet2!$J$5:$K$7,2,FALSE)*VLOOKUP(Sheet1!$A1484,Sheet2!$B$5:$H$29,3,FALSE),0)</x:f>
        <x:v>0</x:v>
      </x:c>
      <x:c r="E1484">
        <x:f>ROUND($C1484*10*VLOOKUP($B1484,Sheet2!$J$5:$K$7,2,FALSE)*VLOOKUP(Sheet1!$A1484,Sheet2!$B$5:$H$29,4,FALSE),0)</x:f>
        <x:v>258</x:v>
      </x:c>
      <x:c r="F1484">
        <x:f>ROUND($C1484*10*VLOOKUP($B1484,Sheet2!$J$5:$K$7,2,FALSE)*VLOOKUP(Sheet1!$A1484,Sheet2!$B$5:$H$29,5,FALSE),0)</x:f>
        <x:v>0</x:v>
      </x:c>
      <x:c r="G1484">
        <x:f>ROUND($C1484*10*VLOOKUP($B1484,Sheet2!$J$5:$K$7,2,FALSE)*VLOOKUP(Sheet1!$A1484,Sheet2!$B$5:$H$29,6,FALSE),0)</x:f>
        <x:v>69</x:v>
      </x:c>
      <x:c r="H1484">
        <x:f>ROUND($C1484*10*VLOOKUP($B1484,Sheet2!$J$5:$K$7,2,FALSE)*VLOOKUP(Sheet1!$A1484,Sheet2!$B$5:$H$29,7,FALSE),0)</x:f>
        <x:v>0</x:v>
      </x:c>
      <x:c r="I1484">
        <x:f t="shared" si="24"/>
        <x:v>18070</x:v>
      </x:c>
    </x:row>
    <x:row r="1485" spans="1:9" x14ac:dyDescent="0.15">
      <x:c r="A1485">
        <x:v>54054</x:v>
      </x:c>
      <x:c r="B1485">
        <x:v>1</x:v>
      </x:c>
      <x:c r="C1485">
        <x:v>44</x:v>
      </x:c>
      <x:c r="D1485">
        <x:f>ROUND($C1485*10*VLOOKUP($B1485,Sheet2!$J$5:$K$7,2,FALSE)*VLOOKUP(Sheet1!$A1485,Sheet2!$B$5:$H$29,3,FALSE),0)</x:f>
        <x:v>0</x:v>
      </x:c>
      <x:c r="E1485">
        <x:f>ROUND($C1485*10*VLOOKUP($B1485,Sheet2!$J$5:$K$7,2,FALSE)*VLOOKUP(Sheet1!$A1485,Sheet2!$B$5:$H$29,4,FALSE),0)</x:f>
        <x:v>264</x:v>
      </x:c>
      <x:c r="F1485">
        <x:f>ROUND($C1485*10*VLOOKUP($B1485,Sheet2!$J$5:$K$7,2,FALSE)*VLOOKUP(Sheet1!$A1485,Sheet2!$B$5:$H$29,5,FALSE),0)</x:f>
        <x:v>0</x:v>
      </x:c>
      <x:c r="G1485">
        <x:f>ROUND($C1485*10*VLOOKUP($B1485,Sheet2!$J$5:$K$7,2,FALSE)*VLOOKUP(Sheet1!$A1485,Sheet2!$B$5:$H$29,6,FALSE),0)</x:f>
        <x:v>70</x:v>
      </x:c>
      <x:c r="H1485">
        <x:f>ROUND($C1485*10*VLOOKUP($B1485,Sheet2!$J$5:$K$7,2,FALSE)*VLOOKUP(Sheet1!$A1485,Sheet2!$B$5:$H$29,7,FALSE),0)</x:f>
        <x:v>0</x:v>
      </x:c>
      <x:c r="I1485">
        <x:f t="shared" si="24"/>
        <x:v>18850</x:v>
      </x:c>
    </x:row>
    <x:row r="1486" spans="1:9" x14ac:dyDescent="0.15">
      <x:c r="A1486">
        <x:v>54054</x:v>
      </x:c>
      <x:c r="B1486">
        <x:v>1</x:v>
      </x:c>
      <x:c r="C1486">
        <x:v>45</x:v>
      </x:c>
      <x:c r="D1486">
        <x:f>ROUND($C1486*10*VLOOKUP($B1486,Sheet2!$J$5:$K$7,2,FALSE)*VLOOKUP(Sheet1!$A1486,Sheet2!$B$5:$H$29,3,FALSE),0)</x:f>
        <x:v>0</x:v>
      </x:c>
      <x:c r="E1486">
        <x:f>ROUND($C1486*10*VLOOKUP($B1486,Sheet2!$J$5:$K$7,2,FALSE)*VLOOKUP(Sheet1!$A1486,Sheet2!$B$5:$H$29,4,FALSE),0)</x:f>
        <x:v>270</x:v>
      </x:c>
      <x:c r="F1486">
        <x:f>ROUND($C1486*10*VLOOKUP($B1486,Sheet2!$J$5:$K$7,2,FALSE)*VLOOKUP(Sheet1!$A1486,Sheet2!$B$5:$H$29,5,FALSE),0)</x:f>
        <x:v>0</x:v>
      </x:c>
      <x:c r="G1486">
        <x:f>ROUND($C1486*10*VLOOKUP($B1486,Sheet2!$J$5:$K$7,2,FALSE)*VLOOKUP(Sheet1!$A1486,Sheet2!$B$5:$H$29,6,FALSE),0)</x:f>
        <x:v>72</x:v>
      </x:c>
      <x:c r="H1486">
        <x:f>ROUND($C1486*10*VLOOKUP($B1486,Sheet2!$J$5:$K$7,2,FALSE)*VLOOKUP(Sheet1!$A1486,Sheet2!$B$5:$H$29,7,FALSE),0)</x:f>
        <x:v>0</x:v>
      </x:c>
      <x:c r="I1486">
        <x:f t="shared" si="24"/>
        <x:v>19650</x:v>
      </x:c>
    </x:row>
    <x:row r="1487" spans="1:9" x14ac:dyDescent="0.15">
      <x:c r="A1487">
        <x:v>54054</x:v>
      </x:c>
      <x:c r="B1487">
        <x:v>1</x:v>
      </x:c>
      <x:c r="C1487">
        <x:v>46</x:v>
      </x:c>
      <x:c r="D1487">
        <x:f>ROUND($C1487*10*VLOOKUP($B1487,Sheet2!$J$5:$K$7,2,FALSE)*VLOOKUP(Sheet1!$A1487,Sheet2!$B$5:$H$29,3,FALSE),0)</x:f>
        <x:v>0</x:v>
      </x:c>
      <x:c r="E1487">
        <x:f>ROUND($C1487*10*VLOOKUP($B1487,Sheet2!$J$5:$K$7,2,FALSE)*VLOOKUP(Sheet1!$A1487,Sheet2!$B$5:$H$29,4,FALSE),0)</x:f>
        <x:v>276</x:v>
      </x:c>
      <x:c r="F1487">
        <x:f>ROUND($C1487*10*VLOOKUP($B1487,Sheet2!$J$5:$K$7,2,FALSE)*VLOOKUP(Sheet1!$A1487,Sheet2!$B$5:$H$29,5,FALSE),0)</x:f>
        <x:v>0</x:v>
      </x:c>
      <x:c r="G1487">
        <x:f>ROUND($C1487*10*VLOOKUP($B1487,Sheet2!$J$5:$K$7,2,FALSE)*VLOOKUP(Sheet1!$A1487,Sheet2!$B$5:$H$29,6,FALSE),0)</x:f>
        <x:v>74</x:v>
      </x:c>
      <x:c r="H1487">
        <x:f>ROUND($C1487*10*VLOOKUP($B1487,Sheet2!$J$5:$K$7,2,FALSE)*VLOOKUP(Sheet1!$A1487,Sheet2!$B$5:$H$29,7,FALSE),0)</x:f>
        <x:v>0</x:v>
      </x:c>
      <x:c r="I1487">
        <x:f t="shared" si="24"/>
        <x:v>20460</x:v>
      </x:c>
    </x:row>
    <x:row r="1488" spans="1:9" x14ac:dyDescent="0.15">
      <x:c r="A1488">
        <x:v>54054</x:v>
      </x:c>
      <x:c r="B1488">
        <x:v>1</x:v>
      </x:c>
      <x:c r="C1488">
        <x:v>47</x:v>
      </x:c>
      <x:c r="D1488">
        <x:f>ROUND($C1488*10*VLOOKUP($B1488,Sheet2!$J$5:$K$7,2,FALSE)*VLOOKUP(Sheet1!$A1488,Sheet2!$B$5:$H$29,3,FALSE),0)</x:f>
        <x:v>0</x:v>
      </x:c>
      <x:c r="E1488">
        <x:f>ROUND($C1488*10*VLOOKUP($B1488,Sheet2!$J$5:$K$7,2,FALSE)*VLOOKUP(Sheet1!$A1488,Sheet2!$B$5:$H$29,4,FALSE),0)</x:f>
        <x:v>282</x:v>
      </x:c>
      <x:c r="F1488">
        <x:f>ROUND($C1488*10*VLOOKUP($B1488,Sheet2!$J$5:$K$7,2,FALSE)*VLOOKUP(Sheet1!$A1488,Sheet2!$B$5:$H$29,5,FALSE),0)</x:f>
        <x:v>0</x:v>
      </x:c>
      <x:c r="G1488">
        <x:f>ROUND($C1488*10*VLOOKUP($B1488,Sheet2!$J$5:$K$7,2,FALSE)*VLOOKUP(Sheet1!$A1488,Sheet2!$B$5:$H$29,6,FALSE),0)</x:f>
        <x:v>75</x:v>
      </x:c>
      <x:c r="H1488">
        <x:f>ROUND($C1488*10*VLOOKUP($B1488,Sheet2!$J$5:$K$7,2,FALSE)*VLOOKUP(Sheet1!$A1488,Sheet2!$B$5:$H$29,7,FALSE),0)</x:f>
        <x:v>0</x:v>
      </x:c>
      <x:c r="I1488">
        <x:f t="shared" si="24"/>
        <x:v>21280</x:v>
      </x:c>
    </x:row>
    <x:row r="1489" spans="1:9" x14ac:dyDescent="0.15">
      <x:c r="A1489">
        <x:v>54054</x:v>
      </x:c>
      <x:c r="B1489">
        <x:v>1</x:v>
      </x:c>
      <x:c r="C1489">
        <x:v>48</x:v>
      </x:c>
      <x:c r="D1489">
        <x:f>ROUND($C1489*10*VLOOKUP($B1489,Sheet2!$J$5:$K$7,2,FALSE)*VLOOKUP(Sheet1!$A1489,Sheet2!$B$5:$H$29,3,FALSE),0)</x:f>
        <x:v>0</x:v>
      </x:c>
      <x:c r="E1489">
        <x:f>ROUND($C1489*10*VLOOKUP($B1489,Sheet2!$J$5:$K$7,2,FALSE)*VLOOKUP(Sheet1!$A1489,Sheet2!$B$5:$H$29,4,FALSE),0)</x:f>
        <x:v>288</x:v>
      </x:c>
      <x:c r="F1489">
        <x:f>ROUND($C1489*10*VLOOKUP($B1489,Sheet2!$J$5:$K$7,2,FALSE)*VLOOKUP(Sheet1!$A1489,Sheet2!$B$5:$H$29,5,FALSE),0)</x:f>
        <x:v>0</x:v>
      </x:c>
      <x:c r="G1489">
        <x:f>ROUND($C1489*10*VLOOKUP($B1489,Sheet2!$J$5:$K$7,2,FALSE)*VLOOKUP(Sheet1!$A1489,Sheet2!$B$5:$H$29,6,FALSE),0)</x:f>
        <x:v>77</x:v>
      </x:c>
      <x:c r="H1489">
        <x:f>ROUND($C1489*10*VLOOKUP($B1489,Sheet2!$J$5:$K$7,2,FALSE)*VLOOKUP(Sheet1!$A1489,Sheet2!$B$5:$H$29,7,FALSE),0)</x:f>
        <x:v>0</x:v>
      </x:c>
      <x:c r="I1489">
        <x:f t="shared" si="24"/>
        <x:v>22120</x:v>
      </x:c>
    </x:row>
    <x:row r="1490" spans="1:9" x14ac:dyDescent="0.15">
      <x:c r="A1490">
        <x:v>54054</x:v>
      </x:c>
      <x:c r="B1490">
        <x:v>1</x:v>
      </x:c>
      <x:c r="C1490">
        <x:v>49</x:v>
      </x:c>
      <x:c r="D1490">
        <x:f>ROUND($C1490*10*VLOOKUP($B1490,Sheet2!$J$5:$K$7,2,FALSE)*VLOOKUP(Sheet1!$A1490,Sheet2!$B$5:$H$29,3,FALSE),0)</x:f>
        <x:v>0</x:v>
      </x:c>
      <x:c r="E1490">
        <x:f>ROUND($C1490*10*VLOOKUP($B1490,Sheet2!$J$5:$K$7,2,FALSE)*VLOOKUP(Sheet1!$A1490,Sheet2!$B$5:$H$29,4,FALSE),0)</x:f>
        <x:v>294</x:v>
      </x:c>
      <x:c r="F1490">
        <x:f>ROUND($C1490*10*VLOOKUP($B1490,Sheet2!$J$5:$K$7,2,FALSE)*VLOOKUP(Sheet1!$A1490,Sheet2!$B$5:$H$29,5,FALSE),0)</x:f>
        <x:v>0</x:v>
      </x:c>
      <x:c r="G1490">
        <x:f>ROUND($C1490*10*VLOOKUP($B1490,Sheet2!$J$5:$K$7,2,FALSE)*VLOOKUP(Sheet1!$A1490,Sheet2!$B$5:$H$29,6,FALSE),0)</x:f>
        <x:v>78</x:v>
      </x:c>
      <x:c r="H1490">
        <x:f>ROUND($C1490*10*VLOOKUP($B1490,Sheet2!$J$5:$K$7,2,FALSE)*VLOOKUP(Sheet1!$A1490,Sheet2!$B$5:$H$29,7,FALSE),0)</x:f>
        <x:v>0</x:v>
      </x:c>
      <x:c r="I1490">
        <x:f t="shared" si="24"/>
        <x:v>22970</x:v>
      </x:c>
    </x:row>
    <x:row r="1491" spans="1:9" x14ac:dyDescent="0.15">
      <x:c r="A1491">
        <x:v>54054</x:v>
      </x:c>
      <x:c r="B1491">
        <x:v>1</x:v>
      </x:c>
      <x:c r="C1491">
        <x:v>50</x:v>
      </x:c>
      <x:c r="D1491">
        <x:f>ROUND($C1491*10*VLOOKUP($B1491,Sheet2!$J$5:$K$7,2,FALSE)*VLOOKUP(Sheet1!$A1491,Sheet2!$B$5:$H$29,3,FALSE),0)</x:f>
        <x:v>0</x:v>
      </x:c>
      <x:c r="E1491">
        <x:f>ROUND($C1491*10*VLOOKUP($B1491,Sheet2!$J$5:$K$7,2,FALSE)*VLOOKUP(Sheet1!$A1491,Sheet2!$B$5:$H$29,4,FALSE),0)</x:f>
        <x:v>300</x:v>
      </x:c>
      <x:c r="F1491">
        <x:f>ROUND($C1491*10*VLOOKUP($B1491,Sheet2!$J$5:$K$7,2,FALSE)*VLOOKUP(Sheet1!$A1491,Sheet2!$B$5:$H$29,5,FALSE),0)</x:f>
        <x:v>0</x:v>
      </x:c>
      <x:c r="G1491">
        <x:f>ROUND($C1491*10*VLOOKUP($B1491,Sheet2!$J$5:$K$7,2,FALSE)*VLOOKUP(Sheet1!$A1491,Sheet2!$B$5:$H$29,6,FALSE),0)</x:f>
        <x:v>80</x:v>
      </x:c>
      <x:c r="H1491">
        <x:f>ROUND($C1491*10*VLOOKUP($B1491,Sheet2!$J$5:$K$7,2,FALSE)*VLOOKUP(Sheet1!$A1491,Sheet2!$B$5:$H$29,7,FALSE),0)</x:f>
        <x:v>0</x:v>
      </x:c>
      <x:c r="I1491">
        <x:f t="shared" si="24"/>
        <x:v>23840</x:v>
      </x:c>
    </x:row>
    <x:row r="1492" spans="1:9" x14ac:dyDescent="0.15">
      <x:c r="A1492">
        <x:v>54054</x:v>
      </x:c>
      <x:c r="B1492">
        <x:v>1</x:v>
      </x:c>
      <x:c r="C1492">
        <x:v>51</x:v>
      </x:c>
      <x:c r="D1492">
        <x:f>ROUND($C1492*10*VLOOKUP($B1492,Sheet2!$J$5:$K$7,2,FALSE)*VLOOKUP(Sheet1!$A1492,Sheet2!$B$5:$H$29,3,FALSE),0)</x:f>
        <x:v>0</x:v>
      </x:c>
      <x:c r="E1492">
        <x:f>ROUND($C1492*10*VLOOKUP($B1492,Sheet2!$J$5:$K$7,2,FALSE)*VLOOKUP(Sheet1!$A1492,Sheet2!$B$5:$H$29,4,FALSE),0)</x:f>
        <x:v>306</x:v>
      </x:c>
      <x:c r="F1492">
        <x:f>ROUND($C1492*10*VLOOKUP($B1492,Sheet2!$J$5:$K$7,2,FALSE)*VLOOKUP(Sheet1!$A1492,Sheet2!$B$5:$H$29,5,FALSE),0)</x:f>
        <x:v>0</x:v>
      </x:c>
      <x:c r="G1492">
        <x:f>ROUND($C1492*10*VLOOKUP($B1492,Sheet2!$J$5:$K$7,2,FALSE)*VLOOKUP(Sheet1!$A1492,Sheet2!$B$5:$H$29,6,FALSE),0)</x:f>
        <x:v>82</x:v>
      </x:c>
      <x:c r="H1492">
        <x:f>ROUND($C1492*10*VLOOKUP($B1492,Sheet2!$J$5:$K$7,2,FALSE)*VLOOKUP(Sheet1!$A1492,Sheet2!$B$5:$H$29,7,FALSE),0)</x:f>
        <x:v>0</x:v>
      </x:c>
      <x:c r="I1492">
        <x:f t="shared" si="24"/>
        <x:v>24720</x:v>
      </x:c>
    </x:row>
    <x:row r="1493" spans="1:9" x14ac:dyDescent="0.15">
      <x:c r="A1493">
        <x:v>54054</x:v>
      </x:c>
      <x:c r="B1493">
        <x:v>1</x:v>
      </x:c>
      <x:c r="C1493">
        <x:v>52</x:v>
      </x:c>
      <x:c r="D1493">
        <x:f>ROUND($C1493*10*VLOOKUP($B1493,Sheet2!$J$5:$K$7,2,FALSE)*VLOOKUP(Sheet1!$A1493,Sheet2!$B$5:$H$29,3,FALSE),0)</x:f>
        <x:v>0</x:v>
      </x:c>
      <x:c r="E1493">
        <x:f>ROUND($C1493*10*VLOOKUP($B1493,Sheet2!$J$5:$K$7,2,FALSE)*VLOOKUP(Sheet1!$A1493,Sheet2!$B$5:$H$29,4,FALSE),0)</x:f>
        <x:v>312</x:v>
      </x:c>
      <x:c r="F1493">
        <x:f>ROUND($C1493*10*VLOOKUP($B1493,Sheet2!$J$5:$K$7,2,FALSE)*VLOOKUP(Sheet1!$A1493,Sheet2!$B$5:$H$29,5,FALSE),0)</x:f>
        <x:v>0</x:v>
      </x:c>
      <x:c r="G1493">
        <x:f>ROUND($C1493*10*VLOOKUP($B1493,Sheet2!$J$5:$K$7,2,FALSE)*VLOOKUP(Sheet1!$A1493,Sheet2!$B$5:$H$29,6,FALSE),0)</x:f>
        <x:v>83</x:v>
      </x:c>
      <x:c r="H1493">
        <x:f>ROUND($C1493*10*VLOOKUP($B1493,Sheet2!$J$5:$K$7,2,FALSE)*VLOOKUP(Sheet1!$A1493,Sheet2!$B$5:$H$29,7,FALSE),0)</x:f>
        <x:v>0</x:v>
      </x:c>
      <x:c r="I1493">
        <x:f t="shared" si="24"/>
        <x:v>25620</x:v>
      </x:c>
    </x:row>
    <x:row r="1494" spans="1:9" x14ac:dyDescent="0.15">
      <x:c r="A1494">
        <x:v>54054</x:v>
      </x:c>
      <x:c r="B1494">
        <x:v>1</x:v>
      </x:c>
      <x:c r="C1494">
        <x:v>53</x:v>
      </x:c>
      <x:c r="D1494">
        <x:f>ROUND($C1494*10*VLOOKUP($B1494,Sheet2!$J$5:$K$7,2,FALSE)*VLOOKUP(Sheet1!$A1494,Sheet2!$B$5:$H$29,3,FALSE),0)</x:f>
        <x:v>0</x:v>
      </x:c>
      <x:c r="E1494">
        <x:f>ROUND($C1494*10*VLOOKUP($B1494,Sheet2!$J$5:$K$7,2,FALSE)*VLOOKUP(Sheet1!$A1494,Sheet2!$B$5:$H$29,4,FALSE),0)</x:f>
        <x:v>318</x:v>
      </x:c>
      <x:c r="F1494">
        <x:f>ROUND($C1494*10*VLOOKUP($B1494,Sheet2!$J$5:$K$7,2,FALSE)*VLOOKUP(Sheet1!$A1494,Sheet2!$B$5:$H$29,5,FALSE),0)</x:f>
        <x:v>0</x:v>
      </x:c>
      <x:c r="G1494">
        <x:f>ROUND($C1494*10*VLOOKUP($B1494,Sheet2!$J$5:$K$7,2,FALSE)*VLOOKUP(Sheet1!$A1494,Sheet2!$B$5:$H$29,6,FALSE),0)</x:f>
        <x:v>85</x:v>
      </x:c>
      <x:c r="H1494">
        <x:f>ROUND($C1494*10*VLOOKUP($B1494,Sheet2!$J$5:$K$7,2,FALSE)*VLOOKUP(Sheet1!$A1494,Sheet2!$B$5:$H$29,7,FALSE),0)</x:f>
        <x:v>0</x:v>
      </x:c>
      <x:c r="I1494">
        <x:f t="shared" si="24"/>
        <x:v>26530</x:v>
      </x:c>
    </x:row>
    <x:row r="1495" spans="1:9" x14ac:dyDescent="0.15">
      <x:c r="A1495">
        <x:v>54054</x:v>
      </x:c>
      <x:c r="B1495">
        <x:v>1</x:v>
      </x:c>
      <x:c r="C1495">
        <x:v>54</x:v>
      </x:c>
      <x:c r="D1495">
        <x:f>ROUND($C1495*10*VLOOKUP($B1495,Sheet2!$J$5:$K$7,2,FALSE)*VLOOKUP(Sheet1!$A1495,Sheet2!$B$5:$H$29,3,FALSE),0)</x:f>
        <x:v>0</x:v>
      </x:c>
      <x:c r="E1495">
        <x:f>ROUND($C1495*10*VLOOKUP($B1495,Sheet2!$J$5:$K$7,2,FALSE)*VLOOKUP(Sheet1!$A1495,Sheet2!$B$5:$H$29,4,FALSE),0)</x:f>
        <x:v>324</x:v>
      </x:c>
      <x:c r="F1495">
        <x:f>ROUND($C1495*10*VLOOKUP($B1495,Sheet2!$J$5:$K$7,2,FALSE)*VLOOKUP(Sheet1!$A1495,Sheet2!$B$5:$H$29,5,FALSE),0)</x:f>
        <x:v>0</x:v>
      </x:c>
      <x:c r="G1495">
        <x:f>ROUND($C1495*10*VLOOKUP($B1495,Sheet2!$J$5:$K$7,2,FALSE)*VLOOKUP(Sheet1!$A1495,Sheet2!$B$5:$H$29,6,FALSE),0)</x:f>
        <x:v>86</x:v>
      </x:c>
      <x:c r="H1495">
        <x:f>ROUND($C1495*10*VLOOKUP($B1495,Sheet2!$J$5:$K$7,2,FALSE)*VLOOKUP(Sheet1!$A1495,Sheet2!$B$5:$H$29,7,FALSE),0)</x:f>
        <x:v>0</x:v>
      </x:c>
      <x:c r="I1495">
        <x:f t="shared" si="24"/>
        <x:v>27460</x:v>
      </x:c>
    </x:row>
    <x:row r="1496" spans="1:9" x14ac:dyDescent="0.15">
      <x:c r="A1496">
        <x:v>54054</x:v>
      </x:c>
      <x:c r="B1496">
        <x:v>1</x:v>
      </x:c>
      <x:c r="C1496">
        <x:v>55</x:v>
      </x:c>
      <x:c r="D1496">
        <x:f>ROUND($C1496*10*VLOOKUP($B1496,Sheet2!$J$5:$K$7,2,FALSE)*VLOOKUP(Sheet1!$A1496,Sheet2!$B$5:$H$29,3,FALSE),0)</x:f>
        <x:v>0</x:v>
      </x:c>
      <x:c r="E1496">
        <x:f>ROUND($C1496*10*VLOOKUP($B1496,Sheet2!$J$5:$K$7,2,FALSE)*VLOOKUP(Sheet1!$A1496,Sheet2!$B$5:$H$29,4,FALSE),0)</x:f>
        <x:v>330</x:v>
      </x:c>
      <x:c r="F1496">
        <x:f>ROUND($C1496*10*VLOOKUP($B1496,Sheet2!$J$5:$K$7,2,FALSE)*VLOOKUP(Sheet1!$A1496,Sheet2!$B$5:$H$29,5,FALSE),0)</x:f>
        <x:v>0</x:v>
      </x:c>
      <x:c r="G1496">
        <x:f>ROUND($C1496*10*VLOOKUP($B1496,Sheet2!$J$5:$K$7,2,FALSE)*VLOOKUP(Sheet1!$A1496,Sheet2!$B$5:$H$29,6,FALSE),0)</x:f>
        <x:v>88</x:v>
      </x:c>
      <x:c r="H1496">
        <x:f>ROUND($C1496*10*VLOOKUP($B1496,Sheet2!$J$5:$K$7,2,FALSE)*VLOOKUP(Sheet1!$A1496,Sheet2!$B$5:$H$29,7,FALSE),0)</x:f>
        <x:v>0</x:v>
      </x:c>
      <x:c r="I1496">
        <x:f t="shared" si="24"/>
        <x:v>28390</x:v>
      </x:c>
    </x:row>
    <x:row r="1497" spans="1:9" x14ac:dyDescent="0.15">
      <x:c r="A1497">
        <x:v>54054</x:v>
      </x:c>
      <x:c r="B1497">
        <x:v>1</x:v>
      </x:c>
      <x:c r="C1497">
        <x:v>56</x:v>
      </x:c>
      <x:c r="D1497">
        <x:f>ROUND($C1497*10*VLOOKUP($B1497,Sheet2!$J$5:$K$7,2,FALSE)*VLOOKUP(Sheet1!$A1497,Sheet2!$B$5:$H$29,3,FALSE),0)</x:f>
        <x:v>0</x:v>
      </x:c>
      <x:c r="E1497">
        <x:f>ROUND($C1497*10*VLOOKUP($B1497,Sheet2!$J$5:$K$7,2,FALSE)*VLOOKUP(Sheet1!$A1497,Sheet2!$B$5:$H$29,4,FALSE),0)</x:f>
        <x:v>336</x:v>
      </x:c>
      <x:c r="F1497">
        <x:f>ROUND($C1497*10*VLOOKUP($B1497,Sheet2!$J$5:$K$7,2,FALSE)*VLOOKUP(Sheet1!$A1497,Sheet2!$B$5:$H$29,5,FALSE),0)</x:f>
        <x:v>0</x:v>
      </x:c>
      <x:c r="G1497">
        <x:f>ROUND($C1497*10*VLOOKUP($B1497,Sheet2!$J$5:$K$7,2,FALSE)*VLOOKUP(Sheet1!$A1497,Sheet2!$B$5:$H$29,6,FALSE),0)</x:f>
        <x:v>90</x:v>
      </x:c>
      <x:c r="H1497">
        <x:f>ROUND($C1497*10*VLOOKUP($B1497,Sheet2!$J$5:$K$7,2,FALSE)*VLOOKUP(Sheet1!$A1497,Sheet2!$B$5:$H$29,7,FALSE),0)</x:f>
        <x:v>0</x:v>
      </x:c>
      <x:c r="I1497">
        <x:f t="shared" si="24"/>
        <x:v>29350</x:v>
      </x:c>
    </x:row>
    <x:row r="1498" spans="1:9" x14ac:dyDescent="0.15">
      <x:c r="A1498">
        <x:v>54054</x:v>
      </x:c>
      <x:c r="B1498">
        <x:v>1</x:v>
      </x:c>
      <x:c r="C1498">
        <x:v>57</x:v>
      </x:c>
      <x:c r="D1498">
        <x:f>ROUND($C1498*10*VLOOKUP($B1498,Sheet2!$J$5:$K$7,2,FALSE)*VLOOKUP(Sheet1!$A1498,Sheet2!$B$5:$H$29,3,FALSE),0)</x:f>
        <x:v>0</x:v>
      </x:c>
      <x:c r="E1498">
        <x:f>ROUND($C1498*10*VLOOKUP($B1498,Sheet2!$J$5:$K$7,2,FALSE)*VLOOKUP(Sheet1!$A1498,Sheet2!$B$5:$H$29,4,FALSE),0)</x:f>
        <x:v>342</x:v>
      </x:c>
      <x:c r="F1498">
        <x:f>ROUND($C1498*10*VLOOKUP($B1498,Sheet2!$J$5:$K$7,2,FALSE)*VLOOKUP(Sheet1!$A1498,Sheet2!$B$5:$H$29,5,FALSE),0)</x:f>
        <x:v>0</x:v>
      </x:c>
      <x:c r="G1498">
        <x:f>ROUND($C1498*10*VLOOKUP($B1498,Sheet2!$J$5:$K$7,2,FALSE)*VLOOKUP(Sheet1!$A1498,Sheet2!$B$5:$H$29,6,FALSE),0)</x:f>
        <x:v>91</x:v>
      </x:c>
      <x:c r="H1498">
        <x:f>ROUND($C1498*10*VLOOKUP($B1498,Sheet2!$J$5:$K$7,2,FALSE)*VLOOKUP(Sheet1!$A1498,Sheet2!$B$5:$H$29,7,FALSE),0)</x:f>
        <x:v>0</x:v>
      </x:c>
      <x:c r="I1498">
        <x:f t="shared" si="24"/>
        <x:v>30310</x:v>
      </x:c>
    </x:row>
    <x:row r="1499" spans="1:9" x14ac:dyDescent="0.15">
      <x:c r="A1499">
        <x:v>54054</x:v>
      </x:c>
      <x:c r="B1499">
        <x:v>1</x:v>
      </x:c>
      <x:c r="C1499">
        <x:v>58</x:v>
      </x:c>
      <x:c r="D1499">
        <x:f>ROUND($C1499*10*VLOOKUP($B1499,Sheet2!$J$5:$K$7,2,FALSE)*VLOOKUP(Sheet1!$A1499,Sheet2!$B$5:$H$29,3,FALSE),0)</x:f>
        <x:v>0</x:v>
      </x:c>
      <x:c r="E1499">
        <x:f>ROUND($C1499*10*VLOOKUP($B1499,Sheet2!$J$5:$K$7,2,FALSE)*VLOOKUP(Sheet1!$A1499,Sheet2!$B$5:$H$29,4,FALSE),0)</x:f>
        <x:v>348</x:v>
      </x:c>
      <x:c r="F1499">
        <x:f>ROUND($C1499*10*VLOOKUP($B1499,Sheet2!$J$5:$K$7,2,FALSE)*VLOOKUP(Sheet1!$A1499,Sheet2!$B$5:$H$29,5,FALSE),0)</x:f>
        <x:v>0</x:v>
      </x:c>
      <x:c r="G1499">
        <x:f>ROUND($C1499*10*VLOOKUP($B1499,Sheet2!$J$5:$K$7,2,FALSE)*VLOOKUP(Sheet1!$A1499,Sheet2!$B$5:$H$29,6,FALSE),0)</x:f>
        <x:v>93</x:v>
      </x:c>
      <x:c r="H1499">
        <x:f>ROUND($C1499*10*VLOOKUP($B1499,Sheet2!$J$5:$K$7,2,FALSE)*VLOOKUP(Sheet1!$A1499,Sheet2!$B$5:$H$29,7,FALSE),0)</x:f>
        <x:v>0</x:v>
      </x:c>
      <x:c r="I1499">
        <x:f t="shared" si="24"/>
        <x:v>31290</x:v>
      </x:c>
    </x:row>
    <x:row r="1500" spans="1:9" x14ac:dyDescent="0.15">
      <x:c r="A1500">
        <x:v>54054</x:v>
      </x:c>
      <x:c r="B1500">
        <x:v>1</x:v>
      </x:c>
      <x:c r="C1500">
        <x:v>59</x:v>
      </x:c>
      <x:c r="D1500">
        <x:f>ROUND($C1500*10*VLOOKUP($B1500,Sheet2!$J$5:$K$7,2,FALSE)*VLOOKUP(Sheet1!$A1500,Sheet2!$B$5:$H$29,3,FALSE),0)</x:f>
        <x:v>0</x:v>
      </x:c>
      <x:c r="E1500">
        <x:f>ROUND($C1500*10*VLOOKUP($B1500,Sheet2!$J$5:$K$7,2,FALSE)*VLOOKUP(Sheet1!$A1500,Sheet2!$B$5:$H$29,4,FALSE),0)</x:f>
        <x:v>354</x:v>
      </x:c>
      <x:c r="F1500">
        <x:f>ROUND($C1500*10*VLOOKUP($B1500,Sheet2!$J$5:$K$7,2,FALSE)*VLOOKUP(Sheet1!$A1500,Sheet2!$B$5:$H$29,5,FALSE),0)</x:f>
        <x:v>0</x:v>
      </x:c>
      <x:c r="G1500">
        <x:f>ROUND($C1500*10*VLOOKUP($B1500,Sheet2!$J$5:$K$7,2,FALSE)*VLOOKUP(Sheet1!$A1500,Sheet2!$B$5:$H$29,6,FALSE),0)</x:f>
        <x:v>94</x:v>
      </x:c>
      <x:c r="H1500">
        <x:f>ROUND($C1500*10*VLOOKUP($B1500,Sheet2!$J$5:$K$7,2,FALSE)*VLOOKUP(Sheet1!$A1500,Sheet2!$B$5:$H$29,7,FALSE),0)</x:f>
        <x:v>0</x:v>
      </x:c>
      <x:c r="I1500">
        <x:f t="shared" si="24"/>
        <x:v>32290</x:v>
      </x:c>
    </x:row>
    <x:row r="1501" spans="1:9" x14ac:dyDescent="0.15">
      <x:c r="A1501">
        <x:v>54054</x:v>
      </x:c>
      <x:c r="B1501">
        <x:v>1</x:v>
      </x:c>
      <x:c r="C1501">
        <x:v>60</x:v>
      </x:c>
      <x:c r="D1501">
        <x:f>ROUND($C1501*10*VLOOKUP($B1501,Sheet2!$J$5:$K$7,2,FALSE)*VLOOKUP(Sheet1!$A1501,Sheet2!$B$5:$H$29,3,FALSE),0)</x:f>
        <x:v>0</x:v>
      </x:c>
      <x:c r="E1501">
        <x:f>ROUND($C1501*10*VLOOKUP($B1501,Sheet2!$J$5:$K$7,2,FALSE)*VLOOKUP(Sheet1!$A1501,Sheet2!$B$5:$H$29,4,FALSE),0)</x:f>
        <x:v>360</x:v>
      </x:c>
      <x:c r="F1501">
        <x:f>ROUND($C1501*10*VLOOKUP($B1501,Sheet2!$J$5:$K$7,2,FALSE)*VLOOKUP(Sheet1!$A1501,Sheet2!$B$5:$H$29,5,FALSE),0)</x:f>
        <x:v>0</x:v>
      </x:c>
      <x:c r="G1501">
        <x:f>ROUND($C1501*10*VLOOKUP($B1501,Sheet2!$J$5:$K$7,2,FALSE)*VLOOKUP(Sheet1!$A1501,Sheet2!$B$5:$H$29,6,FALSE),0)</x:f>
        <x:v>96</x:v>
      </x:c>
      <x:c r="H1501">
        <x:f>ROUND($C1501*10*VLOOKUP($B1501,Sheet2!$J$5:$K$7,2,FALSE)*VLOOKUP(Sheet1!$A1501,Sheet2!$B$5:$H$29,7,FALSE),0)</x:f>
        <x:v>0</x:v>
      </x:c>
      <x:c r="I1501">
        <x:f t="shared" si="24"/>
        <x:v>33290</x:v>
      </x:c>
    </x:row>
    <x:row r="1502" spans="1:9" x14ac:dyDescent="0.15">
      <x:c r="A1502">
        <x:v>54054</x:v>
      </x:c>
      <x:c r="B1502">
        <x:v>2</x:v>
      </x:c>
      <x:c r="C1502">
        <x:v>1</x:v>
      </x:c>
      <x:c r="D1502">
        <x:f>ROUND($C1502*10*VLOOKUP($B1502,Sheet2!$J$5:$K$7,2,FALSE)*VLOOKUP(Sheet1!$A1502,Sheet2!$B$5:$H$29,3,FALSE),0)</x:f>
        <x:v>0</x:v>
      </x:c>
      <x:c r="E1502">
        <x:f>ROUND($C1502*10*VLOOKUP($B1502,Sheet2!$J$5:$K$7,2,FALSE)*VLOOKUP(Sheet1!$A1502,Sheet2!$B$5:$H$29,4,FALSE),0)</x:f>
        <x:v>7</x:v>
      </x:c>
      <x:c r="F1502">
        <x:f>ROUND($C1502*10*VLOOKUP($B1502,Sheet2!$J$5:$K$7,2,FALSE)*VLOOKUP(Sheet1!$A1502,Sheet2!$B$5:$H$29,5,FALSE),0)</x:f>
        <x:v>0</x:v>
      </x:c>
      <x:c r="G1502">
        <x:f>ROUND($C1502*10*VLOOKUP($B1502,Sheet2!$J$5:$K$7,2,FALSE)*VLOOKUP(Sheet1!$A1502,Sheet2!$B$5:$H$29,6,FALSE),0)</x:f>
        <x:v>2</x:v>
      </x:c>
      <x:c r="H1502">
        <x:f>ROUND($C1502*10*VLOOKUP($B1502,Sheet2!$J$5:$K$7,2,FALSE)*VLOOKUP(Sheet1!$A1502,Sheet2!$B$5:$H$29,7,FALSE),0)</x:f>
        <x:v>0</x:v>
      </x:c>
      <x:c r="I1502">
        <x:f t="shared" ref="I1502:I1561" si="25">ROUND(1.2*10*3.5*(C1502-1)^1.8+60,-1)</x:f>
        <x:v>60</x:v>
      </x:c>
    </x:row>
    <x:row r="1503" spans="1:9" x14ac:dyDescent="0.15">
      <x:c r="A1503">
        <x:v>54054</x:v>
      </x:c>
      <x:c r="B1503">
        <x:v>2</x:v>
      </x:c>
      <x:c r="C1503">
        <x:v>2</x:v>
      </x:c>
      <x:c r="D1503">
        <x:f>ROUND($C1503*10*VLOOKUP($B1503,Sheet2!$J$5:$K$7,2,FALSE)*VLOOKUP(Sheet1!$A1503,Sheet2!$B$5:$H$29,3,FALSE),0)</x:f>
        <x:v>0</x:v>
      </x:c>
      <x:c r="E1503">
        <x:f>ROUND($C1503*10*VLOOKUP($B1503,Sheet2!$J$5:$K$7,2,FALSE)*VLOOKUP(Sheet1!$A1503,Sheet2!$B$5:$H$29,4,FALSE),0)</x:f>
        <x:v>14</x:v>
      </x:c>
      <x:c r="F1503">
        <x:f>ROUND($C1503*10*VLOOKUP($B1503,Sheet2!$J$5:$K$7,2,FALSE)*VLOOKUP(Sheet1!$A1503,Sheet2!$B$5:$H$29,5,FALSE),0)</x:f>
        <x:v>0</x:v>
      </x:c>
      <x:c r="G1503">
        <x:f>ROUND($C1503*10*VLOOKUP($B1503,Sheet2!$J$5:$K$7,2,FALSE)*VLOOKUP(Sheet1!$A1503,Sheet2!$B$5:$H$29,6,FALSE),0)</x:f>
        <x:v>4</x:v>
      </x:c>
      <x:c r="H1503">
        <x:f>ROUND($C1503*10*VLOOKUP($B1503,Sheet2!$J$5:$K$7,2,FALSE)*VLOOKUP(Sheet1!$A1503,Sheet2!$B$5:$H$29,7,FALSE),0)</x:f>
        <x:v>0</x:v>
      </x:c>
      <x:c r="I1503">
        <x:f t="shared" si="25"/>
        <x:v>100</x:v>
      </x:c>
    </x:row>
    <x:row r="1504" spans="1:9" x14ac:dyDescent="0.15">
      <x:c r="A1504">
        <x:v>54054</x:v>
      </x:c>
      <x:c r="B1504">
        <x:v>2</x:v>
      </x:c>
      <x:c r="C1504">
        <x:v>3</x:v>
      </x:c>
      <x:c r="D1504">
        <x:f>ROUND($C1504*10*VLOOKUP($B1504,Sheet2!$J$5:$K$7,2,FALSE)*VLOOKUP(Sheet1!$A1504,Sheet2!$B$5:$H$29,3,FALSE),0)</x:f>
        <x:v>0</x:v>
      </x:c>
      <x:c r="E1504">
        <x:f>ROUND($C1504*10*VLOOKUP($B1504,Sheet2!$J$5:$K$7,2,FALSE)*VLOOKUP(Sheet1!$A1504,Sheet2!$B$5:$H$29,4,FALSE),0)</x:f>
        <x:v>22</x:v>
      </x:c>
      <x:c r="F1504">
        <x:f>ROUND($C1504*10*VLOOKUP($B1504,Sheet2!$J$5:$K$7,2,FALSE)*VLOOKUP(Sheet1!$A1504,Sheet2!$B$5:$H$29,5,FALSE),0)</x:f>
        <x:v>0</x:v>
      </x:c>
      <x:c r="G1504">
        <x:f>ROUND($C1504*10*VLOOKUP($B1504,Sheet2!$J$5:$K$7,2,FALSE)*VLOOKUP(Sheet1!$A1504,Sheet2!$B$5:$H$29,6,FALSE),0)</x:f>
        <x:v>6</x:v>
      </x:c>
      <x:c r="H1504">
        <x:f>ROUND($C1504*10*VLOOKUP($B1504,Sheet2!$J$5:$K$7,2,FALSE)*VLOOKUP(Sheet1!$A1504,Sheet2!$B$5:$H$29,7,FALSE),0)</x:f>
        <x:v>0</x:v>
      </x:c>
      <x:c r="I1504">
        <x:f t="shared" si="25"/>
        <x:v>210</x:v>
      </x:c>
    </x:row>
    <x:row r="1505" spans="1:9" x14ac:dyDescent="0.15">
      <x:c r="A1505">
        <x:v>54054</x:v>
      </x:c>
      <x:c r="B1505">
        <x:v>2</x:v>
      </x:c>
      <x:c r="C1505">
        <x:v>4</x:v>
      </x:c>
      <x:c r="D1505">
        <x:f>ROUND($C1505*10*VLOOKUP($B1505,Sheet2!$J$5:$K$7,2,FALSE)*VLOOKUP(Sheet1!$A1505,Sheet2!$B$5:$H$29,3,FALSE),0)</x:f>
        <x:v>0</x:v>
      </x:c>
      <x:c r="E1505">
        <x:f>ROUND($C1505*10*VLOOKUP($B1505,Sheet2!$J$5:$K$7,2,FALSE)*VLOOKUP(Sheet1!$A1505,Sheet2!$B$5:$H$29,4,FALSE),0)</x:f>
        <x:v>29</x:v>
      </x:c>
      <x:c r="F1505">
        <x:f>ROUND($C1505*10*VLOOKUP($B1505,Sheet2!$J$5:$K$7,2,FALSE)*VLOOKUP(Sheet1!$A1505,Sheet2!$B$5:$H$29,5,FALSE),0)</x:f>
        <x:v>0</x:v>
      </x:c>
      <x:c r="G1505">
        <x:f>ROUND($C1505*10*VLOOKUP($B1505,Sheet2!$J$5:$K$7,2,FALSE)*VLOOKUP(Sheet1!$A1505,Sheet2!$B$5:$H$29,6,FALSE),0)</x:f>
        <x:v>8</x:v>
      </x:c>
      <x:c r="H1505">
        <x:f>ROUND($C1505*10*VLOOKUP($B1505,Sheet2!$J$5:$K$7,2,FALSE)*VLOOKUP(Sheet1!$A1505,Sheet2!$B$5:$H$29,7,FALSE),0)</x:f>
        <x:v>0</x:v>
      </x:c>
      <x:c r="I1505">
        <x:f t="shared" si="25"/>
        <x:v>360</x:v>
      </x:c>
    </x:row>
    <x:row r="1506" spans="1:9" x14ac:dyDescent="0.15">
      <x:c r="A1506">
        <x:v>54054</x:v>
      </x:c>
      <x:c r="B1506">
        <x:v>2</x:v>
      </x:c>
      <x:c r="C1506">
        <x:v>5</x:v>
      </x:c>
      <x:c r="D1506">
        <x:f>ROUND($C1506*10*VLOOKUP($B1506,Sheet2!$J$5:$K$7,2,FALSE)*VLOOKUP(Sheet1!$A1506,Sheet2!$B$5:$H$29,3,FALSE),0)</x:f>
        <x:v>0</x:v>
      </x:c>
      <x:c r="E1506">
        <x:f>ROUND($C1506*10*VLOOKUP($B1506,Sheet2!$J$5:$K$7,2,FALSE)*VLOOKUP(Sheet1!$A1506,Sheet2!$B$5:$H$29,4,FALSE),0)</x:f>
        <x:v>36</x:v>
      </x:c>
      <x:c r="F1506">
        <x:f>ROUND($C1506*10*VLOOKUP($B1506,Sheet2!$J$5:$K$7,2,FALSE)*VLOOKUP(Sheet1!$A1506,Sheet2!$B$5:$H$29,5,FALSE),0)</x:f>
        <x:v>0</x:v>
      </x:c>
      <x:c r="G1506">
        <x:f>ROUND($C1506*10*VLOOKUP($B1506,Sheet2!$J$5:$K$7,2,FALSE)*VLOOKUP(Sheet1!$A1506,Sheet2!$B$5:$H$29,6,FALSE),0)</x:f>
        <x:v>10</x:v>
      </x:c>
      <x:c r="H1506">
        <x:f>ROUND($C1506*10*VLOOKUP($B1506,Sheet2!$J$5:$K$7,2,FALSE)*VLOOKUP(Sheet1!$A1506,Sheet2!$B$5:$H$29,7,FALSE),0)</x:f>
        <x:v>0</x:v>
      </x:c>
      <x:c r="I1506">
        <x:f t="shared" si="25"/>
        <x:v>570</x:v>
      </x:c>
    </x:row>
    <x:row r="1507" spans="1:9" x14ac:dyDescent="0.15">
      <x:c r="A1507">
        <x:v>54054</x:v>
      </x:c>
      <x:c r="B1507">
        <x:v>2</x:v>
      </x:c>
      <x:c r="C1507">
        <x:v>6</x:v>
      </x:c>
      <x:c r="D1507">
        <x:f>ROUND($C1507*10*VLOOKUP($B1507,Sheet2!$J$5:$K$7,2,FALSE)*VLOOKUP(Sheet1!$A1507,Sheet2!$B$5:$H$29,3,FALSE),0)</x:f>
        <x:v>0</x:v>
      </x:c>
      <x:c r="E1507">
        <x:f>ROUND($C1507*10*VLOOKUP($B1507,Sheet2!$J$5:$K$7,2,FALSE)*VLOOKUP(Sheet1!$A1507,Sheet2!$B$5:$H$29,4,FALSE),0)</x:f>
        <x:v>43</x:v>
      </x:c>
      <x:c r="F1507">
        <x:f>ROUND($C1507*10*VLOOKUP($B1507,Sheet2!$J$5:$K$7,2,FALSE)*VLOOKUP(Sheet1!$A1507,Sheet2!$B$5:$H$29,5,FALSE),0)</x:f>
        <x:v>0</x:v>
      </x:c>
      <x:c r="G1507">
        <x:f>ROUND($C1507*10*VLOOKUP($B1507,Sheet2!$J$5:$K$7,2,FALSE)*VLOOKUP(Sheet1!$A1507,Sheet2!$B$5:$H$29,6,FALSE),0)</x:f>
        <x:v>12</x:v>
      </x:c>
      <x:c r="H1507">
        <x:f>ROUND($C1507*10*VLOOKUP($B1507,Sheet2!$J$5:$K$7,2,FALSE)*VLOOKUP(Sheet1!$A1507,Sheet2!$B$5:$H$29,7,FALSE),0)</x:f>
        <x:v>0</x:v>
      </x:c>
      <x:c r="I1507">
        <x:f t="shared" si="25"/>
        <x:v>820</x:v>
      </x:c>
    </x:row>
    <x:row r="1508" spans="1:9" x14ac:dyDescent="0.15">
      <x:c r="A1508">
        <x:v>54054</x:v>
      </x:c>
      <x:c r="B1508">
        <x:v>2</x:v>
      </x:c>
      <x:c r="C1508">
        <x:v>7</x:v>
      </x:c>
      <x:c r="D1508">
        <x:f>ROUND($C1508*10*VLOOKUP($B1508,Sheet2!$J$5:$K$7,2,FALSE)*VLOOKUP(Sheet1!$A1508,Sheet2!$B$5:$H$29,3,FALSE),0)</x:f>
        <x:v>0</x:v>
      </x:c>
      <x:c r="E1508">
        <x:f>ROUND($C1508*10*VLOOKUP($B1508,Sheet2!$J$5:$K$7,2,FALSE)*VLOOKUP(Sheet1!$A1508,Sheet2!$B$5:$H$29,4,FALSE),0)</x:f>
        <x:v>50</x:v>
      </x:c>
      <x:c r="F1508">
        <x:f>ROUND($C1508*10*VLOOKUP($B1508,Sheet2!$J$5:$K$7,2,FALSE)*VLOOKUP(Sheet1!$A1508,Sheet2!$B$5:$H$29,5,FALSE),0)</x:f>
        <x:v>0</x:v>
      </x:c>
      <x:c r="G1508">
        <x:f>ROUND($C1508*10*VLOOKUP($B1508,Sheet2!$J$5:$K$7,2,FALSE)*VLOOKUP(Sheet1!$A1508,Sheet2!$B$5:$H$29,6,FALSE),0)</x:f>
        <x:v>13</x:v>
      </x:c>
      <x:c r="H1508">
        <x:f>ROUND($C1508*10*VLOOKUP($B1508,Sheet2!$J$5:$K$7,2,FALSE)*VLOOKUP(Sheet1!$A1508,Sheet2!$B$5:$H$29,7,FALSE),0)</x:f>
        <x:v>0</x:v>
      </x:c>
      <x:c r="I1508">
        <x:f t="shared" si="25"/>
        <x:v>1120</x:v>
      </x:c>
    </x:row>
    <x:row r="1509" spans="1:9" x14ac:dyDescent="0.15">
      <x:c r="A1509">
        <x:v>54054</x:v>
      </x:c>
      <x:c r="B1509">
        <x:v>2</x:v>
      </x:c>
      <x:c r="C1509">
        <x:v>8</x:v>
      </x:c>
      <x:c r="D1509">
        <x:f>ROUND($C1509*10*VLOOKUP($B1509,Sheet2!$J$5:$K$7,2,FALSE)*VLOOKUP(Sheet1!$A1509,Sheet2!$B$5:$H$29,3,FALSE),0)</x:f>
        <x:v>0</x:v>
      </x:c>
      <x:c r="E1509">
        <x:f>ROUND($C1509*10*VLOOKUP($B1509,Sheet2!$J$5:$K$7,2,FALSE)*VLOOKUP(Sheet1!$A1509,Sheet2!$B$5:$H$29,4,FALSE),0)</x:f>
        <x:v>58</x:v>
      </x:c>
      <x:c r="F1509">
        <x:f>ROUND($C1509*10*VLOOKUP($B1509,Sheet2!$J$5:$K$7,2,FALSE)*VLOOKUP(Sheet1!$A1509,Sheet2!$B$5:$H$29,5,FALSE),0)</x:f>
        <x:v>0</x:v>
      </x:c>
      <x:c r="G1509">
        <x:f>ROUND($C1509*10*VLOOKUP($B1509,Sheet2!$J$5:$K$7,2,FALSE)*VLOOKUP(Sheet1!$A1509,Sheet2!$B$5:$H$29,6,FALSE),0)</x:f>
        <x:v>15</x:v>
      </x:c>
      <x:c r="H1509">
        <x:f>ROUND($C1509*10*VLOOKUP($B1509,Sheet2!$J$5:$K$7,2,FALSE)*VLOOKUP(Sheet1!$A1509,Sheet2!$B$5:$H$29,7,FALSE),0)</x:f>
        <x:v>0</x:v>
      </x:c>
      <x:c r="I1509">
        <x:f t="shared" si="25"/>
        <x:v>1450</x:v>
      </x:c>
    </x:row>
    <x:row r="1510" spans="1:9" x14ac:dyDescent="0.15">
      <x:c r="A1510">
        <x:v>54054</x:v>
      </x:c>
      <x:c r="B1510">
        <x:v>2</x:v>
      </x:c>
      <x:c r="C1510">
        <x:v>9</x:v>
      </x:c>
      <x:c r="D1510">
        <x:f>ROUND($C1510*10*VLOOKUP($B1510,Sheet2!$J$5:$K$7,2,FALSE)*VLOOKUP(Sheet1!$A1510,Sheet2!$B$5:$H$29,3,FALSE),0)</x:f>
        <x:v>0</x:v>
      </x:c>
      <x:c r="E1510">
        <x:f>ROUND($C1510*10*VLOOKUP($B1510,Sheet2!$J$5:$K$7,2,FALSE)*VLOOKUP(Sheet1!$A1510,Sheet2!$B$5:$H$29,4,FALSE),0)</x:f>
        <x:v>65</x:v>
      </x:c>
      <x:c r="F1510">
        <x:f>ROUND($C1510*10*VLOOKUP($B1510,Sheet2!$J$5:$K$7,2,FALSE)*VLOOKUP(Sheet1!$A1510,Sheet2!$B$5:$H$29,5,FALSE),0)</x:f>
        <x:v>0</x:v>
      </x:c>
      <x:c r="G1510">
        <x:f>ROUND($C1510*10*VLOOKUP($B1510,Sheet2!$J$5:$K$7,2,FALSE)*VLOOKUP(Sheet1!$A1510,Sheet2!$B$5:$H$29,6,FALSE),0)</x:f>
        <x:v>17</x:v>
      </x:c>
      <x:c r="H1510">
        <x:f>ROUND($C1510*10*VLOOKUP($B1510,Sheet2!$J$5:$K$7,2,FALSE)*VLOOKUP(Sheet1!$A1510,Sheet2!$B$5:$H$29,7,FALSE),0)</x:f>
        <x:v>0</x:v>
      </x:c>
      <x:c r="I1510">
        <x:f t="shared" si="25"/>
        <x:v>1830</x:v>
      </x:c>
    </x:row>
    <x:row r="1511" spans="1:9" x14ac:dyDescent="0.15">
      <x:c r="A1511">
        <x:v>54054</x:v>
      </x:c>
      <x:c r="B1511">
        <x:v>2</x:v>
      </x:c>
      <x:c r="C1511">
        <x:v>10</x:v>
      </x:c>
      <x:c r="D1511">
        <x:f>ROUND($C1511*10*VLOOKUP($B1511,Sheet2!$J$5:$K$7,2,FALSE)*VLOOKUP(Sheet1!$A1511,Sheet2!$B$5:$H$29,3,FALSE),0)</x:f>
        <x:v>0</x:v>
      </x:c>
      <x:c r="E1511">
        <x:f>ROUND($C1511*10*VLOOKUP($B1511,Sheet2!$J$5:$K$7,2,FALSE)*VLOOKUP(Sheet1!$A1511,Sheet2!$B$5:$H$29,4,FALSE),0)</x:f>
        <x:v>72</x:v>
      </x:c>
      <x:c r="F1511">
        <x:f>ROUND($C1511*10*VLOOKUP($B1511,Sheet2!$J$5:$K$7,2,FALSE)*VLOOKUP(Sheet1!$A1511,Sheet2!$B$5:$H$29,5,FALSE),0)</x:f>
        <x:v>0</x:v>
      </x:c>
      <x:c r="G1511">
        <x:f>ROUND($C1511*10*VLOOKUP($B1511,Sheet2!$J$5:$K$7,2,FALSE)*VLOOKUP(Sheet1!$A1511,Sheet2!$B$5:$H$29,6,FALSE),0)</x:f>
        <x:v>19</x:v>
      </x:c>
      <x:c r="H1511">
        <x:f>ROUND($C1511*10*VLOOKUP($B1511,Sheet2!$J$5:$K$7,2,FALSE)*VLOOKUP(Sheet1!$A1511,Sheet2!$B$5:$H$29,7,FALSE),0)</x:f>
        <x:v>0</x:v>
      </x:c>
      <x:c r="I1511">
        <x:f t="shared" si="25"/>
        <x:v>2250</x:v>
      </x:c>
    </x:row>
    <x:row r="1512" spans="1:9" x14ac:dyDescent="0.15">
      <x:c r="A1512">
        <x:v>54054</x:v>
      </x:c>
      <x:c r="B1512">
        <x:v>2</x:v>
      </x:c>
      <x:c r="C1512">
        <x:v>11</x:v>
      </x:c>
      <x:c r="D1512">
        <x:f>ROUND($C1512*10*VLOOKUP($B1512,Sheet2!$J$5:$K$7,2,FALSE)*VLOOKUP(Sheet1!$A1512,Sheet2!$B$5:$H$29,3,FALSE),0)</x:f>
        <x:v>0</x:v>
      </x:c>
      <x:c r="E1512">
        <x:f>ROUND($C1512*10*VLOOKUP($B1512,Sheet2!$J$5:$K$7,2,FALSE)*VLOOKUP(Sheet1!$A1512,Sheet2!$B$5:$H$29,4,FALSE),0)</x:f>
        <x:v>79</x:v>
      </x:c>
      <x:c r="F1512">
        <x:f>ROUND($C1512*10*VLOOKUP($B1512,Sheet2!$J$5:$K$7,2,FALSE)*VLOOKUP(Sheet1!$A1512,Sheet2!$B$5:$H$29,5,FALSE),0)</x:f>
        <x:v>0</x:v>
      </x:c>
      <x:c r="G1512">
        <x:f>ROUND($C1512*10*VLOOKUP($B1512,Sheet2!$J$5:$K$7,2,FALSE)*VLOOKUP(Sheet1!$A1512,Sheet2!$B$5:$H$29,6,FALSE),0)</x:f>
        <x:v>21</x:v>
      </x:c>
      <x:c r="H1512">
        <x:f>ROUND($C1512*10*VLOOKUP($B1512,Sheet2!$J$5:$K$7,2,FALSE)*VLOOKUP(Sheet1!$A1512,Sheet2!$B$5:$H$29,7,FALSE),0)</x:f>
        <x:v>0</x:v>
      </x:c>
      <x:c r="I1512">
        <x:f t="shared" si="25"/>
        <x:v>2710</x:v>
      </x:c>
    </x:row>
    <x:row r="1513" spans="1:9" x14ac:dyDescent="0.15">
      <x:c r="A1513">
        <x:v>54054</x:v>
      </x:c>
      <x:c r="B1513">
        <x:v>2</x:v>
      </x:c>
      <x:c r="C1513">
        <x:v>12</x:v>
      </x:c>
      <x:c r="D1513">
        <x:f>ROUND($C1513*10*VLOOKUP($B1513,Sheet2!$J$5:$K$7,2,FALSE)*VLOOKUP(Sheet1!$A1513,Sheet2!$B$5:$H$29,3,FALSE),0)</x:f>
        <x:v>0</x:v>
      </x:c>
      <x:c r="E1513">
        <x:f>ROUND($C1513*10*VLOOKUP($B1513,Sheet2!$J$5:$K$7,2,FALSE)*VLOOKUP(Sheet1!$A1513,Sheet2!$B$5:$H$29,4,FALSE),0)</x:f>
        <x:v>86</x:v>
      </x:c>
      <x:c r="F1513">
        <x:f>ROUND($C1513*10*VLOOKUP($B1513,Sheet2!$J$5:$K$7,2,FALSE)*VLOOKUP(Sheet1!$A1513,Sheet2!$B$5:$H$29,5,FALSE),0)</x:f>
        <x:v>0</x:v>
      </x:c>
      <x:c r="G1513">
        <x:f>ROUND($C1513*10*VLOOKUP($B1513,Sheet2!$J$5:$K$7,2,FALSE)*VLOOKUP(Sheet1!$A1513,Sheet2!$B$5:$H$29,6,FALSE),0)</x:f>
        <x:v>23</x:v>
      </x:c>
      <x:c r="H1513">
        <x:f>ROUND($C1513*10*VLOOKUP($B1513,Sheet2!$J$5:$K$7,2,FALSE)*VLOOKUP(Sheet1!$A1513,Sheet2!$B$5:$H$29,7,FALSE),0)</x:f>
        <x:v>0</x:v>
      </x:c>
      <x:c r="I1513">
        <x:f t="shared" si="25"/>
        <x:v>3210</x:v>
      </x:c>
    </x:row>
    <x:row r="1514" spans="1:9" x14ac:dyDescent="0.15">
      <x:c r="A1514">
        <x:v>54054</x:v>
      </x:c>
      <x:c r="B1514">
        <x:v>2</x:v>
      </x:c>
      <x:c r="C1514">
        <x:v>13</x:v>
      </x:c>
      <x:c r="D1514">
        <x:f>ROUND($C1514*10*VLOOKUP($B1514,Sheet2!$J$5:$K$7,2,FALSE)*VLOOKUP(Sheet1!$A1514,Sheet2!$B$5:$H$29,3,FALSE),0)</x:f>
        <x:v>0</x:v>
      </x:c>
      <x:c r="E1514">
        <x:f>ROUND($C1514*10*VLOOKUP($B1514,Sheet2!$J$5:$K$7,2,FALSE)*VLOOKUP(Sheet1!$A1514,Sheet2!$B$5:$H$29,4,FALSE),0)</x:f>
        <x:v>94</x:v>
      </x:c>
      <x:c r="F1514">
        <x:f>ROUND($C1514*10*VLOOKUP($B1514,Sheet2!$J$5:$K$7,2,FALSE)*VLOOKUP(Sheet1!$A1514,Sheet2!$B$5:$H$29,5,FALSE),0)</x:f>
        <x:v>0</x:v>
      </x:c>
      <x:c r="G1514">
        <x:f>ROUND($C1514*10*VLOOKUP($B1514,Sheet2!$J$5:$K$7,2,FALSE)*VLOOKUP(Sheet1!$A1514,Sheet2!$B$5:$H$29,6,FALSE),0)</x:f>
        <x:v>25</x:v>
      </x:c>
      <x:c r="H1514">
        <x:f>ROUND($C1514*10*VLOOKUP($B1514,Sheet2!$J$5:$K$7,2,FALSE)*VLOOKUP(Sheet1!$A1514,Sheet2!$B$5:$H$29,7,FALSE),0)</x:f>
        <x:v>0</x:v>
      </x:c>
      <x:c r="I1514">
        <x:f t="shared" si="25"/>
        <x:v>3740</x:v>
      </x:c>
    </x:row>
    <x:row r="1515" spans="1:9" x14ac:dyDescent="0.15">
      <x:c r="A1515">
        <x:v>54054</x:v>
      </x:c>
      <x:c r="B1515">
        <x:v>2</x:v>
      </x:c>
      <x:c r="C1515">
        <x:v>14</x:v>
      </x:c>
      <x:c r="D1515">
        <x:f>ROUND($C1515*10*VLOOKUP($B1515,Sheet2!$J$5:$K$7,2,FALSE)*VLOOKUP(Sheet1!$A1515,Sheet2!$B$5:$H$29,3,FALSE),0)</x:f>
        <x:v>0</x:v>
      </x:c>
      <x:c r="E1515">
        <x:f>ROUND($C1515*10*VLOOKUP($B1515,Sheet2!$J$5:$K$7,2,FALSE)*VLOOKUP(Sheet1!$A1515,Sheet2!$B$5:$H$29,4,FALSE),0)</x:f>
        <x:v>101</x:v>
      </x:c>
      <x:c r="F1515">
        <x:f>ROUND($C1515*10*VLOOKUP($B1515,Sheet2!$J$5:$K$7,2,FALSE)*VLOOKUP(Sheet1!$A1515,Sheet2!$B$5:$H$29,5,FALSE),0)</x:f>
        <x:v>0</x:v>
      </x:c>
      <x:c r="G1515">
        <x:f>ROUND($C1515*10*VLOOKUP($B1515,Sheet2!$J$5:$K$7,2,FALSE)*VLOOKUP(Sheet1!$A1515,Sheet2!$B$5:$H$29,6,FALSE),0)</x:f>
        <x:v>27</x:v>
      </x:c>
      <x:c r="H1515">
        <x:f>ROUND($C1515*10*VLOOKUP($B1515,Sheet2!$J$5:$K$7,2,FALSE)*VLOOKUP(Sheet1!$A1515,Sheet2!$B$5:$H$29,7,FALSE),0)</x:f>
        <x:v>0</x:v>
      </x:c>
      <x:c r="I1515">
        <x:f t="shared" si="25"/>
        <x:v>4310</x:v>
      </x:c>
    </x:row>
    <x:row r="1516" spans="1:9" x14ac:dyDescent="0.15">
      <x:c r="A1516">
        <x:v>54054</x:v>
      </x:c>
      <x:c r="B1516">
        <x:v>2</x:v>
      </x:c>
      <x:c r="C1516">
        <x:v>15</x:v>
      </x:c>
      <x:c r="D1516">
        <x:f>ROUND($C1516*10*VLOOKUP($B1516,Sheet2!$J$5:$K$7,2,FALSE)*VLOOKUP(Sheet1!$A1516,Sheet2!$B$5:$H$29,3,FALSE),0)</x:f>
        <x:v>0</x:v>
      </x:c>
      <x:c r="E1516">
        <x:f>ROUND($C1516*10*VLOOKUP($B1516,Sheet2!$J$5:$K$7,2,FALSE)*VLOOKUP(Sheet1!$A1516,Sheet2!$B$5:$H$29,4,FALSE),0)</x:f>
        <x:v>108</x:v>
      </x:c>
      <x:c r="F1516">
        <x:f>ROUND($C1516*10*VLOOKUP($B1516,Sheet2!$J$5:$K$7,2,FALSE)*VLOOKUP(Sheet1!$A1516,Sheet2!$B$5:$H$29,5,FALSE),0)</x:f>
        <x:v>0</x:v>
      </x:c>
      <x:c r="G1516">
        <x:f>ROUND($C1516*10*VLOOKUP($B1516,Sheet2!$J$5:$K$7,2,FALSE)*VLOOKUP(Sheet1!$A1516,Sheet2!$B$5:$H$29,6,FALSE),0)</x:f>
        <x:v>29</x:v>
      </x:c>
      <x:c r="H1516">
        <x:f>ROUND($C1516*10*VLOOKUP($B1516,Sheet2!$J$5:$K$7,2,FALSE)*VLOOKUP(Sheet1!$A1516,Sheet2!$B$5:$H$29,7,FALSE),0)</x:f>
        <x:v>0</x:v>
      </x:c>
      <x:c r="I1516">
        <x:f t="shared" si="25"/>
        <x:v>4920</x:v>
      </x:c>
    </x:row>
    <x:row r="1517" spans="1:9" x14ac:dyDescent="0.15">
      <x:c r="A1517">
        <x:v>54054</x:v>
      </x:c>
      <x:c r="B1517">
        <x:v>2</x:v>
      </x:c>
      <x:c r="C1517">
        <x:v>16</x:v>
      </x:c>
      <x:c r="D1517">
        <x:f>ROUND($C1517*10*VLOOKUP($B1517,Sheet2!$J$5:$K$7,2,FALSE)*VLOOKUP(Sheet1!$A1517,Sheet2!$B$5:$H$29,3,FALSE),0)</x:f>
        <x:v>0</x:v>
      </x:c>
      <x:c r="E1517">
        <x:f>ROUND($C1517*10*VLOOKUP($B1517,Sheet2!$J$5:$K$7,2,FALSE)*VLOOKUP(Sheet1!$A1517,Sheet2!$B$5:$H$29,4,FALSE),0)</x:f>
        <x:v>115</x:v>
      </x:c>
      <x:c r="F1517">
        <x:f>ROUND($C1517*10*VLOOKUP($B1517,Sheet2!$J$5:$K$7,2,FALSE)*VLOOKUP(Sheet1!$A1517,Sheet2!$B$5:$H$29,5,FALSE),0)</x:f>
        <x:v>0</x:v>
      </x:c>
      <x:c r="G1517">
        <x:f>ROUND($C1517*10*VLOOKUP($B1517,Sheet2!$J$5:$K$7,2,FALSE)*VLOOKUP(Sheet1!$A1517,Sheet2!$B$5:$H$29,6,FALSE),0)</x:f>
        <x:v>31</x:v>
      </x:c>
      <x:c r="H1517">
        <x:f>ROUND($C1517*10*VLOOKUP($B1517,Sheet2!$J$5:$K$7,2,FALSE)*VLOOKUP(Sheet1!$A1517,Sheet2!$B$5:$H$29,7,FALSE),0)</x:f>
        <x:v>0</x:v>
      </x:c>
      <x:c r="I1517">
        <x:f t="shared" si="25"/>
        <x:v>5560</x:v>
      </x:c>
    </x:row>
    <x:row r="1518" spans="1:9" x14ac:dyDescent="0.15">
      <x:c r="A1518">
        <x:v>54054</x:v>
      </x:c>
      <x:c r="B1518">
        <x:v>2</x:v>
      </x:c>
      <x:c r="C1518">
        <x:v>17</x:v>
      </x:c>
      <x:c r="D1518">
        <x:f>ROUND($C1518*10*VLOOKUP($B1518,Sheet2!$J$5:$K$7,2,FALSE)*VLOOKUP(Sheet1!$A1518,Sheet2!$B$5:$H$29,3,FALSE),0)</x:f>
        <x:v>0</x:v>
      </x:c>
      <x:c r="E1518">
        <x:f>ROUND($C1518*10*VLOOKUP($B1518,Sheet2!$J$5:$K$7,2,FALSE)*VLOOKUP(Sheet1!$A1518,Sheet2!$B$5:$H$29,4,FALSE),0)</x:f>
        <x:v>122</x:v>
      </x:c>
      <x:c r="F1518">
        <x:f>ROUND($C1518*10*VLOOKUP($B1518,Sheet2!$J$5:$K$7,2,FALSE)*VLOOKUP(Sheet1!$A1518,Sheet2!$B$5:$H$29,5,FALSE),0)</x:f>
        <x:v>0</x:v>
      </x:c>
      <x:c r="G1518">
        <x:f>ROUND($C1518*10*VLOOKUP($B1518,Sheet2!$J$5:$K$7,2,FALSE)*VLOOKUP(Sheet1!$A1518,Sheet2!$B$5:$H$29,6,FALSE),0)</x:f>
        <x:v>33</x:v>
      </x:c>
      <x:c r="H1518">
        <x:f>ROUND($C1518*10*VLOOKUP($B1518,Sheet2!$J$5:$K$7,2,FALSE)*VLOOKUP(Sheet1!$A1518,Sheet2!$B$5:$H$29,7,FALSE),0)</x:f>
        <x:v>0</x:v>
      </x:c>
      <x:c r="I1518">
        <x:f t="shared" si="25"/>
        <x:v>6240</x:v>
      </x:c>
    </x:row>
    <x:row r="1519" spans="1:9" x14ac:dyDescent="0.15">
      <x:c r="A1519">
        <x:v>54054</x:v>
      </x:c>
      <x:c r="B1519">
        <x:v>2</x:v>
      </x:c>
      <x:c r="C1519">
        <x:v>18</x:v>
      </x:c>
      <x:c r="D1519">
        <x:f>ROUND($C1519*10*VLOOKUP($B1519,Sheet2!$J$5:$K$7,2,FALSE)*VLOOKUP(Sheet1!$A1519,Sheet2!$B$5:$H$29,3,FALSE),0)</x:f>
        <x:v>0</x:v>
      </x:c>
      <x:c r="E1519">
        <x:f>ROUND($C1519*10*VLOOKUP($B1519,Sheet2!$J$5:$K$7,2,FALSE)*VLOOKUP(Sheet1!$A1519,Sheet2!$B$5:$H$29,4,FALSE),0)</x:f>
        <x:v>130</x:v>
      </x:c>
      <x:c r="F1519">
        <x:f>ROUND($C1519*10*VLOOKUP($B1519,Sheet2!$J$5:$K$7,2,FALSE)*VLOOKUP(Sheet1!$A1519,Sheet2!$B$5:$H$29,5,FALSE),0)</x:f>
        <x:v>0</x:v>
      </x:c>
      <x:c r="G1519">
        <x:f>ROUND($C1519*10*VLOOKUP($B1519,Sheet2!$J$5:$K$7,2,FALSE)*VLOOKUP(Sheet1!$A1519,Sheet2!$B$5:$H$29,6,FALSE),0)</x:f>
        <x:v>35</x:v>
      </x:c>
      <x:c r="H1519">
        <x:f>ROUND($C1519*10*VLOOKUP($B1519,Sheet2!$J$5:$K$7,2,FALSE)*VLOOKUP(Sheet1!$A1519,Sheet2!$B$5:$H$29,7,FALSE),0)</x:f>
        <x:v>0</x:v>
      </x:c>
      <x:c r="I1519">
        <x:f t="shared" si="25"/>
        <x:v>6950</x:v>
      </x:c>
    </x:row>
    <x:row r="1520" spans="1:9" x14ac:dyDescent="0.15">
      <x:c r="A1520">
        <x:v>54054</x:v>
      </x:c>
      <x:c r="B1520">
        <x:v>2</x:v>
      </x:c>
      <x:c r="C1520">
        <x:v>19</x:v>
      </x:c>
      <x:c r="D1520">
        <x:f>ROUND($C1520*10*VLOOKUP($B1520,Sheet2!$J$5:$K$7,2,FALSE)*VLOOKUP(Sheet1!$A1520,Sheet2!$B$5:$H$29,3,FALSE),0)</x:f>
        <x:v>0</x:v>
      </x:c>
      <x:c r="E1520">
        <x:f>ROUND($C1520*10*VLOOKUP($B1520,Sheet2!$J$5:$K$7,2,FALSE)*VLOOKUP(Sheet1!$A1520,Sheet2!$B$5:$H$29,4,FALSE),0)</x:f>
        <x:v>137</x:v>
      </x:c>
      <x:c r="F1520">
        <x:f>ROUND($C1520*10*VLOOKUP($B1520,Sheet2!$J$5:$K$7,2,FALSE)*VLOOKUP(Sheet1!$A1520,Sheet2!$B$5:$H$29,5,FALSE),0)</x:f>
        <x:v>0</x:v>
      </x:c>
      <x:c r="G1520">
        <x:f>ROUND($C1520*10*VLOOKUP($B1520,Sheet2!$J$5:$K$7,2,FALSE)*VLOOKUP(Sheet1!$A1520,Sheet2!$B$5:$H$29,6,FALSE),0)</x:f>
        <x:v>36</x:v>
      </x:c>
      <x:c r="H1520">
        <x:f>ROUND($C1520*10*VLOOKUP($B1520,Sheet2!$J$5:$K$7,2,FALSE)*VLOOKUP(Sheet1!$A1520,Sheet2!$B$5:$H$29,7,FALSE),0)</x:f>
        <x:v>0</x:v>
      </x:c>
      <x:c r="I1520">
        <x:f t="shared" si="25"/>
        <x:v>7690</x:v>
      </x:c>
    </x:row>
    <x:row r="1521" spans="1:9" x14ac:dyDescent="0.15">
      <x:c r="A1521">
        <x:v>54054</x:v>
      </x:c>
      <x:c r="B1521">
        <x:v>2</x:v>
      </x:c>
      <x:c r="C1521">
        <x:v>20</x:v>
      </x:c>
      <x:c r="D1521">
        <x:f>ROUND($C1521*10*VLOOKUP($B1521,Sheet2!$J$5:$K$7,2,FALSE)*VLOOKUP(Sheet1!$A1521,Sheet2!$B$5:$H$29,3,FALSE),0)</x:f>
        <x:v>0</x:v>
      </x:c>
      <x:c r="E1521">
        <x:f>ROUND($C1521*10*VLOOKUP($B1521,Sheet2!$J$5:$K$7,2,FALSE)*VLOOKUP(Sheet1!$A1521,Sheet2!$B$5:$H$29,4,FALSE),0)</x:f>
        <x:v>144</x:v>
      </x:c>
      <x:c r="F1521">
        <x:f>ROUND($C1521*10*VLOOKUP($B1521,Sheet2!$J$5:$K$7,2,FALSE)*VLOOKUP(Sheet1!$A1521,Sheet2!$B$5:$H$29,5,FALSE),0)</x:f>
        <x:v>0</x:v>
      </x:c>
      <x:c r="G1521">
        <x:f>ROUND($C1521*10*VLOOKUP($B1521,Sheet2!$J$5:$K$7,2,FALSE)*VLOOKUP(Sheet1!$A1521,Sheet2!$B$5:$H$29,6,FALSE),0)</x:f>
        <x:v>38</x:v>
      </x:c>
      <x:c r="H1521">
        <x:f>ROUND($C1521*10*VLOOKUP($B1521,Sheet2!$J$5:$K$7,2,FALSE)*VLOOKUP(Sheet1!$A1521,Sheet2!$B$5:$H$29,7,FALSE),0)</x:f>
        <x:v>0</x:v>
      </x:c>
      <x:c r="I1521">
        <x:f t="shared" si="25"/>
        <x:v>8470</x:v>
      </x:c>
    </x:row>
    <x:row r="1522" spans="1:9" x14ac:dyDescent="0.15">
      <x:c r="A1522">
        <x:v>54054</x:v>
      </x:c>
      <x:c r="B1522">
        <x:v>2</x:v>
      </x:c>
      <x:c r="C1522">
        <x:v>21</x:v>
      </x:c>
      <x:c r="D1522">
        <x:f>ROUND($C1522*10*VLOOKUP($B1522,Sheet2!$J$5:$K$7,2,FALSE)*VLOOKUP(Sheet1!$A1522,Sheet2!$B$5:$H$29,3,FALSE),0)</x:f>
        <x:v>0</x:v>
      </x:c>
      <x:c r="E1522">
        <x:f>ROUND($C1522*10*VLOOKUP($B1522,Sheet2!$J$5:$K$7,2,FALSE)*VLOOKUP(Sheet1!$A1522,Sheet2!$B$5:$H$29,4,FALSE),0)</x:f>
        <x:v>151</x:v>
      </x:c>
      <x:c r="F1522">
        <x:f>ROUND($C1522*10*VLOOKUP($B1522,Sheet2!$J$5:$K$7,2,FALSE)*VLOOKUP(Sheet1!$A1522,Sheet2!$B$5:$H$29,5,FALSE),0)</x:f>
        <x:v>0</x:v>
      </x:c>
      <x:c r="G1522">
        <x:f>ROUND($C1522*10*VLOOKUP($B1522,Sheet2!$J$5:$K$7,2,FALSE)*VLOOKUP(Sheet1!$A1522,Sheet2!$B$5:$H$29,6,FALSE),0)</x:f>
        <x:v>40</x:v>
      </x:c>
      <x:c r="H1522">
        <x:f>ROUND($C1522*10*VLOOKUP($B1522,Sheet2!$J$5:$K$7,2,FALSE)*VLOOKUP(Sheet1!$A1522,Sheet2!$B$5:$H$29,7,FALSE),0)</x:f>
        <x:v>0</x:v>
      </x:c>
      <x:c r="I1522">
        <x:f t="shared" si="25"/>
        <x:v>9290</x:v>
      </x:c>
    </x:row>
    <x:row r="1523" spans="1:9" x14ac:dyDescent="0.15">
      <x:c r="A1523">
        <x:v>54054</x:v>
      </x:c>
      <x:c r="B1523">
        <x:v>2</x:v>
      </x:c>
      <x:c r="C1523">
        <x:v>22</x:v>
      </x:c>
      <x:c r="D1523">
        <x:f>ROUND($C1523*10*VLOOKUP($B1523,Sheet2!$J$5:$K$7,2,FALSE)*VLOOKUP(Sheet1!$A1523,Sheet2!$B$5:$H$29,3,FALSE),0)</x:f>
        <x:v>0</x:v>
      </x:c>
      <x:c r="E1523">
        <x:f>ROUND($C1523*10*VLOOKUP($B1523,Sheet2!$J$5:$K$7,2,FALSE)*VLOOKUP(Sheet1!$A1523,Sheet2!$B$5:$H$29,4,FALSE),0)</x:f>
        <x:v>158</x:v>
      </x:c>
      <x:c r="F1523">
        <x:f>ROUND($C1523*10*VLOOKUP($B1523,Sheet2!$J$5:$K$7,2,FALSE)*VLOOKUP(Sheet1!$A1523,Sheet2!$B$5:$H$29,5,FALSE),0)</x:f>
        <x:v>0</x:v>
      </x:c>
      <x:c r="G1523">
        <x:f>ROUND($C1523*10*VLOOKUP($B1523,Sheet2!$J$5:$K$7,2,FALSE)*VLOOKUP(Sheet1!$A1523,Sheet2!$B$5:$H$29,6,FALSE),0)</x:f>
        <x:v>42</x:v>
      </x:c>
      <x:c r="H1523">
        <x:f>ROUND($C1523*10*VLOOKUP($B1523,Sheet2!$J$5:$K$7,2,FALSE)*VLOOKUP(Sheet1!$A1523,Sheet2!$B$5:$H$29,7,FALSE),0)</x:f>
        <x:v>0</x:v>
      </x:c>
      <x:c r="I1523">
        <x:f t="shared" si="25"/>
        <x:v>10130</x:v>
      </x:c>
    </x:row>
    <x:row r="1524" spans="1:9" x14ac:dyDescent="0.15">
      <x:c r="A1524">
        <x:v>54054</x:v>
      </x:c>
      <x:c r="B1524">
        <x:v>2</x:v>
      </x:c>
      <x:c r="C1524">
        <x:v>23</x:v>
      </x:c>
      <x:c r="D1524">
        <x:f>ROUND($C1524*10*VLOOKUP($B1524,Sheet2!$J$5:$K$7,2,FALSE)*VLOOKUP(Sheet1!$A1524,Sheet2!$B$5:$H$29,3,FALSE),0)</x:f>
        <x:v>0</x:v>
      </x:c>
      <x:c r="E1524">
        <x:f>ROUND($C1524*10*VLOOKUP($B1524,Sheet2!$J$5:$K$7,2,FALSE)*VLOOKUP(Sheet1!$A1524,Sheet2!$B$5:$H$29,4,FALSE),0)</x:f>
        <x:v>166</x:v>
      </x:c>
      <x:c r="F1524">
        <x:f>ROUND($C1524*10*VLOOKUP($B1524,Sheet2!$J$5:$K$7,2,FALSE)*VLOOKUP(Sheet1!$A1524,Sheet2!$B$5:$H$29,5,FALSE),0)</x:f>
        <x:v>0</x:v>
      </x:c>
      <x:c r="G1524">
        <x:f>ROUND($C1524*10*VLOOKUP($B1524,Sheet2!$J$5:$K$7,2,FALSE)*VLOOKUP(Sheet1!$A1524,Sheet2!$B$5:$H$29,6,FALSE),0)</x:f>
        <x:v>44</x:v>
      </x:c>
      <x:c r="H1524">
        <x:f>ROUND($C1524*10*VLOOKUP($B1524,Sheet2!$J$5:$K$7,2,FALSE)*VLOOKUP(Sheet1!$A1524,Sheet2!$B$5:$H$29,7,FALSE),0)</x:f>
        <x:v>0</x:v>
      </x:c>
      <x:c r="I1524">
        <x:f t="shared" si="25"/>
        <x:v>11010</x:v>
      </x:c>
    </x:row>
    <x:row r="1525" spans="1:9" x14ac:dyDescent="0.15">
      <x:c r="A1525">
        <x:v>54054</x:v>
      </x:c>
      <x:c r="B1525">
        <x:v>2</x:v>
      </x:c>
      <x:c r="C1525">
        <x:v>24</x:v>
      </x:c>
      <x:c r="D1525">
        <x:f>ROUND($C1525*10*VLOOKUP($B1525,Sheet2!$J$5:$K$7,2,FALSE)*VLOOKUP(Sheet1!$A1525,Sheet2!$B$5:$H$29,3,FALSE),0)</x:f>
        <x:v>0</x:v>
      </x:c>
      <x:c r="E1525">
        <x:f>ROUND($C1525*10*VLOOKUP($B1525,Sheet2!$J$5:$K$7,2,FALSE)*VLOOKUP(Sheet1!$A1525,Sheet2!$B$5:$H$29,4,FALSE),0)</x:f>
        <x:v>173</x:v>
      </x:c>
      <x:c r="F1525">
        <x:f>ROUND($C1525*10*VLOOKUP($B1525,Sheet2!$J$5:$K$7,2,FALSE)*VLOOKUP(Sheet1!$A1525,Sheet2!$B$5:$H$29,5,FALSE),0)</x:f>
        <x:v>0</x:v>
      </x:c>
      <x:c r="G1525">
        <x:f>ROUND($C1525*10*VLOOKUP($B1525,Sheet2!$J$5:$K$7,2,FALSE)*VLOOKUP(Sheet1!$A1525,Sheet2!$B$5:$H$29,6,FALSE),0)</x:f>
        <x:v>46</x:v>
      </x:c>
      <x:c r="H1525">
        <x:f>ROUND($C1525*10*VLOOKUP($B1525,Sheet2!$J$5:$K$7,2,FALSE)*VLOOKUP(Sheet1!$A1525,Sheet2!$B$5:$H$29,7,FALSE),0)</x:f>
        <x:v>0</x:v>
      </x:c>
      <x:c r="I1525">
        <x:f t="shared" si="25"/>
        <x:v>11930</x:v>
      </x:c>
    </x:row>
    <x:row r="1526" spans="1:9" x14ac:dyDescent="0.15">
      <x:c r="A1526">
        <x:v>54054</x:v>
      </x:c>
      <x:c r="B1526">
        <x:v>2</x:v>
      </x:c>
      <x:c r="C1526">
        <x:v>25</x:v>
      </x:c>
      <x:c r="D1526">
        <x:f>ROUND($C1526*10*VLOOKUP($B1526,Sheet2!$J$5:$K$7,2,FALSE)*VLOOKUP(Sheet1!$A1526,Sheet2!$B$5:$H$29,3,FALSE),0)</x:f>
        <x:v>0</x:v>
      </x:c>
      <x:c r="E1526">
        <x:f>ROUND($C1526*10*VLOOKUP($B1526,Sheet2!$J$5:$K$7,2,FALSE)*VLOOKUP(Sheet1!$A1526,Sheet2!$B$5:$H$29,4,FALSE),0)</x:f>
        <x:v>180</x:v>
      </x:c>
      <x:c r="F1526">
        <x:f>ROUND($C1526*10*VLOOKUP($B1526,Sheet2!$J$5:$K$7,2,FALSE)*VLOOKUP(Sheet1!$A1526,Sheet2!$B$5:$H$29,5,FALSE),0)</x:f>
        <x:v>0</x:v>
      </x:c>
      <x:c r="G1526">
        <x:f>ROUND($C1526*10*VLOOKUP($B1526,Sheet2!$J$5:$K$7,2,FALSE)*VLOOKUP(Sheet1!$A1526,Sheet2!$B$5:$H$29,6,FALSE),0)</x:f>
        <x:v>48</x:v>
      </x:c>
      <x:c r="H1526">
        <x:f>ROUND($C1526*10*VLOOKUP($B1526,Sheet2!$J$5:$K$7,2,FALSE)*VLOOKUP(Sheet1!$A1526,Sheet2!$B$5:$H$29,7,FALSE),0)</x:f>
        <x:v>0</x:v>
      </x:c>
      <x:c r="I1526">
        <x:f t="shared" si="25"/>
        <x:v>12870</x:v>
      </x:c>
    </x:row>
    <x:row r="1527" spans="1:9" x14ac:dyDescent="0.15">
      <x:c r="A1527">
        <x:v>54054</x:v>
      </x:c>
      <x:c r="B1527">
        <x:v>2</x:v>
      </x:c>
      <x:c r="C1527">
        <x:v>26</x:v>
      </x:c>
      <x:c r="D1527">
        <x:f>ROUND($C1527*10*VLOOKUP($B1527,Sheet2!$J$5:$K$7,2,FALSE)*VLOOKUP(Sheet1!$A1527,Sheet2!$B$5:$H$29,3,FALSE),0)</x:f>
        <x:v>0</x:v>
      </x:c>
      <x:c r="E1527">
        <x:f>ROUND($C1527*10*VLOOKUP($B1527,Sheet2!$J$5:$K$7,2,FALSE)*VLOOKUP(Sheet1!$A1527,Sheet2!$B$5:$H$29,4,FALSE),0)</x:f>
        <x:v>187</x:v>
      </x:c>
      <x:c r="F1527">
        <x:f>ROUND($C1527*10*VLOOKUP($B1527,Sheet2!$J$5:$K$7,2,FALSE)*VLOOKUP(Sheet1!$A1527,Sheet2!$B$5:$H$29,5,FALSE),0)</x:f>
        <x:v>0</x:v>
      </x:c>
      <x:c r="G1527">
        <x:f>ROUND($C1527*10*VLOOKUP($B1527,Sheet2!$J$5:$K$7,2,FALSE)*VLOOKUP(Sheet1!$A1527,Sheet2!$B$5:$H$29,6,FALSE),0)</x:f>
        <x:v>50</x:v>
      </x:c>
      <x:c r="H1527">
        <x:f>ROUND($C1527*10*VLOOKUP($B1527,Sheet2!$J$5:$K$7,2,FALSE)*VLOOKUP(Sheet1!$A1527,Sheet2!$B$5:$H$29,7,FALSE),0)</x:f>
        <x:v>0</x:v>
      </x:c>
      <x:c r="I1527">
        <x:f t="shared" si="25"/>
        <x:v>13850</x:v>
      </x:c>
    </x:row>
    <x:row r="1528" spans="1:9" x14ac:dyDescent="0.15">
      <x:c r="A1528">
        <x:v>54054</x:v>
      </x:c>
      <x:c r="B1528">
        <x:v>2</x:v>
      </x:c>
      <x:c r="C1528">
        <x:v>27</x:v>
      </x:c>
      <x:c r="D1528">
        <x:f>ROUND($C1528*10*VLOOKUP($B1528,Sheet2!$J$5:$K$7,2,FALSE)*VLOOKUP(Sheet1!$A1528,Sheet2!$B$5:$H$29,3,FALSE),0)</x:f>
        <x:v>0</x:v>
      </x:c>
      <x:c r="E1528">
        <x:f>ROUND($C1528*10*VLOOKUP($B1528,Sheet2!$J$5:$K$7,2,FALSE)*VLOOKUP(Sheet1!$A1528,Sheet2!$B$5:$H$29,4,FALSE),0)</x:f>
        <x:v>194</x:v>
      </x:c>
      <x:c r="F1528">
        <x:f>ROUND($C1528*10*VLOOKUP($B1528,Sheet2!$J$5:$K$7,2,FALSE)*VLOOKUP(Sheet1!$A1528,Sheet2!$B$5:$H$29,5,FALSE),0)</x:f>
        <x:v>0</x:v>
      </x:c>
      <x:c r="G1528">
        <x:f>ROUND($C1528*10*VLOOKUP($B1528,Sheet2!$J$5:$K$7,2,FALSE)*VLOOKUP(Sheet1!$A1528,Sheet2!$B$5:$H$29,6,FALSE),0)</x:f>
        <x:v>52</x:v>
      </x:c>
      <x:c r="H1528">
        <x:f>ROUND($C1528*10*VLOOKUP($B1528,Sheet2!$J$5:$K$7,2,FALSE)*VLOOKUP(Sheet1!$A1528,Sheet2!$B$5:$H$29,7,FALSE),0)</x:f>
        <x:v>0</x:v>
      </x:c>
      <x:c r="I1528">
        <x:f t="shared" si="25"/>
        <x:v>14860</x:v>
      </x:c>
    </x:row>
    <x:row r="1529" spans="1:9" x14ac:dyDescent="0.15">
      <x:c r="A1529">
        <x:v>54054</x:v>
      </x:c>
      <x:c r="B1529">
        <x:v>2</x:v>
      </x:c>
      <x:c r="C1529">
        <x:v>28</x:v>
      </x:c>
      <x:c r="D1529">
        <x:f>ROUND($C1529*10*VLOOKUP($B1529,Sheet2!$J$5:$K$7,2,FALSE)*VLOOKUP(Sheet1!$A1529,Sheet2!$B$5:$H$29,3,FALSE),0)</x:f>
        <x:v>0</x:v>
      </x:c>
      <x:c r="E1529">
        <x:f>ROUND($C1529*10*VLOOKUP($B1529,Sheet2!$J$5:$K$7,2,FALSE)*VLOOKUP(Sheet1!$A1529,Sheet2!$B$5:$H$29,4,FALSE),0)</x:f>
        <x:v>202</x:v>
      </x:c>
      <x:c r="F1529">
        <x:f>ROUND($C1529*10*VLOOKUP($B1529,Sheet2!$J$5:$K$7,2,FALSE)*VLOOKUP(Sheet1!$A1529,Sheet2!$B$5:$H$29,5,FALSE),0)</x:f>
        <x:v>0</x:v>
      </x:c>
      <x:c r="G1529">
        <x:f>ROUND($C1529*10*VLOOKUP($B1529,Sheet2!$J$5:$K$7,2,FALSE)*VLOOKUP(Sheet1!$A1529,Sheet2!$B$5:$H$29,6,FALSE),0)</x:f>
        <x:v>54</x:v>
      </x:c>
      <x:c r="H1529">
        <x:f>ROUND($C1529*10*VLOOKUP($B1529,Sheet2!$J$5:$K$7,2,FALSE)*VLOOKUP(Sheet1!$A1529,Sheet2!$B$5:$H$29,7,FALSE),0)</x:f>
        <x:v>0</x:v>
      </x:c>
      <x:c r="I1529">
        <x:f t="shared" si="25"/>
        <x:v>15900</x:v>
      </x:c>
    </x:row>
    <x:row r="1530" spans="1:9" x14ac:dyDescent="0.15">
      <x:c r="A1530">
        <x:v>54054</x:v>
      </x:c>
      <x:c r="B1530">
        <x:v>2</x:v>
      </x:c>
      <x:c r="C1530">
        <x:v>29</x:v>
      </x:c>
      <x:c r="D1530">
        <x:f>ROUND($C1530*10*VLOOKUP($B1530,Sheet2!$J$5:$K$7,2,FALSE)*VLOOKUP(Sheet1!$A1530,Sheet2!$B$5:$H$29,3,FALSE),0)</x:f>
        <x:v>0</x:v>
      </x:c>
      <x:c r="E1530">
        <x:f>ROUND($C1530*10*VLOOKUP($B1530,Sheet2!$J$5:$K$7,2,FALSE)*VLOOKUP(Sheet1!$A1530,Sheet2!$B$5:$H$29,4,FALSE),0)</x:f>
        <x:v>209</x:v>
      </x:c>
      <x:c r="F1530">
        <x:f>ROUND($C1530*10*VLOOKUP($B1530,Sheet2!$J$5:$K$7,2,FALSE)*VLOOKUP(Sheet1!$A1530,Sheet2!$B$5:$H$29,5,FALSE),0)</x:f>
        <x:v>0</x:v>
      </x:c>
      <x:c r="G1530">
        <x:f>ROUND($C1530*10*VLOOKUP($B1530,Sheet2!$J$5:$K$7,2,FALSE)*VLOOKUP(Sheet1!$A1530,Sheet2!$B$5:$H$29,6,FALSE),0)</x:f>
        <x:v>56</x:v>
      </x:c>
      <x:c r="H1530">
        <x:f>ROUND($C1530*10*VLOOKUP($B1530,Sheet2!$J$5:$K$7,2,FALSE)*VLOOKUP(Sheet1!$A1530,Sheet2!$B$5:$H$29,7,FALSE),0)</x:f>
        <x:v>0</x:v>
      </x:c>
      <x:c r="I1530">
        <x:f t="shared" si="25"/>
        <x:v>16970</x:v>
      </x:c>
    </x:row>
    <x:row r="1531" spans="1:9" x14ac:dyDescent="0.15">
      <x:c r="A1531">
        <x:v>54054</x:v>
      </x:c>
      <x:c r="B1531">
        <x:v>2</x:v>
      </x:c>
      <x:c r="C1531">
        <x:v>30</x:v>
      </x:c>
      <x:c r="D1531">
        <x:f>ROUND($C1531*10*VLOOKUP($B1531,Sheet2!$J$5:$K$7,2,FALSE)*VLOOKUP(Sheet1!$A1531,Sheet2!$B$5:$H$29,3,FALSE),0)</x:f>
        <x:v>0</x:v>
      </x:c>
      <x:c r="E1531">
        <x:f>ROUND($C1531*10*VLOOKUP($B1531,Sheet2!$J$5:$K$7,2,FALSE)*VLOOKUP(Sheet1!$A1531,Sheet2!$B$5:$H$29,4,FALSE),0)</x:f>
        <x:v>216</x:v>
      </x:c>
      <x:c r="F1531">
        <x:f>ROUND($C1531*10*VLOOKUP($B1531,Sheet2!$J$5:$K$7,2,FALSE)*VLOOKUP(Sheet1!$A1531,Sheet2!$B$5:$H$29,5,FALSE),0)</x:f>
        <x:v>0</x:v>
      </x:c>
      <x:c r="G1531">
        <x:f>ROUND($C1531*10*VLOOKUP($B1531,Sheet2!$J$5:$K$7,2,FALSE)*VLOOKUP(Sheet1!$A1531,Sheet2!$B$5:$H$29,6,FALSE),0)</x:f>
        <x:v>58</x:v>
      </x:c>
      <x:c r="H1531">
        <x:f>ROUND($C1531*10*VLOOKUP($B1531,Sheet2!$J$5:$K$7,2,FALSE)*VLOOKUP(Sheet1!$A1531,Sheet2!$B$5:$H$29,7,FALSE),0)</x:f>
        <x:v>0</x:v>
      </x:c>
      <x:c r="I1531">
        <x:f t="shared" si="25"/>
        <x:v>18070</x:v>
      </x:c>
    </x:row>
    <x:row r="1532" spans="1:9" x14ac:dyDescent="0.15">
      <x:c r="A1532">
        <x:v>54054</x:v>
      </x:c>
      <x:c r="B1532">
        <x:v>2</x:v>
      </x:c>
      <x:c r="C1532">
        <x:v>31</x:v>
      </x:c>
      <x:c r="D1532">
        <x:f>ROUND($C1532*10*VLOOKUP($B1532,Sheet2!$J$5:$K$7,2,FALSE)*VLOOKUP(Sheet1!$A1532,Sheet2!$B$5:$H$29,3,FALSE),0)</x:f>
        <x:v>0</x:v>
      </x:c>
      <x:c r="E1532">
        <x:f>ROUND($C1532*10*VLOOKUP($B1532,Sheet2!$J$5:$K$7,2,FALSE)*VLOOKUP(Sheet1!$A1532,Sheet2!$B$5:$H$29,4,FALSE),0)</x:f>
        <x:v>223</x:v>
      </x:c>
      <x:c r="F1532">
        <x:f>ROUND($C1532*10*VLOOKUP($B1532,Sheet2!$J$5:$K$7,2,FALSE)*VLOOKUP(Sheet1!$A1532,Sheet2!$B$5:$H$29,5,FALSE),0)</x:f>
        <x:v>0</x:v>
      </x:c>
      <x:c r="G1532">
        <x:f>ROUND($C1532*10*VLOOKUP($B1532,Sheet2!$J$5:$K$7,2,FALSE)*VLOOKUP(Sheet1!$A1532,Sheet2!$B$5:$H$29,6,FALSE),0)</x:f>
        <x:v>60</x:v>
      </x:c>
      <x:c r="H1532">
        <x:f>ROUND($C1532*10*VLOOKUP($B1532,Sheet2!$J$5:$K$7,2,FALSE)*VLOOKUP(Sheet1!$A1532,Sheet2!$B$5:$H$29,7,FALSE),0)</x:f>
        <x:v>0</x:v>
      </x:c>
      <x:c r="I1532">
        <x:f t="shared" si="25"/>
        <x:v>19210</x:v>
      </x:c>
    </x:row>
    <x:row r="1533" spans="1:9" x14ac:dyDescent="0.15">
      <x:c r="A1533">
        <x:v>54054</x:v>
      </x:c>
      <x:c r="B1533">
        <x:v>2</x:v>
      </x:c>
      <x:c r="C1533">
        <x:v>32</x:v>
      </x:c>
      <x:c r="D1533">
        <x:f>ROUND($C1533*10*VLOOKUP($B1533,Sheet2!$J$5:$K$7,2,FALSE)*VLOOKUP(Sheet1!$A1533,Sheet2!$B$5:$H$29,3,FALSE),0)</x:f>
        <x:v>0</x:v>
      </x:c>
      <x:c r="E1533">
        <x:f>ROUND($C1533*10*VLOOKUP($B1533,Sheet2!$J$5:$K$7,2,FALSE)*VLOOKUP(Sheet1!$A1533,Sheet2!$B$5:$H$29,4,FALSE),0)</x:f>
        <x:v>230</x:v>
      </x:c>
      <x:c r="F1533">
        <x:f>ROUND($C1533*10*VLOOKUP($B1533,Sheet2!$J$5:$K$7,2,FALSE)*VLOOKUP(Sheet1!$A1533,Sheet2!$B$5:$H$29,5,FALSE),0)</x:f>
        <x:v>0</x:v>
      </x:c>
      <x:c r="G1533">
        <x:f>ROUND($C1533*10*VLOOKUP($B1533,Sheet2!$J$5:$K$7,2,FALSE)*VLOOKUP(Sheet1!$A1533,Sheet2!$B$5:$H$29,6,FALSE),0)</x:f>
        <x:v>61</x:v>
      </x:c>
      <x:c r="H1533">
        <x:f>ROUND($C1533*10*VLOOKUP($B1533,Sheet2!$J$5:$K$7,2,FALSE)*VLOOKUP(Sheet1!$A1533,Sheet2!$B$5:$H$29,7,FALSE),0)</x:f>
        <x:v>0</x:v>
      </x:c>
      <x:c r="I1533">
        <x:f t="shared" si="25"/>
        <x:v>20370</x:v>
      </x:c>
    </x:row>
    <x:row r="1534" spans="1:9" x14ac:dyDescent="0.15">
      <x:c r="A1534">
        <x:v>54054</x:v>
      </x:c>
      <x:c r="B1534">
        <x:v>2</x:v>
      </x:c>
      <x:c r="C1534">
        <x:v>33</x:v>
      </x:c>
      <x:c r="D1534">
        <x:f>ROUND($C1534*10*VLOOKUP($B1534,Sheet2!$J$5:$K$7,2,FALSE)*VLOOKUP(Sheet1!$A1534,Sheet2!$B$5:$H$29,3,FALSE),0)</x:f>
        <x:v>0</x:v>
      </x:c>
      <x:c r="E1534">
        <x:f>ROUND($C1534*10*VLOOKUP($B1534,Sheet2!$J$5:$K$7,2,FALSE)*VLOOKUP(Sheet1!$A1534,Sheet2!$B$5:$H$29,4,FALSE),0)</x:f>
        <x:v>238</x:v>
      </x:c>
      <x:c r="F1534">
        <x:f>ROUND($C1534*10*VLOOKUP($B1534,Sheet2!$J$5:$K$7,2,FALSE)*VLOOKUP(Sheet1!$A1534,Sheet2!$B$5:$H$29,5,FALSE),0)</x:f>
        <x:v>0</x:v>
      </x:c>
      <x:c r="G1534">
        <x:f>ROUND($C1534*10*VLOOKUP($B1534,Sheet2!$J$5:$K$7,2,FALSE)*VLOOKUP(Sheet1!$A1534,Sheet2!$B$5:$H$29,6,FALSE),0)</x:f>
        <x:v>63</x:v>
      </x:c>
      <x:c r="H1534">
        <x:f>ROUND($C1534*10*VLOOKUP($B1534,Sheet2!$J$5:$K$7,2,FALSE)*VLOOKUP(Sheet1!$A1534,Sheet2!$B$5:$H$29,7,FALSE),0)</x:f>
        <x:v>0</x:v>
      </x:c>
      <x:c r="I1534">
        <x:f t="shared" si="25"/>
        <x:v>21560</x:v>
      </x:c>
    </x:row>
    <x:row r="1535" spans="1:9" x14ac:dyDescent="0.15">
      <x:c r="A1535">
        <x:v>54054</x:v>
      </x:c>
      <x:c r="B1535">
        <x:v>2</x:v>
      </x:c>
      <x:c r="C1535">
        <x:v>34</x:v>
      </x:c>
      <x:c r="D1535">
        <x:f>ROUND($C1535*10*VLOOKUP($B1535,Sheet2!$J$5:$K$7,2,FALSE)*VLOOKUP(Sheet1!$A1535,Sheet2!$B$5:$H$29,3,FALSE),0)</x:f>
        <x:v>0</x:v>
      </x:c>
      <x:c r="E1535">
        <x:f>ROUND($C1535*10*VLOOKUP($B1535,Sheet2!$J$5:$K$7,2,FALSE)*VLOOKUP(Sheet1!$A1535,Sheet2!$B$5:$H$29,4,FALSE),0)</x:f>
        <x:v>245</x:v>
      </x:c>
      <x:c r="F1535">
        <x:f>ROUND($C1535*10*VLOOKUP($B1535,Sheet2!$J$5:$K$7,2,FALSE)*VLOOKUP(Sheet1!$A1535,Sheet2!$B$5:$H$29,5,FALSE),0)</x:f>
        <x:v>0</x:v>
      </x:c>
      <x:c r="G1535">
        <x:f>ROUND($C1535*10*VLOOKUP($B1535,Sheet2!$J$5:$K$7,2,FALSE)*VLOOKUP(Sheet1!$A1535,Sheet2!$B$5:$H$29,6,FALSE),0)</x:f>
        <x:v>65</x:v>
      </x:c>
      <x:c r="H1535">
        <x:f>ROUND($C1535*10*VLOOKUP($B1535,Sheet2!$J$5:$K$7,2,FALSE)*VLOOKUP(Sheet1!$A1535,Sheet2!$B$5:$H$29,7,FALSE),0)</x:f>
        <x:v>0</x:v>
      </x:c>
      <x:c r="I1535">
        <x:f t="shared" si="25"/>
        <x:v>22790</x:v>
      </x:c>
    </x:row>
    <x:row r="1536" spans="1:9" x14ac:dyDescent="0.15">
      <x:c r="A1536">
        <x:v>54054</x:v>
      </x:c>
      <x:c r="B1536">
        <x:v>2</x:v>
      </x:c>
      <x:c r="C1536">
        <x:v>35</x:v>
      </x:c>
      <x:c r="D1536">
        <x:f>ROUND($C1536*10*VLOOKUP($B1536,Sheet2!$J$5:$K$7,2,FALSE)*VLOOKUP(Sheet1!$A1536,Sheet2!$B$5:$H$29,3,FALSE),0)</x:f>
        <x:v>0</x:v>
      </x:c>
      <x:c r="E1536">
        <x:f>ROUND($C1536*10*VLOOKUP($B1536,Sheet2!$J$5:$K$7,2,FALSE)*VLOOKUP(Sheet1!$A1536,Sheet2!$B$5:$H$29,4,FALSE),0)</x:f>
        <x:v>252</x:v>
      </x:c>
      <x:c r="F1536">
        <x:f>ROUND($C1536*10*VLOOKUP($B1536,Sheet2!$J$5:$K$7,2,FALSE)*VLOOKUP(Sheet1!$A1536,Sheet2!$B$5:$H$29,5,FALSE),0)</x:f>
        <x:v>0</x:v>
      </x:c>
      <x:c r="G1536">
        <x:f>ROUND($C1536*10*VLOOKUP($B1536,Sheet2!$J$5:$K$7,2,FALSE)*VLOOKUP(Sheet1!$A1536,Sheet2!$B$5:$H$29,6,FALSE),0)</x:f>
        <x:v>67</x:v>
      </x:c>
      <x:c r="H1536">
        <x:f>ROUND($C1536*10*VLOOKUP($B1536,Sheet2!$J$5:$K$7,2,FALSE)*VLOOKUP(Sheet1!$A1536,Sheet2!$B$5:$H$29,7,FALSE),0)</x:f>
        <x:v>0</x:v>
      </x:c>
      <x:c r="I1536">
        <x:f t="shared" si="25"/>
        <x:v>24040</x:v>
      </x:c>
    </x:row>
    <x:row r="1537" spans="1:9" x14ac:dyDescent="0.15">
      <x:c r="A1537">
        <x:v>54054</x:v>
      </x:c>
      <x:c r="B1537">
        <x:v>2</x:v>
      </x:c>
      <x:c r="C1537">
        <x:v>36</x:v>
      </x:c>
      <x:c r="D1537">
        <x:f>ROUND($C1537*10*VLOOKUP($B1537,Sheet2!$J$5:$K$7,2,FALSE)*VLOOKUP(Sheet1!$A1537,Sheet2!$B$5:$H$29,3,FALSE),0)</x:f>
        <x:v>0</x:v>
      </x:c>
      <x:c r="E1537">
        <x:f>ROUND($C1537*10*VLOOKUP($B1537,Sheet2!$J$5:$K$7,2,FALSE)*VLOOKUP(Sheet1!$A1537,Sheet2!$B$5:$H$29,4,FALSE),0)</x:f>
        <x:v>259</x:v>
      </x:c>
      <x:c r="F1537">
        <x:f>ROUND($C1537*10*VLOOKUP($B1537,Sheet2!$J$5:$K$7,2,FALSE)*VLOOKUP(Sheet1!$A1537,Sheet2!$B$5:$H$29,5,FALSE),0)</x:f>
        <x:v>0</x:v>
      </x:c>
      <x:c r="G1537">
        <x:f>ROUND($C1537*10*VLOOKUP($B1537,Sheet2!$J$5:$K$7,2,FALSE)*VLOOKUP(Sheet1!$A1537,Sheet2!$B$5:$H$29,6,FALSE),0)</x:f>
        <x:v>69</x:v>
      </x:c>
      <x:c r="H1537">
        <x:f>ROUND($C1537*10*VLOOKUP($B1537,Sheet2!$J$5:$K$7,2,FALSE)*VLOOKUP(Sheet1!$A1537,Sheet2!$B$5:$H$29,7,FALSE),0)</x:f>
        <x:v>0</x:v>
      </x:c>
      <x:c r="I1537">
        <x:f t="shared" si="25"/>
        <x:v>25330</x:v>
      </x:c>
    </x:row>
    <x:row r="1538" spans="1:9" x14ac:dyDescent="0.15">
      <x:c r="A1538">
        <x:v>54054</x:v>
      </x:c>
      <x:c r="B1538">
        <x:v>2</x:v>
      </x:c>
      <x:c r="C1538">
        <x:v>37</x:v>
      </x:c>
      <x:c r="D1538">
        <x:f>ROUND($C1538*10*VLOOKUP($B1538,Sheet2!$J$5:$K$7,2,FALSE)*VLOOKUP(Sheet1!$A1538,Sheet2!$B$5:$H$29,3,FALSE),0)</x:f>
        <x:v>0</x:v>
      </x:c>
      <x:c r="E1538">
        <x:f>ROUND($C1538*10*VLOOKUP($B1538,Sheet2!$J$5:$K$7,2,FALSE)*VLOOKUP(Sheet1!$A1538,Sheet2!$B$5:$H$29,4,FALSE),0)</x:f>
        <x:v>266</x:v>
      </x:c>
      <x:c r="F1538">
        <x:f>ROUND($C1538*10*VLOOKUP($B1538,Sheet2!$J$5:$K$7,2,FALSE)*VLOOKUP(Sheet1!$A1538,Sheet2!$B$5:$H$29,5,FALSE),0)</x:f>
        <x:v>0</x:v>
      </x:c>
      <x:c r="G1538">
        <x:f>ROUND($C1538*10*VLOOKUP($B1538,Sheet2!$J$5:$K$7,2,FALSE)*VLOOKUP(Sheet1!$A1538,Sheet2!$B$5:$H$29,6,FALSE),0)</x:f>
        <x:v>71</x:v>
      </x:c>
      <x:c r="H1538">
        <x:f>ROUND($C1538*10*VLOOKUP($B1538,Sheet2!$J$5:$K$7,2,FALSE)*VLOOKUP(Sheet1!$A1538,Sheet2!$B$5:$H$29,7,FALSE),0)</x:f>
        <x:v>0</x:v>
      </x:c>
      <x:c r="I1538">
        <x:f t="shared" si="25"/>
        <x:v>26640</x:v>
      </x:c>
    </x:row>
    <x:row r="1539" spans="1:9" x14ac:dyDescent="0.15">
      <x:c r="A1539">
        <x:v>54054</x:v>
      </x:c>
      <x:c r="B1539">
        <x:v>2</x:v>
      </x:c>
      <x:c r="C1539">
        <x:v>38</x:v>
      </x:c>
      <x:c r="D1539">
        <x:f>ROUND($C1539*10*VLOOKUP($B1539,Sheet2!$J$5:$K$7,2,FALSE)*VLOOKUP(Sheet1!$A1539,Sheet2!$B$5:$H$29,3,FALSE),0)</x:f>
        <x:v>0</x:v>
      </x:c>
      <x:c r="E1539">
        <x:f>ROUND($C1539*10*VLOOKUP($B1539,Sheet2!$J$5:$K$7,2,FALSE)*VLOOKUP(Sheet1!$A1539,Sheet2!$B$5:$H$29,4,FALSE),0)</x:f>
        <x:v>274</x:v>
      </x:c>
      <x:c r="F1539">
        <x:f>ROUND($C1539*10*VLOOKUP($B1539,Sheet2!$J$5:$K$7,2,FALSE)*VLOOKUP(Sheet1!$A1539,Sheet2!$B$5:$H$29,5,FALSE),0)</x:f>
        <x:v>0</x:v>
      </x:c>
      <x:c r="G1539">
        <x:f>ROUND($C1539*10*VLOOKUP($B1539,Sheet2!$J$5:$K$7,2,FALSE)*VLOOKUP(Sheet1!$A1539,Sheet2!$B$5:$H$29,6,FALSE),0)</x:f>
        <x:v>73</x:v>
      </x:c>
      <x:c r="H1539">
        <x:f>ROUND($C1539*10*VLOOKUP($B1539,Sheet2!$J$5:$K$7,2,FALSE)*VLOOKUP(Sheet1!$A1539,Sheet2!$B$5:$H$29,7,FALSE),0)</x:f>
        <x:v>0</x:v>
      </x:c>
      <x:c r="I1539">
        <x:f t="shared" si="25"/>
        <x:v>27990</x:v>
      </x:c>
    </x:row>
    <x:row r="1540" spans="1:9" x14ac:dyDescent="0.15">
      <x:c r="A1540">
        <x:v>54054</x:v>
      </x:c>
      <x:c r="B1540">
        <x:v>2</x:v>
      </x:c>
      <x:c r="C1540">
        <x:v>39</x:v>
      </x:c>
      <x:c r="D1540">
        <x:f>ROUND($C1540*10*VLOOKUP($B1540,Sheet2!$J$5:$K$7,2,FALSE)*VLOOKUP(Sheet1!$A1540,Sheet2!$B$5:$H$29,3,FALSE),0)</x:f>
        <x:v>0</x:v>
      </x:c>
      <x:c r="E1540">
        <x:f>ROUND($C1540*10*VLOOKUP($B1540,Sheet2!$J$5:$K$7,2,FALSE)*VLOOKUP(Sheet1!$A1540,Sheet2!$B$5:$H$29,4,FALSE),0)</x:f>
        <x:v>281</x:v>
      </x:c>
      <x:c r="F1540">
        <x:f>ROUND($C1540*10*VLOOKUP($B1540,Sheet2!$J$5:$K$7,2,FALSE)*VLOOKUP(Sheet1!$A1540,Sheet2!$B$5:$H$29,5,FALSE),0)</x:f>
        <x:v>0</x:v>
      </x:c>
      <x:c r="G1540">
        <x:f>ROUND($C1540*10*VLOOKUP($B1540,Sheet2!$J$5:$K$7,2,FALSE)*VLOOKUP(Sheet1!$A1540,Sheet2!$B$5:$H$29,6,FALSE),0)</x:f>
        <x:v>75</x:v>
      </x:c>
      <x:c r="H1540">
        <x:f>ROUND($C1540*10*VLOOKUP($B1540,Sheet2!$J$5:$K$7,2,FALSE)*VLOOKUP(Sheet1!$A1540,Sheet2!$B$5:$H$29,7,FALSE),0)</x:f>
        <x:v>0</x:v>
      </x:c>
      <x:c r="I1540">
        <x:f t="shared" si="25"/>
        <x:v>29360</x:v>
      </x:c>
    </x:row>
    <x:row r="1541" spans="1:9" x14ac:dyDescent="0.15">
      <x:c r="A1541">
        <x:v>54054</x:v>
      </x:c>
      <x:c r="B1541">
        <x:v>2</x:v>
      </x:c>
      <x:c r="C1541">
        <x:v>40</x:v>
      </x:c>
      <x:c r="D1541">
        <x:f>ROUND($C1541*10*VLOOKUP($B1541,Sheet2!$J$5:$K$7,2,FALSE)*VLOOKUP(Sheet1!$A1541,Sheet2!$B$5:$H$29,3,FALSE),0)</x:f>
        <x:v>0</x:v>
      </x:c>
      <x:c r="E1541">
        <x:f>ROUND($C1541*10*VLOOKUP($B1541,Sheet2!$J$5:$K$7,2,FALSE)*VLOOKUP(Sheet1!$A1541,Sheet2!$B$5:$H$29,4,FALSE),0)</x:f>
        <x:v>288</x:v>
      </x:c>
      <x:c r="F1541">
        <x:f>ROUND($C1541*10*VLOOKUP($B1541,Sheet2!$J$5:$K$7,2,FALSE)*VLOOKUP(Sheet1!$A1541,Sheet2!$B$5:$H$29,5,FALSE),0)</x:f>
        <x:v>0</x:v>
      </x:c>
      <x:c r="G1541">
        <x:f>ROUND($C1541*10*VLOOKUP($B1541,Sheet2!$J$5:$K$7,2,FALSE)*VLOOKUP(Sheet1!$A1541,Sheet2!$B$5:$H$29,6,FALSE),0)</x:f>
        <x:v>77</x:v>
      </x:c>
      <x:c r="H1541">
        <x:f>ROUND($C1541*10*VLOOKUP($B1541,Sheet2!$J$5:$K$7,2,FALSE)*VLOOKUP(Sheet1!$A1541,Sheet2!$B$5:$H$29,7,FALSE),0)</x:f>
        <x:v>0</x:v>
      </x:c>
      <x:c r="I1541">
        <x:f t="shared" si="25"/>
        <x:v>30760</x:v>
      </x:c>
    </x:row>
    <x:row r="1542" spans="1:9" x14ac:dyDescent="0.15">
      <x:c r="A1542">
        <x:v>54054</x:v>
      </x:c>
      <x:c r="B1542">
        <x:v>2</x:v>
      </x:c>
      <x:c r="C1542">
        <x:v>41</x:v>
      </x:c>
      <x:c r="D1542">
        <x:f>ROUND($C1542*10*VLOOKUP($B1542,Sheet2!$J$5:$K$7,2,FALSE)*VLOOKUP(Sheet1!$A1542,Sheet2!$B$5:$H$29,3,FALSE),0)</x:f>
        <x:v>0</x:v>
      </x:c>
      <x:c r="E1542">
        <x:f>ROUND($C1542*10*VLOOKUP($B1542,Sheet2!$J$5:$K$7,2,FALSE)*VLOOKUP(Sheet1!$A1542,Sheet2!$B$5:$H$29,4,FALSE),0)</x:f>
        <x:v>295</x:v>
      </x:c>
      <x:c r="F1542">
        <x:f>ROUND($C1542*10*VLOOKUP($B1542,Sheet2!$J$5:$K$7,2,FALSE)*VLOOKUP(Sheet1!$A1542,Sheet2!$B$5:$H$29,5,FALSE),0)</x:f>
        <x:v>0</x:v>
      </x:c>
      <x:c r="G1542">
        <x:f>ROUND($C1542*10*VLOOKUP($B1542,Sheet2!$J$5:$K$7,2,FALSE)*VLOOKUP(Sheet1!$A1542,Sheet2!$B$5:$H$29,6,FALSE),0)</x:f>
        <x:v>79</x:v>
      </x:c>
      <x:c r="H1542">
        <x:f>ROUND($C1542*10*VLOOKUP($B1542,Sheet2!$J$5:$K$7,2,FALSE)*VLOOKUP(Sheet1!$A1542,Sheet2!$B$5:$H$29,7,FALSE),0)</x:f>
        <x:v>0</x:v>
      </x:c>
      <x:c r="I1542">
        <x:f t="shared" si="25"/>
        <x:v>32190</x:v>
      </x:c>
    </x:row>
    <x:row r="1543" spans="1:9" x14ac:dyDescent="0.15">
      <x:c r="A1543">
        <x:v>54054</x:v>
      </x:c>
      <x:c r="B1543">
        <x:v>2</x:v>
      </x:c>
      <x:c r="C1543">
        <x:v>42</x:v>
      </x:c>
      <x:c r="D1543">
        <x:f>ROUND($C1543*10*VLOOKUP($B1543,Sheet2!$J$5:$K$7,2,FALSE)*VLOOKUP(Sheet1!$A1543,Sheet2!$B$5:$H$29,3,FALSE),0)</x:f>
        <x:v>0</x:v>
      </x:c>
      <x:c r="E1543">
        <x:f>ROUND($C1543*10*VLOOKUP($B1543,Sheet2!$J$5:$K$7,2,FALSE)*VLOOKUP(Sheet1!$A1543,Sheet2!$B$5:$H$29,4,FALSE),0)</x:f>
        <x:v>302</x:v>
      </x:c>
      <x:c r="F1543">
        <x:f>ROUND($C1543*10*VLOOKUP($B1543,Sheet2!$J$5:$K$7,2,FALSE)*VLOOKUP(Sheet1!$A1543,Sheet2!$B$5:$H$29,5,FALSE),0)</x:f>
        <x:v>0</x:v>
      </x:c>
      <x:c r="G1543">
        <x:f>ROUND($C1543*10*VLOOKUP($B1543,Sheet2!$J$5:$K$7,2,FALSE)*VLOOKUP(Sheet1!$A1543,Sheet2!$B$5:$H$29,6,FALSE),0)</x:f>
        <x:v>81</x:v>
      </x:c>
      <x:c r="H1543">
        <x:f>ROUND($C1543*10*VLOOKUP($B1543,Sheet2!$J$5:$K$7,2,FALSE)*VLOOKUP(Sheet1!$A1543,Sheet2!$B$5:$H$29,7,FALSE),0)</x:f>
        <x:v>0</x:v>
      </x:c>
      <x:c r="I1543">
        <x:f t="shared" si="25"/>
        <x:v>33650</x:v>
      </x:c>
    </x:row>
    <x:row r="1544" spans="1:9" x14ac:dyDescent="0.15">
      <x:c r="A1544">
        <x:v>54054</x:v>
      </x:c>
      <x:c r="B1544">
        <x:v>2</x:v>
      </x:c>
      <x:c r="C1544">
        <x:v>43</x:v>
      </x:c>
      <x:c r="D1544">
        <x:f>ROUND($C1544*10*VLOOKUP($B1544,Sheet2!$J$5:$K$7,2,FALSE)*VLOOKUP(Sheet1!$A1544,Sheet2!$B$5:$H$29,3,FALSE),0)</x:f>
        <x:v>0</x:v>
      </x:c>
      <x:c r="E1544">
        <x:f>ROUND($C1544*10*VLOOKUP($B1544,Sheet2!$J$5:$K$7,2,FALSE)*VLOOKUP(Sheet1!$A1544,Sheet2!$B$5:$H$29,4,FALSE),0)</x:f>
        <x:v>310</x:v>
      </x:c>
      <x:c r="F1544">
        <x:f>ROUND($C1544*10*VLOOKUP($B1544,Sheet2!$J$5:$K$7,2,FALSE)*VLOOKUP(Sheet1!$A1544,Sheet2!$B$5:$H$29,5,FALSE),0)</x:f>
        <x:v>0</x:v>
      </x:c>
      <x:c r="G1544">
        <x:f>ROUND($C1544*10*VLOOKUP($B1544,Sheet2!$J$5:$K$7,2,FALSE)*VLOOKUP(Sheet1!$A1544,Sheet2!$B$5:$H$29,6,FALSE),0)</x:f>
        <x:v>83</x:v>
      </x:c>
      <x:c r="H1544">
        <x:f>ROUND($C1544*10*VLOOKUP($B1544,Sheet2!$J$5:$K$7,2,FALSE)*VLOOKUP(Sheet1!$A1544,Sheet2!$B$5:$H$29,7,FALSE),0)</x:f>
        <x:v>0</x:v>
      </x:c>
      <x:c r="I1544">
        <x:f t="shared" si="25"/>
        <x:v>35140</x:v>
      </x:c>
    </x:row>
    <x:row r="1545" spans="1:9" x14ac:dyDescent="0.15">
      <x:c r="A1545">
        <x:v>54054</x:v>
      </x:c>
      <x:c r="B1545">
        <x:v>2</x:v>
      </x:c>
      <x:c r="C1545">
        <x:v>44</x:v>
      </x:c>
      <x:c r="D1545">
        <x:f>ROUND($C1545*10*VLOOKUP($B1545,Sheet2!$J$5:$K$7,2,FALSE)*VLOOKUP(Sheet1!$A1545,Sheet2!$B$5:$H$29,3,FALSE),0)</x:f>
        <x:v>0</x:v>
      </x:c>
      <x:c r="E1545">
        <x:f>ROUND($C1545*10*VLOOKUP($B1545,Sheet2!$J$5:$K$7,2,FALSE)*VLOOKUP(Sheet1!$A1545,Sheet2!$B$5:$H$29,4,FALSE),0)</x:f>
        <x:v>317</x:v>
      </x:c>
      <x:c r="F1545">
        <x:f>ROUND($C1545*10*VLOOKUP($B1545,Sheet2!$J$5:$K$7,2,FALSE)*VLOOKUP(Sheet1!$A1545,Sheet2!$B$5:$H$29,5,FALSE),0)</x:f>
        <x:v>0</x:v>
      </x:c>
      <x:c r="G1545">
        <x:f>ROUND($C1545*10*VLOOKUP($B1545,Sheet2!$J$5:$K$7,2,FALSE)*VLOOKUP(Sheet1!$A1545,Sheet2!$B$5:$H$29,6,FALSE),0)</x:f>
        <x:v>84</x:v>
      </x:c>
      <x:c r="H1545">
        <x:f>ROUND($C1545*10*VLOOKUP($B1545,Sheet2!$J$5:$K$7,2,FALSE)*VLOOKUP(Sheet1!$A1545,Sheet2!$B$5:$H$29,7,FALSE),0)</x:f>
        <x:v>0</x:v>
      </x:c>
      <x:c r="I1545">
        <x:f t="shared" si="25"/>
        <x:v>36660</x:v>
      </x:c>
    </x:row>
    <x:row r="1546" spans="1:9" x14ac:dyDescent="0.15">
      <x:c r="A1546">
        <x:v>54054</x:v>
      </x:c>
      <x:c r="B1546">
        <x:v>2</x:v>
      </x:c>
      <x:c r="C1546">
        <x:v>45</x:v>
      </x:c>
      <x:c r="D1546">
        <x:f>ROUND($C1546*10*VLOOKUP($B1546,Sheet2!$J$5:$K$7,2,FALSE)*VLOOKUP(Sheet1!$A1546,Sheet2!$B$5:$H$29,3,FALSE),0)</x:f>
        <x:v>0</x:v>
      </x:c>
      <x:c r="E1546">
        <x:f>ROUND($C1546*10*VLOOKUP($B1546,Sheet2!$J$5:$K$7,2,FALSE)*VLOOKUP(Sheet1!$A1546,Sheet2!$B$5:$H$29,4,FALSE),0)</x:f>
        <x:v>324</x:v>
      </x:c>
      <x:c r="F1546">
        <x:f>ROUND($C1546*10*VLOOKUP($B1546,Sheet2!$J$5:$K$7,2,FALSE)*VLOOKUP(Sheet1!$A1546,Sheet2!$B$5:$H$29,5,FALSE),0)</x:f>
        <x:v>0</x:v>
      </x:c>
      <x:c r="G1546">
        <x:f>ROUND($C1546*10*VLOOKUP($B1546,Sheet2!$J$5:$K$7,2,FALSE)*VLOOKUP(Sheet1!$A1546,Sheet2!$B$5:$H$29,6,FALSE),0)</x:f>
        <x:v>86</x:v>
      </x:c>
      <x:c r="H1546">
        <x:f>ROUND($C1546*10*VLOOKUP($B1546,Sheet2!$J$5:$K$7,2,FALSE)*VLOOKUP(Sheet1!$A1546,Sheet2!$B$5:$H$29,7,FALSE),0)</x:f>
        <x:v>0</x:v>
      </x:c>
      <x:c r="I1546">
        <x:f t="shared" si="25"/>
        <x:v>38210</x:v>
      </x:c>
    </x:row>
    <x:row r="1547" spans="1:9" x14ac:dyDescent="0.15">
      <x:c r="A1547">
        <x:v>54054</x:v>
      </x:c>
      <x:c r="B1547">
        <x:v>2</x:v>
      </x:c>
      <x:c r="C1547">
        <x:v>46</x:v>
      </x:c>
      <x:c r="D1547">
        <x:f>ROUND($C1547*10*VLOOKUP($B1547,Sheet2!$J$5:$K$7,2,FALSE)*VLOOKUP(Sheet1!$A1547,Sheet2!$B$5:$H$29,3,FALSE),0)</x:f>
        <x:v>0</x:v>
      </x:c>
      <x:c r="E1547">
        <x:f>ROUND($C1547*10*VLOOKUP($B1547,Sheet2!$J$5:$K$7,2,FALSE)*VLOOKUP(Sheet1!$A1547,Sheet2!$B$5:$H$29,4,FALSE),0)</x:f>
        <x:v>331</x:v>
      </x:c>
      <x:c r="F1547">
        <x:f>ROUND($C1547*10*VLOOKUP($B1547,Sheet2!$J$5:$K$7,2,FALSE)*VLOOKUP(Sheet1!$A1547,Sheet2!$B$5:$H$29,5,FALSE),0)</x:f>
        <x:v>0</x:v>
      </x:c>
      <x:c r="G1547">
        <x:f>ROUND($C1547*10*VLOOKUP($B1547,Sheet2!$J$5:$K$7,2,FALSE)*VLOOKUP(Sheet1!$A1547,Sheet2!$B$5:$H$29,6,FALSE),0)</x:f>
        <x:v>88</x:v>
      </x:c>
      <x:c r="H1547">
        <x:f>ROUND($C1547*10*VLOOKUP($B1547,Sheet2!$J$5:$K$7,2,FALSE)*VLOOKUP(Sheet1!$A1547,Sheet2!$B$5:$H$29,7,FALSE),0)</x:f>
        <x:v>0</x:v>
      </x:c>
      <x:c r="I1547">
        <x:f t="shared" si="25"/>
        <x:v>39780</x:v>
      </x:c>
    </x:row>
    <x:row r="1548" spans="1:9" x14ac:dyDescent="0.15">
      <x:c r="A1548">
        <x:v>54054</x:v>
      </x:c>
      <x:c r="B1548">
        <x:v>2</x:v>
      </x:c>
      <x:c r="C1548">
        <x:v>47</x:v>
      </x:c>
      <x:c r="D1548">
        <x:f>ROUND($C1548*10*VLOOKUP($B1548,Sheet2!$J$5:$K$7,2,FALSE)*VLOOKUP(Sheet1!$A1548,Sheet2!$B$5:$H$29,3,FALSE),0)</x:f>
        <x:v>0</x:v>
      </x:c>
      <x:c r="E1548">
        <x:f>ROUND($C1548*10*VLOOKUP($B1548,Sheet2!$J$5:$K$7,2,FALSE)*VLOOKUP(Sheet1!$A1548,Sheet2!$B$5:$H$29,4,FALSE),0)</x:f>
        <x:v>338</x:v>
      </x:c>
      <x:c r="F1548">
        <x:f>ROUND($C1548*10*VLOOKUP($B1548,Sheet2!$J$5:$K$7,2,FALSE)*VLOOKUP(Sheet1!$A1548,Sheet2!$B$5:$H$29,5,FALSE),0)</x:f>
        <x:v>0</x:v>
      </x:c>
      <x:c r="G1548">
        <x:f>ROUND($C1548*10*VLOOKUP($B1548,Sheet2!$J$5:$K$7,2,FALSE)*VLOOKUP(Sheet1!$A1548,Sheet2!$B$5:$H$29,6,FALSE),0)</x:f>
        <x:v>90</x:v>
      </x:c>
      <x:c r="H1548">
        <x:f>ROUND($C1548*10*VLOOKUP($B1548,Sheet2!$J$5:$K$7,2,FALSE)*VLOOKUP(Sheet1!$A1548,Sheet2!$B$5:$H$29,7,FALSE),0)</x:f>
        <x:v>0</x:v>
      </x:c>
      <x:c r="I1548">
        <x:f t="shared" si="25"/>
        <x:v>41390</x:v>
      </x:c>
    </x:row>
    <x:row r="1549" spans="1:9" x14ac:dyDescent="0.15">
      <x:c r="A1549">
        <x:v>54054</x:v>
      </x:c>
      <x:c r="B1549">
        <x:v>2</x:v>
      </x:c>
      <x:c r="C1549">
        <x:v>48</x:v>
      </x:c>
      <x:c r="D1549">
        <x:f>ROUND($C1549*10*VLOOKUP($B1549,Sheet2!$J$5:$K$7,2,FALSE)*VLOOKUP(Sheet1!$A1549,Sheet2!$B$5:$H$29,3,FALSE),0)</x:f>
        <x:v>0</x:v>
      </x:c>
      <x:c r="E1549">
        <x:f>ROUND($C1549*10*VLOOKUP($B1549,Sheet2!$J$5:$K$7,2,FALSE)*VLOOKUP(Sheet1!$A1549,Sheet2!$B$5:$H$29,4,FALSE),0)</x:f>
        <x:v>346</x:v>
      </x:c>
      <x:c r="F1549">
        <x:f>ROUND($C1549*10*VLOOKUP($B1549,Sheet2!$J$5:$K$7,2,FALSE)*VLOOKUP(Sheet1!$A1549,Sheet2!$B$5:$H$29,5,FALSE),0)</x:f>
        <x:v>0</x:v>
      </x:c>
      <x:c r="G1549">
        <x:f>ROUND($C1549*10*VLOOKUP($B1549,Sheet2!$J$5:$K$7,2,FALSE)*VLOOKUP(Sheet1!$A1549,Sheet2!$B$5:$H$29,6,FALSE),0)</x:f>
        <x:v>92</x:v>
      </x:c>
      <x:c r="H1549">
        <x:f>ROUND($C1549*10*VLOOKUP($B1549,Sheet2!$J$5:$K$7,2,FALSE)*VLOOKUP(Sheet1!$A1549,Sheet2!$B$5:$H$29,7,FALSE),0)</x:f>
        <x:v>0</x:v>
      </x:c>
      <x:c r="I1549">
        <x:f t="shared" si="25"/>
        <x:v>43020</x:v>
      </x:c>
    </x:row>
    <x:row r="1550" spans="1:9" x14ac:dyDescent="0.15">
      <x:c r="A1550">
        <x:v>54054</x:v>
      </x:c>
      <x:c r="B1550">
        <x:v>2</x:v>
      </x:c>
      <x:c r="C1550">
        <x:v>49</x:v>
      </x:c>
      <x:c r="D1550">
        <x:f>ROUND($C1550*10*VLOOKUP($B1550,Sheet2!$J$5:$K$7,2,FALSE)*VLOOKUP(Sheet1!$A1550,Sheet2!$B$5:$H$29,3,FALSE),0)</x:f>
        <x:v>0</x:v>
      </x:c>
      <x:c r="E1550">
        <x:f>ROUND($C1550*10*VLOOKUP($B1550,Sheet2!$J$5:$K$7,2,FALSE)*VLOOKUP(Sheet1!$A1550,Sheet2!$B$5:$H$29,4,FALSE),0)</x:f>
        <x:v>353</x:v>
      </x:c>
      <x:c r="F1550">
        <x:f>ROUND($C1550*10*VLOOKUP($B1550,Sheet2!$J$5:$K$7,2,FALSE)*VLOOKUP(Sheet1!$A1550,Sheet2!$B$5:$H$29,5,FALSE),0)</x:f>
        <x:v>0</x:v>
      </x:c>
      <x:c r="G1550">
        <x:f>ROUND($C1550*10*VLOOKUP($B1550,Sheet2!$J$5:$K$7,2,FALSE)*VLOOKUP(Sheet1!$A1550,Sheet2!$B$5:$H$29,6,FALSE),0)</x:f>
        <x:v>94</x:v>
      </x:c>
      <x:c r="H1550">
        <x:f>ROUND($C1550*10*VLOOKUP($B1550,Sheet2!$J$5:$K$7,2,FALSE)*VLOOKUP(Sheet1!$A1550,Sheet2!$B$5:$H$29,7,FALSE),0)</x:f>
        <x:v>0</x:v>
      </x:c>
      <x:c r="I1550">
        <x:f t="shared" si="25"/>
        <x:v>44680</x:v>
      </x:c>
    </x:row>
    <x:row r="1551" spans="1:9" x14ac:dyDescent="0.15">
      <x:c r="A1551">
        <x:v>54054</x:v>
      </x:c>
      <x:c r="B1551">
        <x:v>2</x:v>
      </x:c>
      <x:c r="C1551">
        <x:v>50</x:v>
      </x:c>
      <x:c r="D1551">
        <x:f>ROUND($C1551*10*VLOOKUP($B1551,Sheet2!$J$5:$K$7,2,FALSE)*VLOOKUP(Sheet1!$A1551,Sheet2!$B$5:$H$29,3,FALSE),0)</x:f>
        <x:v>0</x:v>
      </x:c>
      <x:c r="E1551">
        <x:f>ROUND($C1551*10*VLOOKUP($B1551,Sheet2!$J$5:$K$7,2,FALSE)*VLOOKUP(Sheet1!$A1551,Sheet2!$B$5:$H$29,4,FALSE),0)</x:f>
        <x:v>360</x:v>
      </x:c>
      <x:c r="F1551">
        <x:f>ROUND($C1551*10*VLOOKUP($B1551,Sheet2!$J$5:$K$7,2,FALSE)*VLOOKUP(Sheet1!$A1551,Sheet2!$B$5:$H$29,5,FALSE),0)</x:f>
        <x:v>0</x:v>
      </x:c>
      <x:c r="G1551">
        <x:f>ROUND($C1551*10*VLOOKUP($B1551,Sheet2!$J$5:$K$7,2,FALSE)*VLOOKUP(Sheet1!$A1551,Sheet2!$B$5:$H$29,6,FALSE),0)</x:f>
        <x:v>96</x:v>
      </x:c>
      <x:c r="H1551">
        <x:f>ROUND($C1551*10*VLOOKUP($B1551,Sheet2!$J$5:$K$7,2,FALSE)*VLOOKUP(Sheet1!$A1551,Sheet2!$B$5:$H$29,7,FALSE),0)</x:f>
        <x:v>0</x:v>
      </x:c>
      <x:c r="I1551">
        <x:f t="shared" si="25"/>
        <x:v>46360</x:v>
      </x:c>
    </x:row>
    <x:row r="1552" spans="1:9" x14ac:dyDescent="0.15">
      <x:c r="A1552">
        <x:v>54054</x:v>
      </x:c>
      <x:c r="B1552">
        <x:v>2</x:v>
      </x:c>
      <x:c r="C1552">
        <x:v>51</x:v>
      </x:c>
      <x:c r="D1552">
        <x:f>ROUND($C1552*10*VLOOKUP($B1552,Sheet2!$J$5:$K$7,2,FALSE)*VLOOKUP(Sheet1!$A1552,Sheet2!$B$5:$H$29,3,FALSE),0)</x:f>
        <x:v>0</x:v>
      </x:c>
      <x:c r="E1552">
        <x:f>ROUND($C1552*10*VLOOKUP($B1552,Sheet2!$J$5:$K$7,2,FALSE)*VLOOKUP(Sheet1!$A1552,Sheet2!$B$5:$H$29,4,FALSE),0)</x:f>
        <x:v>367</x:v>
      </x:c>
      <x:c r="F1552">
        <x:f>ROUND($C1552*10*VLOOKUP($B1552,Sheet2!$J$5:$K$7,2,FALSE)*VLOOKUP(Sheet1!$A1552,Sheet2!$B$5:$H$29,5,FALSE),0)</x:f>
        <x:v>0</x:v>
      </x:c>
      <x:c r="G1552">
        <x:f>ROUND($C1552*10*VLOOKUP($B1552,Sheet2!$J$5:$K$7,2,FALSE)*VLOOKUP(Sheet1!$A1552,Sheet2!$B$5:$H$29,6,FALSE),0)</x:f>
        <x:v>98</x:v>
      </x:c>
      <x:c r="H1552">
        <x:f>ROUND($C1552*10*VLOOKUP($B1552,Sheet2!$J$5:$K$7,2,FALSE)*VLOOKUP(Sheet1!$A1552,Sheet2!$B$5:$H$29,7,FALSE),0)</x:f>
        <x:v>0</x:v>
      </x:c>
      <x:c r="I1552">
        <x:f t="shared" si="25"/>
        <x:v>48080</x:v>
      </x:c>
    </x:row>
    <x:row r="1553" spans="1:9" x14ac:dyDescent="0.15">
      <x:c r="A1553">
        <x:v>54054</x:v>
      </x:c>
      <x:c r="B1553">
        <x:v>2</x:v>
      </x:c>
      <x:c r="C1553">
        <x:v>52</x:v>
      </x:c>
      <x:c r="D1553">
        <x:f>ROUND($C1553*10*VLOOKUP($B1553,Sheet2!$J$5:$K$7,2,FALSE)*VLOOKUP(Sheet1!$A1553,Sheet2!$B$5:$H$29,3,FALSE),0)</x:f>
        <x:v>0</x:v>
      </x:c>
      <x:c r="E1553">
        <x:f>ROUND($C1553*10*VLOOKUP($B1553,Sheet2!$J$5:$K$7,2,FALSE)*VLOOKUP(Sheet1!$A1553,Sheet2!$B$5:$H$29,4,FALSE),0)</x:f>
        <x:v>374</x:v>
      </x:c>
      <x:c r="F1553">
        <x:f>ROUND($C1553*10*VLOOKUP($B1553,Sheet2!$J$5:$K$7,2,FALSE)*VLOOKUP(Sheet1!$A1553,Sheet2!$B$5:$H$29,5,FALSE),0)</x:f>
        <x:v>0</x:v>
      </x:c>
      <x:c r="G1553">
        <x:f>ROUND($C1553*10*VLOOKUP($B1553,Sheet2!$J$5:$K$7,2,FALSE)*VLOOKUP(Sheet1!$A1553,Sheet2!$B$5:$H$29,6,FALSE),0)</x:f>
        <x:v>100</x:v>
      </x:c>
      <x:c r="H1553">
        <x:f>ROUND($C1553*10*VLOOKUP($B1553,Sheet2!$J$5:$K$7,2,FALSE)*VLOOKUP(Sheet1!$A1553,Sheet2!$B$5:$H$29,7,FALSE),0)</x:f>
        <x:v>0</x:v>
      </x:c>
      <x:c r="I1553">
        <x:f t="shared" si="25"/>
        <x:v>49820</x:v>
      </x:c>
    </x:row>
    <x:row r="1554" spans="1:9" x14ac:dyDescent="0.15">
      <x:c r="A1554">
        <x:v>54054</x:v>
      </x:c>
      <x:c r="B1554">
        <x:v>2</x:v>
      </x:c>
      <x:c r="C1554">
        <x:v>53</x:v>
      </x:c>
      <x:c r="D1554">
        <x:f>ROUND($C1554*10*VLOOKUP($B1554,Sheet2!$J$5:$K$7,2,FALSE)*VLOOKUP(Sheet1!$A1554,Sheet2!$B$5:$H$29,3,FALSE),0)</x:f>
        <x:v>0</x:v>
      </x:c>
      <x:c r="E1554">
        <x:f>ROUND($C1554*10*VLOOKUP($B1554,Sheet2!$J$5:$K$7,2,FALSE)*VLOOKUP(Sheet1!$A1554,Sheet2!$B$5:$H$29,4,FALSE),0)</x:f>
        <x:v>382</x:v>
      </x:c>
      <x:c r="F1554">
        <x:f>ROUND($C1554*10*VLOOKUP($B1554,Sheet2!$J$5:$K$7,2,FALSE)*VLOOKUP(Sheet1!$A1554,Sheet2!$B$5:$H$29,5,FALSE),0)</x:f>
        <x:v>0</x:v>
      </x:c>
      <x:c r="G1554">
        <x:f>ROUND($C1554*10*VLOOKUP($B1554,Sheet2!$J$5:$K$7,2,FALSE)*VLOOKUP(Sheet1!$A1554,Sheet2!$B$5:$H$29,6,FALSE),0)</x:f>
        <x:v>102</x:v>
      </x:c>
      <x:c r="H1554">
        <x:f>ROUND($C1554*10*VLOOKUP($B1554,Sheet2!$J$5:$K$7,2,FALSE)*VLOOKUP(Sheet1!$A1554,Sheet2!$B$5:$H$29,7,FALSE),0)</x:f>
        <x:v>0</x:v>
      </x:c>
      <x:c r="I1554">
        <x:f t="shared" si="25"/>
        <x:v>51590</x:v>
      </x:c>
    </x:row>
    <x:row r="1555" spans="1:9" x14ac:dyDescent="0.15">
      <x:c r="A1555">
        <x:v>54054</x:v>
      </x:c>
      <x:c r="B1555">
        <x:v>2</x:v>
      </x:c>
      <x:c r="C1555">
        <x:v>54</x:v>
      </x:c>
      <x:c r="D1555">
        <x:f>ROUND($C1555*10*VLOOKUP($B1555,Sheet2!$J$5:$K$7,2,FALSE)*VLOOKUP(Sheet1!$A1555,Sheet2!$B$5:$H$29,3,FALSE),0)</x:f>
        <x:v>0</x:v>
      </x:c>
      <x:c r="E1555">
        <x:f>ROUND($C1555*10*VLOOKUP($B1555,Sheet2!$J$5:$K$7,2,FALSE)*VLOOKUP(Sheet1!$A1555,Sheet2!$B$5:$H$29,4,FALSE),0)</x:f>
        <x:v>389</x:v>
      </x:c>
      <x:c r="F1555">
        <x:f>ROUND($C1555*10*VLOOKUP($B1555,Sheet2!$J$5:$K$7,2,FALSE)*VLOOKUP(Sheet1!$A1555,Sheet2!$B$5:$H$29,5,FALSE),0)</x:f>
        <x:v>0</x:v>
      </x:c>
      <x:c r="G1555">
        <x:f>ROUND($C1555*10*VLOOKUP($B1555,Sheet2!$J$5:$K$7,2,FALSE)*VLOOKUP(Sheet1!$A1555,Sheet2!$B$5:$H$29,6,FALSE),0)</x:f>
        <x:v>104</x:v>
      </x:c>
      <x:c r="H1555">
        <x:f>ROUND($C1555*10*VLOOKUP($B1555,Sheet2!$J$5:$K$7,2,FALSE)*VLOOKUP(Sheet1!$A1555,Sheet2!$B$5:$H$29,7,FALSE),0)</x:f>
        <x:v>0</x:v>
      </x:c>
      <x:c r="I1555">
        <x:f t="shared" si="25"/>
        <x:v>53390</x:v>
      </x:c>
    </x:row>
    <x:row r="1556" spans="1:9" x14ac:dyDescent="0.15">
      <x:c r="A1556">
        <x:v>54054</x:v>
      </x:c>
      <x:c r="B1556">
        <x:v>2</x:v>
      </x:c>
      <x:c r="C1556">
        <x:v>55</x:v>
      </x:c>
      <x:c r="D1556">
        <x:f>ROUND($C1556*10*VLOOKUP($B1556,Sheet2!$J$5:$K$7,2,FALSE)*VLOOKUP(Sheet1!$A1556,Sheet2!$B$5:$H$29,3,FALSE),0)</x:f>
        <x:v>0</x:v>
      </x:c>
      <x:c r="E1556">
        <x:f>ROUND($C1556*10*VLOOKUP($B1556,Sheet2!$J$5:$K$7,2,FALSE)*VLOOKUP(Sheet1!$A1556,Sheet2!$B$5:$H$29,4,FALSE),0)</x:f>
        <x:v>396</x:v>
      </x:c>
      <x:c r="F1556">
        <x:f>ROUND($C1556*10*VLOOKUP($B1556,Sheet2!$J$5:$K$7,2,FALSE)*VLOOKUP(Sheet1!$A1556,Sheet2!$B$5:$H$29,5,FALSE),0)</x:f>
        <x:v>0</x:v>
      </x:c>
      <x:c r="G1556">
        <x:f>ROUND($C1556*10*VLOOKUP($B1556,Sheet2!$J$5:$K$7,2,FALSE)*VLOOKUP(Sheet1!$A1556,Sheet2!$B$5:$H$29,6,FALSE),0)</x:f>
        <x:v>106</x:v>
      </x:c>
      <x:c r="H1556">
        <x:f>ROUND($C1556*10*VLOOKUP($B1556,Sheet2!$J$5:$K$7,2,FALSE)*VLOOKUP(Sheet1!$A1556,Sheet2!$B$5:$H$29,7,FALSE),0)</x:f>
        <x:v>0</x:v>
      </x:c>
      <x:c r="I1556">
        <x:f t="shared" si="25"/>
        <x:v>55210</x:v>
      </x:c>
    </x:row>
    <x:row r="1557" spans="1:9" x14ac:dyDescent="0.15">
      <x:c r="A1557">
        <x:v>54054</x:v>
      </x:c>
      <x:c r="B1557">
        <x:v>2</x:v>
      </x:c>
      <x:c r="C1557">
        <x:v>56</x:v>
      </x:c>
      <x:c r="D1557">
        <x:f>ROUND($C1557*10*VLOOKUP($B1557,Sheet2!$J$5:$K$7,2,FALSE)*VLOOKUP(Sheet1!$A1557,Sheet2!$B$5:$H$29,3,FALSE),0)</x:f>
        <x:v>0</x:v>
      </x:c>
      <x:c r="E1557">
        <x:f>ROUND($C1557*10*VLOOKUP($B1557,Sheet2!$J$5:$K$7,2,FALSE)*VLOOKUP(Sheet1!$A1557,Sheet2!$B$5:$H$29,4,FALSE),0)</x:f>
        <x:v>403</x:v>
      </x:c>
      <x:c r="F1557">
        <x:f>ROUND($C1557*10*VLOOKUP($B1557,Sheet2!$J$5:$K$7,2,FALSE)*VLOOKUP(Sheet1!$A1557,Sheet2!$B$5:$H$29,5,FALSE),0)</x:f>
        <x:v>0</x:v>
      </x:c>
      <x:c r="G1557">
        <x:f>ROUND($C1557*10*VLOOKUP($B1557,Sheet2!$J$5:$K$7,2,FALSE)*VLOOKUP(Sheet1!$A1557,Sheet2!$B$5:$H$29,6,FALSE),0)</x:f>
        <x:v>108</x:v>
      </x:c>
      <x:c r="H1557">
        <x:f>ROUND($C1557*10*VLOOKUP($B1557,Sheet2!$J$5:$K$7,2,FALSE)*VLOOKUP(Sheet1!$A1557,Sheet2!$B$5:$H$29,7,FALSE),0)</x:f>
        <x:v>0</x:v>
      </x:c>
      <x:c r="I1557">
        <x:f t="shared" si="25"/>
        <x:v>57060</x:v>
      </x:c>
    </x:row>
    <x:row r="1558" spans="1:9" x14ac:dyDescent="0.15">
      <x:c r="A1558">
        <x:v>54054</x:v>
      </x:c>
      <x:c r="B1558">
        <x:v>2</x:v>
      </x:c>
      <x:c r="C1558">
        <x:v>57</x:v>
      </x:c>
      <x:c r="D1558">
        <x:f>ROUND($C1558*10*VLOOKUP($B1558,Sheet2!$J$5:$K$7,2,FALSE)*VLOOKUP(Sheet1!$A1558,Sheet2!$B$5:$H$29,3,FALSE),0)</x:f>
        <x:v>0</x:v>
      </x:c>
      <x:c r="E1558">
        <x:f>ROUND($C1558*10*VLOOKUP($B1558,Sheet2!$J$5:$K$7,2,FALSE)*VLOOKUP(Sheet1!$A1558,Sheet2!$B$5:$H$29,4,FALSE),0)</x:f>
        <x:v>410</x:v>
      </x:c>
      <x:c r="F1558">
        <x:f>ROUND($C1558*10*VLOOKUP($B1558,Sheet2!$J$5:$K$7,2,FALSE)*VLOOKUP(Sheet1!$A1558,Sheet2!$B$5:$H$29,5,FALSE),0)</x:f>
        <x:v>0</x:v>
      </x:c>
      <x:c r="G1558">
        <x:f>ROUND($C1558*10*VLOOKUP($B1558,Sheet2!$J$5:$K$7,2,FALSE)*VLOOKUP(Sheet1!$A1558,Sheet2!$B$5:$H$29,6,FALSE),0)</x:f>
        <x:v>109</x:v>
      </x:c>
      <x:c r="H1558">
        <x:f>ROUND($C1558*10*VLOOKUP($B1558,Sheet2!$J$5:$K$7,2,FALSE)*VLOOKUP(Sheet1!$A1558,Sheet2!$B$5:$H$29,7,FALSE),0)</x:f>
        <x:v>0</x:v>
      </x:c>
      <x:c r="I1558">
        <x:f t="shared" si="25"/>
        <x:v>58940</x:v>
      </x:c>
    </x:row>
    <x:row r="1559" spans="1:9" x14ac:dyDescent="0.15">
      <x:c r="A1559">
        <x:v>54054</x:v>
      </x:c>
      <x:c r="B1559">
        <x:v>2</x:v>
      </x:c>
      <x:c r="C1559">
        <x:v>58</x:v>
      </x:c>
      <x:c r="D1559">
        <x:f>ROUND($C1559*10*VLOOKUP($B1559,Sheet2!$J$5:$K$7,2,FALSE)*VLOOKUP(Sheet1!$A1559,Sheet2!$B$5:$H$29,3,FALSE),0)</x:f>
        <x:v>0</x:v>
      </x:c>
      <x:c r="E1559">
        <x:f>ROUND($C1559*10*VLOOKUP($B1559,Sheet2!$J$5:$K$7,2,FALSE)*VLOOKUP(Sheet1!$A1559,Sheet2!$B$5:$H$29,4,FALSE),0)</x:f>
        <x:v>418</x:v>
      </x:c>
      <x:c r="F1559">
        <x:f>ROUND($C1559*10*VLOOKUP($B1559,Sheet2!$J$5:$K$7,2,FALSE)*VLOOKUP(Sheet1!$A1559,Sheet2!$B$5:$H$29,5,FALSE),0)</x:f>
        <x:v>0</x:v>
      </x:c>
      <x:c r="G1559">
        <x:f>ROUND($C1559*10*VLOOKUP($B1559,Sheet2!$J$5:$K$7,2,FALSE)*VLOOKUP(Sheet1!$A1559,Sheet2!$B$5:$H$29,6,FALSE),0)</x:f>
        <x:v>111</x:v>
      </x:c>
      <x:c r="H1559">
        <x:f>ROUND($C1559*10*VLOOKUP($B1559,Sheet2!$J$5:$K$7,2,FALSE)*VLOOKUP(Sheet1!$A1559,Sheet2!$B$5:$H$29,7,FALSE),0)</x:f>
        <x:v>0</x:v>
      </x:c>
      <x:c r="I1559">
        <x:f t="shared" si="25"/>
        <x:v>60850</x:v>
      </x:c>
    </x:row>
    <x:row r="1560" spans="1:9" x14ac:dyDescent="0.15">
      <x:c r="A1560">
        <x:v>54054</x:v>
      </x:c>
      <x:c r="B1560">
        <x:v>2</x:v>
      </x:c>
      <x:c r="C1560">
        <x:v>59</x:v>
      </x:c>
      <x:c r="D1560">
        <x:f>ROUND($C1560*10*VLOOKUP($B1560,Sheet2!$J$5:$K$7,2,FALSE)*VLOOKUP(Sheet1!$A1560,Sheet2!$B$5:$H$29,3,FALSE),0)</x:f>
        <x:v>0</x:v>
      </x:c>
      <x:c r="E1560">
        <x:f>ROUND($C1560*10*VLOOKUP($B1560,Sheet2!$J$5:$K$7,2,FALSE)*VLOOKUP(Sheet1!$A1560,Sheet2!$B$5:$H$29,4,FALSE),0)</x:f>
        <x:v>425</x:v>
      </x:c>
      <x:c r="F1560">
        <x:f>ROUND($C1560*10*VLOOKUP($B1560,Sheet2!$J$5:$K$7,2,FALSE)*VLOOKUP(Sheet1!$A1560,Sheet2!$B$5:$H$29,5,FALSE),0)</x:f>
        <x:v>0</x:v>
      </x:c>
      <x:c r="G1560">
        <x:f>ROUND($C1560*10*VLOOKUP($B1560,Sheet2!$J$5:$K$7,2,FALSE)*VLOOKUP(Sheet1!$A1560,Sheet2!$B$5:$H$29,6,FALSE),0)</x:f>
        <x:v>113</x:v>
      </x:c>
      <x:c r="H1560">
        <x:f>ROUND($C1560*10*VLOOKUP($B1560,Sheet2!$J$5:$K$7,2,FALSE)*VLOOKUP(Sheet1!$A1560,Sheet2!$B$5:$H$29,7,FALSE),0)</x:f>
        <x:v>0</x:v>
      </x:c>
      <x:c r="I1560">
        <x:f t="shared" si="25"/>
        <x:v>62780</x:v>
      </x:c>
    </x:row>
    <x:row r="1561" spans="1:9" x14ac:dyDescent="0.15">
      <x:c r="A1561">
        <x:v>54054</x:v>
      </x:c>
      <x:c r="B1561">
        <x:v>2</x:v>
      </x:c>
      <x:c r="C1561">
        <x:v>60</x:v>
      </x:c>
      <x:c r="D1561">
        <x:f>ROUND($C1561*10*VLOOKUP($B1561,Sheet2!$J$5:$K$7,2,FALSE)*VLOOKUP(Sheet1!$A1561,Sheet2!$B$5:$H$29,3,FALSE),0)</x:f>
        <x:v>0</x:v>
      </x:c>
      <x:c r="E1561">
        <x:f>ROUND($C1561*10*VLOOKUP($B1561,Sheet2!$J$5:$K$7,2,FALSE)*VLOOKUP(Sheet1!$A1561,Sheet2!$B$5:$H$29,4,FALSE),0)</x:f>
        <x:v>432</x:v>
      </x:c>
      <x:c r="F1561">
        <x:f>ROUND($C1561*10*VLOOKUP($B1561,Sheet2!$J$5:$K$7,2,FALSE)*VLOOKUP(Sheet1!$A1561,Sheet2!$B$5:$H$29,5,FALSE),0)</x:f>
        <x:v>0</x:v>
      </x:c>
      <x:c r="G1561">
        <x:f>ROUND($C1561*10*VLOOKUP($B1561,Sheet2!$J$5:$K$7,2,FALSE)*VLOOKUP(Sheet1!$A1561,Sheet2!$B$5:$H$29,6,FALSE),0)</x:f>
        <x:v>115</x:v>
      </x:c>
      <x:c r="H1561">
        <x:f>ROUND($C1561*10*VLOOKUP($B1561,Sheet2!$J$5:$K$7,2,FALSE)*VLOOKUP(Sheet1!$A1561,Sheet2!$B$5:$H$29,7,FALSE),0)</x:f>
        <x:v>0</x:v>
      </x:c>
      <x:c r="I1561">
        <x:f t="shared" si="25"/>
        <x:v>64740</x:v>
      </x:c>
    </x:row>
    <x:row r="1562" spans="1:9" x14ac:dyDescent="0.15">
      <x:c r="A1562">
        <x:v>54054</x:v>
      </x:c>
      <x:c r="B1562">
        <x:v>3</x:v>
      </x:c>
      <x:c r="C1562">
        <x:v>1</x:v>
      </x:c>
      <x:c r="D1562">
        <x:f>ROUND($C1562*10*VLOOKUP($B1562,Sheet2!$J$5:$K$7,2,FALSE)*VLOOKUP(Sheet1!$A1562,Sheet2!$B$5:$H$29,3,FALSE),0)</x:f>
        <x:v>0</x:v>
      </x:c>
      <x:c r="E1562">
        <x:f>ROUND($C1562*10*VLOOKUP($B1562,Sheet2!$J$5:$K$7,2,FALSE)*VLOOKUP(Sheet1!$A1562,Sheet2!$B$5:$H$29,4,FALSE),0)</x:f>
        <x:v>12</x:v>
      </x:c>
      <x:c r="F1562">
        <x:f>ROUND($C1562*10*VLOOKUP($B1562,Sheet2!$J$5:$K$7,2,FALSE)*VLOOKUP(Sheet1!$A1562,Sheet2!$B$5:$H$29,5,FALSE),0)</x:f>
        <x:v>0</x:v>
      </x:c>
      <x:c r="G1562">
        <x:f>ROUND($C1562*10*VLOOKUP($B1562,Sheet2!$J$5:$K$7,2,FALSE)*VLOOKUP(Sheet1!$A1562,Sheet2!$B$5:$H$29,6,FALSE),0)</x:f>
        <x:v>3</x:v>
      </x:c>
      <x:c r="H1562">
        <x:f>ROUND($C1562*10*VLOOKUP($B1562,Sheet2!$J$5:$K$7,2,FALSE)*VLOOKUP(Sheet1!$A1562,Sheet2!$B$5:$H$29,7,FALSE),0)</x:f>
        <x:v>0</x:v>
      </x:c>
      <x:c r="I1562">
        <x:f t="shared" ref="I1562:I1621" si="26">ROUND(1.2*10*10.5*(C1562-1)^1.8+90,-1)</x:f>
        <x:v>90</x:v>
      </x:c>
    </x:row>
    <x:row r="1563" spans="1:9" x14ac:dyDescent="0.15">
      <x:c r="A1563">
        <x:v>54054</x:v>
      </x:c>
      <x:c r="B1563">
        <x:v>3</x:v>
      </x:c>
      <x:c r="C1563">
        <x:v>2</x:v>
      </x:c>
      <x:c r="D1563">
        <x:f>ROUND($C1563*10*VLOOKUP($B1563,Sheet2!$J$5:$K$7,2,FALSE)*VLOOKUP(Sheet1!$A1563,Sheet2!$B$5:$H$29,3,FALSE),0)</x:f>
        <x:v>0</x:v>
      </x:c>
      <x:c r="E1563">
        <x:f>ROUND($C1563*10*VLOOKUP($B1563,Sheet2!$J$5:$K$7,2,FALSE)*VLOOKUP(Sheet1!$A1563,Sheet2!$B$5:$H$29,4,FALSE),0)</x:f>
        <x:v>24</x:v>
      </x:c>
      <x:c r="F1563">
        <x:f>ROUND($C1563*10*VLOOKUP($B1563,Sheet2!$J$5:$K$7,2,FALSE)*VLOOKUP(Sheet1!$A1563,Sheet2!$B$5:$H$29,5,FALSE),0)</x:f>
        <x:v>0</x:v>
      </x:c>
      <x:c r="G1563">
        <x:f>ROUND($C1563*10*VLOOKUP($B1563,Sheet2!$J$5:$K$7,2,FALSE)*VLOOKUP(Sheet1!$A1563,Sheet2!$B$5:$H$29,6,FALSE),0)</x:f>
        <x:v>6</x:v>
      </x:c>
      <x:c r="H1563">
        <x:f>ROUND($C1563*10*VLOOKUP($B1563,Sheet2!$J$5:$K$7,2,FALSE)*VLOOKUP(Sheet1!$A1563,Sheet2!$B$5:$H$29,7,FALSE),0)</x:f>
        <x:v>0</x:v>
      </x:c>
      <x:c r="I1563">
        <x:f t="shared" si="26"/>
        <x:v>220</x:v>
      </x:c>
    </x:row>
    <x:row r="1564" spans="1:9" x14ac:dyDescent="0.15">
      <x:c r="A1564">
        <x:v>54054</x:v>
      </x:c>
      <x:c r="B1564">
        <x:v>3</x:v>
      </x:c>
      <x:c r="C1564">
        <x:v>3</x:v>
      </x:c>
      <x:c r="D1564">
        <x:f>ROUND($C1564*10*VLOOKUP($B1564,Sheet2!$J$5:$K$7,2,FALSE)*VLOOKUP(Sheet1!$A1564,Sheet2!$B$5:$H$29,3,FALSE),0)</x:f>
        <x:v>0</x:v>
      </x:c>
      <x:c r="E1564">
        <x:f>ROUND($C1564*10*VLOOKUP($B1564,Sheet2!$J$5:$K$7,2,FALSE)*VLOOKUP(Sheet1!$A1564,Sheet2!$B$5:$H$29,4,FALSE),0)</x:f>
        <x:v>36</x:v>
      </x:c>
      <x:c r="F1564">
        <x:f>ROUND($C1564*10*VLOOKUP($B1564,Sheet2!$J$5:$K$7,2,FALSE)*VLOOKUP(Sheet1!$A1564,Sheet2!$B$5:$H$29,5,FALSE),0)</x:f>
        <x:v>0</x:v>
      </x:c>
      <x:c r="G1564">
        <x:f>ROUND($C1564*10*VLOOKUP($B1564,Sheet2!$J$5:$K$7,2,FALSE)*VLOOKUP(Sheet1!$A1564,Sheet2!$B$5:$H$29,6,FALSE),0)</x:f>
        <x:v>10</x:v>
      </x:c>
      <x:c r="H1564">
        <x:f>ROUND($C1564*10*VLOOKUP($B1564,Sheet2!$J$5:$K$7,2,FALSE)*VLOOKUP(Sheet1!$A1564,Sheet2!$B$5:$H$29,7,FALSE),0)</x:f>
        <x:v>0</x:v>
      </x:c>
      <x:c r="I1564">
        <x:f t="shared" si="26"/>
        <x:v>530</x:v>
      </x:c>
    </x:row>
    <x:row r="1565" spans="1:9" x14ac:dyDescent="0.15">
      <x:c r="A1565">
        <x:v>54054</x:v>
      </x:c>
      <x:c r="B1565">
        <x:v>3</x:v>
      </x:c>
      <x:c r="C1565">
        <x:v>4</x:v>
      </x:c>
      <x:c r="D1565">
        <x:f>ROUND($C1565*10*VLOOKUP($B1565,Sheet2!$J$5:$K$7,2,FALSE)*VLOOKUP(Sheet1!$A1565,Sheet2!$B$5:$H$29,3,FALSE),0)</x:f>
        <x:v>0</x:v>
      </x:c>
      <x:c r="E1565">
        <x:f>ROUND($C1565*10*VLOOKUP($B1565,Sheet2!$J$5:$K$7,2,FALSE)*VLOOKUP(Sheet1!$A1565,Sheet2!$B$5:$H$29,4,FALSE),0)</x:f>
        <x:v>48</x:v>
      </x:c>
      <x:c r="F1565">
        <x:f>ROUND($C1565*10*VLOOKUP($B1565,Sheet2!$J$5:$K$7,2,FALSE)*VLOOKUP(Sheet1!$A1565,Sheet2!$B$5:$H$29,5,FALSE),0)</x:f>
        <x:v>0</x:v>
      </x:c>
      <x:c r="G1565">
        <x:f>ROUND($C1565*10*VLOOKUP($B1565,Sheet2!$J$5:$K$7,2,FALSE)*VLOOKUP(Sheet1!$A1565,Sheet2!$B$5:$H$29,6,FALSE),0)</x:f>
        <x:v>13</x:v>
      </x:c>
      <x:c r="H1565">
        <x:f>ROUND($C1565*10*VLOOKUP($B1565,Sheet2!$J$5:$K$7,2,FALSE)*VLOOKUP(Sheet1!$A1565,Sheet2!$B$5:$H$29,7,FALSE),0)</x:f>
        <x:v>0</x:v>
      </x:c>
      <x:c r="I1565">
        <x:f t="shared" si="26"/>
        <x:v>1000</x:v>
      </x:c>
    </x:row>
    <x:row r="1566" spans="1:9" x14ac:dyDescent="0.15">
      <x:c r="A1566">
        <x:v>54054</x:v>
      </x:c>
      <x:c r="B1566">
        <x:v>3</x:v>
      </x:c>
      <x:c r="C1566">
        <x:v>5</x:v>
      </x:c>
      <x:c r="D1566">
        <x:f>ROUND($C1566*10*VLOOKUP($B1566,Sheet2!$J$5:$K$7,2,FALSE)*VLOOKUP(Sheet1!$A1566,Sheet2!$B$5:$H$29,3,FALSE),0)</x:f>
        <x:v>0</x:v>
      </x:c>
      <x:c r="E1566">
        <x:f>ROUND($C1566*10*VLOOKUP($B1566,Sheet2!$J$5:$K$7,2,FALSE)*VLOOKUP(Sheet1!$A1566,Sheet2!$B$5:$H$29,4,FALSE),0)</x:f>
        <x:v>60</x:v>
      </x:c>
      <x:c r="F1566">
        <x:f>ROUND($C1566*10*VLOOKUP($B1566,Sheet2!$J$5:$K$7,2,FALSE)*VLOOKUP(Sheet1!$A1566,Sheet2!$B$5:$H$29,5,FALSE),0)</x:f>
        <x:v>0</x:v>
      </x:c>
      <x:c r="G1566">
        <x:f>ROUND($C1566*10*VLOOKUP($B1566,Sheet2!$J$5:$K$7,2,FALSE)*VLOOKUP(Sheet1!$A1566,Sheet2!$B$5:$H$29,6,FALSE),0)</x:f>
        <x:v>16</x:v>
      </x:c>
      <x:c r="H1566">
        <x:f>ROUND($C1566*10*VLOOKUP($B1566,Sheet2!$J$5:$K$7,2,FALSE)*VLOOKUP(Sheet1!$A1566,Sheet2!$B$5:$H$29,7,FALSE),0)</x:f>
        <x:v>0</x:v>
      </x:c>
      <x:c r="I1566">
        <x:f t="shared" si="26"/>
        <x:v>1620</x:v>
      </x:c>
    </x:row>
    <x:row r="1567" spans="1:9" x14ac:dyDescent="0.15">
      <x:c r="A1567">
        <x:v>54054</x:v>
      </x:c>
      <x:c r="B1567">
        <x:v>3</x:v>
      </x:c>
      <x:c r="C1567">
        <x:v>6</x:v>
      </x:c>
      <x:c r="D1567">
        <x:f>ROUND($C1567*10*VLOOKUP($B1567,Sheet2!$J$5:$K$7,2,FALSE)*VLOOKUP(Sheet1!$A1567,Sheet2!$B$5:$H$29,3,FALSE),0)</x:f>
        <x:v>0</x:v>
      </x:c>
      <x:c r="E1567">
        <x:f>ROUND($C1567*10*VLOOKUP($B1567,Sheet2!$J$5:$K$7,2,FALSE)*VLOOKUP(Sheet1!$A1567,Sheet2!$B$5:$H$29,4,FALSE),0)</x:f>
        <x:v>72</x:v>
      </x:c>
      <x:c r="F1567">
        <x:f>ROUND($C1567*10*VLOOKUP($B1567,Sheet2!$J$5:$K$7,2,FALSE)*VLOOKUP(Sheet1!$A1567,Sheet2!$B$5:$H$29,5,FALSE),0)</x:f>
        <x:v>0</x:v>
      </x:c>
      <x:c r="G1567">
        <x:f>ROUND($C1567*10*VLOOKUP($B1567,Sheet2!$J$5:$K$7,2,FALSE)*VLOOKUP(Sheet1!$A1567,Sheet2!$B$5:$H$29,6,FALSE),0)</x:f>
        <x:v>19</x:v>
      </x:c>
      <x:c r="H1567">
        <x:f>ROUND($C1567*10*VLOOKUP($B1567,Sheet2!$J$5:$K$7,2,FALSE)*VLOOKUP(Sheet1!$A1567,Sheet2!$B$5:$H$29,7,FALSE),0)</x:f>
        <x:v>0</x:v>
      </x:c>
      <x:c r="I1567">
        <x:f t="shared" si="26"/>
        <x:v>2370</x:v>
      </x:c>
    </x:row>
    <x:row r="1568" spans="1:9" x14ac:dyDescent="0.15">
      <x:c r="A1568">
        <x:v>54054</x:v>
      </x:c>
      <x:c r="B1568">
        <x:v>3</x:v>
      </x:c>
      <x:c r="C1568">
        <x:v>7</x:v>
      </x:c>
      <x:c r="D1568">
        <x:f>ROUND($C1568*10*VLOOKUP($B1568,Sheet2!$J$5:$K$7,2,FALSE)*VLOOKUP(Sheet1!$A1568,Sheet2!$B$5:$H$29,3,FALSE),0)</x:f>
        <x:v>0</x:v>
      </x:c>
      <x:c r="E1568">
        <x:f>ROUND($C1568*10*VLOOKUP($B1568,Sheet2!$J$5:$K$7,2,FALSE)*VLOOKUP(Sheet1!$A1568,Sheet2!$B$5:$H$29,4,FALSE),0)</x:f>
        <x:v>84</x:v>
      </x:c>
      <x:c r="F1568">
        <x:f>ROUND($C1568*10*VLOOKUP($B1568,Sheet2!$J$5:$K$7,2,FALSE)*VLOOKUP(Sheet1!$A1568,Sheet2!$B$5:$H$29,5,FALSE),0)</x:f>
        <x:v>0</x:v>
      </x:c>
      <x:c r="G1568">
        <x:f>ROUND($C1568*10*VLOOKUP($B1568,Sheet2!$J$5:$K$7,2,FALSE)*VLOOKUP(Sheet1!$A1568,Sheet2!$B$5:$H$29,6,FALSE),0)</x:f>
        <x:v>22</x:v>
      </x:c>
      <x:c r="H1568">
        <x:f>ROUND($C1568*10*VLOOKUP($B1568,Sheet2!$J$5:$K$7,2,FALSE)*VLOOKUP(Sheet1!$A1568,Sheet2!$B$5:$H$29,7,FALSE),0)</x:f>
        <x:v>0</x:v>
      </x:c>
      <x:c r="I1568">
        <x:f t="shared" si="26"/>
        <x:v>3260</x:v>
      </x:c>
    </x:row>
    <x:row r="1569" spans="1:9" x14ac:dyDescent="0.15">
      <x:c r="A1569">
        <x:v>54054</x:v>
      </x:c>
      <x:c r="B1569">
        <x:v>3</x:v>
      </x:c>
      <x:c r="C1569">
        <x:v>8</x:v>
      </x:c>
      <x:c r="D1569">
        <x:f>ROUND($C1569*10*VLOOKUP($B1569,Sheet2!$J$5:$K$7,2,FALSE)*VLOOKUP(Sheet1!$A1569,Sheet2!$B$5:$H$29,3,FALSE),0)</x:f>
        <x:v>0</x:v>
      </x:c>
      <x:c r="E1569">
        <x:f>ROUND($C1569*10*VLOOKUP($B1569,Sheet2!$J$5:$K$7,2,FALSE)*VLOOKUP(Sheet1!$A1569,Sheet2!$B$5:$H$29,4,FALSE),0)</x:f>
        <x:v>96</x:v>
      </x:c>
      <x:c r="F1569">
        <x:f>ROUND($C1569*10*VLOOKUP($B1569,Sheet2!$J$5:$K$7,2,FALSE)*VLOOKUP(Sheet1!$A1569,Sheet2!$B$5:$H$29,5,FALSE),0)</x:f>
        <x:v>0</x:v>
      </x:c>
      <x:c r="G1569">
        <x:f>ROUND($C1569*10*VLOOKUP($B1569,Sheet2!$J$5:$K$7,2,FALSE)*VLOOKUP(Sheet1!$A1569,Sheet2!$B$5:$H$29,6,FALSE),0)</x:f>
        <x:v>26</x:v>
      </x:c>
      <x:c r="H1569">
        <x:f>ROUND($C1569*10*VLOOKUP($B1569,Sheet2!$J$5:$K$7,2,FALSE)*VLOOKUP(Sheet1!$A1569,Sheet2!$B$5:$H$29,7,FALSE),0)</x:f>
        <x:v>0</x:v>
      </x:c>
      <x:c r="I1569">
        <x:f t="shared" si="26"/>
        <x:v>4270</x:v>
      </x:c>
    </x:row>
    <x:row r="1570" spans="1:9" x14ac:dyDescent="0.15">
      <x:c r="A1570">
        <x:v>54054</x:v>
      </x:c>
      <x:c r="B1570">
        <x:v>3</x:v>
      </x:c>
      <x:c r="C1570">
        <x:v>9</x:v>
      </x:c>
      <x:c r="D1570">
        <x:f>ROUND($C1570*10*VLOOKUP($B1570,Sheet2!$J$5:$K$7,2,FALSE)*VLOOKUP(Sheet1!$A1570,Sheet2!$B$5:$H$29,3,FALSE),0)</x:f>
        <x:v>0</x:v>
      </x:c>
      <x:c r="E1570">
        <x:f>ROUND($C1570*10*VLOOKUP($B1570,Sheet2!$J$5:$K$7,2,FALSE)*VLOOKUP(Sheet1!$A1570,Sheet2!$B$5:$H$29,4,FALSE),0)</x:f>
        <x:v>108</x:v>
      </x:c>
      <x:c r="F1570">
        <x:f>ROUND($C1570*10*VLOOKUP($B1570,Sheet2!$J$5:$K$7,2,FALSE)*VLOOKUP(Sheet1!$A1570,Sheet2!$B$5:$H$29,5,FALSE),0)</x:f>
        <x:v>0</x:v>
      </x:c>
      <x:c r="G1570">
        <x:f>ROUND($C1570*10*VLOOKUP($B1570,Sheet2!$J$5:$K$7,2,FALSE)*VLOOKUP(Sheet1!$A1570,Sheet2!$B$5:$H$29,6,FALSE),0)</x:f>
        <x:v>29</x:v>
      </x:c>
      <x:c r="H1570">
        <x:f>ROUND($C1570*10*VLOOKUP($B1570,Sheet2!$J$5:$K$7,2,FALSE)*VLOOKUP(Sheet1!$A1570,Sheet2!$B$5:$H$29,7,FALSE),0)</x:f>
        <x:v>0</x:v>
      </x:c>
      <x:c r="I1570">
        <x:f t="shared" si="26"/>
        <x:v>5410</x:v>
      </x:c>
    </x:row>
    <x:row r="1571" spans="1:9" x14ac:dyDescent="0.15">
      <x:c r="A1571">
        <x:v>54054</x:v>
      </x:c>
      <x:c r="B1571">
        <x:v>3</x:v>
      </x:c>
      <x:c r="C1571">
        <x:v>10</x:v>
      </x:c>
      <x:c r="D1571">
        <x:f>ROUND($C1571*10*VLOOKUP($B1571,Sheet2!$J$5:$K$7,2,FALSE)*VLOOKUP(Sheet1!$A1571,Sheet2!$B$5:$H$29,3,FALSE),0)</x:f>
        <x:v>0</x:v>
      </x:c>
      <x:c r="E1571">
        <x:f>ROUND($C1571*10*VLOOKUP($B1571,Sheet2!$J$5:$K$7,2,FALSE)*VLOOKUP(Sheet1!$A1571,Sheet2!$B$5:$H$29,4,FALSE),0)</x:f>
        <x:v>120</x:v>
      </x:c>
      <x:c r="F1571">
        <x:f>ROUND($C1571*10*VLOOKUP($B1571,Sheet2!$J$5:$K$7,2,FALSE)*VLOOKUP(Sheet1!$A1571,Sheet2!$B$5:$H$29,5,FALSE),0)</x:f>
        <x:v>0</x:v>
      </x:c>
      <x:c r="G1571">
        <x:f>ROUND($C1571*10*VLOOKUP($B1571,Sheet2!$J$5:$K$7,2,FALSE)*VLOOKUP(Sheet1!$A1571,Sheet2!$B$5:$H$29,6,FALSE),0)</x:f>
        <x:v>32</x:v>
      </x:c>
      <x:c r="H1571">
        <x:f>ROUND($C1571*10*VLOOKUP($B1571,Sheet2!$J$5:$K$7,2,FALSE)*VLOOKUP(Sheet1!$A1571,Sheet2!$B$5:$H$29,7,FALSE),0)</x:f>
        <x:v>0</x:v>
      </x:c>
      <x:c r="I1571">
        <x:f t="shared" si="26"/>
        <x:v>6670</x:v>
      </x:c>
    </x:row>
    <x:row r="1572" spans="1:9" x14ac:dyDescent="0.15">
      <x:c r="A1572">
        <x:v>54054</x:v>
      </x:c>
      <x:c r="B1572">
        <x:v>3</x:v>
      </x:c>
      <x:c r="C1572">
        <x:v>11</x:v>
      </x:c>
      <x:c r="D1572">
        <x:f>ROUND($C1572*10*VLOOKUP($B1572,Sheet2!$J$5:$K$7,2,FALSE)*VLOOKUP(Sheet1!$A1572,Sheet2!$B$5:$H$29,3,FALSE),0)</x:f>
        <x:v>0</x:v>
      </x:c>
      <x:c r="E1572">
        <x:f>ROUND($C1572*10*VLOOKUP($B1572,Sheet2!$J$5:$K$7,2,FALSE)*VLOOKUP(Sheet1!$A1572,Sheet2!$B$5:$H$29,4,FALSE),0)</x:f>
        <x:v>132</x:v>
      </x:c>
      <x:c r="F1572">
        <x:f>ROUND($C1572*10*VLOOKUP($B1572,Sheet2!$J$5:$K$7,2,FALSE)*VLOOKUP(Sheet1!$A1572,Sheet2!$B$5:$H$29,5,FALSE),0)</x:f>
        <x:v>0</x:v>
      </x:c>
      <x:c r="G1572">
        <x:f>ROUND($C1572*10*VLOOKUP($B1572,Sheet2!$J$5:$K$7,2,FALSE)*VLOOKUP(Sheet1!$A1572,Sheet2!$B$5:$H$29,6,FALSE),0)</x:f>
        <x:v>35</x:v>
      </x:c>
      <x:c r="H1572">
        <x:f>ROUND($C1572*10*VLOOKUP($B1572,Sheet2!$J$5:$K$7,2,FALSE)*VLOOKUP(Sheet1!$A1572,Sheet2!$B$5:$H$29,7,FALSE),0)</x:f>
        <x:v>0</x:v>
      </x:c>
      <x:c r="I1572">
        <x:f t="shared" si="26"/>
        <x:v>8040</x:v>
      </x:c>
    </x:row>
    <x:row r="1573" spans="1:9" x14ac:dyDescent="0.15">
      <x:c r="A1573">
        <x:v>54054</x:v>
      </x:c>
      <x:c r="B1573">
        <x:v>3</x:v>
      </x:c>
      <x:c r="C1573">
        <x:v>12</x:v>
      </x:c>
      <x:c r="D1573">
        <x:f>ROUND($C1573*10*VLOOKUP($B1573,Sheet2!$J$5:$K$7,2,FALSE)*VLOOKUP(Sheet1!$A1573,Sheet2!$B$5:$H$29,3,FALSE),0)</x:f>
        <x:v>0</x:v>
      </x:c>
      <x:c r="E1573">
        <x:f>ROUND($C1573*10*VLOOKUP($B1573,Sheet2!$J$5:$K$7,2,FALSE)*VLOOKUP(Sheet1!$A1573,Sheet2!$B$5:$H$29,4,FALSE),0)</x:f>
        <x:v>144</x:v>
      </x:c>
      <x:c r="F1573">
        <x:f>ROUND($C1573*10*VLOOKUP($B1573,Sheet2!$J$5:$K$7,2,FALSE)*VLOOKUP(Sheet1!$A1573,Sheet2!$B$5:$H$29,5,FALSE),0)</x:f>
        <x:v>0</x:v>
      </x:c>
      <x:c r="G1573">
        <x:f>ROUND($C1573*10*VLOOKUP($B1573,Sheet2!$J$5:$K$7,2,FALSE)*VLOOKUP(Sheet1!$A1573,Sheet2!$B$5:$H$29,6,FALSE),0)</x:f>
        <x:v>38</x:v>
      </x:c>
      <x:c r="H1573">
        <x:f>ROUND($C1573*10*VLOOKUP($B1573,Sheet2!$J$5:$K$7,2,FALSE)*VLOOKUP(Sheet1!$A1573,Sheet2!$B$5:$H$29,7,FALSE),0)</x:f>
        <x:v>0</x:v>
      </x:c>
      <x:c r="I1573">
        <x:f t="shared" si="26"/>
        <x:v>9530</x:v>
      </x:c>
    </x:row>
    <x:row r="1574" spans="1:9" x14ac:dyDescent="0.15">
      <x:c r="A1574">
        <x:v>54054</x:v>
      </x:c>
      <x:c r="B1574">
        <x:v>3</x:v>
      </x:c>
      <x:c r="C1574">
        <x:v>13</x:v>
      </x:c>
      <x:c r="D1574">
        <x:f>ROUND($C1574*10*VLOOKUP($B1574,Sheet2!$J$5:$K$7,2,FALSE)*VLOOKUP(Sheet1!$A1574,Sheet2!$B$5:$H$29,3,FALSE),0)</x:f>
        <x:v>0</x:v>
      </x:c>
      <x:c r="E1574">
        <x:f>ROUND($C1574*10*VLOOKUP($B1574,Sheet2!$J$5:$K$7,2,FALSE)*VLOOKUP(Sheet1!$A1574,Sheet2!$B$5:$H$29,4,FALSE),0)</x:f>
        <x:v>156</x:v>
      </x:c>
      <x:c r="F1574">
        <x:f>ROUND($C1574*10*VLOOKUP($B1574,Sheet2!$J$5:$K$7,2,FALSE)*VLOOKUP(Sheet1!$A1574,Sheet2!$B$5:$H$29,5,FALSE),0)</x:f>
        <x:v>0</x:v>
      </x:c>
      <x:c r="G1574">
        <x:f>ROUND($C1574*10*VLOOKUP($B1574,Sheet2!$J$5:$K$7,2,FALSE)*VLOOKUP(Sheet1!$A1574,Sheet2!$B$5:$H$29,6,FALSE),0)</x:f>
        <x:v>42</x:v>
      </x:c>
      <x:c r="H1574">
        <x:f>ROUND($C1574*10*VLOOKUP($B1574,Sheet2!$J$5:$K$7,2,FALSE)*VLOOKUP(Sheet1!$A1574,Sheet2!$B$5:$H$29,7,FALSE),0)</x:f>
        <x:v>0</x:v>
      </x:c>
      <x:c r="I1574">
        <x:f t="shared" si="26"/>
        <x:v>11130</x:v>
      </x:c>
    </x:row>
    <x:row r="1575" spans="1:9" x14ac:dyDescent="0.15">
      <x:c r="A1575">
        <x:v>54054</x:v>
      </x:c>
      <x:c r="B1575">
        <x:v>3</x:v>
      </x:c>
      <x:c r="C1575">
        <x:v>14</x:v>
      </x:c>
      <x:c r="D1575">
        <x:f>ROUND($C1575*10*VLOOKUP($B1575,Sheet2!$J$5:$K$7,2,FALSE)*VLOOKUP(Sheet1!$A1575,Sheet2!$B$5:$H$29,3,FALSE),0)</x:f>
        <x:v>0</x:v>
      </x:c>
      <x:c r="E1575">
        <x:f>ROUND($C1575*10*VLOOKUP($B1575,Sheet2!$J$5:$K$7,2,FALSE)*VLOOKUP(Sheet1!$A1575,Sheet2!$B$5:$H$29,4,FALSE),0)</x:f>
        <x:v>168</x:v>
      </x:c>
      <x:c r="F1575">
        <x:f>ROUND($C1575*10*VLOOKUP($B1575,Sheet2!$J$5:$K$7,2,FALSE)*VLOOKUP(Sheet1!$A1575,Sheet2!$B$5:$H$29,5,FALSE),0)</x:f>
        <x:v>0</x:v>
      </x:c>
      <x:c r="G1575">
        <x:f>ROUND($C1575*10*VLOOKUP($B1575,Sheet2!$J$5:$K$7,2,FALSE)*VLOOKUP(Sheet1!$A1575,Sheet2!$B$5:$H$29,6,FALSE),0)</x:f>
        <x:v>45</x:v>
      </x:c>
      <x:c r="H1575">
        <x:f>ROUND($C1575*10*VLOOKUP($B1575,Sheet2!$J$5:$K$7,2,FALSE)*VLOOKUP(Sheet1!$A1575,Sheet2!$B$5:$H$29,7,FALSE),0)</x:f>
        <x:v>0</x:v>
      </x:c>
      <x:c r="I1575">
        <x:f t="shared" si="26"/>
        <x:v>12840</x:v>
      </x:c>
    </x:row>
    <x:row r="1576" spans="1:9" x14ac:dyDescent="0.15">
      <x:c r="A1576">
        <x:v>54054</x:v>
      </x:c>
      <x:c r="B1576">
        <x:v>3</x:v>
      </x:c>
      <x:c r="C1576">
        <x:v>15</x:v>
      </x:c>
      <x:c r="D1576">
        <x:f>ROUND($C1576*10*VLOOKUP($B1576,Sheet2!$J$5:$K$7,2,FALSE)*VLOOKUP(Sheet1!$A1576,Sheet2!$B$5:$H$29,3,FALSE),0)</x:f>
        <x:v>0</x:v>
      </x:c>
      <x:c r="E1576">
        <x:f>ROUND($C1576*10*VLOOKUP($B1576,Sheet2!$J$5:$K$7,2,FALSE)*VLOOKUP(Sheet1!$A1576,Sheet2!$B$5:$H$29,4,FALSE),0)</x:f>
        <x:v>180</x:v>
      </x:c>
      <x:c r="F1576">
        <x:f>ROUND($C1576*10*VLOOKUP($B1576,Sheet2!$J$5:$K$7,2,FALSE)*VLOOKUP(Sheet1!$A1576,Sheet2!$B$5:$H$29,5,FALSE),0)</x:f>
        <x:v>0</x:v>
      </x:c>
      <x:c r="G1576">
        <x:f>ROUND($C1576*10*VLOOKUP($B1576,Sheet2!$J$5:$K$7,2,FALSE)*VLOOKUP(Sheet1!$A1576,Sheet2!$B$5:$H$29,6,FALSE),0)</x:f>
        <x:v>48</x:v>
      </x:c>
      <x:c r="H1576">
        <x:f>ROUND($C1576*10*VLOOKUP($B1576,Sheet2!$J$5:$K$7,2,FALSE)*VLOOKUP(Sheet1!$A1576,Sheet2!$B$5:$H$29,7,FALSE),0)</x:f>
        <x:v>0</x:v>
      </x:c>
      <x:c r="I1576">
        <x:f t="shared" si="26"/>
        <x:v>14660</x:v>
      </x:c>
    </x:row>
    <x:row r="1577" spans="1:9" x14ac:dyDescent="0.15">
      <x:c r="A1577">
        <x:v>54054</x:v>
      </x:c>
      <x:c r="B1577">
        <x:v>3</x:v>
      </x:c>
      <x:c r="C1577">
        <x:v>16</x:v>
      </x:c>
      <x:c r="D1577">
        <x:f>ROUND($C1577*10*VLOOKUP($B1577,Sheet2!$J$5:$K$7,2,FALSE)*VLOOKUP(Sheet1!$A1577,Sheet2!$B$5:$H$29,3,FALSE),0)</x:f>
        <x:v>0</x:v>
      </x:c>
      <x:c r="E1577">
        <x:f>ROUND($C1577*10*VLOOKUP($B1577,Sheet2!$J$5:$K$7,2,FALSE)*VLOOKUP(Sheet1!$A1577,Sheet2!$B$5:$H$29,4,FALSE),0)</x:f>
        <x:v>192</x:v>
      </x:c>
      <x:c r="F1577">
        <x:f>ROUND($C1577*10*VLOOKUP($B1577,Sheet2!$J$5:$K$7,2,FALSE)*VLOOKUP(Sheet1!$A1577,Sheet2!$B$5:$H$29,5,FALSE),0)</x:f>
        <x:v>0</x:v>
      </x:c>
      <x:c r="G1577">
        <x:f>ROUND($C1577*10*VLOOKUP($B1577,Sheet2!$J$5:$K$7,2,FALSE)*VLOOKUP(Sheet1!$A1577,Sheet2!$B$5:$H$29,6,FALSE),0)</x:f>
        <x:v>51</x:v>
      </x:c>
      <x:c r="H1577">
        <x:f>ROUND($C1577*10*VLOOKUP($B1577,Sheet2!$J$5:$K$7,2,FALSE)*VLOOKUP(Sheet1!$A1577,Sheet2!$B$5:$H$29,7,FALSE),0)</x:f>
        <x:v>0</x:v>
      </x:c>
      <x:c r="I1577">
        <x:f t="shared" si="26"/>
        <x:v>16580</x:v>
      </x:c>
    </x:row>
    <x:row r="1578" spans="1:9" x14ac:dyDescent="0.15">
      <x:c r="A1578">
        <x:v>54054</x:v>
      </x:c>
      <x:c r="B1578">
        <x:v>3</x:v>
      </x:c>
      <x:c r="C1578">
        <x:v>17</x:v>
      </x:c>
      <x:c r="D1578">
        <x:f>ROUND($C1578*10*VLOOKUP($B1578,Sheet2!$J$5:$K$7,2,FALSE)*VLOOKUP(Sheet1!$A1578,Sheet2!$B$5:$H$29,3,FALSE),0)</x:f>
        <x:v>0</x:v>
      </x:c>
      <x:c r="E1578">
        <x:f>ROUND($C1578*10*VLOOKUP($B1578,Sheet2!$J$5:$K$7,2,FALSE)*VLOOKUP(Sheet1!$A1578,Sheet2!$B$5:$H$29,4,FALSE),0)</x:f>
        <x:v>204</x:v>
      </x:c>
      <x:c r="F1578">
        <x:f>ROUND($C1578*10*VLOOKUP($B1578,Sheet2!$J$5:$K$7,2,FALSE)*VLOOKUP(Sheet1!$A1578,Sheet2!$B$5:$H$29,5,FALSE),0)</x:f>
        <x:v>0</x:v>
      </x:c>
      <x:c r="G1578">
        <x:f>ROUND($C1578*10*VLOOKUP($B1578,Sheet2!$J$5:$K$7,2,FALSE)*VLOOKUP(Sheet1!$A1578,Sheet2!$B$5:$H$29,6,FALSE),0)</x:f>
        <x:v>54</x:v>
      </x:c>
      <x:c r="H1578">
        <x:f>ROUND($C1578*10*VLOOKUP($B1578,Sheet2!$J$5:$K$7,2,FALSE)*VLOOKUP(Sheet1!$A1578,Sheet2!$B$5:$H$29,7,FALSE),0)</x:f>
        <x:v>0</x:v>
      </x:c>
      <x:c r="I1578">
        <x:f t="shared" si="26"/>
        <x:v>18620</x:v>
      </x:c>
    </x:row>
    <x:row r="1579" spans="1:9" x14ac:dyDescent="0.15">
      <x:c r="A1579">
        <x:v>54054</x:v>
      </x:c>
      <x:c r="B1579">
        <x:v>3</x:v>
      </x:c>
      <x:c r="C1579">
        <x:v>18</x:v>
      </x:c>
      <x:c r="D1579">
        <x:f>ROUND($C1579*10*VLOOKUP($B1579,Sheet2!$J$5:$K$7,2,FALSE)*VLOOKUP(Sheet1!$A1579,Sheet2!$B$5:$H$29,3,FALSE),0)</x:f>
        <x:v>0</x:v>
      </x:c>
      <x:c r="E1579">
        <x:f>ROUND($C1579*10*VLOOKUP($B1579,Sheet2!$J$5:$K$7,2,FALSE)*VLOOKUP(Sheet1!$A1579,Sheet2!$B$5:$H$29,4,FALSE),0)</x:f>
        <x:v>216</x:v>
      </x:c>
      <x:c r="F1579">
        <x:f>ROUND($C1579*10*VLOOKUP($B1579,Sheet2!$J$5:$K$7,2,FALSE)*VLOOKUP(Sheet1!$A1579,Sheet2!$B$5:$H$29,5,FALSE),0)</x:f>
        <x:v>0</x:v>
      </x:c>
      <x:c r="G1579">
        <x:f>ROUND($C1579*10*VLOOKUP($B1579,Sheet2!$J$5:$K$7,2,FALSE)*VLOOKUP(Sheet1!$A1579,Sheet2!$B$5:$H$29,6,FALSE),0)</x:f>
        <x:v>58</x:v>
      </x:c>
      <x:c r="H1579">
        <x:f>ROUND($C1579*10*VLOOKUP($B1579,Sheet2!$J$5:$K$7,2,FALSE)*VLOOKUP(Sheet1!$A1579,Sheet2!$B$5:$H$29,7,FALSE),0)</x:f>
        <x:v>0</x:v>
      </x:c>
      <x:c r="I1579">
        <x:f t="shared" si="26"/>
        <x:v>20750</x:v>
      </x:c>
    </x:row>
    <x:row r="1580" spans="1:9" x14ac:dyDescent="0.15">
      <x:c r="A1580">
        <x:v>54054</x:v>
      </x:c>
      <x:c r="B1580">
        <x:v>3</x:v>
      </x:c>
      <x:c r="C1580">
        <x:v>19</x:v>
      </x:c>
      <x:c r="D1580">
        <x:f>ROUND($C1580*10*VLOOKUP($B1580,Sheet2!$J$5:$K$7,2,FALSE)*VLOOKUP(Sheet1!$A1580,Sheet2!$B$5:$H$29,3,FALSE),0)</x:f>
        <x:v>0</x:v>
      </x:c>
      <x:c r="E1580">
        <x:f>ROUND($C1580*10*VLOOKUP($B1580,Sheet2!$J$5:$K$7,2,FALSE)*VLOOKUP(Sheet1!$A1580,Sheet2!$B$5:$H$29,4,FALSE),0)</x:f>
        <x:v>228</x:v>
      </x:c>
      <x:c r="F1580">
        <x:f>ROUND($C1580*10*VLOOKUP($B1580,Sheet2!$J$5:$K$7,2,FALSE)*VLOOKUP(Sheet1!$A1580,Sheet2!$B$5:$H$29,5,FALSE),0)</x:f>
        <x:v>0</x:v>
      </x:c>
      <x:c r="G1580">
        <x:f>ROUND($C1580*10*VLOOKUP($B1580,Sheet2!$J$5:$K$7,2,FALSE)*VLOOKUP(Sheet1!$A1580,Sheet2!$B$5:$H$29,6,FALSE),0)</x:f>
        <x:v>61</x:v>
      </x:c>
      <x:c r="H1580">
        <x:f>ROUND($C1580*10*VLOOKUP($B1580,Sheet2!$J$5:$K$7,2,FALSE)*VLOOKUP(Sheet1!$A1580,Sheet2!$B$5:$H$29,7,FALSE),0)</x:f>
        <x:v>0</x:v>
      </x:c>
      <x:c r="I1580">
        <x:f t="shared" si="26"/>
        <x:v>22990</x:v>
      </x:c>
    </x:row>
    <x:row r="1581" spans="1:9" x14ac:dyDescent="0.15">
      <x:c r="A1581">
        <x:v>54054</x:v>
      </x:c>
      <x:c r="B1581">
        <x:v>3</x:v>
      </x:c>
      <x:c r="C1581">
        <x:v>20</x:v>
      </x:c>
      <x:c r="D1581">
        <x:f>ROUND($C1581*10*VLOOKUP($B1581,Sheet2!$J$5:$K$7,2,FALSE)*VLOOKUP(Sheet1!$A1581,Sheet2!$B$5:$H$29,3,FALSE),0)</x:f>
        <x:v>0</x:v>
      </x:c>
      <x:c r="E1581">
        <x:f>ROUND($C1581*10*VLOOKUP($B1581,Sheet2!$J$5:$K$7,2,FALSE)*VLOOKUP(Sheet1!$A1581,Sheet2!$B$5:$H$29,4,FALSE),0)</x:f>
        <x:v>240</x:v>
      </x:c>
      <x:c r="F1581">
        <x:f>ROUND($C1581*10*VLOOKUP($B1581,Sheet2!$J$5:$K$7,2,FALSE)*VLOOKUP(Sheet1!$A1581,Sheet2!$B$5:$H$29,5,FALSE),0)</x:f>
        <x:v>0</x:v>
      </x:c>
      <x:c r="G1581">
        <x:f>ROUND($C1581*10*VLOOKUP($B1581,Sheet2!$J$5:$K$7,2,FALSE)*VLOOKUP(Sheet1!$A1581,Sheet2!$B$5:$H$29,6,FALSE),0)</x:f>
        <x:v>64</x:v>
      </x:c>
      <x:c r="H1581">
        <x:f>ROUND($C1581*10*VLOOKUP($B1581,Sheet2!$J$5:$K$7,2,FALSE)*VLOOKUP(Sheet1!$A1581,Sheet2!$B$5:$H$29,7,FALSE),0)</x:f>
        <x:v>0</x:v>
      </x:c>
      <x:c r="I1581">
        <x:f t="shared" si="26"/>
        <x:v>25330</x:v>
      </x:c>
    </x:row>
    <x:row r="1582" spans="1:9" x14ac:dyDescent="0.15">
      <x:c r="A1582">
        <x:v>54054</x:v>
      </x:c>
      <x:c r="B1582">
        <x:v>3</x:v>
      </x:c>
      <x:c r="C1582">
        <x:v>21</x:v>
      </x:c>
      <x:c r="D1582">
        <x:f>ROUND($C1582*10*VLOOKUP($B1582,Sheet2!$J$5:$K$7,2,FALSE)*VLOOKUP(Sheet1!$A1582,Sheet2!$B$5:$H$29,3,FALSE),0)</x:f>
        <x:v>0</x:v>
      </x:c>
      <x:c r="E1582">
        <x:f>ROUND($C1582*10*VLOOKUP($B1582,Sheet2!$J$5:$K$7,2,FALSE)*VLOOKUP(Sheet1!$A1582,Sheet2!$B$5:$H$29,4,FALSE),0)</x:f>
        <x:v>252</x:v>
      </x:c>
      <x:c r="F1582">
        <x:f>ROUND($C1582*10*VLOOKUP($B1582,Sheet2!$J$5:$K$7,2,FALSE)*VLOOKUP(Sheet1!$A1582,Sheet2!$B$5:$H$29,5,FALSE),0)</x:f>
        <x:v>0</x:v>
      </x:c>
      <x:c r="G1582">
        <x:f>ROUND($C1582*10*VLOOKUP($B1582,Sheet2!$J$5:$K$7,2,FALSE)*VLOOKUP(Sheet1!$A1582,Sheet2!$B$5:$H$29,6,FALSE),0)</x:f>
        <x:v>67</x:v>
      </x:c>
      <x:c r="H1582">
        <x:f>ROUND($C1582*10*VLOOKUP($B1582,Sheet2!$J$5:$K$7,2,FALSE)*VLOOKUP(Sheet1!$A1582,Sheet2!$B$5:$H$29,7,FALSE),0)</x:f>
        <x:v>0</x:v>
      </x:c>
      <x:c r="I1582">
        <x:f t="shared" si="26"/>
        <x:v>27770</x:v>
      </x:c>
    </x:row>
    <x:row r="1583" spans="1:9" x14ac:dyDescent="0.15">
      <x:c r="A1583">
        <x:v>54054</x:v>
      </x:c>
      <x:c r="B1583">
        <x:v>3</x:v>
      </x:c>
      <x:c r="C1583">
        <x:v>22</x:v>
      </x:c>
      <x:c r="D1583">
        <x:f>ROUND($C1583*10*VLOOKUP($B1583,Sheet2!$J$5:$K$7,2,FALSE)*VLOOKUP(Sheet1!$A1583,Sheet2!$B$5:$H$29,3,FALSE),0)</x:f>
        <x:v>0</x:v>
      </x:c>
      <x:c r="E1583">
        <x:f>ROUND($C1583*10*VLOOKUP($B1583,Sheet2!$J$5:$K$7,2,FALSE)*VLOOKUP(Sheet1!$A1583,Sheet2!$B$5:$H$29,4,FALSE),0)</x:f>
        <x:v>264</x:v>
      </x:c>
      <x:c r="F1583">
        <x:f>ROUND($C1583*10*VLOOKUP($B1583,Sheet2!$J$5:$K$7,2,FALSE)*VLOOKUP(Sheet1!$A1583,Sheet2!$B$5:$H$29,5,FALSE),0)</x:f>
        <x:v>0</x:v>
      </x:c>
      <x:c r="G1583">
        <x:f>ROUND($C1583*10*VLOOKUP($B1583,Sheet2!$J$5:$K$7,2,FALSE)*VLOOKUP(Sheet1!$A1583,Sheet2!$B$5:$H$29,6,FALSE),0)</x:f>
        <x:v>70</x:v>
      </x:c>
      <x:c r="H1583">
        <x:f>ROUND($C1583*10*VLOOKUP($B1583,Sheet2!$J$5:$K$7,2,FALSE)*VLOOKUP(Sheet1!$A1583,Sheet2!$B$5:$H$29,7,FALSE),0)</x:f>
        <x:v>0</x:v>
      </x:c>
      <x:c r="I1583">
        <x:f t="shared" si="26"/>
        <x:v>30310</x:v>
      </x:c>
    </x:row>
    <x:row r="1584" spans="1:9" x14ac:dyDescent="0.15">
      <x:c r="A1584">
        <x:v>54054</x:v>
      </x:c>
      <x:c r="B1584">
        <x:v>3</x:v>
      </x:c>
      <x:c r="C1584">
        <x:v>23</x:v>
      </x:c>
      <x:c r="D1584">
        <x:f>ROUND($C1584*10*VLOOKUP($B1584,Sheet2!$J$5:$K$7,2,FALSE)*VLOOKUP(Sheet1!$A1584,Sheet2!$B$5:$H$29,3,FALSE),0)</x:f>
        <x:v>0</x:v>
      </x:c>
      <x:c r="E1584">
        <x:f>ROUND($C1584*10*VLOOKUP($B1584,Sheet2!$J$5:$K$7,2,FALSE)*VLOOKUP(Sheet1!$A1584,Sheet2!$B$5:$H$29,4,FALSE),0)</x:f>
        <x:v>276</x:v>
      </x:c>
      <x:c r="F1584">
        <x:f>ROUND($C1584*10*VLOOKUP($B1584,Sheet2!$J$5:$K$7,2,FALSE)*VLOOKUP(Sheet1!$A1584,Sheet2!$B$5:$H$29,5,FALSE),0)</x:f>
        <x:v>0</x:v>
      </x:c>
      <x:c r="G1584">
        <x:f>ROUND($C1584*10*VLOOKUP($B1584,Sheet2!$J$5:$K$7,2,FALSE)*VLOOKUP(Sheet1!$A1584,Sheet2!$B$5:$H$29,6,FALSE),0)</x:f>
        <x:v>74</x:v>
      </x:c>
      <x:c r="H1584">
        <x:f>ROUND($C1584*10*VLOOKUP($B1584,Sheet2!$J$5:$K$7,2,FALSE)*VLOOKUP(Sheet1!$A1584,Sheet2!$B$5:$H$29,7,FALSE),0)</x:f>
        <x:v>0</x:v>
      </x:c>
      <x:c r="I1584">
        <x:f t="shared" si="26"/>
        <x:v>32950</x:v>
      </x:c>
    </x:row>
    <x:row r="1585" spans="1:9" x14ac:dyDescent="0.15">
      <x:c r="A1585">
        <x:v>54054</x:v>
      </x:c>
      <x:c r="B1585">
        <x:v>3</x:v>
      </x:c>
      <x:c r="C1585">
        <x:v>24</x:v>
      </x:c>
      <x:c r="D1585">
        <x:f>ROUND($C1585*10*VLOOKUP($B1585,Sheet2!$J$5:$K$7,2,FALSE)*VLOOKUP(Sheet1!$A1585,Sheet2!$B$5:$H$29,3,FALSE),0)</x:f>
        <x:v>0</x:v>
      </x:c>
      <x:c r="E1585">
        <x:f>ROUND($C1585*10*VLOOKUP($B1585,Sheet2!$J$5:$K$7,2,FALSE)*VLOOKUP(Sheet1!$A1585,Sheet2!$B$5:$H$29,4,FALSE),0)</x:f>
        <x:v>288</x:v>
      </x:c>
      <x:c r="F1585">
        <x:f>ROUND($C1585*10*VLOOKUP($B1585,Sheet2!$J$5:$K$7,2,FALSE)*VLOOKUP(Sheet1!$A1585,Sheet2!$B$5:$H$29,5,FALSE),0)</x:f>
        <x:v>0</x:v>
      </x:c>
      <x:c r="G1585">
        <x:f>ROUND($C1585*10*VLOOKUP($B1585,Sheet2!$J$5:$K$7,2,FALSE)*VLOOKUP(Sheet1!$A1585,Sheet2!$B$5:$H$29,6,FALSE),0)</x:f>
        <x:v>77</x:v>
      </x:c>
      <x:c r="H1585">
        <x:f>ROUND($C1585*10*VLOOKUP($B1585,Sheet2!$J$5:$K$7,2,FALSE)*VLOOKUP(Sheet1!$A1585,Sheet2!$B$5:$H$29,7,FALSE),0)</x:f>
        <x:v>0</x:v>
      </x:c>
      <x:c r="I1585">
        <x:f t="shared" si="26"/>
        <x:v>35690</x:v>
      </x:c>
    </x:row>
    <x:row r="1586" spans="1:9" x14ac:dyDescent="0.15">
      <x:c r="A1586">
        <x:v>54054</x:v>
      </x:c>
      <x:c r="B1586">
        <x:v>3</x:v>
      </x:c>
      <x:c r="C1586">
        <x:v>25</x:v>
      </x:c>
      <x:c r="D1586">
        <x:f>ROUND($C1586*10*VLOOKUP($B1586,Sheet2!$J$5:$K$7,2,FALSE)*VLOOKUP(Sheet1!$A1586,Sheet2!$B$5:$H$29,3,FALSE),0)</x:f>
        <x:v>0</x:v>
      </x:c>
      <x:c r="E1586">
        <x:f>ROUND($C1586*10*VLOOKUP($B1586,Sheet2!$J$5:$K$7,2,FALSE)*VLOOKUP(Sheet1!$A1586,Sheet2!$B$5:$H$29,4,FALSE),0)</x:f>
        <x:v>300</x:v>
      </x:c>
      <x:c r="F1586">
        <x:f>ROUND($C1586*10*VLOOKUP($B1586,Sheet2!$J$5:$K$7,2,FALSE)*VLOOKUP(Sheet1!$A1586,Sheet2!$B$5:$H$29,5,FALSE),0)</x:f>
        <x:v>0</x:v>
      </x:c>
      <x:c r="G1586">
        <x:f>ROUND($C1586*10*VLOOKUP($B1586,Sheet2!$J$5:$K$7,2,FALSE)*VLOOKUP(Sheet1!$A1586,Sheet2!$B$5:$H$29,6,FALSE),0)</x:f>
        <x:v>80</x:v>
      </x:c>
      <x:c r="H1586">
        <x:f>ROUND($C1586*10*VLOOKUP($B1586,Sheet2!$J$5:$K$7,2,FALSE)*VLOOKUP(Sheet1!$A1586,Sheet2!$B$5:$H$29,7,FALSE),0)</x:f>
        <x:v>0</x:v>
      </x:c>
      <x:c r="I1586">
        <x:f t="shared" si="26"/>
        <x:v>38530</x:v>
      </x:c>
    </x:row>
    <x:row r="1587" spans="1:9" x14ac:dyDescent="0.15">
      <x:c r="A1587">
        <x:v>54054</x:v>
      </x:c>
      <x:c r="B1587">
        <x:v>3</x:v>
      </x:c>
      <x:c r="C1587">
        <x:v>26</x:v>
      </x:c>
      <x:c r="D1587">
        <x:f>ROUND($C1587*10*VLOOKUP($B1587,Sheet2!$J$5:$K$7,2,FALSE)*VLOOKUP(Sheet1!$A1587,Sheet2!$B$5:$H$29,3,FALSE),0)</x:f>
        <x:v>0</x:v>
      </x:c>
      <x:c r="E1587">
        <x:f>ROUND($C1587*10*VLOOKUP($B1587,Sheet2!$J$5:$K$7,2,FALSE)*VLOOKUP(Sheet1!$A1587,Sheet2!$B$5:$H$29,4,FALSE),0)</x:f>
        <x:v>312</x:v>
      </x:c>
      <x:c r="F1587">
        <x:f>ROUND($C1587*10*VLOOKUP($B1587,Sheet2!$J$5:$K$7,2,FALSE)*VLOOKUP(Sheet1!$A1587,Sheet2!$B$5:$H$29,5,FALSE),0)</x:f>
        <x:v>0</x:v>
      </x:c>
      <x:c r="G1587">
        <x:f>ROUND($C1587*10*VLOOKUP($B1587,Sheet2!$J$5:$K$7,2,FALSE)*VLOOKUP(Sheet1!$A1587,Sheet2!$B$5:$H$29,6,FALSE),0)</x:f>
        <x:v>83</x:v>
      </x:c>
      <x:c r="H1587">
        <x:f>ROUND($C1587*10*VLOOKUP($B1587,Sheet2!$J$5:$K$7,2,FALSE)*VLOOKUP(Sheet1!$A1587,Sheet2!$B$5:$H$29,7,FALSE),0)</x:f>
        <x:v>0</x:v>
      </x:c>
      <x:c r="I1587">
        <x:f t="shared" si="26"/>
        <x:v>41460</x:v>
      </x:c>
    </x:row>
    <x:row r="1588" spans="1:9" x14ac:dyDescent="0.15">
      <x:c r="A1588">
        <x:v>54054</x:v>
      </x:c>
      <x:c r="B1588">
        <x:v>3</x:v>
      </x:c>
      <x:c r="C1588">
        <x:v>27</x:v>
      </x:c>
      <x:c r="D1588">
        <x:f>ROUND($C1588*10*VLOOKUP($B1588,Sheet2!$J$5:$K$7,2,FALSE)*VLOOKUP(Sheet1!$A1588,Sheet2!$B$5:$H$29,3,FALSE),0)</x:f>
        <x:v>0</x:v>
      </x:c>
      <x:c r="E1588">
        <x:f>ROUND($C1588*10*VLOOKUP($B1588,Sheet2!$J$5:$K$7,2,FALSE)*VLOOKUP(Sheet1!$A1588,Sheet2!$B$5:$H$29,4,FALSE),0)</x:f>
        <x:v>324</x:v>
      </x:c>
      <x:c r="F1588">
        <x:f>ROUND($C1588*10*VLOOKUP($B1588,Sheet2!$J$5:$K$7,2,FALSE)*VLOOKUP(Sheet1!$A1588,Sheet2!$B$5:$H$29,5,FALSE),0)</x:f>
        <x:v>0</x:v>
      </x:c>
      <x:c r="G1588">
        <x:f>ROUND($C1588*10*VLOOKUP($B1588,Sheet2!$J$5:$K$7,2,FALSE)*VLOOKUP(Sheet1!$A1588,Sheet2!$B$5:$H$29,6,FALSE),0)</x:f>
        <x:v>86</x:v>
      </x:c>
      <x:c r="H1588">
        <x:f>ROUND($C1588*10*VLOOKUP($B1588,Sheet2!$J$5:$K$7,2,FALSE)*VLOOKUP(Sheet1!$A1588,Sheet2!$B$5:$H$29,7,FALSE),0)</x:f>
        <x:v>0</x:v>
      </x:c>
      <x:c r="I1588">
        <x:f t="shared" si="26"/>
        <x:v>44480</x:v>
      </x:c>
    </x:row>
    <x:row r="1589" spans="1:9" x14ac:dyDescent="0.15">
      <x:c r="A1589">
        <x:v>54054</x:v>
      </x:c>
      <x:c r="B1589">
        <x:v>3</x:v>
      </x:c>
      <x:c r="C1589">
        <x:v>28</x:v>
      </x:c>
      <x:c r="D1589">
        <x:f>ROUND($C1589*10*VLOOKUP($B1589,Sheet2!$J$5:$K$7,2,FALSE)*VLOOKUP(Sheet1!$A1589,Sheet2!$B$5:$H$29,3,FALSE),0)</x:f>
        <x:v>0</x:v>
      </x:c>
      <x:c r="E1589">
        <x:f>ROUND($C1589*10*VLOOKUP($B1589,Sheet2!$J$5:$K$7,2,FALSE)*VLOOKUP(Sheet1!$A1589,Sheet2!$B$5:$H$29,4,FALSE),0)</x:f>
        <x:v>336</x:v>
      </x:c>
      <x:c r="F1589">
        <x:f>ROUND($C1589*10*VLOOKUP($B1589,Sheet2!$J$5:$K$7,2,FALSE)*VLOOKUP(Sheet1!$A1589,Sheet2!$B$5:$H$29,5,FALSE),0)</x:f>
        <x:v>0</x:v>
      </x:c>
      <x:c r="G1589">
        <x:f>ROUND($C1589*10*VLOOKUP($B1589,Sheet2!$J$5:$K$7,2,FALSE)*VLOOKUP(Sheet1!$A1589,Sheet2!$B$5:$H$29,6,FALSE),0)</x:f>
        <x:v>90</x:v>
      </x:c>
      <x:c r="H1589">
        <x:f>ROUND($C1589*10*VLOOKUP($B1589,Sheet2!$J$5:$K$7,2,FALSE)*VLOOKUP(Sheet1!$A1589,Sheet2!$B$5:$H$29,7,FALSE),0)</x:f>
        <x:v>0</x:v>
      </x:c>
      <x:c r="I1589">
        <x:f t="shared" si="26"/>
        <x:v>47600</x:v>
      </x:c>
    </x:row>
    <x:row r="1590" spans="1:9" x14ac:dyDescent="0.15">
      <x:c r="A1590">
        <x:v>54054</x:v>
      </x:c>
      <x:c r="B1590">
        <x:v>3</x:v>
      </x:c>
      <x:c r="C1590">
        <x:v>29</x:v>
      </x:c>
      <x:c r="D1590">
        <x:f>ROUND($C1590*10*VLOOKUP($B1590,Sheet2!$J$5:$K$7,2,FALSE)*VLOOKUP(Sheet1!$A1590,Sheet2!$B$5:$H$29,3,FALSE),0)</x:f>
        <x:v>0</x:v>
      </x:c>
      <x:c r="E1590">
        <x:f>ROUND($C1590*10*VLOOKUP($B1590,Sheet2!$J$5:$K$7,2,FALSE)*VLOOKUP(Sheet1!$A1590,Sheet2!$B$5:$H$29,4,FALSE),0)</x:f>
        <x:v>348</x:v>
      </x:c>
      <x:c r="F1590">
        <x:f>ROUND($C1590*10*VLOOKUP($B1590,Sheet2!$J$5:$K$7,2,FALSE)*VLOOKUP(Sheet1!$A1590,Sheet2!$B$5:$H$29,5,FALSE),0)</x:f>
        <x:v>0</x:v>
      </x:c>
      <x:c r="G1590">
        <x:f>ROUND($C1590*10*VLOOKUP($B1590,Sheet2!$J$5:$K$7,2,FALSE)*VLOOKUP(Sheet1!$A1590,Sheet2!$B$5:$H$29,6,FALSE),0)</x:f>
        <x:v>93</x:v>
      </x:c>
      <x:c r="H1590">
        <x:f>ROUND($C1590*10*VLOOKUP($B1590,Sheet2!$J$5:$K$7,2,FALSE)*VLOOKUP(Sheet1!$A1590,Sheet2!$B$5:$H$29,7,FALSE),0)</x:f>
        <x:v>0</x:v>
      </x:c>
      <x:c r="I1590">
        <x:f t="shared" si="26"/>
        <x:v>50820</x:v>
      </x:c>
    </x:row>
    <x:row r="1591" spans="1:9" x14ac:dyDescent="0.15">
      <x:c r="A1591">
        <x:v>54054</x:v>
      </x:c>
      <x:c r="B1591">
        <x:v>3</x:v>
      </x:c>
      <x:c r="C1591">
        <x:v>30</x:v>
      </x:c>
      <x:c r="D1591">
        <x:f>ROUND($C1591*10*VLOOKUP($B1591,Sheet2!$J$5:$K$7,2,FALSE)*VLOOKUP(Sheet1!$A1591,Sheet2!$B$5:$H$29,3,FALSE),0)</x:f>
        <x:v>0</x:v>
      </x:c>
      <x:c r="E1591">
        <x:f>ROUND($C1591*10*VLOOKUP($B1591,Sheet2!$J$5:$K$7,2,FALSE)*VLOOKUP(Sheet1!$A1591,Sheet2!$B$5:$H$29,4,FALSE),0)</x:f>
        <x:v>360</x:v>
      </x:c>
      <x:c r="F1591">
        <x:f>ROUND($C1591*10*VLOOKUP($B1591,Sheet2!$J$5:$K$7,2,FALSE)*VLOOKUP(Sheet1!$A1591,Sheet2!$B$5:$H$29,5,FALSE),0)</x:f>
        <x:v>0</x:v>
      </x:c>
      <x:c r="G1591">
        <x:f>ROUND($C1591*10*VLOOKUP($B1591,Sheet2!$J$5:$K$7,2,FALSE)*VLOOKUP(Sheet1!$A1591,Sheet2!$B$5:$H$29,6,FALSE),0)</x:f>
        <x:v>96</x:v>
      </x:c>
      <x:c r="H1591">
        <x:f>ROUND($C1591*10*VLOOKUP($B1591,Sheet2!$J$5:$K$7,2,FALSE)*VLOOKUP(Sheet1!$A1591,Sheet2!$B$5:$H$29,7,FALSE),0)</x:f>
        <x:v>0</x:v>
      </x:c>
      <x:c r="I1591">
        <x:f t="shared" si="26"/>
        <x:v>54130</x:v>
      </x:c>
    </x:row>
    <x:row r="1592" spans="1:9" x14ac:dyDescent="0.15">
      <x:c r="A1592">
        <x:v>54054</x:v>
      </x:c>
      <x:c r="B1592">
        <x:v>3</x:v>
      </x:c>
      <x:c r="C1592">
        <x:v>31</x:v>
      </x:c>
      <x:c r="D1592">
        <x:f>ROUND($C1592*10*VLOOKUP($B1592,Sheet2!$J$5:$K$7,2,FALSE)*VLOOKUP(Sheet1!$A1592,Sheet2!$B$5:$H$29,3,FALSE),0)</x:f>
        <x:v>0</x:v>
      </x:c>
      <x:c r="E1592">
        <x:f>ROUND($C1592*10*VLOOKUP($B1592,Sheet2!$J$5:$K$7,2,FALSE)*VLOOKUP(Sheet1!$A1592,Sheet2!$B$5:$H$29,4,FALSE),0)</x:f>
        <x:v>372</x:v>
      </x:c>
      <x:c r="F1592">
        <x:f>ROUND($C1592*10*VLOOKUP($B1592,Sheet2!$J$5:$K$7,2,FALSE)*VLOOKUP(Sheet1!$A1592,Sheet2!$B$5:$H$29,5,FALSE),0)</x:f>
        <x:v>0</x:v>
      </x:c>
      <x:c r="G1592">
        <x:f>ROUND($C1592*10*VLOOKUP($B1592,Sheet2!$J$5:$K$7,2,FALSE)*VLOOKUP(Sheet1!$A1592,Sheet2!$B$5:$H$29,6,FALSE),0)</x:f>
        <x:v>99</x:v>
      </x:c>
      <x:c r="H1592">
        <x:f>ROUND($C1592*10*VLOOKUP($B1592,Sheet2!$J$5:$K$7,2,FALSE)*VLOOKUP(Sheet1!$A1592,Sheet2!$B$5:$H$29,7,FALSE),0)</x:f>
        <x:v>0</x:v>
      </x:c>
      <x:c r="I1592">
        <x:f t="shared" si="26"/>
        <x:v>57530</x:v>
      </x:c>
    </x:row>
    <x:row r="1593" spans="1:9" x14ac:dyDescent="0.15">
      <x:c r="A1593">
        <x:v>54054</x:v>
      </x:c>
      <x:c r="B1593">
        <x:v>3</x:v>
      </x:c>
      <x:c r="C1593">
        <x:v>32</x:v>
      </x:c>
      <x:c r="D1593">
        <x:f>ROUND($C1593*10*VLOOKUP($B1593,Sheet2!$J$5:$K$7,2,FALSE)*VLOOKUP(Sheet1!$A1593,Sheet2!$B$5:$H$29,3,FALSE),0)</x:f>
        <x:v>0</x:v>
      </x:c>
      <x:c r="E1593">
        <x:f>ROUND($C1593*10*VLOOKUP($B1593,Sheet2!$J$5:$K$7,2,FALSE)*VLOOKUP(Sheet1!$A1593,Sheet2!$B$5:$H$29,4,FALSE),0)</x:f>
        <x:v>384</x:v>
      </x:c>
      <x:c r="F1593">
        <x:f>ROUND($C1593*10*VLOOKUP($B1593,Sheet2!$J$5:$K$7,2,FALSE)*VLOOKUP(Sheet1!$A1593,Sheet2!$B$5:$H$29,5,FALSE),0)</x:f>
        <x:v>0</x:v>
      </x:c>
      <x:c r="G1593">
        <x:f>ROUND($C1593*10*VLOOKUP($B1593,Sheet2!$J$5:$K$7,2,FALSE)*VLOOKUP(Sheet1!$A1593,Sheet2!$B$5:$H$29,6,FALSE),0)</x:f>
        <x:v>102</x:v>
      </x:c>
      <x:c r="H1593">
        <x:f>ROUND($C1593*10*VLOOKUP($B1593,Sheet2!$J$5:$K$7,2,FALSE)*VLOOKUP(Sheet1!$A1593,Sheet2!$B$5:$H$29,7,FALSE),0)</x:f>
        <x:v>0</x:v>
      </x:c>
      <x:c r="I1593">
        <x:f t="shared" si="26"/>
        <x:v>61020</x:v>
      </x:c>
    </x:row>
    <x:row r="1594" spans="1:9" x14ac:dyDescent="0.15">
      <x:c r="A1594">
        <x:v>54054</x:v>
      </x:c>
      <x:c r="B1594">
        <x:v>3</x:v>
      </x:c>
      <x:c r="C1594">
        <x:v>33</x:v>
      </x:c>
      <x:c r="D1594">
        <x:f>ROUND($C1594*10*VLOOKUP($B1594,Sheet2!$J$5:$K$7,2,FALSE)*VLOOKUP(Sheet1!$A1594,Sheet2!$B$5:$H$29,3,FALSE),0)</x:f>
        <x:v>0</x:v>
      </x:c>
      <x:c r="E1594">
        <x:f>ROUND($C1594*10*VLOOKUP($B1594,Sheet2!$J$5:$K$7,2,FALSE)*VLOOKUP(Sheet1!$A1594,Sheet2!$B$5:$H$29,4,FALSE),0)</x:f>
        <x:v>396</x:v>
      </x:c>
      <x:c r="F1594">
        <x:f>ROUND($C1594*10*VLOOKUP($B1594,Sheet2!$J$5:$K$7,2,FALSE)*VLOOKUP(Sheet1!$A1594,Sheet2!$B$5:$H$29,5,FALSE),0)</x:f>
        <x:v>0</x:v>
      </x:c>
      <x:c r="G1594">
        <x:f>ROUND($C1594*10*VLOOKUP($B1594,Sheet2!$J$5:$K$7,2,FALSE)*VLOOKUP(Sheet1!$A1594,Sheet2!$B$5:$H$29,6,FALSE),0)</x:f>
        <x:v>106</x:v>
      </x:c>
      <x:c r="H1594">
        <x:f>ROUND($C1594*10*VLOOKUP($B1594,Sheet2!$J$5:$K$7,2,FALSE)*VLOOKUP(Sheet1!$A1594,Sheet2!$B$5:$H$29,7,FALSE),0)</x:f>
        <x:v>0</x:v>
      </x:c>
      <x:c r="I1594">
        <x:f t="shared" si="26"/>
        <x:v>64600</x:v>
      </x:c>
    </x:row>
    <x:row r="1595" spans="1:9" x14ac:dyDescent="0.15">
      <x:c r="A1595">
        <x:v>54054</x:v>
      </x:c>
      <x:c r="B1595">
        <x:v>3</x:v>
      </x:c>
      <x:c r="C1595">
        <x:v>34</x:v>
      </x:c>
      <x:c r="D1595">
        <x:f>ROUND($C1595*10*VLOOKUP($B1595,Sheet2!$J$5:$K$7,2,FALSE)*VLOOKUP(Sheet1!$A1595,Sheet2!$B$5:$H$29,3,FALSE),0)</x:f>
        <x:v>0</x:v>
      </x:c>
      <x:c r="E1595">
        <x:f>ROUND($C1595*10*VLOOKUP($B1595,Sheet2!$J$5:$K$7,2,FALSE)*VLOOKUP(Sheet1!$A1595,Sheet2!$B$5:$H$29,4,FALSE),0)</x:f>
        <x:v>408</x:v>
      </x:c>
      <x:c r="F1595">
        <x:f>ROUND($C1595*10*VLOOKUP($B1595,Sheet2!$J$5:$K$7,2,FALSE)*VLOOKUP(Sheet1!$A1595,Sheet2!$B$5:$H$29,5,FALSE),0)</x:f>
        <x:v>0</x:v>
      </x:c>
      <x:c r="G1595">
        <x:f>ROUND($C1595*10*VLOOKUP($B1595,Sheet2!$J$5:$K$7,2,FALSE)*VLOOKUP(Sheet1!$A1595,Sheet2!$B$5:$H$29,6,FALSE),0)</x:f>
        <x:v>109</x:v>
      </x:c>
      <x:c r="H1595">
        <x:f>ROUND($C1595*10*VLOOKUP($B1595,Sheet2!$J$5:$K$7,2,FALSE)*VLOOKUP(Sheet1!$A1595,Sheet2!$B$5:$H$29,7,FALSE),0)</x:f>
        <x:v>0</x:v>
      </x:c>
      <x:c r="I1595">
        <x:f t="shared" si="26"/>
        <x:v>68280</x:v>
      </x:c>
    </x:row>
    <x:row r="1596" spans="1:9" x14ac:dyDescent="0.15">
      <x:c r="A1596">
        <x:v>54054</x:v>
      </x:c>
      <x:c r="B1596">
        <x:v>3</x:v>
      </x:c>
      <x:c r="C1596">
        <x:v>35</x:v>
      </x:c>
      <x:c r="D1596">
        <x:f>ROUND($C1596*10*VLOOKUP($B1596,Sheet2!$J$5:$K$7,2,FALSE)*VLOOKUP(Sheet1!$A1596,Sheet2!$B$5:$H$29,3,FALSE),0)</x:f>
        <x:v>0</x:v>
      </x:c>
      <x:c r="E1596">
        <x:f>ROUND($C1596*10*VLOOKUP($B1596,Sheet2!$J$5:$K$7,2,FALSE)*VLOOKUP(Sheet1!$A1596,Sheet2!$B$5:$H$29,4,FALSE),0)</x:f>
        <x:v>420</x:v>
      </x:c>
      <x:c r="F1596">
        <x:f>ROUND($C1596*10*VLOOKUP($B1596,Sheet2!$J$5:$K$7,2,FALSE)*VLOOKUP(Sheet1!$A1596,Sheet2!$B$5:$H$29,5,FALSE),0)</x:f>
        <x:v>0</x:v>
      </x:c>
      <x:c r="G1596">
        <x:f>ROUND($C1596*10*VLOOKUP($B1596,Sheet2!$J$5:$K$7,2,FALSE)*VLOOKUP(Sheet1!$A1596,Sheet2!$B$5:$H$29,6,FALSE),0)</x:f>
        <x:v>112</x:v>
      </x:c>
      <x:c r="H1596">
        <x:f>ROUND($C1596*10*VLOOKUP($B1596,Sheet2!$J$5:$K$7,2,FALSE)*VLOOKUP(Sheet1!$A1596,Sheet2!$B$5:$H$29,7,FALSE),0)</x:f>
        <x:v>0</x:v>
      </x:c>
      <x:c r="I1596">
        <x:f t="shared" si="26"/>
        <x:v>72040</x:v>
      </x:c>
    </x:row>
    <x:row r="1597" spans="1:9" x14ac:dyDescent="0.15">
      <x:c r="A1597">
        <x:v>54054</x:v>
      </x:c>
      <x:c r="B1597">
        <x:v>3</x:v>
      </x:c>
      <x:c r="C1597">
        <x:v>36</x:v>
      </x:c>
      <x:c r="D1597">
        <x:f>ROUND($C1597*10*VLOOKUP($B1597,Sheet2!$J$5:$K$7,2,FALSE)*VLOOKUP(Sheet1!$A1597,Sheet2!$B$5:$H$29,3,FALSE),0)</x:f>
        <x:v>0</x:v>
      </x:c>
      <x:c r="E1597">
        <x:f>ROUND($C1597*10*VLOOKUP($B1597,Sheet2!$J$5:$K$7,2,FALSE)*VLOOKUP(Sheet1!$A1597,Sheet2!$B$5:$H$29,4,FALSE),0)</x:f>
        <x:v>432</x:v>
      </x:c>
      <x:c r="F1597">
        <x:f>ROUND($C1597*10*VLOOKUP($B1597,Sheet2!$J$5:$K$7,2,FALSE)*VLOOKUP(Sheet1!$A1597,Sheet2!$B$5:$H$29,5,FALSE),0)</x:f>
        <x:v>0</x:v>
      </x:c>
      <x:c r="G1597">
        <x:f>ROUND($C1597*10*VLOOKUP($B1597,Sheet2!$J$5:$K$7,2,FALSE)*VLOOKUP(Sheet1!$A1597,Sheet2!$B$5:$H$29,6,FALSE),0)</x:f>
        <x:v>115</x:v>
      </x:c>
      <x:c r="H1597">
        <x:f>ROUND($C1597*10*VLOOKUP($B1597,Sheet2!$J$5:$K$7,2,FALSE)*VLOOKUP(Sheet1!$A1597,Sheet2!$B$5:$H$29,7,FALSE),0)</x:f>
        <x:v>0</x:v>
      </x:c>
      <x:c r="I1597">
        <x:f t="shared" si="26"/>
        <x:v>75890</x:v>
      </x:c>
    </x:row>
    <x:row r="1598" spans="1:9" x14ac:dyDescent="0.15">
      <x:c r="A1598">
        <x:v>54054</x:v>
      </x:c>
      <x:c r="B1598">
        <x:v>3</x:v>
      </x:c>
      <x:c r="C1598">
        <x:v>37</x:v>
      </x:c>
      <x:c r="D1598">
        <x:f>ROUND($C1598*10*VLOOKUP($B1598,Sheet2!$J$5:$K$7,2,FALSE)*VLOOKUP(Sheet1!$A1598,Sheet2!$B$5:$H$29,3,FALSE),0)</x:f>
        <x:v>0</x:v>
      </x:c>
      <x:c r="E1598">
        <x:f>ROUND($C1598*10*VLOOKUP($B1598,Sheet2!$J$5:$K$7,2,FALSE)*VLOOKUP(Sheet1!$A1598,Sheet2!$B$5:$H$29,4,FALSE),0)</x:f>
        <x:v>444</x:v>
      </x:c>
      <x:c r="F1598">
        <x:f>ROUND($C1598*10*VLOOKUP($B1598,Sheet2!$J$5:$K$7,2,FALSE)*VLOOKUP(Sheet1!$A1598,Sheet2!$B$5:$H$29,5,FALSE),0)</x:f>
        <x:v>0</x:v>
      </x:c>
      <x:c r="G1598">
        <x:f>ROUND($C1598*10*VLOOKUP($B1598,Sheet2!$J$5:$K$7,2,FALSE)*VLOOKUP(Sheet1!$A1598,Sheet2!$B$5:$H$29,6,FALSE),0)</x:f>
        <x:v>118</x:v>
      </x:c>
      <x:c r="H1598">
        <x:f>ROUND($C1598*10*VLOOKUP($B1598,Sheet2!$J$5:$K$7,2,FALSE)*VLOOKUP(Sheet1!$A1598,Sheet2!$B$5:$H$29,7,FALSE),0)</x:f>
        <x:v>0</x:v>
      </x:c>
      <x:c r="I1598">
        <x:f t="shared" si="26"/>
        <x:v>79840</x:v>
      </x:c>
    </x:row>
    <x:row r="1599" spans="1:9" x14ac:dyDescent="0.15">
      <x:c r="A1599">
        <x:v>54054</x:v>
      </x:c>
      <x:c r="B1599">
        <x:v>3</x:v>
      </x:c>
      <x:c r="C1599">
        <x:v>38</x:v>
      </x:c>
      <x:c r="D1599">
        <x:f>ROUND($C1599*10*VLOOKUP($B1599,Sheet2!$J$5:$K$7,2,FALSE)*VLOOKUP(Sheet1!$A1599,Sheet2!$B$5:$H$29,3,FALSE),0)</x:f>
        <x:v>0</x:v>
      </x:c>
      <x:c r="E1599">
        <x:f>ROUND($C1599*10*VLOOKUP($B1599,Sheet2!$J$5:$K$7,2,FALSE)*VLOOKUP(Sheet1!$A1599,Sheet2!$B$5:$H$29,4,FALSE),0)</x:f>
        <x:v>456</x:v>
      </x:c>
      <x:c r="F1599">
        <x:f>ROUND($C1599*10*VLOOKUP($B1599,Sheet2!$J$5:$K$7,2,FALSE)*VLOOKUP(Sheet1!$A1599,Sheet2!$B$5:$H$29,5,FALSE),0)</x:f>
        <x:v>0</x:v>
      </x:c>
      <x:c r="G1599">
        <x:f>ROUND($C1599*10*VLOOKUP($B1599,Sheet2!$J$5:$K$7,2,FALSE)*VLOOKUP(Sheet1!$A1599,Sheet2!$B$5:$H$29,6,FALSE),0)</x:f>
        <x:v>122</x:v>
      </x:c>
      <x:c r="H1599">
        <x:f>ROUND($C1599*10*VLOOKUP($B1599,Sheet2!$J$5:$K$7,2,FALSE)*VLOOKUP(Sheet1!$A1599,Sheet2!$B$5:$H$29,7,FALSE),0)</x:f>
        <x:v>0</x:v>
      </x:c>
      <x:c r="I1599">
        <x:f t="shared" si="26"/>
        <x:v>83870</x:v>
      </x:c>
    </x:row>
    <x:row r="1600" spans="1:9" x14ac:dyDescent="0.15">
      <x:c r="A1600">
        <x:v>54054</x:v>
      </x:c>
      <x:c r="B1600">
        <x:v>3</x:v>
      </x:c>
      <x:c r="C1600">
        <x:v>39</x:v>
      </x:c>
      <x:c r="D1600">
        <x:f>ROUND($C1600*10*VLOOKUP($B1600,Sheet2!$J$5:$K$7,2,FALSE)*VLOOKUP(Sheet1!$A1600,Sheet2!$B$5:$H$29,3,FALSE),0)</x:f>
        <x:v>0</x:v>
      </x:c>
      <x:c r="E1600">
        <x:f>ROUND($C1600*10*VLOOKUP($B1600,Sheet2!$J$5:$K$7,2,FALSE)*VLOOKUP(Sheet1!$A1600,Sheet2!$B$5:$H$29,4,FALSE),0)</x:f>
        <x:v>468</x:v>
      </x:c>
      <x:c r="F1600">
        <x:f>ROUND($C1600*10*VLOOKUP($B1600,Sheet2!$J$5:$K$7,2,FALSE)*VLOOKUP(Sheet1!$A1600,Sheet2!$B$5:$H$29,5,FALSE),0)</x:f>
        <x:v>0</x:v>
      </x:c>
      <x:c r="G1600">
        <x:f>ROUND($C1600*10*VLOOKUP($B1600,Sheet2!$J$5:$K$7,2,FALSE)*VLOOKUP(Sheet1!$A1600,Sheet2!$B$5:$H$29,6,FALSE),0)</x:f>
        <x:v>125</x:v>
      </x:c>
      <x:c r="H1600">
        <x:f>ROUND($C1600*10*VLOOKUP($B1600,Sheet2!$J$5:$K$7,2,FALSE)*VLOOKUP(Sheet1!$A1600,Sheet2!$B$5:$H$29,7,FALSE),0)</x:f>
        <x:v>0</x:v>
      </x:c>
      <x:c r="I1600">
        <x:f t="shared" si="26"/>
        <x:v>87990</x:v>
      </x:c>
    </x:row>
    <x:row r="1601" spans="1:9" x14ac:dyDescent="0.15">
      <x:c r="A1601">
        <x:v>54054</x:v>
      </x:c>
      <x:c r="B1601">
        <x:v>3</x:v>
      </x:c>
      <x:c r="C1601">
        <x:v>40</x:v>
      </x:c>
      <x:c r="D1601">
        <x:f>ROUND($C1601*10*VLOOKUP($B1601,Sheet2!$J$5:$K$7,2,FALSE)*VLOOKUP(Sheet1!$A1601,Sheet2!$B$5:$H$29,3,FALSE),0)</x:f>
        <x:v>0</x:v>
      </x:c>
      <x:c r="E1601">
        <x:f>ROUND($C1601*10*VLOOKUP($B1601,Sheet2!$J$5:$K$7,2,FALSE)*VLOOKUP(Sheet1!$A1601,Sheet2!$B$5:$H$29,4,FALSE),0)</x:f>
        <x:v>480</x:v>
      </x:c>
      <x:c r="F1601">
        <x:f>ROUND($C1601*10*VLOOKUP($B1601,Sheet2!$J$5:$K$7,2,FALSE)*VLOOKUP(Sheet1!$A1601,Sheet2!$B$5:$H$29,5,FALSE),0)</x:f>
        <x:v>0</x:v>
      </x:c>
      <x:c r="G1601">
        <x:f>ROUND($C1601*10*VLOOKUP($B1601,Sheet2!$J$5:$K$7,2,FALSE)*VLOOKUP(Sheet1!$A1601,Sheet2!$B$5:$H$29,6,FALSE),0)</x:f>
        <x:v>128</x:v>
      </x:c>
      <x:c r="H1601">
        <x:f>ROUND($C1601*10*VLOOKUP($B1601,Sheet2!$J$5:$K$7,2,FALSE)*VLOOKUP(Sheet1!$A1601,Sheet2!$B$5:$H$29,7,FALSE),0)</x:f>
        <x:v>0</x:v>
      </x:c>
      <x:c r="I1601">
        <x:f t="shared" si="26"/>
        <x:v>92200</x:v>
      </x:c>
    </x:row>
    <x:row r="1602" spans="1:9" x14ac:dyDescent="0.15">
      <x:c r="A1602">
        <x:v>54054</x:v>
      </x:c>
      <x:c r="B1602">
        <x:v>3</x:v>
      </x:c>
      <x:c r="C1602">
        <x:v>41</x:v>
      </x:c>
      <x:c r="D1602">
        <x:f>ROUND($C1602*10*VLOOKUP($B1602,Sheet2!$J$5:$K$7,2,FALSE)*VLOOKUP(Sheet1!$A1602,Sheet2!$B$5:$H$29,3,FALSE),0)</x:f>
        <x:v>0</x:v>
      </x:c>
      <x:c r="E1602">
        <x:f>ROUND($C1602*10*VLOOKUP($B1602,Sheet2!$J$5:$K$7,2,FALSE)*VLOOKUP(Sheet1!$A1602,Sheet2!$B$5:$H$29,4,FALSE),0)</x:f>
        <x:v>492</x:v>
      </x:c>
      <x:c r="F1602">
        <x:f>ROUND($C1602*10*VLOOKUP($B1602,Sheet2!$J$5:$K$7,2,FALSE)*VLOOKUP(Sheet1!$A1602,Sheet2!$B$5:$H$29,5,FALSE),0)</x:f>
        <x:v>0</x:v>
      </x:c>
      <x:c r="G1602">
        <x:f>ROUND($C1602*10*VLOOKUP($B1602,Sheet2!$J$5:$K$7,2,FALSE)*VLOOKUP(Sheet1!$A1602,Sheet2!$B$5:$H$29,6,FALSE),0)</x:f>
        <x:v>131</x:v>
      </x:c>
      <x:c r="H1602">
        <x:f>ROUND($C1602*10*VLOOKUP($B1602,Sheet2!$J$5:$K$7,2,FALSE)*VLOOKUP(Sheet1!$A1602,Sheet2!$B$5:$H$29,7,FALSE),0)</x:f>
        <x:v>0</x:v>
      </x:c>
      <x:c r="I1602">
        <x:f t="shared" si="26"/>
        <x:v>96490</x:v>
      </x:c>
    </x:row>
    <x:row r="1603" spans="1:9" x14ac:dyDescent="0.15">
      <x:c r="A1603">
        <x:v>54054</x:v>
      </x:c>
      <x:c r="B1603">
        <x:v>3</x:v>
      </x:c>
      <x:c r="C1603">
        <x:v>42</x:v>
      </x:c>
      <x:c r="D1603">
        <x:f>ROUND($C1603*10*VLOOKUP($B1603,Sheet2!$J$5:$K$7,2,FALSE)*VLOOKUP(Sheet1!$A1603,Sheet2!$B$5:$H$29,3,FALSE),0)</x:f>
        <x:v>0</x:v>
      </x:c>
      <x:c r="E1603">
        <x:f>ROUND($C1603*10*VLOOKUP($B1603,Sheet2!$J$5:$K$7,2,FALSE)*VLOOKUP(Sheet1!$A1603,Sheet2!$B$5:$H$29,4,FALSE),0)</x:f>
        <x:v>504</x:v>
      </x:c>
      <x:c r="F1603">
        <x:f>ROUND($C1603*10*VLOOKUP($B1603,Sheet2!$J$5:$K$7,2,FALSE)*VLOOKUP(Sheet1!$A1603,Sheet2!$B$5:$H$29,5,FALSE),0)</x:f>
        <x:v>0</x:v>
      </x:c>
      <x:c r="G1603">
        <x:f>ROUND($C1603*10*VLOOKUP($B1603,Sheet2!$J$5:$K$7,2,FALSE)*VLOOKUP(Sheet1!$A1603,Sheet2!$B$5:$H$29,6,FALSE),0)</x:f>
        <x:v>134</x:v>
      </x:c>
      <x:c r="H1603">
        <x:f>ROUND($C1603*10*VLOOKUP($B1603,Sheet2!$J$5:$K$7,2,FALSE)*VLOOKUP(Sheet1!$A1603,Sheet2!$B$5:$H$29,7,FALSE),0)</x:f>
        <x:v>0</x:v>
      </x:c>
      <x:c r="I1603">
        <x:f t="shared" si="26"/>
        <x:v>100870</x:v>
      </x:c>
    </x:row>
    <x:row r="1604" spans="1:9" x14ac:dyDescent="0.15">
      <x:c r="A1604">
        <x:v>54054</x:v>
      </x:c>
      <x:c r="B1604">
        <x:v>3</x:v>
      </x:c>
      <x:c r="C1604">
        <x:v>43</x:v>
      </x:c>
      <x:c r="D1604">
        <x:f>ROUND($C1604*10*VLOOKUP($B1604,Sheet2!$J$5:$K$7,2,FALSE)*VLOOKUP(Sheet1!$A1604,Sheet2!$B$5:$H$29,3,FALSE),0)</x:f>
        <x:v>0</x:v>
      </x:c>
      <x:c r="E1604">
        <x:f>ROUND($C1604*10*VLOOKUP($B1604,Sheet2!$J$5:$K$7,2,FALSE)*VLOOKUP(Sheet1!$A1604,Sheet2!$B$5:$H$29,4,FALSE),0)</x:f>
        <x:v>516</x:v>
      </x:c>
      <x:c r="F1604">
        <x:f>ROUND($C1604*10*VLOOKUP($B1604,Sheet2!$J$5:$K$7,2,FALSE)*VLOOKUP(Sheet1!$A1604,Sheet2!$B$5:$H$29,5,FALSE),0)</x:f>
        <x:v>0</x:v>
      </x:c>
      <x:c r="G1604">
        <x:f>ROUND($C1604*10*VLOOKUP($B1604,Sheet2!$J$5:$K$7,2,FALSE)*VLOOKUP(Sheet1!$A1604,Sheet2!$B$5:$H$29,6,FALSE),0)</x:f>
        <x:v>138</x:v>
      </x:c>
      <x:c r="H1604">
        <x:f>ROUND($C1604*10*VLOOKUP($B1604,Sheet2!$J$5:$K$7,2,FALSE)*VLOOKUP(Sheet1!$A1604,Sheet2!$B$5:$H$29,7,FALSE),0)</x:f>
        <x:v>0</x:v>
      </x:c>
      <x:c r="I1604">
        <x:f t="shared" si="26"/>
        <x:v>105340</x:v>
      </x:c>
    </x:row>
    <x:row r="1605" spans="1:9" x14ac:dyDescent="0.15">
      <x:c r="A1605">
        <x:v>54054</x:v>
      </x:c>
      <x:c r="B1605">
        <x:v>3</x:v>
      </x:c>
      <x:c r="C1605">
        <x:v>44</x:v>
      </x:c>
      <x:c r="D1605">
        <x:f>ROUND($C1605*10*VLOOKUP($B1605,Sheet2!$J$5:$K$7,2,FALSE)*VLOOKUP(Sheet1!$A1605,Sheet2!$B$5:$H$29,3,FALSE),0)</x:f>
        <x:v>0</x:v>
      </x:c>
      <x:c r="E1605">
        <x:f>ROUND($C1605*10*VLOOKUP($B1605,Sheet2!$J$5:$K$7,2,FALSE)*VLOOKUP(Sheet1!$A1605,Sheet2!$B$5:$H$29,4,FALSE),0)</x:f>
        <x:v>528</x:v>
      </x:c>
      <x:c r="F1605">
        <x:f>ROUND($C1605*10*VLOOKUP($B1605,Sheet2!$J$5:$K$7,2,FALSE)*VLOOKUP(Sheet1!$A1605,Sheet2!$B$5:$H$29,5,FALSE),0)</x:f>
        <x:v>0</x:v>
      </x:c>
      <x:c r="G1605">
        <x:f>ROUND($C1605*10*VLOOKUP($B1605,Sheet2!$J$5:$K$7,2,FALSE)*VLOOKUP(Sheet1!$A1605,Sheet2!$B$5:$H$29,6,FALSE),0)</x:f>
        <x:v>141</x:v>
      </x:c>
      <x:c r="H1605">
        <x:f>ROUND($C1605*10*VLOOKUP($B1605,Sheet2!$J$5:$K$7,2,FALSE)*VLOOKUP(Sheet1!$A1605,Sheet2!$B$5:$H$29,7,FALSE),0)</x:f>
        <x:v>0</x:v>
      </x:c>
      <x:c r="I1605">
        <x:f t="shared" si="26"/>
        <x:v>109890</x:v>
      </x:c>
    </x:row>
    <x:row r="1606" spans="1:9" x14ac:dyDescent="0.15">
      <x:c r="A1606">
        <x:v>54054</x:v>
      </x:c>
      <x:c r="B1606">
        <x:v>3</x:v>
      </x:c>
      <x:c r="C1606">
        <x:v>45</x:v>
      </x:c>
      <x:c r="D1606">
        <x:f>ROUND($C1606*10*VLOOKUP($B1606,Sheet2!$J$5:$K$7,2,FALSE)*VLOOKUP(Sheet1!$A1606,Sheet2!$B$5:$H$29,3,FALSE),0)</x:f>
        <x:v>0</x:v>
      </x:c>
      <x:c r="E1606">
        <x:f>ROUND($C1606*10*VLOOKUP($B1606,Sheet2!$J$5:$K$7,2,FALSE)*VLOOKUP(Sheet1!$A1606,Sheet2!$B$5:$H$29,4,FALSE),0)</x:f>
        <x:v>540</x:v>
      </x:c>
      <x:c r="F1606">
        <x:f>ROUND($C1606*10*VLOOKUP($B1606,Sheet2!$J$5:$K$7,2,FALSE)*VLOOKUP(Sheet1!$A1606,Sheet2!$B$5:$H$29,5,FALSE),0)</x:f>
        <x:v>0</x:v>
      </x:c>
      <x:c r="G1606">
        <x:f>ROUND($C1606*10*VLOOKUP($B1606,Sheet2!$J$5:$K$7,2,FALSE)*VLOOKUP(Sheet1!$A1606,Sheet2!$B$5:$H$29,6,FALSE),0)</x:f>
        <x:v>144</x:v>
      </x:c>
      <x:c r="H1606">
        <x:f>ROUND($C1606*10*VLOOKUP($B1606,Sheet2!$J$5:$K$7,2,FALSE)*VLOOKUP(Sheet1!$A1606,Sheet2!$B$5:$H$29,7,FALSE),0)</x:f>
        <x:v>0</x:v>
      </x:c>
      <x:c r="I1606">
        <x:f t="shared" si="26"/>
        <x:v>114530</x:v>
      </x:c>
    </x:row>
    <x:row r="1607" spans="1:9" x14ac:dyDescent="0.15">
      <x:c r="A1607">
        <x:v>54054</x:v>
      </x:c>
      <x:c r="B1607">
        <x:v>3</x:v>
      </x:c>
      <x:c r="C1607">
        <x:v>46</x:v>
      </x:c>
      <x:c r="D1607">
        <x:f>ROUND($C1607*10*VLOOKUP($B1607,Sheet2!$J$5:$K$7,2,FALSE)*VLOOKUP(Sheet1!$A1607,Sheet2!$B$5:$H$29,3,FALSE),0)</x:f>
        <x:v>0</x:v>
      </x:c>
      <x:c r="E1607">
        <x:f>ROUND($C1607*10*VLOOKUP($B1607,Sheet2!$J$5:$K$7,2,FALSE)*VLOOKUP(Sheet1!$A1607,Sheet2!$B$5:$H$29,4,FALSE),0)</x:f>
        <x:v>552</x:v>
      </x:c>
      <x:c r="F1607">
        <x:f>ROUND($C1607*10*VLOOKUP($B1607,Sheet2!$J$5:$K$7,2,FALSE)*VLOOKUP(Sheet1!$A1607,Sheet2!$B$5:$H$29,5,FALSE),0)</x:f>
        <x:v>0</x:v>
      </x:c>
      <x:c r="G1607">
        <x:f>ROUND($C1607*10*VLOOKUP($B1607,Sheet2!$J$5:$K$7,2,FALSE)*VLOOKUP(Sheet1!$A1607,Sheet2!$B$5:$H$29,6,FALSE),0)</x:f>
        <x:v>147</x:v>
      </x:c>
      <x:c r="H1607">
        <x:f>ROUND($C1607*10*VLOOKUP($B1607,Sheet2!$J$5:$K$7,2,FALSE)*VLOOKUP(Sheet1!$A1607,Sheet2!$B$5:$H$29,7,FALSE),0)</x:f>
        <x:v>0</x:v>
      </x:c>
      <x:c r="I1607">
        <x:f t="shared" si="26"/>
        <x:v>119260</x:v>
      </x:c>
    </x:row>
    <x:row r="1608" spans="1:9" x14ac:dyDescent="0.15">
      <x:c r="A1608">
        <x:v>54054</x:v>
      </x:c>
      <x:c r="B1608">
        <x:v>3</x:v>
      </x:c>
      <x:c r="C1608">
        <x:v>47</x:v>
      </x:c>
      <x:c r="D1608">
        <x:f>ROUND($C1608*10*VLOOKUP($B1608,Sheet2!$J$5:$K$7,2,FALSE)*VLOOKUP(Sheet1!$A1608,Sheet2!$B$5:$H$29,3,FALSE),0)</x:f>
        <x:v>0</x:v>
      </x:c>
      <x:c r="E1608">
        <x:f>ROUND($C1608*10*VLOOKUP($B1608,Sheet2!$J$5:$K$7,2,FALSE)*VLOOKUP(Sheet1!$A1608,Sheet2!$B$5:$H$29,4,FALSE),0)</x:f>
        <x:v>564</x:v>
      </x:c>
      <x:c r="F1608">
        <x:f>ROUND($C1608*10*VLOOKUP($B1608,Sheet2!$J$5:$K$7,2,FALSE)*VLOOKUP(Sheet1!$A1608,Sheet2!$B$5:$H$29,5,FALSE),0)</x:f>
        <x:v>0</x:v>
      </x:c>
      <x:c r="G1608">
        <x:f>ROUND($C1608*10*VLOOKUP($B1608,Sheet2!$J$5:$K$7,2,FALSE)*VLOOKUP(Sheet1!$A1608,Sheet2!$B$5:$H$29,6,FALSE),0)</x:f>
        <x:v>150</x:v>
      </x:c>
      <x:c r="H1608">
        <x:f>ROUND($C1608*10*VLOOKUP($B1608,Sheet2!$J$5:$K$7,2,FALSE)*VLOOKUP(Sheet1!$A1608,Sheet2!$B$5:$H$29,7,FALSE),0)</x:f>
        <x:v>0</x:v>
      </x:c>
      <x:c r="I1608">
        <x:f t="shared" si="26"/>
        <x:v>124070</x:v>
      </x:c>
    </x:row>
    <x:row r="1609" spans="1:9" x14ac:dyDescent="0.15">
      <x:c r="A1609">
        <x:v>54054</x:v>
      </x:c>
      <x:c r="B1609">
        <x:v>3</x:v>
      </x:c>
      <x:c r="C1609">
        <x:v>48</x:v>
      </x:c>
      <x:c r="D1609">
        <x:f>ROUND($C1609*10*VLOOKUP($B1609,Sheet2!$J$5:$K$7,2,FALSE)*VLOOKUP(Sheet1!$A1609,Sheet2!$B$5:$H$29,3,FALSE),0)</x:f>
        <x:v>0</x:v>
      </x:c>
      <x:c r="E1609">
        <x:f>ROUND($C1609*10*VLOOKUP($B1609,Sheet2!$J$5:$K$7,2,FALSE)*VLOOKUP(Sheet1!$A1609,Sheet2!$B$5:$H$29,4,FALSE),0)</x:f>
        <x:v>576</x:v>
      </x:c>
      <x:c r="F1609">
        <x:f>ROUND($C1609*10*VLOOKUP($B1609,Sheet2!$J$5:$K$7,2,FALSE)*VLOOKUP(Sheet1!$A1609,Sheet2!$B$5:$H$29,5,FALSE),0)</x:f>
        <x:v>0</x:v>
      </x:c>
      <x:c r="G1609">
        <x:f>ROUND($C1609*10*VLOOKUP($B1609,Sheet2!$J$5:$K$7,2,FALSE)*VLOOKUP(Sheet1!$A1609,Sheet2!$B$5:$H$29,6,FALSE),0)</x:f>
        <x:v>154</x:v>
      </x:c>
      <x:c r="H1609">
        <x:f>ROUND($C1609*10*VLOOKUP($B1609,Sheet2!$J$5:$K$7,2,FALSE)*VLOOKUP(Sheet1!$A1609,Sheet2!$B$5:$H$29,7,FALSE),0)</x:f>
        <x:v>0</x:v>
      </x:c>
      <x:c r="I1609">
        <x:f t="shared" si="26"/>
        <x:v>128960</x:v>
      </x:c>
    </x:row>
    <x:row r="1610" spans="1:9" x14ac:dyDescent="0.15">
      <x:c r="A1610">
        <x:v>54054</x:v>
      </x:c>
      <x:c r="B1610">
        <x:v>3</x:v>
      </x:c>
      <x:c r="C1610">
        <x:v>49</x:v>
      </x:c>
      <x:c r="D1610">
        <x:f>ROUND($C1610*10*VLOOKUP($B1610,Sheet2!$J$5:$K$7,2,FALSE)*VLOOKUP(Sheet1!$A1610,Sheet2!$B$5:$H$29,3,FALSE),0)</x:f>
        <x:v>0</x:v>
      </x:c>
      <x:c r="E1610">
        <x:f>ROUND($C1610*10*VLOOKUP($B1610,Sheet2!$J$5:$K$7,2,FALSE)*VLOOKUP(Sheet1!$A1610,Sheet2!$B$5:$H$29,4,FALSE),0)</x:f>
        <x:v>588</x:v>
      </x:c>
      <x:c r="F1610">
        <x:f>ROUND($C1610*10*VLOOKUP($B1610,Sheet2!$J$5:$K$7,2,FALSE)*VLOOKUP(Sheet1!$A1610,Sheet2!$B$5:$H$29,5,FALSE),0)</x:f>
        <x:v>0</x:v>
      </x:c>
      <x:c r="G1610">
        <x:f>ROUND($C1610*10*VLOOKUP($B1610,Sheet2!$J$5:$K$7,2,FALSE)*VLOOKUP(Sheet1!$A1610,Sheet2!$B$5:$H$29,6,FALSE),0)</x:f>
        <x:v>157</x:v>
      </x:c>
      <x:c r="H1610">
        <x:f>ROUND($C1610*10*VLOOKUP($B1610,Sheet2!$J$5:$K$7,2,FALSE)*VLOOKUP(Sheet1!$A1610,Sheet2!$B$5:$H$29,7,FALSE),0)</x:f>
        <x:v>0</x:v>
      </x:c>
      <x:c r="I1610">
        <x:f t="shared" si="26"/>
        <x:v>133940</x:v>
      </x:c>
    </x:row>
    <x:row r="1611" spans="1:9" x14ac:dyDescent="0.15">
      <x:c r="A1611">
        <x:v>54054</x:v>
      </x:c>
      <x:c r="B1611">
        <x:v>3</x:v>
      </x:c>
      <x:c r="C1611">
        <x:v>50</x:v>
      </x:c>
      <x:c r="D1611">
        <x:f>ROUND($C1611*10*VLOOKUP($B1611,Sheet2!$J$5:$K$7,2,FALSE)*VLOOKUP(Sheet1!$A1611,Sheet2!$B$5:$H$29,3,FALSE),0)</x:f>
        <x:v>0</x:v>
      </x:c>
      <x:c r="E1611">
        <x:f>ROUND($C1611*10*VLOOKUP($B1611,Sheet2!$J$5:$K$7,2,FALSE)*VLOOKUP(Sheet1!$A1611,Sheet2!$B$5:$H$29,4,FALSE),0)</x:f>
        <x:v>600</x:v>
      </x:c>
      <x:c r="F1611">
        <x:f>ROUND($C1611*10*VLOOKUP($B1611,Sheet2!$J$5:$K$7,2,FALSE)*VLOOKUP(Sheet1!$A1611,Sheet2!$B$5:$H$29,5,FALSE),0)</x:f>
        <x:v>0</x:v>
      </x:c>
      <x:c r="G1611">
        <x:f>ROUND($C1611*10*VLOOKUP($B1611,Sheet2!$J$5:$K$7,2,FALSE)*VLOOKUP(Sheet1!$A1611,Sheet2!$B$5:$H$29,6,FALSE),0)</x:f>
        <x:v>160</x:v>
      </x:c>
      <x:c r="H1611">
        <x:f>ROUND($C1611*10*VLOOKUP($B1611,Sheet2!$J$5:$K$7,2,FALSE)*VLOOKUP(Sheet1!$A1611,Sheet2!$B$5:$H$29,7,FALSE),0)</x:f>
        <x:v>0</x:v>
      </x:c>
      <x:c r="I1611">
        <x:f t="shared" si="26"/>
        <x:v>139000</x:v>
      </x:c>
    </x:row>
    <x:row r="1612" spans="1:9" x14ac:dyDescent="0.15">
      <x:c r="A1612">
        <x:v>54054</x:v>
      </x:c>
      <x:c r="B1612">
        <x:v>3</x:v>
      </x:c>
      <x:c r="C1612">
        <x:v>51</x:v>
      </x:c>
      <x:c r="D1612">
        <x:f>ROUND($C1612*10*VLOOKUP($B1612,Sheet2!$J$5:$K$7,2,FALSE)*VLOOKUP(Sheet1!$A1612,Sheet2!$B$5:$H$29,3,FALSE),0)</x:f>
        <x:v>0</x:v>
      </x:c>
      <x:c r="E1612">
        <x:f>ROUND($C1612*10*VLOOKUP($B1612,Sheet2!$J$5:$K$7,2,FALSE)*VLOOKUP(Sheet1!$A1612,Sheet2!$B$5:$H$29,4,FALSE),0)</x:f>
        <x:v>612</x:v>
      </x:c>
      <x:c r="F1612">
        <x:f>ROUND($C1612*10*VLOOKUP($B1612,Sheet2!$J$5:$K$7,2,FALSE)*VLOOKUP(Sheet1!$A1612,Sheet2!$B$5:$H$29,5,FALSE),0)</x:f>
        <x:v>0</x:v>
      </x:c>
      <x:c r="G1612">
        <x:f>ROUND($C1612*10*VLOOKUP($B1612,Sheet2!$J$5:$K$7,2,FALSE)*VLOOKUP(Sheet1!$A1612,Sheet2!$B$5:$H$29,6,FALSE),0)</x:f>
        <x:v>163</x:v>
      </x:c>
      <x:c r="H1612">
        <x:f>ROUND($C1612*10*VLOOKUP($B1612,Sheet2!$J$5:$K$7,2,FALSE)*VLOOKUP(Sheet1!$A1612,Sheet2!$B$5:$H$29,7,FALSE),0)</x:f>
        <x:v>0</x:v>
      </x:c>
      <x:c r="I1612">
        <x:f t="shared" si="26"/>
        <x:v>144140</x:v>
      </x:c>
    </x:row>
    <x:row r="1613" spans="1:9" x14ac:dyDescent="0.15">
      <x:c r="A1613">
        <x:v>54054</x:v>
      </x:c>
      <x:c r="B1613">
        <x:v>3</x:v>
      </x:c>
      <x:c r="C1613">
        <x:v>52</x:v>
      </x:c>
      <x:c r="D1613">
        <x:f>ROUND($C1613*10*VLOOKUP($B1613,Sheet2!$J$5:$K$7,2,FALSE)*VLOOKUP(Sheet1!$A1613,Sheet2!$B$5:$H$29,3,FALSE),0)</x:f>
        <x:v>0</x:v>
      </x:c>
      <x:c r="E1613">
        <x:f>ROUND($C1613*10*VLOOKUP($B1613,Sheet2!$J$5:$K$7,2,FALSE)*VLOOKUP(Sheet1!$A1613,Sheet2!$B$5:$H$29,4,FALSE),0)</x:f>
        <x:v>624</x:v>
      </x:c>
      <x:c r="F1613">
        <x:f>ROUND($C1613*10*VLOOKUP($B1613,Sheet2!$J$5:$K$7,2,FALSE)*VLOOKUP(Sheet1!$A1613,Sheet2!$B$5:$H$29,5,FALSE),0)</x:f>
        <x:v>0</x:v>
      </x:c>
      <x:c r="G1613">
        <x:f>ROUND($C1613*10*VLOOKUP($B1613,Sheet2!$J$5:$K$7,2,FALSE)*VLOOKUP(Sheet1!$A1613,Sheet2!$B$5:$H$29,6,FALSE),0)</x:f>
        <x:v>166</x:v>
      </x:c>
      <x:c r="H1613">
        <x:f>ROUND($C1613*10*VLOOKUP($B1613,Sheet2!$J$5:$K$7,2,FALSE)*VLOOKUP(Sheet1!$A1613,Sheet2!$B$5:$H$29,7,FALSE),0)</x:f>
        <x:v>0</x:v>
      </x:c>
      <x:c r="I1613">
        <x:f t="shared" si="26"/>
        <x:v>149370</x:v>
      </x:c>
    </x:row>
    <x:row r="1614" spans="1:9" x14ac:dyDescent="0.15">
      <x:c r="A1614">
        <x:v>54054</x:v>
      </x:c>
      <x:c r="B1614">
        <x:v>3</x:v>
      </x:c>
      <x:c r="C1614">
        <x:v>53</x:v>
      </x:c>
      <x:c r="D1614">
        <x:f>ROUND($C1614*10*VLOOKUP($B1614,Sheet2!$J$5:$K$7,2,FALSE)*VLOOKUP(Sheet1!$A1614,Sheet2!$B$5:$H$29,3,FALSE),0)</x:f>
        <x:v>0</x:v>
      </x:c>
      <x:c r="E1614">
        <x:f>ROUND($C1614*10*VLOOKUP($B1614,Sheet2!$J$5:$K$7,2,FALSE)*VLOOKUP(Sheet1!$A1614,Sheet2!$B$5:$H$29,4,FALSE),0)</x:f>
        <x:v>636</x:v>
      </x:c>
      <x:c r="F1614">
        <x:f>ROUND($C1614*10*VLOOKUP($B1614,Sheet2!$J$5:$K$7,2,FALSE)*VLOOKUP(Sheet1!$A1614,Sheet2!$B$5:$H$29,5,FALSE),0)</x:f>
        <x:v>0</x:v>
      </x:c>
      <x:c r="G1614">
        <x:f>ROUND($C1614*10*VLOOKUP($B1614,Sheet2!$J$5:$K$7,2,FALSE)*VLOOKUP(Sheet1!$A1614,Sheet2!$B$5:$H$29,6,FALSE),0)</x:f>
        <x:v>170</x:v>
      </x:c>
      <x:c r="H1614">
        <x:f>ROUND($C1614*10*VLOOKUP($B1614,Sheet2!$J$5:$K$7,2,FALSE)*VLOOKUP(Sheet1!$A1614,Sheet2!$B$5:$H$29,7,FALSE),0)</x:f>
        <x:v>0</x:v>
      </x:c>
      <x:c r="I1614">
        <x:f t="shared" si="26"/>
        <x:v>154680</x:v>
      </x:c>
    </x:row>
    <x:row r="1615" spans="1:9" x14ac:dyDescent="0.15">
      <x:c r="A1615">
        <x:v>54054</x:v>
      </x:c>
      <x:c r="B1615">
        <x:v>3</x:v>
      </x:c>
      <x:c r="C1615">
        <x:v>54</x:v>
      </x:c>
      <x:c r="D1615">
        <x:f>ROUND($C1615*10*VLOOKUP($B1615,Sheet2!$J$5:$K$7,2,FALSE)*VLOOKUP(Sheet1!$A1615,Sheet2!$B$5:$H$29,3,FALSE),0)</x:f>
        <x:v>0</x:v>
      </x:c>
      <x:c r="E1615">
        <x:f>ROUND($C1615*10*VLOOKUP($B1615,Sheet2!$J$5:$K$7,2,FALSE)*VLOOKUP(Sheet1!$A1615,Sheet2!$B$5:$H$29,4,FALSE),0)</x:f>
        <x:v>648</x:v>
      </x:c>
      <x:c r="F1615">
        <x:f>ROUND($C1615*10*VLOOKUP($B1615,Sheet2!$J$5:$K$7,2,FALSE)*VLOOKUP(Sheet1!$A1615,Sheet2!$B$5:$H$29,5,FALSE),0)</x:f>
        <x:v>0</x:v>
      </x:c>
      <x:c r="G1615">
        <x:f>ROUND($C1615*10*VLOOKUP($B1615,Sheet2!$J$5:$K$7,2,FALSE)*VLOOKUP(Sheet1!$A1615,Sheet2!$B$5:$H$29,6,FALSE),0)</x:f>
        <x:v>173</x:v>
      </x:c>
      <x:c r="H1615">
        <x:f>ROUND($C1615*10*VLOOKUP($B1615,Sheet2!$J$5:$K$7,2,FALSE)*VLOOKUP(Sheet1!$A1615,Sheet2!$B$5:$H$29,7,FALSE),0)</x:f>
        <x:v>0</x:v>
      </x:c>
      <x:c r="I1615">
        <x:f t="shared" si="26"/>
        <x:v>160070</x:v>
      </x:c>
    </x:row>
    <x:row r="1616" spans="1:9" x14ac:dyDescent="0.15">
      <x:c r="A1616">
        <x:v>54054</x:v>
      </x:c>
      <x:c r="B1616">
        <x:v>3</x:v>
      </x:c>
      <x:c r="C1616">
        <x:v>55</x:v>
      </x:c>
      <x:c r="D1616">
        <x:f>ROUND($C1616*10*VLOOKUP($B1616,Sheet2!$J$5:$K$7,2,FALSE)*VLOOKUP(Sheet1!$A1616,Sheet2!$B$5:$H$29,3,FALSE),0)</x:f>
        <x:v>0</x:v>
      </x:c>
      <x:c r="E1616">
        <x:f>ROUND($C1616*10*VLOOKUP($B1616,Sheet2!$J$5:$K$7,2,FALSE)*VLOOKUP(Sheet1!$A1616,Sheet2!$B$5:$H$29,4,FALSE),0)</x:f>
        <x:v>660</x:v>
      </x:c>
      <x:c r="F1616">
        <x:f>ROUND($C1616*10*VLOOKUP($B1616,Sheet2!$J$5:$K$7,2,FALSE)*VLOOKUP(Sheet1!$A1616,Sheet2!$B$5:$H$29,5,FALSE),0)</x:f>
        <x:v>0</x:v>
      </x:c>
      <x:c r="G1616">
        <x:f>ROUND($C1616*10*VLOOKUP($B1616,Sheet2!$J$5:$K$7,2,FALSE)*VLOOKUP(Sheet1!$A1616,Sheet2!$B$5:$H$29,6,FALSE),0)</x:f>
        <x:v>176</x:v>
      </x:c>
      <x:c r="H1616">
        <x:f>ROUND($C1616*10*VLOOKUP($B1616,Sheet2!$J$5:$K$7,2,FALSE)*VLOOKUP(Sheet1!$A1616,Sheet2!$B$5:$H$29,7,FALSE),0)</x:f>
        <x:v>0</x:v>
      </x:c>
      <x:c r="I1616">
        <x:f t="shared" si="26"/>
        <x:v>165540</x:v>
      </x:c>
    </x:row>
    <x:row r="1617" spans="1:9" x14ac:dyDescent="0.15">
      <x:c r="A1617">
        <x:v>54054</x:v>
      </x:c>
      <x:c r="B1617">
        <x:v>3</x:v>
      </x:c>
      <x:c r="C1617">
        <x:v>56</x:v>
      </x:c>
      <x:c r="D1617">
        <x:f>ROUND($C1617*10*VLOOKUP($B1617,Sheet2!$J$5:$K$7,2,FALSE)*VLOOKUP(Sheet1!$A1617,Sheet2!$B$5:$H$29,3,FALSE),0)</x:f>
        <x:v>0</x:v>
      </x:c>
      <x:c r="E1617">
        <x:f>ROUND($C1617*10*VLOOKUP($B1617,Sheet2!$J$5:$K$7,2,FALSE)*VLOOKUP(Sheet1!$A1617,Sheet2!$B$5:$H$29,4,FALSE),0)</x:f>
        <x:v>672</x:v>
      </x:c>
      <x:c r="F1617">
        <x:f>ROUND($C1617*10*VLOOKUP($B1617,Sheet2!$J$5:$K$7,2,FALSE)*VLOOKUP(Sheet1!$A1617,Sheet2!$B$5:$H$29,5,FALSE),0)</x:f>
        <x:v>0</x:v>
      </x:c>
      <x:c r="G1617">
        <x:f>ROUND($C1617*10*VLOOKUP($B1617,Sheet2!$J$5:$K$7,2,FALSE)*VLOOKUP(Sheet1!$A1617,Sheet2!$B$5:$H$29,6,FALSE),0)</x:f>
        <x:v>179</x:v>
      </x:c>
      <x:c r="H1617">
        <x:f>ROUND($C1617*10*VLOOKUP($B1617,Sheet2!$J$5:$K$7,2,FALSE)*VLOOKUP(Sheet1!$A1617,Sheet2!$B$5:$H$29,7,FALSE),0)</x:f>
        <x:v>0</x:v>
      </x:c>
      <x:c r="I1617">
        <x:f t="shared" si="26"/>
        <x:v>171100</x:v>
      </x:c>
    </x:row>
    <x:row r="1618" spans="1:9" x14ac:dyDescent="0.15">
      <x:c r="A1618">
        <x:v>54054</x:v>
      </x:c>
      <x:c r="B1618">
        <x:v>3</x:v>
      </x:c>
      <x:c r="C1618">
        <x:v>57</x:v>
      </x:c>
      <x:c r="D1618">
        <x:f>ROUND($C1618*10*VLOOKUP($B1618,Sheet2!$J$5:$K$7,2,FALSE)*VLOOKUP(Sheet1!$A1618,Sheet2!$B$5:$H$29,3,FALSE),0)</x:f>
        <x:v>0</x:v>
      </x:c>
      <x:c r="E1618">
        <x:f>ROUND($C1618*10*VLOOKUP($B1618,Sheet2!$J$5:$K$7,2,FALSE)*VLOOKUP(Sheet1!$A1618,Sheet2!$B$5:$H$29,4,FALSE),0)</x:f>
        <x:v>684</x:v>
      </x:c>
      <x:c r="F1618">
        <x:f>ROUND($C1618*10*VLOOKUP($B1618,Sheet2!$J$5:$K$7,2,FALSE)*VLOOKUP(Sheet1!$A1618,Sheet2!$B$5:$H$29,5,FALSE),0)</x:f>
        <x:v>0</x:v>
      </x:c>
      <x:c r="G1618">
        <x:f>ROUND($C1618*10*VLOOKUP($B1618,Sheet2!$J$5:$K$7,2,FALSE)*VLOOKUP(Sheet1!$A1618,Sheet2!$B$5:$H$29,6,FALSE),0)</x:f>
        <x:v>182</x:v>
      </x:c>
      <x:c r="H1618">
        <x:f>ROUND($C1618*10*VLOOKUP($B1618,Sheet2!$J$5:$K$7,2,FALSE)*VLOOKUP(Sheet1!$A1618,Sheet2!$B$5:$H$29,7,FALSE),0)</x:f>
        <x:v>0</x:v>
      </x:c>
      <x:c r="I1618">
        <x:f t="shared" si="26"/>
        <x:v>176740</x:v>
      </x:c>
    </x:row>
    <x:row r="1619" spans="1:9" x14ac:dyDescent="0.15">
      <x:c r="A1619">
        <x:v>54054</x:v>
      </x:c>
      <x:c r="B1619">
        <x:v>3</x:v>
      </x:c>
      <x:c r="C1619">
        <x:v>58</x:v>
      </x:c>
      <x:c r="D1619">
        <x:f>ROUND($C1619*10*VLOOKUP($B1619,Sheet2!$J$5:$K$7,2,FALSE)*VLOOKUP(Sheet1!$A1619,Sheet2!$B$5:$H$29,3,FALSE),0)</x:f>
        <x:v>0</x:v>
      </x:c>
      <x:c r="E1619">
        <x:f>ROUND($C1619*10*VLOOKUP($B1619,Sheet2!$J$5:$K$7,2,FALSE)*VLOOKUP(Sheet1!$A1619,Sheet2!$B$5:$H$29,4,FALSE),0)</x:f>
        <x:v>696</x:v>
      </x:c>
      <x:c r="F1619">
        <x:f>ROUND($C1619*10*VLOOKUP($B1619,Sheet2!$J$5:$K$7,2,FALSE)*VLOOKUP(Sheet1!$A1619,Sheet2!$B$5:$H$29,5,FALSE),0)</x:f>
        <x:v>0</x:v>
      </x:c>
      <x:c r="G1619">
        <x:f>ROUND($C1619*10*VLOOKUP($B1619,Sheet2!$J$5:$K$7,2,FALSE)*VLOOKUP(Sheet1!$A1619,Sheet2!$B$5:$H$29,6,FALSE),0)</x:f>
        <x:v>186</x:v>
      </x:c>
      <x:c r="H1619">
        <x:f>ROUND($C1619*10*VLOOKUP($B1619,Sheet2!$J$5:$K$7,2,FALSE)*VLOOKUP(Sheet1!$A1619,Sheet2!$B$5:$H$29,7,FALSE),0)</x:f>
        <x:v>0</x:v>
      </x:c>
      <x:c r="I1619">
        <x:f t="shared" si="26"/>
        <x:v>182460</x:v>
      </x:c>
    </x:row>
    <x:row r="1620" spans="1:9" x14ac:dyDescent="0.15">
      <x:c r="A1620">
        <x:v>54054</x:v>
      </x:c>
      <x:c r="B1620">
        <x:v>3</x:v>
      </x:c>
      <x:c r="C1620">
        <x:v>59</x:v>
      </x:c>
      <x:c r="D1620">
        <x:f>ROUND($C1620*10*VLOOKUP($B1620,Sheet2!$J$5:$K$7,2,FALSE)*VLOOKUP(Sheet1!$A1620,Sheet2!$B$5:$H$29,3,FALSE),0)</x:f>
        <x:v>0</x:v>
      </x:c>
      <x:c r="E1620">
        <x:f>ROUND($C1620*10*VLOOKUP($B1620,Sheet2!$J$5:$K$7,2,FALSE)*VLOOKUP(Sheet1!$A1620,Sheet2!$B$5:$H$29,4,FALSE),0)</x:f>
        <x:v>708</x:v>
      </x:c>
      <x:c r="F1620">
        <x:f>ROUND($C1620*10*VLOOKUP($B1620,Sheet2!$J$5:$K$7,2,FALSE)*VLOOKUP(Sheet1!$A1620,Sheet2!$B$5:$H$29,5,FALSE),0)</x:f>
        <x:v>0</x:v>
      </x:c>
      <x:c r="G1620">
        <x:f>ROUND($C1620*10*VLOOKUP($B1620,Sheet2!$J$5:$K$7,2,FALSE)*VLOOKUP(Sheet1!$A1620,Sheet2!$B$5:$H$29,6,FALSE),0)</x:f>
        <x:v>189</x:v>
      </x:c>
      <x:c r="H1620">
        <x:f>ROUND($C1620*10*VLOOKUP($B1620,Sheet2!$J$5:$K$7,2,FALSE)*VLOOKUP(Sheet1!$A1620,Sheet2!$B$5:$H$29,7,FALSE),0)</x:f>
        <x:v>0</x:v>
      </x:c>
      <x:c r="I1620">
        <x:f t="shared" si="26"/>
        <x:v>188260</x:v>
      </x:c>
    </x:row>
    <x:row r="1621" spans="1:9" x14ac:dyDescent="0.15">
      <x:c r="A1621">
        <x:v>54054</x:v>
      </x:c>
      <x:c r="B1621">
        <x:v>3</x:v>
      </x:c>
      <x:c r="C1621">
        <x:v>60</x:v>
      </x:c>
      <x:c r="D1621">
        <x:f>ROUND($C1621*10*VLOOKUP($B1621,Sheet2!$J$5:$K$7,2,FALSE)*VLOOKUP(Sheet1!$A1621,Sheet2!$B$5:$H$29,3,FALSE),0)</x:f>
        <x:v>0</x:v>
      </x:c>
      <x:c r="E1621">
        <x:f>ROUND($C1621*10*VLOOKUP($B1621,Sheet2!$J$5:$K$7,2,FALSE)*VLOOKUP(Sheet1!$A1621,Sheet2!$B$5:$H$29,4,FALSE),0)</x:f>
        <x:v>720</x:v>
      </x:c>
      <x:c r="F1621">
        <x:f>ROUND($C1621*10*VLOOKUP($B1621,Sheet2!$J$5:$K$7,2,FALSE)*VLOOKUP(Sheet1!$A1621,Sheet2!$B$5:$H$29,5,FALSE),0)</x:f>
        <x:v>0</x:v>
      </x:c>
      <x:c r="G1621">
        <x:f>ROUND($C1621*10*VLOOKUP($B1621,Sheet2!$J$5:$K$7,2,FALSE)*VLOOKUP(Sheet1!$A1621,Sheet2!$B$5:$H$29,6,FALSE),0)</x:f>
        <x:v>192</x:v>
      </x:c>
      <x:c r="H1621">
        <x:f>ROUND($C1621*10*VLOOKUP($B1621,Sheet2!$J$5:$K$7,2,FALSE)*VLOOKUP(Sheet1!$A1621,Sheet2!$B$5:$H$29,7,FALSE),0)</x:f>
        <x:v>0</x:v>
      </x:c>
      <x:c r="I1621">
        <x:f t="shared" si="26"/>
        <x:v>194140</x:v>
      </x:c>
    </x:row>
    <x:row r="1622" spans="1:9" x14ac:dyDescent="0.15">
      <x:c r="A1622">
        <x:v>54055</x:v>
      </x:c>
      <x:c r="B1622">
        <x:v>1</x:v>
      </x:c>
      <x:c r="C1622">
        <x:v>1</x:v>
      </x:c>
      <x:c r="D1622">
        <x:f>ROUND($C1622*10*VLOOKUP($B1622,Sheet2!$J$5:$K$7,2,FALSE)*VLOOKUP(Sheet1!$A1622,Sheet2!$B$5:$H$29,3,FALSE),0)</x:f>
        <x:v>0</x:v>
      </x:c>
      <x:c r="E1622">
        <x:f>ROUND($C1622*10*VLOOKUP($B1622,Sheet2!$J$5:$K$7,2,FALSE)*VLOOKUP(Sheet1!$A1622,Sheet2!$B$5:$H$29,4,FALSE),0)</x:f>
        <x:v>6</x:v>
      </x:c>
      <x:c r="F1622">
        <x:f>ROUND($C1622*10*VLOOKUP($B1622,Sheet2!$J$5:$K$7,2,FALSE)*VLOOKUP(Sheet1!$A1622,Sheet2!$B$5:$H$29,5,FALSE),0)</x:f>
        <x:v>0</x:v>
      </x:c>
      <x:c r="G1622">
        <x:f>ROUND($C1622*10*VLOOKUP($B1622,Sheet2!$J$5:$K$7,2,FALSE)*VLOOKUP(Sheet1!$A1622,Sheet2!$B$5:$H$29,6,FALSE),0)</x:f>
        <x:v>0</x:v>
      </x:c>
      <x:c r="H1622">
        <x:f>ROUND($C1622*10*VLOOKUP($B1622,Sheet2!$J$5:$K$7,2,FALSE)*VLOOKUP(Sheet1!$A1622,Sheet2!$B$5:$H$29,7,FALSE),0)</x:f>
        <x:v>10</x:v>
      </x:c>
      <x:c r="I1622">
        <x:f t="shared" ref="I1622:I1681" si="27">ROUND(1.2*10*1.8*(C1622-1)^1.8+30,-1)</x:f>
        <x:v>30</x:v>
      </x:c>
    </x:row>
    <x:row r="1623" spans="1:9" x14ac:dyDescent="0.15">
      <x:c r="A1623">
        <x:v>54055</x:v>
      </x:c>
      <x:c r="B1623">
        <x:v>1</x:v>
      </x:c>
      <x:c r="C1623">
        <x:v>2</x:v>
      </x:c>
      <x:c r="D1623">
        <x:f>ROUND($C1623*10*VLOOKUP($B1623,Sheet2!$J$5:$K$7,2,FALSE)*VLOOKUP(Sheet1!$A1623,Sheet2!$B$5:$H$29,3,FALSE),0)</x:f>
        <x:v>0</x:v>
      </x:c>
      <x:c r="E1623">
        <x:f>ROUND($C1623*10*VLOOKUP($B1623,Sheet2!$J$5:$K$7,2,FALSE)*VLOOKUP(Sheet1!$A1623,Sheet2!$B$5:$H$29,4,FALSE),0)</x:f>
        <x:v>12</x:v>
      </x:c>
      <x:c r="F1623">
        <x:f>ROUND($C1623*10*VLOOKUP($B1623,Sheet2!$J$5:$K$7,2,FALSE)*VLOOKUP(Sheet1!$A1623,Sheet2!$B$5:$H$29,5,FALSE),0)</x:f>
        <x:v>0</x:v>
      </x:c>
      <x:c r="G1623">
        <x:f>ROUND($C1623*10*VLOOKUP($B1623,Sheet2!$J$5:$K$7,2,FALSE)*VLOOKUP(Sheet1!$A1623,Sheet2!$B$5:$H$29,6,FALSE),0)</x:f>
        <x:v>0</x:v>
      </x:c>
      <x:c r="H1623">
        <x:f>ROUND($C1623*10*VLOOKUP($B1623,Sheet2!$J$5:$K$7,2,FALSE)*VLOOKUP(Sheet1!$A1623,Sheet2!$B$5:$H$29,7,FALSE),0)</x:f>
        <x:v>20</x:v>
      </x:c>
      <x:c r="I1623">
        <x:f t="shared" si="27"/>
        <x:v>50</x:v>
      </x:c>
    </x:row>
    <x:row r="1624" spans="1:9" x14ac:dyDescent="0.15">
      <x:c r="A1624">
        <x:v>54055</x:v>
      </x:c>
      <x:c r="B1624">
        <x:v>1</x:v>
      </x:c>
      <x:c r="C1624">
        <x:v>3</x:v>
      </x:c>
      <x:c r="D1624">
        <x:f>ROUND($C1624*10*VLOOKUP($B1624,Sheet2!$J$5:$K$7,2,FALSE)*VLOOKUP(Sheet1!$A1624,Sheet2!$B$5:$H$29,3,FALSE),0)</x:f>
        <x:v>0</x:v>
      </x:c>
      <x:c r="E1624">
        <x:f>ROUND($C1624*10*VLOOKUP($B1624,Sheet2!$J$5:$K$7,2,FALSE)*VLOOKUP(Sheet1!$A1624,Sheet2!$B$5:$H$29,4,FALSE),0)</x:f>
        <x:v>18</x:v>
      </x:c>
      <x:c r="F1624">
        <x:f>ROUND($C1624*10*VLOOKUP($B1624,Sheet2!$J$5:$K$7,2,FALSE)*VLOOKUP(Sheet1!$A1624,Sheet2!$B$5:$H$29,5,FALSE),0)</x:f>
        <x:v>0</x:v>
      </x:c>
      <x:c r="G1624">
        <x:f>ROUND($C1624*10*VLOOKUP($B1624,Sheet2!$J$5:$K$7,2,FALSE)*VLOOKUP(Sheet1!$A1624,Sheet2!$B$5:$H$29,6,FALSE),0)</x:f>
        <x:v>0</x:v>
      </x:c>
      <x:c r="H1624">
        <x:f>ROUND($C1624*10*VLOOKUP($B1624,Sheet2!$J$5:$K$7,2,FALSE)*VLOOKUP(Sheet1!$A1624,Sheet2!$B$5:$H$29,7,FALSE),0)</x:f>
        <x:v>30</x:v>
      </x:c>
      <x:c r="I1624">
        <x:f t="shared" si="27"/>
        <x:v>110</x:v>
      </x:c>
    </x:row>
    <x:row r="1625" spans="1:9" x14ac:dyDescent="0.15">
      <x:c r="A1625">
        <x:v>54055</x:v>
      </x:c>
      <x:c r="B1625">
        <x:v>1</x:v>
      </x:c>
      <x:c r="C1625">
        <x:v>4</x:v>
      </x:c>
      <x:c r="D1625">
        <x:f>ROUND($C1625*10*VLOOKUP($B1625,Sheet2!$J$5:$K$7,2,FALSE)*VLOOKUP(Sheet1!$A1625,Sheet2!$B$5:$H$29,3,FALSE),0)</x:f>
        <x:v>0</x:v>
      </x:c>
      <x:c r="E1625">
        <x:f>ROUND($C1625*10*VLOOKUP($B1625,Sheet2!$J$5:$K$7,2,FALSE)*VLOOKUP(Sheet1!$A1625,Sheet2!$B$5:$H$29,4,FALSE),0)</x:f>
        <x:v>24</x:v>
      </x:c>
      <x:c r="F1625">
        <x:f>ROUND($C1625*10*VLOOKUP($B1625,Sheet2!$J$5:$K$7,2,FALSE)*VLOOKUP(Sheet1!$A1625,Sheet2!$B$5:$H$29,5,FALSE),0)</x:f>
        <x:v>0</x:v>
      </x:c>
      <x:c r="G1625">
        <x:f>ROUND($C1625*10*VLOOKUP($B1625,Sheet2!$J$5:$K$7,2,FALSE)*VLOOKUP(Sheet1!$A1625,Sheet2!$B$5:$H$29,6,FALSE),0)</x:f>
        <x:v>0</x:v>
      </x:c>
      <x:c r="H1625">
        <x:f>ROUND($C1625*10*VLOOKUP($B1625,Sheet2!$J$5:$K$7,2,FALSE)*VLOOKUP(Sheet1!$A1625,Sheet2!$B$5:$H$29,7,FALSE),0)</x:f>
        <x:v>40</x:v>
      </x:c>
      <x:c r="I1625">
        <x:f t="shared" si="27"/>
        <x:v>190</x:v>
      </x:c>
    </x:row>
    <x:row r="1626" spans="1:9" x14ac:dyDescent="0.15">
      <x:c r="A1626">
        <x:v>54055</x:v>
      </x:c>
      <x:c r="B1626">
        <x:v>1</x:v>
      </x:c>
      <x:c r="C1626">
        <x:v>5</x:v>
      </x:c>
      <x:c r="D1626">
        <x:f>ROUND($C1626*10*VLOOKUP($B1626,Sheet2!$J$5:$K$7,2,FALSE)*VLOOKUP(Sheet1!$A1626,Sheet2!$B$5:$H$29,3,FALSE),0)</x:f>
        <x:v>0</x:v>
      </x:c>
      <x:c r="E1626">
        <x:f>ROUND($C1626*10*VLOOKUP($B1626,Sheet2!$J$5:$K$7,2,FALSE)*VLOOKUP(Sheet1!$A1626,Sheet2!$B$5:$H$29,4,FALSE),0)</x:f>
        <x:v>30</x:v>
      </x:c>
      <x:c r="F1626">
        <x:f>ROUND($C1626*10*VLOOKUP($B1626,Sheet2!$J$5:$K$7,2,FALSE)*VLOOKUP(Sheet1!$A1626,Sheet2!$B$5:$H$29,5,FALSE),0)</x:f>
        <x:v>0</x:v>
      </x:c>
      <x:c r="G1626">
        <x:f>ROUND($C1626*10*VLOOKUP($B1626,Sheet2!$J$5:$K$7,2,FALSE)*VLOOKUP(Sheet1!$A1626,Sheet2!$B$5:$H$29,6,FALSE),0)</x:f>
        <x:v>0</x:v>
      </x:c>
      <x:c r="H1626">
        <x:f>ROUND($C1626*10*VLOOKUP($B1626,Sheet2!$J$5:$K$7,2,FALSE)*VLOOKUP(Sheet1!$A1626,Sheet2!$B$5:$H$29,7,FALSE),0)</x:f>
        <x:v>50</x:v>
      </x:c>
      <x:c r="I1626">
        <x:f t="shared" si="27"/>
        <x:v>290</x:v>
      </x:c>
    </x:row>
    <x:row r="1627" spans="1:9" x14ac:dyDescent="0.15">
      <x:c r="A1627">
        <x:v>54055</x:v>
      </x:c>
      <x:c r="B1627">
        <x:v>1</x:v>
      </x:c>
      <x:c r="C1627">
        <x:v>6</x:v>
      </x:c>
      <x:c r="D1627">
        <x:f>ROUND($C1627*10*VLOOKUP($B1627,Sheet2!$J$5:$K$7,2,FALSE)*VLOOKUP(Sheet1!$A1627,Sheet2!$B$5:$H$29,3,FALSE),0)</x:f>
        <x:v>0</x:v>
      </x:c>
      <x:c r="E1627">
        <x:f>ROUND($C1627*10*VLOOKUP($B1627,Sheet2!$J$5:$K$7,2,FALSE)*VLOOKUP(Sheet1!$A1627,Sheet2!$B$5:$H$29,4,FALSE),0)</x:f>
        <x:v>36</x:v>
      </x:c>
      <x:c r="F1627">
        <x:f>ROUND($C1627*10*VLOOKUP($B1627,Sheet2!$J$5:$K$7,2,FALSE)*VLOOKUP(Sheet1!$A1627,Sheet2!$B$5:$H$29,5,FALSE),0)</x:f>
        <x:v>0</x:v>
      </x:c>
      <x:c r="G1627">
        <x:f>ROUND($C1627*10*VLOOKUP($B1627,Sheet2!$J$5:$K$7,2,FALSE)*VLOOKUP(Sheet1!$A1627,Sheet2!$B$5:$H$29,6,FALSE),0)</x:f>
        <x:v>0</x:v>
      </x:c>
      <x:c r="H1627">
        <x:f>ROUND($C1627*10*VLOOKUP($B1627,Sheet2!$J$5:$K$7,2,FALSE)*VLOOKUP(Sheet1!$A1627,Sheet2!$B$5:$H$29,7,FALSE),0)</x:f>
        <x:v>60</x:v>
      </x:c>
      <x:c r="I1627">
        <x:f t="shared" si="27"/>
        <x:v>420</x:v>
      </x:c>
    </x:row>
    <x:row r="1628" spans="1:9" x14ac:dyDescent="0.15">
      <x:c r="A1628">
        <x:v>54055</x:v>
      </x:c>
      <x:c r="B1628">
        <x:v>1</x:v>
      </x:c>
      <x:c r="C1628">
        <x:v>7</x:v>
      </x:c>
      <x:c r="D1628">
        <x:f>ROUND($C1628*10*VLOOKUP($B1628,Sheet2!$J$5:$K$7,2,FALSE)*VLOOKUP(Sheet1!$A1628,Sheet2!$B$5:$H$29,3,FALSE),0)</x:f>
        <x:v>0</x:v>
      </x:c>
      <x:c r="E1628">
        <x:f>ROUND($C1628*10*VLOOKUP($B1628,Sheet2!$J$5:$K$7,2,FALSE)*VLOOKUP(Sheet1!$A1628,Sheet2!$B$5:$H$29,4,FALSE),0)</x:f>
        <x:v>42</x:v>
      </x:c>
      <x:c r="F1628">
        <x:f>ROUND($C1628*10*VLOOKUP($B1628,Sheet2!$J$5:$K$7,2,FALSE)*VLOOKUP(Sheet1!$A1628,Sheet2!$B$5:$H$29,5,FALSE),0)</x:f>
        <x:v>0</x:v>
      </x:c>
      <x:c r="G1628">
        <x:f>ROUND($C1628*10*VLOOKUP($B1628,Sheet2!$J$5:$K$7,2,FALSE)*VLOOKUP(Sheet1!$A1628,Sheet2!$B$5:$H$29,6,FALSE),0)</x:f>
        <x:v>0</x:v>
      </x:c>
      <x:c r="H1628">
        <x:f>ROUND($C1628*10*VLOOKUP($B1628,Sheet2!$J$5:$K$7,2,FALSE)*VLOOKUP(Sheet1!$A1628,Sheet2!$B$5:$H$29,7,FALSE),0)</x:f>
        <x:v>70</x:v>
      </x:c>
      <x:c r="I1628">
        <x:f t="shared" si="27"/>
        <x:v>570</x:v>
      </x:c>
    </x:row>
    <x:row r="1629" spans="1:9" x14ac:dyDescent="0.15">
      <x:c r="A1629">
        <x:v>54055</x:v>
      </x:c>
      <x:c r="B1629">
        <x:v>1</x:v>
      </x:c>
      <x:c r="C1629">
        <x:v>8</x:v>
      </x:c>
      <x:c r="D1629">
        <x:f>ROUND($C1629*10*VLOOKUP($B1629,Sheet2!$J$5:$K$7,2,FALSE)*VLOOKUP(Sheet1!$A1629,Sheet2!$B$5:$H$29,3,FALSE),0)</x:f>
        <x:v>0</x:v>
      </x:c>
      <x:c r="E1629">
        <x:f>ROUND($C1629*10*VLOOKUP($B1629,Sheet2!$J$5:$K$7,2,FALSE)*VLOOKUP(Sheet1!$A1629,Sheet2!$B$5:$H$29,4,FALSE),0)</x:f>
        <x:v>48</x:v>
      </x:c>
      <x:c r="F1629">
        <x:f>ROUND($C1629*10*VLOOKUP($B1629,Sheet2!$J$5:$K$7,2,FALSE)*VLOOKUP(Sheet1!$A1629,Sheet2!$B$5:$H$29,5,FALSE),0)</x:f>
        <x:v>0</x:v>
      </x:c>
      <x:c r="G1629">
        <x:f>ROUND($C1629*10*VLOOKUP($B1629,Sheet2!$J$5:$K$7,2,FALSE)*VLOOKUP(Sheet1!$A1629,Sheet2!$B$5:$H$29,6,FALSE),0)</x:f>
        <x:v>0</x:v>
      </x:c>
      <x:c r="H1629">
        <x:f>ROUND($C1629*10*VLOOKUP($B1629,Sheet2!$J$5:$K$7,2,FALSE)*VLOOKUP(Sheet1!$A1629,Sheet2!$B$5:$H$29,7,FALSE),0)</x:f>
        <x:v>80</x:v>
      </x:c>
      <x:c r="I1629">
        <x:f t="shared" si="27"/>
        <x:v>750</x:v>
      </x:c>
    </x:row>
    <x:row r="1630" spans="1:9" x14ac:dyDescent="0.15">
      <x:c r="A1630">
        <x:v>54055</x:v>
      </x:c>
      <x:c r="B1630">
        <x:v>1</x:v>
      </x:c>
      <x:c r="C1630">
        <x:v>9</x:v>
      </x:c>
      <x:c r="D1630">
        <x:f>ROUND($C1630*10*VLOOKUP($B1630,Sheet2!$J$5:$K$7,2,FALSE)*VLOOKUP(Sheet1!$A1630,Sheet2!$B$5:$H$29,3,FALSE),0)</x:f>
        <x:v>0</x:v>
      </x:c>
      <x:c r="E1630">
        <x:f>ROUND($C1630*10*VLOOKUP($B1630,Sheet2!$J$5:$K$7,2,FALSE)*VLOOKUP(Sheet1!$A1630,Sheet2!$B$5:$H$29,4,FALSE),0)</x:f>
        <x:v>54</x:v>
      </x:c>
      <x:c r="F1630">
        <x:f>ROUND($C1630*10*VLOOKUP($B1630,Sheet2!$J$5:$K$7,2,FALSE)*VLOOKUP(Sheet1!$A1630,Sheet2!$B$5:$H$29,5,FALSE),0)</x:f>
        <x:v>0</x:v>
      </x:c>
      <x:c r="G1630">
        <x:f>ROUND($C1630*10*VLOOKUP($B1630,Sheet2!$J$5:$K$7,2,FALSE)*VLOOKUP(Sheet1!$A1630,Sheet2!$B$5:$H$29,6,FALSE),0)</x:f>
        <x:v>0</x:v>
      </x:c>
      <x:c r="H1630">
        <x:f>ROUND($C1630*10*VLOOKUP($B1630,Sheet2!$J$5:$K$7,2,FALSE)*VLOOKUP(Sheet1!$A1630,Sheet2!$B$5:$H$29,7,FALSE),0)</x:f>
        <x:v>90</x:v>
      </x:c>
      <x:c r="I1630">
        <x:f t="shared" si="27"/>
        <x:v>940</x:v>
      </x:c>
    </x:row>
    <x:row r="1631" spans="1:9" x14ac:dyDescent="0.15">
      <x:c r="A1631">
        <x:v>54055</x:v>
      </x:c>
      <x:c r="B1631">
        <x:v>1</x:v>
      </x:c>
      <x:c r="C1631">
        <x:v>10</x:v>
      </x:c>
      <x:c r="D1631">
        <x:f>ROUND($C1631*10*VLOOKUP($B1631,Sheet2!$J$5:$K$7,2,FALSE)*VLOOKUP(Sheet1!$A1631,Sheet2!$B$5:$H$29,3,FALSE),0)</x:f>
        <x:v>0</x:v>
      </x:c>
      <x:c r="E1631">
        <x:f>ROUND($C1631*10*VLOOKUP($B1631,Sheet2!$J$5:$K$7,2,FALSE)*VLOOKUP(Sheet1!$A1631,Sheet2!$B$5:$H$29,4,FALSE),0)</x:f>
        <x:v>60</x:v>
      </x:c>
      <x:c r="F1631">
        <x:f>ROUND($C1631*10*VLOOKUP($B1631,Sheet2!$J$5:$K$7,2,FALSE)*VLOOKUP(Sheet1!$A1631,Sheet2!$B$5:$H$29,5,FALSE),0)</x:f>
        <x:v>0</x:v>
      </x:c>
      <x:c r="G1631">
        <x:f>ROUND($C1631*10*VLOOKUP($B1631,Sheet2!$J$5:$K$7,2,FALSE)*VLOOKUP(Sheet1!$A1631,Sheet2!$B$5:$H$29,6,FALSE),0)</x:f>
        <x:v>0</x:v>
      </x:c>
      <x:c r="H1631">
        <x:f>ROUND($C1631*10*VLOOKUP($B1631,Sheet2!$J$5:$K$7,2,FALSE)*VLOOKUP(Sheet1!$A1631,Sheet2!$B$5:$H$29,7,FALSE),0)</x:f>
        <x:v>100</x:v>
      </x:c>
      <x:c r="I1631">
        <x:f t="shared" si="27"/>
        <x:v>1160</x:v>
      </x:c>
    </x:row>
    <x:row r="1632" spans="1:9" x14ac:dyDescent="0.15">
      <x:c r="A1632">
        <x:v>54055</x:v>
      </x:c>
      <x:c r="B1632">
        <x:v>1</x:v>
      </x:c>
      <x:c r="C1632">
        <x:v>11</x:v>
      </x:c>
      <x:c r="D1632">
        <x:f>ROUND($C1632*10*VLOOKUP($B1632,Sheet2!$J$5:$K$7,2,FALSE)*VLOOKUP(Sheet1!$A1632,Sheet2!$B$5:$H$29,3,FALSE),0)</x:f>
        <x:v>0</x:v>
      </x:c>
      <x:c r="E1632">
        <x:f>ROUND($C1632*10*VLOOKUP($B1632,Sheet2!$J$5:$K$7,2,FALSE)*VLOOKUP(Sheet1!$A1632,Sheet2!$B$5:$H$29,4,FALSE),0)</x:f>
        <x:v>66</x:v>
      </x:c>
      <x:c r="F1632">
        <x:f>ROUND($C1632*10*VLOOKUP($B1632,Sheet2!$J$5:$K$7,2,FALSE)*VLOOKUP(Sheet1!$A1632,Sheet2!$B$5:$H$29,5,FALSE),0)</x:f>
        <x:v>0</x:v>
      </x:c>
      <x:c r="G1632">
        <x:f>ROUND($C1632*10*VLOOKUP($B1632,Sheet2!$J$5:$K$7,2,FALSE)*VLOOKUP(Sheet1!$A1632,Sheet2!$B$5:$H$29,6,FALSE),0)</x:f>
        <x:v>0</x:v>
      </x:c>
      <x:c r="H1632">
        <x:f>ROUND($C1632*10*VLOOKUP($B1632,Sheet2!$J$5:$K$7,2,FALSE)*VLOOKUP(Sheet1!$A1632,Sheet2!$B$5:$H$29,7,FALSE),0)</x:f>
        <x:v>110</x:v>
      </x:c>
      <x:c r="I1632">
        <x:f t="shared" si="27"/>
        <x:v>1390</x:v>
      </x:c>
    </x:row>
    <x:row r="1633" spans="1:9" x14ac:dyDescent="0.15">
      <x:c r="A1633">
        <x:v>54055</x:v>
      </x:c>
      <x:c r="B1633">
        <x:v>1</x:v>
      </x:c>
      <x:c r="C1633">
        <x:v>12</x:v>
      </x:c>
      <x:c r="D1633">
        <x:f>ROUND($C1633*10*VLOOKUP($B1633,Sheet2!$J$5:$K$7,2,FALSE)*VLOOKUP(Sheet1!$A1633,Sheet2!$B$5:$H$29,3,FALSE),0)</x:f>
        <x:v>0</x:v>
      </x:c>
      <x:c r="E1633">
        <x:f>ROUND($C1633*10*VLOOKUP($B1633,Sheet2!$J$5:$K$7,2,FALSE)*VLOOKUP(Sheet1!$A1633,Sheet2!$B$5:$H$29,4,FALSE),0)</x:f>
        <x:v>72</x:v>
      </x:c>
      <x:c r="F1633">
        <x:f>ROUND($C1633*10*VLOOKUP($B1633,Sheet2!$J$5:$K$7,2,FALSE)*VLOOKUP(Sheet1!$A1633,Sheet2!$B$5:$H$29,5,FALSE),0)</x:f>
        <x:v>0</x:v>
      </x:c>
      <x:c r="G1633">
        <x:f>ROUND($C1633*10*VLOOKUP($B1633,Sheet2!$J$5:$K$7,2,FALSE)*VLOOKUP(Sheet1!$A1633,Sheet2!$B$5:$H$29,6,FALSE),0)</x:f>
        <x:v>0</x:v>
      </x:c>
      <x:c r="H1633">
        <x:f>ROUND($C1633*10*VLOOKUP($B1633,Sheet2!$J$5:$K$7,2,FALSE)*VLOOKUP(Sheet1!$A1633,Sheet2!$B$5:$H$29,7,FALSE),0)</x:f>
        <x:v>120</x:v>
      </x:c>
      <x:c r="I1633">
        <x:f t="shared" si="27"/>
        <x:v>1650</x:v>
      </x:c>
    </x:row>
    <x:row r="1634" spans="1:9" x14ac:dyDescent="0.15">
      <x:c r="A1634">
        <x:v>54055</x:v>
      </x:c>
      <x:c r="B1634">
        <x:v>1</x:v>
      </x:c>
      <x:c r="C1634">
        <x:v>13</x:v>
      </x:c>
      <x:c r="D1634">
        <x:f>ROUND($C1634*10*VLOOKUP($B1634,Sheet2!$J$5:$K$7,2,FALSE)*VLOOKUP(Sheet1!$A1634,Sheet2!$B$5:$H$29,3,FALSE),0)</x:f>
        <x:v>0</x:v>
      </x:c>
      <x:c r="E1634">
        <x:f>ROUND($C1634*10*VLOOKUP($B1634,Sheet2!$J$5:$K$7,2,FALSE)*VLOOKUP(Sheet1!$A1634,Sheet2!$B$5:$H$29,4,FALSE),0)</x:f>
        <x:v>78</x:v>
      </x:c>
      <x:c r="F1634">
        <x:f>ROUND($C1634*10*VLOOKUP($B1634,Sheet2!$J$5:$K$7,2,FALSE)*VLOOKUP(Sheet1!$A1634,Sheet2!$B$5:$H$29,5,FALSE),0)</x:f>
        <x:v>0</x:v>
      </x:c>
      <x:c r="G1634">
        <x:f>ROUND($C1634*10*VLOOKUP($B1634,Sheet2!$J$5:$K$7,2,FALSE)*VLOOKUP(Sheet1!$A1634,Sheet2!$B$5:$H$29,6,FALSE),0)</x:f>
        <x:v>0</x:v>
      </x:c>
      <x:c r="H1634">
        <x:f>ROUND($C1634*10*VLOOKUP($B1634,Sheet2!$J$5:$K$7,2,FALSE)*VLOOKUP(Sheet1!$A1634,Sheet2!$B$5:$H$29,7,FALSE),0)</x:f>
        <x:v>130</x:v>
      </x:c>
      <x:c r="I1634">
        <x:f t="shared" si="27"/>
        <x:v>1920</x:v>
      </x:c>
    </x:row>
    <x:row r="1635" spans="1:9" x14ac:dyDescent="0.15">
      <x:c r="A1635">
        <x:v>54055</x:v>
      </x:c>
      <x:c r="B1635">
        <x:v>1</x:v>
      </x:c>
      <x:c r="C1635">
        <x:v>14</x:v>
      </x:c>
      <x:c r="D1635">
        <x:f>ROUND($C1635*10*VLOOKUP($B1635,Sheet2!$J$5:$K$7,2,FALSE)*VLOOKUP(Sheet1!$A1635,Sheet2!$B$5:$H$29,3,FALSE),0)</x:f>
        <x:v>0</x:v>
      </x:c>
      <x:c r="E1635">
        <x:f>ROUND($C1635*10*VLOOKUP($B1635,Sheet2!$J$5:$K$7,2,FALSE)*VLOOKUP(Sheet1!$A1635,Sheet2!$B$5:$H$29,4,FALSE),0)</x:f>
        <x:v>84</x:v>
      </x:c>
      <x:c r="F1635">
        <x:f>ROUND($C1635*10*VLOOKUP($B1635,Sheet2!$J$5:$K$7,2,FALSE)*VLOOKUP(Sheet1!$A1635,Sheet2!$B$5:$H$29,5,FALSE),0)</x:f>
        <x:v>0</x:v>
      </x:c>
      <x:c r="G1635">
        <x:f>ROUND($C1635*10*VLOOKUP($B1635,Sheet2!$J$5:$K$7,2,FALSE)*VLOOKUP(Sheet1!$A1635,Sheet2!$B$5:$H$29,6,FALSE),0)</x:f>
        <x:v>0</x:v>
      </x:c>
      <x:c r="H1635">
        <x:f>ROUND($C1635*10*VLOOKUP($B1635,Sheet2!$J$5:$K$7,2,FALSE)*VLOOKUP(Sheet1!$A1635,Sheet2!$B$5:$H$29,7,FALSE),0)</x:f>
        <x:v>140</x:v>
      </x:c>
      <x:c r="I1635">
        <x:f t="shared" si="27"/>
        <x:v>2220</x:v>
      </x:c>
    </x:row>
    <x:row r="1636" spans="1:9" x14ac:dyDescent="0.15">
      <x:c r="A1636">
        <x:v>54055</x:v>
      </x:c>
      <x:c r="B1636">
        <x:v>1</x:v>
      </x:c>
      <x:c r="C1636">
        <x:v>15</x:v>
      </x:c>
      <x:c r="D1636">
        <x:f>ROUND($C1636*10*VLOOKUP($B1636,Sheet2!$J$5:$K$7,2,FALSE)*VLOOKUP(Sheet1!$A1636,Sheet2!$B$5:$H$29,3,FALSE),0)</x:f>
        <x:v>0</x:v>
      </x:c>
      <x:c r="E1636">
        <x:f>ROUND($C1636*10*VLOOKUP($B1636,Sheet2!$J$5:$K$7,2,FALSE)*VLOOKUP(Sheet1!$A1636,Sheet2!$B$5:$H$29,4,FALSE),0)</x:f>
        <x:v>90</x:v>
      </x:c>
      <x:c r="F1636">
        <x:f>ROUND($C1636*10*VLOOKUP($B1636,Sheet2!$J$5:$K$7,2,FALSE)*VLOOKUP(Sheet1!$A1636,Sheet2!$B$5:$H$29,5,FALSE),0)</x:f>
        <x:v>0</x:v>
      </x:c>
      <x:c r="G1636">
        <x:f>ROUND($C1636*10*VLOOKUP($B1636,Sheet2!$J$5:$K$7,2,FALSE)*VLOOKUP(Sheet1!$A1636,Sheet2!$B$5:$H$29,6,FALSE),0)</x:f>
        <x:v>0</x:v>
      </x:c>
      <x:c r="H1636">
        <x:f>ROUND($C1636*10*VLOOKUP($B1636,Sheet2!$J$5:$K$7,2,FALSE)*VLOOKUP(Sheet1!$A1636,Sheet2!$B$5:$H$29,7,FALSE),0)</x:f>
        <x:v>150</x:v>
      </x:c>
      <x:c r="I1636">
        <x:f t="shared" si="27"/>
        <x:v>2530</x:v>
      </x:c>
    </x:row>
    <x:row r="1637" spans="1:9" x14ac:dyDescent="0.15">
      <x:c r="A1637">
        <x:v>54055</x:v>
      </x:c>
      <x:c r="B1637">
        <x:v>1</x:v>
      </x:c>
      <x:c r="C1637">
        <x:v>16</x:v>
      </x:c>
      <x:c r="D1637">
        <x:f>ROUND($C1637*10*VLOOKUP($B1637,Sheet2!$J$5:$K$7,2,FALSE)*VLOOKUP(Sheet1!$A1637,Sheet2!$B$5:$H$29,3,FALSE),0)</x:f>
        <x:v>0</x:v>
      </x:c>
      <x:c r="E1637">
        <x:f>ROUND($C1637*10*VLOOKUP($B1637,Sheet2!$J$5:$K$7,2,FALSE)*VLOOKUP(Sheet1!$A1637,Sheet2!$B$5:$H$29,4,FALSE),0)</x:f>
        <x:v>96</x:v>
      </x:c>
      <x:c r="F1637">
        <x:f>ROUND($C1637*10*VLOOKUP($B1637,Sheet2!$J$5:$K$7,2,FALSE)*VLOOKUP(Sheet1!$A1637,Sheet2!$B$5:$H$29,5,FALSE),0)</x:f>
        <x:v>0</x:v>
      </x:c>
      <x:c r="G1637">
        <x:f>ROUND($C1637*10*VLOOKUP($B1637,Sheet2!$J$5:$K$7,2,FALSE)*VLOOKUP(Sheet1!$A1637,Sheet2!$B$5:$H$29,6,FALSE),0)</x:f>
        <x:v>0</x:v>
      </x:c>
      <x:c r="H1637">
        <x:f>ROUND($C1637*10*VLOOKUP($B1637,Sheet2!$J$5:$K$7,2,FALSE)*VLOOKUP(Sheet1!$A1637,Sheet2!$B$5:$H$29,7,FALSE),0)</x:f>
        <x:v>160</x:v>
      </x:c>
      <x:c r="I1637">
        <x:f t="shared" si="27"/>
        <x:v>2860</x:v>
      </x:c>
    </x:row>
    <x:row r="1638" spans="1:9" x14ac:dyDescent="0.15">
      <x:c r="A1638">
        <x:v>54055</x:v>
      </x:c>
      <x:c r="B1638">
        <x:v>1</x:v>
      </x:c>
      <x:c r="C1638">
        <x:v>17</x:v>
      </x:c>
      <x:c r="D1638">
        <x:f>ROUND($C1638*10*VLOOKUP($B1638,Sheet2!$J$5:$K$7,2,FALSE)*VLOOKUP(Sheet1!$A1638,Sheet2!$B$5:$H$29,3,FALSE),0)</x:f>
        <x:v>0</x:v>
      </x:c>
      <x:c r="E1638">
        <x:f>ROUND($C1638*10*VLOOKUP($B1638,Sheet2!$J$5:$K$7,2,FALSE)*VLOOKUP(Sheet1!$A1638,Sheet2!$B$5:$H$29,4,FALSE),0)</x:f>
        <x:v>102</x:v>
      </x:c>
      <x:c r="F1638">
        <x:f>ROUND($C1638*10*VLOOKUP($B1638,Sheet2!$J$5:$K$7,2,FALSE)*VLOOKUP(Sheet1!$A1638,Sheet2!$B$5:$H$29,5,FALSE),0)</x:f>
        <x:v>0</x:v>
      </x:c>
      <x:c r="G1638">
        <x:f>ROUND($C1638*10*VLOOKUP($B1638,Sheet2!$J$5:$K$7,2,FALSE)*VLOOKUP(Sheet1!$A1638,Sheet2!$B$5:$H$29,6,FALSE),0)</x:f>
        <x:v>0</x:v>
      </x:c>
      <x:c r="H1638">
        <x:f>ROUND($C1638*10*VLOOKUP($B1638,Sheet2!$J$5:$K$7,2,FALSE)*VLOOKUP(Sheet1!$A1638,Sheet2!$B$5:$H$29,7,FALSE),0)</x:f>
        <x:v>170</x:v>
      </x:c>
      <x:c r="I1638">
        <x:f t="shared" si="27"/>
        <x:v>3210</x:v>
      </x:c>
    </x:row>
    <x:row r="1639" spans="1:9" x14ac:dyDescent="0.15">
      <x:c r="A1639">
        <x:v>54055</x:v>
      </x:c>
      <x:c r="B1639">
        <x:v>1</x:v>
      </x:c>
      <x:c r="C1639">
        <x:v>18</x:v>
      </x:c>
      <x:c r="D1639">
        <x:f>ROUND($C1639*10*VLOOKUP($B1639,Sheet2!$J$5:$K$7,2,FALSE)*VLOOKUP(Sheet1!$A1639,Sheet2!$B$5:$H$29,3,FALSE),0)</x:f>
        <x:v>0</x:v>
      </x:c>
      <x:c r="E1639">
        <x:f>ROUND($C1639*10*VLOOKUP($B1639,Sheet2!$J$5:$K$7,2,FALSE)*VLOOKUP(Sheet1!$A1639,Sheet2!$B$5:$H$29,4,FALSE),0)</x:f>
        <x:v>108</x:v>
      </x:c>
      <x:c r="F1639">
        <x:f>ROUND($C1639*10*VLOOKUP($B1639,Sheet2!$J$5:$K$7,2,FALSE)*VLOOKUP(Sheet1!$A1639,Sheet2!$B$5:$H$29,5,FALSE),0)</x:f>
        <x:v>0</x:v>
      </x:c>
      <x:c r="G1639">
        <x:f>ROUND($C1639*10*VLOOKUP($B1639,Sheet2!$J$5:$K$7,2,FALSE)*VLOOKUP(Sheet1!$A1639,Sheet2!$B$5:$H$29,6,FALSE),0)</x:f>
        <x:v>0</x:v>
      </x:c>
      <x:c r="H1639">
        <x:f>ROUND($C1639*10*VLOOKUP($B1639,Sheet2!$J$5:$K$7,2,FALSE)*VLOOKUP(Sheet1!$A1639,Sheet2!$B$5:$H$29,7,FALSE),0)</x:f>
        <x:v>180</x:v>
      </x:c>
      <x:c r="I1639">
        <x:f t="shared" si="27"/>
        <x:v>3570</x:v>
      </x:c>
    </x:row>
    <x:row r="1640" spans="1:9" x14ac:dyDescent="0.15">
      <x:c r="A1640">
        <x:v>54055</x:v>
      </x:c>
      <x:c r="B1640">
        <x:v>1</x:v>
      </x:c>
      <x:c r="C1640">
        <x:v>19</x:v>
      </x:c>
      <x:c r="D1640">
        <x:f>ROUND($C1640*10*VLOOKUP($B1640,Sheet2!$J$5:$K$7,2,FALSE)*VLOOKUP(Sheet1!$A1640,Sheet2!$B$5:$H$29,3,FALSE),0)</x:f>
        <x:v>0</x:v>
      </x:c>
      <x:c r="E1640">
        <x:f>ROUND($C1640*10*VLOOKUP($B1640,Sheet2!$J$5:$K$7,2,FALSE)*VLOOKUP(Sheet1!$A1640,Sheet2!$B$5:$H$29,4,FALSE),0)</x:f>
        <x:v>114</x:v>
      </x:c>
      <x:c r="F1640">
        <x:f>ROUND($C1640*10*VLOOKUP($B1640,Sheet2!$J$5:$K$7,2,FALSE)*VLOOKUP(Sheet1!$A1640,Sheet2!$B$5:$H$29,5,FALSE),0)</x:f>
        <x:v>0</x:v>
      </x:c>
      <x:c r="G1640">
        <x:f>ROUND($C1640*10*VLOOKUP($B1640,Sheet2!$J$5:$K$7,2,FALSE)*VLOOKUP(Sheet1!$A1640,Sheet2!$B$5:$H$29,6,FALSE),0)</x:f>
        <x:v>0</x:v>
      </x:c>
      <x:c r="H1640">
        <x:f>ROUND($C1640*10*VLOOKUP($B1640,Sheet2!$J$5:$K$7,2,FALSE)*VLOOKUP(Sheet1!$A1640,Sheet2!$B$5:$H$29,7,FALSE),0)</x:f>
        <x:v>190</x:v>
      </x:c>
      <x:c r="I1640">
        <x:f t="shared" si="27"/>
        <x:v>3960</x:v>
      </x:c>
    </x:row>
    <x:row r="1641" spans="1:9" x14ac:dyDescent="0.15">
      <x:c r="A1641">
        <x:v>54055</x:v>
      </x:c>
      <x:c r="B1641">
        <x:v>1</x:v>
      </x:c>
      <x:c r="C1641">
        <x:v>20</x:v>
      </x:c>
      <x:c r="D1641">
        <x:f>ROUND($C1641*10*VLOOKUP($B1641,Sheet2!$J$5:$K$7,2,FALSE)*VLOOKUP(Sheet1!$A1641,Sheet2!$B$5:$H$29,3,FALSE),0)</x:f>
        <x:v>0</x:v>
      </x:c>
      <x:c r="E1641">
        <x:f>ROUND($C1641*10*VLOOKUP($B1641,Sheet2!$J$5:$K$7,2,FALSE)*VLOOKUP(Sheet1!$A1641,Sheet2!$B$5:$H$29,4,FALSE),0)</x:f>
        <x:v>120</x:v>
      </x:c>
      <x:c r="F1641">
        <x:f>ROUND($C1641*10*VLOOKUP($B1641,Sheet2!$J$5:$K$7,2,FALSE)*VLOOKUP(Sheet1!$A1641,Sheet2!$B$5:$H$29,5,FALSE),0)</x:f>
        <x:v>0</x:v>
      </x:c>
      <x:c r="G1641">
        <x:f>ROUND($C1641*10*VLOOKUP($B1641,Sheet2!$J$5:$K$7,2,FALSE)*VLOOKUP(Sheet1!$A1641,Sheet2!$B$5:$H$29,6,FALSE),0)</x:f>
        <x:v>0</x:v>
      </x:c>
      <x:c r="H1641">
        <x:f>ROUND($C1641*10*VLOOKUP($B1641,Sheet2!$J$5:$K$7,2,FALSE)*VLOOKUP(Sheet1!$A1641,Sheet2!$B$5:$H$29,7,FALSE),0)</x:f>
        <x:v>200</x:v>
      </x:c>
      <x:c r="I1641">
        <x:f t="shared" si="27"/>
        <x:v>4360</x:v>
      </x:c>
    </x:row>
    <x:row r="1642" spans="1:9" x14ac:dyDescent="0.15">
      <x:c r="A1642">
        <x:v>54055</x:v>
      </x:c>
      <x:c r="B1642">
        <x:v>1</x:v>
      </x:c>
      <x:c r="C1642">
        <x:v>21</x:v>
      </x:c>
      <x:c r="D1642">
        <x:f>ROUND($C1642*10*VLOOKUP($B1642,Sheet2!$J$5:$K$7,2,FALSE)*VLOOKUP(Sheet1!$A1642,Sheet2!$B$5:$H$29,3,FALSE),0)</x:f>
        <x:v>0</x:v>
      </x:c>
      <x:c r="E1642">
        <x:f>ROUND($C1642*10*VLOOKUP($B1642,Sheet2!$J$5:$K$7,2,FALSE)*VLOOKUP(Sheet1!$A1642,Sheet2!$B$5:$H$29,4,FALSE),0)</x:f>
        <x:v>126</x:v>
      </x:c>
      <x:c r="F1642">
        <x:f>ROUND($C1642*10*VLOOKUP($B1642,Sheet2!$J$5:$K$7,2,FALSE)*VLOOKUP(Sheet1!$A1642,Sheet2!$B$5:$H$29,5,FALSE),0)</x:f>
        <x:v>0</x:v>
      </x:c>
      <x:c r="G1642">
        <x:f>ROUND($C1642*10*VLOOKUP($B1642,Sheet2!$J$5:$K$7,2,FALSE)*VLOOKUP(Sheet1!$A1642,Sheet2!$B$5:$H$29,6,FALSE),0)</x:f>
        <x:v>0</x:v>
      </x:c>
      <x:c r="H1642">
        <x:f>ROUND($C1642*10*VLOOKUP($B1642,Sheet2!$J$5:$K$7,2,FALSE)*VLOOKUP(Sheet1!$A1642,Sheet2!$B$5:$H$29,7,FALSE),0)</x:f>
        <x:v>210</x:v>
      </x:c>
      <x:c r="I1642">
        <x:f t="shared" si="27"/>
        <x:v>4780</x:v>
      </x:c>
    </x:row>
    <x:row r="1643" spans="1:9" x14ac:dyDescent="0.15">
      <x:c r="A1643">
        <x:v>54055</x:v>
      </x:c>
      <x:c r="B1643">
        <x:v>1</x:v>
      </x:c>
      <x:c r="C1643">
        <x:v>22</x:v>
      </x:c>
      <x:c r="D1643">
        <x:f>ROUND($C1643*10*VLOOKUP($B1643,Sheet2!$J$5:$K$7,2,FALSE)*VLOOKUP(Sheet1!$A1643,Sheet2!$B$5:$H$29,3,FALSE),0)</x:f>
        <x:v>0</x:v>
      </x:c>
      <x:c r="E1643">
        <x:f>ROUND($C1643*10*VLOOKUP($B1643,Sheet2!$J$5:$K$7,2,FALSE)*VLOOKUP(Sheet1!$A1643,Sheet2!$B$5:$H$29,4,FALSE),0)</x:f>
        <x:v>132</x:v>
      </x:c>
      <x:c r="F1643">
        <x:f>ROUND($C1643*10*VLOOKUP($B1643,Sheet2!$J$5:$K$7,2,FALSE)*VLOOKUP(Sheet1!$A1643,Sheet2!$B$5:$H$29,5,FALSE),0)</x:f>
        <x:v>0</x:v>
      </x:c>
      <x:c r="G1643">
        <x:f>ROUND($C1643*10*VLOOKUP($B1643,Sheet2!$J$5:$K$7,2,FALSE)*VLOOKUP(Sheet1!$A1643,Sheet2!$B$5:$H$29,6,FALSE),0)</x:f>
        <x:v>0</x:v>
      </x:c>
      <x:c r="H1643">
        <x:f>ROUND($C1643*10*VLOOKUP($B1643,Sheet2!$J$5:$K$7,2,FALSE)*VLOOKUP(Sheet1!$A1643,Sheet2!$B$5:$H$29,7,FALSE),0)</x:f>
        <x:v>220</x:v>
      </x:c>
      <x:c r="I1643">
        <x:f t="shared" si="27"/>
        <x:v>5210</x:v>
      </x:c>
    </x:row>
    <x:row r="1644" spans="1:9" x14ac:dyDescent="0.15">
      <x:c r="A1644">
        <x:v>54055</x:v>
      </x:c>
      <x:c r="B1644">
        <x:v>1</x:v>
      </x:c>
      <x:c r="C1644">
        <x:v>23</x:v>
      </x:c>
      <x:c r="D1644">
        <x:f>ROUND($C1644*10*VLOOKUP($B1644,Sheet2!$J$5:$K$7,2,FALSE)*VLOOKUP(Sheet1!$A1644,Sheet2!$B$5:$H$29,3,FALSE),0)</x:f>
        <x:v>0</x:v>
      </x:c>
      <x:c r="E1644">
        <x:f>ROUND($C1644*10*VLOOKUP($B1644,Sheet2!$J$5:$K$7,2,FALSE)*VLOOKUP(Sheet1!$A1644,Sheet2!$B$5:$H$29,4,FALSE),0)</x:f>
        <x:v>138</x:v>
      </x:c>
      <x:c r="F1644">
        <x:f>ROUND($C1644*10*VLOOKUP($B1644,Sheet2!$J$5:$K$7,2,FALSE)*VLOOKUP(Sheet1!$A1644,Sheet2!$B$5:$H$29,5,FALSE),0)</x:f>
        <x:v>0</x:v>
      </x:c>
      <x:c r="G1644">
        <x:f>ROUND($C1644*10*VLOOKUP($B1644,Sheet2!$J$5:$K$7,2,FALSE)*VLOOKUP(Sheet1!$A1644,Sheet2!$B$5:$H$29,6,FALSE),0)</x:f>
        <x:v>0</x:v>
      </x:c>
      <x:c r="H1644">
        <x:f>ROUND($C1644*10*VLOOKUP($B1644,Sheet2!$J$5:$K$7,2,FALSE)*VLOOKUP(Sheet1!$A1644,Sheet2!$B$5:$H$29,7,FALSE),0)</x:f>
        <x:v>230</x:v>
      </x:c>
      <x:c r="I1644">
        <x:f t="shared" si="27"/>
        <x:v>5660</x:v>
      </x:c>
    </x:row>
    <x:row r="1645" spans="1:9" x14ac:dyDescent="0.15">
      <x:c r="A1645">
        <x:v>54055</x:v>
      </x:c>
      <x:c r="B1645">
        <x:v>1</x:v>
      </x:c>
      <x:c r="C1645">
        <x:v>24</x:v>
      </x:c>
      <x:c r="D1645">
        <x:f>ROUND($C1645*10*VLOOKUP($B1645,Sheet2!$J$5:$K$7,2,FALSE)*VLOOKUP(Sheet1!$A1645,Sheet2!$B$5:$H$29,3,FALSE),0)</x:f>
        <x:v>0</x:v>
      </x:c>
      <x:c r="E1645">
        <x:f>ROUND($C1645*10*VLOOKUP($B1645,Sheet2!$J$5:$K$7,2,FALSE)*VLOOKUP(Sheet1!$A1645,Sheet2!$B$5:$H$29,4,FALSE),0)</x:f>
        <x:v>144</x:v>
      </x:c>
      <x:c r="F1645">
        <x:f>ROUND($C1645*10*VLOOKUP($B1645,Sheet2!$J$5:$K$7,2,FALSE)*VLOOKUP(Sheet1!$A1645,Sheet2!$B$5:$H$29,5,FALSE),0)</x:f>
        <x:v>0</x:v>
      </x:c>
      <x:c r="G1645">
        <x:f>ROUND($C1645*10*VLOOKUP($B1645,Sheet2!$J$5:$K$7,2,FALSE)*VLOOKUP(Sheet1!$A1645,Sheet2!$B$5:$H$29,6,FALSE),0)</x:f>
        <x:v>0</x:v>
      </x:c>
      <x:c r="H1645">
        <x:f>ROUND($C1645*10*VLOOKUP($B1645,Sheet2!$J$5:$K$7,2,FALSE)*VLOOKUP(Sheet1!$A1645,Sheet2!$B$5:$H$29,7,FALSE),0)</x:f>
        <x:v>240</x:v>
      </x:c>
      <x:c r="I1645">
        <x:f t="shared" si="27"/>
        <x:v>6130</x:v>
      </x:c>
    </x:row>
    <x:row r="1646" spans="1:9" x14ac:dyDescent="0.15">
      <x:c r="A1646">
        <x:v>54055</x:v>
      </x:c>
      <x:c r="B1646">
        <x:v>1</x:v>
      </x:c>
      <x:c r="C1646">
        <x:v>25</x:v>
      </x:c>
      <x:c r="D1646">
        <x:f>ROUND($C1646*10*VLOOKUP($B1646,Sheet2!$J$5:$K$7,2,FALSE)*VLOOKUP(Sheet1!$A1646,Sheet2!$B$5:$H$29,3,FALSE),0)</x:f>
        <x:v>0</x:v>
      </x:c>
      <x:c r="E1646">
        <x:f>ROUND($C1646*10*VLOOKUP($B1646,Sheet2!$J$5:$K$7,2,FALSE)*VLOOKUP(Sheet1!$A1646,Sheet2!$B$5:$H$29,4,FALSE),0)</x:f>
        <x:v>150</x:v>
      </x:c>
      <x:c r="F1646">
        <x:f>ROUND($C1646*10*VLOOKUP($B1646,Sheet2!$J$5:$K$7,2,FALSE)*VLOOKUP(Sheet1!$A1646,Sheet2!$B$5:$H$29,5,FALSE),0)</x:f>
        <x:v>0</x:v>
      </x:c>
      <x:c r="G1646">
        <x:f>ROUND($C1646*10*VLOOKUP($B1646,Sheet2!$J$5:$K$7,2,FALSE)*VLOOKUP(Sheet1!$A1646,Sheet2!$B$5:$H$29,6,FALSE),0)</x:f>
        <x:v>0</x:v>
      </x:c>
      <x:c r="H1646">
        <x:f>ROUND($C1646*10*VLOOKUP($B1646,Sheet2!$J$5:$K$7,2,FALSE)*VLOOKUP(Sheet1!$A1646,Sheet2!$B$5:$H$29,7,FALSE),0)</x:f>
        <x:v>250</x:v>
      </x:c>
      <x:c r="I1646">
        <x:f t="shared" si="27"/>
        <x:v>6620</x:v>
      </x:c>
    </x:row>
    <x:row r="1647" spans="1:9" x14ac:dyDescent="0.15">
      <x:c r="A1647">
        <x:v>54055</x:v>
      </x:c>
      <x:c r="B1647">
        <x:v>1</x:v>
      </x:c>
      <x:c r="C1647">
        <x:v>26</x:v>
      </x:c>
      <x:c r="D1647">
        <x:f>ROUND($C1647*10*VLOOKUP($B1647,Sheet2!$J$5:$K$7,2,FALSE)*VLOOKUP(Sheet1!$A1647,Sheet2!$B$5:$H$29,3,FALSE),0)</x:f>
        <x:v>0</x:v>
      </x:c>
      <x:c r="E1647">
        <x:f>ROUND($C1647*10*VLOOKUP($B1647,Sheet2!$J$5:$K$7,2,FALSE)*VLOOKUP(Sheet1!$A1647,Sheet2!$B$5:$H$29,4,FALSE),0)</x:f>
        <x:v>156</x:v>
      </x:c>
      <x:c r="F1647">
        <x:f>ROUND($C1647*10*VLOOKUP($B1647,Sheet2!$J$5:$K$7,2,FALSE)*VLOOKUP(Sheet1!$A1647,Sheet2!$B$5:$H$29,5,FALSE),0)</x:f>
        <x:v>0</x:v>
      </x:c>
      <x:c r="G1647">
        <x:f>ROUND($C1647*10*VLOOKUP($B1647,Sheet2!$J$5:$K$7,2,FALSE)*VLOOKUP(Sheet1!$A1647,Sheet2!$B$5:$H$29,6,FALSE),0)</x:f>
        <x:v>0</x:v>
      </x:c>
      <x:c r="H1647">
        <x:f>ROUND($C1647*10*VLOOKUP($B1647,Sheet2!$J$5:$K$7,2,FALSE)*VLOOKUP(Sheet1!$A1647,Sheet2!$B$5:$H$29,7,FALSE),0)</x:f>
        <x:v>260</x:v>
      </x:c>
      <x:c r="I1647">
        <x:f t="shared" si="27"/>
        <x:v>7120</x:v>
      </x:c>
    </x:row>
    <x:row r="1648" spans="1:9" x14ac:dyDescent="0.15">
      <x:c r="A1648">
        <x:v>54055</x:v>
      </x:c>
      <x:c r="B1648">
        <x:v>1</x:v>
      </x:c>
      <x:c r="C1648">
        <x:v>27</x:v>
      </x:c>
      <x:c r="D1648">
        <x:f>ROUND($C1648*10*VLOOKUP($B1648,Sheet2!$J$5:$K$7,2,FALSE)*VLOOKUP(Sheet1!$A1648,Sheet2!$B$5:$H$29,3,FALSE),0)</x:f>
        <x:v>0</x:v>
      </x:c>
      <x:c r="E1648">
        <x:f>ROUND($C1648*10*VLOOKUP($B1648,Sheet2!$J$5:$K$7,2,FALSE)*VLOOKUP(Sheet1!$A1648,Sheet2!$B$5:$H$29,4,FALSE),0)</x:f>
        <x:v>162</x:v>
      </x:c>
      <x:c r="F1648">
        <x:f>ROUND($C1648*10*VLOOKUP($B1648,Sheet2!$J$5:$K$7,2,FALSE)*VLOOKUP(Sheet1!$A1648,Sheet2!$B$5:$H$29,5,FALSE),0)</x:f>
        <x:v>0</x:v>
      </x:c>
      <x:c r="G1648">
        <x:f>ROUND($C1648*10*VLOOKUP($B1648,Sheet2!$J$5:$K$7,2,FALSE)*VLOOKUP(Sheet1!$A1648,Sheet2!$B$5:$H$29,6,FALSE),0)</x:f>
        <x:v>0</x:v>
      </x:c>
      <x:c r="H1648">
        <x:f>ROUND($C1648*10*VLOOKUP($B1648,Sheet2!$J$5:$K$7,2,FALSE)*VLOOKUP(Sheet1!$A1648,Sheet2!$B$5:$H$29,7,FALSE),0)</x:f>
        <x:v>270</x:v>
      </x:c>
      <x:c r="I1648">
        <x:f t="shared" si="27"/>
        <x:v>7640</x:v>
      </x:c>
    </x:row>
    <x:row r="1649" spans="1:9" x14ac:dyDescent="0.15">
      <x:c r="A1649">
        <x:v>54055</x:v>
      </x:c>
      <x:c r="B1649">
        <x:v>1</x:v>
      </x:c>
      <x:c r="C1649">
        <x:v>28</x:v>
      </x:c>
      <x:c r="D1649">
        <x:f>ROUND($C1649*10*VLOOKUP($B1649,Sheet2!$J$5:$K$7,2,FALSE)*VLOOKUP(Sheet1!$A1649,Sheet2!$B$5:$H$29,3,FALSE),0)</x:f>
        <x:v>0</x:v>
      </x:c>
      <x:c r="E1649">
        <x:f>ROUND($C1649*10*VLOOKUP($B1649,Sheet2!$J$5:$K$7,2,FALSE)*VLOOKUP(Sheet1!$A1649,Sheet2!$B$5:$H$29,4,FALSE),0)</x:f>
        <x:v>168</x:v>
      </x:c>
      <x:c r="F1649">
        <x:f>ROUND($C1649*10*VLOOKUP($B1649,Sheet2!$J$5:$K$7,2,FALSE)*VLOOKUP(Sheet1!$A1649,Sheet2!$B$5:$H$29,5,FALSE),0)</x:f>
        <x:v>0</x:v>
      </x:c>
      <x:c r="G1649">
        <x:f>ROUND($C1649*10*VLOOKUP($B1649,Sheet2!$J$5:$K$7,2,FALSE)*VLOOKUP(Sheet1!$A1649,Sheet2!$B$5:$H$29,6,FALSE),0)</x:f>
        <x:v>0</x:v>
      </x:c>
      <x:c r="H1649">
        <x:f>ROUND($C1649*10*VLOOKUP($B1649,Sheet2!$J$5:$K$7,2,FALSE)*VLOOKUP(Sheet1!$A1649,Sheet2!$B$5:$H$29,7,FALSE),0)</x:f>
        <x:v>280</x:v>
      </x:c>
      <x:c r="I1649">
        <x:f t="shared" si="27"/>
        <x:v>8180</x:v>
      </x:c>
    </x:row>
    <x:row r="1650" spans="1:9" x14ac:dyDescent="0.15">
      <x:c r="A1650">
        <x:v>54055</x:v>
      </x:c>
      <x:c r="B1650">
        <x:v>1</x:v>
      </x:c>
      <x:c r="C1650">
        <x:v>29</x:v>
      </x:c>
      <x:c r="D1650">
        <x:f>ROUND($C1650*10*VLOOKUP($B1650,Sheet2!$J$5:$K$7,2,FALSE)*VLOOKUP(Sheet1!$A1650,Sheet2!$B$5:$H$29,3,FALSE),0)</x:f>
        <x:v>0</x:v>
      </x:c>
      <x:c r="E1650">
        <x:f>ROUND($C1650*10*VLOOKUP($B1650,Sheet2!$J$5:$K$7,2,FALSE)*VLOOKUP(Sheet1!$A1650,Sheet2!$B$5:$H$29,4,FALSE),0)</x:f>
        <x:v>174</x:v>
      </x:c>
      <x:c r="F1650">
        <x:f>ROUND($C1650*10*VLOOKUP($B1650,Sheet2!$J$5:$K$7,2,FALSE)*VLOOKUP(Sheet1!$A1650,Sheet2!$B$5:$H$29,5,FALSE),0)</x:f>
        <x:v>0</x:v>
      </x:c>
      <x:c r="G1650">
        <x:f>ROUND($C1650*10*VLOOKUP($B1650,Sheet2!$J$5:$K$7,2,FALSE)*VLOOKUP(Sheet1!$A1650,Sheet2!$B$5:$H$29,6,FALSE),0)</x:f>
        <x:v>0</x:v>
      </x:c>
      <x:c r="H1650">
        <x:f>ROUND($C1650*10*VLOOKUP($B1650,Sheet2!$J$5:$K$7,2,FALSE)*VLOOKUP(Sheet1!$A1650,Sheet2!$B$5:$H$29,7,FALSE),0)</x:f>
        <x:v>290</x:v>
      </x:c>
      <x:c r="I1650">
        <x:f t="shared" si="27"/>
        <x:v>8730</x:v>
      </x:c>
    </x:row>
    <x:row r="1651" spans="1:9" x14ac:dyDescent="0.15">
      <x:c r="A1651">
        <x:v>54055</x:v>
      </x:c>
      <x:c r="B1651">
        <x:v>1</x:v>
      </x:c>
      <x:c r="C1651">
        <x:v>30</x:v>
      </x:c>
      <x:c r="D1651">
        <x:f>ROUND($C1651*10*VLOOKUP($B1651,Sheet2!$J$5:$K$7,2,FALSE)*VLOOKUP(Sheet1!$A1651,Sheet2!$B$5:$H$29,3,FALSE),0)</x:f>
        <x:v>0</x:v>
      </x:c>
      <x:c r="E1651">
        <x:f>ROUND($C1651*10*VLOOKUP($B1651,Sheet2!$J$5:$K$7,2,FALSE)*VLOOKUP(Sheet1!$A1651,Sheet2!$B$5:$H$29,4,FALSE),0)</x:f>
        <x:v>180</x:v>
      </x:c>
      <x:c r="F1651">
        <x:f>ROUND($C1651*10*VLOOKUP($B1651,Sheet2!$J$5:$K$7,2,FALSE)*VLOOKUP(Sheet1!$A1651,Sheet2!$B$5:$H$29,5,FALSE),0)</x:f>
        <x:v>0</x:v>
      </x:c>
      <x:c r="G1651">
        <x:f>ROUND($C1651*10*VLOOKUP($B1651,Sheet2!$J$5:$K$7,2,FALSE)*VLOOKUP(Sheet1!$A1651,Sheet2!$B$5:$H$29,6,FALSE),0)</x:f>
        <x:v>0</x:v>
      </x:c>
      <x:c r="H1651">
        <x:f>ROUND($C1651*10*VLOOKUP($B1651,Sheet2!$J$5:$K$7,2,FALSE)*VLOOKUP(Sheet1!$A1651,Sheet2!$B$5:$H$29,7,FALSE),0)</x:f>
        <x:v>300</x:v>
      </x:c>
      <x:c r="I1651">
        <x:f t="shared" si="27"/>
        <x:v>9290</x:v>
      </x:c>
    </x:row>
    <x:row r="1652" spans="1:9" x14ac:dyDescent="0.15">
      <x:c r="A1652">
        <x:v>54055</x:v>
      </x:c>
      <x:c r="B1652">
        <x:v>1</x:v>
      </x:c>
      <x:c r="C1652">
        <x:v>31</x:v>
      </x:c>
      <x:c r="D1652">
        <x:f>ROUND($C1652*10*VLOOKUP($B1652,Sheet2!$J$5:$K$7,2,FALSE)*VLOOKUP(Sheet1!$A1652,Sheet2!$B$5:$H$29,3,FALSE),0)</x:f>
        <x:v>0</x:v>
      </x:c>
      <x:c r="E1652">
        <x:f>ROUND($C1652*10*VLOOKUP($B1652,Sheet2!$J$5:$K$7,2,FALSE)*VLOOKUP(Sheet1!$A1652,Sheet2!$B$5:$H$29,4,FALSE),0)</x:f>
        <x:v>186</x:v>
      </x:c>
      <x:c r="F1652">
        <x:f>ROUND($C1652*10*VLOOKUP($B1652,Sheet2!$J$5:$K$7,2,FALSE)*VLOOKUP(Sheet1!$A1652,Sheet2!$B$5:$H$29,5,FALSE),0)</x:f>
        <x:v>0</x:v>
      </x:c>
      <x:c r="G1652">
        <x:f>ROUND($C1652*10*VLOOKUP($B1652,Sheet2!$J$5:$K$7,2,FALSE)*VLOOKUP(Sheet1!$A1652,Sheet2!$B$5:$H$29,6,FALSE),0)</x:f>
        <x:v>0</x:v>
      </x:c>
      <x:c r="H1652">
        <x:f>ROUND($C1652*10*VLOOKUP($B1652,Sheet2!$J$5:$K$7,2,FALSE)*VLOOKUP(Sheet1!$A1652,Sheet2!$B$5:$H$29,7,FALSE),0)</x:f>
        <x:v>310</x:v>
      </x:c>
      <x:c r="I1652">
        <x:f t="shared" si="27"/>
        <x:v>9880</x:v>
      </x:c>
    </x:row>
    <x:row r="1653" spans="1:9" x14ac:dyDescent="0.15">
      <x:c r="A1653">
        <x:v>54055</x:v>
      </x:c>
      <x:c r="B1653">
        <x:v>1</x:v>
      </x:c>
      <x:c r="C1653">
        <x:v>32</x:v>
      </x:c>
      <x:c r="D1653">
        <x:f>ROUND($C1653*10*VLOOKUP($B1653,Sheet2!$J$5:$K$7,2,FALSE)*VLOOKUP(Sheet1!$A1653,Sheet2!$B$5:$H$29,3,FALSE),0)</x:f>
        <x:v>0</x:v>
      </x:c>
      <x:c r="E1653">
        <x:f>ROUND($C1653*10*VLOOKUP($B1653,Sheet2!$J$5:$K$7,2,FALSE)*VLOOKUP(Sheet1!$A1653,Sheet2!$B$5:$H$29,4,FALSE),0)</x:f>
        <x:v>192</x:v>
      </x:c>
      <x:c r="F1653">
        <x:f>ROUND($C1653*10*VLOOKUP($B1653,Sheet2!$J$5:$K$7,2,FALSE)*VLOOKUP(Sheet1!$A1653,Sheet2!$B$5:$H$29,5,FALSE),0)</x:f>
        <x:v>0</x:v>
      </x:c>
      <x:c r="G1653">
        <x:f>ROUND($C1653*10*VLOOKUP($B1653,Sheet2!$J$5:$K$7,2,FALSE)*VLOOKUP(Sheet1!$A1653,Sheet2!$B$5:$H$29,6,FALSE),0)</x:f>
        <x:v>0</x:v>
      </x:c>
      <x:c r="H1653">
        <x:f>ROUND($C1653*10*VLOOKUP($B1653,Sheet2!$J$5:$K$7,2,FALSE)*VLOOKUP(Sheet1!$A1653,Sheet2!$B$5:$H$29,7,FALSE),0)</x:f>
        <x:v>320</x:v>
      </x:c>
      <x:c r="I1653">
        <x:f t="shared" si="27"/>
        <x:v>10470</x:v>
      </x:c>
    </x:row>
    <x:row r="1654" spans="1:9" x14ac:dyDescent="0.15">
      <x:c r="A1654">
        <x:v>54055</x:v>
      </x:c>
      <x:c r="B1654">
        <x:v>1</x:v>
      </x:c>
      <x:c r="C1654">
        <x:v>33</x:v>
      </x:c>
      <x:c r="D1654">
        <x:f>ROUND($C1654*10*VLOOKUP($B1654,Sheet2!$J$5:$K$7,2,FALSE)*VLOOKUP(Sheet1!$A1654,Sheet2!$B$5:$H$29,3,FALSE),0)</x:f>
        <x:v>0</x:v>
      </x:c>
      <x:c r="E1654">
        <x:f>ROUND($C1654*10*VLOOKUP($B1654,Sheet2!$J$5:$K$7,2,FALSE)*VLOOKUP(Sheet1!$A1654,Sheet2!$B$5:$H$29,4,FALSE),0)</x:f>
        <x:v>198</x:v>
      </x:c>
      <x:c r="F1654">
        <x:f>ROUND($C1654*10*VLOOKUP($B1654,Sheet2!$J$5:$K$7,2,FALSE)*VLOOKUP(Sheet1!$A1654,Sheet2!$B$5:$H$29,5,FALSE),0)</x:f>
        <x:v>0</x:v>
      </x:c>
      <x:c r="G1654">
        <x:f>ROUND($C1654*10*VLOOKUP($B1654,Sheet2!$J$5:$K$7,2,FALSE)*VLOOKUP(Sheet1!$A1654,Sheet2!$B$5:$H$29,6,FALSE),0)</x:f>
        <x:v>0</x:v>
      </x:c>
      <x:c r="H1654">
        <x:f>ROUND($C1654*10*VLOOKUP($B1654,Sheet2!$J$5:$K$7,2,FALSE)*VLOOKUP(Sheet1!$A1654,Sheet2!$B$5:$H$29,7,FALSE),0)</x:f>
        <x:v>330</x:v>
      </x:c>
      <x:c r="I1654">
        <x:f t="shared" si="27"/>
        <x:v>11090</x:v>
      </x:c>
    </x:row>
    <x:row r="1655" spans="1:9" x14ac:dyDescent="0.15">
      <x:c r="A1655">
        <x:v>54055</x:v>
      </x:c>
      <x:c r="B1655">
        <x:v>1</x:v>
      </x:c>
      <x:c r="C1655">
        <x:v>34</x:v>
      </x:c>
      <x:c r="D1655">
        <x:f>ROUND($C1655*10*VLOOKUP($B1655,Sheet2!$J$5:$K$7,2,FALSE)*VLOOKUP(Sheet1!$A1655,Sheet2!$B$5:$H$29,3,FALSE),0)</x:f>
        <x:v>0</x:v>
      </x:c>
      <x:c r="E1655">
        <x:f>ROUND($C1655*10*VLOOKUP($B1655,Sheet2!$J$5:$K$7,2,FALSE)*VLOOKUP(Sheet1!$A1655,Sheet2!$B$5:$H$29,4,FALSE),0)</x:f>
        <x:v>204</x:v>
      </x:c>
      <x:c r="F1655">
        <x:f>ROUND($C1655*10*VLOOKUP($B1655,Sheet2!$J$5:$K$7,2,FALSE)*VLOOKUP(Sheet1!$A1655,Sheet2!$B$5:$H$29,5,FALSE),0)</x:f>
        <x:v>0</x:v>
      </x:c>
      <x:c r="G1655">
        <x:f>ROUND($C1655*10*VLOOKUP($B1655,Sheet2!$J$5:$K$7,2,FALSE)*VLOOKUP(Sheet1!$A1655,Sheet2!$B$5:$H$29,6,FALSE),0)</x:f>
        <x:v>0</x:v>
      </x:c>
      <x:c r="H1655">
        <x:f>ROUND($C1655*10*VLOOKUP($B1655,Sheet2!$J$5:$K$7,2,FALSE)*VLOOKUP(Sheet1!$A1655,Sheet2!$B$5:$H$29,7,FALSE),0)</x:f>
        <x:v>340</x:v>
      </x:c>
      <x:c r="I1655">
        <x:f t="shared" si="27"/>
        <x:v>11720</x:v>
      </x:c>
    </x:row>
    <x:row r="1656" spans="1:9" x14ac:dyDescent="0.15">
      <x:c r="A1656">
        <x:v>54055</x:v>
      </x:c>
      <x:c r="B1656">
        <x:v>1</x:v>
      </x:c>
      <x:c r="C1656">
        <x:v>35</x:v>
      </x:c>
      <x:c r="D1656">
        <x:f>ROUND($C1656*10*VLOOKUP($B1656,Sheet2!$J$5:$K$7,2,FALSE)*VLOOKUP(Sheet1!$A1656,Sheet2!$B$5:$H$29,3,FALSE),0)</x:f>
        <x:v>0</x:v>
      </x:c>
      <x:c r="E1656">
        <x:f>ROUND($C1656*10*VLOOKUP($B1656,Sheet2!$J$5:$K$7,2,FALSE)*VLOOKUP(Sheet1!$A1656,Sheet2!$B$5:$H$29,4,FALSE),0)</x:f>
        <x:v>210</x:v>
      </x:c>
      <x:c r="F1656">
        <x:f>ROUND($C1656*10*VLOOKUP($B1656,Sheet2!$J$5:$K$7,2,FALSE)*VLOOKUP(Sheet1!$A1656,Sheet2!$B$5:$H$29,5,FALSE),0)</x:f>
        <x:v>0</x:v>
      </x:c>
      <x:c r="G1656">
        <x:f>ROUND($C1656*10*VLOOKUP($B1656,Sheet2!$J$5:$K$7,2,FALSE)*VLOOKUP(Sheet1!$A1656,Sheet2!$B$5:$H$29,6,FALSE),0)</x:f>
        <x:v>0</x:v>
      </x:c>
      <x:c r="H1656">
        <x:f>ROUND($C1656*10*VLOOKUP($B1656,Sheet2!$J$5:$K$7,2,FALSE)*VLOOKUP(Sheet1!$A1656,Sheet2!$B$5:$H$29,7,FALSE),0)</x:f>
        <x:v>350</x:v>
      </x:c>
      <x:c r="I1656">
        <x:f t="shared" si="27"/>
        <x:v>12360</x:v>
      </x:c>
    </x:row>
    <x:row r="1657" spans="1:9" x14ac:dyDescent="0.15">
      <x:c r="A1657">
        <x:v>54055</x:v>
      </x:c>
      <x:c r="B1657">
        <x:v>1</x:v>
      </x:c>
      <x:c r="C1657">
        <x:v>36</x:v>
      </x:c>
      <x:c r="D1657">
        <x:f>ROUND($C1657*10*VLOOKUP($B1657,Sheet2!$J$5:$K$7,2,FALSE)*VLOOKUP(Sheet1!$A1657,Sheet2!$B$5:$H$29,3,FALSE),0)</x:f>
        <x:v>0</x:v>
      </x:c>
      <x:c r="E1657">
        <x:f>ROUND($C1657*10*VLOOKUP($B1657,Sheet2!$J$5:$K$7,2,FALSE)*VLOOKUP(Sheet1!$A1657,Sheet2!$B$5:$H$29,4,FALSE),0)</x:f>
        <x:v>216</x:v>
      </x:c>
      <x:c r="F1657">
        <x:f>ROUND($C1657*10*VLOOKUP($B1657,Sheet2!$J$5:$K$7,2,FALSE)*VLOOKUP(Sheet1!$A1657,Sheet2!$B$5:$H$29,5,FALSE),0)</x:f>
        <x:v>0</x:v>
      </x:c>
      <x:c r="G1657">
        <x:f>ROUND($C1657*10*VLOOKUP($B1657,Sheet2!$J$5:$K$7,2,FALSE)*VLOOKUP(Sheet1!$A1657,Sheet2!$B$5:$H$29,6,FALSE),0)</x:f>
        <x:v>0</x:v>
      </x:c>
      <x:c r="H1657">
        <x:f>ROUND($C1657*10*VLOOKUP($B1657,Sheet2!$J$5:$K$7,2,FALSE)*VLOOKUP(Sheet1!$A1657,Sheet2!$B$5:$H$29,7,FALSE),0)</x:f>
        <x:v>360</x:v>
      </x:c>
      <x:c r="I1657">
        <x:f t="shared" si="27"/>
        <x:v>13020</x:v>
      </x:c>
    </x:row>
    <x:row r="1658" spans="1:9" x14ac:dyDescent="0.15">
      <x:c r="A1658">
        <x:v>54055</x:v>
      </x:c>
      <x:c r="B1658">
        <x:v>1</x:v>
      </x:c>
      <x:c r="C1658">
        <x:v>37</x:v>
      </x:c>
      <x:c r="D1658">
        <x:f>ROUND($C1658*10*VLOOKUP($B1658,Sheet2!$J$5:$K$7,2,FALSE)*VLOOKUP(Sheet1!$A1658,Sheet2!$B$5:$H$29,3,FALSE),0)</x:f>
        <x:v>0</x:v>
      </x:c>
      <x:c r="E1658">
        <x:f>ROUND($C1658*10*VLOOKUP($B1658,Sheet2!$J$5:$K$7,2,FALSE)*VLOOKUP(Sheet1!$A1658,Sheet2!$B$5:$H$29,4,FALSE),0)</x:f>
        <x:v>222</x:v>
      </x:c>
      <x:c r="F1658">
        <x:f>ROUND($C1658*10*VLOOKUP($B1658,Sheet2!$J$5:$K$7,2,FALSE)*VLOOKUP(Sheet1!$A1658,Sheet2!$B$5:$H$29,5,FALSE),0)</x:f>
        <x:v>0</x:v>
      </x:c>
      <x:c r="G1658">
        <x:f>ROUND($C1658*10*VLOOKUP($B1658,Sheet2!$J$5:$K$7,2,FALSE)*VLOOKUP(Sheet1!$A1658,Sheet2!$B$5:$H$29,6,FALSE),0)</x:f>
        <x:v>0</x:v>
      </x:c>
      <x:c r="H1658">
        <x:f>ROUND($C1658*10*VLOOKUP($B1658,Sheet2!$J$5:$K$7,2,FALSE)*VLOOKUP(Sheet1!$A1658,Sheet2!$B$5:$H$29,7,FALSE),0)</x:f>
        <x:v>370</x:v>
      </x:c>
      <x:c r="I1658">
        <x:f t="shared" si="27"/>
        <x:v>13700</x:v>
      </x:c>
    </x:row>
    <x:row r="1659" spans="1:9" x14ac:dyDescent="0.15">
      <x:c r="A1659">
        <x:v>54055</x:v>
      </x:c>
      <x:c r="B1659">
        <x:v>1</x:v>
      </x:c>
      <x:c r="C1659">
        <x:v>38</x:v>
      </x:c>
      <x:c r="D1659">
        <x:f>ROUND($C1659*10*VLOOKUP($B1659,Sheet2!$J$5:$K$7,2,FALSE)*VLOOKUP(Sheet1!$A1659,Sheet2!$B$5:$H$29,3,FALSE),0)</x:f>
        <x:v>0</x:v>
      </x:c>
      <x:c r="E1659">
        <x:f>ROUND($C1659*10*VLOOKUP($B1659,Sheet2!$J$5:$K$7,2,FALSE)*VLOOKUP(Sheet1!$A1659,Sheet2!$B$5:$H$29,4,FALSE),0)</x:f>
        <x:v>228</x:v>
      </x:c>
      <x:c r="F1659">
        <x:f>ROUND($C1659*10*VLOOKUP($B1659,Sheet2!$J$5:$K$7,2,FALSE)*VLOOKUP(Sheet1!$A1659,Sheet2!$B$5:$H$29,5,FALSE),0)</x:f>
        <x:v>0</x:v>
      </x:c>
      <x:c r="G1659">
        <x:f>ROUND($C1659*10*VLOOKUP($B1659,Sheet2!$J$5:$K$7,2,FALSE)*VLOOKUP(Sheet1!$A1659,Sheet2!$B$5:$H$29,6,FALSE),0)</x:f>
        <x:v>0</x:v>
      </x:c>
      <x:c r="H1659">
        <x:f>ROUND($C1659*10*VLOOKUP($B1659,Sheet2!$J$5:$K$7,2,FALSE)*VLOOKUP(Sheet1!$A1659,Sheet2!$B$5:$H$29,7,FALSE),0)</x:f>
        <x:v>380</x:v>
      </x:c>
      <x:c r="I1659">
        <x:f t="shared" si="27"/>
        <x:v>14390</x:v>
      </x:c>
    </x:row>
    <x:row r="1660" spans="1:9" x14ac:dyDescent="0.15">
      <x:c r="A1660">
        <x:v>54055</x:v>
      </x:c>
      <x:c r="B1660">
        <x:v>1</x:v>
      </x:c>
      <x:c r="C1660">
        <x:v>39</x:v>
      </x:c>
      <x:c r="D1660">
        <x:f>ROUND($C1660*10*VLOOKUP($B1660,Sheet2!$J$5:$K$7,2,FALSE)*VLOOKUP(Sheet1!$A1660,Sheet2!$B$5:$H$29,3,FALSE),0)</x:f>
        <x:v>0</x:v>
      </x:c>
      <x:c r="E1660">
        <x:f>ROUND($C1660*10*VLOOKUP($B1660,Sheet2!$J$5:$K$7,2,FALSE)*VLOOKUP(Sheet1!$A1660,Sheet2!$B$5:$H$29,4,FALSE),0)</x:f>
        <x:v>234</x:v>
      </x:c>
      <x:c r="F1660">
        <x:f>ROUND($C1660*10*VLOOKUP($B1660,Sheet2!$J$5:$K$7,2,FALSE)*VLOOKUP(Sheet1!$A1660,Sheet2!$B$5:$H$29,5,FALSE),0)</x:f>
        <x:v>0</x:v>
      </x:c>
      <x:c r="G1660">
        <x:f>ROUND($C1660*10*VLOOKUP($B1660,Sheet2!$J$5:$K$7,2,FALSE)*VLOOKUP(Sheet1!$A1660,Sheet2!$B$5:$H$29,6,FALSE),0)</x:f>
        <x:v>0</x:v>
      </x:c>
      <x:c r="H1660">
        <x:f>ROUND($C1660*10*VLOOKUP($B1660,Sheet2!$J$5:$K$7,2,FALSE)*VLOOKUP(Sheet1!$A1660,Sheet2!$B$5:$H$29,7,FALSE),0)</x:f>
        <x:v>390</x:v>
      </x:c>
      <x:c r="I1660">
        <x:f t="shared" si="27"/>
        <x:v>15100</x:v>
      </x:c>
    </x:row>
    <x:row r="1661" spans="1:9" x14ac:dyDescent="0.15">
      <x:c r="A1661">
        <x:v>54055</x:v>
      </x:c>
      <x:c r="B1661">
        <x:v>1</x:v>
      </x:c>
      <x:c r="C1661">
        <x:v>40</x:v>
      </x:c>
      <x:c r="D1661">
        <x:f>ROUND($C1661*10*VLOOKUP($B1661,Sheet2!$J$5:$K$7,2,FALSE)*VLOOKUP(Sheet1!$A1661,Sheet2!$B$5:$H$29,3,FALSE),0)</x:f>
        <x:v>0</x:v>
      </x:c>
      <x:c r="E1661">
        <x:f>ROUND($C1661*10*VLOOKUP($B1661,Sheet2!$J$5:$K$7,2,FALSE)*VLOOKUP(Sheet1!$A1661,Sheet2!$B$5:$H$29,4,FALSE),0)</x:f>
        <x:v>240</x:v>
      </x:c>
      <x:c r="F1661">
        <x:f>ROUND($C1661*10*VLOOKUP($B1661,Sheet2!$J$5:$K$7,2,FALSE)*VLOOKUP(Sheet1!$A1661,Sheet2!$B$5:$H$29,5,FALSE),0)</x:f>
        <x:v>0</x:v>
      </x:c>
      <x:c r="G1661">
        <x:f>ROUND($C1661*10*VLOOKUP($B1661,Sheet2!$J$5:$K$7,2,FALSE)*VLOOKUP(Sheet1!$A1661,Sheet2!$B$5:$H$29,6,FALSE),0)</x:f>
        <x:v>0</x:v>
      </x:c>
      <x:c r="H1661">
        <x:f>ROUND($C1661*10*VLOOKUP($B1661,Sheet2!$J$5:$K$7,2,FALSE)*VLOOKUP(Sheet1!$A1661,Sheet2!$B$5:$H$29,7,FALSE),0)</x:f>
        <x:v>400</x:v>
      </x:c>
      <x:c r="I1661">
        <x:f t="shared" si="27"/>
        <x:v>15820</x:v>
      </x:c>
    </x:row>
    <x:row r="1662" spans="1:9" x14ac:dyDescent="0.15">
      <x:c r="A1662">
        <x:v>54055</x:v>
      </x:c>
      <x:c r="B1662">
        <x:v>1</x:v>
      </x:c>
      <x:c r="C1662">
        <x:v>41</x:v>
      </x:c>
      <x:c r="D1662">
        <x:f>ROUND($C1662*10*VLOOKUP($B1662,Sheet2!$J$5:$K$7,2,FALSE)*VLOOKUP(Sheet1!$A1662,Sheet2!$B$5:$H$29,3,FALSE),0)</x:f>
        <x:v>0</x:v>
      </x:c>
      <x:c r="E1662">
        <x:f>ROUND($C1662*10*VLOOKUP($B1662,Sheet2!$J$5:$K$7,2,FALSE)*VLOOKUP(Sheet1!$A1662,Sheet2!$B$5:$H$29,4,FALSE),0)</x:f>
        <x:v>246</x:v>
      </x:c>
      <x:c r="F1662">
        <x:f>ROUND($C1662*10*VLOOKUP($B1662,Sheet2!$J$5:$K$7,2,FALSE)*VLOOKUP(Sheet1!$A1662,Sheet2!$B$5:$H$29,5,FALSE),0)</x:f>
        <x:v>0</x:v>
      </x:c>
      <x:c r="G1662">
        <x:f>ROUND($C1662*10*VLOOKUP($B1662,Sheet2!$J$5:$K$7,2,FALSE)*VLOOKUP(Sheet1!$A1662,Sheet2!$B$5:$H$29,6,FALSE),0)</x:f>
        <x:v>0</x:v>
      </x:c>
      <x:c r="H1662">
        <x:f>ROUND($C1662*10*VLOOKUP($B1662,Sheet2!$J$5:$K$7,2,FALSE)*VLOOKUP(Sheet1!$A1662,Sheet2!$B$5:$H$29,7,FALSE),0)</x:f>
        <x:v>410</x:v>
      </x:c>
      <x:c r="I1662">
        <x:f t="shared" si="27"/>
        <x:v>16560</x:v>
      </x:c>
    </x:row>
    <x:row r="1663" spans="1:9" x14ac:dyDescent="0.15">
      <x:c r="A1663">
        <x:v>54055</x:v>
      </x:c>
      <x:c r="B1663">
        <x:v>1</x:v>
      </x:c>
      <x:c r="C1663">
        <x:v>42</x:v>
      </x:c>
      <x:c r="D1663">
        <x:f>ROUND($C1663*10*VLOOKUP($B1663,Sheet2!$J$5:$K$7,2,FALSE)*VLOOKUP(Sheet1!$A1663,Sheet2!$B$5:$H$29,3,FALSE),0)</x:f>
        <x:v>0</x:v>
      </x:c>
      <x:c r="E1663">
        <x:f>ROUND($C1663*10*VLOOKUP($B1663,Sheet2!$J$5:$K$7,2,FALSE)*VLOOKUP(Sheet1!$A1663,Sheet2!$B$5:$H$29,4,FALSE),0)</x:f>
        <x:v>252</x:v>
      </x:c>
      <x:c r="F1663">
        <x:f>ROUND($C1663*10*VLOOKUP($B1663,Sheet2!$J$5:$K$7,2,FALSE)*VLOOKUP(Sheet1!$A1663,Sheet2!$B$5:$H$29,5,FALSE),0)</x:f>
        <x:v>0</x:v>
      </x:c>
      <x:c r="G1663">
        <x:f>ROUND($C1663*10*VLOOKUP($B1663,Sheet2!$J$5:$K$7,2,FALSE)*VLOOKUP(Sheet1!$A1663,Sheet2!$B$5:$H$29,6,FALSE),0)</x:f>
        <x:v>0</x:v>
      </x:c>
      <x:c r="H1663">
        <x:f>ROUND($C1663*10*VLOOKUP($B1663,Sheet2!$J$5:$K$7,2,FALSE)*VLOOKUP(Sheet1!$A1663,Sheet2!$B$5:$H$29,7,FALSE),0)</x:f>
        <x:v>420</x:v>
      </x:c>
      <x:c r="I1663">
        <x:f t="shared" si="27"/>
        <x:v>17310</x:v>
      </x:c>
    </x:row>
    <x:row r="1664" spans="1:9" x14ac:dyDescent="0.15">
      <x:c r="A1664">
        <x:v>54055</x:v>
      </x:c>
      <x:c r="B1664">
        <x:v>1</x:v>
      </x:c>
      <x:c r="C1664">
        <x:v>43</x:v>
      </x:c>
      <x:c r="D1664">
        <x:f>ROUND($C1664*10*VLOOKUP($B1664,Sheet2!$J$5:$K$7,2,FALSE)*VLOOKUP(Sheet1!$A1664,Sheet2!$B$5:$H$29,3,FALSE),0)</x:f>
        <x:v>0</x:v>
      </x:c>
      <x:c r="E1664">
        <x:f>ROUND($C1664*10*VLOOKUP($B1664,Sheet2!$J$5:$K$7,2,FALSE)*VLOOKUP(Sheet1!$A1664,Sheet2!$B$5:$H$29,4,FALSE),0)</x:f>
        <x:v>258</x:v>
      </x:c>
      <x:c r="F1664">
        <x:f>ROUND($C1664*10*VLOOKUP($B1664,Sheet2!$J$5:$K$7,2,FALSE)*VLOOKUP(Sheet1!$A1664,Sheet2!$B$5:$H$29,5,FALSE),0)</x:f>
        <x:v>0</x:v>
      </x:c>
      <x:c r="G1664">
        <x:f>ROUND($C1664*10*VLOOKUP($B1664,Sheet2!$J$5:$K$7,2,FALSE)*VLOOKUP(Sheet1!$A1664,Sheet2!$B$5:$H$29,6,FALSE),0)</x:f>
        <x:v>0</x:v>
      </x:c>
      <x:c r="H1664">
        <x:f>ROUND($C1664*10*VLOOKUP($B1664,Sheet2!$J$5:$K$7,2,FALSE)*VLOOKUP(Sheet1!$A1664,Sheet2!$B$5:$H$29,7,FALSE),0)</x:f>
        <x:v>430</x:v>
      </x:c>
      <x:c r="I1664">
        <x:f t="shared" si="27"/>
        <x:v>18070</x:v>
      </x:c>
    </x:row>
    <x:row r="1665" spans="1:9" x14ac:dyDescent="0.15">
      <x:c r="A1665">
        <x:v>54055</x:v>
      </x:c>
      <x:c r="B1665">
        <x:v>1</x:v>
      </x:c>
      <x:c r="C1665">
        <x:v>44</x:v>
      </x:c>
      <x:c r="D1665">
        <x:f>ROUND($C1665*10*VLOOKUP($B1665,Sheet2!$J$5:$K$7,2,FALSE)*VLOOKUP(Sheet1!$A1665,Sheet2!$B$5:$H$29,3,FALSE),0)</x:f>
        <x:v>0</x:v>
      </x:c>
      <x:c r="E1665">
        <x:f>ROUND($C1665*10*VLOOKUP($B1665,Sheet2!$J$5:$K$7,2,FALSE)*VLOOKUP(Sheet1!$A1665,Sheet2!$B$5:$H$29,4,FALSE),0)</x:f>
        <x:v>264</x:v>
      </x:c>
      <x:c r="F1665">
        <x:f>ROUND($C1665*10*VLOOKUP($B1665,Sheet2!$J$5:$K$7,2,FALSE)*VLOOKUP(Sheet1!$A1665,Sheet2!$B$5:$H$29,5,FALSE),0)</x:f>
        <x:v>0</x:v>
      </x:c>
      <x:c r="G1665">
        <x:f>ROUND($C1665*10*VLOOKUP($B1665,Sheet2!$J$5:$K$7,2,FALSE)*VLOOKUP(Sheet1!$A1665,Sheet2!$B$5:$H$29,6,FALSE),0)</x:f>
        <x:v>0</x:v>
      </x:c>
      <x:c r="H1665">
        <x:f>ROUND($C1665*10*VLOOKUP($B1665,Sheet2!$J$5:$K$7,2,FALSE)*VLOOKUP(Sheet1!$A1665,Sheet2!$B$5:$H$29,7,FALSE),0)</x:f>
        <x:v>440</x:v>
      </x:c>
      <x:c r="I1665">
        <x:f t="shared" si="27"/>
        <x:v>18850</x:v>
      </x:c>
    </x:row>
    <x:row r="1666" spans="1:9" x14ac:dyDescent="0.15">
      <x:c r="A1666">
        <x:v>54055</x:v>
      </x:c>
      <x:c r="B1666">
        <x:v>1</x:v>
      </x:c>
      <x:c r="C1666">
        <x:v>45</x:v>
      </x:c>
      <x:c r="D1666">
        <x:f>ROUND($C1666*10*VLOOKUP($B1666,Sheet2!$J$5:$K$7,2,FALSE)*VLOOKUP(Sheet1!$A1666,Sheet2!$B$5:$H$29,3,FALSE),0)</x:f>
        <x:v>0</x:v>
      </x:c>
      <x:c r="E1666">
        <x:f>ROUND($C1666*10*VLOOKUP($B1666,Sheet2!$J$5:$K$7,2,FALSE)*VLOOKUP(Sheet1!$A1666,Sheet2!$B$5:$H$29,4,FALSE),0)</x:f>
        <x:v>270</x:v>
      </x:c>
      <x:c r="F1666">
        <x:f>ROUND($C1666*10*VLOOKUP($B1666,Sheet2!$J$5:$K$7,2,FALSE)*VLOOKUP(Sheet1!$A1666,Sheet2!$B$5:$H$29,5,FALSE),0)</x:f>
        <x:v>0</x:v>
      </x:c>
      <x:c r="G1666">
        <x:f>ROUND($C1666*10*VLOOKUP($B1666,Sheet2!$J$5:$K$7,2,FALSE)*VLOOKUP(Sheet1!$A1666,Sheet2!$B$5:$H$29,6,FALSE),0)</x:f>
        <x:v>0</x:v>
      </x:c>
      <x:c r="H1666">
        <x:f>ROUND($C1666*10*VLOOKUP($B1666,Sheet2!$J$5:$K$7,2,FALSE)*VLOOKUP(Sheet1!$A1666,Sheet2!$B$5:$H$29,7,FALSE),0)</x:f>
        <x:v>450</x:v>
      </x:c>
      <x:c r="I1666">
        <x:f t="shared" si="27"/>
        <x:v>19650</x:v>
      </x:c>
    </x:row>
    <x:row r="1667" spans="1:9" x14ac:dyDescent="0.15">
      <x:c r="A1667">
        <x:v>54055</x:v>
      </x:c>
      <x:c r="B1667">
        <x:v>1</x:v>
      </x:c>
      <x:c r="C1667">
        <x:v>46</x:v>
      </x:c>
      <x:c r="D1667">
        <x:f>ROUND($C1667*10*VLOOKUP($B1667,Sheet2!$J$5:$K$7,2,FALSE)*VLOOKUP(Sheet1!$A1667,Sheet2!$B$5:$H$29,3,FALSE),0)</x:f>
        <x:v>0</x:v>
      </x:c>
      <x:c r="E1667">
        <x:f>ROUND($C1667*10*VLOOKUP($B1667,Sheet2!$J$5:$K$7,2,FALSE)*VLOOKUP(Sheet1!$A1667,Sheet2!$B$5:$H$29,4,FALSE),0)</x:f>
        <x:v>276</x:v>
      </x:c>
      <x:c r="F1667">
        <x:f>ROUND($C1667*10*VLOOKUP($B1667,Sheet2!$J$5:$K$7,2,FALSE)*VLOOKUP(Sheet1!$A1667,Sheet2!$B$5:$H$29,5,FALSE),0)</x:f>
        <x:v>0</x:v>
      </x:c>
      <x:c r="G1667">
        <x:f>ROUND($C1667*10*VLOOKUP($B1667,Sheet2!$J$5:$K$7,2,FALSE)*VLOOKUP(Sheet1!$A1667,Sheet2!$B$5:$H$29,6,FALSE),0)</x:f>
        <x:v>0</x:v>
      </x:c>
      <x:c r="H1667">
        <x:f>ROUND($C1667*10*VLOOKUP($B1667,Sheet2!$J$5:$K$7,2,FALSE)*VLOOKUP(Sheet1!$A1667,Sheet2!$B$5:$H$29,7,FALSE),0)</x:f>
        <x:v>460</x:v>
      </x:c>
      <x:c r="I1667">
        <x:f t="shared" si="27"/>
        <x:v>20460</x:v>
      </x:c>
    </x:row>
    <x:row r="1668" spans="1:9" x14ac:dyDescent="0.15">
      <x:c r="A1668">
        <x:v>54055</x:v>
      </x:c>
      <x:c r="B1668">
        <x:v>1</x:v>
      </x:c>
      <x:c r="C1668">
        <x:v>47</x:v>
      </x:c>
      <x:c r="D1668">
        <x:f>ROUND($C1668*10*VLOOKUP($B1668,Sheet2!$J$5:$K$7,2,FALSE)*VLOOKUP(Sheet1!$A1668,Sheet2!$B$5:$H$29,3,FALSE),0)</x:f>
        <x:v>0</x:v>
      </x:c>
      <x:c r="E1668">
        <x:f>ROUND($C1668*10*VLOOKUP($B1668,Sheet2!$J$5:$K$7,2,FALSE)*VLOOKUP(Sheet1!$A1668,Sheet2!$B$5:$H$29,4,FALSE),0)</x:f>
        <x:v>282</x:v>
      </x:c>
      <x:c r="F1668">
        <x:f>ROUND($C1668*10*VLOOKUP($B1668,Sheet2!$J$5:$K$7,2,FALSE)*VLOOKUP(Sheet1!$A1668,Sheet2!$B$5:$H$29,5,FALSE),0)</x:f>
        <x:v>0</x:v>
      </x:c>
      <x:c r="G1668">
        <x:f>ROUND($C1668*10*VLOOKUP($B1668,Sheet2!$J$5:$K$7,2,FALSE)*VLOOKUP(Sheet1!$A1668,Sheet2!$B$5:$H$29,6,FALSE),0)</x:f>
        <x:v>0</x:v>
      </x:c>
      <x:c r="H1668">
        <x:f>ROUND($C1668*10*VLOOKUP($B1668,Sheet2!$J$5:$K$7,2,FALSE)*VLOOKUP(Sheet1!$A1668,Sheet2!$B$5:$H$29,7,FALSE),0)</x:f>
        <x:v>470</x:v>
      </x:c>
      <x:c r="I1668">
        <x:f t="shared" si="27"/>
        <x:v>21280</x:v>
      </x:c>
    </x:row>
    <x:row r="1669" spans="1:9" x14ac:dyDescent="0.15">
      <x:c r="A1669">
        <x:v>54055</x:v>
      </x:c>
      <x:c r="B1669">
        <x:v>1</x:v>
      </x:c>
      <x:c r="C1669">
        <x:v>48</x:v>
      </x:c>
      <x:c r="D1669">
        <x:f>ROUND($C1669*10*VLOOKUP($B1669,Sheet2!$J$5:$K$7,2,FALSE)*VLOOKUP(Sheet1!$A1669,Sheet2!$B$5:$H$29,3,FALSE),0)</x:f>
        <x:v>0</x:v>
      </x:c>
      <x:c r="E1669">
        <x:f>ROUND($C1669*10*VLOOKUP($B1669,Sheet2!$J$5:$K$7,2,FALSE)*VLOOKUP(Sheet1!$A1669,Sheet2!$B$5:$H$29,4,FALSE),0)</x:f>
        <x:v>288</x:v>
      </x:c>
      <x:c r="F1669">
        <x:f>ROUND($C1669*10*VLOOKUP($B1669,Sheet2!$J$5:$K$7,2,FALSE)*VLOOKUP(Sheet1!$A1669,Sheet2!$B$5:$H$29,5,FALSE),0)</x:f>
        <x:v>0</x:v>
      </x:c>
      <x:c r="G1669">
        <x:f>ROUND($C1669*10*VLOOKUP($B1669,Sheet2!$J$5:$K$7,2,FALSE)*VLOOKUP(Sheet1!$A1669,Sheet2!$B$5:$H$29,6,FALSE),0)</x:f>
        <x:v>0</x:v>
      </x:c>
      <x:c r="H1669">
        <x:f>ROUND($C1669*10*VLOOKUP($B1669,Sheet2!$J$5:$K$7,2,FALSE)*VLOOKUP(Sheet1!$A1669,Sheet2!$B$5:$H$29,7,FALSE),0)</x:f>
        <x:v>480</x:v>
      </x:c>
      <x:c r="I1669">
        <x:f t="shared" si="27"/>
        <x:v>22120</x:v>
      </x:c>
    </x:row>
    <x:row r="1670" spans="1:9" x14ac:dyDescent="0.15">
      <x:c r="A1670">
        <x:v>54055</x:v>
      </x:c>
      <x:c r="B1670">
        <x:v>1</x:v>
      </x:c>
      <x:c r="C1670">
        <x:v>49</x:v>
      </x:c>
      <x:c r="D1670">
        <x:f>ROUND($C1670*10*VLOOKUP($B1670,Sheet2!$J$5:$K$7,2,FALSE)*VLOOKUP(Sheet1!$A1670,Sheet2!$B$5:$H$29,3,FALSE),0)</x:f>
        <x:v>0</x:v>
      </x:c>
      <x:c r="E1670">
        <x:f>ROUND($C1670*10*VLOOKUP($B1670,Sheet2!$J$5:$K$7,2,FALSE)*VLOOKUP(Sheet1!$A1670,Sheet2!$B$5:$H$29,4,FALSE),0)</x:f>
        <x:v>294</x:v>
      </x:c>
      <x:c r="F1670">
        <x:f>ROUND($C1670*10*VLOOKUP($B1670,Sheet2!$J$5:$K$7,2,FALSE)*VLOOKUP(Sheet1!$A1670,Sheet2!$B$5:$H$29,5,FALSE),0)</x:f>
        <x:v>0</x:v>
      </x:c>
      <x:c r="G1670">
        <x:f>ROUND($C1670*10*VLOOKUP($B1670,Sheet2!$J$5:$K$7,2,FALSE)*VLOOKUP(Sheet1!$A1670,Sheet2!$B$5:$H$29,6,FALSE),0)</x:f>
        <x:v>0</x:v>
      </x:c>
      <x:c r="H1670">
        <x:f>ROUND($C1670*10*VLOOKUP($B1670,Sheet2!$J$5:$K$7,2,FALSE)*VLOOKUP(Sheet1!$A1670,Sheet2!$B$5:$H$29,7,FALSE),0)</x:f>
        <x:v>490</x:v>
      </x:c>
      <x:c r="I1670">
        <x:f t="shared" si="27"/>
        <x:v>22970</x:v>
      </x:c>
    </x:row>
    <x:row r="1671" spans="1:9" x14ac:dyDescent="0.15">
      <x:c r="A1671">
        <x:v>54055</x:v>
      </x:c>
      <x:c r="B1671">
        <x:v>1</x:v>
      </x:c>
      <x:c r="C1671">
        <x:v>50</x:v>
      </x:c>
      <x:c r="D1671">
        <x:f>ROUND($C1671*10*VLOOKUP($B1671,Sheet2!$J$5:$K$7,2,FALSE)*VLOOKUP(Sheet1!$A1671,Sheet2!$B$5:$H$29,3,FALSE),0)</x:f>
        <x:v>0</x:v>
      </x:c>
      <x:c r="E1671">
        <x:f>ROUND($C1671*10*VLOOKUP($B1671,Sheet2!$J$5:$K$7,2,FALSE)*VLOOKUP(Sheet1!$A1671,Sheet2!$B$5:$H$29,4,FALSE),0)</x:f>
        <x:v>300</x:v>
      </x:c>
      <x:c r="F1671">
        <x:f>ROUND($C1671*10*VLOOKUP($B1671,Sheet2!$J$5:$K$7,2,FALSE)*VLOOKUP(Sheet1!$A1671,Sheet2!$B$5:$H$29,5,FALSE),0)</x:f>
        <x:v>0</x:v>
      </x:c>
      <x:c r="G1671">
        <x:f>ROUND($C1671*10*VLOOKUP($B1671,Sheet2!$J$5:$K$7,2,FALSE)*VLOOKUP(Sheet1!$A1671,Sheet2!$B$5:$H$29,6,FALSE),0)</x:f>
        <x:v>0</x:v>
      </x:c>
      <x:c r="H1671">
        <x:f>ROUND($C1671*10*VLOOKUP($B1671,Sheet2!$J$5:$K$7,2,FALSE)*VLOOKUP(Sheet1!$A1671,Sheet2!$B$5:$H$29,7,FALSE),0)</x:f>
        <x:v>500</x:v>
      </x:c>
      <x:c r="I1671">
        <x:f t="shared" si="27"/>
        <x:v>23840</x:v>
      </x:c>
    </x:row>
    <x:row r="1672" spans="1:9" x14ac:dyDescent="0.15">
      <x:c r="A1672">
        <x:v>54055</x:v>
      </x:c>
      <x:c r="B1672">
        <x:v>1</x:v>
      </x:c>
      <x:c r="C1672">
        <x:v>51</x:v>
      </x:c>
      <x:c r="D1672">
        <x:f>ROUND($C1672*10*VLOOKUP($B1672,Sheet2!$J$5:$K$7,2,FALSE)*VLOOKUP(Sheet1!$A1672,Sheet2!$B$5:$H$29,3,FALSE),0)</x:f>
        <x:v>0</x:v>
      </x:c>
      <x:c r="E1672">
        <x:f>ROUND($C1672*10*VLOOKUP($B1672,Sheet2!$J$5:$K$7,2,FALSE)*VLOOKUP(Sheet1!$A1672,Sheet2!$B$5:$H$29,4,FALSE),0)</x:f>
        <x:v>306</x:v>
      </x:c>
      <x:c r="F1672">
        <x:f>ROUND($C1672*10*VLOOKUP($B1672,Sheet2!$J$5:$K$7,2,FALSE)*VLOOKUP(Sheet1!$A1672,Sheet2!$B$5:$H$29,5,FALSE),0)</x:f>
        <x:v>0</x:v>
      </x:c>
      <x:c r="G1672">
        <x:f>ROUND($C1672*10*VLOOKUP($B1672,Sheet2!$J$5:$K$7,2,FALSE)*VLOOKUP(Sheet1!$A1672,Sheet2!$B$5:$H$29,6,FALSE),0)</x:f>
        <x:v>0</x:v>
      </x:c>
      <x:c r="H1672">
        <x:f>ROUND($C1672*10*VLOOKUP($B1672,Sheet2!$J$5:$K$7,2,FALSE)*VLOOKUP(Sheet1!$A1672,Sheet2!$B$5:$H$29,7,FALSE),0)</x:f>
        <x:v>510</x:v>
      </x:c>
      <x:c r="I1672">
        <x:f t="shared" si="27"/>
        <x:v>24720</x:v>
      </x:c>
    </x:row>
    <x:row r="1673" spans="1:9" x14ac:dyDescent="0.15">
      <x:c r="A1673">
        <x:v>54055</x:v>
      </x:c>
      <x:c r="B1673">
        <x:v>1</x:v>
      </x:c>
      <x:c r="C1673">
        <x:v>52</x:v>
      </x:c>
      <x:c r="D1673">
        <x:f>ROUND($C1673*10*VLOOKUP($B1673,Sheet2!$J$5:$K$7,2,FALSE)*VLOOKUP(Sheet1!$A1673,Sheet2!$B$5:$H$29,3,FALSE),0)</x:f>
        <x:v>0</x:v>
      </x:c>
      <x:c r="E1673">
        <x:f>ROUND($C1673*10*VLOOKUP($B1673,Sheet2!$J$5:$K$7,2,FALSE)*VLOOKUP(Sheet1!$A1673,Sheet2!$B$5:$H$29,4,FALSE),0)</x:f>
        <x:v>312</x:v>
      </x:c>
      <x:c r="F1673">
        <x:f>ROUND($C1673*10*VLOOKUP($B1673,Sheet2!$J$5:$K$7,2,FALSE)*VLOOKUP(Sheet1!$A1673,Sheet2!$B$5:$H$29,5,FALSE),0)</x:f>
        <x:v>0</x:v>
      </x:c>
      <x:c r="G1673">
        <x:f>ROUND($C1673*10*VLOOKUP($B1673,Sheet2!$J$5:$K$7,2,FALSE)*VLOOKUP(Sheet1!$A1673,Sheet2!$B$5:$H$29,6,FALSE),0)</x:f>
        <x:v>0</x:v>
      </x:c>
      <x:c r="H1673">
        <x:f>ROUND($C1673*10*VLOOKUP($B1673,Sheet2!$J$5:$K$7,2,FALSE)*VLOOKUP(Sheet1!$A1673,Sheet2!$B$5:$H$29,7,FALSE),0)</x:f>
        <x:v>520</x:v>
      </x:c>
      <x:c r="I1673">
        <x:f t="shared" si="27"/>
        <x:v>25620</x:v>
      </x:c>
    </x:row>
    <x:row r="1674" spans="1:9" x14ac:dyDescent="0.15">
      <x:c r="A1674">
        <x:v>54055</x:v>
      </x:c>
      <x:c r="B1674">
        <x:v>1</x:v>
      </x:c>
      <x:c r="C1674">
        <x:v>53</x:v>
      </x:c>
      <x:c r="D1674">
        <x:f>ROUND($C1674*10*VLOOKUP($B1674,Sheet2!$J$5:$K$7,2,FALSE)*VLOOKUP(Sheet1!$A1674,Sheet2!$B$5:$H$29,3,FALSE),0)</x:f>
        <x:v>0</x:v>
      </x:c>
      <x:c r="E1674">
        <x:f>ROUND($C1674*10*VLOOKUP($B1674,Sheet2!$J$5:$K$7,2,FALSE)*VLOOKUP(Sheet1!$A1674,Sheet2!$B$5:$H$29,4,FALSE),0)</x:f>
        <x:v>318</x:v>
      </x:c>
      <x:c r="F1674">
        <x:f>ROUND($C1674*10*VLOOKUP($B1674,Sheet2!$J$5:$K$7,2,FALSE)*VLOOKUP(Sheet1!$A1674,Sheet2!$B$5:$H$29,5,FALSE),0)</x:f>
        <x:v>0</x:v>
      </x:c>
      <x:c r="G1674">
        <x:f>ROUND($C1674*10*VLOOKUP($B1674,Sheet2!$J$5:$K$7,2,FALSE)*VLOOKUP(Sheet1!$A1674,Sheet2!$B$5:$H$29,6,FALSE),0)</x:f>
        <x:v>0</x:v>
      </x:c>
      <x:c r="H1674">
        <x:f>ROUND($C1674*10*VLOOKUP($B1674,Sheet2!$J$5:$K$7,2,FALSE)*VLOOKUP(Sheet1!$A1674,Sheet2!$B$5:$H$29,7,FALSE),0)</x:f>
        <x:v>530</x:v>
      </x:c>
      <x:c r="I1674">
        <x:f t="shared" si="27"/>
        <x:v>26530</x:v>
      </x:c>
    </x:row>
    <x:row r="1675" spans="1:9" x14ac:dyDescent="0.15">
      <x:c r="A1675">
        <x:v>54055</x:v>
      </x:c>
      <x:c r="B1675">
        <x:v>1</x:v>
      </x:c>
      <x:c r="C1675">
        <x:v>54</x:v>
      </x:c>
      <x:c r="D1675">
        <x:f>ROUND($C1675*10*VLOOKUP($B1675,Sheet2!$J$5:$K$7,2,FALSE)*VLOOKUP(Sheet1!$A1675,Sheet2!$B$5:$H$29,3,FALSE),0)</x:f>
        <x:v>0</x:v>
      </x:c>
      <x:c r="E1675">
        <x:f>ROUND($C1675*10*VLOOKUP($B1675,Sheet2!$J$5:$K$7,2,FALSE)*VLOOKUP(Sheet1!$A1675,Sheet2!$B$5:$H$29,4,FALSE),0)</x:f>
        <x:v>324</x:v>
      </x:c>
      <x:c r="F1675">
        <x:f>ROUND($C1675*10*VLOOKUP($B1675,Sheet2!$J$5:$K$7,2,FALSE)*VLOOKUP(Sheet1!$A1675,Sheet2!$B$5:$H$29,5,FALSE),0)</x:f>
        <x:v>0</x:v>
      </x:c>
      <x:c r="G1675">
        <x:f>ROUND($C1675*10*VLOOKUP($B1675,Sheet2!$J$5:$K$7,2,FALSE)*VLOOKUP(Sheet1!$A1675,Sheet2!$B$5:$H$29,6,FALSE),0)</x:f>
        <x:v>0</x:v>
      </x:c>
      <x:c r="H1675">
        <x:f>ROUND($C1675*10*VLOOKUP($B1675,Sheet2!$J$5:$K$7,2,FALSE)*VLOOKUP(Sheet1!$A1675,Sheet2!$B$5:$H$29,7,FALSE),0)</x:f>
        <x:v>540</x:v>
      </x:c>
      <x:c r="I1675">
        <x:f t="shared" si="27"/>
        <x:v>27460</x:v>
      </x:c>
    </x:row>
    <x:row r="1676" spans="1:9" x14ac:dyDescent="0.15">
      <x:c r="A1676">
        <x:v>54055</x:v>
      </x:c>
      <x:c r="B1676">
        <x:v>1</x:v>
      </x:c>
      <x:c r="C1676">
        <x:v>55</x:v>
      </x:c>
      <x:c r="D1676">
        <x:f>ROUND($C1676*10*VLOOKUP($B1676,Sheet2!$J$5:$K$7,2,FALSE)*VLOOKUP(Sheet1!$A1676,Sheet2!$B$5:$H$29,3,FALSE),0)</x:f>
        <x:v>0</x:v>
      </x:c>
      <x:c r="E1676">
        <x:f>ROUND($C1676*10*VLOOKUP($B1676,Sheet2!$J$5:$K$7,2,FALSE)*VLOOKUP(Sheet1!$A1676,Sheet2!$B$5:$H$29,4,FALSE),0)</x:f>
        <x:v>330</x:v>
      </x:c>
      <x:c r="F1676">
        <x:f>ROUND($C1676*10*VLOOKUP($B1676,Sheet2!$J$5:$K$7,2,FALSE)*VLOOKUP(Sheet1!$A1676,Sheet2!$B$5:$H$29,5,FALSE),0)</x:f>
        <x:v>0</x:v>
      </x:c>
      <x:c r="G1676">
        <x:f>ROUND($C1676*10*VLOOKUP($B1676,Sheet2!$J$5:$K$7,2,FALSE)*VLOOKUP(Sheet1!$A1676,Sheet2!$B$5:$H$29,6,FALSE),0)</x:f>
        <x:v>0</x:v>
      </x:c>
      <x:c r="H1676">
        <x:f>ROUND($C1676*10*VLOOKUP($B1676,Sheet2!$J$5:$K$7,2,FALSE)*VLOOKUP(Sheet1!$A1676,Sheet2!$B$5:$H$29,7,FALSE),0)</x:f>
        <x:v>550</x:v>
      </x:c>
      <x:c r="I1676">
        <x:f t="shared" si="27"/>
        <x:v>28390</x:v>
      </x:c>
    </x:row>
    <x:row r="1677" spans="1:9" x14ac:dyDescent="0.15">
      <x:c r="A1677">
        <x:v>54055</x:v>
      </x:c>
      <x:c r="B1677">
        <x:v>1</x:v>
      </x:c>
      <x:c r="C1677">
        <x:v>56</x:v>
      </x:c>
      <x:c r="D1677">
        <x:f>ROUND($C1677*10*VLOOKUP($B1677,Sheet2!$J$5:$K$7,2,FALSE)*VLOOKUP(Sheet1!$A1677,Sheet2!$B$5:$H$29,3,FALSE),0)</x:f>
        <x:v>0</x:v>
      </x:c>
      <x:c r="E1677">
        <x:f>ROUND($C1677*10*VLOOKUP($B1677,Sheet2!$J$5:$K$7,2,FALSE)*VLOOKUP(Sheet1!$A1677,Sheet2!$B$5:$H$29,4,FALSE),0)</x:f>
        <x:v>336</x:v>
      </x:c>
      <x:c r="F1677">
        <x:f>ROUND($C1677*10*VLOOKUP($B1677,Sheet2!$J$5:$K$7,2,FALSE)*VLOOKUP(Sheet1!$A1677,Sheet2!$B$5:$H$29,5,FALSE),0)</x:f>
        <x:v>0</x:v>
      </x:c>
      <x:c r="G1677">
        <x:f>ROUND($C1677*10*VLOOKUP($B1677,Sheet2!$J$5:$K$7,2,FALSE)*VLOOKUP(Sheet1!$A1677,Sheet2!$B$5:$H$29,6,FALSE),0)</x:f>
        <x:v>0</x:v>
      </x:c>
      <x:c r="H1677">
        <x:f>ROUND($C1677*10*VLOOKUP($B1677,Sheet2!$J$5:$K$7,2,FALSE)*VLOOKUP(Sheet1!$A1677,Sheet2!$B$5:$H$29,7,FALSE),0)</x:f>
        <x:v>560</x:v>
      </x:c>
      <x:c r="I1677">
        <x:f t="shared" si="27"/>
        <x:v>29350</x:v>
      </x:c>
    </x:row>
    <x:row r="1678" spans="1:9" x14ac:dyDescent="0.15">
      <x:c r="A1678">
        <x:v>54055</x:v>
      </x:c>
      <x:c r="B1678">
        <x:v>1</x:v>
      </x:c>
      <x:c r="C1678">
        <x:v>57</x:v>
      </x:c>
      <x:c r="D1678">
        <x:f>ROUND($C1678*10*VLOOKUP($B1678,Sheet2!$J$5:$K$7,2,FALSE)*VLOOKUP(Sheet1!$A1678,Sheet2!$B$5:$H$29,3,FALSE),0)</x:f>
        <x:v>0</x:v>
      </x:c>
      <x:c r="E1678">
        <x:f>ROUND($C1678*10*VLOOKUP($B1678,Sheet2!$J$5:$K$7,2,FALSE)*VLOOKUP(Sheet1!$A1678,Sheet2!$B$5:$H$29,4,FALSE),0)</x:f>
        <x:v>342</x:v>
      </x:c>
      <x:c r="F1678">
        <x:f>ROUND($C1678*10*VLOOKUP($B1678,Sheet2!$J$5:$K$7,2,FALSE)*VLOOKUP(Sheet1!$A1678,Sheet2!$B$5:$H$29,5,FALSE),0)</x:f>
        <x:v>0</x:v>
      </x:c>
      <x:c r="G1678">
        <x:f>ROUND($C1678*10*VLOOKUP($B1678,Sheet2!$J$5:$K$7,2,FALSE)*VLOOKUP(Sheet1!$A1678,Sheet2!$B$5:$H$29,6,FALSE),0)</x:f>
        <x:v>0</x:v>
      </x:c>
      <x:c r="H1678">
        <x:f>ROUND($C1678*10*VLOOKUP($B1678,Sheet2!$J$5:$K$7,2,FALSE)*VLOOKUP(Sheet1!$A1678,Sheet2!$B$5:$H$29,7,FALSE),0)</x:f>
        <x:v>570</x:v>
      </x:c>
      <x:c r="I1678">
        <x:f t="shared" si="27"/>
        <x:v>30310</x:v>
      </x:c>
    </x:row>
    <x:row r="1679" spans="1:9" x14ac:dyDescent="0.15">
      <x:c r="A1679">
        <x:v>54055</x:v>
      </x:c>
      <x:c r="B1679">
        <x:v>1</x:v>
      </x:c>
      <x:c r="C1679">
        <x:v>58</x:v>
      </x:c>
      <x:c r="D1679">
        <x:f>ROUND($C1679*10*VLOOKUP($B1679,Sheet2!$J$5:$K$7,2,FALSE)*VLOOKUP(Sheet1!$A1679,Sheet2!$B$5:$H$29,3,FALSE),0)</x:f>
        <x:v>0</x:v>
      </x:c>
      <x:c r="E1679">
        <x:f>ROUND($C1679*10*VLOOKUP($B1679,Sheet2!$J$5:$K$7,2,FALSE)*VLOOKUP(Sheet1!$A1679,Sheet2!$B$5:$H$29,4,FALSE),0)</x:f>
        <x:v>348</x:v>
      </x:c>
      <x:c r="F1679">
        <x:f>ROUND($C1679*10*VLOOKUP($B1679,Sheet2!$J$5:$K$7,2,FALSE)*VLOOKUP(Sheet1!$A1679,Sheet2!$B$5:$H$29,5,FALSE),0)</x:f>
        <x:v>0</x:v>
      </x:c>
      <x:c r="G1679">
        <x:f>ROUND($C1679*10*VLOOKUP($B1679,Sheet2!$J$5:$K$7,2,FALSE)*VLOOKUP(Sheet1!$A1679,Sheet2!$B$5:$H$29,6,FALSE),0)</x:f>
        <x:v>0</x:v>
      </x:c>
      <x:c r="H1679">
        <x:f>ROUND($C1679*10*VLOOKUP($B1679,Sheet2!$J$5:$K$7,2,FALSE)*VLOOKUP(Sheet1!$A1679,Sheet2!$B$5:$H$29,7,FALSE),0)</x:f>
        <x:v>580</x:v>
      </x:c>
      <x:c r="I1679">
        <x:f t="shared" si="27"/>
        <x:v>31290</x:v>
      </x:c>
    </x:row>
    <x:row r="1680" spans="1:9" x14ac:dyDescent="0.15">
      <x:c r="A1680">
        <x:v>54055</x:v>
      </x:c>
      <x:c r="B1680">
        <x:v>1</x:v>
      </x:c>
      <x:c r="C1680">
        <x:v>59</x:v>
      </x:c>
      <x:c r="D1680">
        <x:f>ROUND($C1680*10*VLOOKUP($B1680,Sheet2!$J$5:$K$7,2,FALSE)*VLOOKUP(Sheet1!$A1680,Sheet2!$B$5:$H$29,3,FALSE),0)</x:f>
        <x:v>0</x:v>
      </x:c>
      <x:c r="E1680">
        <x:f>ROUND($C1680*10*VLOOKUP($B1680,Sheet2!$J$5:$K$7,2,FALSE)*VLOOKUP(Sheet1!$A1680,Sheet2!$B$5:$H$29,4,FALSE),0)</x:f>
        <x:v>354</x:v>
      </x:c>
      <x:c r="F1680">
        <x:f>ROUND($C1680*10*VLOOKUP($B1680,Sheet2!$J$5:$K$7,2,FALSE)*VLOOKUP(Sheet1!$A1680,Sheet2!$B$5:$H$29,5,FALSE),0)</x:f>
        <x:v>0</x:v>
      </x:c>
      <x:c r="G1680">
        <x:f>ROUND($C1680*10*VLOOKUP($B1680,Sheet2!$J$5:$K$7,2,FALSE)*VLOOKUP(Sheet1!$A1680,Sheet2!$B$5:$H$29,6,FALSE),0)</x:f>
        <x:v>0</x:v>
      </x:c>
      <x:c r="H1680">
        <x:f>ROUND($C1680*10*VLOOKUP($B1680,Sheet2!$J$5:$K$7,2,FALSE)*VLOOKUP(Sheet1!$A1680,Sheet2!$B$5:$H$29,7,FALSE),0)</x:f>
        <x:v>590</x:v>
      </x:c>
      <x:c r="I1680">
        <x:f t="shared" si="27"/>
        <x:v>32290</x:v>
      </x:c>
    </x:row>
    <x:row r="1681" spans="1:9" x14ac:dyDescent="0.15">
      <x:c r="A1681">
        <x:v>54055</x:v>
      </x:c>
      <x:c r="B1681">
        <x:v>1</x:v>
      </x:c>
      <x:c r="C1681">
        <x:v>60</x:v>
      </x:c>
      <x:c r="D1681">
        <x:f>ROUND($C1681*10*VLOOKUP($B1681,Sheet2!$J$5:$K$7,2,FALSE)*VLOOKUP(Sheet1!$A1681,Sheet2!$B$5:$H$29,3,FALSE),0)</x:f>
        <x:v>0</x:v>
      </x:c>
      <x:c r="E1681">
        <x:f>ROUND($C1681*10*VLOOKUP($B1681,Sheet2!$J$5:$K$7,2,FALSE)*VLOOKUP(Sheet1!$A1681,Sheet2!$B$5:$H$29,4,FALSE),0)</x:f>
        <x:v>360</x:v>
      </x:c>
      <x:c r="F1681">
        <x:f>ROUND($C1681*10*VLOOKUP($B1681,Sheet2!$J$5:$K$7,2,FALSE)*VLOOKUP(Sheet1!$A1681,Sheet2!$B$5:$H$29,5,FALSE),0)</x:f>
        <x:v>0</x:v>
      </x:c>
      <x:c r="G1681">
        <x:f>ROUND($C1681*10*VLOOKUP($B1681,Sheet2!$J$5:$K$7,2,FALSE)*VLOOKUP(Sheet1!$A1681,Sheet2!$B$5:$H$29,6,FALSE),0)</x:f>
        <x:v>0</x:v>
      </x:c>
      <x:c r="H1681">
        <x:f>ROUND($C1681*10*VLOOKUP($B1681,Sheet2!$J$5:$K$7,2,FALSE)*VLOOKUP(Sheet1!$A1681,Sheet2!$B$5:$H$29,7,FALSE),0)</x:f>
        <x:v>600</x:v>
      </x:c>
      <x:c r="I1681">
        <x:f t="shared" si="27"/>
        <x:v>33290</x:v>
      </x:c>
    </x:row>
    <x:row r="1682" spans="1:9" x14ac:dyDescent="0.15">
      <x:c r="A1682">
        <x:v>54055</x:v>
      </x:c>
      <x:c r="B1682">
        <x:v>2</x:v>
      </x:c>
      <x:c r="C1682">
        <x:v>1</x:v>
      </x:c>
      <x:c r="D1682">
        <x:f>ROUND($C1682*10*VLOOKUP($B1682,Sheet2!$J$5:$K$7,2,FALSE)*VLOOKUP(Sheet1!$A1682,Sheet2!$B$5:$H$29,3,FALSE),0)</x:f>
        <x:v>0</x:v>
      </x:c>
      <x:c r="E1682">
        <x:f>ROUND($C1682*10*VLOOKUP($B1682,Sheet2!$J$5:$K$7,2,FALSE)*VLOOKUP(Sheet1!$A1682,Sheet2!$B$5:$H$29,4,FALSE),0)</x:f>
        <x:v>7</x:v>
      </x:c>
      <x:c r="F1682">
        <x:f>ROUND($C1682*10*VLOOKUP($B1682,Sheet2!$J$5:$K$7,2,FALSE)*VLOOKUP(Sheet1!$A1682,Sheet2!$B$5:$H$29,5,FALSE),0)</x:f>
        <x:v>0</x:v>
      </x:c>
      <x:c r="G1682">
        <x:f>ROUND($C1682*10*VLOOKUP($B1682,Sheet2!$J$5:$K$7,2,FALSE)*VLOOKUP(Sheet1!$A1682,Sheet2!$B$5:$H$29,6,FALSE),0)</x:f>
        <x:v>0</x:v>
      </x:c>
      <x:c r="H1682">
        <x:f>ROUND($C1682*10*VLOOKUP($B1682,Sheet2!$J$5:$K$7,2,FALSE)*VLOOKUP(Sheet1!$A1682,Sheet2!$B$5:$H$29,7,FALSE),0)</x:f>
        <x:v>12</x:v>
      </x:c>
      <x:c r="I1682">
        <x:f t="shared" ref="I1682:I1741" si="28">ROUND(1.2*10*3.5*(C1682-1)^1.8+60,-1)</x:f>
        <x:v>60</x:v>
      </x:c>
    </x:row>
    <x:row r="1683" spans="1:9" x14ac:dyDescent="0.15">
      <x:c r="A1683">
        <x:v>54055</x:v>
      </x:c>
      <x:c r="B1683">
        <x:v>2</x:v>
      </x:c>
      <x:c r="C1683">
        <x:v>2</x:v>
      </x:c>
      <x:c r="D1683">
        <x:f>ROUND($C1683*10*VLOOKUP($B1683,Sheet2!$J$5:$K$7,2,FALSE)*VLOOKUP(Sheet1!$A1683,Sheet2!$B$5:$H$29,3,FALSE),0)</x:f>
        <x:v>0</x:v>
      </x:c>
      <x:c r="E1683">
        <x:f>ROUND($C1683*10*VLOOKUP($B1683,Sheet2!$J$5:$K$7,2,FALSE)*VLOOKUP(Sheet1!$A1683,Sheet2!$B$5:$H$29,4,FALSE),0)</x:f>
        <x:v>14</x:v>
      </x:c>
      <x:c r="F1683">
        <x:f>ROUND($C1683*10*VLOOKUP($B1683,Sheet2!$J$5:$K$7,2,FALSE)*VLOOKUP(Sheet1!$A1683,Sheet2!$B$5:$H$29,5,FALSE),0)</x:f>
        <x:v>0</x:v>
      </x:c>
      <x:c r="G1683">
        <x:f>ROUND($C1683*10*VLOOKUP($B1683,Sheet2!$J$5:$K$7,2,FALSE)*VLOOKUP(Sheet1!$A1683,Sheet2!$B$5:$H$29,6,FALSE),0)</x:f>
        <x:v>0</x:v>
      </x:c>
      <x:c r="H1683">
        <x:f>ROUND($C1683*10*VLOOKUP($B1683,Sheet2!$J$5:$K$7,2,FALSE)*VLOOKUP(Sheet1!$A1683,Sheet2!$B$5:$H$29,7,FALSE),0)</x:f>
        <x:v>24</x:v>
      </x:c>
      <x:c r="I1683">
        <x:f t="shared" si="28"/>
        <x:v>100</x:v>
      </x:c>
    </x:row>
    <x:row r="1684" spans="1:9" x14ac:dyDescent="0.15">
      <x:c r="A1684">
        <x:v>54055</x:v>
      </x:c>
      <x:c r="B1684">
        <x:v>2</x:v>
      </x:c>
      <x:c r="C1684">
        <x:v>3</x:v>
      </x:c>
      <x:c r="D1684">
        <x:f>ROUND($C1684*10*VLOOKUP($B1684,Sheet2!$J$5:$K$7,2,FALSE)*VLOOKUP(Sheet1!$A1684,Sheet2!$B$5:$H$29,3,FALSE),0)</x:f>
        <x:v>0</x:v>
      </x:c>
      <x:c r="E1684">
        <x:f>ROUND($C1684*10*VLOOKUP($B1684,Sheet2!$J$5:$K$7,2,FALSE)*VLOOKUP(Sheet1!$A1684,Sheet2!$B$5:$H$29,4,FALSE),0)</x:f>
        <x:v>22</x:v>
      </x:c>
      <x:c r="F1684">
        <x:f>ROUND($C1684*10*VLOOKUP($B1684,Sheet2!$J$5:$K$7,2,FALSE)*VLOOKUP(Sheet1!$A1684,Sheet2!$B$5:$H$29,5,FALSE),0)</x:f>
        <x:v>0</x:v>
      </x:c>
      <x:c r="G1684">
        <x:f>ROUND($C1684*10*VLOOKUP($B1684,Sheet2!$J$5:$K$7,2,FALSE)*VLOOKUP(Sheet1!$A1684,Sheet2!$B$5:$H$29,6,FALSE),0)</x:f>
        <x:v>0</x:v>
      </x:c>
      <x:c r="H1684">
        <x:f>ROUND($C1684*10*VLOOKUP($B1684,Sheet2!$J$5:$K$7,2,FALSE)*VLOOKUP(Sheet1!$A1684,Sheet2!$B$5:$H$29,7,FALSE),0)</x:f>
        <x:v>36</x:v>
      </x:c>
      <x:c r="I1684">
        <x:f t="shared" si="28"/>
        <x:v>210</x:v>
      </x:c>
    </x:row>
    <x:row r="1685" spans="1:9" x14ac:dyDescent="0.15">
      <x:c r="A1685">
        <x:v>54055</x:v>
      </x:c>
      <x:c r="B1685">
        <x:v>2</x:v>
      </x:c>
      <x:c r="C1685">
        <x:v>4</x:v>
      </x:c>
      <x:c r="D1685">
        <x:f>ROUND($C1685*10*VLOOKUP($B1685,Sheet2!$J$5:$K$7,2,FALSE)*VLOOKUP(Sheet1!$A1685,Sheet2!$B$5:$H$29,3,FALSE),0)</x:f>
        <x:v>0</x:v>
      </x:c>
      <x:c r="E1685">
        <x:f>ROUND($C1685*10*VLOOKUP($B1685,Sheet2!$J$5:$K$7,2,FALSE)*VLOOKUP(Sheet1!$A1685,Sheet2!$B$5:$H$29,4,FALSE),0)</x:f>
        <x:v>29</x:v>
      </x:c>
      <x:c r="F1685">
        <x:f>ROUND($C1685*10*VLOOKUP($B1685,Sheet2!$J$5:$K$7,2,FALSE)*VLOOKUP(Sheet1!$A1685,Sheet2!$B$5:$H$29,5,FALSE),0)</x:f>
        <x:v>0</x:v>
      </x:c>
      <x:c r="G1685">
        <x:f>ROUND($C1685*10*VLOOKUP($B1685,Sheet2!$J$5:$K$7,2,FALSE)*VLOOKUP(Sheet1!$A1685,Sheet2!$B$5:$H$29,6,FALSE),0)</x:f>
        <x:v>0</x:v>
      </x:c>
      <x:c r="H1685">
        <x:f>ROUND($C1685*10*VLOOKUP($B1685,Sheet2!$J$5:$K$7,2,FALSE)*VLOOKUP(Sheet1!$A1685,Sheet2!$B$5:$H$29,7,FALSE),0)</x:f>
        <x:v>48</x:v>
      </x:c>
      <x:c r="I1685">
        <x:f t="shared" si="28"/>
        <x:v>360</x:v>
      </x:c>
    </x:row>
    <x:row r="1686" spans="1:9" x14ac:dyDescent="0.15">
      <x:c r="A1686">
        <x:v>54055</x:v>
      </x:c>
      <x:c r="B1686">
        <x:v>2</x:v>
      </x:c>
      <x:c r="C1686">
        <x:v>5</x:v>
      </x:c>
      <x:c r="D1686">
        <x:f>ROUND($C1686*10*VLOOKUP($B1686,Sheet2!$J$5:$K$7,2,FALSE)*VLOOKUP(Sheet1!$A1686,Sheet2!$B$5:$H$29,3,FALSE),0)</x:f>
        <x:v>0</x:v>
      </x:c>
      <x:c r="E1686">
        <x:f>ROUND($C1686*10*VLOOKUP($B1686,Sheet2!$J$5:$K$7,2,FALSE)*VLOOKUP(Sheet1!$A1686,Sheet2!$B$5:$H$29,4,FALSE),0)</x:f>
        <x:v>36</x:v>
      </x:c>
      <x:c r="F1686">
        <x:f>ROUND($C1686*10*VLOOKUP($B1686,Sheet2!$J$5:$K$7,2,FALSE)*VLOOKUP(Sheet1!$A1686,Sheet2!$B$5:$H$29,5,FALSE),0)</x:f>
        <x:v>0</x:v>
      </x:c>
      <x:c r="G1686">
        <x:f>ROUND($C1686*10*VLOOKUP($B1686,Sheet2!$J$5:$K$7,2,FALSE)*VLOOKUP(Sheet1!$A1686,Sheet2!$B$5:$H$29,6,FALSE),0)</x:f>
        <x:v>0</x:v>
      </x:c>
      <x:c r="H1686">
        <x:f>ROUND($C1686*10*VLOOKUP($B1686,Sheet2!$J$5:$K$7,2,FALSE)*VLOOKUP(Sheet1!$A1686,Sheet2!$B$5:$H$29,7,FALSE),0)</x:f>
        <x:v>60</x:v>
      </x:c>
      <x:c r="I1686">
        <x:f t="shared" si="28"/>
        <x:v>570</x:v>
      </x:c>
    </x:row>
    <x:row r="1687" spans="1:9" x14ac:dyDescent="0.15">
      <x:c r="A1687">
        <x:v>54055</x:v>
      </x:c>
      <x:c r="B1687">
        <x:v>2</x:v>
      </x:c>
      <x:c r="C1687">
        <x:v>6</x:v>
      </x:c>
      <x:c r="D1687">
        <x:f>ROUND($C1687*10*VLOOKUP($B1687,Sheet2!$J$5:$K$7,2,FALSE)*VLOOKUP(Sheet1!$A1687,Sheet2!$B$5:$H$29,3,FALSE),0)</x:f>
        <x:v>0</x:v>
      </x:c>
      <x:c r="E1687">
        <x:f>ROUND($C1687*10*VLOOKUP($B1687,Sheet2!$J$5:$K$7,2,FALSE)*VLOOKUP(Sheet1!$A1687,Sheet2!$B$5:$H$29,4,FALSE),0)</x:f>
        <x:v>43</x:v>
      </x:c>
      <x:c r="F1687">
        <x:f>ROUND($C1687*10*VLOOKUP($B1687,Sheet2!$J$5:$K$7,2,FALSE)*VLOOKUP(Sheet1!$A1687,Sheet2!$B$5:$H$29,5,FALSE),0)</x:f>
        <x:v>0</x:v>
      </x:c>
      <x:c r="G1687">
        <x:f>ROUND($C1687*10*VLOOKUP($B1687,Sheet2!$J$5:$K$7,2,FALSE)*VLOOKUP(Sheet1!$A1687,Sheet2!$B$5:$H$29,6,FALSE),0)</x:f>
        <x:v>0</x:v>
      </x:c>
      <x:c r="H1687">
        <x:f>ROUND($C1687*10*VLOOKUP($B1687,Sheet2!$J$5:$K$7,2,FALSE)*VLOOKUP(Sheet1!$A1687,Sheet2!$B$5:$H$29,7,FALSE),0)</x:f>
        <x:v>72</x:v>
      </x:c>
      <x:c r="I1687">
        <x:f t="shared" si="28"/>
        <x:v>820</x:v>
      </x:c>
    </x:row>
    <x:row r="1688" spans="1:9" x14ac:dyDescent="0.15">
      <x:c r="A1688">
        <x:v>54055</x:v>
      </x:c>
      <x:c r="B1688">
        <x:v>2</x:v>
      </x:c>
      <x:c r="C1688">
        <x:v>7</x:v>
      </x:c>
      <x:c r="D1688">
        <x:f>ROUND($C1688*10*VLOOKUP($B1688,Sheet2!$J$5:$K$7,2,FALSE)*VLOOKUP(Sheet1!$A1688,Sheet2!$B$5:$H$29,3,FALSE),0)</x:f>
        <x:v>0</x:v>
      </x:c>
      <x:c r="E1688">
        <x:f>ROUND($C1688*10*VLOOKUP($B1688,Sheet2!$J$5:$K$7,2,FALSE)*VLOOKUP(Sheet1!$A1688,Sheet2!$B$5:$H$29,4,FALSE),0)</x:f>
        <x:v>50</x:v>
      </x:c>
      <x:c r="F1688">
        <x:f>ROUND($C1688*10*VLOOKUP($B1688,Sheet2!$J$5:$K$7,2,FALSE)*VLOOKUP(Sheet1!$A1688,Sheet2!$B$5:$H$29,5,FALSE),0)</x:f>
        <x:v>0</x:v>
      </x:c>
      <x:c r="G1688">
        <x:f>ROUND($C1688*10*VLOOKUP($B1688,Sheet2!$J$5:$K$7,2,FALSE)*VLOOKUP(Sheet1!$A1688,Sheet2!$B$5:$H$29,6,FALSE),0)</x:f>
        <x:v>0</x:v>
      </x:c>
      <x:c r="H1688">
        <x:f>ROUND($C1688*10*VLOOKUP($B1688,Sheet2!$J$5:$K$7,2,FALSE)*VLOOKUP(Sheet1!$A1688,Sheet2!$B$5:$H$29,7,FALSE),0)</x:f>
        <x:v>84</x:v>
      </x:c>
      <x:c r="I1688">
        <x:f t="shared" si="28"/>
        <x:v>1120</x:v>
      </x:c>
    </x:row>
    <x:row r="1689" spans="1:9" x14ac:dyDescent="0.15">
      <x:c r="A1689">
        <x:v>54055</x:v>
      </x:c>
      <x:c r="B1689">
        <x:v>2</x:v>
      </x:c>
      <x:c r="C1689">
        <x:v>8</x:v>
      </x:c>
      <x:c r="D1689">
        <x:f>ROUND($C1689*10*VLOOKUP($B1689,Sheet2!$J$5:$K$7,2,FALSE)*VLOOKUP(Sheet1!$A1689,Sheet2!$B$5:$H$29,3,FALSE),0)</x:f>
        <x:v>0</x:v>
      </x:c>
      <x:c r="E1689">
        <x:f>ROUND($C1689*10*VLOOKUP($B1689,Sheet2!$J$5:$K$7,2,FALSE)*VLOOKUP(Sheet1!$A1689,Sheet2!$B$5:$H$29,4,FALSE),0)</x:f>
        <x:v>58</x:v>
      </x:c>
      <x:c r="F1689">
        <x:f>ROUND($C1689*10*VLOOKUP($B1689,Sheet2!$J$5:$K$7,2,FALSE)*VLOOKUP(Sheet1!$A1689,Sheet2!$B$5:$H$29,5,FALSE),0)</x:f>
        <x:v>0</x:v>
      </x:c>
      <x:c r="G1689">
        <x:f>ROUND($C1689*10*VLOOKUP($B1689,Sheet2!$J$5:$K$7,2,FALSE)*VLOOKUP(Sheet1!$A1689,Sheet2!$B$5:$H$29,6,FALSE),0)</x:f>
        <x:v>0</x:v>
      </x:c>
      <x:c r="H1689">
        <x:f>ROUND($C1689*10*VLOOKUP($B1689,Sheet2!$J$5:$K$7,2,FALSE)*VLOOKUP(Sheet1!$A1689,Sheet2!$B$5:$H$29,7,FALSE),0)</x:f>
        <x:v>96</x:v>
      </x:c>
      <x:c r="I1689">
        <x:f t="shared" si="28"/>
        <x:v>1450</x:v>
      </x:c>
    </x:row>
    <x:row r="1690" spans="1:9" x14ac:dyDescent="0.15">
      <x:c r="A1690">
        <x:v>54055</x:v>
      </x:c>
      <x:c r="B1690">
        <x:v>2</x:v>
      </x:c>
      <x:c r="C1690">
        <x:v>9</x:v>
      </x:c>
      <x:c r="D1690">
        <x:f>ROUND($C1690*10*VLOOKUP($B1690,Sheet2!$J$5:$K$7,2,FALSE)*VLOOKUP(Sheet1!$A1690,Sheet2!$B$5:$H$29,3,FALSE),0)</x:f>
        <x:v>0</x:v>
      </x:c>
      <x:c r="E1690">
        <x:f>ROUND($C1690*10*VLOOKUP($B1690,Sheet2!$J$5:$K$7,2,FALSE)*VLOOKUP(Sheet1!$A1690,Sheet2!$B$5:$H$29,4,FALSE),0)</x:f>
        <x:v>65</x:v>
      </x:c>
      <x:c r="F1690">
        <x:f>ROUND($C1690*10*VLOOKUP($B1690,Sheet2!$J$5:$K$7,2,FALSE)*VLOOKUP(Sheet1!$A1690,Sheet2!$B$5:$H$29,5,FALSE),0)</x:f>
        <x:v>0</x:v>
      </x:c>
      <x:c r="G1690">
        <x:f>ROUND($C1690*10*VLOOKUP($B1690,Sheet2!$J$5:$K$7,2,FALSE)*VLOOKUP(Sheet1!$A1690,Sheet2!$B$5:$H$29,6,FALSE),0)</x:f>
        <x:v>0</x:v>
      </x:c>
      <x:c r="H1690">
        <x:f>ROUND($C1690*10*VLOOKUP($B1690,Sheet2!$J$5:$K$7,2,FALSE)*VLOOKUP(Sheet1!$A1690,Sheet2!$B$5:$H$29,7,FALSE),0)</x:f>
        <x:v>108</x:v>
      </x:c>
      <x:c r="I1690">
        <x:f t="shared" si="28"/>
        <x:v>1830</x:v>
      </x:c>
    </x:row>
    <x:row r="1691" spans="1:9" x14ac:dyDescent="0.15">
      <x:c r="A1691">
        <x:v>54055</x:v>
      </x:c>
      <x:c r="B1691">
        <x:v>2</x:v>
      </x:c>
      <x:c r="C1691">
        <x:v>10</x:v>
      </x:c>
      <x:c r="D1691">
        <x:f>ROUND($C1691*10*VLOOKUP($B1691,Sheet2!$J$5:$K$7,2,FALSE)*VLOOKUP(Sheet1!$A1691,Sheet2!$B$5:$H$29,3,FALSE),0)</x:f>
        <x:v>0</x:v>
      </x:c>
      <x:c r="E1691">
        <x:f>ROUND($C1691*10*VLOOKUP($B1691,Sheet2!$J$5:$K$7,2,FALSE)*VLOOKUP(Sheet1!$A1691,Sheet2!$B$5:$H$29,4,FALSE),0)</x:f>
        <x:v>72</x:v>
      </x:c>
      <x:c r="F1691">
        <x:f>ROUND($C1691*10*VLOOKUP($B1691,Sheet2!$J$5:$K$7,2,FALSE)*VLOOKUP(Sheet1!$A1691,Sheet2!$B$5:$H$29,5,FALSE),0)</x:f>
        <x:v>0</x:v>
      </x:c>
      <x:c r="G1691">
        <x:f>ROUND($C1691*10*VLOOKUP($B1691,Sheet2!$J$5:$K$7,2,FALSE)*VLOOKUP(Sheet1!$A1691,Sheet2!$B$5:$H$29,6,FALSE),0)</x:f>
        <x:v>0</x:v>
      </x:c>
      <x:c r="H1691">
        <x:f>ROUND($C1691*10*VLOOKUP($B1691,Sheet2!$J$5:$K$7,2,FALSE)*VLOOKUP(Sheet1!$A1691,Sheet2!$B$5:$H$29,7,FALSE),0)</x:f>
        <x:v>120</x:v>
      </x:c>
      <x:c r="I1691">
        <x:f t="shared" si="28"/>
        <x:v>2250</x:v>
      </x:c>
    </x:row>
    <x:row r="1692" spans="1:9" x14ac:dyDescent="0.15">
      <x:c r="A1692">
        <x:v>54055</x:v>
      </x:c>
      <x:c r="B1692">
        <x:v>2</x:v>
      </x:c>
      <x:c r="C1692">
        <x:v>11</x:v>
      </x:c>
      <x:c r="D1692">
        <x:f>ROUND($C1692*10*VLOOKUP($B1692,Sheet2!$J$5:$K$7,2,FALSE)*VLOOKUP(Sheet1!$A1692,Sheet2!$B$5:$H$29,3,FALSE),0)</x:f>
        <x:v>0</x:v>
      </x:c>
      <x:c r="E1692">
        <x:f>ROUND($C1692*10*VLOOKUP($B1692,Sheet2!$J$5:$K$7,2,FALSE)*VLOOKUP(Sheet1!$A1692,Sheet2!$B$5:$H$29,4,FALSE),0)</x:f>
        <x:v>79</x:v>
      </x:c>
      <x:c r="F1692">
        <x:f>ROUND($C1692*10*VLOOKUP($B1692,Sheet2!$J$5:$K$7,2,FALSE)*VLOOKUP(Sheet1!$A1692,Sheet2!$B$5:$H$29,5,FALSE),0)</x:f>
        <x:v>0</x:v>
      </x:c>
      <x:c r="G1692">
        <x:f>ROUND($C1692*10*VLOOKUP($B1692,Sheet2!$J$5:$K$7,2,FALSE)*VLOOKUP(Sheet1!$A1692,Sheet2!$B$5:$H$29,6,FALSE),0)</x:f>
        <x:v>0</x:v>
      </x:c>
      <x:c r="H1692">
        <x:f>ROUND($C1692*10*VLOOKUP($B1692,Sheet2!$J$5:$K$7,2,FALSE)*VLOOKUP(Sheet1!$A1692,Sheet2!$B$5:$H$29,7,FALSE),0)</x:f>
        <x:v>132</x:v>
      </x:c>
      <x:c r="I1692">
        <x:f t="shared" si="28"/>
        <x:v>2710</x:v>
      </x:c>
    </x:row>
    <x:row r="1693" spans="1:9" x14ac:dyDescent="0.15">
      <x:c r="A1693">
        <x:v>54055</x:v>
      </x:c>
      <x:c r="B1693">
        <x:v>2</x:v>
      </x:c>
      <x:c r="C1693">
        <x:v>12</x:v>
      </x:c>
      <x:c r="D1693">
        <x:f>ROUND($C1693*10*VLOOKUP($B1693,Sheet2!$J$5:$K$7,2,FALSE)*VLOOKUP(Sheet1!$A1693,Sheet2!$B$5:$H$29,3,FALSE),0)</x:f>
        <x:v>0</x:v>
      </x:c>
      <x:c r="E1693">
        <x:f>ROUND($C1693*10*VLOOKUP($B1693,Sheet2!$J$5:$K$7,2,FALSE)*VLOOKUP(Sheet1!$A1693,Sheet2!$B$5:$H$29,4,FALSE),0)</x:f>
        <x:v>86</x:v>
      </x:c>
      <x:c r="F1693">
        <x:f>ROUND($C1693*10*VLOOKUP($B1693,Sheet2!$J$5:$K$7,2,FALSE)*VLOOKUP(Sheet1!$A1693,Sheet2!$B$5:$H$29,5,FALSE),0)</x:f>
        <x:v>0</x:v>
      </x:c>
      <x:c r="G1693">
        <x:f>ROUND($C1693*10*VLOOKUP($B1693,Sheet2!$J$5:$K$7,2,FALSE)*VLOOKUP(Sheet1!$A1693,Sheet2!$B$5:$H$29,6,FALSE),0)</x:f>
        <x:v>0</x:v>
      </x:c>
      <x:c r="H1693">
        <x:f>ROUND($C1693*10*VLOOKUP($B1693,Sheet2!$J$5:$K$7,2,FALSE)*VLOOKUP(Sheet1!$A1693,Sheet2!$B$5:$H$29,7,FALSE),0)</x:f>
        <x:v>144</x:v>
      </x:c>
      <x:c r="I1693">
        <x:f t="shared" si="28"/>
        <x:v>3210</x:v>
      </x:c>
    </x:row>
    <x:row r="1694" spans="1:9" x14ac:dyDescent="0.15">
      <x:c r="A1694">
        <x:v>54055</x:v>
      </x:c>
      <x:c r="B1694">
        <x:v>2</x:v>
      </x:c>
      <x:c r="C1694">
        <x:v>13</x:v>
      </x:c>
      <x:c r="D1694">
        <x:f>ROUND($C1694*10*VLOOKUP($B1694,Sheet2!$J$5:$K$7,2,FALSE)*VLOOKUP(Sheet1!$A1694,Sheet2!$B$5:$H$29,3,FALSE),0)</x:f>
        <x:v>0</x:v>
      </x:c>
      <x:c r="E1694">
        <x:f>ROUND($C1694*10*VLOOKUP($B1694,Sheet2!$J$5:$K$7,2,FALSE)*VLOOKUP(Sheet1!$A1694,Sheet2!$B$5:$H$29,4,FALSE),0)</x:f>
        <x:v>94</x:v>
      </x:c>
      <x:c r="F1694">
        <x:f>ROUND($C1694*10*VLOOKUP($B1694,Sheet2!$J$5:$K$7,2,FALSE)*VLOOKUP(Sheet1!$A1694,Sheet2!$B$5:$H$29,5,FALSE),0)</x:f>
        <x:v>0</x:v>
      </x:c>
      <x:c r="G1694">
        <x:f>ROUND($C1694*10*VLOOKUP($B1694,Sheet2!$J$5:$K$7,2,FALSE)*VLOOKUP(Sheet1!$A1694,Sheet2!$B$5:$H$29,6,FALSE),0)</x:f>
        <x:v>0</x:v>
      </x:c>
      <x:c r="H1694">
        <x:f>ROUND($C1694*10*VLOOKUP($B1694,Sheet2!$J$5:$K$7,2,FALSE)*VLOOKUP(Sheet1!$A1694,Sheet2!$B$5:$H$29,7,FALSE),0)</x:f>
        <x:v>156</x:v>
      </x:c>
      <x:c r="I1694">
        <x:f t="shared" si="28"/>
        <x:v>3740</x:v>
      </x:c>
    </x:row>
    <x:row r="1695" spans="1:9" x14ac:dyDescent="0.15">
      <x:c r="A1695">
        <x:v>54055</x:v>
      </x:c>
      <x:c r="B1695">
        <x:v>2</x:v>
      </x:c>
      <x:c r="C1695">
        <x:v>14</x:v>
      </x:c>
      <x:c r="D1695">
        <x:f>ROUND($C1695*10*VLOOKUP($B1695,Sheet2!$J$5:$K$7,2,FALSE)*VLOOKUP(Sheet1!$A1695,Sheet2!$B$5:$H$29,3,FALSE),0)</x:f>
        <x:v>0</x:v>
      </x:c>
      <x:c r="E1695">
        <x:f>ROUND($C1695*10*VLOOKUP($B1695,Sheet2!$J$5:$K$7,2,FALSE)*VLOOKUP(Sheet1!$A1695,Sheet2!$B$5:$H$29,4,FALSE),0)</x:f>
        <x:v>101</x:v>
      </x:c>
      <x:c r="F1695">
        <x:f>ROUND($C1695*10*VLOOKUP($B1695,Sheet2!$J$5:$K$7,2,FALSE)*VLOOKUP(Sheet1!$A1695,Sheet2!$B$5:$H$29,5,FALSE),0)</x:f>
        <x:v>0</x:v>
      </x:c>
      <x:c r="G1695">
        <x:f>ROUND($C1695*10*VLOOKUP($B1695,Sheet2!$J$5:$K$7,2,FALSE)*VLOOKUP(Sheet1!$A1695,Sheet2!$B$5:$H$29,6,FALSE),0)</x:f>
        <x:v>0</x:v>
      </x:c>
      <x:c r="H1695">
        <x:f>ROUND($C1695*10*VLOOKUP($B1695,Sheet2!$J$5:$K$7,2,FALSE)*VLOOKUP(Sheet1!$A1695,Sheet2!$B$5:$H$29,7,FALSE),0)</x:f>
        <x:v>168</x:v>
      </x:c>
      <x:c r="I1695">
        <x:f t="shared" si="28"/>
        <x:v>4310</x:v>
      </x:c>
    </x:row>
    <x:row r="1696" spans="1:9" x14ac:dyDescent="0.15">
      <x:c r="A1696">
        <x:v>54055</x:v>
      </x:c>
      <x:c r="B1696">
        <x:v>2</x:v>
      </x:c>
      <x:c r="C1696">
        <x:v>15</x:v>
      </x:c>
      <x:c r="D1696">
        <x:f>ROUND($C1696*10*VLOOKUP($B1696,Sheet2!$J$5:$K$7,2,FALSE)*VLOOKUP(Sheet1!$A1696,Sheet2!$B$5:$H$29,3,FALSE),0)</x:f>
        <x:v>0</x:v>
      </x:c>
      <x:c r="E1696">
        <x:f>ROUND($C1696*10*VLOOKUP($B1696,Sheet2!$J$5:$K$7,2,FALSE)*VLOOKUP(Sheet1!$A1696,Sheet2!$B$5:$H$29,4,FALSE),0)</x:f>
        <x:v>108</x:v>
      </x:c>
      <x:c r="F1696">
        <x:f>ROUND($C1696*10*VLOOKUP($B1696,Sheet2!$J$5:$K$7,2,FALSE)*VLOOKUP(Sheet1!$A1696,Sheet2!$B$5:$H$29,5,FALSE),0)</x:f>
        <x:v>0</x:v>
      </x:c>
      <x:c r="G1696">
        <x:f>ROUND($C1696*10*VLOOKUP($B1696,Sheet2!$J$5:$K$7,2,FALSE)*VLOOKUP(Sheet1!$A1696,Sheet2!$B$5:$H$29,6,FALSE),0)</x:f>
        <x:v>0</x:v>
      </x:c>
      <x:c r="H1696">
        <x:f>ROUND($C1696*10*VLOOKUP($B1696,Sheet2!$J$5:$K$7,2,FALSE)*VLOOKUP(Sheet1!$A1696,Sheet2!$B$5:$H$29,7,FALSE),0)</x:f>
        <x:v>180</x:v>
      </x:c>
      <x:c r="I1696">
        <x:f t="shared" si="28"/>
        <x:v>4920</x:v>
      </x:c>
    </x:row>
    <x:row r="1697" spans="1:9" x14ac:dyDescent="0.15">
      <x:c r="A1697">
        <x:v>54055</x:v>
      </x:c>
      <x:c r="B1697">
        <x:v>2</x:v>
      </x:c>
      <x:c r="C1697">
        <x:v>16</x:v>
      </x:c>
      <x:c r="D1697">
        <x:f>ROUND($C1697*10*VLOOKUP($B1697,Sheet2!$J$5:$K$7,2,FALSE)*VLOOKUP(Sheet1!$A1697,Sheet2!$B$5:$H$29,3,FALSE),0)</x:f>
        <x:v>0</x:v>
      </x:c>
      <x:c r="E1697">
        <x:f>ROUND($C1697*10*VLOOKUP($B1697,Sheet2!$J$5:$K$7,2,FALSE)*VLOOKUP(Sheet1!$A1697,Sheet2!$B$5:$H$29,4,FALSE),0)</x:f>
        <x:v>115</x:v>
      </x:c>
      <x:c r="F1697">
        <x:f>ROUND($C1697*10*VLOOKUP($B1697,Sheet2!$J$5:$K$7,2,FALSE)*VLOOKUP(Sheet1!$A1697,Sheet2!$B$5:$H$29,5,FALSE),0)</x:f>
        <x:v>0</x:v>
      </x:c>
      <x:c r="G1697">
        <x:f>ROUND($C1697*10*VLOOKUP($B1697,Sheet2!$J$5:$K$7,2,FALSE)*VLOOKUP(Sheet1!$A1697,Sheet2!$B$5:$H$29,6,FALSE),0)</x:f>
        <x:v>0</x:v>
      </x:c>
      <x:c r="H1697">
        <x:f>ROUND($C1697*10*VLOOKUP($B1697,Sheet2!$J$5:$K$7,2,FALSE)*VLOOKUP(Sheet1!$A1697,Sheet2!$B$5:$H$29,7,FALSE),0)</x:f>
        <x:v>192</x:v>
      </x:c>
      <x:c r="I1697">
        <x:f t="shared" si="28"/>
        <x:v>5560</x:v>
      </x:c>
    </x:row>
    <x:row r="1698" spans="1:9" x14ac:dyDescent="0.15">
      <x:c r="A1698">
        <x:v>54055</x:v>
      </x:c>
      <x:c r="B1698">
        <x:v>2</x:v>
      </x:c>
      <x:c r="C1698">
        <x:v>17</x:v>
      </x:c>
      <x:c r="D1698">
        <x:f>ROUND($C1698*10*VLOOKUP($B1698,Sheet2!$J$5:$K$7,2,FALSE)*VLOOKUP(Sheet1!$A1698,Sheet2!$B$5:$H$29,3,FALSE),0)</x:f>
        <x:v>0</x:v>
      </x:c>
      <x:c r="E1698">
        <x:f>ROUND($C1698*10*VLOOKUP($B1698,Sheet2!$J$5:$K$7,2,FALSE)*VLOOKUP(Sheet1!$A1698,Sheet2!$B$5:$H$29,4,FALSE),0)</x:f>
        <x:v>122</x:v>
      </x:c>
      <x:c r="F1698">
        <x:f>ROUND($C1698*10*VLOOKUP($B1698,Sheet2!$J$5:$K$7,2,FALSE)*VLOOKUP(Sheet1!$A1698,Sheet2!$B$5:$H$29,5,FALSE),0)</x:f>
        <x:v>0</x:v>
      </x:c>
      <x:c r="G1698">
        <x:f>ROUND($C1698*10*VLOOKUP($B1698,Sheet2!$J$5:$K$7,2,FALSE)*VLOOKUP(Sheet1!$A1698,Sheet2!$B$5:$H$29,6,FALSE),0)</x:f>
        <x:v>0</x:v>
      </x:c>
      <x:c r="H1698">
        <x:f>ROUND($C1698*10*VLOOKUP($B1698,Sheet2!$J$5:$K$7,2,FALSE)*VLOOKUP(Sheet1!$A1698,Sheet2!$B$5:$H$29,7,FALSE),0)</x:f>
        <x:v>204</x:v>
      </x:c>
      <x:c r="I1698">
        <x:f t="shared" si="28"/>
        <x:v>6240</x:v>
      </x:c>
    </x:row>
    <x:row r="1699" spans="1:9" x14ac:dyDescent="0.15">
      <x:c r="A1699">
        <x:v>54055</x:v>
      </x:c>
      <x:c r="B1699">
        <x:v>2</x:v>
      </x:c>
      <x:c r="C1699">
        <x:v>18</x:v>
      </x:c>
      <x:c r="D1699">
        <x:f>ROUND($C1699*10*VLOOKUP($B1699,Sheet2!$J$5:$K$7,2,FALSE)*VLOOKUP(Sheet1!$A1699,Sheet2!$B$5:$H$29,3,FALSE),0)</x:f>
        <x:v>0</x:v>
      </x:c>
      <x:c r="E1699">
        <x:f>ROUND($C1699*10*VLOOKUP($B1699,Sheet2!$J$5:$K$7,2,FALSE)*VLOOKUP(Sheet1!$A1699,Sheet2!$B$5:$H$29,4,FALSE),0)</x:f>
        <x:v>130</x:v>
      </x:c>
      <x:c r="F1699">
        <x:f>ROUND($C1699*10*VLOOKUP($B1699,Sheet2!$J$5:$K$7,2,FALSE)*VLOOKUP(Sheet1!$A1699,Sheet2!$B$5:$H$29,5,FALSE),0)</x:f>
        <x:v>0</x:v>
      </x:c>
      <x:c r="G1699">
        <x:f>ROUND($C1699*10*VLOOKUP($B1699,Sheet2!$J$5:$K$7,2,FALSE)*VLOOKUP(Sheet1!$A1699,Sheet2!$B$5:$H$29,6,FALSE),0)</x:f>
        <x:v>0</x:v>
      </x:c>
      <x:c r="H1699">
        <x:f>ROUND($C1699*10*VLOOKUP($B1699,Sheet2!$J$5:$K$7,2,FALSE)*VLOOKUP(Sheet1!$A1699,Sheet2!$B$5:$H$29,7,FALSE),0)</x:f>
        <x:v>216</x:v>
      </x:c>
      <x:c r="I1699">
        <x:f t="shared" si="28"/>
        <x:v>6950</x:v>
      </x:c>
    </x:row>
    <x:row r="1700" spans="1:9" x14ac:dyDescent="0.15">
      <x:c r="A1700">
        <x:v>54055</x:v>
      </x:c>
      <x:c r="B1700">
        <x:v>2</x:v>
      </x:c>
      <x:c r="C1700">
        <x:v>19</x:v>
      </x:c>
      <x:c r="D1700">
        <x:f>ROUND($C1700*10*VLOOKUP($B1700,Sheet2!$J$5:$K$7,2,FALSE)*VLOOKUP(Sheet1!$A1700,Sheet2!$B$5:$H$29,3,FALSE),0)</x:f>
        <x:v>0</x:v>
      </x:c>
      <x:c r="E1700">
        <x:f>ROUND($C1700*10*VLOOKUP($B1700,Sheet2!$J$5:$K$7,2,FALSE)*VLOOKUP(Sheet1!$A1700,Sheet2!$B$5:$H$29,4,FALSE),0)</x:f>
        <x:v>137</x:v>
      </x:c>
      <x:c r="F1700">
        <x:f>ROUND($C1700*10*VLOOKUP($B1700,Sheet2!$J$5:$K$7,2,FALSE)*VLOOKUP(Sheet1!$A1700,Sheet2!$B$5:$H$29,5,FALSE),0)</x:f>
        <x:v>0</x:v>
      </x:c>
      <x:c r="G1700">
        <x:f>ROUND($C1700*10*VLOOKUP($B1700,Sheet2!$J$5:$K$7,2,FALSE)*VLOOKUP(Sheet1!$A1700,Sheet2!$B$5:$H$29,6,FALSE),0)</x:f>
        <x:v>0</x:v>
      </x:c>
      <x:c r="H1700">
        <x:f>ROUND($C1700*10*VLOOKUP($B1700,Sheet2!$J$5:$K$7,2,FALSE)*VLOOKUP(Sheet1!$A1700,Sheet2!$B$5:$H$29,7,FALSE),0)</x:f>
        <x:v>228</x:v>
      </x:c>
      <x:c r="I1700">
        <x:f t="shared" si="28"/>
        <x:v>7690</x:v>
      </x:c>
    </x:row>
    <x:row r="1701" spans="1:9" x14ac:dyDescent="0.15">
      <x:c r="A1701">
        <x:v>54055</x:v>
      </x:c>
      <x:c r="B1701">
        <x:v>2</x:v>
      </x:c>
      <x:c r="C1701">
        <x:v>20</x:v>
      </x:c>
      <x:c r="D1701">
        <x:f>ROUND($C1701*10*VLOOKUP($B1701,Sheet2!$J$5:$K$7,2,FALSE)*VLOOKUP(Sheet1!$A1701,Sheet2!$B$5:$H$29,3,FALSE),0)</x:f>
        <x:v>0</x:v>
      </x:c>
      <x:c r="E1701">
        <x:f>ROUND($C1701*10*VLOOKUP($B1701,Sheet2!$J$5:$K$7,2,FALSE)*VLOOKUP(Sheet1!$A1701,Sheet2!$B$5:$H$29,4,FALSE),0)</x:f>
        <x:v>144</x:v>
      </x:c>
      <x:c r="F1701">
        <x:f>ROUND($C1701*10*VLOOKUP($B1701,Sheet2!$J$5:$K$7,2,FALSE)*VLOOKUP(Sheet1!$A1701,Sheet2!$B$5:$H$29,5,FALSE),0)</x:f>
        <x:v>0</x:v>
      </x:c>
      <x:c r="G1701">
        <x:f>ROUND($C1701*10*VLOOKUP($B1701,Sheet2!$J$5:$K$7,2,FALSE)*VLOOKUP(Sheet1!$A1701,Sheet2!$B$5:$H$29,6,FALSE),0)</x:f>
        <x:v>0</x:v>
      </x:c>
      <x:c r="H1701">
        <x:f>ROUND($C1701*10*VLOOKUP($B1701,Sheet2!$J$5:$K$7,2,FALSE)*VLOOKUP(Sheet1!$A1701,Sheet2!$B$5:$H$29,7,FALSE),0)</x:f>
        <x:v>240</x:v>
      </x:c>
      <x:c r="I1701">
        <x:f t="shared" si="28"/>
        <x:v>8470</x:v>
      </x:c>
    </x:row>
    <x:row r="1702" spans="1:9" x14ac:dyDescent="0.15">
      <x:c r="A1702">
        <x:v>54055</x:v>
      </x:c>
      <x:c r="B1702">
        <x:v>2</x:v>
      </x:c>
      <x:c r="C1702">
        <x:v>21</x:v>
      </x:c>
      <x:c r="D1702">
        <x:f>ROUND($C1702*10*VLOOKUP($B1702,Sheet2!$J$5:$K$7,2,FALSE)*VLOOKUP(Sheet1!$A1702,Sheet2!$B$5:$H$29,3,FALSE),0)</x:f>
        <x:v>0</x:v>
      </x:c>
      <x:c r="E1702">
        <x:f>ROUND($C1702*10*VLOOKUP($B1702,Sheet2!$J$5:$K$7,2,FALSE)*VLOOKUP(Sheet1!$A1702,Sheet2!$B$5:$H$29,4,FALSE),0)</x:f>
        <x:v>151</x:v>
      </x:c>
      <x:c r="F1702">
        <x:f>ROUND($C1702*10*VLOOKUP($B1702,Sheet2!$J$5:$K$7,2,FALSE)*VLOOKUP(Sheet1!$A1702,Sheet2!$B$5:$H$29,5,FALSE),0)</x:f>
        <x:v>0</x:v>
      </x:c>
      <x:c r="G1702">
        <x:f>ROUND($C1702*10*VLOOKUP($B1702,Sheet2!$J$5:$K$7,2,FALSE)*VLOOKUP(Sheet1!$A1702,Sheet2!$B$5:$H$29,6,FALSE),0)</x:f>
        <x:v>0</x:v>
      </x:c>
      <x:c r="H1702">
        <x:f>ROUND($C1702*10*VLOOKUP($B1702,Sheet2!$J$5:$K$7,2,FALSE)*VLOOKUP(Sheet1!$A1702,Sheet2!$B$5:$H$29,7,FALSE),0)</x:f>
        <x:v>252</x:v>
      </x:c>
      <x:c r="I1702">
        <x:f t="shared" si="28"/>
        <x:v>9290</x:v>
      </x:c>
    </x:row>
    <x:row r="1703" spans="1:9" x14ac:dyDescent="0.15">
      <x:c r="A1703">
        <x:v>54055</x:v>
      </x:c>
      <x:c r="B1703">
        <x:v>2</x:v>
      </x:c>
      <x:c r="C1703">
        <x:v>22</x:v>
      </x:c>
      <x:c r="D1703">
        <x:f>ROUND($C1703*10*VLOOKUP($B1703,Sheet2!$J$5:$K$7,2,FALSE)*VLOOKUP(Sheet1!$A1703,Sheet2!$B$5:$H$29,3,FALSE),0)</x:f>
        <x:v>0</x:v>
      </x:c>
      <x:c r="E1703">
        <x:f>ROUND($C1703*10*VLOOKUP($B1703,Sheet2!$J$5:$K$7,2,FALSE)*VLOOKUP(Sheet1!$A1703,Sheet2!$B$5:$H$29,4,FALSE),0)</x:f>
        <x:v>158</x:v>
      </x:c>
      <x:c r="F1703">
        <x:f>ROUND($C1703*10*VLOOKUP($B1703,Sheet2!$J$5:$K$7,2,FALSE)*VLOOKUP(Sheet1!$A1703,Sheet2!$B$5:$H$29,5,FALSE),0)</x:f>
        <x:v>0</x:v>
      </x:c>
      <x:c r="G1703">
        <x:f>ROUND($C1703*10*VLOOKUP($B1703,Sheet2!$J$5:$K$7,2,FALSE)*VLOOKUP(Sheet1!$A1703,Sheet2!$B$5:$H$29,6,FALSE),0)</x:f>
        <x:v>0</x:v>
      </x:c>
      <x:c r="H1703">
        <x:f>ROUND($C1703*10*VLOOKUP($B1703,Sheet2!$J$5:$K$7,2,FALSE)*VLOOKUP(Sheet1!$A1703,Sheet2!$B$5:$H$29,7,FALSE),0)</x:f>
        <x:v>264</x:v>
      </x:c>
      <x:c r="I1703">
        <x:f t="shared" si="28"/>
        <x:v>10130</x:v>
      </x:c>
    </x:row>
    <x:row r="1704" spans="1:9" x14ac:dyDescent="0.15">
      <x:c r="A1704">
        <x:v>54055</x:v>
      </x:c>
      <x:c r="B1704">
        <x:v>2</x:v>
      </x:c>
      <x:c r="C1704">
        <x:v>23</x:v>
      </x:c>
      <x:c r="D1704">
        <x:f>ROUND($C1704*10*VLOOKUP($B1704,Sheet2!$J$5:$K$7,2,FALSE)*VLOOKUP(Sheet1!$A1704,Sheet2!$B$5:$H$29,3,FALSE),0)</x:f>
        <x:v>0</x:v>
      </x:c>
      <x:c r="E1704">
        <x:f>ROUND($C1704*10*VLOOKUP($B1704,Sheet2!$J$5:$K$7,2,FALSE)*VLOOKUP(Sheet1!$A1704,Sheet2!$B$5:$H$29,4,FALSE),0)</x:f>
        <x:v>166</x:v>
      </x:c>
      <x:c r="F1704">
        <x:f>ROUND($C1704*10*VLOOKUP($B1704,Sheet2!$J$5:$K$7,2,FALSE)*VLOOKUP(Sheet1!$A1704,Sheet2!$B$5:$H$29,5,FALSE),0)</x:f>
        <x:v>0</x:v>
      </x:c>
      <x:c r="G1704">
        <x:f>ROUND($C1704*10*VLOOKUP($B1704,Sheet2!$J$5:$K$7,2,FALSE)*VLOOKUP(Sheet1!$A1704,Sheet2!$B$5:$H$29,6,FALSE),0)</x:f>
        <x:v>0</x:v>
      </x:c>
      <x:c r="H1704">
        <x:f>ROUND($C1704*10*VLOOKUP($B1704,Sheet2!$J$5:$K$7,2,FALSE)*VLOOKUP(Sheet1!$A1704,Sheet2!$B$5:$H$29,7,FALSE),0)</x:f>
        <x:v>276</x:v>
      </x:c>
      <x:c r="I1704">
        <x:f t="shared" si="28"/>
        <x:v>11010</x:v>
      </x:c>
    </x:row>
    <x:row r="1705" spans="1:9" x14ac:dyDescent="0.15">
      <x:c r="A1705">
        <x:v>54055</x:v>
      </x:c>
      <x:c r="B1705">
        <x:v>2</x:v>
      </x:c>
      <x:c r="C1705">
        <x:v>24</x:v>
      </x:c>
      <x:c r="D1705">
        <x:f>ROUND($C1705*10*VLOOKUP($B1705,Sheet2!$J$5:$K$7,2,FALSE)*VLOOKUP(Sheet1!$A1705,Sheet2!$B$5:$H$29,3,FALSE),0)</x:f>
        <x:v>0</x:v>
      </x:c>
      <x:c r="E1705">
        <x:f>ROUND($C1705*10*VLOOKUP($B1705,Sheet2!$J$5:$K$7,2,FALSE)*VLOOKUP(Sheet1!$A1705,Sheet2!$B$5:$H$29,4,FALSE),0)</x:f>
        <x:v>173</x:v>
      </x:c>
      <x:c r="F1705">
        <x:f>ROUND($C1705*10*VLOOKUP($B1705,Sheet2!$J$5:$K$7,2,FALSE)*VLOOKUP(Sheet1!$A1705,Sheet2!$B$5:$H$29,5,FALSE),0)</x:f>
        <x:v>0</x:v>
      </x:c>
      <x:c r="G1705">
        <x:f>ROUND($C1705*10*VLOOKUP($B1705,Sheet2!$J$5:$K$7,2,FALSE)*VLOOKUP(Sheet1!$A1705,Sheet2!$B$5:$H$29,6,FALSE),0)</x:f>
        <x:v>0</x:v>
      </x:c>
      <x:c r="H1705">
        <x:f>ROUND($C1705*10*VLOOKUP($B1705,Sheet2!$J$5:$K$7,2,FALSE)*VLOOKUP(Sheet1!$A1705,Sheet2!$B$5:$H$29,7,FALSE),0)</x:f>
        <x:v>288</x:v>
      </x:c>
      <x:c r="I1705">
        <x:f t="shared" si="28"/>
        <x:v>11930</x:v>
      </x:c>
    </x:row>
    <x:row r="1706" spans="1:9" x14ac:dyDescent="0.15">
      <x:c r="A1706">
        <x:v>54055</x:v>
      </x:c>
      <x:c r="B1706">
        <x:v>2</x:v>
      </x:c>
      <x:c r="C1706">
        <x:v>25</x:v>
      </x:c>
      <x:c r="D1706">
        <x:f>ROUND($C1706*10*VLOOKUP($B1706,Sheet2!$J$5:$K$7,2,FALSE)*VLOOKUP(Sheet1!$A1706,Sheet2!$B$5:$H$29,3,FALSE),0)</x:f>
        <x:v>0</x:v>
      </x:c>
      <x:c r="E1706">
        <x:f>ROUND($C1706*10*VLOOKUP($B1706,Sheet2!$J$5:$K$7,2,FALSE)*VLOOKUP(Sheet1!$A1706,Sheet2!$B$5:$H$29,4,FALSE),0)</x:f>
        <x:v>180</x:v>
      </x:c>
      <x:c r="F1706">
        <x:f>ROUND($C1706*10*VLOOKUP($B1706,Sheet2!$J$5:$K$7,2,FALSE)*VLOOKUP(Sheet1!$A1706,Sheet2!$B$5:$H$29,5,FALSE),0)</x:f>
        <x:v>0</x:v>
      </x:c>
      <x:c r="G1706">
        <x:f>ROUND($C1706*10*VLOOKUP($B1706,Sheet2!$J$5:$K$7,2,FALSE)*VLOOKUP(Sheet1!$A1706,Sheet2!$B$5:$H$29,6,FALSE),0)</x:f>
        <x:v>0</x:v>
      </x:c>
      <x:c r="H1706">
        <x:f>ROUND($C1706*10*VLOOKUP($B1706,Sheet2!$J$5:$K$7,2,FALSE)*VLOOKUP(Sheet1!$A1706,Sheet2!$B$5:$H$29,7,FALSE),0)</x:f>
        <x:v>300</x:v>
      </x:c>
      <x:c r="I1706">
        <x:f t="shared" si="28"/>
        <x:v>12870</x:v>
      </x:c>
    </x:row>
    <x:row r="1707" spans="1:9" x14ac:dyDescent="0.15">
      <x:c r="A1707">
        <x:v>54055</x:v>
      </x:c>
      <x:c r="B1707">
        <x:v>2</x:v>
      </x:c>
      <x:c r="C1707">
        <x:v>26</x:v>
      </x:c>
      <x:c r="D1707">
        <x:f>ROUND($C1707*10*VLOOKUP($B1707,Sheet2!$J$5:$K$7,2,FALSE)*VLOOKUP(Sheet1!$A1707,Sheet2!$B$5:$H$29,3,FALSE),0)</x:f>
        <x:v>0</x:v>
      </x:c>
      <x:c r="E1707">
        <x:f>ROUND($C1707*10*VLOOKUP($B1707,Sheet2!$J$5:$K$7,2,FALSE)*VLOOKUP(Sheet1!$A1707,Sheet2!$B$5:$H$29,4,FALSE),0)</x:f>
        <x:v>187</x:v>
      </x:c>
      <x:c r="F1707">
        <x:f>ROUND($C1707*10*VLOOKUP($B1707,Sheet2!$J$5:$K$7,2,FALSE)*VLOOKUP(Sheet1!$A1707,Sheet2!$B$5:$H$29,5,FALSE),0)</x:f>
        <x:v>0</x:v>
      </x:c>
      <x:c r="G1707">
        <x:f>ROUND($C1707*10*VLOOKUP($B1707,Sheet2!$J$5:$K$7,2,FALSE)*VLOOKUP(Sheet1!$A1707,Sheet2!$B$5:$H$29,6,FALSE),0)</x:f>
        <x:v>0</x:v>
      </x:c>
      <x:c r="H1707">
        <x:f>ROUND($C1707*10*VLOOKUP($B1707,Sheet2!$J$5:$K$7,2,FALSE)*VLOOKUP(Sheet1!$A1707,Sheet2!$B$5:$H$29,7,FALSE),0)</x:f>
        <x:v>312</x:v>
      </x:c>
      <x:c r="I1707">
        <x:f t="shared" si="28"/>
        <x:v>13850</x:v>
      </x:c>
    </x:row>
    <x:row r="1708" spans="1:9" x14ac:dyDescent="0.15">
      <x:c r="A1708">
        <x:v>54055</x:v>
      </x:c>
      <x:c r="B1708">
        <x:v>2</x:v>
      </x:c>
      <x:c r="C1708">
        <x:v>27</x:v>
      </x:c>
      <x:c r="D1708">
        <x:f>ROUND($C1708*10*VLOOKUP($B1708,Sheet2!$J$5:$K$7,2,FALSE)*VLOOKUP(Sheet1!$A1708,Sheet2!$B$5:$H$29,3,FALSE),0)</x:f>
        <x:v>0</x:v>
      </x:c>
      <x:c r="E1708">
        <x:f>ROUND($C1708*10*VLOOKUP($B1708,Sheet2!$J$5:$K$7,2,FALSE)*VLOOKUP(Sheet1!$A1708,Sheet2!$B$5:$H$29,4,FALSE),0)</x:f>
        <x:v>194</x:v>
      </x:c>
      <x:c r="F1708">
        <x:f>ROUND($C1708*10*VLOOKUP($B1708,Sheet2!$J$5:$K$7,2,FALSE)*VLOOKUP(Sheet1!$A1708,Sheet2!$B$5:$H$29,5,FALSE),0)</x:f>
        <x:v>0</x:v>
      </x:c>
      <x:c r="G1708">
        <x:f>ROUND($C1708*10*VLOOKUP($B1708,Sheet2!$J$5:$K$7,2,FALSE)*VLOOKUP(Sheet1!$A1708,Sheet2!$B$5:$H$29,6,FALSE),0)</x:f>
        <x:v>0</x:v>
      </x:c>
      <x:c r="H1708">
        <x:f>ROUND($C1708*10*VLOOKUP($B1708,Sheet2!$J$5:$K$7,2,FALSE)*VLOOKUP(Sheet1!$A1708,Sheet2!$B$5:$H$29,7,FALSE),0)</x:f>
        <x:v>324</x:v>
      </x:c>
      <x:c r="I1708">
        <x:f t="shared" si="28"/>
        <x:v>14860</x:v>
      </x:c>
    </x:row>
    <x:row r="1709" spans="1:9" x14ac:dyDescent="0.15">
      <x:c r="A1709">
        <x:v>54055</x:v>
      </x:c>
      <x:c r="B1709">
        <x:v>2</x:v>
      </x:c>
      <x:c r="C1709">
        <x:v>28</x:v>
      </x:c>
      <x:c r="D1709">
        <x:f>ROUND($C1709*10*VLOOKUP($B1709,Sheet2!$J$5:$K$7,2,FALSE)*VLOOKUP(Sheet1!$A1709,Sheet2!$B$5:$H$29,3,FALSE),0)</x:f>
        <x:v>0</x:v>
      </x:c>
      <x:c r="E1709">
        <x:f>ROUND($C1709*10*VLOOKUP($B1709,Sheet2!$J$5:$K$7,2,FALSE)*VLOOKUP(Sheet1!$A1709,Sheet2!$B$5:$H$29,4,FALSE),0)</x:f>
        <x:v>202</x:v>
      </x:c>
      <x:c r="F1709">
        <x:f>ROUND($C1709*10*VLOOKUP($B1709,Sheet2!$J$5:$K$7,2,FALSE)*VLOOKUP(Sheet1!$A1709,Sheet2!$B$5:$H$29,5,FALSE),0)</x:f>
        <x:v>0</x:v>
      </x:c>
      <x:c r="G1709">
        <x:f>ROUND($C1709*10*VLOOKUP($B1709,Sheet2!$J$5:$K$7,2,FALSE)*VLOOKUP(Sheet1!$A1709,Sheet2!$B$5:$H$29,6,FALSE),0)</x:f>
        <x:v>0</x:v>
      </x:c>
      <x:c r="H1709">
        <x:f>ROUND($C1709*10*VLOOKUP($B1709,Sheet2!$J$5:$K$7,2,FALSE)*VLOOKUP(Sheet1!$A1709,Sheet2!$B$5:$H$29,7,FALSE),0)</x:f>
        <x:v>336</x:v>
      </x:c>
      <x:c r="I1709">
        <x:f t="shared" si="28"/>
        <x:v>15900</x:v>
      </x:c>
    </x:row>
    <x:row r="1710" spans="1:9" x14ac:dyDescent="0.15">
      <x:c r="A1710">
        <x:v>54055</x:v>
      </x:c>
      <x:c r="B1710">
        <x:v>2</x:v>
      </x:c>
      <x:c r="C1710">
        <x:v>29</x:v>
      </x:c>
      <x:c r="D1710">
        <x:f>ROUND($C1710*10*VLOOKUP($B1710,Sheet2!$J$5:$K$7,2,FALSE)*VLOOKUP(Sheet1!$A1710,Sheet2!$B$5:$H$29,3,FALSE),0)</x:f>
        <x:v>0</x:v>
      </x:c>
      <x:c r="E1710">
        <x:f>ROUND($C1710*10*VLOOKUP($B1710,Sheet2!$J$5:$K$7,2,FALSE)*VLOOKUP(Sheet1!$A1710,Sheet2!$B$5:$H$29,4,FALSE),0)</x:f>
        <x:v>209</x:v>
      </x:c>
      <x:c r="F1710">
        <x:f>ROUND($C1710*10*VLOOKUP($B1710,Sheet2!$J$5:$K$7,2,FALSE)*VLOOKUP(Sheet1!$A1710,Sheet2!$B$5:$H$29,5,FALSE),0)</x:f>
        <x:v>0</x:v>
      </x:c>
      <x:c r="G1710">
        <x:f>ROUND($C1710*10*VLOOKUP($B1710,Sheet2!$J$5:$K$7,2,FALSE)*VLOOKUP(Sheet1!$A1710,Sheet2!$B$5:$H$29,6,FALSE),0)</x:f>
        <x:v>0</x:v>
      </x:c>
      <x:c r="H1710">
        <x:f>ROUND($C1710*10*VLOOKUP($B1710,Sheet2!$J$5:$K$7,2,FALSE)*VLOOKUP(Sheet1!$A1710,Sheet2!$B$5:$H$29,7,FALSE),0)</x:f>
        <x:v>348</x:v>
      </x:c>
      <x:c r="I1710">
        <x:f t="shared" si="28"/>
        <x:v>16970</x:v>
      </x:c>
    </x:row>
    <x:row r="1711" spans="1:9" x14ac:dyDescent="0.15">
      <x:c r="A1711">
        <x:v>54055</x:v>
      </x:c>
      <x:c r="B1711">
        <x:v>2</x:v>
      </x:c>
      <x:c r="C1711">
        <x:v>30</x:v>
      </x:c>
      <x:c r="D1711">
        <x:f>ROUND($C1711*10*VLOOKUP($B1711,Sheet2!$J$5:$K$7,2,FALSE)*VLOOKUP(Sheet1!$A1711,Sheet2!$B$5:$H$29,3,FALSE),0)</x:f>
        <x:v>0</x:v>
      </x:c>
      <x:c r="E1711">
        <x:f>ROUND($C1711*10*VLOOKUP($B1711,Sheet2!$J$5:$K$7,2,FALSE)*VLOOKUP(Sheet1!$A1711,Sheet2!$B$5:$H$29,4,FALSE),0)</x:f>
        <x:v>216</x:v>
      </x:c>
      <x:c r="F1711">
        <x:f>ROUND($C1711*10*VLOOKUP($B1711,Sheet2!$J$5:$K$7,2,FALSE)*VLOOKUP(Sheet1!$A1711,Sheet2!$B$5:$H$29,5,FALSE),0)</x:f>
        <x:v>0</x:v>
      </x:c>
      <x:c r="G1711">
        <x:f>ROUND($C1711*10*VLOOKUP($B1711,Sheet2!$J$5:$K$7,2,FALSE)*VLOOKUP(Sheet1!$A1711,Sheet2!$B$5:$H$29,6,FALSE),0)</x:f>
        <x:v>0</x:v>
      </x:c>
      <x:c r="H1711">
        <x:f>ROUND($C1711*10*VLOOKUP($B1711,Sheet2!$J$5:$K$7,2,FALSE)*VLOOKUP(Sheet1!$A1711,Sheet2!$B$5:$H$29,7,FALSE),0)</x:f>
        <x:v>360</x:v>
      </x:c>
      <x:c r="I1711">
        <x:f t="shared" si="28"/>
        <x:v>18070</x:v>
      </x:c>
    </x:row>
    <x:row r="1712" spans="1:9" x14ac:dyDescent="0.15">
      <x:c r="A1712">
        <x:v>54055</x:v>
      </x:c>
      <x:c r="B1712">
        <x:v>2</x:v>
      </x:c>
      <x:c r="C1712">
        <x:v>31</x:v>
      </x:c>
      <x:c r="D1712">
        <x:f>ROUND($C1712*10*VLOOKUP($B1712,Sheet2!$J$5:$K$7,2,FALSE)*VLOOKUP(Sheet1!$A1712,Sheet2!$B$5:$H$29,3,FALSE),0)</x:f>
        <x:v>0</x:v>
      </x:c>
      <x:c r="E1712">
        <x:f>ROUND($C1712*10*VLOOKUP($B1712,Sheet2!$J$5:$K$7,2,FALSE)*VLOOKUP(Sheet1!$A1712,Sheet2!$B$5:$H$29,4,FALSE),0)</x:f>
        <x:v>223</x:v>
      </x:c>
      <x:c r="F1712">
        <x:f>ROUND($C1712*10*VLOOKUP($B1712,Sheet2!$J$5:$K$7,2,FALSE)*VLOOKUP(Sheet1!$A1712,Sheet2!$B$5:$H$29,5,FALSE),0)</x:f>
        <x:v>0</x:v>
      </x:c>
      <x:c r="G1712">
        <x:f>ROUND($C1712*10*VLOOKUP($B1712,Sheet2!$J$5:$K$7,2,FALSE)*VLOOKUP(Sheet1!$A1712,Sheet2!$B$5:$H$29,6,FALSE),0)</x:f>
        <x:v>0</x:v>
      </x:c>
      <x:c r="H1712">
        <x:f>ROUND($C1712*10*VLOOKUP($B1712,Sheet2!$J$5:$K$7,2,FALSE)*VLOOKUP(Sheet1!$A1712,Sheet2!$B$5:$H$29,7,FALSE),0)</x:f>
        <x:v>372</x:v>
      </x:c>
      <x:c r="I1712">
        <x:f t="shared" si="28"/>
        <x:v>19210</x:v>
      </x:c>
    </x:row>
    <x:row r="1713" spans="1:9" x14ac:dyDescent="0.15">
      <x:c r="A1713">
        <x:v>54055</x:v>
      </x:c>
      <x:c r="B1713">
        <x:v>2</x:v>
      </x:c>
      <x:c r="C1713">
        <x:v>32</x:v>
      </x:c>
      <x:c r="D1713">
        <x:f>ROUND($C1713*10*VLOOKUP($B1713,Sheet2!$J$5:$K$7,2,FALSE)*VLOOKUP(Sheet1!$A1713,Sheet2!$B$5:$H$29,3,FALSE),0)</x:f>
        <x:v>0</x:v>
      </x:c>
      <x:c r="E1713">
        <x:f>ROUND($C1713*10*VLOOKUP($B1713,Sheet2!$J$5:$K$7,2,FALSE)*VLOOKUP(Sheet1!$A1713,Sheet2!$B$5:$H$29,4,FALSE),0)</x:f>
        <x:v>230</x:v>
      </x:c>
      <x:c r="F1713">
        <x:f>ROUND($C1713*10*VLOOKUP($B1713,Sheet2!$J$5:$K$7,2,FALSE)*VLOOKUP(Sheet1!$A1713,Sheet2!$B$5:$H$29,5,FALSE),0)</x:f>
        <x:v>0</x:v>
      </x:c>
      <x:c r="G1713">
        <x:f>ROUND($C1713*10*VLOOKUP($B1713,Sheet2!$J$5:$K$7,2,FALSE)*VLOOKUP(Sheet1!$A1713,Sheet2!$B$5:$H$29,6,FALSE),0)</x:f>
        <x:v>0</x:v>
      </x:c>
      <x:c r="H1713">
        <x:f>ROUND($C1713*10*VLOOKUP($B1713,Sheet2!$J$5:$K$7,2,FALSE)*VLOOKUP(Sheet1!$A1713,Sheet2!$B$5:$H$29,7,FALSE),0)</x:f>
        <x:v>384</x:v>
      </x:c>
      <x:c r="I1713">
        <x:f t="shared" si="28"/>
        <x:v>20370</x:v>
      </x:c>
    </x:row>
    <x:row r="1714" spans="1:9" x14ac:dyDescent="0.15">
      <x:c r="A1714">
        <x:v>54055</x:v>
      </x:c>
      <x:c r="B1714">
        <x:v>2</x:v>
      </x:c>
      <x:c r="C1714">
        <x:v>33</x:v>
      </x:c>
      <x:c r="D1714">
        <x:f>ROUND($C1714*10*VLOOKUP($B1714,Sheet2!$J$5:$K$7,2,FALSE)*VLOOKUP(Sheet1!$A1714,Sheet2!$B$5:$H$29,3,FALSE),0)</x:f>
        <x:v>0</x:v>
      </x:c>
      <x:c r="E1714">
        <x:f>ROUND($C1714*10*VLOOKUP($B1714,Sheet2!$J$5:$K$7,2,FALSE)*VLOOKUP(Sheet1!$A1714,Sheet2!$B$5:$H$29,4,FALSE),0)</x:f>
        <x:v>238</x:v>
      </x:c>
      <x:c r="F1714">
        <x:f>ROUND($C1714*10*VLOOKUP($B1714,Sheet2!$J$5:$K$7,2,FALSE)*VLOOKUP(Sheet1!$A1714,Sheet2!$B$5:$H$29,5,FALSE),0)</x:f>
        <x:v>0</x:v>
      </x:c>
      <x:c r="G1714">
        <x:f>ROUND($C1714*10*VLOOKUP($B1714,Sheet2!$J$5:$K$7,2,FALSE)*VLOOKUP(Sheet1!$A1714,Sheet2!$B$5:$H$29,6,FALSE),0)</x:f>
        <x:v>0</x:v>
      </x:c>
      <x:c r="H1714">
        <x:f>ROUND($C1714*10*VLOOKUP($B1714,Sheet2!$J$5:$K$7,2,FALSE)*VLOOKUP(Sheet1!$A1714,Sheet2!$B$5:$H$29,7,FALSE),0)</x:f>
        <x:v>396</x:v>
      </x:c>
      <x:c r="I1714">
        <x:f t="shared" si="28"/>
        <x:v>21560</x:v>
      </x:c>
    </x:row>
    <x:row r="1715" spans="1:9" x14ac:dyDescent="0.15">
      <x:c r="A1715">
        <x:v>54055</x:v>
      </x:c>
      <x:c r="B1715">
        <x:v>2</x:v>
      </x:c>
      <x:c r="C1715">
        <x:v>34</x:v>
      </x:c>
      <x:c r="D1715">
        <x:f>ROUND($C1715*10*VLOOKUP($B1715,Sheet2!$J$5:$K$7,2,FALSE)*VLOOKUP(Sheet1!$A1715,Sheet2!$B$5:$H$29,3,FALSE),0)</x:f>
        <x:v>0</x:v>
      </x:c>
      <x:c r="E1715">
        <x:f>ROUND($C1715*10*VLOOKUP($B1715,Sheet2!$J$5:$K$7,2,FALSE)*VLOOKUP(Sheet1!$A1715,Sheet2!$B$5:$H$29,4,FALSE),0)</x:f>
        <x:v>245</x:v>
      </x:c>
      <x:c r="F1715">
        <x:f>ROUND($C1715*10*VLOOKUP($B1715,Sheet2!$J$5:$K$7,2,FALSE)*VLOOKUP(Sheet1!$A1715,Sheet2!$B$5:$H$29,5,FALSE),0)</x:f>
        <x:v>0</x:v>
      </x:c>
      <x:c r="G1715">
        <x:f>ROUND($C1715*10*VLOOKUP($B1715,Sheet2!$J$5:$K$7,2,FALSE)*VLOOKUP(Sheet1!$A1715,Sheet2!$B$5:$H$29,6,FALSE),0)</x:f>
        <x:v>0</x:v>
      </x:c>
      <x:c r="H1715">
        <x:f>ROUND($C1715*10*VLOOKUP($B1715,Sheet2!$J$5:$K$7,2,FALSE)*VLOOKUP(Sheet1!$A1715,Sheet2!$B$5:$H$29,7,FALSE),0)</x:f>
        <x:v>408</x:v>
      </x:c>
      <x:c r="I1715">
        <x:f t="shared" si="28"/>
        <x:v>22790</x:v>
      </x:c>
    </x:row>
    <x:row r="1716" spans="1:9" x14ac:dyDescent="0.15">
      <x:c r="A1716">
        <x:v>54055</x:v>
      </x:c>
      <x:c r="B1716">
        <x:v>2</x:v>
      </x:c>
      <x:c r="C1716">
        <x:v>35</x:v>
      </x:c>
      <x:c r="D1716">
        <x:f>ROUND($C1716*10*VLOOKUP($B1716,Sheet2!$J$5:$K$7,2,FALSE)*VLOOKUP(Sheet1!$A1716,Sheet2!$B$5:$H$29,3,FALSE),0)</x:f>
        <x:v>0</x:v>
      </x:c>
      <x:c r="E1716">
        <x:f>ROUND($C1716*10*VLOOKUP($B1716,Sheet2!$J$5:$K$7,2,FALSE)*VLOOKUP(Sheet1!$A1716,Sheet2!$B$5:$H$29,4,FALSE),0)</x:f>
        <x:v>252</x:v>
      </x:c>
      <x:c r="F1716">
        <x:f>ROUND($C1716*10*VLOOKUP($B1716,Sheet2!$J$5:$K$7,2,FALSE)*VLOOKUP(Sheet1!$A1716,Sheet2!$B$5:$H$29,5,FALSE),0)</x:f>
        <x:v>0</x:v>
      </x:c>
      <x:c r="G1716">
        <x:f>ROUND($C1716*10*VLOOKUP($B1716,Sheet2!$J$5:$K$7,2,FALSE)*VLOOKUP(Sheet1!$A1716,Sheet2!$B$5:$H$29,6,FALSE),0)</x:f>
        <x:v>0</x:v>
      </x:c>
      <x:c r="H1716">
        <x:f>ROUND($C1716*10*VLOOKUP($B1716,Sheet2!$J$5:$K$7,2,FALSE)*VLOOKUP(Sheet1!$A1716,Sheet2!$B$5:$H$29,7,FALSE),0)</x:f>
        <x:v>420</x:v>
      </x:c>
      <x:c r="I1716">
        <x:f t="shared" si="28"/>
        <x:v>24040</x:v>
      </x:c>
    </x:row>
    <x:row r="1717" spans="1:9" x14ac:dyDescent="0.15">
      <x:c r="A1717">
        <x:v>54055</x:v>
      </x:c>
      <x:c r="B1717">
        <x:v>2</x:v>
      </x:c>
      <x:c r="C1717">
        <x:v>36</x:v>
      </x:c>
      <x:c r="D1717">
        <x:f>ROUND($C1717*10*VLOOKUP($B1717,Sheet2!$J$5:$K$7,2,FALSE)*VLOOKUP(Sheet1!$A1717,Sheet2!$B$5:$H$29,3,FALSE),0)</x:f>
        <x:v>0</x:v>
      </x:c>
      <x:c r="E1717">
        <x:f>ROUND($C1717*10*VLOOKUP($B1717,Sheet2!$J$5:$K$7,2,FALSE)*VLOOKUP(Sheet1!$A1717,Sheet2!$B$5:$H$29,4,FALSE),0)</x:f>
        <x:v>259</x:v>
      </x:c>
      <x:c r="F1717">
        <x:f>ROUND($C1717*10*VLOOKUP($B1717,Sheet2!$J$5:$K$7,2,FALSE)*VLOOKUP(Sheet1!$A1717,Sheet2!$B$5:$H$29,5,FALSE),0)</x:f>
        <x:v>0</x:v>
      </x:c>
      <x:c r="G1717">
        <x:f>ROUND($C1717*10*VLOOKUP($B1717,Sheet2!$J$5:$K$7,2,FALSE)*VLOOKUP(Sheet1!$A1717,Sheet2!$B$5:$H$29,6,FALSE),0)</x:f>
        <x:v>0</x:v>
      </x:c>
      <x:c r="H1717">
        <x:f>ROUND($C1717*10*VLOOKUP($B1717,Sheet2!$J$5:$K$7,2,FALSE)*VLOOKUP(Sheet1!$A1717,Sheet2!$B$5:$H$29,7,FALSE),0)</x:f>
        <x:v>432</x:v>
      </x:c>
      <x:c r="I1717">
        <x:f t="shared" si="28"/>
        <x:v>25330</x:v>
      </x:c>
    </x:row>
    <x:row r="1718" spans="1:9" x14ac:dyDescent="0.15">
      <x:c r="A1718">
        <x:v>54055</x:v>
      </x:c>
      <x:c r="B1718">
        <x:v>2</x:v>
      </x:c>
      <x:c r="C1718">
        <x:v>37</x:v>
      </x:c>
      <x:c r="D1718">
        <x:f>ROUND($C1718*10*VLOOKUP($B1718,Sheet2!$J$5:$K$7,2,FALSE)*VLOOKUP(Sheet1!$A1718,Sheet2!$B$5:$H$29,3,FALSE),0)</x:f>
        <x:v>0</x:v>
      </x:c>
      <x:c r="E1718">
        <x:f>ROUND($C1718*10*VLOOKUP($B1718,Sheet2!$J$5:$K$7,2,FALSE)*VLOOKUP(Sheet1!$A1718,Sheet2!$B$5:$H$29,4,FALSE),0)</x:f>
        <x:v>266</x:v>
      </x:c>
      <x:c r="F1718">
        <x:f>ROUND($C1718*10*VLOOKUP($B1718,Sheet2!$J$5:$K$7,2,FALSE)*VLOOKUP(Sheet1!$A1718,Sheet2!$B$5:$H$29,5,FALSE),0)</x:f>
        <x:v>0</x:v>
      </x:c>
      <x:c r="G1718">
        <x:f>ROUND($C1718*10*VLOOKUP($B1718,Sheet2!$J$5:$K$7,2,FALSE)*VLOOKUP(Sheet1!$A1718,Sheet2!$B$5:$H$29,6,FALSE),0)</x:f>
        <x:v>0</x:v>
      </x:c>
      <x:c r="H1718">
        <x:f>ROUND($C1718*10*VLOOKUP($B1718,Sheet2!$J$5:$K$7,2,FALSE)*VLOOKUP(Sheet1!$A1718,Sheet2!$B$5:$H$29,7,FALSE),0)</x:f>
        <x:v>444</x:v>
      </x:c>
      <x:c r="I1718">
        <x:f t="shared" si="28"/>
        <x:v>26640</x:v>
      </x:c>
    </x:row>
    <x:row r="1719" spans="1:9" x14ac:dyDescent="0.15">
      <x:c r="A1719">
        <x:v>54055</x:v>
      </x:c>
      <x:c r="B1719">
        <x:v>2</x:v>
      </x:c>
      <x:c r="C1719">
        <x:v>38</x:v>
      </x:c>
      <x:c r="D1719">
        <x:f>ROUND($C1719*10*VLOOKUP($B1719,Sheet2!$J$5:$K$7,2,FALSE)*VLOOKUP(Sheet1!$A1719,Sheet2!$B$5:$H$29,3,FALSE),0)</x:f>
        <x:v>0</x:v>
      </x:c>
      <x:c r="E1719">
        <x:f>ROUND($C1719*10*VLOOKUP($B1719,Sheet2!$J$5:$K$7,2,FALSE)*VLOOKUP(Sheet1!$A1719,Sheet2!$B$5:$H$29,4,FALSE),0)</x:f>
        <x:v>274</x:v>
      </x:c>
      <x:c r="F1719">
        <x:f>ROUND($C1719*10*VLOOKUP($B1719,Sheet2!$J$5:$K$7,2,FALSE)*VLOOKUP(Sheet1!$A1719,Sheet2!$B$5:$H$29,5,FALSE),0)</x:f>
        <x:v>0</x:v>
      </x:c>
      <x:c r="G1719">
        <x:f>ROUND($C1719*10*VLOOKUP($B1719,Sheet2!$J$5:$K$7,2,FALSE)*VLOOKUP(Sheet1!$A1719,Sheet2!$B$5:$H$29,6,FALSE),0)</x:f>
        <x:v>0</x:v>
      </x:c>
      <x:c r="H1719">
        <x:f>ROUND($C1719*10*VLOOKUP($B1719,Sheet2!$J$5:$K$7,2,FALSE)*VLOOKUP(Sheet1!$A1719,Sheet2!$B$5:$H$29,7,FALSE),0)</x:f>
        <x:v>456</x:v>
      </x:c>
      <x:c r="I1719">
        <x:f t="shared" si="28"/>
        <x:v>27990</x:v>
      </x:c>
    </x:row>
    <x:row r="1720" spans="1:9" x14ac:dyDescent="0.15">
      <x:c r="A1720">
        <x:v>54055</x:v>
      </x:c>
      <x:c r="B1720">
        <x:v>2</x:v>
      </x:c>
      <x:c r="C1720">
        <x:v>39</x:v>
      </x:c>
      <x:c r="D1720">
        <x:f>ROUND($C1720*10*VLOOKUP($B1720,Sheet2!$J$5:$K$7,2,FALSE)*VLOOKUP(Sheet1!$A1720,Sheet2!$B$5:$H$29,3,FALSE),0)</x:f>
        <x:v>0</x:v>
      </x:c>
      <x:c r="E1720">
        <x:f>ROUND($C1720*10*VLOOKUP($B1720,Sheet2!$J$5:$K$7,2,FALSE)*VLOOKUP(Sheet1!$A1720,Sheet2!$B$5:$H$29,4,FALSE),0)</x:f>
        <x:v>281</x:v>
      </x:c>
      <x:c r="F1720">
        <x:f>ROUND($C1720*10*VLOOKUP($B1720,Sheet2!$J$5:$K$7,2,FALSE)*VLOOKUP(Sheet1!$A1720,Sheet2!$B$5:$H$29,5,FALSE),0)</x:f>
        <x:v>0</x:v>
      </x:c>
      <x:c r="G1720">
        <x:f>ROUND($C1720*10*VLOOKUP($B1720,Sheet2!$J$5:$K$7,2,FALSE)*VLOOKUP(Sheet1!$A1720,Sheet2!$B$5:$H$29,6,FALSE),0)</x:f>
        <x:v>0</x:v>
      </x:c>
      <x:c r="H1720">
        <x:f>ROUND($C1720*10*VLOOKUP($B1720,Sheet2!$J$5:$K$7,2,FALSE)*VLOOKUP(Sheet1!$A1720,Sheet2!$B$5:$H$29,7,FALSE),0)</x:f>
        <x:v>468</x:v>
      </x:c>
      <x:c r="I1720">
        <x:f t="shared" si="28"/>
        <x:v>29360</x:v>
      </x:c>
    </x:row>
    <x:row r="1721" spans="1:9" x14ac:dyDescent="0.15">
      <x:c r="A1721">
        <x:v>54055</x:v>
      </x:c>
      <x:c r="B1721">
        <x:v>2</x:v>
      </x:c>
      <x:c r="C1721">
        <x:v>40</x:v>
      </x:c>
      <x:c r="D1721">
        <x:f>ROUND($C1721*10*VLOOKUP($B1721,Sheet2!$J$5:$K$7,2,FALSE)*VLOOKUP(Sheet1!$A1721,Sheet2!$B$5:$H$29,3,FALSE),0)</x:f>
        <x:v>0</x:v>
      </x:c>
      <x:c r="E1721">
        <x:f>ROUND($C1721*10*VLOOKUP($B1721,Sheet2!$J$5:$K$7,2,FALSE)*VLOOKUP(Sheet1!$A1721,Sheet2!$B$5:$H$29,4,FALSE),0)</x:f>
        <x:v>288</x:v>
      </x:c>
      <x:c r="F1721">
        <x:f>ROUND($C1721*10*VLOOKUP($B1721,Sheet2!$J$5:$K$7,2,FALSE)*VLOOKUP(Sheet1!$A1721,Sheet2!$B$5:$H$29,5,FALSE),0)</x:f>
        <x:v>0</x:v>
      </x:c>
      <x:c r="G1721">
        <x:f>ROUND($C1721*10*VLOOKUP($B1721,Sheet2!$J$5:$K$7,2,FALSE)*VLOOKUP(Sheet1!$A1721,Sheet2!$B$5:$H$29,6,FALSE),0)</x:f>
        <x:v>0</x:v>
      </x:c>
      <x:c r="H1721">
        <x:f>ROUND($C1721*10*VLOOKUP($B1721,Sheet2!$J$5:$K$7,2,FALSE)*VLOOKUP(Sheet1!$A1721,Sheet2!$B$5:$H$29,7,FALSE),0)</x:f>
        <x:v>480</x:v>
      </x:c>
      <x:c r="I1721">
        <x:f t="shared" si="28"/>
        <x:v>30760</x:v>
      </x:c>
    </x:row>
    <x:row r="1722" spans="1:9" x14ac:dyDescent="0.15">
      <x:c r="A1722">
        <x:v>54055</x:v>
      </x:c>
      <x:c r="B1722">
        <x:v>2</x:v>
      </x:c>
      <x:c r="C1722">
        <x:v>41</x:v>
      </x:c>
      <x:c r="D1722">
        <x:f>ROUND($C1722*10*VLOOKUP($B1722,Sheet2!$J$5:$K$7,2,FALSE)*VLOOKUP(Sheet1!$A1722,Sheet2!$B$5:$H$29,3,FALSE),0)</x:f>
        <x:v>0</x:v>
      </x:c>
      <x:c r="E1722">
        <x:f>ROUND($C1722*10*VLOOKUP($B1722,Sheet2!$J$5:$K$7,2,FALSE)*VLOOKUP(Sheet1!$A1722,Sheet2!$B$5:$H$29,4,FALSE),0)</x:f>
        <x:v>295</x:v>
      </x:c>
      <x:c r="F1722">
        <x:f>ROUND($C1722*10*VLOOKUP($B1722,Sheet2!$J$5:$K$7,2,FALSE)*VLOOKUP(Sheet1!$A1722,Sheet2!$B$5:$H$29,5,FALSE),0)</x:f>
        <x:v>0</x:v>
      </x:c>
      <x:c r="G1722">
        <x:f>ROUND($C1722*10*VLOOKUP($B1722,Sheet2!$J$5:$K$7,2,FALSE)*VLOOKUP(Sheet1!$A1722,Sheet2!$B$5:$H$29,6,FALSE),0)</x:f>
        <x:v>0</x:v>
      </x:c>
      <x:c r="H1722">
        <x:f>ROUND($C1722*10*VLOOKUP($B1722,Sheet2!$J$5:$K$7,2,FALSE)*VLOOKUP(Sheet1!$A1722,Sheet2!$B$5:$H$29,7,FALSE),0)</x:f>
        <x:v>492</x:v>
      </x:c>
      <x:c r="I1722">
        <x:f t="shared" si="28"/>
        <x:v>32190</x:v>
      </x:c>
    </x:row>
    <x:row r="1723" spans="1:9" x14ac:dyDescent="0.15">
      <x:c r="A1723">
        <x:v>54055</x:v>
      </x:c>
      <x:c r="B1723">
        <x:v>2</x:v>
      </x:c>
      <x:c r="C1723">
        <x:v>42</x:v>
      </x:c>
      <x:c r="D1723">
        <x:f>ROUND($C1723*10*VLOOKUP($B1723,Sheet2!$J$5:$K$7,2,FALSE)*VLOOKUP(Sheet1!$A1723,Sheet2!$B$5:$H$29,3,FALSE),0)</x:f>
        <x:v>0</x:v>
      </x:c>
      <x:c r="E1723">
        <x:f>ROUND($C1723*10*VLOOKUP($B1723,Sheet2!$J$5:$K$7,2,FALSE)*VLOOKUP(Sheet1!$A1723,Sheet2!$B$5:$H$29,4,FALSE),0)</x:f>
        <x:v>302</x:v>
      </x:c>
      <x:c r="F1723">
        <x:f>ROUND($C1723*10*VLOOKUP($B1723,Sheet2!$J$5:$K$7,2,FALSE)*VLOOKUP(Sheet1!$A1723,Sheet2!$B$5:$H$29,5,FALSE),0)</x:f>
        <x:v>0</x:v>
      </x:c>
      <x:c r="G1723">
        <x:f>ROUND($C1723*10*VLOOKUP($B1723,Sheet2!$J$5:$K$7,2,FALSE)*VLOOKUP(Sheet1!$A1723,Sheet2!$B$5:$H$29,6,FALSE),0)</x:f>
        <x:v>0</x:v>
      </x:c>
      <x:c r="H1723">
        <x:f>ROUND($C1723*10*VLOOKUP($B1723,Sheet2!$J$5:$K$7,2,FALSE)*VLOOKUP(Sheet1!$A1723,Sheet2!$B$5:$H$29,7,FALSE),0)</x:f>
        <x:v>504</x:v>
      </x:c>
      <x:c r="I1723">
        <x:f t="shared" si="28"/>
        <x:v>33650</x:v>
      </x:c>
    </x:row>
    <x:row r="1724" spans="1:9" x14ac:dyDescent="0.15">
      <x:c r="A1724">
        <x:v>54055</x:v>
      </x:c>
      <x:c r="B1724">
        <x:v>2</x:v>
      </x:c>
      <x:c r="C1724">
        <x:v>43</x:v>
      </x:c>
      <x:c r="D1724">
        <x:f>ROUND($C1724*10*VLOOKUP($B1724,Sheet2!$J$5:$K$7,2,FALSE)*VLOOKUP(Sheet1!$A1724,Sheet2!$B$5:$H$29,3,FALSE),0)</x:f>
        <x:v>0</x:v>
      </x:c>
      <x:c r="E1724">
        <x:f>ROUND($C1724*10*VLOOKUP($B1724,Sheet2!$J$5:$K$7,2,FALSE)*VLOOKUP(Sheet1!$A1724,Sheet2!$B$5:$H$29,4,FALSE),0)</x:f>
        <x:v>310</x:v>
      </x:c>
      <x:c r="F1724">
        <x:f>ROUND($C1724*10*VLOOKUP($B1724,Sheet2!$J$5:$K$7,2,FALSE)*VLOOKUP(Sheet1!$A1724,Sheet2!$B$5:$H$29,5,FALSE),0)</x:f>
        <x:v>0</x:v>
      </x:c>
      <x:c r="G1724">
        <x:f>ROUND($C1724*10*VLOOKUP($B1724,Sheet2!$J$5:$K$7,2,FALSE)*VLOOKUP(Sheet1!$A1724,Sheet2!$B$5:$H$29,6,FALSE),0)</x:f>
        <x:v>0</x:v>
      </x:c>
      <x:c r="H1724">
        <x:f>ROUND($C1724*10*VLOOKUP($B1724,Sheet2!$J$5:$K$7,2,FALSE)*VLOOKUP(Sheet1!$A1724,Sheet2!$B$5:$H$29,7,FALSE),0)</x:f>
        <x:v>516</x:v>
      </x:c>
      <x:c r="I1724">
        <x:f t="shared" si="28"/>
        <x:v>35140</x:v>
      </x:c>
    </x:row>
    <x:row r="1725" spans="1:9" x14ac:dyDescent="0.15">
      <x:c r="A1725">
        <x:v>54055</x:v>
      </x:c>
      <x:c r="B1725">
        <x:v>2</x:v>
      </x:c>
      <x:c r="C1725">
        <x:v>44</x:v>
      </x:c>
      <x:c r="D1725">
        <x:f>ROUND($C1725*10*VLOOKUP($B1725,Sheet2!$J$5:$K$7,2,FALSE)*VLOOKUP(Sheet1!$A1725,Sheet2!$B$5:$H$29,3,FALSE),0)</x:f>
        <x:v>0</x:v>
      </x:c>
      <x:c r="E1725">
        <x:f>ROUND($C1725*10*VLOOKUP($B1725,Sheet2!$J$5:$K$7,2,FALSE)*VLOOKUP(Sheet1!$A1725,Sheet2!$B$5:$H$29,4,FALSE),0)</x:f>
        <x:v>317</x:v>
      </x:c>
      <x:c r="F1725">
        <x:f>ROUND($C1725*10*VLOOKUP($B1725,Sheet2!$J$5:$K$7,2,FALSE)*VLOOKUP(Sheet1!$A1725,Sheet2!$B$5:$H$29,5,FALSE),0)</x:f>
        <x:v>0</x:v>
      </x:c>
      <x:c r="G1725">
        <x:f>ROUND($C1725*10*VLOOKUP($B1725,Sheet2!$J$5:$K$7,2,FALSE)*VLOOKUP(Sheet1!$A1725,Sheet2!$B$5:$H$29,6,FALSE),0)</x:f>
        <x:v>0</x:v>
      </x:c>
      <x:c r="H1725">
        <x:f>ROUND($C1725*10*VLOOKUP($B1725,Sheet2!$J$5:$K$7,2,FALSE)*VLOOKUP(Sheet1!$A1725,Sheet2!$B$5:$H$29,7,FALSE),0)</x:f>
        <x:v>528</x:v>
      </x:c>
      <x:c r="I1725">
        <x:f t="shared" si="28"/>
        <x:v>36660</x:v>
      </x:c>
    </x:row>
    <x:row r="1726" spans="1:9" x14ac:dyDescent="0.15">
      <x:c r="A1726">
        <x:v>54055</x:v>
      </x:c>
      <x:c r="B1726">
        <x:v>2</x:v>
      </x:c>
      <x:c r="C1726">
        <x:v>45</x:v>
      </x:c>
      <x:c r="D1726">
        <x:f>ROUND($C1726*10*VLOOKUP($B1726,Sheet2!$J$5:$K$7,2,FALSE)*VLOOKUP(Sheet1!$A1726,Sheet2!$B$5:$H$29,3,FALSE),0)</x:f>
        <x:v>0</x:v>
      </x:c>
      <x:c r="E1726">
        <x:f>ROUND($C1726*10*VLOOKUP($B1726,Sheet2!$J$5:$K$7,2,FALSE)*VLOOKUP(Sheet1!$A1726,Sheet2!$B$5:$H$29,4,FALSE),0)</x:f>
        <x:v>324</x:v>
      </x:c>
      <x:c r="F1726">
        <x:f>ROUND($C1726*10*VLOOKUP($B1726,Sheet2!$J$5:$K$7,2,FALSE)*VLOOKUP(Sheet1!$A1726,Sheet2!$B$5:$H$29,5,FALSE),0)</x:f>
        <x:v>0</x:v>
      </x:c>
      <x:c r="G1726">
        <x:f>ROUND($C1726*10*VLOOKUP($B1726,Sheet2!$J$5:$K$7,2,FALSE)*VLOOKUP(Sheet1!$A1726,Sheet2!$B$5:$H$29,6,FALSE),0)</x:f>
        <x:v>0</x:v>
      </x:c>
      <x:c r="H1726">
        <x:f>ROUND($C1726*10*VLOOKUP($B1726,Sheet2!$J$5:$K$7,2,FALSE)*VLOOKUP(Sheet1!$A1726,Sheet2!$B$5:$H$29,7,FALSE),0)</x:f>
        <x:v>540</x:v>
      </x:c>
      <x:c r="I1726">
        <x:f t="shared" si="28"/>
        <x:v>38210</x:v>
      </x:c>
    </x:row>
    <x:row r="1727" spans="1:9" x14ac:dyDescent="0.15">
      <x:c r="A1727">
        <x:v>54055</x:v>
      </x:c>
      <x:c r="B1727">
        <x:v>2</x:v>
      </x:c>
      <x:c r="C1727">
        <x:v>46</x:v>
      </x:c>
      <x:c r="D1727">
        <x:f>ROUND($C1727*10*VLOOKUP($B1727,Sheet2!$J$5:$K$7,2,FALSE)*VLOOKUP(Sheet1!$A1727,Sheet2!$B$5:$H$29,3,FALSE),0)</x:f>
        <x:v>0</x:v>
      </x:c>
      <x:c r="E1727">
        <x:f>ROUND($C1727*10*VLOOKUP($B1727,Sheet2!$J$5:$K$7,2,FALSE)*VLOOKUP(Sheet1!$A1727,Sheet2!$B$5:$H$29,4,FALSE),0)</x:f>
        <x:v>331</x:v>
      </x:c>
      <x:c r="F1727">
        <x:f>ROUND($C1727*10*VLOOKUP($B1727,Sheet2!$J$5:$K$7,2,FALSE)*VLOOKUP(Sheet1!$A1727,Sheet2!$B$5:$H$29,5,FALSE),0)</x:f>
        <x:v>0</x:v>
      </x:c>
      <x:c r="G1727">
        <x:f>ROUND($C1727*10*VLOOKUP($B1727,Sheet2!$J$5:$K$7,2,FALSE)*VLOOKUP(Sheet1!$A1727,Sheet2!$B$5:$H$29,6,FALSE),0)</x:f>
        <x:v>0</x:v>
      </x:c>
      <x:c r="H1727">
        <x:f>ROUND($C1727*10*VLOOKUP($B1727,Sheet2!$J$5:$K$7,2,FALSE)*VLOOKUP(Sheet1!$A1727,Sheet2!$B$5:$H$29,7,FALSE),0)</x:f>
        <x:v>552</x:v>
      </x:c>
      <x:c r="I1727">
        <x:f t="shared" si="28"/>
        <x:v>39780</x:v>
      </x:c>
    </x:row>
    <x:row r="1728" spans="1:9" x14ac:dyDescent="0.15">
      <x:c r="A1728">
        <x:v>54055</x:v>
      </x:c>
      <x:c r="B1728">
        <x:v>2</x:v>
      </x:c>
      <x:c r="C1728">
        <x:v>47</x:v>
      </x:c>
      <x:c r="D1728">
        <x:f>ROUND($C1728*10*VLOOKUP($B1728,Sheet2!$J$5:$K$7,2,FALSE)*VLOOKUP(Sheet1!$A1728,Sheet2!$B$5:$H$29,3,FALSE),0)</x:f>
        <x:v>0</x:v>
      </x:c>
      <x:c r="E1728">
        <x:f>ROUND($C1728*10*VLOOKUP($B1728,Sheet2!$J$5:$K$7,2,FALSE)*VLOOKUP(Sheet1!$A1728,Sheet2!$B$5:$H$29,4,FALSE),0)</x:f>
        <x:v>338</x:v>
      </x:c>
      <x:c r="F1728">
        <x:f>ROUND($C1728*10*VLOOKUP($B1728,Sheet2!$J$5:$K$7,2,FALSE)*VLOOKUP(Sheet1!$A1728,Sheet2!$B$5:$H$29,5,FALSE),0)</x:f>
        <x:v>0</x:v>
      </x:c>
      <x:c r="G1728">
        <x:f>ROUND($C1728*10*VLOOKUP($B1728,Sheet2!$J$5:$K$7,2,FALSE)*VLOOKUP(Sheet1!$A1728,Sheet2!$B$5:$H$29,6,FALSE),0)</x:f>
        <x:v>0</x:v>
      </x:c>
      <x:c r="H1728">
        <x:f>ROUND($C1728*10*VLOOKUP($B1728,Sheet2!$J$5:$K$7,2,FALSE)*VLOOKUP(Sheet1!$A1728,Sheet2!$B$5:$H$29,7,FALSE),0)</x:f>
        <x:v>564</x:v>
      </x:c>
      <x:c r="I1728">
        <x:f t="shared" si="28"/>
        <x:v>41390</x:v>
      </x:c>
    </x:row>
    <x:row r="1729" spans="1:9" x14ac:dyDescent="0.15">
      <x:c r="A1729">
        <x:v>54055</x:v>
      </x:c>
      <x:c r="B1729">
        <x:v>2</x:v>
      </x:c>
      <x:c r="C1729">
        <x:v>48</x:v>
      </x:c>
      <x:c r="D1729">
        <x:f>ROUND($C1729*10*VLOOKUP($B1729,Sheet2!$J$5:$K$7,2,FALSE)*VLOOKUP(Sheet1!$A1729,Sheet2!$B$5:$H$29,3,FALSE),0)</x:f>
        <x:v>0</x:v>
      </x:c>
      <x:c r="E1729">
        <x:f>ROUND($C1729*10*VLOOKUP($B1729,Sheet2!$J$5:$K$7,2,FALSE)*VLOOKUP(Sheet1!$A1729,Sheet2!$B$5:$H$29,4,FALSE),0)</x:f>
        <x:v>346</x:v>
      </x:c>
      <x:c r="F1729">
        <x:f>ROUND($C1729*10*VLOOKUP($B1729,Sheet2!$J$5:$K$7,2,FALSE)*VLOOKUP(Sheet1!$A1729,Sheet2!$B$5:$H$29,5,FALSE),0)</x:f>
        <x:v>0</x:v>
      </x:c>
      <x:c r="G1729">
        <x:f>ROUND($C1729*10*VLOOKUP($B1729,Sheet2!$J$5:$K$7,2,FALSE)*VLOOKUP(Sheet1!$A1729,Sheet2!$B$5:$H$29,6,FALSE),0)</x:f>
        <x:v>0</x:v>
      </x:c>
      <x:c r="H1729">
        <x:f>ROUND($C1729*10*VLOOKUP($B1729,Sheet2!$J$5:$K$7,2,FALSE)*VLOOKUP(Sheet1!$A1729,Sheet2!$B$5:$H$29,7,FALSE),0)</x:f>
        <x:v>576</x:v>
      </x:c>
      <x:c r="I1729">
        <x:f t="shared" si="28"/>
        <x:v>43020</x:v>
      </x:c>
    </x:row>
    <x:row r="1730" spans="1:9" x14ac:dyDescent="0.15">
      <x:c r="A1730">
        <x:v>54055</x:v>
      </x:c>
      <x:c r="B1730">
        <x:v>2</x:v>
      </x:c>
      <x:c r="C1730">
        <x:v>49</x:v>
      </x:c>
      <x:c r="D1730">
        <x:f>ROUND($C1730*10*VLOOKUP($B1730,Sheet2!$J$5:$K$7,2,FALSE)*VLOOKUP(Sheet1!$A1730,Sheet2!$B$5:$H$29,3,FALSE),0)</x:f>
        <x:v>0</x:v>
      </x:c>
      <x:c r="E1730">
        <x:f>ROUND($C1730*10*VLOOKUP($B1730,Sheet2!$J$5:$K$7,2,FALSE)*VLOOKUP(Sheet1!$A1730,Sheet2!$B$5:$H$29,4,FALSE),0)</x:f>
        <x:v>353</x:v>
      </x:c>
      <x:c r="F1730">
        <x:f>ROUND($C1730*10*VLOOKUP($B1730,Sheet2!$J$5:$K$7,2,FALSE)*VLOOKUP(Sheet1!$A1730,Sheet2!$B$5:$H$29,5,FALSE),0)</x:f>
        <x:v>0</x:v>
      </x:c>
      <x:c r="G1730">
        <x:f>ROUND($C1730*10*VLOOKUP($B1730,Sheet2!$J$5:$K$7,2,FALSE)*VLOOKUP(Sheet1!$A1730,Sheet2!$B$5:$H$29,6,FALSE),0)</x:f>
        <x:v>0</x:v>
      </x:c>
      <x:c r="H1730">
        <x:f>ROUND($C1730*10*VLOOKUP($B1730,Sheet2!$J$5:$K$7,2,FALSE)*VLOOKUP(Sheet1!$A1730,Sheet2!$B$5:$H$29,7,FALSE),0)</x:f>
        <x:v>588</x:v>
      </x:c>
      <x:c r="I1730">
        <x:f t="shared" si="28"/>
        <x:v>44680</x:v>
      </x:c>
    </x:row>
    <x:row r="1731" spans="1:9" x14ac:dyDescent="0.15">
      <x:c r="A1731">
        <x:v>54055</x:v>
      </x:c>
      <x:c r="B1731">
        <x:v>2</x:v>
      </x:c>
      <x:c r="C1731">
        <x:v>50</x:v>
      </x:c>
      <x:c r="D1731">
        <x:f>ROUND($C1731*10*VLOOKUP($B1731,Sheet2!$J$5:$K$7,2,FALSE)*VLOOKUP(Sheet1!$A1731,Sheet2!$B$5:$H$29,3,FALSE),0)</x:f>
        <x:v>0</x:v>
      </x:c>
      <x:c r="E1731">
        <x:f>ROUND($C1731*10*VLOOKUP($B1731,Sheet2!$J$5:$K$7,2,FALSE)*VLOOKUP(Sheet1!$A1731,Sheet2!$B$5:$H$29,4,FALSE),0)</x:f>
        <x:v>360</x:v>
      </x:c>
      <x:c r="F1731">
        <x:f>ROUND($C1731*10*VLOOKUP($B1731,Sheet2!$J$5:$K$7,2,FALSE)*VLOOKUP(Sheet1!$A1731,Sheet2!$B$5:$H$29,5,FALSE),0)</x:f>
        <x:v>0</x:v>
      </x:c>
      <x:c r="G1731">
        <x:f>ROUND($C1731*10*VLOOKUP($B1731,Sheet2!$J$5:$K$7,2,FALSE)*VLOOKUP(Sheet1!$A1731,Sheet2!$B$5:$H$29,6,FALSE),0)</x:f>
        <x:v>0</x:v>
      </x:c>
      <x:c r="H1731">
        <x:f>ROUND($C1731*10*VLOOKUP($B1731,Sheet2!$J$5:$K$7,2,FALSE)*VLOOKUP(Sheet1!$A1731,Sheet2!$B$5:$H$29,7,FALSE),0)</x:f>
        <x:v>600</x:v>
      </x:c>
      <x:c r="I1731">
        <x:f t="shared" si="28"/>
        <x:v>46360</x:v>
      </x:c>
    </x:row>
    <x:row r="1732" spans="1:9" x14ac:dyDescent="0.15">
      <x:c r="A1732">
        <x:v>54055</x:v>
      </x:c>
      <x:c r="B1732">
        <x:v>2</x:v>
      </x:c>
      <x:c r="C1732">
        <x:v>51</x:v>
      </x:c>
      <x:c r="D1732">
        <x:f>ROUND($C1732*10*VLOOKUP($B1732,Sheet2!$J$5:$K$7,2,FALSE)*VLOOKUP(Sheet1!$A1732,Sheet2!$B$5:$H$29,3,FALSE),0)</x:f>
        <x:v>0</x:v>
      </x:c>
      <x:c r="E1732">
        <x:f>ROUND($C1732*10*VLOOKUP($B1732,Sheet2!$J$5:$K$7,2,FALSE)*VLOOKUP(Sheet1!$A1732,Sheet2!$B$5:$H$29,4,FALSE),0)</x:f>
        <x:v>367</x:v>
      </x:c>
      <x:c r="F1732">
        <x:f>ROUND($C1732*10*VLOOKUP($B1732,Sheet2!$J$5:$K$7,2,FALSE)*VLOOKUP(Sheet1!$A1732,Sheet2!$B$5:$H$29,5,FALSE),0)</x:f>
        <x:v>0</x:v>
      </x:c>
      <x:c r="G1732">
        <x:f>ROUND($C1732*10*VLOOKUP($B1732,Sheet2!$J$5:$K$7,2,FALSE)*VLOOKUP(Sheet1!$A1732,Sheet2!$B$5:$H$29,6,FALSE),0)</x:f>
        <x:v>0</x:v>
      </x:c>
      <x:c r="H1732">
        <x:f>ROUND($C1732*10*VLOOKUP($B1732,Sheet2!$J$5:$K$7,2,FALSE)*VLOOKUP(Sheet1!$A1732,Sheet2!$B$5:$H$29,7,FALSE),0)</x:f>
        <x:v>612</x:v>
      </x:c>
      <x:c r="I1732">
        <x:f t="shared" si="28"/>
        <x:v>48080</x:v>
      </x:c>
    </x:row>
    <x:row r="1733" spans="1:9" x14ac:dyDescent="0.15">
      <x:c r="A1733">
        <x:v>54055</x:v>
      </x:c>
      <x:c r="B1733">
        <x:v>2</x:v>
      </x:c>
      <x:c r="C1733">
        <x:v>52</x:v>
      </x:c>
      <x:c r="D1733">
        <x:f>ROUND($C1733*10*VLOOKUP($B1733,Sheet2!$J$5:$K$7,2,FALSE)*VLOOKUP(Sheet1!$A1733,Sheet2!$B$5:$H$29,3,FALSE),0)</x:f>
        <x:v>0</x:v>
      </x:c>
      <x:c r="E1733">
        <x:f>ROUND($C1733*10*VLOOKUP($B1733,Sheet2!$J$5:$K$7,2,FALSE)*VLOOKUP(Sheet1!$A1733,Sheet2!$B$5:$H$29,4,FALSE),0)</x:f>
        <x:v>374</x:v>
      </x:c>
      <x:c r="F1733">
        <x:f>ROUND($C1733*10*VLOOKUP($B1733,Sheet2!$J$5:$K$7,2,FALSE)*VLOOKUP(Sheet1!$A1733,Sheet2!$B$5:$H$29,5,FALSE),0)</x:f>
        <x:v>0</x:v>
      </x:c>
      <x:c r="G1733">
        <x:f>ROUND($C1733*10*VLOOKUP($B1733,Sheet2!$J$5:$K$7,2,FALSE)*VLOOKUP(Sheet1!$A1733,Sheet2!$B$5:$H$29,6,FALSE),0)</x:f>
        <x:v>0</x:v>
      </x:c>
      <x:c r="H1733">
        <x:f>ROUND($C1733*10*VLOOKUP($B1733,Sheet2!$J$5:$K$7,2,FALSE)*VLOOKUP(Sheet1!$A1733,Sheet2!$B$5:$H$29,7,FALSE),0)</x:f>
        <x:v>624</x:v>
      </x:c>
      <x:c r="I1733">
        <x:f t="shared" si="28"/>
        <x:v>49820</x:v>
      </x:c>
    </x:row>
    <x:row r="1734" spans="1:9" x14ac:dyDescent="0.15">
      <x:c r="A1734">
        <x:v>54055</x:v>
      </x:c>
      <x:c r="B1734">
        <x:v>2</x:v>
      </x:c>
      <x:c r="C1734">
        <x:v>53</x:v>
      </x:c>
      <x:c r="D1734">
        <x:f>ROUND($C1734*10*VLOOKUP($B1734,Sheet2!$J$5:$K$7,2,FALSE)*VLOOKUP(Sheet1!$A1734,Sheet2!$B$5:$H$29,3,FALSE),0)</x:f>
        <x:v>0</x:v>
      </x:c>
      <x:c r="E1734">
        <x:f>ROUND($C1734*10*VLOOKUP($B1734,Sheet2!$J$5:$K$7,2,FALSE)*VLOOKUP(Sheet1!$A1734,Sheet2!$B$5:$H$29,4,FALSE),0)</x:f>
        <x:v>382</x:v>
      </x:c>
      <x:c r="F1734">
        <x:f>ROUND($C1734*10*VLOOKUP($B1734,Sheet2!$J$5:$K$7,2,FALSE)*VLOOKUP(Sheet1!$A1734,Sheet2!$B$5:$H$29,5,FALSE),0)</x:f>
        <x:v>0</x:v>
      </x:c>
      <x:c r="G1734">
        <x:f>ROUND($C1734*10*VLOOKUP($B1734,Sheet2!$J$5:$K$7,2,FALSE)*VLOOKUP(Sheet1!$A1734,Sheet2!$B$5:$H$29,6,FALSE),0)</x:f>
        <x:v>0</x:v>
      </x:c>
      <x:c r="H1734">
        <x:f>ROUND($C1734*10*VLOOKUP($B1734,Sheet2!$J$5:$K$7,2,FALSE)*VLOOKUP(Sheet1!$A1734,Sheet2!$B$5:$H$29,7,FALSE),0)</x:f>
        <x:v>636</x:v>
      </x:c>
      <x:c r="I1734">
        <x:f t="shared" si="28"/>
        <x:v>51590</x:v>
      </x:c>
    </x:row>
    <x:row r="1735" spans="1:9" x14ac:dyDescent="0.15">
      <x:c r="A1735">
        <x:v>54055</x:v>
      </x:c>
      <x:c r="B1735">
        <x:v>2</x:v>
      </x:c>
      <x:c r="C1735">
        <x:v>54</x:v>
      </x:c>
      <x:c r="D1735">
        <x:f>ROUND($C1735*10*VLOOKUP($B1735,Sheet2!$J$5:$K$7,2,FALSE)*VLOOKUP(Sheet1!$A1735,Sheet2!$B$5:$H$29,3,FALSE),0)</x:f>
        <x:v>0</x:v>
      </x:c>
      <x:c r="E1735">
        <x:f>ROUND($C1735*10*VLOOKUP($B1735,Sheet2!$J$5:$K$7,2,FALSE)*VLOOKUP(Sheet1!$A1735,Sheet2!$B$5:$H$29,4,FALSE),0)</x:f>
        <x:v>389</x:v>
      </x:c>
      <x:c r="F1735">
        <x:f>ROUND($C1735*10*VLOOKUP($B1735,Sheet2!$J$5:$K$7,2,FALSE)*VLOOKUP(Sheet1!$A1735,Sheet2!$B$5:$H$29,5,FALSE),0)</x:f>
        <x:v>0</x:v>
      </x:c>
      <x:c r="G1735">
        <x:f>ROUND($C1735*10*VLOOKUP($B1735,Sheet2!$J$5:$K$7,2,FALSE)*VLOOKUP(Sheet1!$A1735,Sheet2!$B$5:$H$29,6,FALSE),0)</x:f>
        <x:v>0</x:v>
      </x:c>
      <x:c r="H1735">
        <x:f>ROUND($C1735*10*VLOOKUP($B1735,Sheet2!$J$5:$K$7,2,FALSE)*VLOOKUP(Sheet1!$A1735,Sheet2!$B$5:$H$29,7,FALSE),0)</x:f>
        <x:v>648</x:v>
      </x:c>
      <x:c r="I1735">
        <x:f t="shared" si="28"/>
        <x:v>53390</x:v>
      </x:c>
    </x:row>
    <x:row r="1736" spans="1:9" x14ac:dyDescent="0.15">
      <x:c r="A1736">
        <x:v>54055</x:v>
      </x:c>
      <x:c r="B1736">
        <x:v>2</x:v>
      </x:c>
      <x:c r="C1736">
        <x:v>55</x:v>
      </x:c>
      <x:c r="D1736">
        <x:f>ROUND($C1736*10*VLOOKUP($B1736,Sheet2!$J$5:$K$7,2,FALSE)*VLOOKUP(Sheet1!$A1736,Sheet2!$B$5:$H$29,3,FALSE),0)</x:f>
        <x:v>0</x:v>
      </x:c>
      <x:c r="E1736">
        <x:f>ROUND($C1736*10*VLOOKUP($B1736,Sheet2!$J$5:$K$7,2,FALSE)*VLOOKUP(Sheet1!$A1736,Sheet2!$B$5:$H$29,4,FALSE),0)</x:f>
        <x:v>396</x:v>
      </x:c>
      <x:c r="F1736">
        <x:f>ROUND($C1736*10*VLOOKUP($B1736,Sheet2!$J$5:$K$7,2,FALSE)*VLOOKUP(Sheet1!$A1736,Sheet2!$B$5:$H$29,5,FALSE),0)</x:f>
        <x:v>0</x:v>
      </x:c>
      <x:c r="G1736">
        <x:f>ROUND($C1736*10*VLOOKUP($B1736,Sheet2!$J$5:$K$7,2,FALSE)*VLOOKUP(Sheet1!$A1736,Sheet2!$B$5:$H$29,6,FALSE),0)</x:f>
        <x:v>0</x:v>
      </x:c>
      <x:c r="H1736">
        <x:f>ROUND($C1736*10*VLOOKUP($B1736,Sheet2!$J$5:$K$7,2,FALSE)*VLOOKUP(Sheet1!$A1736,Sheet2!$B$5:$H$29,7,FALSE),0)</x:f>
        <x:v>660</x:v>
      </x:c>
      <x:c r="I1736">
        <x:f t="shared" si="28"/>
        <x:v>55210</x:v>
      </x:c>
    </x:row>
    <x:row r="1737" spans="1:9" x14ac:dyDescent="0.15">
      <x:c r="A1737">
        <x:v>54055</x:v>
      </x:c>
      <x:c r="B1737">
        <x:v>2</x:v>
      </x:c>
      <x:c r="C1737">
        <x:v>56</x:v>
      </x:c>
      <x:c r="D1737">
        <x:f>ROUND($C1737*10*VLOOKUP($B1737,Sheet2!$J$5:$K$7,2,FALSE)*VLOOKUP(Sheet1!$A1737,Sheet2!$B$5:$H$29,3,FALSE),0)</x:f>
        <x:v>0</x:v>
      </x:c>
      <x:c r="E1737">
        <x:f>ROUND($C1737*10*VLOOKUP($B1737,Sheet2!$J$5:$K$7,2,FALSE)*VLOOKUP(Sheet1!$A1737,Sheet2!$B$5:$H$29,4,FALSE),0)</x:f>
        <x:v>403</x:v>
      </x:c>
      <x:c r="F1737">
        <x:f>ROUND($C1737*10*VLOOKUP($B1737,Sheet2!$J$5:$K$7,2,FALSE)*VLOOKUP(Sheet1!$A1737,Sheet2!$B$5:$H$29,5,FALSE),0)</x:f>
        <x:v>0</x:v>
      </x:c>
      <x:c r="G1737">
        <x:f>ROUND($C1737*10*VLOOKUP($B1737,Sheet2!$J$5:$K$7,2,FALSE)*VLOOKUP(Sheet1!$A1737,Sheet2!$B$5:$H$29,6,FALSE),0)</x:f>
        <x:v>0</x:v>
      </x:c>
      <x:c r="H1737">
        <x:f>ROUND($C1737*10*VLOOKUP($B1737,Sheet2!$J$5:$K$7,2,FALSE)*VLOOKUP(Sheet1!$A1737,Sheet2!$B$5:$H$29,7,FALSE),0)</x:f>
        <x:v>672</x:v>
      </x:c>
      <x:c r="I1737">
        <x:f t="shared" si="28"/>
        <x:v>57060</x:v>
      </x:c>
    </x:row>
    <x:row r="1738" spans="1:9" x14ac:dyDescent="0.15">
      <x:c r="A1738">
        <x:v>54055</x:v>
      </x:c>
      <x:c r="B1738">
        <x:v>2</x:v>
      </x:c>
      <x:c r="C1738">
        <x:v>57</x:v>
      </x:c>
      <x:c r="D1738">
        <x:f>ROUND($C1738*10*VLOOKUP($B1738,Sheet2!$J$5:$K$7,2,FALSE)*VLOOKUP(Sheet1!$A1738,Sheet2!$B$5:$H$29,3,FALSE),0)</x:f>
        <x:v>0</x:v>
      </x:c>
      <x:c r="E1738">
        <x:f>ROUND($C1738*10*VLOOKUP($B1738,Sheet2!$J$5:$K$7,2,FALSE)*VLOOKUP(Sheet1!$A1738,Sheet2!$B$5:$H$29,4,FALSE),0)</x:f>
        <x:v>410</x:v>
      </x:c>
      <x:c r="F1738">
        <x:f>ROUND($C1738*10*VLOOKUP($B1738,Sheet2!$J$5:$K$7,2,FALSE)*VLOOKUP(Sheet1!$A1738,Sheet2!$B$5:$H$29,5,FALSE),0)</x:f>
        <x:v>0</x:v>
      </x:c>
      <x:c r="G1738">
        <x:f>ROUND($C1738*10*VLOOKUP($B1738,Sheet2!$J$5:$K$7,2,FALSE)*VLOOKUP(Sheet1!$A1738,Sheet2!$B$5:$H$29,6,FALSE),0)</x:f>
        <x:v>0</x:v>
      </x:c>
      <x:c r="H1738">
        <x:f>ROUND($C1738*10*VLOOKUP($B1738,Sheet2!$J$5:$K$7,2,FALSE)*VLOOKUP(Sheet1!$A1738,Sheet2!$B$5:$H$29,7,FALSE),0)</x:f>
        <x:v>684</x:v>
      </x:c>
      <x:c r="I1738">
        <x:f t="shared" si="28"/>
        <x:v>58940</x:v>
      </x:c>
    </x:row>
    <x:row r="1739" spans="1:9" x14ac:dyDescent="0.15">
      <x:c r="A1739">
        <x:v>54055</x:v>
      </x:c>
      <x:c r="B1739">
        <x:v>2</x:v>
      </x:c>
      <x:c r="C1739">
        <x:v>58</x:v>
      </x:c>
      <x:c r="D1739">
        <x:f>ROUND($C1739*10*VLOOKUP($B1739,Sheet2!$J$5:$K$7,2,FALSE)*VLOOKUP(Sheet1!$A1739,Sheet2!$B$5:$H$29,3,FALSE),0)</x:f>
        <x:v>0</x:v>
      </x:c>
      <x:c r="E1739">
        <x:f>ROUND($C1739*10*VLOOKUP($B1739,Sheet2!$J$5:$K$7,2,FALSE)*VLOOKUP(Sheet1!$A1739,Sheet2!$B$5:$H$29,4,FALSE),0)</x:f>
        <x:v>418</x:v>
      </x:c>
      <x:c r="F1739">
        <x:f>ROUND($C1739*10*VLOOKUP($B1739,Sheet2!$J$5:$K$7,2,FALSE)*VLOOKUP(Sheet1!$A1739,Sheet2!$B$5:$H$29,5,FALSE),0)</x:f>
        <x:v>0</x:v>
      </x:c>
      <x:c r="G1739">
        <x:f>ROUND($C1739*10*VLOOKUP($B1739,Sheet2!$J$5:$K$7,2,FALSE)*VLOOKUP(Sheet1!$A1739,Sheet2!$B$5:$H$29,6,FALSE),0)</x:f>
        <x:v>0</x:v>
      </x:c>
      <x:c r="H1739">
        <x:f>ROUND($C1739*10*VLOOKUP($B1739,Sheet2!$J$5:$K$7,2,FALSE)*VLOOKUP(Sheet1!$A1739,Sheet2!$B$5:$H$29,7,FALSE),0)</x:f>
        <x:v>696</x:v>
      </x:c>
      <x:c r="I1739">
        <x:f t="shared" si="28"/>
        <x:v>60850</x:v>
      </x:c>
    </x:row>
    <x:row r="1740" spans="1:9" x14ac:dyDescent="0.15">
      <x:c r="A1740">
        <x:v>54055</x:v>
      </x:c>
      <x:c r="B1740">
        <x:v>2</x:v>
      </x:c>
      <x:c r="C1740">
        <x:v>59</x:v>
      </x:c>
      <x:c r="D1740">
        <x:f>ROUND($C1740*10*VLOOKUP($B1740,Sheet2!$J$5:$K$7,2,FALSE)*VLOOKUP(Sheet1!$A1740,Sheet2!$B$5:$H$29,3,FALSE),0)</x:f>
        <x:v>0</x:v>
      </x:c>
      <x:c r="E1740">
        <x:f>ROUND($C1740*10*VLOOKUP($B1740,Sheet2!$J$5:$K$7,2,FALSE)*VLOOKUP(Sheet1!$A1740,Sheet2!$B$5:$H$29,4,FALSE),0)</x:f>
        <x:v>425</x:v>
      </x:c>
      <x:c r="F1740">
        <x:f>ROUND($C1740*10*VLOOKUP($B1740,Sheet2!$J$5:$K$7,2,FALSE)*VLOOKUP(Sheet1!$A1740,Sheet2!$B$5:$H$29,5,FALSE),0)</x:f>
        <x:v>0</x:v>
      </x:c>
      <x:c r="G1740">
        <x:f>ROUND($C1740*10*VLOOKUP($B1740,Sheet2!$J$5:$K$7,2,FALSE)*VLOOKUP(Sheet1!$A1740,Sheet2!$B$5:$H$29,6,FALSE),0)</x:f>
        <x:v>0</x:v>
      </x:c>
      <x:c r="H1740">
        <x:f>ROUND($C1740*10*VLOOKUP($B1740,Sheet2!$J$5:$K$7,2,FALSE)*VLOOKUP(Sheet1!$A1740,Sheet2!$B$5:$H$29,7,FALSE),0)</x:f>
        <x:v>708</x:v>
      </x:c>
      <x:c r="I1740">
        <x:f t="shared" si="28"/>
        <x:v>62780</x:v>
      </x:c>
    </x:row>
    <x:row r="1741" spans="1:9" x14ac:dyDescent="0.15">
      <x:c r="A1741">
        <x:v>54055</x:v>
      </x:c>
      <x:c r="B1741">
        <x:v>2</x:v>
      </x:c>
      <x:c r="C1741">
        <x:v>60</x:v>
      </x:c>
      <x:c r="D1741">
        <x:f>ROUND($C1741*10*VLOOKUP($B1741,Sheet2!$J$5:$K$7,2,FALSE)*VLOOKUP(Sheet1!$A1741,Sheet2!$B$5:$H$29,3,FALSE),0)</x:f>
        <x:v>0</x:v>
      </x:c>
      <x:c r="E1741">
        <x:f>ROUND($C1741*10*VLOOKUP($B1741,Sheet2!$J$5:$K$7,2,FALSE)*VLOOKUP(Sheet1!$A1741,Sheet2!$B$5:$H$29,4,FALSE),0)</x:f>
        <x:v>432</x:v>
      </x:c>
      <x:c r="F1741">
        <x:f>ROUND($C1741*10*VLOOKUP($B1741,Sheet2!$J$5:$K$7,2,FALSE)*VLOOKUP(Sheet1!$A1741,Sheet2!$B$5:$H$29,5,FALSE),0)</x:f>
        <x:v>0</x:v>
      </x:c>
      <x:c r="G1741">
        <x:f>ROUND($C1741*10*VLOOKUP($B1741,Sheet2!$J$5:$K$7,2,FALSE)*VLOOKUP(Sheet1!$A1741,Sheet2!$B$5:$H$29,6,FALSE),0)</x:f>
        <x:v>0</x:v>
      </x:c>
      <x:c r="H1741">
        <x:f>ROUND($C1741*10*VLOOKUP($B1741,Sheet2!$J$5:$K$7,2,FALSE)*VLOOKUP(Sheet1!$A1741,Sheet2!$B$5:$H$29,7,FALSE),0)</x:f>
        <x:v>720</x:v>
      </x:c>
      <x:c r="I1741">
        <x:f t="shared" si="28"/>
        <x:v>64740</x:v>
      </x:c>
    </x:row>
    <x:row r="1742" spans="1:9" x14ac:dyDescent="0.15">
      <x:c r="A1742">
        <x:v>54055</x:v>
      </x:c>
      <x:c r="B1742">
        <x:v>3</x:v>
      </x:c>
      <x:c r="C1742">
        <x:v>1</x:v>
      </x:c>
      <x:c r="D1742">
        <x:f>ROUND($C1742*10*VLOOKUP($B1742,Sheet2!$J$5:$K$7,2,FALSE)*VLOOKUP(Sheet1!$A1742,Sheet2!$B$5:$H$29,3,FALSE),0)</x:f>
        <x:v>0</x:v>
      </x:c>
      <x:c r="E1742">
        <x:f>ROUND($C1742*10*VLOOKUP($B1742,Sheet2!$J$5:$K$7,2,FALSE)*VLOOKUP(Sheet1!$A1742,Sheet2!$B$5:$H$29,4,FALSE),0)</x:f>
        <x:v>12</x:v>
      </x:c>
      <x:c r="F1742">
        <x:f>ROUND($C1742*10*VLOOKUP($B1742,Sheet2!$J$5:$K$7,2,FALSE)*VLOOKUP(Sheet1!$A1742,Sheet2!$B$5:$H$29,5,FALSE),0)</x:f>
        <x:v>0</x:v>
      </x:c>
      <x:c r="G1742">
        <x:f>ROUND($C1742*10*VLOOKUP($B1742,Sheet2!$J$5:$K$7,2,FALSE)*VLOOKUP(Sheet1!$A1742,Sheet2!$B$5:$H$29,6,FALSE),0)</x:f>
        <x:v>0</x:v>
      </x:c>
      <x:c r="H1742">
        <x:f>ROUND($C1742*10*VLOOKUP($B1742,Sheet2!$J$5:$K$7,2,FALSE)*VLOOKUP(Sheet1!$A1742,Sheet2!$B$5:$H$29,7,FALSE),0)</x:f>
        <x:v>20</x:v>
      </x:c>
      <x:c r="I1742">
        <x:f t="shared" ref="I1742:I1801" si="29">ROUND(1.2*10*10.5*(C1742-1)^1.8+90,-1)</x:f>
        <x:v>90</x:v>
      </x:c>
    </x:row>
    <x:row r="1743" spans="1:9" x14ac:dyDescent="0.15">
      <x:c r="A1743">
        <x:v>54055</x:v>
      </x:c>
      <x:c r="B1743">
        <x:v>3</x:v>
      </x:c>
      <x:c r="C1743">
        <x:v>2</x:v>
      </x:c>
      <x:c r="D1743">
        <x:f>ROUND($C1743*10*VLOOKUP($B1743,Sheet2!$J$5:$K$7,2,FALSE)*VLOOKUP(Sheet1!$A1743,Sheet2!$B$5:$H$29,3,FALSE),0)</x:f>
        <x:v>0</x:v>
      </x:c>
      <x:c r="E1743">
        <x:f>ROUND($C1743*10*VLOOKUP($B1743,Sheet2!$J$5:$K$7,2,FALSE)*VLOOKUP(Sheet1!$A1743,Sheet2!$B$5:$H$29,4,FALSE),0)</x:f>
        <x:v>24</x:v>
      </x:c>
      <x:c r="F1743">
        <x:f>ROUND($C1743*10*VLOOKUP($B1743,Sheet2!$J$5:$K$7,2,FALSE)*VLOOKUP(Sheet1!$A1743,Sheet2!$B$5:$H$29,5,FALSE),0)</x:f>
        <x:v>0</x:v>
      </x:c>
      <x:c r="G1743">
        <x:f>ROUND($C1743*10*VLOOKUP($B1743,Sheet2!$J$5:$K$7,2,FALSE)*VLOOKUP(Sheet1!$A1743,Sheet2!$B$5:$H$29,6,FALSE),0)</x:f>
        <x:v>0</x:v>
      </x:c>
      <x:c r="H1743">
        <x:f>ROUND($C1743*10*VLOOKUP($B1743,Sheet2!$J$5:$K$7,2,FALSE)*VLOOKUP(Sheet1!$A1743,Sheet2!$B$5:$H$29,7,FALSE),0)</x:f>
        <x:v>40</x:v>
      </x:c>
      <x:c r="I1743">
        <x:f t="shared" si="29"/>
        <x:v>220</x:v>
      </x:c>
    </x:row>
    <x:row r="1744" spans="1:9" x14ac:dyDescent="0.15">
      <x:c r="A1744">
        <x:v>54055</x:v>
      </x:c>
      <x:c r="B1744">
        <x:v>3</x:v>
      </x:c>
      <x:c r="C1744">
        <x:v>3</x:v>
      </x:c>
      <x:c r="D1744">
        <x:f>ROUND($C1744*10*VLOOKUP($B1744,Sheet2!$J$5:$K$7,2,FALSE)*VLOOKUP(Sheet1!$A1744,Sheet2!$B$5:$H$29,3,FALSE),0)</x:f>
        <x:v>0</x:v>
      </x:c>
      <x:c r="E1744">
        <x:f>ROUND($C1744*10*VLOOKUP($B1744,Sheet2!$J$5:$K$7,2,FALSE)*VLOOKUP(Sheet1!$A1744,Sheet2!$B$5:$H$29,4,FALSE),0)</x:f>
        <x:v>36</x:v>
      </x:c>
      <x:c r="F1744">
        <x:f>ROUND($C1744*10*VLOOKUP($B1744,Sheet2!$J$5:$K$7,2,FALSE)*VLOOKUP(Sheet1!$A1744,Sheet2!$B$5:$H$29,5,FALSE),0)</x:f>
        <x:v>0</x:v>
      </x:c>
      <x:c r="G1744">
        <x:f>ROUND($C1744*10*VLOOKUP($B1744,Sheet2!$J$5:$K$7,2,FALSE)*VLOOKUP(Sheet1!$A1744,Sheet2!$B$5:$H$29,6,FALSE),0)</x:f>
        <x:v>0</x:v>
      </x:c>
      <x:c r="H1744">
        <x:f>ROUND($C1744*10*VLOOKUP($B1744,Sheet2!$J$5:$K$7,2,FALSE)*VLOOKUP(Sheet1!$A1744,Sheet2!$B$5:$H$29,7,FALSE),0)</x:f>
        <x:v>60</x:v>
      </x:c>
      <x:c r="I1744">
        <x:f t="shared" si="29"/>
        <x:v>530</x:v>
      </x:c>
    </x:row>
    <x:row r="1745" spans="1:9" x14ac:dyDescent="0.15">
      <x:c r="A1745">
        <x:v>54055</x:v>
      </x:c>
      <x:c r="B1745">
        <x:v>3</x:v>
      </x:c>
      <x:c r="C1745">
        <x:v>4</x:v>
      </x:c>
      <x:c r="D1745">
        <x:f>ROUND($C1745*10*VLOOKUP($B1745,Sheet2!$J$5:$K$7,2,FALSE)*VLOOKUP(Sheet1!$A1745,Sheet2!$B$5:$H$29,3,FALSE),0)</x:f>
        <x:v>0</x:v>
      </x:c>
      <x:c r="E1745">
        <x:f>ROUND($C1745*10*VLOOKUP($B1745,Sheet2!$J$5:$K$7,2,FALSE)*VLOOKUP(Sheet1!$A1745,Sheet2!$B$5:$H$29,4,FALSE),0)</x:f>
        <x:v>48</x:v>
      </x:c>
      <x:c r="F1745">
        <x:f>ROUND($C1745*10*VLOOKUP($B1745,Sheet2!$J$5:$K$7,2,FALSE)*VLOOKUP(Sheet1!$A1745,Sheet2!$B$5:$H$29,5,FALSE),0)</x:f>
        <x:v>0</x:v>
      </x:c>
      <x:c r="G1745">
        <x:f>ROUND($C1745*10*VLOOKUP($B1745,Sheet2!$J$5:$K$7,2,FALSE)*VLOOKUP(Sheet1!$A1745,Sheet2!$B$5:$H$29,6,FALSE),0)</x:f>
        <x:v>0</x:v>
      </x:c>
      <x:c r="H1745">
        <x:f>ROUND($C1745*10*VLOOKUP($B1745,Sheet2!$J$5:$K$7,2,FALSE)*VLOOKUP(Sheet1!$A1745,Sheet2!$B$5:$H$29,7,FALSE),0)</x:f>
        <x:v>80</x:v>
      </x:c>
      <x:c r="I1745">
        <x:f t="shared" si="29"/>
        <x:v>1000</x:v>
      </x:c>
    </x:row>
    <x:row r="1746" spans="1:9" x14ac:dyDescent="0.15">
      <x:c r="A1746">
        <x:v>54055</x:v>
      </x:c>
      <x:c r="B1746">
        <x:v>3</x:v>
      </x:c>
      <x:c r="C1746">
        <x:v>5</x:v>
      </x:c>
      <x:c r="D1746">
        <x:f>ROUND($C1746*10*VLOOKUP($B1746,Sheet2!$J$5:$K$7,2,FALSE)*VLOOKUP(Sheet1!$A1746,Sheet2!$B$5:$H$29,3,FALSE),0)</x:f>
        <x:v>0</x:v>
      </x:c>
      <x:c r="E1746">
        <x:f>ROUND($C1746*10*VLOOKUP($B1746,Sheet2!$J$5:$K$7,2,FALSE)*VLOOKUP(Sheet1!$A1746,Sheet2!$B$5:$H$29,4,FALSE),0)</x:f>
        <x:v>60</x:v>
      </x:c>
      <x:c r="F1746">
        <x:f>ROUND($C1746*10*VLOOKUP($B1746,Sheet2!$J$5:$K$7,2,FALSE)*VLOOKUP(Sheet1!$A1746,Sheet2!$B$5:$H$29,5,FALSE),0)</x:f>
        <x:v>0</x:v>
      </x:c>
      <x:c r="G1746">
        <x:f>ROUND($C1746*10*VLOOKUP($B1746,Sheet2!$J$5:$K$7,2,FALSE)*VLOOKUP(Sheet1!$A1746,Sheet2!$B$5:$H$29,6,FALSE),0)</x:f>
        <x:v>0</x:v>
      </x:c>
      <x:c r="H1746">
        <x:f>ROUND($C1746*10*VLOOKUP($B1746,Sheet2!$J$5:$K$7,2,FALSE)*VLOOKUP(Sheet1!$A1746,Sheet2!$B$5:$H$29,7,FALSE),0)</x:f>
        <x:v>100</x:v>
      </x:c>
      <x:c r="I1746">
        <x:f t="shared" si="29"/>
        <x:v>1620</x:v>
      </x:c>
    </x:row>
    <x:row r="1747" spans="1:9" x14ac:dyDescent="0.15">
      <x:c r="A1747">
        <x:v>54055</x:v>
      </x:c>
      <x:c r="B1747">
        <x:v>3</x:v>
      </x:c>
      <x:c r="C1747">
        <x:v>6</x:v>
      </x:c>
      <x:c r="D1747">
        <x:f>ROUND($C1747*10*VLOOKUP($B1747,Sheet2!$J$5:$K$7,2,FALSE)*VLOOKUP(Sheet1!$A1747,Sheet2!$B$5:$H$29,3,FALSE),0)</x:f>
        <x:v>0</x:v>
      </x:c>
      <x:c r="E1747">
        <x:f>ROUND($C1747*10*VLOOKUP($B1747,Sheet2!$J$5:$K$7,2,FALSE)*VLOOKUP(Sheet1!$A1747,Sheet2!$B$5:$H$29,4,FALSE),0)</x:f>
        <x:v>72</x:v>
      </x:c>
      <x:c r="F1747">
        <x:f>ROUND($C1747*10*VLOOKUP($B1747,Sheet2!$J$5:$K$7,2,FALSE)*VLOOKUP(Sheet1!$A1747,Sheet2!$B$5:$H$29,5,FALSE),0)</x:f>
        <x:v>0</x:v>
      </x:c>
      <x:c r="G1747">
        <x:f>ROUND($C1747*10*VLOOKUP($B1747,Sheet2!$J$5:$K$7,2,FALSE)*VLOOKUP(Sheet1!$A1747,Sheet2!$B$5:$H$29,6,FALSE),0)</x:f>
        <x:v>0</x:v>
      </x:c>
      <x:c r="H1747">
        <x:f>ROUND($C1747*10*VLOOKUP($B1747,Sheet2!$J$5:$K$7,2,FALSE)*VLOOKUP(Sheet1!$A1747,Sheet2!$B$5:$H$29,7,FALSE),0)</x:f>
        <x:v>120</x:v>
      </x:c>
      <x:c r="I1747">
        <x:f t="shared" si="29"/>
        <x:v>2370</x:v>
      </x:c>
    </x:row>
    <x:row r="1748" spans="1:9" x14ac:dyDescent="0.15">
      <x:c r="A1748">
        <x:v>54055</x:v>
      </x:c>
      <x:c r="B1748">
        <x:v>3</x:v>
      </x:c>
      <x:c r="C1748">
        <x:v>7</x:v>
      </x:c>
      <x:c r="D1748">
        <x:f>ROUND($C1748*10*VLOOKUP($B1748,Sheet2!$J$5:$K$7,2,FALSE)*VLOOKUP(Sheet1!$A1748,Sheet2!$B$5:$H$29,3,FALSE),0)</x:f>
        <x:v>0</x:v>
      </x:c>
      <x:c r="E1748">
        <x:f>ROUND($C1748*10*VLOOKUP($B1748,Sheet2!$J$5:$K$7,2,FALSE)*VLOOKUP(Sheet1!$A1748,Sheet2!$B$5:$H$29,4,FALSE),0)</x:f>
        <x:v>84</x:v>
      </x:c>
      <x:c r="F1748">
        <x:f>ROUND($C1748*10*VLOOKUP($B1748,Sheet2!$J$5:$K$7,2,FALSE)*VLOOKUP(Sheet1!$A1748,Sheet2!$B$5:$H$29,5,FALSE),0)</x:f>
        <x:v>0</x:v>
      </x:c>
      <x:c r="G1748">
        <x:f>ROUND($C1748*10*VLOOKUP($B1748,Sheet2!$J$5:$K$7,2,FALSE)*VLOOKUP(Sheet1!$A1748,Sheet2!$B$5:$H$29,6,FALSE),0)</x:f>
        <x:v>0</x:v>
      </x:c>
      <x:c r="H1748">
        <x:f>ROUND($C1748*10*VLOOKUP($B1748,Sheet2!$J$5:$K$7,2,FALSE)*VLOOKUP(Sheet1!$A1748,Sheet2!$B$5:$H$29,7,FALSE),0)</x:f>
        <x:v>140</x:v>
      </x:c>
      <x:c r="I1748">
        <x:f t="shared" si="29"/>
        <x:v>3260</x:v>
      </x:c>
    </x:row>
    <x:row r="1749" spans="1:9" x14ac:dyDescent="0.15">
      <x:c r="A1749">
        <x:v>54055</x:v>
      </x:c>
      <x:c r="B1749">
        <x:v>3</x:v>
      </x:c>
      <x:c r="C1749">
        <x:v>8</x:v>
      </x:c>
      <x:c r="D1749">
        <x:f>ROUND($C1749*10*VLOOKUP($B1749,Sheet2!$J$5:$K$7,2,FALSE)*VLOOKUP(Sheet1!$A1749,Sheet2!$B$5:$H$29,3,FALSE),0)</x:f>
        <x:v>0</x:v>
      </x:c>
      <x:c r="E1749">
        <x:f>ROUND($C1749*10*VLOOKUP($B1749,Sheet2!$J$5:$K$7,2,FALSE)*VLOOKUP(Sheet1!$A1749,Sheet2!$B$5:$H$29,4,FALSE),0)</x:f>
        <x:v>96</x:v>
      </x:c>
      <x:c r="F1749">
        <x:f>ROUND($C1749*10*VLOOKUP($B1749,Sheet2!$J$5:$K$7,2,FALSE)*VLOOKUP(Sheet1!$A1749,Sheet2!$B$5:$H$29,5,FALSE),0)</x:f>
        <x:v>0</x:v>
      </x:c>
      <x:c r="G1749">
        <x:f>ROUND($C1749*10*VLOOKUP($B1749,Sheet2!$J$5:$K$7,2,FALSE)*VLOOKUP(Sheet1!$A1749,Sheet2!$B$5:$H$29,6,FALSE),0)</x:f>
        <x:v>0</x:v>
      </x:c>
      <x:c r="H1749">
        <x:f>ROUND($C1749*10*VLOOKUP($B1749,Sheet2!$J$5:$K$7,2,FALSE)*VLOOKUP(Sheet1!$A1749,Sheet2!$B$5:$H$29,7,FALSE),0)</x:f>
        <x:v>160</x:v>
      </x:c>
      <x:c r="I1749">
        <x:f t="shared" si="29"/>
        <x:v>4270</x:v>
      </x:c>
    </x:row>
    <x:row r="1750" spans="1:9" x14ac:dyDescent="0.15">
      <x:c r="A1750">
        <x:v>54055</x:v>
      </x:c>
      <x:c r="B1750">
        <x:v>3</x:v>
      </x:c>
      <x:c r="C1750">
        <x:v>9</x:v>
      </x:c>
      <x:c r="D1750">
        <x:f>ROUND($C1750*10*VLOOKUP($B1750,Sheet2!$J$5:$K$7,2,FALSE)*VLOOKUP(Sheet1!$A1750,Sheet2!$B$5:$H$29,3,FALSE),0)</x:f>
        <x:v>0</x:v>
      </x:c>
      <x:c r="E1750">
        <x:f>ROUND($C1750*10*VLOOKUP($B1750,Sheet2!$J$5:$K$7,2,FALSE)*VLOOKUP(Sheet1!$A1750,Sheet2!$B$5:$H$29,4,FALSE),0)</x:f>
        <x:v>108</x:v>
      </x:c>
      <x:c r="F1750">
        <x:f>ROUND($C1750*10*VLOOKUP($B1750,Sheet2!$J$5:$K$7,2,FALSE)*VLOOKUP(Sheet1!$A1750,Sheet2!$B$5:$H$29,5,FALSE),0)</x:f>
        <x:v>0</x:v>
      </x:c>
      <x:c r="G1750">
        <x:f>ROUND($C1750*10*VLOOKUP($B1750,Sheet2!$J$5:$K$7,2,FALSE)*VLOOKUP(Sheet1!$A1750,Sheet2!$B$5:$H$29,6,FALSE),0)</x:f>
        <x:v>0</x:v>
      </x:c>
      <x:c r="H1750">
        <x:f>ROUND($C1750*10*VLOOKUP($B1750,Sheet2!$J$5:$K$7,2,FALSE)*VLOOKUP(Sheet1!$A1750,Sheet2!$B$5:$H$29,7,FALSE),0)</x:f>
        <x:v>180</x:v>
      </x:c>
      <x:c r="I1750">
        <x:f t="shared" si="29"/>
        <x:v>5410</x:v>
      </x:c>
    </x:row>
    <x:row r="1751" spans="1:9" x14ac:dyDescent="0.15">
      <x:c r="A1751">
        <x:v>54055</x:v>
      </x:c>
      <x:c r="B1751">
        <x:v>3</x:v>
      </x:c>
      <x:c r="C1751">
        <x:v>10</x:v>
      </x:c>
      <x:c r="D1751">
        <x:f>ROUND($C1751*10*VLOOKUP($B1751,Sheet2!$J$5:$K$7,2,FALSE)*VLOOKUP(Sheet1!$A1751,Sheet2!$B$5:$H$29,3,FALSE),0)</x:f>
        <x:v>0</x:v>
      </x:c>
      <x:c r="E1751">
        <x:f>ROUND($C1751*10*VLOOKUP($B1751,Sheet2!$J$5:$K$7,2,FALSE)*VLOOKUP(Sheet1!$A1751,Sheet2!$B$5:$H$29,4,FALSE),0)</x:f>
        <x:v>120</x:v>
      </x:c>
      <x:c r="F1751">
        <x:f>ROUND($C1751*10*VLOOKUP($B1751,Sheet2!$J$5:$K$7,2,FALSE)*VLOOKUP(Sheet1!$A1751,Sheet2!$B$5:$H$29,5,FALSE),0)</x:f>
        <x:v>0</x:v>
      </x:c>
      <x:c r="G1751">
        <x:f>ROUND($C1751*10*VLOOKUP($B1751,Sheet2!$J$5:$K$7,2,FALSE)*VLOOKUP(Sheet1!$A1751,Sheet2!$B$5:$H$29,6,FALSE),0)</x:f>
        <x:v>0</x:v>
      </x:c>
      <x:c r="H1751">
        <x:f>ROUND($C1751*10*VLOOKUP($B1751,Sheet2!$J$5:$K$7,2,FALSE)*VLOOKUP(Sheet1!$A1751,Sheet2!$B$5:$H$29,7,FALSE),0)</x:f>
        <x:v>200</x:v>
      </x:c>
      <x:c r="I1751">
        <x:f t="shared" si="29"/>
        <x:v>6670</x:v>
      </x:c>
    </x:row>
    <x:row r="1752" spans="1:9" x14ac:dyDescent="0.15">
      <x:c r="A1752">
        <x:v>54055</x:v>
      </x:c>
      <x:c r="B1752">
        <x:v>3</x:v>
      </x:c>
      <x:c r="C1752">
        <x:v>11</x:v>
      </x:c>
      <x:c r="D1752">
        <x:f>ROUND($C1752*10*VLOOKUP($B1752,Sheet2!$J$5:$K$7,2,FALSE)*VLOOKUP(Sheet1!$A1752,Sheet2!$B$5:$H$29,3,FALSE),0)</x:f>
        <x:v>0</x:v>
      </x:c>
      <x:c r="E1752">
        <x:f>ROUND($C1752*10*VLOOKUP($B1752,Sheet2!$J$5:$K$7,2,FALSE)*VLOOKUP(Sheet1!$A1752,Sheet2!$B$5:$H$29,4,FALSE),0)</x:f>
        <x:v>132</x:v>
      </x:c>
      <x:c r="F1752">
        <x:f>ROUND($C1752*10*VLOOKUP($B1752,Sheet2!$J$5:$K$7,2,FALSE)*VLOOKUP(Sheet1!$A1752,Sheet2!$B$5:$H$29,5,FALSE),0)</x:f>
        <x:v>0</x:v>
      </x:c>
      <x:c r="G1752">
        <x:f>ROUND($C1752*10*VLOOKUP($B1752,Sheet2!$J$5:$K$7,2,FALSE)*VLOOKUP(Sheet1!$A1752,Sheet2!$B$5:$H$29,6,FALSE),0)</x:f>
        <x:v>0</x:v>
      </x:c>
      <x:c r="H1752">
        <x:f>ROUND($C1752*10*VLOOKUP($B1752,Sheet2!$J$5:$K$7,2,FALSE)*VLOOKUP(Sheet1!$A1752,Sheet2!$B$5:$H$29,7,FALSE),0)</x:f>
        <x:v>220</x:v>
      </x:c>
      <x:c r="I1752">
        <x:f t="shared" si="29"/>
        <x:v>8040</x:v>
      </x:c>
    </x:row>
    <x:row r="1753" spans="1:9" x14ac:dyDescent="0.15">
      <x:c r="A1753">
        <x:v>54055</x:v>
      </x:c>
      <x:c r="B1753">
        <x:v>3</x:v>
      </x:c>
      <x:c r="C1753">
        <x:v>12</x:v>
      </x:c>
      <x:c r="D1753">
        <x:f>ROUND($C1753*10*VLOOKUP($B1753,Sheet2!$J$5:$K$7,2,FALSE)*VLOOKUP(Sheet1!$A1753,Sheet2!$B$5:$H$29,3,FALSE),0)</x:f>
        <x:v>0</x:v>
      </x:c>
      <x:c r="E1753">
        <x:f>ROUND($C1753*10*VLOOKUP($B1753,Sheet2!$J$5:$K$7,2,FALSE)*VLOOKUP(Sheet1!$A1753,Sheet2!$B$5:$H$29,4,FALSE),0)</x:f>
        <x:v>144</x:v>
      </x:c>
      <x:c r="F1753">
        <x:f>ROUND($C1753*10*VLOOKUP($B1753,Sheet2!$J$5:$K$7,2,FALSE)*VLOOKUP(Sheet1!$A1753,Sheet2!$B$5:$H$29,5,FALSE),0)</x:f>
        <x:v>0</x:v>
      </x:c>
      <x:c r="G1753">
        <x:f>ROUND($C1753*10*VLOOKUP($B1753,Sheet2!$J$5:$K$7,2,FALSE)*VLOOKUP(Sheet1!$A1753,Sheet2!$B$5:$H$29,6,FALSE),0)</x:f>
        <x:v>0</x:v>
      </x:c>
      <x:c r="H1753">
        <x:f>ROUND($C1753*10*VLOOKUP($B1753,Sheet2!$J$5:$K$7,2,FALSE)*VLOOKUP(Sheet1!$A1753,Sheet2!$B$5:$H$29,7,FALSE),0)</x:f>
        <x:v>240</x:v>
      </x:c>
      <x:c r="I1753">
        <x:f t="shared" si="29"/>
        <x:v>9530</x:v>
      </x:c>
    </x:row>
    <x:row r="1754" spans="1:9" x14ac:dyDescent="0.15">
      <x:c r="A1754">
        <x:v>54055</x:v>
      </x:c>
      <x:c r="B1754">
        <x:v>3</x:v>
      </x:c>
      <x:c r="C1754">
        <x:v>13</x:v>
      </x:c>
      <x:c r="D1754">
        <x:f>ROUND($C1754*10*VLOOKUP($B1754,Sheet2!$J$5:$K$7,2,FALSE)*VLOOKUP(Sheet1!$A1754,Sheet2!$B$5:$H$29,3,FALSE),0)</x:f>
        <x:v>0</x:v>
      </x:c>
      <x:c r="E1754">
        <x:f>ROUND($C1754*10*VLOOKUP($B1754,Sheet2!$J$5:$K$7,2,FALSE)*VLOOKUP(Sheet1!$A1754,Sheet2!$B$5:$H$29,4,FALSE),0)</x:f>
        <x:v>156</x:v>
      </x:c>
      <x:c r="F1754">
        <x:f>ROUND($C1754*10*VLOOKUP($B1754,Sheet2!$J$5:$K$7,2,FALSE)*VLOOKUP(Sheet1!$A1754,Sheet2!$B$5:$H$29,5,FALSE),0)</x:f>
        <x:v>0</x:v>
      </x:c>
      <x:c r="G1754">
        <x:f>ROUND($C1754*10*VLOOKUP($B1754,Sheet2!$J$5:$K$7,2,FALSE)*VLOOKUP(Sheet1!$A1754,Sheet2!$B$5:$H$29,6,FALSE),0)</x:f>
        <x:v>0</x:v>
      </x:c>
      <x:c r="H1754">
        <x:f>ROUND($C1754*10*VLOOKUP($B1754,Sheet2!$J$5:$K$7,2,FALSE)*VLOOKUP(Sheet1!$A1754,Sheet2!$B$5:$H$29,7,FALSE),0)</x:f>
        <x:v>260</x:v>
      </x:c>
      <x:c r="I1754">
        <x:f t="shared" si="29"/>
        <x:v>11130</x:v>
      </x:c>
    </x:row>
    <x:row r="1755" spans="1:9" x14ac:dyDescent="0.15">
      <x:c r="A1755">
        <x:v>54055</x:v>
      </x:c>
      <x:c r="B1755">
        <x:v>3</x:v>
      </x:c>
      <x:c r="C1755">
        <x:v>14</x:v>
      </x:c>
      <x:c r="D1755">
        <x:f>ROUND($C1755*10*VLOOKUP($B1755,Sheet2!$J$5:$K$7,2,FALSE)*VLOOKUP(Sheet1!$A1755,Sheet2!$B$5:$H$29,3,FALSE),0)</x:f>
        <x:v>0</x:v>
      </x:c>
      <x:c r="E1755">
        <x:f>ROUND($C1755*10*VLOOKUP($B1755,Sheet2!$J$5:$K$7,2,FALSE)*VLOOKUP(Sheet1!$A1755,Sheet2!$B$5:$H$29,4,FALSE),0)</x:f>
        <x:v>168</x:v>
      </x:c>
      <x:c r="F1755">
        <x:f>ROUND($C1755*10*VLOOKUP($B1755,Sheet2!$J$5:$K$7,2,FALSE)*VLOOKUP(Sheet1!$A1755,Sheet2!$B$5:$H$29,5,FALSE),0)</x:f>
        <x:v>0</x:v>
      </x:c>
      <x:c r="G1755">
        <x:f>ROUND($C1755*10*VLOOKUP($B1755,Sheet2!$J$5:$K$7,2,FALSE)*VLOOKUP(Sheet1!$A1755,Sheet2!$B$5:$H$29,6,FALSE),0)</x:f>
        <x:v>0</x:v>
      </x:c>
      <x:c r="H1755">
        <x:f>ROUND($C1755*10*VLOOKUP($B1755,Sheet2!$J$5:$K$7,2,FALSE)*VLOOKUP(Sheet1!$A1755,Sheet2!$B$5:$H$29,7,FALSE),0)</x:f>
        <x:v>280</x:v>
      </x:c>
      <x:c r="I1755">
        <x:f t="shared" si="29"/>
        <x:v>12840</x:v>
      </x:c>
    </x:row>
    <x:row r="1756" spans="1:9" x14ac:dyDescent="0.15">
      <x:c r="A1756">
        <x:v>54055</x:v>
      </x:c>
      <x:c r="B1756">
        <x:v>3</x:v>
      </x:c>
      <x:c r="C1756">
        <x:v>15</x:v>
      </x:c>
      <x:c r="D1756">
        <x:f>ROUND($C1756*10*VLOOKUP($B1756,Sheet2!$J$5:$K$7,2,FALSE)*VLOOKUP(Sheet1!$A1756,Sheet2!$B$5:$H$29,3,FALSE),0)</x:f>
        <x:v>0</x:v>
      </x:c>
      <x:c r="E1756">
        <x:f>ROUND($C1756*10*VLOOKUP($B1756,Sheet2!$J$5:$K$7,2,FALSE)*VLOOKUP(Sheet1!$A1756,Sheet2!$B$5:$H$29,4,FALSE),0)</x:f>
        <x:v>180</x:v>
      </x:c>
      <x:c r="F1756">
        <x:f>ROUND($C1756*10*VLOOKUP($B1756,Sheet2!$J$5:$K$7,2,FALSE)*VLOOKUP(Sheet1!$A1756,Sheet2!$B$5:$H$29,5,FALSE),0)</x:f>
        <x:v>0</x:v>
      </x:c>
      <x:c r="G1756">
        <x:f>ROUND($C1756*10*VLOOKUP($B1756,Sheet2!$J$5:$K$7,2,FALSE)*VLOOKUP(Sheet1!$A1756,Sheet2!$B$5:$H$29,6,FALSE),0)</x:f>
        <x:v>0</x:v>
      </x:c>
      <x:c r="H1756">
        <x:f>ROUND($C1756*10*VLOOKUP($B1756,Sheet2!$J$5:$K$7,2,FALSE)*VLOOKUP(Sheet1!$A1756,Sheet2!$B$5:$H$29,7,FALSE),0)</x:f>
        <x:v>300</x:v>
      </x:c>
      <x:c r="I1756">
        <x:f t="shared" si="29"/>
        <x:v>14660</x:v>
      </x:c>
    </x:row>
    <x:row r="1757" spans="1:9" x14ac:dyDescent="0.15">
      <x:c r="A1757">
        <x:v>54055</x:v>
      </x:c>
      <x:c r="B1757">
        <x:v>3</x:v>
      </x:c>
      <x:c r="C1757">
        <x:v>16</x:v>
      </x:c>
      <x:c r="D1757">
        <x:f>ROUND($C1757*10*VLOOKUP($B1757,Sheet2!$J$5:$K$7,2,FALSE)*VLOOKUP(Sheet1!$A1757,Sheet2!$B$5:$H$29,3,FALSE),0)</x:f>
        <x:v>0</x:v>
      </x:c>
      <x:c r="E1757">
        <x:f>ROUND($C1757*10*VLOOKUP($B1757,Sheet2!$J$5:$K$7,2,FALSE)*VLOOKUP(Sheet1!$A1757,Sheet2!$B$5:$H$29,4,FALSE),0)</x:f>
        <x:v>192</x:v>
      </x:c>
      <x:c r="F1757">
        <x:f>ROUND($C1757*10*VLOOKUP($B1757,Sheet2!$J$5:$K$7,2,FALSE)*VLOOKUP(Sheet1!$A1757,Sheet2!$B$5:$H$29,5,FALSE),0)</x:f>
        <x:v>0</x:v>
      </x:c>
      <x:c r="G1757">
        <x:f>ROUND($C1757*10*VLOOKUP($B1757,Sheet2!$J$5:$K$7,2,FALSE)*VLOOKUP(Sheet1!$A1757,Sheet2!$B$5:$H$29,6,FALSE),0)</x:f>
        <x:v>0</x:v>
      </x:c>
      <x:c r="H1757">
        <x:f>ROUND($C1757*10*VLOOKUP($B1757,Sheet2!$J$5:$K$7,2,FALSE)*VLOOKUP(Sheet1!$A1757,Sheet2!$B$5:$H$29,7,FALSE),0)</x:f>
        <x:v>320</x:v>
      </x:c>
      <x:c r="I1757">
        <x:f t="shared" si="29"/>
        <x:v>16580</x:v>
      </x:c>
    </x:row>
    <x:row r="1758" spans="1:9" x14ac:dyDescent="0.15">
      <x:c r="A1758">
        <x:v>54055</x:v>
      </x:c>
      <x:c r="B1758">
        <x:v>3</x:v>
      </x:c>
      <x:c r="C1758">
        <x:v>17</x:v>
      </x:c>
      <x:c r="D1758">
        <x:f>ROUND($C1758*10*VLOOKUP($B1758,Sheet2!$J$5:$K$7,2,FALSE)*VLOOKUP(Sheet1!$A1758,Sheet2!$B$5:$H$29,3,FALSE),0)</x:f>
        <x:v>0</x:v>
      </x:c>
      <x:c r="E1758">
        <x:f>ROUND($C1758*10*VLOOKUP($B1758,Sheet2!$J$5:$K$7,2,FALSE)*VLOOKUP(Sheet1!$A1758,Sheet2!$B$5:$H$29,4,FALSE),0)</x:f>
        <x:v>204</x:v>
      </x:c>
      <x:c r="F1758">
        <x:f>ROUND($C1758*10*VLOOKUP($B1758,Sheet2!$J$5:$K$7,2,FALSE)*VLOOKUP(Sheet1!$A1758,Sheet2!$B$5:$H$29,5,FALSE),0)</x:f>
        <x:v>0</x:v>
      </x:c>
      <x:c r="G1758">
        <x:f>ROUND($C1758*10*VLOOKUP($B1758,Sheet2!$J$5:$K$7,2,FALSE)*VLOOKUP(Sheet1!$A1758,Sheet2!$B$5:$H$29,6,FALSE),0)</x:f>
        <x:v>0</x:v>
      </x:c>
      <x:c r="H1758">
        <x:f>ROUND($C1758*10*VLOOKUP($B1758,Sheet2!$J$5:$K$7,2,FALSE)*VLOOKUP(Sheet1!$A1758,Sheet2!$B$5:$H$29,7,FALSE),0)</x:f>
        <x:v>340</x:v>
      </x:c>
      <x:c r="I1758">
        <x:f t="shared" si="29"/>
        <x:v>18620</x:v>
      </x:c>
    </x:row>
    <x:row r="1759" spans="1:9" x14ac:dyDescent="0.15">
      <x:c r="A1759">
        <x:v>54055</x:v>
      </x:c>
      <x:c r="B1759">
        <x:v>3</x:v>
      </x:c>
      <x:c r="C1759">
        <x:v>18</x:v>
      </x:c>
      <x:c r="D1759">
        <x:f>ROUND($C1759*10*VLOOKUP($B1759,Sheet2!$J$5:$K$7,2,FALSE)*VLOOKUP(Sheet1!$A1759,Sheet2!$B$5:$H$29,3,FALSE),0)</x:f>
        <x:v>0</x:v>
      </x:c>
      <x:c r="E1759">
        <x:f>ROUND($C1759*10*VLOOKUP($B1759,Sheet2!$J$5:$K$7,2,FALSE)*VLOOKUP(Sheet1!$A1759,Sheet2!$B$5:$H$29,4,FALSE),0)</x:f>
        <x:v>216</x:v>
      </x:c>
      <x:c r="F1759">
        <x:f>ROUND($C1759*10*VLOOKUP($B1759,Sheet2!$J$5:$K$7,2,FALSE)*VLOOKUP(Sheet1!$A1759,Sheet2!$B$5:$H$29,5,FALSE),0)</x:f>
        <x:v>0</x:v>
      </x:c>
      <x:c r="G1759">
        <x:f>ROUND($C1759*10*VLOOKUP($B1759,Sheet2!$J$5:$K$7,2,FALSE)*VLOOKUP(Sheet1!$A1759,Sheet2!$B$5:$H$29,6,FALSE),0)</x:f>
        <x:v>0</x:v>
      </x:c>
      <x:c r="H1759">
        <x:f>ROUND($C1759*10*VLOOKUP($B1759,Sheet2!$J$5:$K$7,2,FALSE)*VLOOKUP(Sheet1!$A1759,Sheet2!$B$5:$H$29,7,FALSE),0)</x:f>
        <x:v>360</x:v>
      </x:c>
      <x:c r="I1759">
        <x:f t="shared" si="29"/>
        <x:v>20750</x:v>
      </x:c>
    </x:row>
    <x:row r="1760" spans="1:9" x14ac:dyDescent="0.15">
      <x:c r="A1760">
        <x:v>54055</x:v>
      </x:c>
      <x:c r="B1760">
        <x:v>3</x:v>
      </x:c>
      <x:c r="C1760">
        <x:v>19</x:v>
      </x:c>
      <x:c r="D1760">
        <x:f>ROUND($C1760*10*VLOOKUP($B1760,Sheet2!$J$5:$K$7,2,FALSE)*VLOOKUP(Sheet1!$A1760,Sheet2!$B$5:$H$29,3,FALSE),0)</x:f>
        <x:v>0</x:v>
      </x:c>
      <x:c r="E1760">
        <x:f>ROUND($C1760*10*VLOOKUP($B1760,Sheet2!$J$5:$K$7,2,FALSE)*VLOOKUP(Sheet1!$A1760,Sheet2!$B$5:$H$29,4,FALSE),0)</x:f>
        <x:v>228</x:v>
      </x:c>
      <x:c r="F1760">
        <x:f>ROUND($C1760*10*VLOOKUP($B1760,Sheet2!$J$5:$K$7,2,FALSE)*VLOOKUP(Sheet1!$A1760,Sheet2!$B$5:$H$29,5,FALSE),0)</x:f>
        <x:v>0</x:v>
      </x:c>
      <x:c r="G1760">
        <x:f>ROUND($C1760*10*VLOOKUP($B1760,Sheet2!$J$5:$K$7,2,FALSE)*VLOOKUP(Sheet1!$A1760,Sheet2!$B$5:$H$29,6,FALSE),0)</x:f>
        <x:v>0</x:v>
      </x:c>
      <x:c r="H1760">
        <x:f>ROUND($C1760*10*VLOOKUP($B1760,Sheet2!$J$5:$K$7,2,FALSE)*VLOOKUP(Sheet1!$A1760,Sheet2!$B$5:$H$29,7,FALSE),0)</x:f>
        <x:v>380</x:v>
      </x:c>
      <x:c r="I1760">
        <x:f t="shared" si="29"/>
        <x:v>22990</x:v>
      </x:c>
    </x:row>
    <x:row r="1761" spans="1:9" x14ac:dyDescent="0.15">
      <x:c r="A1761">
        <x:v>54055</x:v>
      </x:c>
      <x:c r="B1761">
        <x:v>3</x:v>
      </x:c>
      <x:c r="C1761">
        <x:v>20</x:v>
      </x:c>
      <x:c r="D1761">
        <x:f>ROUND($C1761*10*VLOOKUP($B1761,Sheet2!$J$5:$K$7,2,FALSE)*VLOOKUP(Sheet1!$A1761,Sheet2!$B$5:$H$29,3,FALSE),0)</x:f>
        <x:v>0</x:v>
      </x:c>
      <x:c r="E1761">
        <x:f>ROUND($C1761*10*VLOOKUP($B1761,Sheet2!$J$5:$K$7,2,FALSE)*VLOOKUP(Sheet1!$A1761,Sheet2!$B$5:$H$29,4,FALSE),0)</x:f>
        <x:v>240</x:v>
      </x:c>
      <x:c r="F1761">
        <x:f>ROUND($C1761*10*VLOOKUP($B1761,Sheet2!$J$5:$K$7,2,FALSE)*VLOOKUP(Sheet1!$A1761,Sheet2!$B$5:$H$29,5,FALSE),0)</x:f>
        <x:v>0</x:v>
      </x:c>
      <x:c r="G1761">
        <x:f>ROUND($C1761*10*VLOOKUP($B1761,Sheet2!$J$5:$K$7,2,FALSE)*VLOOKUP(Sheet1!$A1761,Sheet2!$B$5:$H$29,6,FALSE),0)</x:f>
        <x:v>0</x:v>
      </x:c>
      <x:c r="H1761">
        <x:f>ROUND($C1761*10*VLOOKUP($B1761,Sheet2!$J$5:$K$7,2,FALSE)*VLOOKUP(Sheet1!$A1761,Sheet2!$B$5:$H$29,7,FALSE),0)</x:f>
        <x:v>400</x:v>
      </x:c>
      <x:c r="I1761">
        <x:f t="shared" si="29"/>
        <x:v>25330</x:v>
      </x:c>
    </x:row>
    <x:row r="1762" spans="1:9" x14ac:dyDescent="0.15">
      <x:c r="A1762">
        <x:v>54055</x:v>
      </x:c>
      <x:c r="B1762">
        <x:v>3</x:v>
      </x:c>
      <x:c r="C1762">
        <x:v>21</x:v>
      </x:c>
      <x:c r="D1762">
        <x:f>ROUND($C1762*10*VLOOKUP($B1762,Sheet2!$J$5:$K$7,2,FALSE)*VLOOKUP(Sheet1!$A1762,Sheet2!$B$5:$H$29,3,FALSE),0)</x:f>
        <x:v>0</x:v>
      </x:c>
      <x:c r="E1762">
        <x:f>ROUND($C1762*10*VLOOKUP($B1762,Sheet2!$J$5:$K$7,2,FALSE)*VLOOKUP(Sheet1!$A1762,Sheet2!$B$5:$H$29,4,FALSE),0)</x:f>
        <x:v>252</x:v>
      </x:c>
      <x:c r="F1762">
        <x:f>ROUND($C1762*10*VLOOKUP($B1762,Sheet2!$J$5:$K$7,2,FALSE)*VLOOKUP(Sheet1!$A1762,Sheet2!$B$5:$H$29,5,FALSE),0)</x:f>
        <x:v>0</x:v>
      </x:c>
      <x:c r="G1762">
        <x:f>ROUND($C1762*10*VLOOKUP($B1762,Sheet2!$J$5:$K$7,2,FALSE)*VLOOKUP(Sheet1!$A1762,Sheet2!$B$5:$H$29,6,FALSE),0)</x:f>
        <x:v>0</x:v>
      </x:c>
      <x:c r="H1762">
        <x:f>ROUND($C1762*10*VLOOKUP($B1762,Sheet2!$J$5:$K$7,2,FALSE)*VLOOKUP(Sheet1!$A1762,Sheet2!$B$5:$H$29,7,FALSE),0)</x:f>
        <x:v>420</x:v>
      </x:c>
      <x:c r="I1762">
        <x:f t="shared" si="29"/>
        <x:v>27770</x:v>
      </x:c>
    </x:row>
    <x:row r="1763" spans="1:9" x14ac:dyDescent="0.15">
      <x:c r="A1763">
        <x:v>54055</x:v>
      </x:c>
      <x:c r="B1763">
        <x:v>3</x:v>
      </x:c>
      <x:c r="C1763">
        <x:v>22</x:v>
      </x:c>
      <x:c r="D1763">
        <x:f>ROUND($C1763*10*VLOOKUP($B1763,Sheet2!$J$5:$K$7,2,FALSE)*VLOOKUP(Sheet1!$A1763,Sheet2!$B$5:$H$29,3,FALSE),0)</x:f>
        <x:v>0</x:v>
      </x:c>
      <x:c r="E1763">
        <x:f>ROUND($C1763*10*VLOOKUP($B1763,Sheet2!$J$5:$K$7,2,FALSE)*VLOOKUP(Sheet1!$A1763,Sheet2!$B$5:$H$29,4,FALSE),0)</x:f>
        <x:v>264</x:v>
      </x:c>
      <x:c r="F1763">
        <x:f>ROUND($C1763*10*VLOOKUP($B1763,Sheet2!$J$5:$K$7,2,FALSE)*VLOOKUP(Sheet1!$A1763,Sheet2!$B$5:$H$29,5,FALSE),0)</x:f>
        <x:v>0</x:v>
      </x:c>
      <x:c r="G1763">
        <x:f>ROUND($C1763*10*VLOOKUP($B1763,Sheet2!$J$5:$K$7,2,FALSE)*VLOOKUP(Sheet1!$A1763,Sheet2!$B$5:$H$29,6,FALSE),0)</x:f>
        <x:v>0</x:v>
      </x:c>
      <x:c r="H1763">
        <x:f>ROUND($C1763*10*VLOOKUP($B1763,Sheet2!$J$5:$K$7,2,FALSE)*VLOOKUP(Sheet1!$A1763,Sheet2!$B$5:$H$29,7,FALSE),0)</x:f>
        <x:v>440</x:v>
      </x:c>
      <x:c r="I1763">
        <x:f t="shared" si="29"/>
        <x:v>30310</x:v>
      </x:c>
    </x:row>
    <x:row r="1764" spans="1:9" x14ac:dyDescent="0.15">
      <x:c r="A1764">
        <x:v>54055</x:v>
      </x:c>
      <x:c r="B1764">
        <x:v>3</x:v>
      </x:c>
      <x:c r="C1764">
        <x:v>23</x:v>
      </x:c>
      <x:c r="D1764">
        <x:f>ROUND($C1764*10*VLOOKUP($B1764,Sheet2!$J$5:$K$7,2,FALSE)*VLOOKUP(Sheet1!$A1764,Sheet2!$B$5:$H$29,3,FALSE),0)</x:f>
        <x:v>0</x:v>
      </x:c>
      <x:c r="E1764">
        <x:f>ROUND($C1764*10*VLOOKUP($B1764,Sheet2!$J$5:$K$7,2,FALSE)*VLOOKUP(Sheet1!$A1764,Sheet2!$B$5:$H$29,4,FALSE),0)</x:f>
        <x:v>276</x:v>
      </x:c>
      <x:c r="F1764">
        <x:f>ROUND($C1764*10*VLOOKUP($B1764,Sheet2!$J$5:$K$7,2,FALSE)*VLOOKUP(Sheet1!$A1764,Sheet2!$B$5:$H$29,5,FALSE),0)</x:f>
        <x:v>0</x:v>
      </x:c>
      <x:c r="G1764">
        <x:f>ROUND($C1764*10*VLOOKUP($B1764,Sheet2!$J$5:$K$7,2,FALSE)*VLOOKUP(Sheet1!$A1764,Sheet2!$B$5:$H$29,6,FALSE),0)</x:f>
        <x:v>0</x:v>
      </x:c>
      <x:c r="H1764">
        <x:f>ROUND($C1764*10*VLOOKUP($B1764,Sheet2!$J$5:$K$7,2,FALSE)*VLOOKUP(Sheet1!$A1764,Sheet2!$B$5:$H$29,7,FALSE),0)</x:f>
        <x:v>460</x:v>
      </x:c>
      <x:c r="I1764">
        <x:f t="shared" si="29"/>
        <x:v>32950</x:v>
      </x:c>
    </x:row>
    <x:row r="1765" spans="1:9" x14ac:dyDescent="0.15">
      <x:c r="A1765">
        <x:v>54055</x:v>
      </x:c>
      <x:c r="B1765">
        <x:v>3</x:v>
      </x:c>
      <x:c r="C1765">
        <x:v>24</x:v>
      </x:c>
      <x:c r="D1765">
        <x:f>ROUND($C1765*10*VLOOKUP($B1765,Sheet2!$J$5:$K$7,2,FALSE)*VLOOKUP(Sheet1!$A1765,Sheet2!$B$5:$H$29,3,FALSE),0)</x:f>
        <x:v>0</x:v>
      </x:c>
      <x:c r="E1765">
        <x:f>ROUND($C1765*10*VLOOKUP($B1765,Sheet2!$J$5:$K$7,2,FALSE)*VLOOKUP(Sheet1!$A1765,Sheet2!$B$5:$H$29,4,FALSE),0)</x:f>
        <x:v>288</x:v>
      </x:c>
      <x:c r="F1765">
        <x:f>ROUND($C1765*10*VLOOKUP($B1765,Sheet2!$J$5:$K$7,2,FALSE)*VLOOKUP(Sheet1!$A1765,Sheet2!$B$5:$H$29,5,FALSE),0)</x:f>
        <x:v>0</x:v>
      </x:c>
      <x:c r="G1765">
        <x:f>ROUND($C1765*10*VLOOKUP($B1765,Sheet2!$J$5:$K$7,2,FALSE)*VLOOKUP(Sheet1!$A1765,Sheet2!$B$5:$H$29,6,FALSE),0)</x:f>
        <x:v>0</x:v>
      </x:c>
      <x:c r="H1765">
        <x:f>ROUND($C1765*10*VLOOKUP($B1765,Sheet2!$J$5:$K$7,2,FALSE)*VLOOKUP(Sheet1!$A1765,Sheet2!$B$5:$H$29,7,FALSE),0)</x:f>
        <x:v>480</x:v>
      </x:c>
      <x:c r="I1765">
        <x:f t="shared" si="29"/>
        <x:v>35690</x:v>
      </x:c>
    </x:row>
    <x:row r="1766" spans="1:9" x14ac:dyDescent="0.15">
      <x:c r="A1766">
        <x:v>54055</x:v>
      </x:c>
      <x:c r="B1766">
        <x:v>3</x:v>
      </x:c>
      <x:c r="C1766">
        <x:v>25</x:v>
      </x:c>
      <x:c r="D1766">
        <x:f>ROUND($C1766*10*VLOOKUP($B1766,Sheet2!$J$5:$K$7,2,FALSE)*VLOOKUP(Sheet1!$A1766,Sheet2!$B$5:$H$29,3,FALSE),0)</x:f>
        <x:v>0</x:v>
      </x:c>
      <x:c r="E1766">
        <x:f>ROUND($C1766*10*VLOOKUP($B1766,Sheet2!$J$5:$K$7,2,FALSE)*VLOOKUP(Sheet1!$A1766,Sheet2!$B$5:$H$29,4,FALSE),0)</x:f>
        <x:v>300</x:v>
      </x:c>
      <x:c r="F1766">
        <x:f>ROUND($C1766*10*VLOOKUP($B1766,Sheet2!$J$5:$K$7,2,FALSE)*VLOOKUP(Sheet1!$A1766,Sheet2!$B$5:$H$29,5,FALSE),0)</x:f>
        <x:v>0</x:v>
      </x:c>
      <x:c r="G1766">
        <x:f>ROUND($C1766*10*VLOOKUP($B1766,Sheet2!$J$5:$K$7,2,FALSE)*VLOOKUP(Sheet1!$A1766,Sheet2!$B$5:$H$29,6,FALSE),0)</x:f>
        <x:v>0</x:v>
      </x:c>
      <x:c r="H1766">
        <x:f>ROUND($C1766*10*VLOOKUP($B1766,Sheet2!$J$5:$K$7,2,FALSE)*VLOOKUP(Sheet1!$A1766,Sheet2!$B$5:$H$29,7,FALSE),0)</x:f>
        <x:v>500</x:v>
      </x:c>
      <x:c r="I1766">
        <x:f t="shared" si="29"/>
        <x:v>38530</x:v>
      </x:c>
    </x:row>
    <x:row r="1767" spans="1:9" x14ac:dyDescent="0.15">
      <x:c r="A1767">
        <x:v>54055</x:v>
      </x:c>
      <x:c r="B1767">
        <x:v>3</x:v>
      </x:c>
      <x:c r="C1767">
        <x:v>26</x:v>
      </x:c>
      <x:c r="D1767">
        <x:f>ROUND($C1767*10*VLOOKUP($B1767,Sheet2!$J$5:$K$7,2,FALSE)*VLOOKUP(Sheet1!$A1767,Sheet2!$B$5:$H$29,3,FALSE),0)</x:f>
        <x:v>0</x:v>
      </x:c>
      <x:c r="E1767">
        <x:f>ROUND($C1767*10*VLOOKUP($B1767,Sheet2!$J$5:$K$7,2,FALSE)*VLOOKUP(Sheet1!$A1767,Sheet2!$B$5:$H$29,4,FALSE),0)</x:f>
        <x:v>312</x:v>
      </x:c>
      <x:c r="F1767">
        <x:f>ROUND($C1767*10*VLOOKUP($B1767,Sheet2!$J$5:$K$7,2,FALSE)*VLOOKUP(Sheet1!$A1767,Sheet2!$B$5:$H$29,5,FALSE),0)</x:f>
        <x:v>0</x:v>
      </x:c>
      <x:c r="G1767">
        <x:f>ROUND($C1767*10*VLOOKUP($B1767,Sheet2!$J$5:$K$7,2,FALSE)*VLOOKUP(Sheet1!$A1767,Sheet2!$B$5:$H$29,6,FALSE),0)</x:f>
        <x:v>0</x:v>
      </x:c>
      <x:c r="H1767">
        <x:f>ROUND($C1767*10*VLOOKUP($B1767,Sheet2!$J$5:$K$7,2,FALSE)*VLOOKUP(Sheet1!$A1767,Sheet2!$B$5:$H$29,7,FALSE),0)</x:f>
        <x:v>520</x:v>
      </x:c>
      <x:c r="I1767">
        <x:f t="shared" si="29"/>
        <x:v>41460</x:v>
      </x:c>
    </x:row>
    <x:row r="1768" spans="1:9" x14ac:dyDescent="0.15">
      <x:c r="A1768">
        <x:v>54055</x:v>
      </x:c>
      <x:c r="B1768">
        <x:v>3</x:v>
      </x:c>
      <x:c r="C1768">
        <x:v>27</x:v>
      </x:c>
      <x:c r="D1768">
        <x:f>ROUND($C1768*10*VLOOKUP($B1768,Sheet2!$J$5:$K$7,2,FALSE)*VLOOKUP(Sheet1!$A1768,Sheet2!$B$5:$H$29,3,FALSE),0)</x:f>
        <x:v>0</x:v>
      </x:c>
      <x:c r="E1768">
        <x:f>ROUND($C1768*10*VLOOKUP($B1768,Sheet2!$J$5:$K$7,2,FALSE)*VLOOKUP(Sheet1!$A1768,Sheet2!$B$5:$H$29,4,FALSE),0)</x:f>
        <x:v>324</x:v>
      </x:c>
      <x:c r="F1768">
        <x:f>ROUND($C1768*10*VLOOKUP($B1768,Sheet2!$J$5:$K$7,2,FALSE)*VLOOKUP(Sheet1!$A1768,Sheet2!$B$5:$H$29,5,FALSE),0)</x:f>
        <x:v>0</x:v>
      </x:c>
      <x:c r="G1768">
        <x:f>ROUND($C1768*10*VLOOKUP($B1768,Sheet2!$J$5:$K$7,2,FALSE)*VLOOKUP(Sheet1!$A1768,Sheet2!$B$5:$H$29,6,FALSE),0)</x:f>
        <x:v>0</x:v>
      </x:c>
      <x:c r="H1768">
        <x:f>ROUND($C1768*10*VLOOKUP($B1768,Sheet2!$J$5:$K$7,2,FALSE)*VLOOKUP(Sheet1!$A1768,Sheet2!$B$5:$H$29,7,FALSE),0)</x:f>
        <x:v>540</x:v>
      </x:c>
      <x:c r="I1768">
        <x:f t="shared" si="29"/>
        <x:v>44480</x:v>
      </x:c>
    </x:row>
    <x:row r="1769" spans="1:9" x14ac:dyDescent="0.15">
      <x:c r="A1769">
        <x:v>54055</x:v>
      </x:c>
      <x:c r="B1769">
        <x:v>3</x:v>
      </x:c>
      <x:c r="C1769">
        <x:v>28</x:v>
      </x:c>
      <x:c r="D1769">
        <x:f>ROUND($C1769*10*VLOOKUP($B1769,Sheet2!$J$5:$K$7,2,FALSE)*VLOOKUP(Sheet1!$A1769,Sheet2!$B$5:$H$29,3,FALSE),0)</x:f>
        <x:v>0</x:v>
      </x:c>
      <x:c r="E1769">
        <x:f>ROUND($C1769*10*VLOOKUP($B1769,Sheet2!$J$5:$K$7,2,FALSE)*VLOOKUP(Sheet1!$A1769,Sheet2!$B$5:$H$29,4,FALSE),0)</x:f>
        <x:v>336</x:v>
      </x:c>
      <x:c r="F1769">
        <x:f>ROUND($C1769*10*VLOOKUP($B1769,Sheet2!$J$5:$K$7,2,FALSE)*VLOOKUP(Sheet1!$A1769,Sheet2!$B$5:$H$29,5,FALSE),0)</x:f>
        <x:v>0</x:v>
      </x:c>
      <x:c r="G1769">
        <x:f>ROUND($C1769*10*VLOOKUP($B1769,Sheet2!$J$5:$K$7,2,FALSE)*VLOOKUP(Sheet1!$A1769,Sheet2!$B$5:$H$29,6,FALSE),0)</x:f>
        <x:v>0</x:v>
      </x:c>
      <x:c r="H1769">
        <x:f>ROUND($C1769*10*VLOOKUP($B1769,Sheet2!$J$5:$K$7,2,FALSE)*VLOOKUP(Sheet1!$A1769,Sheet2!$B$5:$H$29,7,FALSE),0)</x:f>
        <x:v>560</x:v>
      </x:c>
      <x:c r="I1769">
        <x:f t="shared" si="29"/>
        <x:v>47600</x:v>
      </x:c>
    </x:row>
    <x:row r="1770" spans="1:9" x14ac:dyDescent="0.15">
      <x:c r="A1770">
        <x:v>54055</x:v>
      </x:c>
      <x:c r="B1770">
        <x:v>3</x:v>
      </x:c>
      <x:c r="C1770">
        <x:v>29</x:v>
      </x:c>
      <x:c r="D1770">
        <x:f>ROUND($C1770*10*VLOOKUP($B1770,Sheet2!$J$5:$K$7,2,FALSE)*VLOOKUP(Sheet1!$A1770,Sheet2!$B$5:$H$29,3,FALSE),0)</x:f>
        <x:v>0</x:v>
      </x:c>
      <x:c r="E1770">
        <x:f>ROUND($C1770*10*VLOOKUP($B1770,Sheet2!$J$5:$K$7,2,FALSE)*VLOOKUP(Sheet1!$A1770,Sheet2!$B$5:$H$29,4,FALSE),0)</x:f>
        <x:v>348</x:v>
      </x:c>
      <x:c r="F1770">
        <x:f>ROUND($C1770*10*VLOOKUP($B1770,Sheet2!$J$5:$K$7,2,FALSE)*VLOOKUP(Sheet1!$A1770,Sheet2!$B$5:$H$29,5,FALSE),0)</x:f>
        <x:v>0</x:v>
      </x:c>
      <x:c r="G1770">
        <x:f>ROUND($C1770*10*VLOOKUP($B1770,Sheet2!$J$5:$K$7,2,FALSE)*VLOOKUP(Sheet1!$A1770,Sheet2!$B$5:$H$29,6,FALSE),0)</x:f>
        <x:v>0</x:v>
      </x:c>
      <x:c r="H1770">
        <x:f>ROUND($C1770*10*VLOOKUP($B1770,Sheet2!$J$5:$K$7,2,FALSE)*VLOOKUP(Sheet1!$A1770,Sheet2!$B$5:$H$29,7,FALSE),0)</x:f>
        <x:v>580</x:v>
      </x:c>
      <x:c r="I1770">
        <x:f t="shared" si="29"/>
        <x:v>50820</x:v>
      </x:c>
    </x:row>
    <x:row r="1771" spans="1:9" x14ac:dyDescent="0.15">
      <x:c r="A1771">
        <x:v>54055</x:v>
      </x:c>
      <x:c r="B1771">
        <x:v>3</x:v>
      </x:c>
      <x:c r="C1771">
        <x:v>30</x:v>
      </x:c>
      <x:c r="D1771">
        <x:f>ROUND($C1771*10*VLOOKUP($B1771,Sheet2!$J$5:$K$7,2,FALSE)*VLOOKUP(Sheet1!$A1771,Sheet2!$B$5:$H$29,3,FALSE),0)</x:f>
        <x:v>0</x:v>
      </x:c>
      <x:c r="E1771">
        <x:f>ROUND($C1771*10*VLOOKUP($B1771,Sheet2!$J$5:$K$7,2,FALSE)*VLOOKUP(Sheet1!$A1771,Sheet2!$B$5:$H$29,4,FALSE),0)</x:f>
        <x:v>360</x:v>
      </x:c>
      <x:c r="F1771">
        <x:f>ROUND($C1771*10*VLOOKUP($B1771,Sheet2!$J$5:$K$7,2,FALSE)*VLOOKUP(Sheet1!$A1771,Sheet2!$B$5:$H$29,5,FALSE),0)</x:f>
        <x:v>0</x:v>
      </x:c>
      <x:c r="G1771">
        <x:f>ROUND($C1771*10*VLOOKUP($B1771,Sheet2!$J$5:$K$7,2,FALSE)*VLOOKUP(Sheet1!$A1771,Sheet2!$B$5:$H$29,6,FALSE),0)</x:f>
        <x:v>0</x:v>
      </x:c>
      <x:c r="H1771">
        <x:f>ROUND($C1771*10*VLOOKUP($B1771,Sheet2!$J$5:$K$7,2,FALSE)*VLOOKUP(Sheet1!$A1771,Sheet2!$B$5:$H$29,7,FALSE),0)</x:f>
        <x:v>600</x:v>
      </x:c>
      <x:c r="I1771">
        <x:f t="shared" si="29"/>
        <x:v>54130</x:v>
      </x:c>
    </x:row>
    <x:row r="1772" spans="1:9" x14ac:dyDescent="0.15">
      <x:c r="A1772">
        <x:v>54055</x:v>
      </x:c>
      <x:c r="B1772">
        <x:v>3</x:v>
      </x:c>
      <x:c r="C1772">
        <x:v>31</x:v>
      </x:c>
      <x:c r="D1772">
        <x:f>ROUND($C1772*10*VLOOKUP($B1772,Sheet2!$J$5:$K$7,2,FALSE)*VLOOKUP(Sheet1!$A1772,Sheet2!$B$5:$H$29,3,FALSE),0)</x:f>
        <x:v>0</x:v>
      </x:c>
      <x:c r="E1772">
        <x:f>ROUND($C1772*10*VLOOKUP($B1772,Sheet2!$J$5:$K$7,2,FALSE)*VLOOKUP(Sheet1!$A1772,Sheet2!$B$5:$H$29,4,FALSE),0)</x:f>
        <x:v>372</x:v>
      </x:c>
      <x:c r="F1772">
        <x:f>ROUND($C1772*10*VLOOKUP($B1772,Sheet2!$J$5:$K$7,2,FALSE)*VLOOKUP(Sheet1!$A1772,Sheet2!$B$5:$H$29,5,FALSE),0)</x:f>
        <x:v>0</x:v>
      </x:c>
      <x:c r="G1772">
        <x:f>ROUND($C1772*10*VLOOKUP($B1772,Sheet2!$J$5:$K$7,2,FALSE)*VLOOKUP(Sheet1!$A1772,Sheet2!$B$5:$H$29,6,FALSE),0)</x:f>
        <x:v>0</x:v>
      </x:c>
      <x:c r="H1772">
        <x:f>ROUND($C1772*10*VLOOKUP($B1772,Sheet2!$J$5:$K$7,2,FALSE)*VLOOKUP(Sheet1!$A1772,Sheet2!$B$5:$H$29,7,FALSE),0)</x:f>
        <x:v>620</x:v>
      </x:c>
      <x:c r="I1772">
        <x:f t="shared" si="29"/>
        <x:v>57530</x:v>
      </x:c>
    </x:row>
    <x:row r="1773" spans="1:9" x14ac:dyDescent="0.15">
      <x:c r="A1773">
        <x:v>54055</x:v>
      </x:c>
      <x:c r="B1773">
        <x:v>3</x:v>
      </x:c>
      <x:c r="C1773">
        <x:v>32</x:v>
      </x:c>
      <x:c r="D1773">
        <x:f>ROUND($C1773*10*VLOOKUP($B1773,Sheet2!$J$5:$K$7,2,FALSE)*VLOOKUP(Sheet1!$A1773,Sheet2!$B$5:$H$29,3,FALSE),0)</x:f>
        <x:v>0</x:v>
      </x:c>
      <x:c r="E1773">
        <x:f>ROUND($C1773*10*VLOOKUP($B1773,Sheet2!$J$5:$K$7,2,FALSE)*VLOOKUP(Sheet1!$A1773,Sheet2!$B$5:$H$29,4,FALSE),0)</x:f>
        <x:v>384</x:v>
      </x:c>
      <x:c r="F1773">
        <x:f>ROUND($C1773*10*VLOOKUP($B1773,Sheet2!$J$5:$K$7,2,FALSE)*VLOOKUP(Sheet1!$A1773,Sheet2!$B$5:$H$29,5,FALSE),0)</x:f>
        <x:v>0</x:v>
      </x:c>
      <x:c r="G1773">
        <x:f>ROUND($C1773*10*VLOOKUP($B1773,Sheet2!$J$5:$K$7,2,FALSE)*VLOOKUP(Sheet1!$A1773,Sheet2!$B$5:$H$29,6,FALSE),0)</x:f>
        <x:v>0</x:v>
      </x:c>
      <x:c r="H1773">
        <x:f>ROUND($C1773*10*VLOOKUP($B1773,Sheet2!$J$5:$K$7,2,FALSE)*VLOOKUP(Sheet1!$A1773,Sheet2!$B$5:$H$29,7,FALSE),0)</x:f>
        <x:v>640</x:v>
      </x:c>
      <x:c r="I1773">
        <x:f t="shared" si="29"/>
        <x:v>61020</x:v>
      </x:c>
    </x:row>
    <x:row r="1774" spans="1:9" x14ac:dyDescent="0.15">
      <x:c r="A1774">
        <x:v>54055</x:v>
      </x:c>
      <x:c r="B1774">
        <x:v>3</x:v>
      </x:c>
      <x:c r="C1774">
        <x:v>33</x:v>
      </x:c>
      <x:c r="D1774">
        <x:f>ROUND($C1774*10*VLOOKUP($B1774,Sheet2!$J$5:$K$7,2,FALSE)*VLOOKUP(Sheet1!$A1774,Sheet2!$B$5:$H$29,3,FALSE),0)</x:f>
        <x:v>0</x:v>
      </x:c>
      <x:c r="E1774">
        <x:f>ROUND($C1774*10*VLOOKUP($B1774,Sheet2!$J$5:$K$7,2,FALSE)*VLOOKUP(Sheet1!$A1774,Sheet2!$B$5:$H$29,4,FALSE),0)</x:f>
        <x:v>396</x:v>
      </x:c>
      <x:c r="F1774">
        <x:f>ROUND($C1774*10*VLOOKUP($B1774,Sheet2!$J$5:$K$7,2,FALSE)*VLOOKUP(Sheet1!$A1774,Sheet2!$B$5:$H$29,5,FALSE),0)</x:f>
        <x:v>0</x:v>
      </x:c>
      <x:c r="G1774">
        <x:f>ROUND($C1774*10*VLOOKUP($B1774,Sheet2!$J$5:$K$7,2,FALSE)*VLOOKUP(Sheet1!$A1774,Sheet2!$B$5:$H$29,6,FALSE),0)</x:f>
        <x:v>0</x:v>
      </x:c>
      <x:c r="H1774">
        <x:f>ROUND($C1774*10*VLOOKUP($B1774,Sheet2!$J$5:$K$7,2,FALSE)*VLOOKUP(Sheet1!$A1774,Sheet2!$B$5:$H$29,7,FALSE),0)</x:f>
        <x:v>660</x:v>
      </x:c>
      <x:c r="I1774">
        <x:f t="shared" si="29"/>
        <x:v>64600</x:v>
      </x:c>
    </x:row>
    <x:row r="1775" spans="1:9" x14ac:dyDescent="0.15">
      <x:c r="A1775">
        <x:v>54055</x:v>
      </x:c>
      <x:c r="B1775">
        <x:v>3</x:v>
      </x:c>
      <x:c r="C1775">
        <x:v>34</x:v>
      </x:c>
      <x:c r="D1775">
        <x:f>ROUND($C1775*10*VLOOKUP($B1775,Sheet2!$J$5:$K$7,2,FALSE)*VLOOKUP(Sheet1!$A1775,Sheet2!$B$5:$H$29,3,FALSE),0)</x:f>
        <x:v>0</x:v>
      </x:c>
      <x:c r="E1775">
        <x:f>ROUND($C1775*10*VLOOKUP($B1775,Sheet2!$J$5:$K$7,2,FALSE)*VLOOKUP(Sheet1!$A1775,Sheet2!$B$5:$H$29,4,FALSE),0)</x:f>
        <x:v>408</x:v>
      </x:c>
      <x:c r="F1775">
        <x:f>ROUND($C1775*10*VLOOKUP($B1775,Sheet2!$J$5:$K$7,2,FALSE)*VLOOKUP(Sheet1!$A1775,Sheet2!$B$5:$H$29,5,FALSE),0)</x:f>
        <x:v>0</x:v>
      </x:c>
      <x:c r="G1775">
        <x:f>ROUND($C1775*10*VLOOKUP($B1775,Sheet2!$J$5:$K$7,2,FALSE)*VLOOKUP(Sheet1!$A1775,Sheet2!$B$5:$H$29,6,FALSE),0)</x:f>
        <x:v>0</x:v>
      </x:c>
      <x:c r="H1775">
        <x:f>ROUND($C1775*10*VLOOKUP($B1775,Sheet2!$J$5:$K$7,2,FALSE)*VLOOKUP(Sheet1!$A1775,Sheet2!$B$5:$H$29,7,FALSE),0)</x:f>
        <x:v>680</x:v>
      </x:c>
      <x:c r="I1775">
        <x:f t="shared" si="29"/>
        <x:v>68280</x:v>
      </x:c>
    </x:row>
    <x:row r="1776" spans="1:9" x14ac:dyDescent="0.15">
      <x:c r="A1776">
        <x:v>54055</x:v>
      </x:c>
      <x:c r="B1776">
        <x:v>3</x:v>
      </x:c>
      <x:c r="C1776">
        <x:v>35</x:v>
      </x:c>
      <x:c r="D1776">
        <x:f>ROUND($C1776*10*VLOOKUP($B1776,Sheet2!$J$5:$K$7,2,FALSE)*VLOOKUP(Sheet1!$A1776,Sheet2!$B$5:$H$29,3,FALSE),0)</x:f>
        <x:v>0</x:v>
      </x:c>
      <x:c r="E1776">
        <x:f>ROUND($C1776*10*VLOOKUP($B1776,Sheet2!$J$5:$K$7,2,FALSE)*VLOOKUP(Sheet1!$A1776,Sheet2!$B$5:$H$29,4,FALSE),0)</x:f>
        <x:v>420</x:v>
      </x:c>
      <x:c r="F1776">
        <x:f>ROUND($C1776*10*VLOOKUP($B1776,Sheet2!$J$5:$K$7,2,FALSE)*VLOOKUP(Sheet1!$A1776,Sheet2!$B$5:$H$29,5,FALSE),0)</x:f>
        <x:v>0</x:v>
      </x:c>
      <x:c r="G1776">
        <x:f>ROUND($C1776*10*VLOOKUP($B1776,Sheet2!$J$5:$K$7,2,FALSE)*VLOOKUP(Sheet1!$A1776,Sheet2!$B$5:$H$29,6,FALSE),0)</x:f>
        <x:v>0</x:v>
      </x:c>
      <x:c r="H1776">
        <x:f>ROUND($C1776*10*VLOOKUP($B1776,Sheet2!$J$5:$K$7,2,FALSE)*VLOOKUP(Sheet1!$A1776,Sheet2!$B$5:$H$29,7,FALSE),0)</x:f>
        <x:v>700</x:v>
      </x:c>
      <x:c r="I1776">
        <x:f t="shared" si="29"/>
        <x:v>72040</x:v>
      </x:c>
    </x:row>
    <x:row r="1777" spans="1:9" x14ac:dyDescent="0.15">
      <x:c r="A1777">
        <x:v>54055</x:v>
      </x:c>
      <x:c r="B1777">
        <x:v>3</x:v>
      </x:c>
      <x:c r="C1777">
        <x:v>36</x:v>
      </x:c>
      <x:c r="D1777">
        <x:f>ROUND($C1777*10*VLOOKUP($B1777,Sheet2!$J$5:$K$7,2,FALSE)*VLOOKUP(Sheet1!$A1777,Sheet2!$B$5:$H$29,3,FALSE),0)</x:f>
        <x:v>0</x:v>
      </x:c>
      <x:c r="E1777">
        <x:f>ROUND($C1777*10*VLOOKUP($B1777,Sheet2!$J$5:$K$7,2,FALSE)*VLOOKUP(Sheet1!$A1777,Sheet2!$B$5:$H$29,4,FALSE),0)</x:f>
        <x:v>432</x:v>
      </x:c>
      <x:c r="F1777">
        <x:f>ROUND($C1777*10*VLOOKUP($B1777,Sheet2!$J$5:$K$7,2,FALSE)*VLOOKUP(Sheet1!$A1777,Sheet2!$B$5:$H$29,5,FALSE),0)</x:f>
        <x:v>0</x:v>
      </x:c>
      <x:c r="G1777">
        <x:f>ROUND($C1777*10*VLOOKUP($B1777,Sheet2!$J$5:$K$7,2,FALSE)*VLOOKUP(Sheet1!$A1777,Sheet2!$B$5:$H$29,6,FALSE),0)</x:f>
        <x:v>0</x:v>
      </x:c>
      <x:c r="H1777">
        <x:f>ROUND($C1777*10*VLOOKUP($B1777,Sheet2!$J$5:$K$7,2,FALSE)*VLOOKUP(Sheet1!$A1777,Sheet2!$B$5:$H$29,7,FALSE),0)</x:f>
        <x:v>720</x:v>
      </x:c>
      <x:c r="I1777">
        <x:f t="shared" si="29"/>
        <x:v>75890</x:v>
      </x:c>
    </x:row>
    <x:row r="1778" spans="1:9" x14ac:dyDescent="0.15">
      <x:c r="A1778">
        <x:v>54055</x:v>
      </x:c>
      <x:c r="B1778">
        <x:v>3</x:v>
      </x:c>
      <x:c r="C1778">
        <x:v>37</x:v>
      </x:c>
      <x:c r="D1778">
        <x:f>ROUND($C1778*10*VLOOKUP($B1778,Sheet2!$J$5:$K$7,2,FALSE)*VLOOKUP(Sheet1!$A1778,Sheet2!$B$5:$H$29,3,FALSE),0)</x:f>
        <x:v>0</x:v>
      </x:c>
      <x:c r="E1778">
        <x:f>ROUND($C1778*10*VLOOKUP($B1778,Sheet2!$J$5:$K$7,2,FALSE)*VLOOKUP(Sheet1!$A1778,Sheet2!$B$5:$H$29,4,FALSE),0)</x:f>
        <x:v>444</x:v>
      </x:c>
      <x:c r="F1778">
        <x:f>ROUND($C1778*10*VLOOKUP($B1778,Sheet2!$J$5:$K$7,2,FALSE)*VLOOKUP(Sheet1!$A1778,Sheet2!$B$5:$H$29,5,FALSE),0)</x:f>
        <x:v>0</x:v>
      </x:c>
      <x:c r="G1778">
        <x:f>ROUND($C1778*10*VLOOKUP($B1778,Sheet2!$J$5:$K$7,2,FALSE)*VLOOKUP(Sheet1!$A1778,Sheet2!$B$5:$H$29,6,FALSE),0)</x:f>
        <x:v>0</x:v>
      </x:c>
      <x:c r="H1778">
        <x:f>ROUND($C1778*10*VLOOKUP($B1778,Sheet2!$J$5:$K$7,2,FALSE)*VLOOKUP(Sheet1!$A1778,Sheet2!$B$5:$H$29,7,FALSE),0)</x:f>
        <x:v>740</x:v>
      </x:c>
      <x:c r="I1778">
        <x:f t="shared" si="29"/>
        <x:v>79840</x:v>
      </x:c>
    </x:row>
    <x:row r="1779" spans="1:9" x14ac:dyDescent="0.15">
      <x:c r="A1779">
        <x:v>54055</x:v>
      </x:c>
      <x:c r="B1779">
        <x:v>3</x:v>
      </x:c>
      <x:c r="C1779">
        <x:v>38</x:v>
      </x:c>
      <x:c r="D1779">
        <x:f>ROUND($C1779*10*VLOOKUP($B1779,Sheet2!$J$5:$K$7,2,FALSE)*VLOOKUP(Sheet1!$A1779,Sheet2!$B$5:$H$29,3,FALSE),0)</x:f>
        <x:v>0</x:v>
      </x:c>
      <x:c r="E1779">
        <x:f>ROUND($C1779*10*VLOOKUP($B1779,Sheet2!$J$5:$K$7,2,FALSE)*VLOOKUP(Sheet1!$A1779,Sheet2!$B$5:$H$29,4,FALSE),0)</x:f>
        <x:v>456</x:v>
      </x:c>
      <x:c r="F1779">
        <x:f>ROUND($C1779*10*VLOOKUP($B1779,Sheet2!$J$5:$K$7,2,FALSE)*VLOOKUP(Sheet1!$A1779,Sheet2!$B$5:$H$29,5,FALSE),0)</x:f>
        <x:v>0</x:v>
      </x:c>
      <x:c r="G1779">
        <x:f>ROUND($C1779*10*VLOOKUP($B1779,Sheet2!$J$5:$K$7,2,FALSE)*VLOOKUP(Sheet1!$A1779,Sheet2!$B$5:$H$29,6,FALSE),0)</x:f>
        <x:v>0</x:v>
      </x:c>
      <x:c r="H1779">
        <x:f>ROUND($C1779*10*VLOOKUP($B1779,Sheet2!$J$5:$K$7,2,FALSE)*VLOOKUP(Sheet1!$A1779,Sheet2!$B$5:$H$29,7,FALSE),0)</x:f>
        <x:v>760</x:v>
      </x:c>
      <x:c r="I1779">
        <x:f t="shared" si="29"/>
        <x:v>83870</x:v>
      </x:c>
    </x:row>
    <x:row r="1780" spans="1:9" x14ac:dyDescent="0.15">
      <x:c r="A1780">
        <x:v>54055</x:v>
      </x:c>
      <x:c r="B1780">
        <x:v>3</x:v>
      </x:c>
      <x:c r="C1780">
        <x:v>39</x:v>
      </x:c>
      <x:c r="D1780">
        <x:f>ROUND($C1780*10*VLOOKUP($B1780,Sheet2!$J$5:$K$7,2,FALSE)*VLOOKUP(Sheet1!$A1780,Sheet2!$B$5:$H$29,3,FALSE),0)</x:f>
        <x:v>0</x:v>
      </x:c>
      <x:c r="E1780">
        <x:f>ROUND($C1780*10*VLOOKUP($B1780,Sheet2!$J$5:$K$7,2,FALSE)*VLOOKUP(Sheet1!$A1780,Sheet2!$B$5:$H$29,4,FALSE),0)</x:f>
        <x:v>468</x:v>
      </x:c>
      <x:c r="F1780">
        <x:f>ROUND($C1780*10*VLOOKUP($B1780,Sheet2!$J$5:$K$7,2,FALSE)*VLOOKUP(Sheet1!$A1780,Sheet2!$B$5:$H$29,5,FALSE),0)</x:f>
        <x:v>0</x:v>
      </x:c>
      <x:c r="G1780">
        <x:f>ROUND($C1780*10*VLOOKUP($B1780,Sheet2!$J$5:$K$7,2,FALSE)*VLOOKUP(Sheet1!$A1780,Sheet2!$B$5:$H$29,6,FALSE),0)</x:f>
        <x:v>0</x:v>
      </x:c>
      <x:c r="H1780">
        <x:f>ROUND($C1780*10*VLOOKUP($B1780,Sheet2!$J$5:$K$7,2,FALSE)*VLOOKUP(Sheet1!$A1780,Sheet2!$B$5:$H$29,7,FALSE),0)</x:f>
        <x:v>780</x:v>
      </x:c>
      <x:c r="I1780">
        <x:f t="shared" si="29"/>
        <x:v>87990</x:v>
      </x:c>
    </x:row>
    <x:row r="1781" spans="1:9" x14ac:dyDescent="0.15">
      <x:c r="A1781">
        <x:v>54055</x:v>
      </x:c>
      <x:c r="B1781">
        <x:v>3</x:v>
      </x:c>
      <x:c r="C1781">
        <x:v>40</x:v>
      </x:c>
      <x:c r="D1781">
        <x:f>ROUND($C1781*10*VLOOKUP($B1781,Sheet2!$J$5:$K$7,2,FALSE)*VLOOKUP(Sheet1!$A1781,Sheet2!$B$5:$H$29,3,FALSE),0)</x:f>
        <x:v>0</x:v>
      </x:c>
      <x:c r="E1781">
        <x:f>ROUND($C1781*10*VLOOKUP($B1781,Sheet2!$J$5:$K$7,2,FALSE)*VLOOKUP(Sheet1!$A1781,Sheet2!$B$5:$H$29,4,FALSE),0)</x:f>
        <x:v>480</x:v>
      </x:c>
      <x:c r="F1781">
        <x:f>ROUND($C1781*10*VLOOKUP($B1781,Sheet2!$J$5:$K$7,2,FALSE)*VLOOKUP(Sheet1!$A1781,Sheet2!$B$5:$H$29,5,FALSE),0)</x:f>
        <x:v>0</x:v>
      </x:c>
      <x:c r="G1781">
        <x:f>ROUND($C1781*10*VLOOKUP($B1781,Sheet2!$J$5:$K$7,2,FALSE)*VLOOKUP(Sheet1!$A1781,Sheet2!$B$5:$H$29,6,FALSE),0)</x:f>
        <x:v>0</x:v>
      </x:c>
      <x:c r="H1781">
        <x:f>ROUND($C1781*10*VLOOKUP($B1781,Sheet2!$J$5:$K$7,2,FALSE)*VLOOKUP(Sheet1!$A1781,Sheet2!$B$5:$H$29,7,FALSE),0)</x:f>
        <x:v>800</x:v>
      </x:c>
      <x:c r="I1781">
        <x:f t="shared" si="29"/>
        <x:v>92200</x:v>
      </x:c>
    </x:row>
    <x:row r="1782" spans="1:9" x14ac:dyDescent="0.15">
      <x:c r="A1782">
        <x:v>54055</x:v>
      </x:c>
      <x:c r="B1782">
        <x:v>3</x:v>
      </x:c>
      <x:c r="C1782">
        <x:v>41</x:v>
      </x:c>
      <x:c r="D1782">
        <x:f>ROUND($C1782*10*VLOOKUP($B1782,Sheet2!$J$5:$K$7,2,FALSE)*VLOOKUP(Sheet1!$A1782,Sheet2!$B$5:$H$29,3,FALSE),0)</x:f>
        <x:v>0</x:v>
      </x:c>
      <x:c r="E1782">
        <x:f>ROUND($C1782*10*VLOOKUP($B1782,Sheet2!$J$5:$K$7,2,FALSE)*VLOOKUP(Sheet1!$A1782,Sheet2!$B$5:$H$29,4,FALSE),0)</x:f>
        <x:v>492</x:v>
      </x:c>
      <x:c r="F1782">
        <x:f>ROUND($C1782*10*VLOOKUP($B1782,Sheet2!$J$5:$K$7,2,FALSE)*VLOOKUP(Sheet1!$A1782,Sheet2!$B$5:$H$29,5,FALSE),0)</x:f>
        <x:v>0</x:v>
      </x:c>
      <x:c r="G1782">
        <x:f>ROUND($C1782*10*VLOOKUP($B1782,Sheet2!$J$5:$K$7,2,FALSE)*VLOOKUP(Sheet1!$A1782,Sheet2!$B$5:$H$29,6,FALSE),0)</x:f>
        <x:v>0</x:v>
      </x:c>
      <x:c r="H1782">
        <x:f>ROUND($C1782*10*VLOOKUP($B1782,Sheet2!$J$5:$K$7,2,FALSE)*VLOOKUP(Sheet1!$A1782,Sheet2!$B$5:$H$29,7,FALSE),0)</x:f>
        <x:v>820</x:v>
      </x:c>
      <x:c r="I1782">
        <x:f t="shared" si="29"/>
        <x:v>96490</x:v>
      </x:c>
    </x:row>
    <x:row r="1783" spans="1:9" x14ac:dyDescent="0.15">
      <x:c r="A1783">
        <x:v>54055</x:v>
      </x:c>
      <x:c r="B1783">
        <x:v>3</x:v>
      </x:c>
      <x:c r="C1783">
        <x:v>42</x:v>
      </x:c>
      <x:c r="D1783">
        <x:f>ROUND($C1783*10*VLOOKUP($B1783,Sheet2!$J$5:$K$7,2,FALSE)*VLOOKUP(Sheet1!$A1783,Sheet2!$B$5:$H$29,3,FALSE),0)</x:f>
        <x:v>0</x:v>
      </x:c>
      <x:c r="E1783">
        <x:f>ROUND($C1783*10*VLOOKUP($B1783,Sheet2!$J$5:$K$7,2,FALSE)*VLOOKUP(Sheet1!$A1783,Sheet2!$B$5:$H$29,4,FALSE),0)</x:f>
        <x:v>504</x:v>
      </x:c>
      <x:c r="F1783">
        <x:f>ROUND($C1783*10*VLOOKUP($B1783,Sheet2!$J$5:$K$7,2,FALSE)*VLOOKUP(Sheet1!$A1783,Sheet2!$B$5:$H$29,5,FALSE),0)</x:f>
        <x:v>0</x:v>
      </x:c>
      <x:c r="G1783">
        <x:f>ROUND($C1783*10*VLOOKUP($B1783,Sheet2!$J$5:$K$7,2,FALSE)*VLOOKUP(Sheet1!$A1783,Sheet2!$B$5:$H$29,6,FALSE),0)</x:f>
        <x:v>0</x:v>
      </x:c>
      <x:c r="H1783">
        <x:f>ROUND($C1783*10*VLOOKUP($B1783,Sheet2!$J$5:$K$7,2,FALSE)*VLOOKUP(Sheet1!$A1783,Sheet2!$B$5:$H$29,7,FALSE),0)</x:f>
        <x:v>840</x:v>
      </x:c>
      <x:c r="I1783">
        <x:f t="shared" si="29"/>
        <x:v>100870</x:v>
      </x:c>
    </x:row>
    <x:row r="1784" spans="1:9" x14ac:dyDescent="0.15">
      <x:c r="A1784">
        <x:v>54055</x:v>
      </x:c>
      <x:c r="B1784">
        <x:v>3</x:v>
      </x:c>
      <x:c r="C1784">
        <x:v>43</x:v>
      </x:c>
      <x:c r="D1784">
        <x:f>ROUND($C1784*10*VLOOKUP($B1784,Sheet2!$J$5:$K$7,2,FALSE)*VLOOKUP(Sheet1!$A1784,Sheet2!$B$5:$H$29,3,FALSE),0)</x:f>
        <x:v>0</x:v>
      </x:c>
      <x:c r="E1784">
        <x:f>ROUND($C1784*10*VLOOKUP($B1784,Sheet2!$J$5:$K$7,2,FALSE)*VLOOKUP(Sheet1!$A1784,Sheet2!$B$5:$H$29,4,FALSE),0)</x:f>
        <x:v>516</x:v>
      </x:c>
      <x:c r="F1784">
        <x:f>ROUND($C1784*10*VLOOKUP($B1784,Sheet2!$J$5:$K$7,2,FALSE)*VLOOKUP(Sheet1!$A1784,Sheet2!$B$5:$H$29,5,FALSE),0)</x:f>
        <x:v>0</x:v>
      </x:c>
      <x:c r="G1784">
        <x:f>ROUND($C1784*10*VLOOKUP($B1784,Sheet2!$J$5:$K$7,2,FALSE)*VLOOKUP(Sheet1!$A1784,Sheet2!$B$5:$H$29,6,FALSE),0)</x:f>
        <x:v>0</x:v>
      </x:c>
      <x:c r="H1784">
        <x:f>ROUND($C1784*10*VLOOKUP($B1784,Sheet2!$J$5:$K$7,2,FALSE)*VLOOKUP(Sheet1!$A1784,Sheet2!$B$5:$H$29,7,FALSE),0)</x:f>
        <x:v>860</x:v>
      </x:c>
      <x:c r="I1784">
        <x:f t="shared" si="29"/>
        <x:v>105340</x:v>
      </x:c>
    </x:row>
    <x:row r="1785" spans="1:9" x14ac:dyDescent="0.15">
      <x:c r="A1785">
        <x:v>54055</x:v>
      </x:c>
      <x:c r="B1785">
        <x:v>3</x:v>
      </x:c>
      <x:c r="C1785">
        <x:v>44</x:v>
      </x:c>
      <x:c r="D1785">
        <x:f>ROUND($C1785*10*VLOOKUP($B1785,Sheet2!$J$5:$K$7,2,FALSE)*VLOOKUP(Sheet1!$A1785,Sheet2!$B$5:$H$29,3,FALSE),0)</x:f>
        <x:v>0</x:v>
      </x:c>
      <x:c r="E1785">
        <x:f>ROUND($C1785*10*VLOOKUP($B1785,Sheet2!$J$5:$K$7,2,FALSE)*VLOOKUP(Sheet1!$A1785,Sheet2!$B$5:$H$29,4,FALSE),0)</x:f>
        <x:v>528</x:v>
      </x:c>
      <x:c r="F1785">
        <x:f>ROUND($C1785*10*VLOOKUP($B1785,Sheet2!$J$5:$K$7,2,FALSE)*VLOOKUP(Sheet1!$A1785,Sheet2!$B$5:$H$29,5,FALSE),0)</x:f>
        <x:v>0</x:v>
      </x:c>
      <x:c r="G1785">
        <x:f>ROUND($C1785*10*VLOOKUP($B1785,Sheet2!$J$5:$K$7,2,FALSE)*VLOOKUP(Sheet1!$A1785,Sheet2!$B$5:$H$29,6,FALSE),0)</x:f>
        <x:v>0</x:v>
      </x:c>
      <x:c r="H1785">
        <x:f>ROUND($C1785*10*VLOOKUP($B1785,Sheet2!$J$5:$K$7,2,FALSE)*VLOOKUP(Sheet1!$A1785,Sheet2!$B$5:$H$29,7,FALSE),0)</x:f>
        <x:v>880</x:v>
      </x:c>
      <x:c r="I1785">
        <x:f t="shared" si="29"/>
        <x:v>109890</x:v>
      </x:c>
    </x:row>
    <x:row r="1786" spans="1:9" x14ac:dyDescent="0.15">
      <x:c r="A1786">
        <x:v>54055</x:v>
      </x:c>
      <x:c r="B1786">
        <x:v>3</x:v>
      </x:c>
      <x:c r="C1786">
        <x:v>45</x:v>
      </x:c>
      <x:c r="D1786">
        <x:f>ROUND($C1786*10*VLOOKUP($B1786,Sheet2!$J$5:$K$7,2,FALSE)*VLOOKUP(Sheet1!$A1786,Sheet2!$B$5:$H$29,3,FALSE),0)</x:f>
        <x:v>0</x:v>
      </x:c>
      <x:c r="E1786">
        <x:f>ROUND($C1786*10*VLOOKUP($B1786,Sheet2!$J$5:$K$7,2,FALSE)*VLOOKUP(Sheet1!$A1786,Sheet2!$B$5:$H$29,4,FALSE),0)</x:f>
        <x:v>540</x:v>
      </x:c>
      <x:c r="F1786">
        <x:f>ROUND($C1786*10*VLOOKUP($B1786,Sheet2!$J$5:$K$7,2,FALSE)*VLOOKUP(Sheet1!$A1786,Sheet2!$B$5:$H$29,5,FALSE),0)</x:f>
        <x:v>0</x:v>
      </x:c>
      <x:c r="G1786">
        <x:f>ROUND($C1786*10*VLOOKUP($B1786,Sheet2!$J$5:$K$7,2,FALSE)*VLOOKUP(Sheet1!$A1786,Sheet2!$B$5:$H$29,6,FALSE),0)</x:f>
        <x:v>0</x:v>
      </x:c>
      <x:c r="H1786">
        <x:f>ROUND($C1786*10*VLOOKUP($B1786,Sheet2!$J$5:$K$7,2,FALSE)*VLOOKUP(Sheet1!$A1786,Sheet2!$B$5:$H$29,7,FALSE),0)</x:f>
        <x:v>900</x:v>
      </x:c>
      <x:c r="I1786">
        <x:f t="shared" si="29"/>
        <x:v>114530</x:v>
      </x:c>
    </x:row>
    <x:row r="1787" spans="1:9" x14ac:dyDescent="0.15">
      <x:c r="A1787">
        <x:v>54055</x:v>
      </x:c>
      <x:c r="B1787">
        <x:v>3</x:v>
      </x:c>
      <x:c r="C1787">
        <x:v>46</x:v>
      </x:c>
      <x:c r="D1787">
        <x:f>ROUND($C1787*10*VLOOKUP($B1787,Sheet2!$J$5:$K$7,2,FALSE)*VLOOKUP(Sheet1!$A1787,Sheet2!$B$5:$H$29,3,FALSE),0)</x:f>
        <x:v>0</x:v>
      </x:c>
      <x:c r="E1787">
        <x:f>ROUND($C1787*10*VLOOKUP($B1787,Sheet2!$J$5:$K$7,2,FALSE)*VLOOKUP(Sheet1!$A1787,Sheet2!$B$5:$H$29,4,FALSE),0)</x:f>
        <x:v>552</x:v>
      </x:c>
      <x:c r="F1787">
        <x:f>ROUND($C1787*10*VLOOKUP($B1787,Sheet2!$J$5:$K$7,2,FALSE)*VLOOKUP(Sheet1!$A1787,Sheet2!$B$5:$H$29,5,FALSE),0)</x:f>
        <x:v>0</x:v>
      </x:c>
      <x:c r="G1787">
        <x:f>ROUND($C1787*10*VLOOKUP($B1787,Sheet2!$J$5:$K$7,2,FALSE)*VLOOKUP(Sheet1!$A1787,Sheet2!$B$5:$H$29,6,FALSE),0)</x:f>
        <x:v>0</x:v>
      </x:c>
      <x:c r="H1787">
        <x:f>ROUND($C1787*10*VLOOKUP($B1787,Sheet2!$J$5:$K$7,2,FALSE)*VLOOKUP(Sheet1!$A1787,Sheet2!$B$5:$H$29,7,FALSE),0)</x:f>
        <x:v>920</x:v>
      </x:c>
      <x:c r="I1787">
        <x:f t="shared" si="29"/>
        <x:v>119260</x:v>
      </x:c>
    </x:row>
    <x:row r="1788" spans="1:9" x14ac:dyDescent="0.15">
      <x:c r="A1788">
        <x:v>54055</x:v>
      </x:c>
      <x:c r="B1788">
        <x:v>3</x:v>
      </x:c>
      <x:c r="C1788">
        <x:v>47</x:v>
      </x:c>
      <x:c r="D1788">
        <x:f>ROUND($C1788*10*VLOOKUP($B1788,Sheet2!$J$5:$K$7,2,FALSE)*VLOOKUP(Sheet1!$A1788,Sheet2!$B$5:$H$29,3,FALSE),0)</x:f>
        <x:v>0</x:v>
      </x:c>
      <x:c r="E1788">
        <x:f>ROUND($C1788*10*VLOOKUP($B1788,Sheet2!$J$5:$K$7,2,FALSE)*VLOOKUP(Sheet1!$A1788,Sheet2!$B$5:$H$29,4,FALSE),0)</x:f>
        <x:v>564</x:v>
      </x:c>
      <x:c r="F1788">
        <x:f>ROUND($C1788*10*VLOOKUP($B1788,Sheet2!$J$5:$K$7,2,FALSE)*VLOOKUP(Sheet1!$A1788,Sheet2!$B$5:$H$29,5,FALSE),0)</x:f>
        <x:v>0</x:v>
      </x:c>
      <x:c r="G1788">
        <x:f>ROUND($C1788*10*VLOOKUP($B1788,Sheet2!$J$5:$K$7,2,FALSE)*VLOOKUP(Sheet1!$A1788,Sheet2!$B$5:$H$29,6,FALSE),0)</x:f>
        <x:v>0</x:v>
      </x:c>
      <x:c r="H1788">
        <x:f>ROUND($C1788*10*VLOOKUP($B1788,Sheet2!$J$5:$K$7,2,FALSE)*VLOOKUP(Sheet1!$A1788,Sheet2!$B$5:$H$29,7,FALSE),0)</x:f>
        <x:v>940</x:v>
      </x:c>
      <x:c r="I1788">
        <x:f t="shared" si="29"/>
        <x:v>124070</x:v>
      </x:c>
    </x:row>
    <x:row r="1789" spans="1:9" x14ac:dyDescent="0.15">
      <x:c r="A1789">
        <x:v>54055</x:v>
      </x:c>
      <x:c r="B1789">
        <x:v>3</x:v>
      </x:c>
      <x:c r="C1789">
        <x:v>48</x:v>
      </x:c>
      <x:c r="D1789">
        <x:f>ROUND($C1789*10*VLOOKUP($B1789,Sheet2!$J$5:$K$7,2,FALSE)*VLOOKUP(Sheet1!$A1789,Sheet2!$B$5:$H$29,3,FALSE),0)</x:f>
        <x:v>0</x:v>
      </x:c>
      <x:c r="E1789">
        <x:f>ROUND($C1789*10*VLOOKUP($B1789,Sheet2!$J$5:$K$7,2,FALSE)*VLOOKUP(Sheet1!$A1789,Sheet2!$B$5:$H$29,4,FALSE),0)</x:f>
        <x:v>576</x:v>
      </x:c>
      <x:c r="F1789">
        <x:f>ROUND($C1789*10*VLOOKUP($B1789,Sheet2!$J$5:$K$7,2,FALSE)*VLOOKUP(Sheet1!$A1789,Sheet2!$B$5:$H$29,5,FALSE),0)</x:f>
        <x:v>0</x:v>
      </x:c>
      <x:c r="G1789">
        <x:f>ROUND($C1789*10*VLOOKUP($B1789,Sheet2!$J$5:$K$7,2,FALSE)*VLOOKUP(Sheet1!$A1789,Sheet2!$B$5:$H$29,6,FALSE),0)</x:f>
        <x:v>0</x:v>
      </x:c>
      <x:c r="H1789">
        <x:f>ROUND($C1789*10*VLOOKUP($B1789,Sheet2!$J$5:$K$7,2,FALSE)*VLOOKUP(Sheet1!$A1789,Sheet2!$B$5:$H$29,7,FALSE),0)</x:f>
        <x:v>960</x:v>
      </x:c>
      <x:c r="I1789">
        <x:f t="shared" si="29"/>
        <x:v>128960</x:v>
      </x:c>
    </x:row>
    <x:row r="1790" spans="1:9" x14ac:dyDescent="0.15">
      <x:c r="A1790">
        <x:v>54055</x:v>
      </x:c>
      <x:c r="B1790">
        <x:v>3</x:v>
      </x:c>
      <x:c r="C1790">
        <x:v>49</x:v>
      </x:c>
      <x:c r="D1790">
        <x:f>ROUND($C1790*10*VLOOKUP($B1790,Sheet2!$J$5:$K$7,2,FALSE)*VLOOKUP(Sheet1!$A1790,Sheet2!$B$5:$H$29,3,FALSE),0)</x:f>
        <x:v>0</x:v>
      </x:c>
      <x:c r="E1790">
        <x:f>ROUND($C1790*10*VLOOKUP($B1790,Sheet2!$J$5:$K$7,2,FALSE)*VLOOKUP(Sheet1!$A1790,Sheet2!$B$5:$H$29,4,FALSE),0)</x:f>
        <x:v>588</x:v>
      </x:c>
      <x:c r="F1790">
        <x:f>ROUND($C1790*10*VLOOKUP($B1790,Sheet2!$J$5:$K$7,2,FALSE)*VLOOKUP(Sheet1!$A1790,Sheet2!$B$5:$H$29,5,FALSE),0)</x:f>
        <x:v>0</x:v>
      </x:c>
      <x:c r="G1790">
        <x:f>ROUND($C1790*10*VLOOKUP($B1790,Sheet2!$J$5:$K$7,2,FALSE)*VLOOKUP(Sheet1!$A1790,Sheet2!$B$5:$H$29,6,FALSE),0)</x:f>
        <x:v>0</x:v>
      </x:c>
      <x:c r="H1790">
        <x:f>ROUND($C1790*10*VLOOKUP($B1790,Sheet2!$J$5:$K$7,2,FALSE)*VLOOKUP(Sheet1!$A1790,Sheet2!$B$5:$H$29,7,FALSE),0)</x:f>
        <x:v>980</x:v>
      </x:c>
      <x:c r="I1790">
        <x:f t="shared" si="29"/>
        <x:v>133940</x:v>
      </x:c>
    </x:row>
    <x:row r="1791" spans="1:9" x14ac:dyDescent="0.15">
      <x:c r="A1791">
        <x:v>54055</x:v>
      </x:c>
      <x:c r="B1791">
        <x:v>3</x:v>
      </x:c>
      <x:c r="C1791">
        <x:v>50</x:v>
      </x:c>
      <x:c r="D1791">
        <x:f>ROUND($C1791*10*VLOOKUP($B1791,Sheet2!$J$5:$K$7,2,FALSE)*VLOOKUP(Sheet1!$A1791,Sheet2!$B$5:$H$29,3,FALSE),0)</x:f>
        <x:v>0</x:v>
      </x:c>
      <x:c r="E1791">
        <x:f>ROUND($C1791*10*VLOOKUP($B1791,Sheet2!$J$5:$K$7,2,FALSE)*VLOOKUP(Sheet1!$A1791,Sheet2!$B$5:$H$29,4,FALSE),0)</x:f>
        <x:v>600</x:v>
      </x:c>
      <x:c r="F1791">
        <x:f>ROUND($C1791*10*VLOOKUP($B1791,Sheet2!$J$5:$K$7,2,FALSE)*VLOOKUP(Sheet1!$A1791,Sheet2!$B$5:$H$29,5,FALSE),0)</x:f>
        <x:v>0</x:v>
      </x:c>
      <x:c r="G1791">
        <x:f>ROUND($C1791*10*VLOOKUP($B1791,Sheet2!$J$5:$K$7,2,FALSE)*VLOOKUP(Sheet1!$A1791,Sheet2!$B$5:$H$29,6,FALSE),0)</x:f>
        <x:v>0</x:v>
      </x:c>
      <x:c r="H1791">
        <x:f>ROUND($C1791*10*VLOOKUP($B1791,Sheet2!$J$5:$K$7,2,FALSE)*VLOOKUP(Sheet1!$A1791,Sheet2!$B$5:$H$29,7,FALSE),0)</x:f>
        <x:v>1000</x:v>
      </x:c>
      <x:c r="I1791">
        <x:f t="shared" si="29"/>
        <x:v>139000</x:v>
      </x:c>
    </x:row>
    <x:row r="1792" spans="1:9" x14ac:dyDescent="0.15">
      <x:c r="A1792">
        <x:v>54055</x:v>
      </x:c>
      <x:c r="B1792">
        <x:v>3</x:v>
      </x:c>
      <x:c r="C1792">
        <x:v>51</x:v>
      </x:c>
      <x:c r="D1792">
        <x:f>ROUND($C1792*10*VLOOKUP($B1792,Sheet2!$J$5:$K$7,2,FALSE)*VLOOKUP(Sheet1!$A1792,Sheet2!$B$5:$H$29,3,FALSE),0)</x:f>
        <x:v>0</x:v>
      </x:c>
      <x:c r="E1792">
        <x:f>ROUND($C1792*10*VLOOKUP($B1792,Sheet2!$J$5:$K$7,2,FALSE)*VLOOKUP(Sheet1!$A1792,Sheet2!$B$5:$H$29,4,FALSE),0)</x:f>
        <x:v>612</x:v>
      </x:c>
      <x:c r="F1792">
        <x:f>ROUND($C1792*10*VLOOKUP($B1792,Sheet2!$J$5:$K$7,2,FALSE)*VLOOKUP(Sheet1!$A1792,Sheet2!$B$5:$H$29,5,FALSE),0)</x:f>
        <x:v>0</x:v>
      </x:c>
      <x:c r="G1792">
        <x:f>ROUND($C1792*10*VLOOKUP($B1792,Sheet2!$J$5:$K$7,2,FALSE)*VLOOKUP(Sheet1!$A1792,Sheet2!$B$5:$H$29,6,FALSE),0)</x:f>
        <x:v>0</x:v>
      </x:c>
      <x:c r="H1792">
        <x:f>ROUND($C1792*10*VLOOKUP($B1792,Sheet2!$J$5:$K$7,2,FALSE)*VLOOKUP(Sheet1!$A1792,Sheet2!$B$5:$H$29,7,FALSE),0)</x:f>
        <x:v>1020</x:v>
      </x:c>
      <x:c r="I1792">
        <x:f t="shared" si="29"/>
        <x:v>144140</x:v>
      </x:c>
    </x:row>
    <x:row r="1793" spans="1:11" x14ac:dyDescent="0.15">
      <x:c r="A1793">
        <x:v>54055</x:v>
      </x:c>
      <x:c r="B1793">
        <x:v>3</x:v>
      </x:c>
      <x:c r="C1793">
        <x:v>52</x:v>
      </x:c>
      <x:c r="D1793">
        <x:f>ROUND($C1793*10*VLOOKUP($B1793,Sheet2!$J$5:$K$7,2,FALSE)*VLOOKUP(Sheet1!$A1793,Sheet2!$B$5:$H$29,3,FALSE),0)</x:f>
        <x:v>0</x:v>
      </x:c>
      <x:c r="E1793">
        <x:f>ROUND($C1793*10*VLOOKUP($B1793,Sheet2!$J$5:$K$7,2,FALSE)*VLOOKUP(Sheet1!$A1793,Sheet2!$B$5:$H$29,4,FALSE),0)</x:f>
        <x:v>624</x:v>
      </x:c>
      <x:c r="F1793">
        <x:f>ROUND($C1793*10*VLOOKUP($B1793,Sheet2!$J$5:$K$7,2,FALSE)*VLOOKUP(Sheet1!$A1793,Sheet2!$B$5:$H$29,5,FALSE),0)</x:f>
        <x:v>0</x:v>
      </x:c>
      <x:c r="G1793">
        <x:f>ROUND($C1793*10*VLOOKUP($B1793,Sheet2!$J$5:$K$7,2,FALSE)*VLOOKUP(Sheet1!$A1793,Sheet2!$B$5:$H$29,6,FALSE),0)</x:f>
        <x:v>0</x:v>
      </x:c>
      <x:c r="H1793">
        <x:f>ROUND($C1793*10*VLOOKUP($B1793,Sheet2!$J$5:$K$7,2,FALSE)*VLOOKUP(Sheet1!$A1793,Sheet2!$B$5:$H$29,7,FALSE),0)</x:f>
        <x:v>1040</x:v>
      </x:c>
      <x:c r="I1793">
        <x:f t="shared" si="29"/>
        <x:v>149370</x:v>
      </x:c>
    </x:row>
    <x:row r="1794" spans="1:11" x14ac:dyDescent="0.15">
      <x:c r="A1794">
        <x:v>54055</x:v>
      </x:c>
      <x:c r="B1794">
        <x:v>3</x:v>
      </x:c>
      <x:c r="C1794">
        <x:v>53</x:v>
      </x:c>
      <x:c r="D1794">
        <x:f>ROUND($C1794*10*VLOOKUP($B1794,Sheet2!$J$5:$K$7,2,FALSE)*VLOOKUP(Sheet1!$A1794,Sheet2!$B$5:$H$29,3,FALSE),0)</x:f>
        <x:v>0</x:v>
      </x:c>
      <x:c r="E1794">
        <x:f>ROUND($C1794*10*VLOOKUP($B1794,Sheet2!$J$5:$K$7,2,FALSE)*VLOOKUP(Sheet1!$A1794,Sheet2!$B$5:$H$29,4,FALSE),0)</x:f>
        <x:v>636</x:v>
      </x:c>
      <x:c r="F1794">
        <x:f>ROUND($C1794*10*VLOOKUP($B1794,Sheet2!$J$5:$K$7,2,FALSE)*VLOOKUP(Sheet1!$A1794,Sheet2!$B$5:$H$29,5,FALSE),0)</x:f>
        <x:v>0</x:v>
      </x:c>
      <x:c r="G1794">
        <x:f>ROUND($C1794*10*VLOOKUP($B1794,Sheet2!$J$5:$K$7,2,FALSE)*VLOOKUP(Sheet1!$A1794,Sheet2!$B$5:$H$29,6,FALSE),0)</x:f>
        <x:v>0</x:v>
      </x:c>
      <x:c r="H1794">
        <x:f>ROUND($C1794*10*VLOOKUP($B1794,Sheet2!$J$5:$K$7,2,FALSE)*VLOOKUP(Sheet1!$A1794,Sheet2!$B$5:$H$29,7,FALSE),0)</x:f>
        <x:v>1060</x:v>
      </x:c>
      <x:c r="I1794">
        <x:f t="shared" si="29"/>
        <x:v>154680</x:v>
      </x:c>
    </x:row>
    <x:row r="1795" spans="1:11" x14ac:dyDescent="0.15">
      <x:c r="A1795">
        <x:v>54055</x:v>
      </x:c>
      <x:c r="B1795">
        <x:v>3</x:v>
      </x:c>
      <x:c r="C1795">
        <x:v>54</x:v>
      </x:c>
      <x:c r="D1795">
        <x:f>ROUND($C1795*10*VLOOKUP($B1795,Sheet2!$J$5:$K$7,2,FALSE)*VLOOKUP(Sheet1!$A1795,Sheet2!$B$5:$H$29,3,FALSE),0)</x:f>
        <x:v>0</x:v>
      </x:c>
      <x:c r="E1795">
        <x:f>ROUND($C1795*10*VLOOKUP($B1795,Sheet2!$J$5:$K$7,2,FALSE)*VLOOKUP(Sheet1!$A1795,Sheet2!$B$5:$H$29,4,FALSE),0)</x:f>
        <x:v>648</x:v>
      </x:c>
      <x:c r="F1795">
        <x:f>ROUND($C1795*10*VLOOKUP($B1795,Sheet2!$J$5:$K$7,2,FALSE)*VLOOKUP(Sheet1!$A1795,Sheet2!$B$5:$H$29,5,FALSE),0)</x:f>
        <x:v>0</x:v>
      </x:c>
      <x:c r="G1795">
        <x:f>ROUND($C1795*10*VLOOKUP($B1795,Sheet2!$J$5:$K$7,2,FALSE)*VLOOKUP(Sheet1!$A1795,Sheet2!$B$5:$H$29,6,FALSE),0)</x:f>
        <x:v>0</x:v>
      </x:c>
      <x:c r="H1795">
        <x:f>ROUND($C1795*10*VLOOKUP($B1795,Sheet2!$J$5:$K$7,2,FALSE)*VLOOKUP(Sheet1!$A1795,Sheet2!$B$5:$H$29,7,FALSE),0)</x:f>
        <x:v>1080</x:v>
      </x:c>
      <x:c r="I1795">
        <x:f t="shared" si="29"/>
        <x:v>160070</x:v>
      </x:c>
    </x:row>
    <x:row r="1796" spans="1:11" x14ac:dyDescent="0.15">
      <x:c r="A1796">
        <x:v>54055</x:v>
      </x:c>
      <x:c r="B1796">
        <x:v>3</x:v>
      </x:c>
      <x:c r="C1796">
        <x:v>55</x:v>
      </x:c>
      <x:c r="D1796">
        <x:f>ROUND($C1796*10*VLOOKUP($B1796,Sheet2!$J$5:$K$7,2,FALSE)*VLOOKUP(Sheet1!$A1796,Sheet2!$B$5:$H$29,3,FALSE),0)</x:f>
        <x:v>0</x:v>
      </x:c>
      <x:c r="E1796">
        <x:f>ROUND($C1796*10*VLOOKUP($B1796,Sheet2!$J$5:$K$7,2,FALSE)*VLOOKUP(Sheet1!$A1796,Sheet2!$B$5:$H$29,4,FALSE),0)</x:f>
        <x:v>660</x:v>
      </x:c>
      <x:c r="F1796">
        <x:f>ROUND($C1796*10*VLOOKUP($B1796,Sheet2!$J$5:$K$7,2,FALSE)*VLOOKUP(Sheet1!$A1796,Sheet2!$B$5:$H$29,5,FALSE),0)</x:f>
        <x:v>0</x:v>
      </x:c>
      <x:c r="G1796">
        <x:f>ROUND($C1796*10*VLOOKUP($B1796,Sheet2!$J$5:$K$7,2,FALSE)*VLOOKUP(Sheet1!$A1796,Sheet2!$B$5:$H$29,6,FALSE),0)</x:f>
        <x:v>0</x:v>
      </x:c>
      <x:c r="H1796">
        <x:f>ROUND($C1796*10*VLOOKUP($B1796,Sheet2!$J$5:$K$7,2,FALSE)*VLOOKUP(Sheet1!$A1796,Sheet2!$B$5:$H$29,7,FALSE),0)</x:f>
        <x:v>1100</x:v>
      </x:c>
      <x:c r="I1796">
        <x:f t="shared" si="29"/>
        <x:v>165540</x:v>
      </x:c>
    </x:row>
    <x:row r="1797" spans="1:11" x14ac:dyDescent="0.15">
      <x:c r="A1797">
        <x:v>54055</x:v>
      </x:c>
      <x:c r="B1797">
        <x:v>3</x:v>
      </x:c>
      <x:c r="C1797">
        <x:v>56</x:v>
      </x:c>
      <x:c r="D1797">
        <x:f>ROUND($C1797*10*VLOOKUP($B1797,Sheet2!$J$5:$K$7,2,FALSE)*VLOOKUP(Sheet1!$A1797,Sheet2!$B$5:$H$29,3,FALSE),0)</x:f>
        <x:v>0</x:v>
      </x:c>
      <x:c r="E1797">
        <x:f>ROUND($C1797*10*VLOOKUP($B1797,Sheet2!$J$5:$K$7,2,FALSE)*VLOOKUP(Sheet1!$A1797,Sheet2!$B$5:$H$29,4,FALSE),0)</x:f>
        <x:v>672</x:v>
      </x:c>
      <x:c r="F1797">
        <x:f>ROUND($C1797*10*VLOOKUP($B1797,Sheet2!$J$5:$K$7,2,FALSE)*VLOOKUP(Sheet1!$A1797,Sheet2!$B$5:$H$29,5,FALSE),0)</x:f>
        <x:v>0</x:v>
      </x:c>
      <x:c r="G1797">
        <x:f>ROUND($C1797*10*VLOOKUP($B1797,Sheet2!$J$5:$K$7,2,FALSE)*VLOOKUP(Sheet1!$A1797,Sheet2!$B$5:$H$29,6,FALSE),0)</x:f>
        <x:v>0</x:v>
      </x:c>
      <x:c r="H1797">
        <x:f>ROUND($C1797*10*VLOOKUP($B1797,Sheet2!$J$5:$K$7,2,FALSE)*VLOOKUP(Sheet1!$A1797,Sheet2!$B$5:$H$29,7,FALSE),0)</x:f>
        <x:v>1120</x:v>
      </x:c>
      <x:c r="I1797">
        <x:f t="shared" si="29"/>
        <x:v>171100</x:v>
      </x:c>
    </x:row>
    <x:row r="1798" spans="1:11" x14ac:dyDescent="0.15">
      <x:c r="A1798">
        <x:v>54055</x:v>
      </x:c>
      <x:c r="B1798">
        <x:v>3</x:v>
      </x:c>
      <x:c r="C1798">
        <x:v>57</x:v>
      </x:c>
      <x:c r="D1798">
        <x:f>ROUND($C1798*10*VLOOKUP($B1798,Sheet2!$J$5:$K$7,2,FALSE)*VLOOKUP(Sheet1!$A1798,Sheet2!$B$5:$H$29,3,FALSE),0)</x:f>
        <x:v>0</x:v>
      </x:c>
      <x:c r="E1798">
        <x:f>ROUND($C1798*10*VLOOKUP($B1798,Sheet2!$J$5:$K$7,2,FALSE)*VLOOKUP(Sheet1!$A1798,Sheet2!$B$5:$H$29,4,FALSE),0)</x:f>
        <x:v>684</x:v>
      </x:c>
      <x:c r="F1798">
        <x:f>ROUND($C1798*10*VLOOKUP($B1798,Sheet2!$J$5:$K$7,2,FALSE)*VLOOKUP(Sheet1!$A1798,Sheet2!$B$5:$H$29,5,FALSE),0)</x:f>
        <x:v>0</x:v>
      </x:c>
      <x:c r="G1798">
        <x:f>ROUND($C1798*10*VLOOKUP($B1798,Sheet2!$J$5:$K$7,2,FALSE)*VLOOKUP(Sheet1!$A1798,Sheet2!$B$5:$H$29,6,FALSE),0)</x:f>
        <x:v>0</x:v>
      </x:c>
      <x:c r="H1798">
        <x:f>ROUND($C1798*10*VLOOKUP($B1798,Sheet2!$J$5:$K$7,2,FALSE)*VLOOKUP(Sheet1!$A1798,Sheet2!$B$5:$H$29,7,FALSE),0)</x:f>
        <x:v>1140</x:v>
      </x:c>
      <x:c r="I1798">
        <x:f t="shared" si="29"/>
        <x:v>176740</x:v>
      </x:c>
    </x:row>
    <x:row r="1799" spans="1:11" x14ac:dyDescent="0.15">
      <x:c r="A1799">
        <x:v>54055</x:v>
      </x:c>
      <x:c r="B1799">
        <x:v>3</x:v>
      </x:c>
      <x:c r="C1799">
        <x:v>58</x:v>
      </x:c>
      <x:c r="D1799">
        <x:f>ROUND($C1799*10*VLOOKUP($B1799,Sheet2!$J$5:$K$7,2,FALSE)*VLOOKUP(Sheet1!$A1799,Sheet2!$B$5:$H$29,3,FALSE),0)</x:f>
        <x:v>0</x:v>
      </x:c>
      <x:c r="E1799">
        <x:f>ROUND($C1799*10*VLOOKUP($B1799,Sheet2!$J$5:$K$7,2,FALSE)*VLOOKUP(Sheet1!$A1799,Sheet2!$B$5:$H$29,4,FALSE),0)</x:f>
        <x:v>696</x:v>
      </x:c>
      <x:c r="F1799">
        <x:f>ROUND($C1799*10*VLOOKUP($B1799,Sheet2!$J$5:$K$7,2,FALSE)*VLOOKUP(Sheet1!$A1799,Sheet2!$B$5:$H$29,5,FALSE),0)</x:f>
        <x:v>0</x:v>
      </x:c>
      <x:c r="G1799">
        <x:f>ROUND($C1799*10*VLOOKUP($B1799,Sheet2!$J$5:$K$7,2,FALSE)*VLOOKUP(Sheet1!$A1799,Sheet2!$B$5:$H$29,6,FALSE),0)</x:f>
        <x:v>0</x:v>
      </x:c>
      <x:c r="H1799">
        <x:f>ROUND($C1799*10*VLOOKUP($B1799,Sheet2!$J$5:$K$7,2,FALSE)*VLOOKUP(Sheet1!$A1799,Sheet2!$B$5:$H$29,7,FALSE),0)</x:f>
        <x:v>1160</x:v>
      </x:c>
      <x:c r="I1799">
        <x:f t="shared" si="29"/>
        <x:v>182460</x:v>
      </x:c>
    </x:row>
    <x:row r="1800" spans="1:11" x14ac:dyDescent="0.15">
      <x:c r="A1800">
        <x:v>54055</x:v>
      </x:c>
      <x:c r="B1800">
        <x:v>3</x:v>
      </x:c>
      <x:c r="C1800">
        <x:v>59</x:v>
      </x:c>
      <x:c r="D1800">
        <x:f>ROUND($C1800*10*VLOOKUP($B1800,Sheet2!$J$5:$K$7,2,FALSE)*VLOOKUP(Sheet1!$A1800,Sheet2!$B$5:$H$29,3,FALSE),0)</x:f>
        <x:v>0</x:v>
      </x:c>
      <x:c r="E1800">
        <x:f>ROUND($C1800*10*VLOOKUP($B1800,Sheet2!$J$5:$K$7,2,FALSE)*VLOOKUP(Sheet1!$A1800,Sheet2!$B$5:$H$29,4,FALSE),0)</x:f>
        <x:v>708</x:v>
      </x:c>
      <x:c r="F1800">
        <x:f>ROUND($C1800*10*VLOOKUP($B1800,Sheet2!$J$5:$K$7,2,FALSE)*VLOOKUP(Sheet1!$A1800,Sheet2!$B$5:$H$29,5,FALSE),0)</x:f>
        <x:v>0</x:v>
      </x:c>
      <x:c r="G1800">
        <x:f>ROUND($C1800*10*VLOOKUP($B1800,Sheet2!$J$5:$K$7,2,FALSE)*VLOOKUP(Sheet1!$A1800,Sheet2!$B$5:$H$29,6,FALSE),0)</x:f>
        <x:v>0</x:v>
      </x:c>
      <x:c r="H1800">
        <x:f>ROUND($C1800*10*VLOOKUP($B1800,Sheet2!$J$5:$K$7,2,FALSE)*VLOOKUP(Sheet1!$A1800,Sheet2!$B$5:$H$29,7,FALSE),0)</x:f>
        <x:v>1180</x:v>
      </x:c>
      <x:c r="I1800">
        <x:f t="shared" si="29"/>
        <x:v>188260</x:v>
      </x:c>
    </x:row>
    <x:row r="1801" spans="1:11" x14ac:dyDescent="0.15">
      <x:c r="A1801">
        <x:v>54055</x:v>
      </x:c>
      <x:c r="B1801">
        <x:v>3</x:v>
      </x:c>
      <x:c r="C1801">
        <x:v>60</x:v>
      </x:c>
      <x:c r="D1801">
        <x:f>ROUND($C1801*10*VLOOKUP($B1801,Sheet2!$J$5:$K$7,2,FALSE)*VLOOKUP(Sheet1!$A1801,Sheet2!$B$5:$H$29,3,FALSE),0)</x:f>
        <x:v>0</x:v>
      </x:c>
      <x:c r="E1801">
        <x:f>ROUND($C1801*10*VLOOKUP($B1801,Sheet2!$J$5:$K$7,2,FALSE)*VLOOKUP(Sheet1!$A1801,Sheet2!$B$5:$H$29,4,FALSE),0)</x:f>
        <x:v>720</x:v>
      </x:c>
      <x:c r="F1801">
        <x:f>ROUND($C1801*10*VLOOKUP($B1801,Sheet2!$J$5:$K$7,2,FALSE)*VLOOKUP(Sheet1!$A1801,Sheet2!$B$5:$H$29,5,FALSE),0)</x:f>
        <x:v>0</x:v>
      </x:c>
      <x:c r="G1801">
        <x:f>ROUND($C1801*10*VLOOKUP($B1801,Sheet2!$J$5:$K$7,2,FALSE)*VLOOKUP(Sheet1!$A1801,Sheet2!$B$5:$H$29,6,FALSE),0)</x:f>
        <x:v>0</x:v>
      </x:c>
      <x:c r="H1801">
        <x:f>ROUND($C1801*10*VLOOKUP($B1801,Sheet2!$J$5:$K$7,2,FALSE)*VLOOKUP(Sheet1!$A1801,Sheet2!$B$5:$H$29,7,FALSE),0)</x:f>
        <x:v>1200</x:v>
      </x:c>
      <x:c r="I1801">
        <x:f t="shared" si="29"/>
        <x:v>194140</x:v>
      </x:c>
    </x:row>
    <x:row r="1802" spans="1:11" x14ac:dyDescent="0.15">
      <x:c r="A1802">
        <x:v>54101</x:v>
      </x:c>
      <x:c r="B1802">
        <x:v>1</x:v>
      </x:c>
      <x:c r="C1802">
        <x:v>1</x:v>
      </x:c>
      <x:c r="D1802">
        <x:f>ROUND($C1802*10*VLOOKUP($B1802,Sheet2!$J$5:$K$7,2,FALSE)*VLOOKUP(Sheet1!$A1802,Sheet2!$B$5:$H$29,3,FALSE),0)</x:f>
        <x:v>2</x:v>
      </x:c>
      <x:c r="E1802">
        <x:f>ROUND($C1802*10*VLOOKUP($B1802,Sheet2!$J$5:$K$7,2,FALSE)*VLOOKUP(Sheet1!$A1802,Sheet2!$B$5:$H$29,4,FALSE),0)</x:f>
        <x:v>0</x:v>
      </x:c>
      <x:c r="F1802">
        <x:f>ROUND($C1802*10*VLOOKUP($B1802,Sheet2!$J$5:$K$7,2,FALSE)*VLOOKUP(Sheet1!$A1802,Sheet2!$B$5:$H$29,5,FALSE),0)</x:f>
        <x:v>5</x:v>
      </x:c>
      <x:c r="G1802">
        <x:f>ROUND($C1802*10*VLOOKUP($B1802,Sheet2!$J$5:$K$7,2,FALSE)*VLOOKUP(Sheet1!$A1802,Sheet2!$B$5:$H$29,6,FALSE),0)</x:f>
        <x:v>0</x:v>
      </x:c>
      <x:c r="H1802">
        <x:f>ROUND($C1802*10*VLOOKUP($B1802,Sheet2!$J$5:$K$7,2,FALSE)*VLOOKUP(Sheet1!$A1802,Sheet2!$B$5:$H$29,7,FALSE),0)</x:f>
        <x:v>0</x:v>
      </x:c>
      <x:c r="I1802">
        <x:f t="shared" ref="I1802:I1861" si="30">ROUND(1.2*10*1.8*(C1802-1)^1.8+30,-1)</x:f>
        <x:v>30</x:v>
      </x:c>
      <x:c r="K1802" s="2"/>
    </x:row>
    <x:row r="1803" spans="1:11" x14ac:dyDescent="0.15">
      <x:c r="A1803">
        <x:v>54101</x:v>
      </x:c>
      <x:c r="B1803">
        <x:v>1</x:v>
      </x:c>
      <x:c r="C1803">
        <x:v>2</x:v>
      </x:c>
      <x:c r="D1803">
        <x:f>ROUND($C1803*10*VLOOKUP($B1803,Sheet2!$J$5:$K$7,2,FALSE)*VLOOKUP(Sheet1!$A1803,Sheet2!$B$5:$H$29,3,FALSE),0)</x:f>
        <x:v>4</x:v>
      </x:c>
      <x:c r="E1803">
        <x:f>ROUND($C1803*10*VLOOKUP($B1803,Sheet2!$J$5:$K$7,2,FALSE)*VLOOKUP(Sheet1!$A1803,Sheet2!$B$5:$H$29,4,FALSE),0)</x:f>
        <x:v>0</x:v>
      </x:c>
      <x:c r="F1803">
        <x:f>ROUND($C1803*10*VLOOKUP($B1803,Sheet2!$J$5:$K$7,2,FALSE)*VLOOKUP(Sheet1!$A1803,Sheet2!$B$5:$H$29,5,FALSE),0)</x:f>
        <x:v>10</x:v>
      </x:c>
      <x:c r="G1803">
        <x:f>ROUND($C1803*10*VLOOKUP($B1803,Sheet2!$J$5:$K$7,2,FALSE)*VLOOKUP(Sheet1!$A1803,Sheet2!$B$5:$H$29,6,FALSE),0)</x:f>
        <x:v>0</x:v>
      </x:c>
      <x:c r="H1803">
        <x:f>ROUND($C1803*10*VLOOKUP($B1803,Sheet2!$J$5:$K$7,2,FALSE)*VLOOKUP(Sheet1!$A1803,Sheet2!$B$5:$H$29,7,FALSE),0)</x:f>
        <x:v>0</x:v>
      </x:c>
      <x:c r="I1803">
        <x:f t="shared" si="30"/>
        <x:v>50</x:v>
      </x:c>
    </x:row>
    <x:row r="1804" spans="1:11" x14ac:dyDescent="0.15">
      <x:c r="A1804">
        <x:v>54101</x:v>
      </x:c>
      <x:c r="B1804">
        <x:v>1</x:v>
      </x:c>
      <x:c r="C1804">
        <x:v>3</x:v>
      </x:c>
      <x:c r="D1804">
        <x:f>ROUND($C1804*10*VLOOKUP($B1804,Sheet2!$J$5:$K$7,2,FALSE)*VLOOKUP(Sheet1!$A1804,Sheet2!$B$5:$H$29,3,FALSE),0)</x:f>
        <x:v>6</x:v>
      </x:c>
      <x:c r="E1804">
        <x:f>ROUND($C1804*10*VLOOKUP($B1804,Sheet2!$J$5:$K$7,2,FALSE)*VLOOKUP(Sheet1!$A1804,Sheet2!$B$5:$H$29,4,FALSE),0)</x:f>
        <x:v>0</x:v>
      </x:c>
      <x:c r="F1804">
        <x:f>ROUND($C1804*10*VLOOKUP($B1804,Sheet2!$J$5:$K$7,2,FALSE)*VLOOKUP(Sheet1!$A1804,Sheet2!$B$5:$H$29,5,FALSE),0)</x:f>
        <x:v>14</x:v>
      </x:c>
      <x:c r="G1804">
        <x:f>ROUND($C1804*10*VLOOKUP($B1804,Sheet2!$J$5:$K$7,2,FALSE)*VLOOKUP(Sheet1!$A1804,Sheet2!$B$5:$H$29,6,FALSE),0)</x:f>
        <x:v>0</x:v>
      </x:c>
      <x:c r="H1804">
        <x:f>ROUND($C1804*10*VLOOKUP($B1804,Sheet2!$J$5:$K$7,2,FALSE)*VLOOKUP(Sheet1!$A1804,Sheet2!$B$5:$H$29,7,FALSE),0)</x:f>
        <x:v>0</x:v>
      </x:c>
      <x:c r="I1804">
        <x:f t="shared" si="30"/>
        <x:v>110</x:v>
      </x:c>
    </x:row>
    <x:row r="1805" spans="1:11" x14ac:dyDescent="0.15">
      <x:c r="A1805">
        <x:v>54101</x:v>
      </x:c>
      <x:c r="B1805">
        <x:v>1</x:v>
      </x:c>
      <x:c r="C1805">
        <x:v>4</x:v>
      </x:c>
      <x:c r="D1805">
        <x:f>ROUND($C1805*10*VLOOKUP($B1805,Sheet2!$J$5:$K$7,2,FALSE)*VLOOKUP(Sheet1!$A1805,Sheet2!$B$5:$H$29,3,FALSE),0)</x:f>
        <x:v>8</x:v>
      </x:c>
      <x:c r="E1805">
        <x:f>ROUND($C1805*10*VLOOKUP($B1805,Sheet2!$J$5:$K$7,2,FALSE)*VLOOKUP(Sheet1!$A1805,Sheet2!$B$5:$H$29,4,FALSE),0)</x:f>
        <x:v>0</x:v>
      </x:c>
      <x:c r="F1805">
        <x:f>ROUND($C1805*10*VLOOKUP($B1805,Sheet2!$J$5:$K$7,2,FALSE)*VLOOKUP(Sheet1!$A1805,Sheet2!$B$5:$H$29,5,FALSE),0)</x:f>
        <x:v>19</x:v>
      </x:c>
      <x:c r="G1805">
        <x:f>ROUND($C1805*10*VLOOKUP($B1805,Sheet2!$J$5:$K$7,2,FALSE)*VLOOKUP(Sheet1!$A1805,Sheet2!$B$5:$H$29,6,FALSE),0)</x:f>
        <x:v>0</x:v>
      </x:c>
      <x:c r="H1805">
        <x:f>ROUND($C1805*10*VLOOKUP($B1805,Sheet2!$J$5:$K$7,2,FALSE)*VLOOKUP(Sheet1!$A1805,Sheet2!$B$5:$H$29,7,FALSE),0)</x:f>
        <x:v>0</x:v>
      </x:c>
      <x:c r="I1805">
        <x:f t="shared" si="30"/>
        <x:v>190</x:v>
      </x:c>
    </x:row>
    <x:row r="1806" spans="1:11" x14ac:dyDescent="0.15">
      <x:c r="A1806">
        <x:v>54101</x:v>
      </x:c>
      <x:c r="B1806">
        <x:v>1</x:v>
      </x:c>
      <x:c r="C1806">
        <x:v>5</x:v>
      </x:c>
      <x:c r="D1806">
        <x:f>ROUND($C1806*10*VLOOKUP($B1806,Sheet2!$J$5:$K$7,2,FALSE)*VLOOKUP(Sheet1!$A1806,Sheet2!$B$5:$H$29,3,FALSE),0)</x:f>
        <x:v>10</x:v>
      </x:c>
      <x:c r="E1806">
        <x:f>ROUND($C1806*10*VLOOKUP($B1806,Sheet2!$J$5:$K$7,2,FALSE)*VLOOKUP(Sheet1!$A1806,Sheet2!$B$5:$H$29,4,FALSE),0)</x:f>
        <x:v>0</x:v>
      </x:c>
      <x:c r="F1806">
        <x:f>ROUND($C1806*10*VLOOKUP($B1806,Sheet2!$J$5:$K$7,2,FALSE)*VLOOKUP(Sheet1!$A1806,Sheet2!$B$5:$H$29,5,FALSE),0)</x:f>
        <x:v>24</x:v>
      </x:c>
      <x:c r="G1806">
        <x:f>ROUND($C1806*10*VLOOKUP($B1806,Sheet2!$J$5:$K$7,2,FALSE)*VLOOKUP(Sheet1!$A1806,Sheet2!$B$5:$H$29,6,FALSE),0)</x:f>
        <x:v>0</x:v>
      </x:c>
      <x:c r="H1806">
        <x:f>ROUND($C1806*10*VLOOKUP($B1806,Sheet2!$J$5:$K$7,2,FALSE)*VLOOKUP(Sheet1!$A1806,Sheet2!$B$5:$H$29,7,FALSE),0)</x:f>
        <x:v>0</x:v>
      </x:c>
      <x:c r="I1806">
        <x:f t="shared" si="30"/>
        <x:v>290</x:v>
      </x:c>
    </x:row>
    <x:row r="1807" spans="1:11" x14ac:dyDescent="0.15">
      <x:c r="A1807">
        <x:v>54101</x:v>
      </x:c>
      <x:c r="B1807">
        <x:v>1</x:v>
      </x:c>
      <x:c r="C1807">
        <x:v>6</x:v>
      </x:c>
      <x:c r="D1807">
        <x:f>ROUND($C1807*10*VLOOKUP($B1807,Sheet2!$J$5:$K$7,2,FALSE)*VLOOKUP(Sheet1!$A1807,Sheet2!$B$5:$H$29,3,FALSE),0)</x:f>
        <x:v>12</x:v>
      </x:c>
      <x:c r="E1807">
        <x:f>ROUND($C1807*10*VLOOKUP($B1807,Sheet2!$J$5:$K$7,2,FALSE)*VLOOKUP(Sheet1!$A1807,Sheet2!$B$5:$H$29,4,FALSE),0)</x:f>
        <x:v>0</x:v>
      </x:c>
      <x:c r="F1807">
        <x:f>ROUND($C1807*10*VLOOKUP($B1807,Sheet2!$J$5:$K$7,2,FALSE)*VLOOKUP(Sheet1!$A1807,Sheet2!$B$5:$H$29,5,FALSE),0)</x:f>
        <x:v>29</x:v>
      </x:c>
      <x:c r="G1807">
        <x:f>ROUND($C1807*10*VLOOKUP($B1807,Sheet2!$J$5:$K$7,2,FALSE)*VLOOKUP(Sheet1!$A1807,Sheet2!$B$5:$H$29,6,FALSE),0)</x:f>
        <x:v>0</x:v>
      </x:c>
      <x:c r="H1807">
        <x:f>ROUND($C1807*10*VLOOKUP($B1807,Sheet2!$J$5:$K$7,2,FALSE)*VLOOKUP(Sheet1!$A1807,Sheet2!$B$5:$H$29,7,FALSE),0)</x:f>
        <x:v>0</x:v>
      </x:c>
      <x:c r="I1807">
        <x:f t="shared" si="30"/>
        <x:v>420</x:v>
      </x:c>
    </x:row>
    <x:row r="1808" spans="1:11" x14ac:dyDescent="0.15">
      <x:c r="A1808">
        <x:v>54101</x:v>
      </x:c>
      <x:c r="B1808">
        <x:v>1</x:v>
      </x:c>
      <x:c r="C1808">
        <x:v>7</x:v>
      </x:c>
      <x:c r="D1808">
        <x:f>ROUND($C1808*10*VLOOKUP($B1808,Sheet2!$J$5:$K$7,2,FALSE)*VLOOKUP(Sheet1!$A1808,Sheet2!$B$5:$H$29,3,FALSE),0)</x:f>
        <x:v>14</x:v>
      </x:c>
      <x:c r="E1808">
        <x:f>ROUND($C1808*10*VLOOKUP($B1808,Sheet2!$J$5:$K$7,2,FALSE)*VLOOKUP(Sheet1!$A1808,Sheet2!$B$5:$H$29,4,FALSE),0)</x:f>
        <x:v>0</x:v>
      </x:c>
      <x:c r="F1808">
        <x:f>ROUND($C1808*10*VLOOKUP($B1808,Sheet2!$J$5:$K$7,2,FALSE)*VLOOKUP(Sheet1!$A1808,Sheet2!$B$5:$H$29,5,FALSE),0)</x:f>
        <x:v>34</x:v>
      </x:c>
      <x:c r="G1808">
        <x:f>ROUND($C1808*10*VLOOKUP($B1808,Sheet2!$J$5:$K$7,2,FALSE)*VLOOKUP(Sheet1!$A1808,Sheet2!$B$5:$H$29,6,FALSE),0)</x:f>
        <x:v>0</x:v>
      </x:c>
      <x:c r="H1808">
        <x:f>ROUND($C1808*10*VLOOKUP($B1808,Sheet2!$J$5:$K$7,2,FALSE)*VLOOKUP(Sheet1!$A1808,Sheet2!$B$5:$H$29,7,FALSE),0)</x:f>
        <x:v>0</x:v>
      </x:c>
      <x:c r="I1808">
        <x:f t="shared" si="30"/>
        <x:v>570</x:v>
      </x:c>
    </x:row>
    <x:row r="1809" spans="1:9" x14ac:dyDescent="0.15">
      <x:c r="A1809">
        <x:v>54101</x:v>
      </x:c>
      <x:c r="B1809">
        <x:v>1</x:v>
      </x:c>
      <x:c r="C1809">
        <x:v>8</x:v>
      </x:c>
      <x:c r="D1809">
        <x:f>ROUND($C1809*10*VLOOKUP($B1809,Sheet2!$J$5:$K$7,2,FALSE)*VLOOKUP(Sheet1!$A1809,Sheet2!$B$5:$H$29,3,FALSE),0)</x:f>
        <x:v>16</x:v>
      </x:c>
      <x:c r="E1809">
        <x:f>ROUND($C1809*10*VLOOKUP($B1809,Sheet2!$J$5:$K$7,2,FALSE)*VLOOKUP(Sheet1!$A1809,Sheet2!$B$5:$H$29,4,FALSE),0)</x:f>
        <x:v>0</x:v>
      </x:c>
      <x:c r="F1809">
        <x:f>ROUND($C1809*10*VLOOKUP($B1809,Sheet2!$J$5:$K$7,2,FALSE)*VLOOKUP(Sheet1!$A1809,Sheet2!$B$5:$H$29,5,FALSE),0)</x:f>
        <x:v>38</x:v>
      </x:c>
      <x:c r="G1809">
        <x:f>ROUND($C1809*10*VLOOKUP($B1809,Sheet2!$J$5:$K$7,2,FALSE)*VLOOKUP(Sheet1!$A1809,Sheet2!$B$5:$H$29,6,FALSE),0)</x:f>
        <x:v>0</x:v>
      </x:c>
      <x:c r="H1809">
        <x:f>ROUND($C1809*10*VLOOKUP($B1809,Sheet2!$J$5:$K$7,2,FALSE)*VLOOKUP(Sheet1!$A1809,Sheet2!$B$5:$H$29,7,FALSE),0)</x:f>
        <x:v>0</x:v>
      </x:c>
      <x:c r="I1809">
        <x:f t="shared" si="30"/>
        <x:v>750</x:v>
      </x:c>
    </x:row>
    <x:row r="1810" spans="1:9" x14ac:dyDescent="0.15">
      <x:c r="A1810">
        <x:v>54101</x:v>
      </x:c>
      <x:c r="B1810">
        <x:v>1</x:v>
      </x:c>
      <x:c r="C1810">
        <x:v>9</x:v>
      </x:c>
      <x:c r="D1810">
        <x:f>ROUND($C1810*10*VLOOKUP($B1810,Sheet2!$J$5:$K$7,2,FALSE)*VLOOKUP(Sheet1!$A1810,Sheet2!$B$5:$H$29,3,FALSE),0)</x:f>
        <x:v>18</x:v>
      </x:c>
      <x:c r="E1810">
        <x:f>ROUND($C1810*10*VLOOKUP($B1810,Sheet2!$J$5:$K$7,2,FALSE)*VLOOKUP(Sheet1!$A1810,Sheet2!$B$5:$H$29,4,FALSE),0)</x:f>
        <x:v>0</x:v>
      </x:c>
      <x:c r="F1810">
        <x:f>ROUND($C1810*10*VLOOKUP($B1810,Sheet2!$J$5:$K$7,2,FALSE)*VLOOKUP(Sheet1!$A1810,Sheet2!$B$5:$H$29,5,FALSE),0)</x:f>
        <x:v>43</x:v>
      </x:c>
      <x:c r="G1810">
        <x:f>ROUND($C1810*10*VLOOKUP($B1810,Sheet2!$J$5:$K$7,2,FALSE)*VLOOKUP(Sheet1!$A1810,Sheet2!$B$5:$H$29,6,FALSE),0)</x:f>
        <x:v>0</x:v>
      </x:c>
      <x:c r="H1810">
        <x:f>ROUND($C1810*10*VLOOKUP($B1810,Sheet2!$J$5:$K$7,2,FALSE)*VLOOKUP(Sheet1!$A1810,Sheet2!$B$5:$H$29,7,FALSE),0)</x:f>
        <x:v>0</x:v>
      </x:c>
      <x:c r="I1810">
        <x:f t="shared" si="30"/>
        <x:v>940</x:v>
      </x:c>
    </x:row>
    <x:row r="1811" spans="1:9" x14ac:dyDescent="0.15">
      <x:c r="A1811">
        <x:v>54101</x:v>
      </x:c>
      <x:c r="B1811">
        <x:v>1</x:v>
      </x:c>
      <x:c r="C1811">
        <x:v>10</x:v>
      </x:c>
      <x:c r="D1811">
        <x:f>ROUND($C1811*10*VLOOKUP($B1811,Sheet2!$J$5:$K$7,2,FALSE)*VLOOKUP(Sheet1!$A1811,Sheet2!$B$5:$H$29,3,FALSE),0)</x:f>
        <x:v>20</x:v>
      </x:c>
      <x:c r="E1811">
        <x:f>ROUND($C1811*10*VLOOKUP($B1811,Sheet2!$J$5:$K$7,2,FALSE)*VLOOKUP(Sheet1!$A1811,Sheet2!$B$5:$H$29,4,FALSE),0)</x:f>
        <x:v>0</x:v>
      </x:c>
      <x:c r="F1811">
        <x:f>ROUND($C1811*10*VLOOKUP($B1811,Sheet2!$J$5:$K$7,2,FALSE)*VLOOKUP(Sheet1!$A1811,Sheet2!$B$5:$H$29,5,FALSE),0)</x:f>
        <x:v>48</x:v>
      </x:c>
      <x:c r="G1811">
        <x:f>ROUND($C1811*10*VLOOKUP($B1811,Sheet2!$J$5:$K$7,2,FALSE)*VLOOKUP(Sheet1!$A1811,Sheet2!$B$5:$H$29,6,FALSE),0)</x:f>
        <x:v>0</x:v>
      </x:c>
      <x:c r="H1811">
        <x:f>ROUND($C1811*10*VLOOKUP($B1811,Sheet2!$J$5:$K$7,2,FALSE)*VLOOKUP(Sheet1!$A1811,Sheet2!$B$5:$H$29,7,FALSE),0)</x:f>
        <x:v>0</x:v>
      </x:c>
      <x:c r="I1811">
        <x:f t="shared" si="30"/>
        <x:v>1160</x:v>
      </x:c>
    </x:row>
    <x:row r="1812" spans="1:9" x14ac:dyDescent="0.15">
      <x:c r="A1812">
        <x:v>54101</x:v>
      </x:c>
      <x:c r="B1812">
        <x:v>1</x:v>
      </x:c>
      <x:c r="C1812">
        <x:v>11</x:v>
      </x:c>
      <x:c r="D1812">
        <x:f>ROUND($C1812*10*VLOOKUP($B1812,Sheet2!$J$5:$K$7,2,FALSE)*VLOOKUP(Sheet1!$A1812,Sheet2!$B$5:$H$29,3,FALSE),0)</x:f>
        <x:v>22</x:v>
      </x:c>
      <x:c r="E1812">
        <x:f>ROUND($C1812*10*VLOOKUP($B1812,Sheet2!$J$5:$K$7,2,FALSE)*VLOOKUP(Sheet1!$A1812,Sheet2!$B$5:$H$29,4,FALSE),0)</x:f>
        <x:v>0</x:v>
      </x:c>
      <x:c r="F1812">
        <x:f>ROUND($C1812*10*VLOOKUP($B1812,Sheet2!$J$5:$K$7,2,FALSE)*VLOOKUP(Sheet1!$A1812,Sheet2!$B$5:$H$29,5,FALSE),0)</x:f>
        <x:v>53</x:v>
      </x:c>
      <x:c r="G1812">
        <x:f>ROUND($C1812*10*VLOOKUP($B1812,Sheet2!$J$5:$K$7,2,FALSE)*VLOOKUP(Sheet1!$A1812,Sheet2!$B$5:$H$29,6,FALSE),0)</x:f>
        <x:v>0</x:v>
      </x:c>
      <x:c r="H1812">
        <x:f>ROUND($C1812*10*VLOOKUP($B1812,Sheet2!$J$5:$K$7,2,FALSE)*VLOOKUP(Sheet1!$A1812,Sheet2!$B$5:$H$29,7,FALSE),0)</x:f>
        <x:v>0</x:v>
      </x:c>
      <x:c r="I1812">
        <x:f t="shared" si="30"/>
        <x:v>1390</x:v>
      </x:c>
    </x:row>
    <x:row r="1813" spans="1:9" x14ac:dyDescent="0.15">
      <x:c r="A1813">
        <x:v>54101</x:v>
      </x:c>
      <x:c r="B1813">
        <x:v>1</x:v>
      </x:c>
      <x:c r="C1813">
        <x:v>12</x:v>
      </x:c>
      <x:c r="D1813">
        <x:f>ROUND($C1813*10*VLOOKUP($B1813,Sheet2!$J$5:$K$7,2,FALSE)*VLOOKUP(Sheet1!$A1813,Sheet2!$B$5:$H$29,3,FALSE),0)</x:f>
        <x:v>24</x:v>
      </x:c>
      <x:c r="E1813">
        <x:f>ROUND($C1813*10*VLOOKUP($B1813,Sheet2!$J$5:$K$7,2,FALSE)*VLOOKUP(Sheet1!$A1813,Sheet2!$B$5:$H$29,4,FALSE),0)</x:f>
        <x:v>0</x:v>
      </x:c>
      <x:c r="F1813">
        <x:f>ROUND($C1813*10*VLOOKUP($B1813,Sheet2!$J$5:$K$7,2,FALSE)*VLOOKUP(Sheet1!$A1813,Sheet2!$B$5:$H$29,5,FALSE),0)</x:f>
        <x:v>58</x:v>
      </x:c>
      <x:c r="G1813">
        <x:f>ROUND($C1813*10*VLOOKUP($B1813,Sheet2!$J$5:$K$7,2,FALSE)*VLOOKUP(Sheet1!$A1813,Sheet2!$B$5:$H$29,6,FALSE),0)</x:f>
        <x:v>0</x:v>
      </x:c>
      <x:c r="H1813">
        <x:f>ROUND($C1813*10*VLOOKUP($B1813,Sheet2!$J$5:$K$7,2,FALSE)*VLOOKUP(Sheet1!$A1813,Sheet2!$B$5:$H$29,7,FALSE),0)</x:f>
        <x:v>0</x:v>
      </x:c>
      <x:c r="I1813">
        <x:f t="shared" si="30"/>
        <x:v>1650</x:v>
      </x:c>
    </x:row>
    <x:row r="1814" spans="1:9" x14ac:dyDescent="0.15">
      <x:c r="A1814">
        <x:v>54101</x:v>
      </x:c>
      <x:c r="B1814">
        <x:v>1</x:v>
      </x:c>
      <x:c r="C1814">
        <x:v>13</x:v>
      </x:c>
      <x:c r="D1814">
        <x:f>ROUND($C1814*10*VLOOKUP($B1814,Sheet2!$J$5:$K$7,2,FALSE)*VLOOKUP(Sheet1!$A1814,Sheet2!$B$5:$H$29,3,FALSE),0)</x:f>
        <x:v>26</x:v>
      </x:c>
      <x:c r="E1814">
        <x:f>ROUND($C1814*10*VLOOKUP($B1814,Sheet2!$J$5:$K$7,2,FALSE)*VLOOKUP(Sheet1!$A1814,Sheet2!$B$5:$H$29,4,FALSE),0)</x:f>
        <x:v>0</x:v>
      </x:c>
      <x:c r="F1814">
        <x:f>ROUND($C1814*10*VLOOKUP($B1814,Sheet2!$J$5:$K$7,2,FALSE)*VLOOKUP(Sheet1!$A1814,Sheet2!$B$5:$H$29,5,FALSE),0)</x:f>
        <x:v>62</x:v>
      </x:c>
      <x:c r="G1814">
        <x:f>ROUND($C1814*10*VLOOKUP($B1814,Sheet2!$J$5:$K$7,2,FALSE)*VLOOKUP(Sheet1!$A1814,Sheet2!$B$5:$H$29,6,FALSE),0)</x:f>
        <x:v>0</x:v>
      </x:c>
      <x:c r="H1814">
        <x:f>ROUND($C1814*10*VLOOKUP($B1814,Sheet2!$J$5:$K$7,2,FALSE)*VLOOKUP(Sheet1!$A1814,Sheet2!$B$5:$H$29,7,FALSE),0)</x:f>
        <x:v>0</x:v>
      </x:c>
      <x:c r="I1814">
        <x:f t="shared" si="30"/>
        <x:v>1920</x:v>
      </x:c>
    </x:row>
    <x:row r="1815" spans="1:9" x14ac:dyDescent="0.15">
      <x:c r="A1815">
        <x:v>54101</x:v>
      </x:c>
      <x:c r="B1815">
        <x:v>1</x:v>
      </x:c>
      <x:c r="C1815">
        <x:v>14</x:v>
      </x:c>
      <x:c r="D1815">
        <x:f>ROUND($C1815*10*VLOOKUP($B1815,Sheet2!$J$5:$K$7,2,FALSE)*VLOOKUP(Sheet1!$A1815,Sheet2!$B$5:$H$29,3,FALSE),0)</x:f>
        <x:v>28</x:v>
      </x:c>
      <x:c r="E1815">
        <x:f>ROUND($C1815*10*VLOOKUP($B1815,Sheet2!$J$5:$K$7,2,FALSE)*VLOOKUP(Sheet1!$A1815,Sheet2!$B$5:$H$29,4,FALSE),0)</x:f>
        <x:v>0</x:v>
      </x:c>
      <x:c r="F1815">
        <x:f>ROUND($C1815*10*VLOOKUP($B1815,Sheet2!$J$5:$K$7,2,FALSE)*VLOOKUP(Sheet1!$A1815,Sheet2!$B$5:$H$29,5,FALSE),0)</x:f>
        <x:v>67</x:v>
      </x:c>
      <x:c r="G1815">
        <x:f>ROUND($C1815*10*VLOOKUP($B1815,Sheet2!$J$5:$K$7,2,FALSE)*VLOOKUP(Sheet1!$A1815,Sheet2!$B$5:$H$29,6,FALSE),0)</x:f>
        <x:v>0</x:v>
      </x:c>
      <x:c r="H1815">
        <x:f>ROUND($C1815*10*VLOOKUP($B1815,Sheet2!$J$5:$K$7,2,FALSE)*VLOOKUP(Sheet1!$A1815,Sheet2!$B$5:$H$29,7,FALSE),0)</x:f>
        <x:v>0</x:v>
      </x:c>
      <x:c r="I1815">
        <x:f t="shared" si="30"/>
        <x:v>2220</x:v>
      </x:c>
    </x:row>
    <x:row r="1816" spans="1:9" x14ac:dyDescent="0.15">
      <x:c r="A1816">
        <x:v>54101</x:v>
      </x:c>
      <x:c r="B1816">
        <x:v>1</x:v>
      </x:c>
      <x:c r="C1816">
        <x:v>15</x:v>
      </x:c>
      <x:c r="D1816">
        <x:f>ROUND($C1816*10*VLOOKUP($B1816,Sheet2!$J$5:$K$7,2,FALSE)*VLOOKUP(Sheet1!$A1816,Sheet2!$B$5:$H$29,3,FALSE),0)</x:f>
        <x:v>30</x:v>
      </x:c>
      <x:c r="E1816">
        <x:f>ROUND($C1816*10*VLOOKUP($B1816,Sheet2!$J$5:$K$7,2,FALSE)*VLOOKUP(Sheet1!$A1816,Sheet2!$B$5:$H$29,4,FALSE),0)</x:f>
        <x:v>0</x:v>
      </x:c>
      <x:c r="F1816">
        <x:f>ROUND($C1816*10*VLOOKUP($B1816,Sheet2!$J$5:$K$7,2,FALSE)*VLOOKUP(Sheet1!$A1816,Sheet2!$B$5:$H$29,5,FALSE),0)</x:f>
        <x:v>72</x:v>
      </x:c>
      <x:c r="G1816">
        <x:f>ROUND($C1816*10*VLOOKUP($B1816,Sheet2!$J$5:$K$7,2,FALSE)*VLOOKUP(Sheet1!$A1816,Sheet2!$B$5:$H$29,6,FALSE),0)</x:f>
        <x:v>0</x:v>
      </x:c>
      <x:c r="H1816">
        <x:f>ROUND($C1816*10*VLOOKUP($B1816,Sheet2!$J$5:$K$7,2,FALSE)*VLOOKUP(Sheet1!$A1816,Sheet2!$B$5:$H$29,7,FALSE),0)</x:f>
        <x:v>0</x:v>
      </x:c>
      <x:c r="I1816">
        <x:f t="shared" si="30"/>
        <x:v>2530</x:v>
      </x:c>
    </x:row>
    <x:row r="1817" spans="1:9" x14ac:dyDescent="0.15">
      <x:c r="A1817">
        <x:v>54101</x:v>
      </x:c>
      <x:c r="B1817">
        <x:v>1</x:v>
      </x:c>
      <x:c r="C1817">
        <x:v>16</x:v>
      </x:c>
      <x:c r="D1817">
        <x:f>ROUND($C1817*10*VLOOKUP($B1817,Sheet2!$J$5:$K$7,2,FALSE)*VLOOKUP(Sheet1!$A1817,Sheet2!$B$5:$H$29,3,FALSE),0)</x:f>
        <x:v>32</x:v>
      </x:c>
      <x:c r="E1817">
        <x:f>ROUND($C1817*10*VLOOKUP($B1817,Sheet2!$J$5:$K$7,2,FALSE)*VLOOKUP(Sheet1!$A1817,Sheet2!$B$5:$H$29,4,FALSE),0)</x:f>
        <x:v>0</x:v>
      </x:c>
      <x:c r="F1817">
        <x:f>ROUND($C1817*10*VLOOKUP($B1817,Sheet2!$J$5:$K$7,2,FALSE)*VLOOKUP(Sheet1!$A1817,Sheet2!$B$5:$H$29,5,FALSE),0)</x:f>
        <x:v>77</x:v>
      </x:c>
      <x:c r="G1817">
        <x:f>ROUND($C1817*10*VLOOKUP($B1817,Sheet2!$J$5:$K$7,2,FALSE)*VLOOKUP(Sheet1!$A1817,Sheet2!$B$5:$H$29,6,FALSE),0)</x:f>
        <x:v>0</x:v>
      </x:c>
      <x:c r="H1817">
        <x:f>ROUND($C1817*10*VLOOKUP($B1817,Sheet2!$J$5:$K$7,2,FALSE)*VLOOKUP(Sheet1!$A1817,Sheet2!$B$5:$H$29,7,FALSE),0)</x:f>
        <x:v>0</x:v>
      </x:c>
      <x:c r="I1817">
        <x:f t="shared" si="30"/>
        <x:v>2860</x:v>
      </x:c>
    </x:row>
    <x:row r="1818" spans="1:9" x14ac:dyDescent="0.15">
      <x:c r="A1818">
        <x:v>54101</x:v>
      </x:c>
      <x:c r="B1818">
        <x:v>1</x:v>
      </x:c>
      <x:c r="C1818">
        <x:v>17</x:v>
      </x:c>
      <x:c r="D1818">
        <x:f>ROUND($C1818*10*VLOOKUP($B1818,Sheet2!$J$5:$K$7,2,FALSE)*VLOOKUP(Sheet1!$A1818,Sheet2!$B$5:$H$29,3,FALSE),0)</x:f>
        <x:v>34</x:v>
      </x:c>
      <x:c r="E1818">
        <x:f>ROUND($C1818*10*VLOOKUP($B1818,Sheet2!$J$5:$K$7,2,FALSE)*VLOOKUP(Sheet1!$A1818,Sheet2!$B$5:$H$29,4,FALSE),0)</x:f>
        <x:v>0</x:v>
      </x:c>
      <x:c r="F1818">
        <x:f>ROUND($C1818*10*VLOOKUP($B1818,Sheet2!$J$5:$K$7,2,FALSE)*VLOOKUP(Sheet1!$A1818,Sheet2!$B$5:$H$29,5,FALSE),0)</x:f>
        <x:v>82</x:v>
      </x:c>
      <x:c r="G1818">
        <x:f>ROUND($C1818*10*VLOOKUP($B1818,Sheet2!$J$5:$K$7,2,FALSE)*VLOOKUP(Sheet1!$A1818,Sheet2!$B$5:$H$29,6,FALSE),0)</x:f>
        <x:v>0</x:v>
      </x:c>
      <x:c r="H1818">
        <x:f>ROUND($C1818*10*VLOOKUP($B1818,Sheet2!$J$5:$K$7,2,FALSE)*VLOOKUP(Sheet1!$A1818,Sheet2!$B$5:$H$29,7,FALSE),0)</x:f>
        <x:v>0</x:v>
      </x:c>
      <x:c r="I1818">
        <x:f t="shared" si="30"/>
        <x:v>3210</x:v>
      </x:c>
    </x:row>
    <x:row r="1819" spans="1:9" x14ac:dyDescent="0.15">
      <x:c r="A1819">
        <x:v>54101</x:v>
      </x:c>
      <x:c r="B1819">
        <x:v>1</x:v>
      </x:c>
      <x:c r="C1819">
        <x:v>18</x:v>
      </x:c>
      <x:c r="D1819">
        <x:f>ROUND($C1819*10*VLOOKUP($B1819,Sheet2!$J$5:$K$7,2,FALSE)*VLOOKUP(Sheet1!$A1819,Sheet2!$B$5:$H$29,3,FALSE),0)</x:f>
        <x:v>36</x:v>
      </x:c>
      <x:c r="E1819">
        <x:f>ROUND($C1819*10*VLOOKUP($B1819,Sheet2!$J$5:$K$7,2,FALSE)*VLOOKUP(Sheet1!$A1819,Sheet2!$B$5:$H$29,4,FALSE),0)</x:f>
        <x:v>0</x:v>
      </x:c>
      <x:c r="F1819">
        <x:f>ROUND($C1819*10*VLOOKUP($B1819,Sheet2!$J$5:$K$7,2,FALSE)*VLOOKUP(Sheet1!$A1819,Sheet2!$B$5:$H$29,5,FALSE),0)</x:f>
        <x:v>86</x:v>
      </x:c>
      <x:c r="G1819">
        <x:f>ROUND($C1819*10*VLOOKUP($B1819,Sheet2!$J$5:$K$7,2,FALSE)*VLOOKUP(Sheet1!$A1819,Sheet2!$B$5:$H$29,6,FALSE),0)</x:f>
        <x:v>0</x:v>
      </x:c>
      <x:c r="H1819">
        <x:f>ROUND($C1819*10*VLOOKUP($B1819,Sheet2!$J$5:$K$7,2,FALSE)*VLOOKUP(Sheet1!$A1819,Sheet2!$B$5:$H$29,7,FALSE),0)</x:f>
        <x:v>0</x:v>
      </x:c>
      <x:c r="I1819">
        <x:f t="shared" si="30"/>
        <x:v>3570</x:v>
      </x:c>
    </x:row>
    <x:row r="1820" spans="1:9" x14ac:dyDescent="0.15">
      <x:c r="A1820">
        <x:v>54101</x:v>
      </x:c>
      <x:c r="B1820">
        <x:v>1</x:v>
      </x:c>
      <x:c r="C1820">
        <x:v>19</x:v>
      </x:c>
      <x:c r="D1820">
        <x:f>ROUND($C1820*10*VLOOKUP($B1820,Sheet2!$J$5:$K$7,2,FALSE)*VLOOKUP(Sheet1!$A1820,Sheet2!$B$5:$H$29,3,FALSE),0)</x:f>
        <x:v>38</x:v>
      </x:c>
      <x:c r="E1820">
        <x:f>ROUND($C1820*10*VLOOKUP($B1820,Sheet2!$J$5:$K$7,2,FALSE)*VLOOKUP(Sheet1!$A1820,Sheet2!$B$5:$H$29,4,FALSE),0)</x:f>
        <x:v>0</x:v>
      </x:c>
      <x:c r="F1820">
        <x:f>ROUND($C1820*10*VLOOKUP($B1820,Sheet2!$J$5:$K$7,2,FALSE)*VLOOKUP(Sheet1!$A1820,Sheet2!$B$5:$H$29,5,FALSE),0)</x:f>
        <x:v>91</x:v>
      </x:c>
      <x:c r="G1820">
        <x:f>ROUND($C1820*10*VLOOKUP($B1820,Sheet2!$J$5:$K$7,2,FALSE)*VLOOKUP(Sheet1!$A1820,Sheet2!$B$5:$H$29,6,FALSE),0)</x:f>
        <x:v>0</x:v>
      </x:c>
      <x:c r="H1820">
        <x:f>ROUND($C1820*10*VLOOKUP($B1820,Sheet2!$J$5:$K$7,2,FALSE)*VLOOKUP(Sheet1!$A1820,Sheet2!$B$5:$H$29,7,FALSE),0)</x:f>
        <x:v>0</x:v>
      </x:c>
      <x:c r="I1820">
        <x:f t="shared" si="30"/>
        <x:v>3960</x:v>
      </x:c>
    </x:row>
    <x:row r="1821" spans="1:9" x14ac:dyDescent="0.15">
      <x:c r="A1821">
        <x:v>54101</x:v>
      </x:c>
      <x:c r="B1821">
        <x:v>1</x:v>
      </x:c>
      <x:c r="C1821">
        <x:v>20</x:v>
      </x:c>
      <x:c r="D1821">
        <x:f>ROUND($C1821*10*VLOOKUP($B1821,Sheet2!$J$5:$K$7,2,FALSE)*VLOOKUP(Sheet1!$A1821,Sheet2!$B$5:$H$29,3,FALSE),0)</x:f>
        <x:v>40</x:v>
      </x:c>
      <x:c r="E1821">
        <x:f>ROUND($C1821*10*VLOOKUP($B1821,Sheet2!$J$5:$K$7,2,FALSE)*VLOOKUP(Sheet1!$A1821,Sheet2!$B$5:$H$29,4,FALSE),0)</x:f>
        <x:v>0</x:v>
      </x:c>
      <x:c r="F1821">
        <x:f>ROUND($C1821*10*VLOOKUP($B1821,Sheet2!$J$5:$K$7,2,FALSE)*VLOOKUP(Sheet1!$A1821,Sheet2!$B$5:$H$29,5,FALSE),0)</x:f>
        <x:v>96</x:v>
      </x:c>
      <x:c r="G1821">
        <x:f>ROUND($C1821*10*VLOOKUP($B1821,Sheet2!$J$5:$K$7,2,FALSE)*VLOOKUP(Sheet1!$A1821,Sheet2!$B$5:$H$29,6,FALSE),0)</x:f>
        <x:v>0</x:v>
      </x:c>
      <x:c r="H1821">
        <x:f>ROUND($C1821*10*VLOOKUP($B1821,Sheet2!$J$5:$K$7,2,FALSE)*VLOOKUP(Sheet1!$A1821,Sheet2!$B$5:$H$29,7,FALSE),0)</x:f>
        <x:v>0</x:v>
      </x:c>
      <x:c r="I1821">
        <x:f t="shared" si="30"/>
        <x:v>4360</x:v>
      </x:c>
    </x:row>
    <x:row r="1822" spans="1:9" x14ac:dyDescent="0.15">
      <x:c r="A1822">
        <x:v>54101</x:v>
      </x:c>
      <x:c r="B1822">
        <x:v>1</x:v>
      </x:c>
      <x:c r="C1822">
        <x:v>21</x:v>
      </x:c>
      <x:c r="D1822">
        <x:f>ROUND($C1822*10*VLOOKUP($B1822,Sheet2!$J$5:$K$7,2,FALSE)*VLOOKUP(Sheet1!$A1822,Sheet2!$B$5:$H$29,3,FALSE),0)</x:f>
        <x:v>42</x:v>
      </x:c>
      <x:c r="E1822">
        <x:f>ROUND($C1822*10*VLOOKUP($B1822,Sheet2!$J$5:$K$7,2,FALSE)*VLOOKUP(Sheet1!$A1822,Sheet2!$B$5:$H$29,4,FALSE),0)</x:f>
        <x:v>0</x:v>
      </x:c>
      <x:c r="F1822">
        <x:f>ROUND($C1822*10*VLOOKUP($B1822,Sheet2!$J$5:$K$7,2,FALSE)*VLOOKUP(Sheet1!$A1822,Sheet2!$B$5:$H$29,5,FALSE),0)</x:f>
        <x:v>101</x:v>
      </x:c>
      <x:c r="G1822">
        <x:f>ROUND($C1822*10*VLOOKUP($B1822,Sheet2!$J$5:$K$7,2,FALSE)*VLOOKUP(Sheet1!$A1822,Sheet2!$B$5:$H$29,6,FALSE),0)</x:f>
        <x:v>0</x:v>
      </x:c>
      <x:c r="H1822">
        <x:f>ROUND($C1822*10*VLOOKUP($B1822,Sheet2!$J$5:$K$7,2,FALSE)*VLOOKUP(Sheet1!$A1822,Sheet2!$B$5:$H$29,7,FALSE),0)</x:f>
        <x:v>0</x:v>
      </x:c>
      <x:c r="I1822">
        <x:f t="shared" si="30"/>
        <x:v>4780</x:v>
      </x:c>
    </x:row>
    <x:row r="1823" spans="1:9" x14ac:dyDescent="0.15">
      <x:c r="A1823">
        <x:v>54101</x:v>
      </x:c>
      <x:c r="B1823">
        <x:v>1</x:v>
      </x:c>
      <x:c r="C1823">
        <x:v>22</x:v>
      </x:c>
      <x:c r="D1823">
        <x:f>ROUND($C1823*10*VLOOKUP($B1823,Sheet2!$J$5:$K$7,2,FALSE)*VLOOKUP(Sheet1!$A1823,Sheet2!$B$5:$H$29,3,FALSE),0)</x:f>
        <x:v>44</x:v>
      </x:c>
      <x:c r="E1823">
        <x:f>ROUND($C1823*10*VLOOKUP($B1823,Sheet2!$J$5:$K$7,2,FALSE)*VLOOKUP(Sheet1!$A1823,Sheet2!$B$5:$H$29,4,FALSE),0)</x:f>
        <x:v>0</x:v>
      </x:c>
      <x:c r="F1823">
        <x:f>ROUND($C1823*10*VLOOKUP($B1823,Sheet2!$J$5:$K$7,2,FALSE)*VLOOKUP(Sheet1!$A1823,Sheet2!$B$5:$H$29,5,FALSE),0)</x:f>
        <x:v>106</x:v>
      </x:c>
      <x:c r="G1823">
        <x:f>ROUND($C1823*10*VLOOKUP($B1823,Sheet2!$J$5:$K$7,2,FALSE)*VLOOKUP(Sheet1!$A1823,Sheet2!$B$5:$H$29,6,FALSE),0)</x:f>
        <x:v>0</x:v>
      </x:c>
      <x:c r="H1823">
        <x:f>ROUND($C1823*10*VLOOKUP($B1823,Sheet2!$J$5:$K$7,2,FALSE)*VLOOKUP(Sheet1!$A1823,Sheet2!$B$5:$H$29,7,FALSE),0)</x:f>
        <x:v>0</x:v>
      </x:c>
      <x:c r="I1823">
        <x:f t="shared" si="30"/>
        <x:v>5210</x:v>
      </x:c>
    </x:row>
    <x:row r="1824" spans="1:9" x14ac:dyDescent="0.15">
      <x:c r="A1824">
        <x:v>54101</x:v>
      </x:c>
      <x:c r="B1824">
        <x:v>1</x:v>
      </x:c>
      <x:c r="C1824">
        <x:v>23</x:v>
      </x:c>
      <x:c r="D1824">
        <x:f>ROUND($C1824*10*VLOOKUP($B1824,Sheet2!$J$5:$K$7,2,FALSE)*VLOOKUP(Sheet1!$A1824,Sheet2!$B$5:$H$29,3,FALSE),0)</x:f>
        <x:v>46</x:v>
      </x:c>
      <x:c r="E1824">
        <x:f>ROUND($C1824*10*VLOOKUP($B1824,Sheet2!$J$5:$K$7,2,FALSE)*VLOOKUP(Sheet1!$A1824,Sheet2!$B$5:$H$29,4,FALSE),0)</x:f>
        <x:v>0</x:v>
      </x:c>
      <x:c r="F1824">
        <x:f>ROUND($C1824*10*VLOOKUP($B1824,Sheet2!$J$5:$K$7,2,FALSE)*VLOOKUP(Sheet1!$A1824,Sheet2!$B$5:$H$29,5,FALSE),0)</x:f>
        <x:v>110</x:v>
      </x:c>
      <x:c r="G1824">
        <x:f>ROUND($C1824*10*VLOOKUP($B1824,Sheet2!$J$5:$K$7,2,FALSE)*VLOOKUP(Sheet1!$A1824,Sheet2!$B$5:$H$29,6,FALSE),0)</x:f>
        <x:v>0</x:v>
      </x:c>
      <x:c r="H1824">
        <x:f>ROUND($C1824*10*VLOOKUP($B1824,Sheet2!$J$5:$K$7,2,FALSE)*VLOOKUP(Sheet1!$A1824,Sheet2!$B$5:$H$29,7,FALSE),0)</x:f>
        <x:v>0</x:v>
      </x:c>
      <x:c r="I1824">
        <x:f t="shared" si="30"/>
        <x:v>5660</x:v>
      </x:c>
    </x:row>
    <x:row r="1825" spans="1:9" x14ac:dyDescent="0.15">
      <x:c r="A1825">
        <x:v>54101</x:v>
      </x:c>
      <x:c r="B1825">
        <x:v>1</x:v>
      </x:c>
      <x:c r="C1825">
        <x:v>24</x:v>
      </x:c>
      <x:c r="D1825">
        <x:f>ROUND($C1825*10*VLOOKUP($B1825,Sheet2!$J$5:$K$7,2,FALSE)*VLOOKUP(Sheet1!$A1825,Sheet2!$B$5:$H$29,3,FALSE),0)</x:f>
        <x:v>48</x:v>
      </x:c>
      <x:c r="E1825">
        <x:f>ROUND($C1825*10*VLOOKUP($B1825,Sheet2!$J$5:$K$7,2,FALSE)*VLOOKUP(Sheet1!$A1825,Sheet2!$B$5:$H$29,4,FALSE),0)</x:f>
        <x:v>0</x:v>
      </x:c>
      <x:c r="F1825">
        <x:f>ROUND($C1825*10*VLOOKUP($B1825,Sheet2!$J$5:$K$7,2,FALSE)*VLOOKUP(Sheet1!$A1825,Sheet2!$B$5:$H$29,5,FALSE),0)</x:f>
        <x:v>115</x:v>
      </x:c>
      <x:c r="G1825">
        <x:f>ROUND($C1825*10*VLOOKUP($B1825,Sheet2!$J$5:$K$7,2,FALSE)*VLOOKUP(Sheet1!$A1825,Sheet2!$B$5:$H$29,6,FALSE),0)</x:f>
        <x:v>0</x:v>
      </x:c>
      <x:c r="H1825">
        <x:f>ROUND($C1825*10*VLOOKUP($B1825,Sheet2!$J$5:$K$7,2,FALSE)*VLOOKUP(Sheet1!$A1825,Sheet2!$B$5:$H$29,7,FALSE),0)</x:f>
        <x:v>0</x:v>
      </x:c>
      <x:c r="I1825">
        <x:f t="shared" si="30"/>
        <x:v>6130</x:v>
      </x:c>
    </x:row>
    <x:row r="1826" spans="1:9" x14ac:dyDescent="0.15">
      <x:c r="A1826">
        <x:v>54101</x:v>
      </x:c>
      <x:c r="B1826">
        <x:v>1</x:v>
      </x:c>
      <x:c r="C1826">
        <x:v>25</x:v>
      </x:c>
      <x:c r="D1826">
        <x:f>ROUND($C1826*10*VLOOKUP($B1826,Sheet2!$J$5:$K$7,2,FALSE)*VLOOKUP(Sheet1!$A1826,Sheet2!$B$5:$H$29,3,FALSE),0)</x:f>
        <x:v>50</x:v>
      </x:c>
      <x:c r="E1826">
        <x:f>ROUND($C1826*10*VLOOKUP($B1826,Sheet2!$J$5:$K$7,2,FALSE)*VLOOKUP(Sheet1!$A1826,Sheet2!$B$5:$H$29,4,FALSE),0)</x:f>
        <x:v>0</x:v>
      </x:c>
      <x:c r="F1826">
        <x:f>ROUND($C1826*10*VLOOKUP($B1826,Sheet2!$J$5:$K$7,2,FALSE)*VLOOKUP(Sheet1!$A1826,Sheet2!$B$5:$H$29,5,FALSE),0)</x:f>
        <x:v>120</x:v>
      </x:c>
      <x:c r="G1826">
        <x:f>ROUND($C1826*10*VLOOKUP($B1826,Sheet2!$J$5:$K$7,2,FALSE)*VLOOKUP(Sheet1!$A1826,Sheet2!$B$5:$H$29,6,FALSE),0)</x:f>
        <x:v>0</x:v>
      </x:c>
      <x:c r="H1826">
        <x:f>ROUND($C1826*10*VLOOKUP($B1826,Sheet2!$J$5:$K$7,2,FALSE)*VLOOKUP(Sheet1!$A1826,Sheet2!$B$5:$H$29,7,FALSE),0)</x:f>
        <x:v>0</x:v>
      </x:c>
      <x:c r="I1826">
        <x:f t="shared" si="30"/>
        <x:v>6620</x:v>
      </x:c>
    </x:row>
    <x:row r="1827" spans="1:9" x14ac:dyDescent="0.15">
      <x:c r="A1827">
        <x:v>54101</x:v>
      </x:c>
      <x:c r="B1827">
        <x:v>1</x:v>
      </x:c>
      <x:c r="C1827">
        <x:v>26</x:v>
      </x:c>
      <x:c r="D1827">
        <x:f>ROUND($C1827*10*VLOOKUP($B1827,Sheet2!$J$5:$K$7,2,FALSE)*VLOOKUP(Sheet1!$A1827,Sheet2!$B$5:$H$29,3,FALSE),0)</x:f>
        <x:v>52</x:v>
      </x:c>
      <x:c r="E1827">
        <x:f>ROUND($C1827*10*VLOOKUP($B1827,Sheet2!$J$5:$K$7,2,FALSE)*VLOOKUP(Sheet1!$A1827,Sheet2!$B$5:$H$29,4,FALSE),0)</x:f>
        <x:v>0</x:v>
      </x:c>
      <x:c r="F1827">
        <x:f>ROUND($C1827*10*VLOOKUP($B1827,Sheet2!$J$5:$K$7,2,FALSE)*VLOOKUP(Sheet1!$A1827,Sheet2!$B$5:$H$29,5,FALSE),0)</x:f>
        <x:v>125</x:v>
      </x:c>
      <x:c r="G1827">
        <x:f>ROUND($C1827*10*VLOOKUP($B1827,Sheet2!$J$5:$K$7,2,FALSE)*VLOOKUP(Sheet1!$A1827,Sheet2!$B$5:$H$29,6,FALSE),0)</x:f>
        <x:v>0</x:v>
      </x:c>
      <x:c r="H1827">
        <x:f>ROUND($C1827*10*VLOOKUP($B1827,Sheet2!$J$5:$K$7,2,FALSE)*VLOOKUP(Sheet1!$A1827,Sheet2!$B$5:$H$29,7,FALSE),0)</x:f>
        <x:v>0</x:v>
      </x:c>
      <x:c r="I1827">
        <x:f t="shared" si="30"/>
        <x:v>7120</x:v>
      </x:c>
    </x:row>
    <x:row r="1828" spans="1:9" x14ac:dyDescent="0.15">
      <x:c r="A1828">
        <x:v>54101</x:v>
      </x:c>
      <x:c r="B1828">
        <x:v>1</x:v>
      </x:c>
      <x:c r="C1828">
        <x:v>27</x:v>
      </x:c>
      <x:c r="D1828">
        <x:f>ROUND($C1828*10*VLOOKUP($B1828,Sheet2!$J$5:$K$7,2,FALSE)*VLOOKUP(Sheet1!$A1828,Sheet2!$B$5:$H$29,3,FALSE),0)</x:f>
        <x:v>54</x:v>
      </x:c>
      <x:c r="E1828">
        <x:f>ROUND($C1828*10*VLOOKUP($B1828,Sheet2!$J$5:$K$7,2,FALSE)*VLOOKUP(Sheet1!$A1828,Sheet2!$B$5:$H$29,4,FALSE),0)</x:f>
        <x:v>0</x:v>
      </x:c>
      <x:c r="F1828">
        <x:f>ROUND($C1828*10*VLOOKUP($B1828,Sheet2!$J$5:$K$7,2,FALSE)*VLOOKUP(Sheet1!$A1828,Sheet2!$B$5:$H$29,5,FALSE),0)</x:f>
        <x:v>130</x:v>
      </x:c>
      <x:c r="G1828">
        <x:f>ROUND($C1828*10*VLOOKUP($B1828,Sheet2!$J$5:$K$7,2,FALSE)*VLOOKUP(Sheet1!$A1828,Sheet2!$B$5:$H$29,6,FALSE),0)</x:f>
        <x:v>0</x:v>
      </x:c>
      <x:c r="H1828">
        <x:f>ROUND($C1828*10*VLOOKUP($B1828,Sheet2!$J$5:$K$7,2,FALSE)*VLOOKUP(Sheet1!$A1828,Sheet2!$B$5:$H$29,7,FALSE),0)</x:f>
        <x:v>0</x:v>
      </x:c>
      <x:c r="I1828">
        <x:f t="shared" si="30"/>
        <x:v>7640</x:v>
      </x:c>
    </x:row>
    <x:row r="1829" spans="1:9" x14ac:dyDescent="0.15">
      <x:c r="A1829">
        <x:v>54101</x:v>
      </x:c>
      <x:c r="B1829">
        <x:v>1</x:v>
      </x:c>
      <x:c r="C1829">
        <x:v>28</x:v>
      </x:c>
      <x:c r="D1829">
        <x:f>ROUND($C1829*10*VLOOKUP($B1829,Sheet2!$J$5:$K$7,2,FALSE)*VLOOKUP(Sheet1!$A1829,Sheet2!$B$5:$H$29,3,FALSE),0)</x:f>
        <x:v>56</x:v>
      </x:c>
      <x:c r="E1829">
        <x:f>ROUND($C1829*10*VLOOKUP($B1829,Sheet2!$J$5:$K$7,2,FALSE)*VLOOKUP(Sheet1!$A1829,Sheet2!$B$5:$H$29,4,FALSE),0)</x:f>
        <x:v>0</x:v>
      </x:c>
      <x:c r="F1829">
        <x:f>ROUND($C1829*10*VLOOKUP($B1829,Sheet2!$J$5:$K$7,2,FALSE)*VLOOKUP(Sheet1!$A1829,Sheet2!$B$5:$H$29,5,FALSE),0)</x:f>
        <x:v>134</x:v>
      </x:c>
      <x:c r="G1829">
        <x:f>ROUND($C1829*10*VLOOKUP($B1829,Sheet2!$J$5:$K$7,2,FALSE)*VLOOKUP(Sheet1!$A1829,Sheet2!$B$5:$H$29,6,FALSE),0)</x:f>
        <x:v>0</x:v>
      </x:c>
      <x:c r="H1829">
        <x:f>ROUND($C1829*10*VLOOKUP($B1829,Sheet2!$J$5:$K$7,2,FALSE)*VLOOKUP(Sheet1!$A1829,Sheet2!$B$5:$H$29,7,FALSE),0)</x:f>
        <x:v>0</x:v>
      </x:c>
      <x:c r="I1829">
        <x:f t="shared" si="30"/>
        <x:v>8180</x:v>
      </x:c>
    </x:row>
    <x:row r="1830" spans="1:9" x14ac:dyDescent="0.15">
      <x:c r="A1830">
        <x:v>54101</x:v>
      </x:c>
      <x:c r="B1830">
        <x:v>1</x:v>
      </x:c>
      <x:c r="C1830">
        <x:v>29</x:v>
      </x:c>
      <x:c r="D1830">
        <x:f>ROUND($C1830*10*VLOOKUP($B1830,Sheet2!$J$5:$K$7,2,FALSE)*VLOOKUP(Sheet1!$A1830,Sheet2!$B$5:$H$29,3,FALSE),0)</x:f>
        <x:v>58</x:v>
      </x:c>
      <x:c r="E1830">
        <x:f>ROUND($C1830*10*VLOOKUP($B1830,Sheet2!$J$5:$K$7,2,FALSE)*VLOOKUP(Sheet1!$A1830,Sheet2!$B$5:$H$29,4,FALSE),0)</x:f>
        <x:v>0</x:v>
      </x:c>
      <x:c r="F1830">
        <x:f>ROUND($C1830*10*VLOOKUP($B1830,Sheet2!$J$5:$K$7,2,FALSE)*VLOOKUP(Sheet1!$A1830,Sheet2!$B$5:$H$29,5,FALSE),0)</x:f>
        <x:v>139</x:v>
      </x:c>
      <x:c r="G1830">
        <x:f>ROUND($C1830*10*VLOOKUP($B1830,Sheet2!$J$5:$K$7,2,FALSE)*VLOOKUP(Sheet1!$A1830,Sheet2!$B$5:$H$29,6,FALSE),0)</x:f>
        <x:v>0</x:v>
      </x:c>
      <x:c r="H1830">
        <x:f>ROUND($C1830*10*VLOOKUP($B1830,Sheet2!$J$5:$K$7,2,FALSE)*VLOOKUP(Sheet1!$A1830,Sheet2!$B$5:$H$29,7,FALSE),0)</x:f>
        <x:v>0</x:v>
      </x:c>
      <x:c r="I1830">
        <x:f t="shared" si="30"/>
        <x:v>8730</x:v>
      </x:c>
    </x:row>
    <x:row r="1831" spans="1:9" x14ac:dyDescent="0.15">
      <x:c r="A1831">
        <x:v>54101</x:v>
      </x:c>
      <x:c r="B1831">
        <x:v>1</x:v>
      </x:c>
      <x:c r="C1831">
        <x:v>30</x:v>
      </x:c>
      <x:c r="D1831">
        <x:f>ROUND($C1831*10*VLOOKUP($B1831,Sheet2!$J$5:$K$7,2,FALSE)*VLOOKUP(Sheet1!$A1831,Sheet2!$B$5:$H$29,3,FALSE),0)</x:f>
        <x:v>60</x:v>
      </x:c>
      <x:c r="E1831">
        <x:f>ROUND($C1831*10*VLOOKUP($B1831,Sheet2!$J$5:$K$7,2,FALSE)*VLOOKUP(Sheet1!$A1831,Sheet2!$B$5:$H$29,4,FALSE),0)</x:f>
        <x:v>0</x:v>
      </x:c>
      <x:c r="F1831">
        <x:f>ROUND($C1831*10*VLOOKUP($B1831,Sheet2!$J$5:$K$7,2,FALSE)*VLOOKUP(Sheet1!$A1831,Sheet2!$B$5:$H$29,5,FALSE),0)</x:f>
        <x:v>144</x:v>
      </x:c>
      <x:c r="G1831">
        <x:f>ROUND($C1831*10*VLOOKUP($B1831,Sheet2!$J$5:$K$7,2,FALSE)*VLOOKUP(Sheet1!$A1831,Sheet2!$B$5:$H$29,6,FALSE),0)</x:f>
        <x:v>0</x:v>
      </x:c>
      <x:c r="H1831">
        <x:f>ROUND($C1831*10*VLOOKUP($B1831,Sheet2!$J$5:$K$7,2,FALSE)*VLOOKUP(Sheet1!$A1831,Sheet2!$B$5:$H$29,7,FALSE),0)</x:f>
        <x:v>0</x:v>
      </x:c>
      <x:c r="I1831">
        <x:f t="shared" si="30"/>
        <x:v>9290</x:v>
      </x:c>
    </x:row>
    <x:row r="1832" spans="1:9" x14ac:dyDescent="0.15">
      <x:c r="A1832">
        <x:v>54101</x:v>
      </x:c>
      <x:c r="B1832">
        <x:v>1</x:v>
      </x:c>
      <x:c r="C1832">
        <x:v>31</x:v>
      </x:c>
      <x:c r="D1832">
        <x:f>ROUND($C1832*10*VLOOKUP($B1832,Sheet2!$J$5:$K$7,2,FALSE)*VLOOKUP(Sheet1!$A1832,Sheet2!$B$5:$H$29,3,FALSE),0)</x:f>
        <x:v>62</x:v>
      </x:c>
      <x:c r="E1832">
        <x:f>ROUND($C1832*10*VLOOKUP($B1832,Sheet2!$J$5:$K$7,2,FALSE)*VLOOKUP(Sheet1!$A1832,Sheet2!$B$5:$H$29,4,FALSE),0)</x:f>
        <x:v>0</x:v>
      </x:c>
      <x:c r="F1832">
        <x:f>ROUND($C1832*10*VLOOKUP($B1832,Sheet2!$J$5:$K$7,2,FALSE)*VLOOKUP(Sheet1!$A1832,Sheet2!$B$5:$H$29,5,FALSE),0)</x:f>
        <x:v>149</x:v>
      </x:c>
      <x:c r="G1832">
        <x:f>ROUND($C1832*10*VLOOKUP($B1832,Sheet2!$J$5:$K$7,2,FALSE)*VLOOKUP(Sheet1!$A1832,Sheet2!$B$5:$H$29,6,FALSE),0)</x:f>
        <x:v>0</x:v>
      </x:c>
      <x:c r="H1832">
        <x:f>ROUND($C1832*10*VLOOKUP($B1832,Sheet2!$J$5:$K$7,2,FALSE)*VLOOKUP(Sheet1!$A1832,Sheet2!$B$5:$H$29,7,FALSE),0)</x:f>
        <x:v>0</x:v>
      </x:c>
      <x:c r="I1832">
        <x:f t="shared" si="30"/>
        <x:v>9880</x:v>
      </x:c>
    </x:row>
    <x:row r="1833" spans="1:9" x14ac:dyDescent="0.15">
      <x:c r="A1833">
        <x:v>54101</x:v>
      </x:c>
      <x:c r="B1833">
        <x:v>1</x:v>
      </x:c>
      <x:c r="C1833">
        <x:v>32</x:v>
      </x:c>
      <x:c r="D1833">
        <x:f>ROUND($C1833*10*VLOOKUP($B1833,Sheet2!$J$5:$K$7,2,FALSE)*VLOOKUP(Sheet1!$A1833,Sheet2!$B$5:$H$29,3,FALSE),0)</x:f>
        <x:v>64</x:v>
      </x:c>
      <x:c r="E1833">
        <x:f>ROUND($C1833*10*VLOOKUP($B1833,Sheet2!$J$5:$K$7,2,FALSE)*VLOOKUP(Sheet1!$A1833,Sheet2!$B$5:$H$29,4,FALSE),0)</x:f>
        <x:v>0</x:v>
      </x:c>
      <x:c r="F1833">
        <x:f>ROUND($C1833*10*VLOOKUP($B1833,Sheet2!$J$5:$K$7,2,FALSE)*VLOOKUP(Sheet1!$A1833,Sheet2!$B$5:$H$29,5,FALSE),0)</x:f>
        <x:v>154</x:v>
      </x:c>
      <x:c r="G1833">
        <x:f>ROUND($C1833*10*VLOOKUP($B1833,Sheet2!$J$5:$K$7,2,FALSE)*VLOOKUP(Sheet1!$A1833,Sheet2!$B$5:$H$29,6,FALSE),0)</x:f>
        <x:v>0</x:v>
      </x:c>
      <x:c r="H1833">
        <x:f>ROUND($C1833*10*VLOOKUP($B1833,Sheet2!$J$5:$K$7,2,FALSE)*VLOOKUP(Sheet1!$A1833,Sheet2!$B$5:$H$29,7,FALSE),0)</x:f>
        <x:v>0</x:v>
      </x:c>
      <x:c r="I1833">
        <x:f t="shared" si="30"/>
        <x:v>10470</x:v>
      </x:c>
    </x:row>
    <x:row r="1834" spans="1:9" x14ac:dyDescent="0.15">
      <x:c r="A1834">
        <x:v>54101</x:v>
      </x:c>
      <x:c r="B1834">
        <x:v>1</x:v>
      </x:c>
      <x:c r="C1834">
        <x:v>33</x:v>
      </x:c>
      <x:c r="D1834">
        <x:f>ROUND($C1834*10*VLOOKUP($B1834,Sheet2!$J$5:$K$7,2,FALSE)*VLOOKUP(Sheet1!$A1834,Sheet2!$B$5:$H$29,3,FALSE),0)</x:f>
        <x:v>66</x:v>
      </x:c>
      <x:c r="E1834">
        <x:f>ROUND($C1834*10*VLOOKUP($B1834,Sheet2!$J$5:$K$7,2,FALSE)*VLOOKUP(Sheet1!$A1834,Sheet2!$B$5:$H$29,4,FALSE),0)</x:f>
        <x:v>0</x:v>
      </x:c>
      <x:c r="F1834">
        <x:f>ROUND($C1834*10*VLOOKUP($B1834,Sheet2!$J$5:$K$7,2,FALSE)*VLOOKUP(Sheet1!$A1834,Sheet2!$B$5:$H$29,5,FALSE),0)</x:f>
        <x:v>158</x:v>
      </x:c>
      <x:c r="G1834">
        <x:f>ROUND($C1834*10*VLOOKUP($B1834,Sheet2!$J$5:$K$7,2,FALSE)*VLOOKUP(Sheet1!$A1834,Sheet2!$B$5:$H$29,6,FALSE),0)</x:f>
        <x:v>0</x:v>
      </x:c>
      <x:c r="H1834">
        <x:f>ROUND($C1834*10*VLOOKUP($B1834,Sheet2!$J$5:$K$7,2,FALSE)*VLOOKUP(Sheet1!$A1834,Sheet2!$B$5:$H$29,7,FALSE),0)</x:f>
        <x:v>0</x:v>
      </x:c>
      <x:c r="I1834">
        <x:f t="shared" si="30"/>
        <x:v>11090</x:v>
      </x:c>
    </x:row>
    <x:row r="1835" spans="1:9" x14ac:dyDescent="0.15">
      <x:c r="A1835">
        <x:v>54101</x:v>
      </x:c>
      <x:c r="B1835">
        <x:v>1</x:v>
      </x:c>
      <x:c r="C1835">
        <x:v>34</x:v>
      </x:c>
      <x:c r="D1835">
        <x:f>ROUND($C1835*10*VLOOKUP($B1835,Sheet2!$J$5:$K$7,2,FALSE)*VLOOKUP(Sheet1!$A1835,Sheet2!$B$5:$H$29,3,FALSE),0)</x:f>
        <x:v>68</x:v>
      </x:c>
      <x:c r="E1835">
        <x:f>ROUND($C1835*10*VLOOKUP($B1835,Sheet2!$J$5:$K$7,2,FALSE)*VLOOKUP(Sheet1!$A1835,Sheet2!$B$5:$H$29,4,FALSE),0)</x:f>
        <x:v>0</x:v>
      </x:c>
      <x:c r="F1835">
        <x:f>ROUND($C1835*10*VLOOKUP($B1835,Sheet2!$J$5:$K$7,2,FALSE)*VLOOKUP(Sheet1!$A1835,Sheet2!$B$5:$H$29,5,FALSE),0)</x:f>
        <x:v>163</x:v>
      </x:c>
      <x:c r="G1835">
        <x:f>ROUND($C1835*10*VLOOKUP($B1835,Sheet2!$J$5:$K$7,2,FALSE)*VLOOKUP(Sheet1!$A1835,Sheet2!$B$5:$H$29,6,FALSE),0)</x:f>
        <x:v>0</x:v>
      </x:c>
      <x:c r="H1835">
        <x:f>ROUND($C1835*10*VLOOKUP($B1835,Sheet2!$J$5:$K$7,2,FALSE)*VLOOKUP(Sheet1!$A1835,Sheet2!$B$5:$H$29,7,FALSE),0)</x:f>
        <x:v>0</x:v>
      </x:c>
      <x:c r="I1835">
        <x:f t="shared" si="30"/>
        <x:v>11720</x:v>
      </x:c>
    </x:row>
    <x:row r="1836" spans="1:9" x14ac:dyDescent="0.15">
      <x:c r="A1836">
        <x:v>54101</x:v>
      </x:c>
      <x:c r="B1836">
        <x:v>1</x:v>
      </x:c>
      <x:c r="C1836">
        <x:v>35</x:v>
      </x:c>
      <x:c r="D1836">
        <x:f>ROUND($C1836*10*VLOOKUP($B1836,Sheet2!$J$5:$K$7,2,FALSE)*VLOOKUP(Sheet1!$A1836,Sheet2!$B$5:$H$29,3,FALSE),0)</x:f>
        <x:v>70</x:v>
      </x:c>
      <x:c r="E1836">
        <x:f>ROUND($C1836*10*VLOOKUP($B1836,Sheet2!$J$5:$K$7,2,FALSE)*VLOOKUP(Sheet1!$A1836,Sheet2!$B$5:$H$29,4,FALSE),0)</x:f>
        <x:v>0</x:v>
      </x:c>
      <x:c r="F1836">
        <x:f>ROUND($C1836*10*VLOOKUP($B1836,Sheet2!$J$5:$K$7,2,FALSE)*VLOOKUP(Sheet1!$A1836,Sheet2!$B$5:$H$29,5,FALSE),0)</x:f>
        <x:v>168</x:v>
      </x:c>
      <x:c r="G1836">
        <x:f>ROUND($C1836*10*VLOOKUP($B1836,Sheet2!$J$5:$K$7,2,FALSE)*VLOOKUP(Sheet1!$A1836,Sheet2!$B$5:$H$29,6,FALSE),0)</x:f>
        <x:v>0</x:v>
      </x:c>
      <x:c r="H1836">
        <x:f>ROUND($C1836*10*VLOOKUP($B1836,Sheet2!$J$5:$K$7,2,FALSE)*VLOOKUP(Sheet1!$A1836,Sheet2!$B$5:$H$29,7,FALSE),0)</x:f>
        <x:v>0</x:v>
      </x:c>
      <x:c r="I1836">
        <x:f t="shared" si="30"/>
        <x:v>12360</x:v>
      </x:c>
    </x:row>
    <x:row r="1837" spans="1:9" x14ac:dyDescent="0.15">
      <x:c r="A1837">
        <x:v>54101</x:v>
      </x:c>
      <x:c r="B1837">
        <x:v>1</x:v>
      </x:c>
      <x:c r="C1837">
        <x:v>36</x:v>
      </x:c>
      <x:c r="D1837">
        <x:f>ROUND($C1837*10*VLOOKUP($B1837,Sheet2!$J$5:$K$7,2,FALSE)*VLOOKUP(Sheet1!$A1837,Sheet2!$B$5:$H$29,3,FALSE),0)</x:f>
        <x:v>72</x:v>
      </x:c>
      <x:c r="E1837">
        <x:f>ROUND($C1837*10*VLOOKUP($B1837,Sheet2!$J$5:$K$7,2,FALSE)*VLOOKUP(Sheet1!$A1837,Sheet2!$B$5:$H$29,4,FALSE),0)</x:f>
        <x:v>0</x:v>
      </x:c>
      <x:c r="F1837">
        <x:f>ROUND($C1837*10*VLOOKUP($B1837,Sheet2!$J$5:$K$7,2,FALSE)*VLOOKUP(Sheet1!$A1837,Sheet2!$B$5:$H$29,5,FALSE),0)</x:f>
        <x:v>173</x:v>
      </x:c>
      <x:c r="G1837">
        <x:f>ROUND($C1837*10*VLOOKUP($B1837,Sheet2!$J$5:$K$7,2,FALSE)*VLOOKUP(Sheet1!$A1837,Sheet2!$B$5:$H$29,6,FALSE),0)</x:f>
        <x:v>0</x:v>
      </x:c>
      <x:c r="H1837">
        <x:f>ROUND($C1837*10*VLOOKUP($B1837,Sheet2!$J$5:$K$7,2,FALSE)*VLOOKUP(Sheet1!$A1837,Sheet2!$B$5:$H$29,7,FALSE),0)</x:f>
        <x:v>0</x:v>
      </x:c>
      <x:c r="I1837">
        <x:f t="shared" si="30"/>
        <x:v>13020</x:v>
      </x:c>
    </x:row>
    <x:row r="1838" spans="1:9" x14ac:dyDescent="0.15">
      <x:c r="A1838">
        <x:v>54101</x:v>
      </x:c>
      <x:c r="B1838">
        <x:v>1</x:v>
      </x:c>
      <x:c r="C1838">
        <x:v>37</x:v>
      </x:c>
      <x:c r="D1838">
        <x:f>ROUND($C1838*10*VLOOKUP($B1838,Sheet2!$J$5:$K$7,2,FALSE)*VLOOKUP(Sheet1!$A1838,Sheet2!$B$5:$H$29,3,FALSE),0)</x:f>
        <x:v>74</x:v>
      </x:c>
      <x:c r="E1838">
        <x:f>ROUND($C1838*10*VLOOKUP($B1838,Sheet2!$J$5:$K$7,2,FALSE)*VLOOKUP(Sheet1!$A1838,Sheet2!$B$5:$H$29,4,FALSE),0)</x:f>
        <x:v>0</x:v>
      </x:c>
      <x:c r="F1838">
        <x:f>ROUND($C1838*10*VLOOKUP($B1838,Sheet2!$J$5:$K$7,2,FALSE)*VLOOKUP(Sheet1!$A1838,Sheet2!$B$5:$H$29,5,FALSE),0)</x:f>
        <x:v>178</x:v>
      </x:c>
      <x:c r="G1838">
        <x:f>ROUND($C1838*10*VLOOKUP($B1838,Sheet2!$J$5:$K$7,2,FALSE)*VLOOKUP(Sheet1!$A1838,Sheet2!$B$5:$H$29,6,FALSE),0)</x:f>
        <x:v>0</x:v>
      </x:c>
      <x:c r="H1838">
        <x:f>ROUND($C1838*10*VLOOKUP($B1838,Sheet2!$J$5:$K$7,2,FALSE)*VLOOKUP(Sheet1!$A1838,Sheet2!$B$5:$H$29,7,FALSE),0)</x:f>
        <x:v>0</x:v>
      </x:c>
      <x:c r="I1838">
        <x:f t="shared" si="30"/>
        <x:v>13700</x:v>
      </x:c>
    </x:row>
    <x:row r="1839" spans="1:9" x14ac:dyDescent="0.15">
      <x:c r="A1839">
        <x:v>54101</x:v>
      </x:c>
      <x:c r="B1839">
        <x:v>1</x:v>
      </x:c>
      <x:c r="C1839">
        <x:v>38</x:v>
      </x:c>
      <x:c r="D1839">
        <x:f>ROUND($C1839*10*VLOOKUP($B1839,Sheet2!$J$5:$K$7,2,FALSE)*VLOOKUP(Sheet1!$A1839,Sheet2!$B$5:$H$29,3,FALSE),0)</x:f>
        <x:v>76</x:v>
      </x:c>
      <x:c r="E1839">
        <x:f>ROUND($C1839*10*VLOOKUP($B1839,Sheet2!$J$5:$K$7,2,FALSE)*VLOOKUP(Sheet1!$A1839,Sheet2!$B$5:$H$29,4,FALSE),0)</x:f>
        <x:v>0</x:v>
      </x:c>
      <x:c r="F1839">
        <x:f>ROUND($C1839*10*VLOOKUP($B1839,Sheet2!$J$5:$K$7,2,FALSE)*VLOOKUP(Sheet1!$A1839,Sheet2!$B$5:$H$29,5,FALSE),0)</x:f>
        <x:v>182</x:v>
      </x:c>
      <x:c r="G1839">
        <x:f>ROUND($C1839*10*VLOOKUP($B1839,Sheet2!$J$5:$K$7,2,FALSE)*VLOOKUP(Sheet1!$A1839,Sheet2!$B$5:$H$29,6,FALSE),0)</x:f>
        <x:v>0</x:v>
      </x:c>
      <x:c r="H1839">
        <x:f>ROUND($C1839*10*VLOOKUP($B1839,Sheet2!$J$5:$K$7,2,FALSE)*VLOOKUP(Sheet1!$A1839,Sheet2!$B$5:$H$29,7,FALSE),0)</x:f>
        <x:v>0</x:v>
      </x:c>
      <x:c r="I1839">
        <x:f t="shared" si="30"/>
        <x:v>14390</x:v>
      </x:c>
    </x:row>
    <x:row r="1840" spans="1:9" x14ac:dyDescent="0.15">
      <x:c r="A1840">
        <x:v>54101</x:v>
      </x:c>
      <x:c r="B1840">
        <x:v>1</x:v>
      </x:c>
      <x:c r="C1840">
        <x:v>39</x:v>
      </x:c>
      <x:c r="D1840">
        <x:f>ROUND($C1840*10*VLOOKUP($B1840,Sheet2!$J$5:$K$7,2,FALSE)*VLOOKUP(Sheet1!$A1840,Sheet2!$B$5:$H$29,3,FALSE),0)</x:f>
        <x:v>78</x:v>
      </x:c>
      <x:c r="E1840">
        <x:f>ROUND($C1840*10*VLOOKUP($B1840,Sheet2!$J$5:$K$7,2,FALSE)*VLOOKUP(Sheet1!$A1840,Sheet2!$B$5:$H$29,4,FALSE),0)</x:f>
        <x:v>0</x:v>
      </x:c>
      <x:c r="F1840">
        <x:f>ROUND($C1840*10*VLOOKUP($B1840,Sheet2!$J$5:$K$7,2,FALSE)*VLOOKUP(Sheet1!$A1840,Sheet2!$B$5:$H$29,5,FALSE),0)</x:f>
        <x:v>187</x:v>
      </x:c>
      <x:c r="G1840">
        <x:f>ROUND($C1840*10*VLOOKUP($B1840,Sheet2!$J$5:$K$7,2,FALSE)*VLOOKUP(Sheet1!$A1840,Sheet2!$B$5:$H$29,6,FALSE),0)</x:f>
        <x:v>0</x:v>
      </x:c>
      <x:c r="H1840">
        <x:f>ROUND($C1840*10*VLOOKUP($B1840,Sheet2!$J$5:$K$7,2,FALSE)*VLOOKUP(Sheet1!$A1840,Sheet2!$B$5:$H$29,7,FALSE),0)</x:f>
        <x:v>0</x:v>
      </x:c>
      <x:c r="I1840">
        <x:f t="shared" si="30"/>
        <x:v>15100</x:v>
      </x:c>
    </x:row>
    <x:row r="1841" spans="1:9" x14ac:dyDescent="0.15">
      <x:c r="A1841">
        <x:v>54101</x:v>
      </x:c>
      <x:c r="B1841">
        <x:v>1</x:v>
      </x:c>
      <x:c r="C1841">
        <x:v>40</x:v>
      </x:c>
      <x:c r="D1841">
        <x:f>ROUND($C1841*10*VLOOKUP($B1841,Sheet2!$J$5:$K$7,2,FALSE)*VLOOKUP(Sheet1!$A1841,Sheet2!$B$5:$H$29,3,FALSE),0)</x:f>
        <x:v>80</x:v>
      </x:c>
      <x:c r="E1841">
        <x:f>ROUND($C1841*10*VLOOKUP($B1841,Sheet2!$J$5:$K$7,2,FALSE)*VLOOKUP(Sheet1!$A1841,Sheet2!$B$5:$H$29,4,FALSE),0)</x:f>
        <x:v>0</x:v>
      </x:c>
      <x:c r="F1841">
        <x:f>ROUND($C1841*10*VLOOKUP($B1841,Sheet2!$J$5:$K$7,2,FALSE)*VLOOKUP(Sheet1!$A1841,Sheet2!$B$5:$H$29,5,FALSE),0)</x:f>
        <x:v>192</x:v>
      </x:c>
      <x:c r="G1841">
        <x:f>ROUND($C1841*10*VLOOKUP($B1841,Sheet2!$J$5:$K$7,2,FALSE)*VLOOKUP(Sheet1!$A1841,Sheet2!$B$5:$H$29,6,FALSE),0)</x:f>
        <x:v>0</x:v>
      </x:c>
      <x:c r="H1841">
        <x:f>ROUND($C1841*10*VLOOKUP($B1841,Sheet2!$J$5:$K$7,2,FALSE)*VLOOKUP(Sheet1!$A1841,Sheet2!$B$5:$H$29,7,FALSE),0)</x:f>
        <x:v>0</x:v>
      </x:c>
      <x:c r="I1841">
        <x:f t="shared" si="30"/>
        <x:v>15820</x:v>
      </x:c>
    </x:row>
    <x:row r="1842" spans="1:9" x14ac:dyDescent="0.15">
      <x:c r="A1842">
        <x:v>54101</x:v>
      </x:c>
      <x:c r="B1842">
        <x:v>1</x:v>
      </x:c>
      <x:c r="C1842">
        <x:v>41</x:v>
      </x:c>
      <x:c r="D1842">
        <x:f>ROUND($C1842*10*VLOOKUP($B1842,Sheet2!$J$5:$K$7,2,FALSE)*VLOOKUP(Sheet1!$A1842,Sheet2!$B$5:$H$29,3,FALSE),0)</x:f>
        <x:v>82</x:v>
      </x:c>
      <x:c r="E1842">
        <x:f>ROUND($C1842*10*VLOOKUP($B1842,Sheet2!$J$5:$K$7,2,FALSE)*VLOOKUP(Sheet1!$A1842,Sheet2!$B$5:$H$29,4,FALSE),0)</x:f>
        <x:v>0</x:v>
      </x:c>
      <x:c r="F1842">
        <x:f>ROUND($C1842*10*VLOOKUP($B1842,Sheet2!$J$5:$K$7,2,FALSE)*VLOOKUP(Sheet1!$A1842,Sheet2!$B$5:$H$29,5,FALSE),0)</x:f>
        <x:v>197</x:v>
      </x:c>
      <x:c r="G1842">
        <x:f>ROUND($C1842*10*VLOOKUP($B1842,Sheet2!$J$5:$K$7,2,FALSE)*VLOOKUP(Sheet1!$A1842,Sheet2!$B$5:$H$29,6,FALSE),0)</x:f>
        <x:v>0</x:v>
      </x:c>
      <x:c r="H1842">
        <x:f>ROUND($C1842*10*VLOOKUP($B1842,Sheet2!$J$5:$K$7,2,FALSE)*VLOOKUP(Sheet1!$A1842,Sheet2!$B$5:$H$29,7,FALSE),0)</x:f>
        <x:v>0</x:v>
      </x:c>
      <x:c r="I1842">
        <x:f t="shared" si="30"/>
        <x:v>16560</x:v>
      </x:c>
    </x:row>
    <x:row r="1843" spans="1:9" x14ac:dyDescent="0.15">
      <x:c r="A1843">
        <x:v>54101</x:v>
      </x:c>
      <x:c r="B1843">
        <x:v>1</x:v>
      </x:c>
      <x:c r="C1843">
        <x:v>42</x:v>
      </x:c>
      <x:c r="D1843">
        <x:f>ROUND($C1843*10*VLOOKUP($B1843,Sheet2!$J$5:$K$7,2,FALSE)*VLOOKUP(Sheet1!$A1843,Sheet2!$B$5:$H$29,3,FALSE),0)</x:f>
        <x:v>84</x:v>
      </x:c>
      <x:c r="E1843">
        <x:f>ROUND($C1843*10*VLOOKUP($B1843,Sheet2!$J$5:$K$7,2,FALSE)*VLOOKUP(Sheet1!$A1843,Sheet2!$B$5:$H$29,4,FALSE),0)</x:f>
        <x:v>0</x:v>
      </x:c>
      <x:c r="F1843">
        <x:f>ROUND($C1843*10*VLOOKUP($B1843,Sheet2!$J$5:$K$7,2,FALSE)*VLOOKUP(Sheet1!$A1843,Sheet2!$B$5:$H$29,5,FALSE),0)</x:f>
        <x:v>202</x:v>
      </x:c>
      <x:c r="G1843">
        <x:f>ROUND($C1843*10*VLOOKUP($B1843,Sheet2!$J$5:$K$7,2,FALSE)*VLOOKUP(Sheet1!$A1843,Sheet2!$B$5:$H$29,6,FALSE),0)</x:f>
        <x:v>0</x:v>
      </x:c>
      <x:c r="H1843">
        <x:f>ROUND($C1843*10*VLOOKUP($B1843,Sheet2!$J$5:$K$7,2,FALSE)*VLOOKUP(Sheet1!$A1843,Sheet2!$B$5:$H$29,7,FALSE),0)</x:f>
        <x:v>0</x:v>
      </x:c>
      <x:c r="I1843">
        <x:f t="shared" si="30"/>
        <x:v>17310</x:v>
      </x:c>
    </x:row>
    <x:row r="1844" spans="1:9" x14ac:dyDescent="0.15">
      <x:c r="A1844">
        <x:v>54101</x:v>
      </x:c>
      <x:c r="B1844">
        <x:v>1</x:v>
      </x:c>
      <x:c r="C1844">
        <x:v>43</x:v>
      </x:c>
      <x:c r="D1844">
        <x:f>ROUND($C1844*10*VLOOKUP($B1844,Sheet2!$J$5:$K$7,2,FALSE)*VLOOKUP(Sheet1!$A1844,Sheet2!$B$5:$H$29,3,FALSE),0)</x:f>
        <x:v>86</x:v>
      </x:c>
      <x:c r="E1844">
        <x:f>ROUND($C1844*10*VLOOKUP($B1844,Sheet2!$J$5:$K$7,2,FALSE)*VLOOKUP(Sheet1!$A1844,Sheet2!$B$5:$H$29,4,FALSE),0)</x:f>
        <x:v>0</x:v>
      </x:c>
      <x:c r="F1844">
        <x:f>ROUND($C1844*10*VLOOKUP($B1844,Sheet2!$J$5:$K$7,2,FALSE)*VLOOKUP(Sheet1!$A1844,Sheet2!$B$5:$H$29,5,FALSE),0)</x:f>
        <x:v>206</x:v>
      </x:c>
      <x:c r="G1844">
        <x:f>ROUND($C1844*10*VLOOKUP($B1844,Sheet2!$J$5:$K$7,2,FALSE)*VLOOKUP(Sheet1!$A1844,Sheet2!$B$5:$H$29,6,FALSE),0)</x:f>
        <x:v>0</x:v>
      </x:c>
      <x:c r="H1844">
        <x:f>ROUND($C1844*10*VLOOKUP($B1844,Sheet2!$J$5:$K$7,2,FALSE)*VLOOKUP(Sheet1!$A1844,Sheet2!$B$5:$H$29,7,FALSE),0)</x:f>
        <x:v>0</x:v>
      </x:c>
      <x:c r="I1844">
        <x:f t="shared" si="30"/>
        <x:v>18070</x:v>
      </x:c>
    </x:row>
    <x:row r="1845" spans="1:9" x14ac:dyDescent="0.15">
      <x:c r="A1845">
        <x:v>54101</x:v>
      </x:c>
      <x:c r="B1845">
        <x:v>1</x:v>
      </x:c>
      <x:c r="C1845">
        <x:v>44</x:v>
      </x:c>
      <x:c r="D1845">
        <x:f>ROUND($C1845*10*VLOOKUP($B1845,Sheet2!$J$5:$K$7,2,FALSE)*VLOOKUP(Sheet1!$A1845,Sheet2!$B$5:$H$29,3,FALSE),0)</x:f>
        <x:v>88</x:v>
      </x:c>
      <x:c r="E1845">
        <x:f>ROUND($C1845*10*VLOOKUP($B1845,Sheet2!$J$5:$K$7,2,FALSE)*VLOOKUP(Sheet1!$A1845,Sheet2!$B$5:$H$29,4,FALSE),0)</x:f>
        <x:v>0</x:v>
      </x:c>
      <x:c r="F1845">
        <x:f>ROUND($C1845*10*VLOOKUP($B1845,Sheet2!$J$5:$K$7,2,FALSE)*VLOOKUP(Sheet1!$A1845,Sheet2!$B$5:$H$29,5,FALSE),0)</x:f>
        <x:v>211</x:v>
      </x:c>
      <x:c r="G1845">
        <x:f>ROUND($C1845*10*VLOOKUP($B1845,Sheet2!$J$5:$K$7,2,FALSE)*VLOOKUP(Sheet1!$A1845,Sheet2!$B$5:$H$29,6,FALSE),0)</x:f>
        <x:v>0</x:v>
      </x:c>
      <x:c r="H1845">
        <x:f>ROUND($C1845*10*VLOOKUP($B1845,Sheet2!$J$5:$K$7,2,FALSE)*VLOOKUP(Sheet1!$A1845,Sheet2!$B$5:$H$29,7,FALSE),0)</x:f>
        <x:v>0</x:v>
      </x:c>
      <x:c r="I1845">
        <x:f t="shared" si="30"/>
        <x:v>18850</x:v>
      </x:c>
    </x:row>
    <x:row r="1846" spans="1:9" x14ac:dyDescent="0.15">
      <x:c r="A1846">
        <x:v>54101</x:v>
      </x:c>
      <x:c r="B1846">
        <x:v>1</x:v>
      </x:c>
      <x:c r="C1846">
        <x:v>45</x:v>
      </x:c>
      <x:c r="D1846">
        <x:f>ROUND($C1846*10*VLOOKUP($B1846,Sheet2!$J$5:$K$7,2,FALSE)*VLOOKUP(Sheet1!$A1846,Sheet2!$B$5:$H$29,3,FALSE),0)</x:f>
        <x:v>90</x:v>
      </x:c>
      <x:c r="E1846">
        <x:f>ROUND($C1846*10*VLOOKUP($B1846,Sheet2!$J$5:$K$7,2,FALSE)*VLOOKUP(Sheet1!$A1846,Sheet2!$B$5:$H$29,4,FALSE),0)</x:f>
        <x:v>0</x:v>
      </x:c>
      <x:c r="F1846">
        <x:f>ROUND($C1846*10*VLOOKUP($B1846,Sheet2!$J$5:$K$7,2,FALSE)*VLOOKUP(Sheet1!$A1846,Sheet2!$B$5:$H$29,5,FALSE),0)</x:f>
        <x:v>216</x:v>
      </x:c>
      <x:c r="G1846">
        <x:f>ROUND($C1846*10*VLOOKUP($B1846,Sheet2!$J$5:$K$7,2,FALSE)*VLOOKUP(Sheet1!$A1846,Sheet2!$B$5:$H$29,6,FALSE),0)</x:f>
        <x:v>0</x:v>
      </x:c>
      <x:c r="H1846">
        <x:f>ROUND($C1846*10*VLOOKUP($B1846,Sheet2!$J$5:$K$7,2,FALSE)*VLOOKUP(Sheet1!$A1846,Sheet2!$B$5:$H$29,7,FALSE),0)</x:f>
        <x:v>0</x:v>
      </x:c>
      <x:c r="I1846">
        <x:f t="shared" si="30"/>
        <x:v>19650</x:v>
      </x:c>
    </x:row>
    <x:row r="1847" spans="1:9" x14ac:dyDescent="0.15">
      <x:c r="A1847">
        <x:v>54101</x:v>
      </x:c>
      <x:c r="B1847">
        <x:v>1</x:v>
      </x:c>
      <x:c r="C1847">
        <x:v>46</x:v>
      </x:c>
      <x:c r="D1847">
        <x:f>ROUND($C1847*10*VLOOKUP($B1847,Sheet2!$J$5:$K$7,2,FALSE)*VLOOKUP(Sheet1!$A1847,Sheet2!$B$5:$H$29,3,FALSE),0)</x:f>
        <x:v>92</x:v>
      </x:c>
      <x:c r="E1847">
        <x:f>ROUND($C1847*10*VLOOKUP($B1847,Sheet2!$J$5:$K$7,2,FALSE)*VLOOKUP(Sheet1!$A1847,Sheet2!$B$5:$H$29,4,FALSE),0)</x:f>
        <x:v>0</x:v>
      </x:c>
      <x:c r="F1847">
        <x:f>ROUND($C1847*10*VLOOKUP($B1847,Sheet2!$J$5:$K$7,2,FALSE)*VLOOKUP(Sheet1!$A1847,Sheet2!$B$5:$H$29,5,FALSE),0)</x:f>
        <x:v>221</x:v>
      </x:c>
      <x:c r="G1847">
        <x:f>ROUND($C1847*10*VLOOKUP($B1847,Sheet2!$J$5:$K$7,2,FALSE)*VLOOKUP(Sheet1!$A1847,Sheet2!$B$5:$H$29,6,FALSE),0)</x:f>
        <x:v>0</x:v>
      </x:c>
      <x:c r="H1847">
        <x:f>ROUND($C1847*10*VLOOKUP($B1847,Sheet2!$J$5:$K$7,2,FALSE)*VLOOKUP(Sheet1!$A1847,Sheet2!$B$5:$H$29,7,FALSE),0)</x:f>
        <x:v>0</x:v>
      </x:c>
      <x:c r="I1847">
        <x:f t="shared" si="30"/>
        <x:v>20460</x:v>
      </x:c>
    </x:row>
    <x:row r="1848" spans="1:9" x14ac:dyDescent="0.15">
      <x:c r="A1848">
        <x:v>54101</x:v>
      </x:c>
      <x:c r="B1848">
        <x:v>1</x:v>
      </x:c>
      <x:c r="C1848">
        <x:v>47</x:v>
      </x:c>
      <x:c r="D1848">
        <x:f>ROUND($C1848*10*VLOOKUP($B1848,Sheet2!$J$5:$K$7,2,FALSE)*VLOOKUP(Sheet1!$A1848,Sheet2!$B$5:$H$29,3,FALSE),0)</x:f>
        <x:v>94</x:v>
      </x:c>
      <x:c r="E1848">
        <x:f>ROUND($C1848*10*VLOOKUP($B1848,Sheet2!$J$5:$K$7,2,FALSE)*VLOOKUP(Sheet1!$A1848,Sheet2!$B$5:$H$29,4,FALSE),0)</x:f>
        <x:v>0</x:v>
      </x:c>
      <x:c r="F1848">
        <x:f>ROUND($C1848*10*VLOOKUP($B1848,Sheet2!$J$5:$K$7,2,FALSE)*VLOOKUP(Sheet1!$A1848,Sheet2!$B$5:$H$29,5,FALSE),0)</x:f>
        <x:v>226</x:v>
      </x:c>
      <x:c r="G1848">
        <x:f>ROUND($C1848*10*VLOOKUP($B1848,Sheet2!$J$5:$K$7,2,FALSE)*VLOOKUP(Sheet1!$A1848,Sheet2!$B$5:$H$29,6,FALSE),0)</x:f>
        <x:v>0</x:v>
      </x:c>
      <x:c r="H1848">
        <x:f>ROUND($C1848*10*VLOOKUP($B1848,Sheet2!$J$5:$K$7,2,FALSE)*VLOOKUP(Sheet1!$A1848,Sheet2!$B$5:$H$29,7,FALSE),0)</x:f>
        <x:v>0</x:v>
      </x:c>
      <x:c r="I1848">
        <x:f t="shared" si="30"/>
        <x:v>21280</x:v>
      </x:c>
    </x:row>
    <x:row r="1849" spans="1:9" x14ac:dyDescent="0.15">
      <x:c r="A1849">
        <x:v>54101</x:v>
      </x:c>
      <x:c r="B1849">
        <x:v>1</x:v>
      </x:c>
      <x:c r="C1849">
        <x:v>48</x:v>
      </x:c>
      <x:c r="D1849">
        <x:f>ROUND($C1849*10*VLOOKUP($B1849,Sheet2!$J$5:$K$7,2,FALSE)*VLOOKUP(Sheet1!$A1849,Sheet2!$B$5:$H$29,3,FALSE),0)</x:f>
        <x:v>96</x:v>
      </x:c>
      <x:c r="E1849">
        <x:f>ROUND($C1849*10*VLOOKUP($B1849,Sheet2!$J$5:$K$7,2,FALSE)*VLOOKUP(Sheet1!$A1849,Sheet2!$B$5:$H$29,4,FALSE),0)</x:f>
        <x:v>0</x:v>
      </x:c>
      <x:c r="F1849">
        <x:f>ROUND($C1849*10*VLOOKUP($B1849,Sheet2!$J$5:$K$7,2,FALSE)*VLOOKUP(Sheet1!$A1849,Sheet2!$B$5:$H$29,5,FALSE),0)</x:f>
        <x:v>230</x:v>
      </x:c>
      <x:c r="G1849">
        <x:f>ROUND($C1849*10*VLOOKUP($B1849,Sheet2!$J$5:$K$7,2,FALSE)*VLOOKUP(Sheet1!$A1849,Sheet2!$B$5:$H$29,6,FALSE),0)</x:f>
        <x:v>0</x:v>
      </x:c>
      <x:c r="H1849">
        <x:f>ROUND($C1849*10*VLOOKUP($B1849,Sheet2!$J$5:$K$7,2,FALSE)*VLOOKUP(Sheet1!$A1849,Sheet2!$B$5:$H$29,7,FALSE),0)</x:f>
        <x:v>0</x:v>
      </x:c>
      <x:c r="I1849">
        <x:f t="shared" si="30"/>
        <x:v>22120</x:v>
      </x:c>
    </x:row>
    <x:row r="1850" spans="1:9" x14ac:dyDescent="0.15">
      <x:c r="A1850">
        <x:v>54101</x:v>
      </x:c>
      <x:c r="B1850">
        <x:v>1</x:v>
      </x:c>
      <x:c r="C1850">
        <x:v>49</x:v>
      </x:c>
      <x:c r="D1850">
        <x:f>ROUND($C1850*10*VLOOKUP($B1850,Sheet2!$J$5:$K$7,2,FALSE)*VLOOKUP(Sheet1!$A1850,Sheet2!$B$5:$H$29,3,FALSE),0)</x:f>
        <x:v>98</x:v>
      </x:c>
      <x:c r="E1850">
        <x:f>ROUND($C1850*10*VLOOKUP($B1850,Sheet2!$J$5:$K$7,2,FALSE)*VLOOKUP(Sheet1!$A1850,Sheet2!$B$5:$H$29,4,FALSE),0)</x:f>
        <x:v>0</x:v>
      </x:c>
      <x:c r="F1850">
        <x:f>ROUND($C1850*10*VLOOKUP($B1850,Sheet2!$J$5:$K$7,2,FALSE)*VLOOKUP(Sheet1!$A1850,Sheet2!$B$5:$H$29,5,FALSE),0)</x:f>
        <x:v>235</x:v>
      </x:c>
      <x:c r="G1850">
        <x:f>ROUND($C1850*10*VLOOKUP($B1850,Sheet2!$J$5:$K$7,2,FALSE)*VLOOKUP(Sheet1!$A1850,Sheet2!$B$5:$H$29,6,FALSE),0)</x:f>
        <x:v>0</x:v>
      </x:c>
      <x:c r="H1850">
        <x:f>ROUND($C1850*10*VLOOKUP($B1850,Sheet2!$J$5:$K$7,2,FALSE)*VLOOKUP(Sheet1!$A1850,Sheet2!$B$5:$H$29,7,FALSE),0)</x:f>
        <x:v>0</x:v>
      </x:c>
      <x:c r="I1850">
        <x:f t="shared" si="30"/>
        <x:v>22970</x:v>
      </x:c>
    </x:row>
    <x:row r="1851" spans="1:9" x14ac:dyDescent="0.15">
      <x:c r="A1851">
        <x:v>54101</x:v>
      </x:c>
      <x:c r="B1851">
        <x:v>1</x:v>
      </x:c>
      <x:c r="C1851">
        <x:v>50</x:v>
      </x:c>
      <x:c r="D1851">
        <x:f>ROUND($C1851*10*VLOOKUP($B1851,Sheet2!$J$5:$K$7,2,FALSE)*VLOOKUP(Sheet1!$A1851,Sheet2!$B$5:$H$29,3,FALSE),0)</x:f>
        <x:v>100</x:v>
      </x:c>
      <x:c r="E1851">
        <x:f>ROUND($C1851*10*VLOOKUP($B1851,Sheet2!$J$5:$K$7,2,FALSE)*VLOOKUP(Sheet1!$A1851,Sheet2!$B$5:$H$29,4,FALSE),0)</x:f>
        <x:v>0</x:v>
      </x:c>
      <x:c r="F1851">
        <x:f>ROUND($C1851*10*VLOOKUP($B1851,Sheet2!$J$5:$K$7,2,FALSE)*VLOOKUP(Sheet1!$A1851,Sheet2!$B$5:$H$29,5,FALSE),0)</x:f>
        <x:v>240</x:v>
      </x:c>
      <x:c r="G1851">
        <x:f>ROUND($C1851*10*VLOOKUP($B1851,Sheet2!$J$5:$K$7,2,FALSE)*VLOOKUP(Sheet1!$A1851,Sheet2!$B$5:$H$29,6,FALSE),0)</x:f>
        <x:v>0</x:v>
      </x:c>
      <x:c r="H1851">
        <x:f>ROUND($C1851*10*VLOOKUP($B1851,Sheet2!$J$5:$K$7,2,FALSE)*VLOOKUP(Sheet1!$A1851,Sheet2!$B$5:$H$29,7,FALSE),0)</x:f>
        <x:v>0</x:v>
      </x:c>
      <x:c r="I1851">
        <x:f t="shared" si="30"/>
        <x:v>23840</x:v>
      </x:c>
    </x:row>
    <x:row r="1852" spans="1:9" x14ac:dyDescent="0.15">
      <x:c r="A1852">
        <x:v>54101</x:v>
      </x:c>
      <x:c r="B1852">
        <x:v>1</x:v>
      </x:c>
      <x:c r="C1852">
        <x:v>51</x:v>
      </x:c>
      <x:c r="D1852">
        <x:f>ROUND($C1852*10*VLOOKUP($B1852,Sheet2!$J$5:$K$7,2,FALSE)*VLOOKUP(Sheet1!$A1852,Sheet2!$B$5:$H$29,3,FALSE),0)</x:f>
        <x:v>102</x:v>
      </x:c>
      <x:c r="E1852">
        <x:f>ROUND($C1852*10*VLOOKUP($B1852,Sheet2!$J$5:$K$7,2,FALSE)*VLOOKUP(Sheet1!$A1852,Sheet2!$B$5:$H$29,4,FALSE),0)</x:f>
        <x:v>0</x:v>
      </x:c>
      <x:c r="F1852">
        <x:f>ROUND($C1852*10*VLOOKUP($B1852,Sheet2!$J$5:$K$7,2,FALSE)*VLOOKUP(Sheet1!$A1852,Sheet2!$B$5:$H$29,5,FALSE),0)</x:f>
        <x:v>245</x:v>
      </x:c>
      <x:c r="G1852">
        <x:f>ROUND($C1852*10*VLOOKUP($B1852,Sheet2!$J$5:$K$7,2,FALSE)*VLOOKUP(Sheet1!$A1852,Sheet2!$B$5:$H$29,6,FALSE),0)</x:f>
        <x:v>0</x:v>
      </x:c>
      <x:c r="H1852">
        <x:f>ROUND($C1852*10*VLOOKUP($B1852,Sheet2!$J$5:$K$7,2,FALSE)*VLOOKUP(Sheet1!$A1852,Sheet2!$B$5:$H$29,7,FALSE),0)</x:f>
        <x:v>0</x:v>
      </x:c>
      <x:c r="I1852">
        <x:f t="shared" si="30"/>
        <x:v>24720</x:v>
      </x:c>
    </x:row>
    <x:row r="1853" spans="1:9" x14ac:dyDescent="0.15">
      <x:c r="A1853">
        <x:v>54101</x:v>
      </x:c>
      <x:c r="B1853">
        <x:v>1</x:v>
      </x:c>
      <x:c r="C1853">
        <x:v>52</x:v>
      </x:c>
      <x:c r="D1853">
        <x:f>ROUND($C1853*10*VLOOKUP($B1853,Sheet2!$J$5:$K$7,2,FALSE)*VLOOKUP(Sheet1!$A1853,Sheet2!$B$5:$H$29,3,FALSE),0)</x:f>
        <x:v>104</x:v>
      </x:c>
      <x:c r="E1853">
        <x:f>ROUND($C1853*10*VLOOKUP($B1853,Sheet2!$J$5:$K$7,2,FALSE)*VLOOKUP(Sheet1!$A1853,Sheet2!$B$5:$H$29,4,FALSE),0)</x:f>
        <x:v>0</x:v>
      </x:c>
      <x:c r="F1853">
        <x:f>ROUND($C1853*10*VLOOKUP($B1853,Sheet2!$J$5:$K$7,2,FALSE)*VLOOKUP(Sheet1!$A1853,Sheet2!$B$5:$H$29,5,FALSE),0)</x:f>
        <x:v>250</x:v>
      </x:c>
      <x:c r="G1853">
        <x:f>ROUND($C1853*10*VLOOKUP($B1853,Sheet2!$J$5:$K$7,2,FALSE)*VLOOKUP(Sheet1!$A1853,Sheet2!$B$5:$H$29,6,FALSE),0)</x:f>
        <x:v>0</x:v>
      </x:c>
      <x:c r="H1853">
        <x:f>ROUND($C1853*10*VLOOKUP($B1853,Sheet2!$J$5:$K$7,2,FALSE)*VLOOKUP(Sheet1!$A1853,Sheet2!$B$5:$H$29,7,FALSE),0)</x:f>
        <x:v>0</x:v>
      </x:c>
      <x:c r="I1853">
        <x:f t="shared" si="30"/>
        <x:v>25620</x:v>
      </x:c>
    </x:row>
    <x:row r="1854" spans="1:9" x14ac:dyDescent="0.15">
      <x:c r="A1854">
        <x:v>54101</x:v>
      </x:c>
      <x:c r="B1854">
        <x:v>1</x:v>
      </x:c>
      <x:c r="C1854">
        <x:v>53</x:v>
      </x:c>
      <x:c r="D1854">
        <x:f>ROUND($C1854*10*VLOOKUP($B1854,Sheet2!$J$5:$K$7,2,FALSE)*VLOOKUP(Sheet1!$A1854,Sheet2!$B$5:$H$29,3,FALSE),0)</x:f>
        <x:v>106</x:v>
      </x:c>
      <x:c r="E1854">
        <x:f>ROUND($C1854*10*VLOOKUP($B1854,Sheet2!$J$5:$K$7,2,FALSE)*VLOOKUP(Sheet1!$A1854,Sheet2!$B$5:$H$29,4,FALSE),0)</x:f>
        <x:v>0</x:v>
      </x:c>
      <x:c r="F1854">
        <x:f>ROUND($C1854*10*VLOOKUP($B1854,Sheet2!$J$5:$K$7,2,FALSE)*VLOOKUP(Sheet1!$A1854,Sheet2!$B$5:$H$29,5,FALSE),0)</x:f>
        <x:v>254</x:v>
      </x:c>
      <x:c r="G1854">
        <x:f>ROUND($C1854*10*VLOOKUP($B1854,Sheet2!$J$5:$K$7,2,FALSE)*VLOOKUP(Sheet1!$A1854,Sheet2!$B$5:$H$29,6,FALSE),0)</x:f>
        <x:v>0</x:v>
      </x:c>
      <x:c r="H1854">
        <x:f>ROUND($C1854*10*VLOOKUP($B1854,Sheet2!$J$5:$K$7,2,FALSE)*VLOOKUP(Sheet1!$A1854,Sheet2!$B$5:$H$29,7,FALSE),0)</x:f>
        <x:v>0</x:v>
      </x:c>
      <x:c r="I1854">
        <x:f t="shared" si="30"/>
        <x:v>26530</x:v>
      </x:c>
    </x:row>
    <x:row r="1855" spans="1:9" x14ac:dyDescent="0.15">
      <x:c r="A1855">
        <x:v>54101</x:v>
      </x:c>
      <x:c r="B1855">
        <x:v>1</x:v>
      </x:c>
      <x:c r="C1855">
        <x:v>54</x:v>
      </x:c>
      <x:c r="D1855">
        <x:f>ROUND($C1855*10*VLOOKUP($B1855,Sheet2!$J$5:$K$7,2,FALSE)*VLOOKUP(Sheet1!$A1855,Sheet2!$B$5:$H$29,3,FALSE),0)</x:f>
        <x:v>108</x:v>
      </x:c>
      <x:c r="E1855">
        <x:f>ROUND($C1855*10*VLOOKUP($B1855,Sheet2!$J$5:$K$7,2,FALSE)*VLOOKUP(Sheet1!$A1855,Sheet2!$B$5:$H$29,4,FALSE),0)</x:f>
        <x:v>0</x:v>
      </x:c>
      <x:c r="F1855">
        <x:f>ROUND($C1855*10*VLOOKUP($B1855,Sheet2!$J$5:$K$7,2,FALSE)*VLOOKUP(Sheet1!$A1855,Sheet2!$B$5:$H$29,5,FALSE),0)</x:f>
        <x:v>259</x:v>
      </x:c>
      <x:c r="G1855">
        <x:f>ROUND($C1855*10*VLOOKUP($B1855,Sheet2!$J$5:$K$7,2,FALSE)*VLOOKUP(Sheet1!$A1855,Sheet2!$B$5:$H$29,6,FALSE),0)</x:f>
        <x:v>0</x:v>
      </x:c>
      <x:c r="H1855">
        <x:f>ROUND($C1855*10*VLOOKUP($B1855,Sheet2!$J$5:$K$7,2,FALSE)*VLOOKUP(Sheet1!$A1855,Sheet2!$B$5:$H$29,7,FALSE),0)</x:f>
        <x:v>0</x:v>
      </x:c>
      <x:c r="I1855">
        <x:f t="shared" si="30"/>
        <x:v>27460</x:v>
      </x:c>
    </x:row>
    <x:row r="1856" spans="1:9" x14ac:dyDescent="0.15">
      <x:c r="A1856">
        <x:v>54101</x:v>
      </x:c>
      <x:c r="B1856">
        <x:v>1</x:v>
      </x:c>
      <x:c r="C1856">
        <x:v>55</x:v>
      </x:c>
      <x:c r="D1856">
        <x:f>ROUND($C1856*10*VLOOKUP($B1856,Sheet2!$J$5:$K$7,2,FALSE)*VLOOKUP(Sheet1!$A1856,Sheet2!$B$5:$H$29,3,FALSE),0)</x:f>
        <x:v>110</x:v>
      </x:c>
      <x:c r="E1856">
        <x:f>ROUND($C1856*10*VLOOKUP($B1856,Sheet2!$J$5:$K$7,2,FALSE)*VLOOKUP(Sheet1!$A1856,Sheet2!$B$5:$H$29,4,FALSE),0)</x:f>
        <x:v>0</x:v>
      </x:c>
      <x:c r="F1856">
        <x:f>ROUND($C1856*10*VLOOKUP($B1856,Sheet2!$J$5:$K$7,2,FALSE)*VLOOKUP(Sheet1!$A1856,Sheet2!$B$5:$H$29,5,FALSE),0)</x:f>
        <x:v>264</x:v>
      </x:c>
      <x:c r="G1856">
        <x:f>ROUND($C1856*10*VLOOKUP($B1856,Sheet2!$J$5:$K$7,2,FALSE)*VLOOKUP(Sheet1!$A1856,Sheet2!$B$5:$H$29,6,FALSE),0)</x:f>
        <x:v>0</x:v>
      </x:c>
      <x:c r="H1856">
        <x:f>ROUND($C1856*10*VLOOKUP($B1856,Sheet2!$J$5:$K$7,2,FALSE)*VLOOKUP(Sheet1!$A1856,Sheet2!$B$5:$H$29,7,FALSE),0)</x:f>
        <x:v>0</x:v>
      </x:c>
      <x:c r="I1856">
        <x:f t="shared" si="30"/>
        <x:v>28390</x:v>
      </x:c>
    </x:row>
    <x:row r="1857" spans="1:9" x14ac:dyDescent="0.15">
      <x:c r="A1857">
        <x:v>54101</x:v>
      </x:c>
      <x:c r="B1857">
        <x:v>1</x:v>
      </x:c>
      <x:c r="C1857">
        <x:v>56</x:v>
      </x:c>
      <x:c r="D1857">
        <x:f>ROUND($C1857*10*VLOOKUP($B1857,Sheet2!$J$5:$K$7,2,FALSE)*VLOOKUP(Sheet1!$A1857,Sheet2!$B$5:$H$29,3,FALSE),0)</x:f>
        <x:v>112</x:v>
      </x:c>
      <x:c r="E1857">
        <x:f>ROUND($C1857*10*VLOOKUP($B1857,Sheet2!$J$5:$K$7,2,FALSE)*VLOOKUP(Sheet1!$A1857,Sheet2!$B$5:$H$29,4,FALSE),0)</x:f>
        <x:v>0</x:v>
      </x:c>
      <x:c r="F1857">
        <x:f>ROUND($C1857*10*VLOOKUP($B1857,Sheet2!$J$5:$K$7,2,FALSE)*VLOOKUP(Sheet1!$A1857,Sheet2!$B$5:$H$29,5,FALSE),0)</x:f>
        <x:v>269</x:v>
      </x:c>
      <x:c r="G1857">
        <x:f>ROUND($C1857*10*VLOOKUP($B1857,Sheet2!$J$5:$K$7,2,FALSE)*VLOOKUP(Sheet1!$A1857,Sheet2!$B$5:$H$29,6,FALSE),0)</x:f>
        <x:v>0</x:v>
      </x:c>
      <x:c r="H1857">
        <x:f>ROUND($C1857*10*VLOOKUP($B1857,Sheet2!$J$5:$K$7,2,FALSE)*VLOOKUP(Sheet1!$A1857,Sheet2!$B$5:$H$29,7,FALSE),0)</x:f>
        <x:v>0</x:v>
      </x:c>
      <x:c r="I1857">
        <x:f t="shared" si="30"/>
        <x:v>29350</x:v>
      </x:c>
    </x:row>
    <x:row r="1858" spans="1:9" x14ac:dyDescent="0.15">
      <x:c r="A1858">
        <x:v>54101</x:v>
      </x:c>
      <x:c r="B1858">
        <x:v>1</x:v>
      </x:c>
      <x:c r="C1858">
        <x:v>57</x:v>
      </x:c>
      <x:c r="D1858">
        <x:f>ROUND($C1858*10*VLOOKUP($B1858,Sheet2!$J$5:$K$7,2,FALSE)*VLOOKUP(Sheet1!$A1858,Sheet2!$B$5:$H$29,3,FALSE),0)</x:f>
        <x:v>114</x:v>
      </x:c>
      <x:c r="E1858">
        <x:f>ROUND($C1858*10*VLOOKUP($B1858,Sheet2!$J$5:$K$7,2,FALSE)*VLOOKUP(Sheet1!$A1858,Sheet2!$B$5:$H$29,4,FALSE),0)</x:f>
        <x:v>0</x:v>
      </x:c>
      <x:c r="F1858">
        <x:f>ROUND($C1858*10*VLOOKUP($B1858,Sheet2!$J$5:$K$7,2,FALSE)*VLOOKUP(Sheet1!$A1858,Sheet2!$B$5:$H$29,5,FALSE),0)</x:f>
        <x:v>274</x:v>
      </x:c>
      <x:c r="G1858">
        <x:f>ROUND($C1858*10*VLOOKUP($B1858,Sheet2!$J$5:$K$7,2,FALSE)*VLOOKUP(Sheet1!$A1858,Sheet2!$B$5:$H$29,6,FALSE),0)</x:f>
        <x:v>0</x:v>
      </x:c>
      <x:c r="H1858">
        <x:f>ROUND($C1858*10*VLOOKUP($B1858,Sheet2!$J$5:$K$7,2,FALSE)*VLOOKUP(Sheet1!$A1858,Sheet2!$B$5:$H$29,7,FALSE),0)</x:f>
        <x:v>0</x:v>
      </x:c>
      <x:c r="I1858">
        <x:f t="shared" si="30"/>
        <x:v>30310</x:v>
      </x:c>
    </x:row>
    <x:row r="1859" spans="1:9" x14ac:dyDescent="0.15">
      <x:c r="A1859">
        <x:v>54101</x:v>
      </x:c>
      <x:c r="B1859">
        <x:v>1</x:v>
      </x:c>
      <x:c r="C1859">
        <x:v>58</x:v>
      </x:c>
      <x:c r="D1859">
        <x:f>ROUND($C1859*10*VLOOKUP($B1859,Sheet2!$J$5:$K$7,2,FALSE)*VLOOKUP(Sheet1!$A1859,Sheet2!$B$5:$H$29,3,FALSE),0)</x:f>
        <x:v>116</x:v>
      </x:c>
      <x:c r="E1859">
        <x:f>ROUND($C1859*10*VLOOKUP($B1859,Sheet2!$J$5:$K$7,2,FALSE)*VLOOKUP(Sheet1!$A1859,Sheet2!$B$5:$H$29,4,FALSE),0)</x:f>
        <x:v>0</x:v>
      </x:c>
      <x:c r="F1859">
        <x:f>ROUND($C1859*10*VLOOKUP($B1859,Sheet2!$J$5:$K$7,2,FALSE)*VLOOKUP(Sheet1!$A1859,Sheet2!$B$5:$H$29,5,FALSE),0)</x:f>
        <x:v>278</x:v>
      </x:c>
      <x:c r="G1859">
        <x:f>ROUND($C1859*10*VLOOKUP($B1859,Sheet2!$J$5:$K$7,2,FALSE)*VLOOKUP(Sheet1!$A1859,Sheet2!$B$5:$H$29,6,FALSE),0)</x:f>
        <x:v>0</x:v>
      </x:c>
      <x:c r="H1859">
        <x:f>ROUND($C1859*10*VLOOKUP($B1859,Sheet2!$J$5:$K$7,2,FALSE)*VLOOKUP(Sheet1!$A1859,Sheet2!$B$5:$H$29,7,FALSE),0)</x:f>
        <x:v>0</x:v>
      </x:c>
      <x:c r="I1859">
        <x:f t="shared" si="30"/>
        <x:v>31290</x:v>
      </x:c>
    </x:row>
    <x:row r="1860" spans="1:9" x14ac:dyDescent="0.15">
      <x:c r="A1860">
        <x:v>54101</x:v>
      </x:c>
      <x:c r="B1860">
        <x:v>1</x:v>
      </x:c>
      <x:c r="C1860">
        <x:v>59</x:v>
      </x:c>
      <x:c r="D1860">
        <x:f>ROUND($C1860*10*VLOOKUP($B1860,Sheet2!$J$5:$K$7,2,FALSE)*VLOOKUP(Sheet1!$A1860,Sheet2!$B$5:$H$29,3,FALSE),0)</x:f>
        <x:v>118</x:v>
      </x:c>
      <x:c r="E1860">
        <x:f>ROUND($C1860*10*VLOOKUP($B1860,Sheet2!$J$5:$K$7,2,FALSE)*VLOOKUP(Sheet1!$A1860,Sheet2!$B$5:$H$29,4,FALSE),0)</x:f>
        <x:v>0</x:v>
      </x:c>
      <x:c r="F1860">
        <x:f>ROUND($C1860*10*VLOOKUP($B1860,Sheet2!$J$5:$K$7,2,FALSE)*VLOOKUP(Sheet1!$A1860,Sheet2!$B$5:$H$29,5,FALSE),0)</x:f>
        <x:v>283</x:v>
      </x:c>
      <x:c r="G1860">
        <x:f>ROUND($C1860*10*VLOOKUP($B1860,Sheet2!$J$5:$K$7,2,FALSE)*VLOOKUP(Sheet1!$A1860,Sheet2!$B$5:$H$29,6,FALSE),0)</x:f>
        <x:v>0</x:v>
      </x:c>
      <x:c r="H1860">
        <x:f>ROUND($C1860*10*VLOOKUP($B1860,Sheet2!$J$5:$K$7,2,FALSE)*VLOOKUP(Sheet1!$A1860,Sheet2!$B$5:$H$29,7,FALSE),0)</x:f>
        <x:v>0</x:v>
      </x:c>
      <x:c r="I1860">
        <x:f t="shared" si="30"/>
        <x:v>32290</x:v>
      </x:c>
    </x:row>
    <x:row r="1861" spans="1:9" x14ac:dyDescent="0.15">
      <x:c r="A1861">
        <x:v>54101</x:v>
      </x:c>
      <x:c r="B1861">
        <x:v>1</x:v>
      </x:c>
      <x:c r="C1861">
        <x:v>60</x:v>
      </x:c>
      <x:c r="D1861">
        <x:f>ROUND($C1861*10*VLOOKUP($B1861,Sheet2!$J$5:$K$7,2,FALSE)*VLOOKUP(Sheet1!$A1861,Sheet2!$B$5:$H$29,3,FALSE),0)</x:f>
        <x:v>120</x:v>
      </x:c>
      <x:c r="E1861">
        <x:f>ROUND($C1861*10*VLOOKUP($B1861,Sheet2!$J$5:$K$7,2,FALSE)*VLOOKUP(Sheet1!$A1861,Sheet2!$B$5:$H$29,4,FALSE),0)</x:f>
        <x:v>0</x:v>
      </x:c>
      <x:c r="F1861">
        <x:f>ROUND($C1861*10*VLOOKUP($B1861,Sheet2!$J$5:$K$7,2,FALSE)*VLOOKUP(Sheet1!$A1861,Sheet2!$B$5:$H$29,5,FALSE),0)</x:f>
        <x:v>288</x:v>
      </x:c>
      <x:c r="G1861">
        <x:f>ROUND($C1861*10*VLOOKUP($B1861,Sheet2!$J$5:$K$7,2,FALSE)*VLOOKUP(Sheet1!$A1861,Sheet2!$B$5:$H$29,6,FALSE),0)</x:f>
        <x:v>0</x:v>
      </x:c>
      <x:c r="H1861">
        <x:f>ROUND($C1861*10*VLOOKUP($B1861,Sheet2!$J$5:$K$7,2,FALSE)*VLOOKUP(Sheet1!$A1861,Sheet2!$B$5:$H$29,7,FALSE),0)</x:f>
        <x:v>0</x:v>
      </x:c>
      <x:c r="I1861">
        <x:f t="shared" si="30"/>
        <x:v>33290</x:v>
      </x:c>
    </x:row>
    <x:row r="1862" spans="1:9" x14ac:dyDescent="0.15">
      <x:c r="A1862">
        <x:v>54101</x:v>
      </x:c>
      <x:c r="B1862">
        <x:v>2</x:v>
      </x:c>
      <x:c r="C1862">
        <x:v>1</x:v>
      </x:c>
      <x:c r="D1862">
        <x:f>ROUND($C1862*10*VLOOKUP($B1862,Sheet2!$J$5:$K$7,2,FALSE)*VLOOKUP(Sheet1!$A1862,Sheet2!$B$5:$H$29,3,FALSE),0)</x:f>
        <x:v>2</x:v>
      </x:c>
      <x:c r="E1862">
        <x:f>ROUND($C1862*10*VLOOKUP($B1862,Sheet2!$J$5:$K$7,2,FALSE)*VLOOKUP(Sheet1!$A1862,Sheet2!$B$5:$H$29,4,FALSE),0)</x:f>
        <x:v>0</x:v>
      </x:c>
      <x:c r="F1862">
        <x:f>ROUND($C1862*10*VLOOKUP($B1862,Sheet2!$J$5:$K$7,2,FALSE)*VLOOKUP(Sheet1!$A1862,Sheet2!$B$5:$H$29,5,FALSE),0)</x:f>
        <x:v>6</x:v>
      </x:c>
      <x:c r="G1862">
        <x:f>ROUND($C1862*10*VLOOKUP($B1862,Sheet2!$J$5:$K$7,2,FALSE)*VLOOKUP(Sheet1!$A1862,Sheet2!$B$5:$H$29,6,FALSE),0)</x:f>
        <x:v>0</x:v>
      </x:c>
      <x:c r="H1862">
        <x:f>ROUND($C1862*10*VLOOKUP($B1862,Sheet2!$J$5:$K$7,2,FALSE)*VLOOKUP(Sheet1!$A1862,Sheet2!$B$5:$H$29,7,FALSE),0)</x:f>
        <x:v>0</x:v>
      </x:c>
      <x:c r="I1862">
        <x:f t="shared" ref="I1862:I1921" si="31">ROUND(1.2*10*3.5*(C1862-1)^1.8+60,-1)</x:f>
        <x:v>60</x:v>
      </x:c>
    </x:row>
    <x:row r="1863" spans="1:9" x14ac:dyDescent="0.15">
      <x:c r="A1863">
        <x:v>54101</x:v>
      </x:c>
      <x:c r="B1863">
        <x:v>2</x:v>
      </x:c>
      <x:c r="C1863">
        <x:v>2</x:v>
      </x:c>
      <x:c r="D1863">
        <x:f>ROUND($C1863*10*VLOOKUP($B1863,Sheet2!$J$5:$K$7,2,FALSE)*VLOOKUP(Sheet1!$A1863,Sheet2!$B$5:$H$29,3,FALSE),0)</x:f>
        <x:v>5</x:v>
      </x:c>
      <x:c r="E1863">
        <x:f>ROUND($C1863*10*VLOOKUP($B1863,Sheet2!$J$5:$K$7,2,FALSE)*VLOOKUP(Sheet1!$A1863,Sheet2!$B$5:$H$29,4,FALSE),0)</x:f>
        <x:v>0</x:v>
      </x:c>
      <x:c r="F1863">
        <x:f>ROUND($C1863*10*VLOOKUP($B1863,Sheet2!$J$5:$K$7,2,FALSE)*VLOOKUP(Sheet1!$A1863,Sheet2!$B$5:$H$29,5,FALSE),0)</x:f>
        <x:v>12</x:v>
      </x:c>
      <x:c r="G1863">
        <x:f>ROUND($C1863*10*VLOOKUP($B1863,Sheet2!$J$5:$K$7,2,FALSE)*VLOOKUP(Sheet1!$A1863,Sheet2!$B$5:$H$29,6,FALSE),0)</x:f>
        <x:v>0</x:v>
      </x:c>
      <x:c r="H1863">
        <x:f>ROUND($C1863*10*VLOOKUP($B1863,Sheet2!$J$5:$K$7,2,FALSE)*VLOOKUP(Sheet1!$A1863,Sheet2!$B$5:$H$29,7,FALSE),0)</x:f>
        <x:v>0</x:v>
      </x:c>
      <x:c r="I1863">
        <x:f t="shared" si="31"/>
        <x:v>100</x:v>
      </x:c>
    </x:row>
    <x:row r="1864" spans="1:9" x14ac:dyDescent="0.15">
      <x:c r="A1864">
        <x:v>54101</x:v>
      </x:c>
      <x:c r="B1864">
        <x:v>2</x:v>
      </x:c>
      <x:c r="C1864">
        <x:v>3</x:v>
      </x:c>
      <x:c r="D1864">
        <x:f>ROUND($C1864*10*VLOOKUP($B1864,Sheet2!$J$5:$K$7,2,FALSE)*VLOOKUP(Sheet1!$A1864,Sheet2!$B$5:$H$29,3,FALSE),0)</x:f>
        <x:v>7</x:v>
      </x:c>
      <x:c r="E1864">
        <x:f>ROUND($C1864*10*VLOOKUP($B1864,Sheet2!$J$5:$K$7,2,FALSE)*VLOOKUP(Sheet1!$A1864,Sheet2!$B$5:$H$29,4,FALSE),0)</x:f>
        <x:v>0</x:v>
      </x:c>
      <x:c r="F1864">
        <x:f>ROUND($C1864*10*VLOOKUP($B1864,Sheet2!$J$5:$K$7,2,FALSE)*VLOOKUP(Sheet1!$A1864,Sheet2!$B$5:$H$29,5,FALSE),0)</x:f>
        <x:v>17</x:v>
      </x:c>
      <x:c r="G1864">
        <x:f>ROUND($C1864*10*VLOOKUP($B1864,Sheet2!$J$5:$K$7,2,FALSE)*VLOOKUP(Sheet1!$A1864,Sheet2!$B$5:$H$29,6,FALSE),0)</x:f>
        <x:v>0</x:v>
      </x:c>
      <x:c r="H1864">
        <x:f>ROUND($C1864*10*VLOOKUP($B1864,Sheet2!$J$5:$K$7,2,FALSE)*VLOOKUP(Sheet1!$A1864,Sheet2!$B$5:$H$29,7,FALSE),0)</x:f>
        <x:v>0</x:v>
      </x:c>
      <x:c r="I1864">
        <x:f t="shared" si="31"/>
        <x:v>210</x:v>
      </x:c>
    </x:row>
    <x:row r="1865" spans="1:9" x14ac:dyDescent="0.15">
      <x:c r="A1865">
        <x:v>54101</x:v>
      </x:c>
      <x:c r="B1865">
        <x:v>2</x:v>
      </x:c>
      <x:c r="C1865">
        <x:v>4</x:v>
      </x:c>
      <x:c r="D1865">
        <x:f>ROUND($C1865*10*VLOOKUP($B1865,Sheet2!$J$5:$K$7,2,FALSE)*VLOOKUP(Sheet1!$A1865,Sheet2!$B$5:$H$29,3,FALSE),0)</x:f>
        <x:v>10</x:v>
      </x:c>
      <x:c r="E1865">
        <x:f>ROUND($C1865*10*VLOOKUP($B1865,Sheet2!$J$5:$K$7,2,FALSE)*VLOOKUP(Sheet1!$A1865,Sheet2!$B$5:$H$29,4,FALSE),0)</x:f>
        <x:v>0</x:v>
      </x:c>
      <x:c r="F1865">
        <x:f>ROUND($C1865*10*VLOOKUP($B1865,Sheet2!$J$5:$K$7,2,FALSE)*VLOOKUP(Sheet1!$A1865,Sheet2!$B$5:$H$29,5,FALSE),0)</x:f>
        <x:v>23</x:v>
      </x:c>
      <x:c r="G1865">
        <x:f>ROUND($C1865*10*VLOOKUP($B1865,Sheet2!$J$5:$K$7,2,FALSE)*VLOOKUP(Sheet1!$A1865,Sheet2!$B$5:$H$29,6,FALSE),0)</x:f>
        <x:v>0</x:v>
      </x:c>
      <x:c r="H1865">
        <x:f>ROUND($C1865*10*VLOOKUP($B1865,Sheet2!$J$5:$K$7,2,FALSE)*VLOOKUP(Sheet1!$A1865,Sheet2!$B$5:$H$29,7,FALSE),0)</x:f>
        <x:v>0</x:v>
      </x:c>
      <x:c r="I1865">
        <x:f t="shared" si="31"/>
        <x:v>360</x:v>
      </x:c>
    </x:row>
    <x:row r="1866" spans="1:9" x14ac:dyDescent="0.15">
      <x:c r="A1866">
        <x:v>54101</x:v>
      </x:c>
      <x:c r="B1866">
        <x:v>2</x:v>
      </x:c>
      <x:c r="C1866">
        <x:v>5</x:v>
      </x:c>
      <x:c r="D1866">
        <x:f>ROUND($C1866*10*VLOOKUP($B1866,Sheet2!$J$5:$K$7,2,FALSE)*VLOOKUP(Sheet1!$A1866,Sheet2!$B$5:$H$29,3,FALSE),0)</x:f>
        <x:v>12</x:v>
      </x:c>
      <x:c r="E1866">
        <x:f>ROUND($C1866*10*VLOOKUP($B1866,Sheet2!$J$5:$K$7,2,FALSE)*VLOOKUP(Sheet1!$A1866,Sheet2!$B$5:$H$29,4,FALSE),0)</x:f>
        <x:v>0</x:v>
      </x:c>
      <x:c r="F1866">
        <x:f>ROUND($C1866*10*VLOOKUP($B1866,Sheet2!$J$5:$K$7,2,FALSE)*VLOOKUP(Sheet1!$A1866,Sheet2!$B$5:$H$29,5,FALSE),0)</x:f>
        <x:v>29</x:v>
      </x:c>
      <x:c r="G1866">
        <x:f>ROUND($C1866*10*VLOOKUP($B1866,Sheet2!$J$5:$K$7,2,FALSE)*VLOOKUP(Sheet1!$A1866,Sheet2!$B$5:$H$29,6,FALSE),0)</x:f>
        <x:v>0</x:v>
      </x:c>
      <x:c r="H1866">
        <x:f>ROUND($C1866*10*VLOOKUP($B1866,Sheet2!$J$5:$K$7,2,FALSE)*VLOOKUP(Sheet1!$A1866,Sheet2!$B$5:$H$29,7,FALSE),0)</x:f>
        <x:v>0</x:v>
      </x:c>
      <x:c r="I1866">
        <x:f t="shared" si="31"/>
        <x:v>570</x:v>
      </x:c>
    </x:row>
    <x:row r="1867" spans="1:9" x14ac:dyDescent="0.15">
      <x:c r="A1867">
        <x:v>54101</x:v>
      </x:c>
      <x:c r="B1867">
        <x:v>2</x:v>
      </x:c>
      <x:c r="C1867">
        <x:v>6</x:v>
      </x:c>
      <x:c r="D1867">
        <x:f>ROUND($C1867*10*VLOOKUP($B1867,Sheet2!$J$5:$K$7,2,FALSE)*VLOOKUP(Sheet1!$A1867,Sheet2!$B$5:$H$29,3,FALSE),0)</x:f>
        <x:v>14</x:v>
      </x:c>
      <x:c r="E1867">
        <x:f>ROUND($C1867*10*VLOOKUP($B1867,Sheet2!$J$5:$K$7,2,FALSE)*VLOOKUP(Sheet1!$A1867,Sheet2!$B$5:$H$29,4,FALSE),0)</x:f>
        <x:v>0</x:v>
      </x:c>
      <x:c r="F1867">
        <x:f>ROUND($C1867*10*VLOOKUP($B1867,Sheet2!$J$5:$K$7,2,FALSE)*VLOOKUP(Sheet1!$A1867,Sheet2!$B$5:$H$29,5,FALSE),0)</x:f>
        <x:v>35</x:v>
      </x:c>
      <x:c r="G1867">
        <x:f>ROUND($C1867*10*VLOOKUP($B1867,Sheet2!$J$5:$K$7,2,FALSE)*VLOOKUP(Sheet1!$A1867,Sheet2!$B$5:$H$29,6,FALSE),0)</x:f>
        <x:v>0</x:v>
      </x:c>
      <x:c r="H1867">
        <x:f>ROUND($C1867*10*VLOOKUP($B1867,Sheet2!$J$5:$K$7,2,FALSE)*VLOOKUP(Sheet1!$A1867,Sheet2!$B$5:$H$29,7,FALSE),0)</x:f>
        <x:v>0</x:v>
      </x:c>
      <x:c r="I1867">
        <x:f t="shared" si="31"/>
        <x:v>820</x:v>
      </x:c>
    </x:row>
    <x:row r="1868" spans="1:9" x14ac:dyDescent="0.15">
      <x:c r="A1868">
        <x:v>54101</x:v>
      </x:c>
      <x:c r="B1868">
        <x:v>2</x:v>
      </x:c>
      <x:c r="C1868">
        <x:v>7</x:v>
      </x:c>
      <x:c r="D1868">
        <x:f>ROUND($C1868*10*VLOOKUP($B1868,Sheet2!$J$5:$K$7,2,FALSE)*VLOOKUP(Sheet1!$A1868,Sheet2!$B$5:$H$29,3,FALSE),0)</x:f>
        <x:v>17</x:v>
      </x:c>
      <x:c r="E1868">
        <x:f>ROUND($C1868*10*VLOOKUP($B1868,Sheet2!$J$5:$K$7,2,FALSE)*VLOOKUP(Sheet1!$A1868,Sheet2!$B$5:$H$29,4,FALSE),0)</x:f>
        <x:v>0</x:v>
      </x:c>
      <x:c r="F1868">
        <x:f>ROUND($C1868*10*VLOOKUP($B1868,Sheet2!$J$5:$K$7,2,FALSE)*VLOOKUP(Sheet1!$A1868,Sheet2!$B$5:$H$29,5,FALSE),0)</x:f>
        <x:v>40</x:v>
      </x:c>
      <x:c r="G1868">
        <x:f>ROUND($C1868*10*VLOOKUP($B1868,Sheet2!$J$5:$K$7,2,FALSE)*VLOOKUP(Sheet1!$A1868,Sheet2!$B$5:$H$29,6,FALSE),0)</x:f>
        <x:v>0</x:v>
      </x:c>
      <x:c r="H1868">
        <x:f>ROUND($C1868*10*VLOOKUP($B1868,Sheet2!$J$5:$K$7,2,FALSE)*VLOOKUP(Sheet1!$A1868,Sheet2!$B$5:$H$29,7,FALSE),0)</x:f>
        <x:v>0</x:v>
      </x:c>
      <x:c r="I1868">
        <x:f t="shared" si="31"/>
        <x:v>1120</x:v>
      </x:c>
    </x:row>
    <x:row r="1869" spans="1:9" x14ac:dyDescent="0.15">
      <x:c r="A1869">
        <x:v>54101</x:v>
      </x:c>
      <x:c r="B1869">
        <x:v>2</x:v>
      </x:c>
      <x:c r="C1869">
        <x:v>8</x:v>
      </x:c>
      <x:c r="D1869">
        <x:f>ROUND($C1869*10*VLOOKUP($B1869,Sheet2!$J$5:$K$7,2,FALSE)*VLOOKUP(Sheet1!$A1869,Sheet2!$B$5:$H$29,3,FALSE),0)</x:f>
        <x:v>19</x:v>
      </x:c>
      <x:c r="E1869">
        <x:f>ROUND($C1869*10*VLOOKUP($B1869,Sheet2!$J$5:$K$7,2,FALSE)*VLOOKUP(Sheet1!$A1869,Sheet2!$B$5:$H$29,4,FALSE),0)</x:f>
        <x:v>0</x:v>
      </x:c>
      <x:c r="F1869">
        <x:f>ROUND($C1869*10*VLOOKUP($B1869,Sheet2!$J$5:$K$7,2,FALSE)*VLOOKUP(Sheet1!$A1869,Sheet2!$B$5:$H$29,5,FALSE),0)</x:f>
        <x:v>46</x:v>
      </x:c>
      <x:c r="G1869">
        <x:f>ROUND($C1869*10*VLOOKUP($B1869,Sheet2!$J$5:$K$7,2,FALSE)*VLOOKUP(Sheet1!$A1869,Sheet2!$B$5:$H$29,6,FALSE),0)</x:f>
        <x:v>0</x:v>
      </x:c>
      <x:c r="H1869">
        <x:f>ROUND($C1869*10*VLOOKUP($B1869,Sheet2!$J$5:$K$7,2,FALSE)*VLOOKUP(Sheet1!$A1869,Sheet2!$B$5:$H$29,7,FALSE),0)</x:f>
        <x:v>0</x:v>
      </x:c>
      <x:c r="I1869">
        <x:f t="shared" si="31"/>
        <x:v>1450</x:v>
      </x:c>
    </x:row>
    <x:row r="1870" spans="1:9" x14ac:dyDescent="0.15">
      <x:c r="A1870">
        <x:v>54101</x:v>
      </x:c>
      <x:c r="B1870">
        <x:v>2</x:v>
      </x:c>
      <x:c r="C1870">
        <x:v>9</x:v>
      </x:c>
      <x:c r="D1870">
        <x:f>ROUND($C1870*10*VLOOKUP($B1870,Sheet2!$J$5:$K$7,2,FALSE)*VLOOKUP(Sheet1!$A1870,Sheet2!$B$5:$H$29,3,FALSE),0)</x:f>
        <x:v>22</x:v>
      </x:c>
      <x:c r="E1870">
        <x:f>ROUND($C1870*10*VLOOKUP($B1870,Sheet2!$J$5:$K$7,2,FALSE)*VLOOKUP(Sheet1!$A1870,Sheet2!$B$5:$H$29,4,FALSE),0)</x:f>
        <x:v>0</x:v>
      </x:c>
      <x:c r="F1870">
        <x:f>ROUND($C1870*10*VLOOKUP($B1870,Sheet2!$J$5:$K$7,2,FALSE)*VLOOKUP(Sheet1!$A1870,Sheet2!$B$5:$H$29,5,FALSE),0)</x:f>
        <x:v>52</x:v>
      </x:c>
      <x:c r="G1870">
        <x:f>ROUND($C1870*10*VLOOKUP($B1870,Sheet2!$J$5:$K$7,2,FALSE)*VLOOKUP(Sheet1!$A1870,Sheet2!$B$5:$H$29,6,FALSE),0)</x:f>
        <x:v>0</x:v>
      </x:c>
      <x:c r="H1870">
        <x:f>ROUND($C1870*10*VLOOKUP($B1870,Sheet2!$J$5:$K$7,2,FALSE)*VLOOKUP(Sheet1!$A1870,Sheet2!$B$5:$H$29,7,FALSE),0)</x:f>
        <x:v>0</x:v>
      </x:c>
      <x:c r="I1870">
        <x:f t="shared" si="31"/>
        <x:v>1830</x:v>
      </x:c>
    </x:row>
    <x:row r="1871" spans="1:9" x14ac:dyDescent="0.15">
      <x:c r="A1871">
        <x:v>54101</x:v>
      </x:c>
      <x:c r="B1871">
        <x:v>2</x:v>
      </x:c>
      <x:c r="C1871">
        <x:v>10</x:v>
      </x:c>
      <x:c r="D1871">
        <x:f>ROUND($C1871*10*VLOOKUP($B1871,Sheet2!$J$5:$K$7,2,FALSE)*VLOOKUP(Sheet1!$A1871,Sheet2!$B$5:$H$29,3,FALSE),0)</x:f>
        <x:v>24</x:v>
      </x:c>
      <x:c r="E1871">
        <x:f>ROUND($C1871*10*VLOOKUP($B1871,Sheet2!$J$5:$K$7,2,FALSE)*VLOOKUP(Sheet1!$A1871,Sheet2!$B$5:$H$29,4,FALSE),0)</x:f>
        <x:v>0</x:v>
      </x:c>
      <x:c r="F1871">
        <x:f>ROUND($C1871*10*VLOOKUP($B1871,Sheet2!$J$5:$K$7,2,FALSE)*VLOOKUP(Sheet1!$A1871,Sheet2!$B$5:$H$29,5,FALSE),0)</x:f>
        <x:v>58</x:v>
      </x:c>
      <x:c r="G1871">
        <x:f>ROUND($C1871*10*VLOOKUP($B1871,Sheet2!$J$5:$K$7,2,FALSE)*VLOOKUP(Sheet1!$A1871,Sheet2!$B$5:$H$29,6,FALSE),0)</x:f>
        <x:v>0</x:v>
      </x:c>
      <x:c r="H1871">
        <x:f>ROUND($C1871*10*VLOOKUP($B1871,Sheet2!$J$5:$K$7,2,FALSE)*VLOOKUP(Sheet1!$A1871,Sheet2!$B$5:$H$29,7,FALSE),0)</x:f>
        <x:v>0</x:v>
      </x:c>
      <x:c r="I1871">
        <x:f t="shared" si="31"/>
        <x:v>2250</x:v>
      </x:c>
    </x:row>
    <x:row r="1872" spans="1:9" x14ac:dyDescent="0.15">
      <x:c r="A1872">
        <x:v>54101</x:v>
      </x:c>
      <x:c r="B1872">
        <x:v>2</x:v>
      </x:c>
      <x:c r="C1872">
        <x:v>11</x:v>
      </x:c>
      <x:c r="D1872">
        <x:f>ROUND($C1872*10*VLOOKUP($B1872,Sheet2!$J$5:$K$7,2,FALSE)*VLOOKUP(Sheet1!$A1872,Sheet2!$B$5:$H$29,3,FALSE),0)</x:f>
        <x:v>26</x:v>
      </x:c>
      <x:c r="E1872">
        <x:f>ROUND($C1872*10*VLOOKUP($B1872,Sheet2!$J$5:$K$7,2,FALSE)*VLOOKUP(Sheet1!$A1872,Sheet2!$B$5:$H$29,4,FALSE),0)</x:f>
        <x:v>0</x:v>
      </x:c>
      <x:c r="F1872">
        <x:f>ROUND($C1872*10*VLOOKUP($B1872,Sheet2!$J$5:$K$7,2,FALSE)*VLOOKUP(Sheet1!$A1872,Sheet2!$B$5:$H$29,5,FALSE),0)</x:f>
        <x:v>63</x:v>
      </x:c>
      <x:c r="G1872">
        <x:f>ROUND($C1872*10*VLOOKUP($B1872,Sheet2!$J$5:$K$7,2,FALSE)*VLOOKUP(Sheet1!$A1872,Sheet2!$B$5:$H$29,6,FALSE),0)</x:f>
        <x:v>0</x:v>
      </x:c>
      <x:c r="H1872">
        <x:f>ROUND($C1872*10*VLOOKUP($B1872,Sheet2!$J$5:$K$7,2,FALSE)*VLOOKUP(Sheet1!$A1872,Sheet2!$B$5:$H$29,7,FALSE),0)</x:f>
        <x:v>0</x:v>
      </x:c>
      <x:c r="I1872">
        <x:f t="shared" si="31"/>
        <x:v>2710</x:v>
      </x:c>
    </x:row>
    <x:row r="1873" spans="1:9" x14ac:dyDescent="0.15">
      <x:c r="A1873">
        <x:v>54101</x:v>
      </x:c>
      <x:c r="B1873">
        <x:v>2</x:v>
      </x:c>
      <x:c r="C1873">
        <x:v>12</x:v>
      </x:c>
      <x:c r="D1873">
        <x:f>ROUND($C1873*10*VLOOKUP($B1873,Sheet2!$J$5:$K$7,2,FALSE)*VLOOKUP(Sheet1!$A1873,Sheet2!$B$5:$H$29,3,FALSE),0)</x:f>
        <x:v>29</x:v>
      </x:c>
      <x:c r="E1873">
        <x:f>ROUND($C1873*10*VLOOKUP($B1873,Sheet2!$J$5:$K$7,2,FALSE)*VLOOKUP(Sheet1!$A1873,Sheet2!$B$5:$H$29,4,FALSE),0)</x:f>
        <x:v>0</x:v>
      </x:c>
      <x:c r="F1873">
        <x:f>ROUND($C1873*10*VLOOKUP($B1873,Sheet2!$J$5:$K$7,2,FALSE)*VLOOKUP(Sheet1!$A1873,Sheet2!$B$5:$H$29,5,FALSE),0)</x:f>
        <x:v>69</x:v>
      </x:c>
      <x:c r="G1873">
        <x:f>ROUND($C1873*10*VLOOKUP($B1873,Sheet2!$J$5:$K$7,2,FALSE)*VLOOKUP(Sheet1!$A1873,Sheet2!$B$5:$H$29,6,FALSE),0)</x:f>
        <x:v>0</x:v>
      </x:c>
      <x:c r="H1873">
        <x:f>ROUND($C1873*10*VLOOKUP($B1873,Sheet2!$J$5:$K$7,2,FALSE)*VLOOKUP(Sheet1!$A1873,Sheet2!$B$5:$H$29,7,FALSE),0)</x:f>
        <x:v>0</x:v>
      </x:c>
      <x:c r="I1873">
        <x:f t="shared" si="31"/>
        <x:v>3210</x:v>
      </x:c>
    </x:row>
    <x:row r="1874" spans="1:9" x14ac:dyDescent="0.15">
      <x:c r="A1874">
        <x:v>54101</x:v>
      </x:c>
      <x:c r="B1874">
        <x:v>2</x:v>
      </x:c>
      <x:c r="C1874">
        <x:v>13</x:v>
      </x:c>
      <x:c r="D1874">
        <x:f>ROUND($C1874*10*VLOOKUP($B1874,Sheet2!$J$5:$K$7,2,FALSE)*VLOOKUP(Sheet1!$A1874,Sheet2!$B$5:$H$29,3,FALSE),0)</x:f>
        <x:v>31</x:v>
      </x:c>
      <x:c r="E1874">
        <x:f>ROUND($C1874*10*VLOOKUP($B1874,Sheet2!$J$5:$K$7,2,FALSE)*VLOOKUP(Sheet1!$A1874,Sheet2!$B$5:$H$29,4,FALSE),0)</x:f>
        <x:v>0</x:v>
      </x:c>
      <x:c r="F1874">
        <x:f>ROUND($C1874*10*VLOOKUP($B1874,Sheet2!$J$5:$K$7,2,FALSE)*VLOOKUP(Sheet1!$A1874,Sheet2!$B$5:$H$29,5,FALSE),0)</x:f>
        <x:v>75</x:v>
      </x:c>
      <x:c r="G1874">
        <x:f>ROUND($C1874*10*VLOOKUP($B1874,Sheet2!$J$5:$K$7,2,FALSE)*VLOOKUP(Sheet1!$A1874,Sheet2!$B$5:$H$29,6,FALSE),0)</x:f>
        <x:v>0</x:v>
      </x:c>
      <x:c r="H1874">
        <x:f>ROUND($C1874*10*VLOOKUP($B1874,Sheet2!$J$5:$K$7,2,FALSE)*VLOOKUP(Sheet1!$A1874,Sheet2!$B$5:$H$29,7,FALSE),0)</x:f>
        <x:v>0</x:v>
      </x:c>
      <x:c r="I1874">
        <x:f t="shared" si="31"/>
        <x:v>3740</x:v>
      </x:c>
    </x:row>
    <x:row r="1875" spans="1:9" x14ac:dyDescent="0.15">
      <x:c r="A1875">
        <x:v>54101</x:v>
      </x:c>
      <x:c r="B1875">
        <x:v>2</x:v>
      </x:c>
      <x:c r="C1875">
        <x:v>14</x:v>
      </x:c>
      <x:c r="D1875">
        <x:f>ROUND($C1875*10*VLOOKUP($B1875,Sheet2!$J$5:$K$7,2,FALSE)*VLOOKUP(Sheet1!$A1875,Sheet2!$B$5:$H$29,3,FALSE),0)</x:f>
        <x:v>34</x:v>
      </x:c>
      <x:c r="E1875">
        <x:f>ROUND($C1875*10*VLOOKUP($B1875,Sheet2!$J$5:$K$7,2,FALSE)*VLOOKUP(Sheet1!$A1875,Sheet2!$B$5:$H$29,4,FALSE),0)</x:f>
        <x:v>0</x:v>
      </x:c>
      <x:c r="F1875">
        <x:f>ROUND($C1875*10*VLOOKUP($B1875,Sheet2!$J$5:$K$7,2,FALSE)*VLOOKUP(Sheet1!$A1875,Sheet2!$B$5:$H$29,5,FALSE),0)</x:f>
        <x:v>81</x:v>
      </x:c>
      <x:c r="G1875">
        <x:f>ROUND($C1875*10*VLOOKUP($B1875,Sheet2!$J$5:$K$7,2,FALSE)*VLOOKUP(Sheet1!$A1875,Sheet2!$B$5:$H$29,6,FALSE),0)</x:f>
        <x:v>0</x:v>
      </x:c>
      <x:c r="H1875">
        <x:f>ROUND($C1875*10*VLOOKUP($B1875,Sheet2!$J$5:$K$7,2,FALSE)*VLOOKUP(Sheet1!$A1875,Sheet2!$B$5:$H$29,7,FALSE),0)</x:f>
        <x:v>0</x:v>
      </x:c>
      <x:c r="I1875">
        <x:f t="shared" si="31"/>
        <x:v>4310</x:v>
      </x:c>
    </x:row>
    <x:row r="1876" spans="1:9" x14ac:dyDescent="0.15">
      <x:c r="A1876">
        <x:v>54101</x:v>
      </x:c>
      <x:c r="B1876">
        <x:v>2</x:v>
      </x:c>
      <x:c r="C1876">
        <x:v>15</x:v>
      </x:c>
      <x:c r="D1876">
        <x:f>ROUND($C1876*10*VLOOKUP($B1876,Sheet2!$J$5:$K$7,2,FALSE)*VLOOKUP(Sheet1!$A1876,Sheet2!$B$5:$H$29,3,FALSE),0)</x:f>
        <x:v>36</x:v>
      </x:c>
      <x:c r="E1876">
        <x:f>ROUND($C1876*10*VLOOKUP($B1876,Sheet2!$J$5:$K$7,2,FALSE)*VLOOKUP(Sheet1!$A1876,Sheet2!$B$5:$H$29,4,FALSE),0)</x:f>
        <x:v>0</x:v>
      </x:c>
      <x:c r="F1876">
        <x:f>ROUND($C1876*10*VLOOKUP($B1876,Sheet2!$J$5:$K$7,2,FALSE)*VLOOKUP(Sheet1!$A1876,Sheet2!$B$5:$H$29,5,FALSE),0)</x:f>
        <x:v>86</x:v>
      </x:c>
      <x:c r="G1876">
        <x:f>ROUND($C1876*10*VLOOKUP($B1876,Sheet2!$J$5:$K$7,2,FALSE)*VLOOKUP(Sheet1!$A1876,Sheet2!$B$5:$H$29,6,FALSE),0)</x:f>
        <x:v>0</x:v>
      </x:c>
      <x:c r="H1876">
        <x:f>ROUND($C1876*10*VLOOKUP($B1876,Sheet2!$J$5:$K$7,2,FALSE)*VLOOKUP(Sheet1!$A1876,Sheet2!$B$5:$H$29,7,FALSE),0)</x:f>
        <x:v>0</x:v>
      </x:c>
      <x:c r="I1876">
        <x:f t="shared" si="31"/>
        <x:v>4920</x:v>
      </x:c>
    </x:row>
    <x:row r="1877" spans="1:9" x14ac:dyDescent="0.15">
      <x:c r="A1877">
        <x:v>54101</x:v>
      </x:c>
      <x:c r="B1877">
        <x:v>2</x:v>
      </x:c>
      <x:c r="C1877">
        <x:v>16</x:v>
      </x:c>
      <x:c r="D1877">
        <x:f>ROUND($C1877*10*VLOOKUP($B1877,Sheet2!$J$5:$K$7,2,FALSE)*VLOOKUP(Sheet1!$A1877,Sheet2!$B$5:$H$29,3,FALSE),0)</x:f>
        <x:v>38</x:v>
      </x:c>
      <x:c r="E1877">
        <x:f>ROUND($C1877*10*VLOOKUP($B1877,Sheet2!$J$5:$K$7,2,FALSE)*VLOOKUP(Sheet1!$A1877,Sheet2!$B$5:$H$29,4,FALSE),0)</x:f>
        <x:v>0</x:v>
      </x:c>
      <x:c r="F1877">
        <x:f>ROUND($C1877*10*VLOOKUP($B1877,Sheet2!$J$5:$K$7,2,FALSE)*VLOOKUP(Sheet1!$A1877,Sheet2!$B$5:$H$29,5,FALSE),0)</x:f>
        <x:v>92</x:v>
      </x:c>
      <x:c r="G1877">
        <x:f>ROUND($C1877*10*VLOOKUP($B1877,Sheet2!$J$5:$K$7,2,FALSE)*VLOOKUP(Sheet1!$A1877,Sheet2!$B$5:$H$29,6,FALSE),0)</x:f>
        <x:v>0</x:v>
      </x:c>
      <x:c r="H1877">
        <x:f>ROUND($C1877*10*VLOOKUP($B1877,Sheet2!$J$5:$K$7,2,FALSE)*VLOOKUP(Sheet1!$A1877,Sheet2!$B$5:$H$29,7,FALSE),0)</x:f>
        <x:v>0</x:v>
      </x:c>
      <x:c r="I1877">
        <x:f t="shared" si="31"/>
        <x:v>5560</x:v>
      </x:c>
    </x:row>
    <x:row r="1878" spans="1:9" x14ac:dyDescent="0.15">
      <x:c r="A1878">
        <x:v>54101</x:v>
      </x:c>
      <x:c r="B1878">
        <x:v>2</x:v>
      </x:c>
      <x:c r="C1878">
        <x:v>17</x:v>
      </x:c>
      <x:c r="D1878">
        <x:f>ROUND($C1878*10*VLOOKUP($B1878,Sheet2!$J$5:$K$7,2,FALSE)*VLOOKUP(Sheet1!$A1878,Sheet2!$B$5:$H$29,3,FALSE),0)</x:f>
        <x:v>41</x:v>
      </x:c>
      <x:c r="E1878">
        <x:f>ROUND($C1878*10*VLOOKUP($B1878,Sheet2!$J$5:$K$7,2,FALSE)*VLOOKUP(Sheet1!$A1878,Sheet2!$B$5:$H$29,4,FALSE),0)</x:f>
        <x:v>0</x:v>
      </x:c>
      <x:c r="F1878">
        <x:f>ROUND($C1878*10*VLOOKUP($B1878,Sheet2!$J$5:$K$7,2,FALSE)*VLOOKUP(Sheet1!$A1878,Sheet2!$B$5:$H$29,5,FALSE),0)</x:f>
        <x:v>98</x:v>
      </x:c>
      <x:c r="G1878">
        <x:f>ROUND($C1878*10*VLOOKUP($B1878,Sheet2!$J$5:$K$7,2,FALSE)*VLOOKUP(Sheet1!$A1878,Sheet2!$B$5:$H$29,6,FALSE),0)</x:f>
        <x:v>0</x:v>
      </x:c>
      <x:c r="H1878">
        <x:f>ROUND($C1878*10*VLOOKUP($B1878,Sheet2!$J$5:$K$7,2,FALSE)*VLOOKUP(Sheet1!$A1878,Sheet2!$B$5:$H$29,7,FALSE),0)</x:f>
        <x:v>0</x:v>
      </x:c>
      <x:c r="I1878">
        <x:f t="shared" si="31"/>
        <x:v>6240</x:v>
      </x:c>
    </x:row>
    <x:row r="1879" spans="1:9" x14ac:dyDescent="0.15">
      <x:c r="A1879">
        <x:v>54101</x:v>
      </x:c>
      <x:c r="B1879">
        <x:v>2</x:v>
      </x:c>
      <x:c r="C1879">
        <x:v>18</x:v>
      </x:c>
      <x:c r="D1879">
        <x:f>ROUND($C1879*10*VLOOKUP($B1879,Sheet2!$J$5:$K$7,2,FALSE)*VLOOKUP(Sheet1!$A1879,Sheet2!$B$5:$H$29,3,FALSE),0)</x:f>
        <x:v>43</x:v>
      </x:c>
      <x:c r="E1879">
        <x:f>ROUND($C1879*10*VLOOKUP($B1879,Sheet2!$J$5:$K$7,2,FALSE)*VLOOKUP(Sheet1!$A1879,Sheet2!$B$5:$H$29,4,FALSE),0)</x:f>
        <x:v>0</x:v>
      </x:c>
      <x:c r="F1879">
        <x:f>ROUND($C1879*10*VLOOKUP($B1879,Sheet2!$J$5:$K$7,2,FALSE)*VLOOKUP(Sheet1!$A1879,Sheet2!$B$5:$H$29,5,FALSE),0)</x:f>
        <x:v>104</x:v>
      </x:c>
      <x:c r="G1879">
        <x:f>ROUND($C1879*10*VLOOKUP($B1879,Sheet2!$J$5:$K$7,2,FALSE)*VLOOKUP(Sheet1!$A1879,Sheet2!$B$5:$H$29,6,FALSE),0)</x:f>
        <x:v>0</x:v>
      </x:c>
      <x:c r="H1879">
        <x:f>ROUND($C1879*10*VLOOKUP($B1879,Sheet2!$J$5:$K$7,2,FALSE)*VLOOKUP(Sheet1!$A1879,Sheet2!$B$5:$H$29,7,FALSE),0)</x:f>
        <x:v>0</x:v>
      </x:c>
      <x:c r="I1879">
        <x:f t="shared" si="31"/>
        <x:v>6950</x:v>
      </x:c>
    </x:row>
    <x:row r="1880" spans="1:9" x14ac:dyDescent="0.15">
      <x:c r="A1880">
        <x:v>54101</x:v>
      </x:c>
      <x:c r="B1880">
        <x:v>2</x:v>
      </x:c>
      <x:c r="C1880">
        <x:v>19</x:v>
      </x:c>
      <x:c r="D1880">
        <x:f>ROUND($C1880*10*VLOOKUP($B1880,Sheet2!$J$5:$K$7,2,FALSE)*VLOOKUP(Sheet1!$A1880,Sheet2!$B$5:$H$29,3,FALSE),0)</x:f>
        <x:v>46</x:v>
      </x:c>
      <x:c r="E1880">
        <x:f>ROUND($C1880*10*VLOOKUP($B1880,Sheet2!$J$5:$K$7,2,FALSE)*VLOOKUP(Sheet1!$A1880,Sheet2!$B$5:$H$29,4,FALSE),0)</x:f>
        <x:v>0</x:v>
      </x:c>
      <x:c r="F1880">
        <x:f>ROUND($C1880*10*VLOOKUP($B1880,Sheet2!$J$5:$K$7,2,FALSE)*VLOOKUP(Sheet1!$A1880,Sheet2!$B$5:$H$29,5,FALSE),0)</x:f>
        <x:v>109</x:v>
      </x:c>
      <x:c r="G1880">
        <x:f>ROUND($C1880*10*VLOOKUP($B1880,Sheet2!$J$5:$K$7,2,FALSE)*VLOOKUP(Sheet1!$A1880,Sheet2!$B$5:$H$29,6,FALSE),0)</x:f>
        <x:v>0</x:v>
      </x:c>
      <x:c r="H1880">
        <x:f>ROUND($C1880*10*VLOOKUP($B1880,Sheet2!$J$5:$K$7,2,FALSE)*VLOOKUP(Sheet1!$A1880,Sheet2!$B$5:$H$29,7,FALSE),0)</x:f>
        <x:v>0</x:v>
      </x:c>
      <x:c r="I1880">
        <x:f t="shared" si="31"/>
        <x:v>7690</x:v>
      </x:c>
    </x:row>
    <x:row r="1881" spans="1:9" x14ac:dyDescent="0.15">
      <x:c r="A1881">
        <x:v>54101</x:v>
      </x:c>
      <x:c r="B1881">
        <x:v>2</x:v>
      </x:c>
      <x:c r="C1881">
        <x:v>20</x:v>
      </x:c>
      <x:c r="D1881">
        <x:f>ROUND($C1881*10*VLOOKUP($B1881,Sheet2!$J$5:$K$7,2,FALSE)*VLOOKUP(Sheet1!$A1881,Sheet2!$B$5:$H$29,3,FALSE),0)</x:f>
        <x:v>48</x:v>
      </x:c>
      <x:c r="E1881">
        <x:f>ROUND($C1881*10*VLOOKUP($B1881,Sheet2!$J$5:$K$7,2,FALSE)*VLOOKUP(Sheet1!$A1881,Sheet2!$B$5:$H$29,4,FALSE),0)</x:f>
        <x:v>0</x:v>
      </x:c>
      <x:c r="F1881">
        <x:f>ROUND($C1881*10*VLOOKUP($B1881,Sheet2!$J$5:$K$7,2,FALSE)*VLOOKUP(Sheet1!$A1881,Sheet2!$B$5:$H$29,5,FALSE),0)</x:f>
        <x:v>115</x:v>
      </x:c>
      <x:c r="G1881">
        <x:f>ROUND($C1881*10*VLOOKUP($B1881,Sheet2!$J$5:$K$7,2,FALSE)*VLOOKUP(Sheet1!$A1881,Sheet2!$B$5:$H$29,6,FALSE),0)</x:f>
        <x:v>0</x:v>
      </x:c>
      <x:c r="H1881">
        <x:f>ROUND($C1881*10*VLOOKUP($B1881,Sheet2!$J$5:$K$7,2,FALSE)*VLOOKUP(Sheet1!$A1881,Sheet2!$B$5:$H$29,7,FALSE),0)</x:f>
        <x:v>0</x:v>
      </x:c>
      <x:c r="I1881">
        <x:f t="shared" si="31"/>
        <x:v>8470</x:v>
      </x:c>
    </x:row>
    <x:row r="1882" spans="1:9" x14ac:dyDescent="0.15">
      <x:c r="A1882">
        <x:v>54101</x:v>
      </x:c>
      <x:c r="B1882">
        <x:v>2</x:v>
      </x:c>
      <x:c r="C1882">
        <x:v>21</x:v>
      </x:c>
      <x:c r="D1882">
        <x:f>ROUND($C1882*10*VLOOKUP($B1882,Sheet2!$J$5:$K$7,2,FALSE)*VLOOKUP(Sheet1!$A1882,Sheet2!$B$5:$H$29,3,FALSE),0)</x:f>
        <x:v>50</x:v>
      </x:c>
      <x:c r="E1882">
        <x:f>ROUND($C1882*10*VLOOKUP($B1882,Sheet2!$J$5:$K$7,2,FALSE)*VLOOKUP(Sheet1!$A1882,Sheet2!$B$5:$H$29,4,FALSE),0)</x:f>
        <x:v>0</x:v>
      </x:c>
      <x:c r="F1882">
        <x:f>ROUND($C1882*10*VLOOKUP($B1882,Sheet2!$J$5:$K$7,2,FALSE)*VLOOKUP(Sheet1!$A1882,Sheet2!$B$5:$H$29,5,FALSE),0)</x:f>
        <x:v>121</x:v>
      </x:c>
      <x:c r="G1882">
        <x:f>ROUND($C1882*10*VLOOKUP($B1882,Sheet2!$J$5:$K$7,2,FALSE)*VLOOKUP(Sheet1!$A1882,Sheet2!$B$5:$H$29,6,FALSE),0)</x:f>
        <x:v>0</x:v>
      </x:c>
      <x:c r="H1882">
        <x:f>ROUND($C1882*10*VLOOKUP($B1882,Sheet2!$J$5:$K$7,2,FALSE)*VLOOKUP(Sheet1!$A1882,Sheet2!$B$5:$H$29,7,FALSE),0)</x:f>
        <x:v>0</x:v>
      </x:c>
      <x:c r="I1882">
        <x:f t="shared" si="31"/>
        <x:v>9290</x:v>
      </x:c>
    </x:row>
    <x:row r="1883" spans="1:9" x14ac:dyDescent="0.15">
      <x:c r="A1883">
        <x:v>54101</x:v>
      </x:c>
      <x:c r="B1883">
        <x:v>2</x:v>
      </x:c>
      <x:c r="C1883">
        <x:v>22</x:v>
      </x:c>
      <x:c r="D1883">
        <x:f>ROUND($C1883*10*VLOOKUP($B1883,Sheet2!$J$5:$K$7,2,FALSE)*VLOOKUP(Sheet1!$A1883,Sheet2!$B$5:$H$29,3,FALSE),0)</x:f>
        <x:v>53</x:v>
      </x:c>
      <x:c r="E1883">
        <x:f>ROUND($C1883*10*VLOOKUP($B1883,Sheet2!$J$5:$K$7,2,FALSE)*VLOOKUP(Sheet1!$A1883,Sheet2!$B$5:$H$29,4,FALSE),0)</x:f>
        <x:v>0</x:v>
      </x:c>
      <x:c r="F1883">
        <x:f>ROUND($C1883*10*VLOOKUP($B1883,Sheet2!$J$5:$K$7,2,FALSE)*VLOOKUP(Sheet1!$A1883,Sheet2!$B$5:$H$29,5,FALSE),0)</x:f>
        <x:v>127</x:v>
      </x:c>
      <x:c r="G1883">
        <x:f>ROUND($C1883*10*VLOOKUP($B1883,Sheet2!$J$5:$K$7,2,FALSE)*VLOOKUP(Sheet1!$A1883,Sheet2!$B$5:$H$29,6,FALSE),0)</x:f>
        <x:v>0</x:v>
      </x:c>
      <x:c r="H1883">
        <x:f>ROUND($C1883*10*VLOOKUP($B1883,Sheet2!$J$5:$K$7,2,FALSE)*VLOOKUP(Sheet1!$A1883,Sheet2!$B$5:$H$29,7,FALSE),0)</x:f>
        <x:v>0</x:v>
      </x:c>
      <x:c r="I1883">
        <x:f t="shared" si="31"/>
        <x:v>10130</x:v>
      </x:c>
    </x:row>
    <x:row r="1884" spans="1:9" x14ac:dyDescent="0.15">
      <x:c r="A1884">
        <x:v>54101</x:v>
      </x:c>
      <x:c r="B1884">
        <x:v>2</x:v>
      </x:c>
      <x:c r="C1884">
        <x:v>23</x:v>
      </x:c>
      <x:c r="D1884">
        <x:f>ROUND($C1884*10*VLOOKUP($B1884,Sheet2!$J$5:$K$7,2,FALSE)*VLOOKUP(Sheet1!$A1884,Sheet2!$B$5:$H$29,3,FALSE),0)</x:f>
        <x:v>55</x:v>
      </x:c>
      <x:c r="E1884">
        <x:f>ROUND($C1884*10*VLOOKUP($B1884,Sheet2!$J$5:$K$7,2,FALSE)*VLOOKUP(Sheet1!$A1884,Sheet2!$B$5:$H$29,4,FALSE),0)</x:f>
        <x:v>0</x:v>
      </x:c>
      <x:c r="F1884">
        <x:f>ROUND($C1884*10*VLOOKUP($B1884,Sheet2!$J$5:$K$7,2,FALSE)*VLOOKUP(Sheet1!$A1884,Sheet2!$B$5:$H$29,5,FALSE),0)</x:f>
        <x:v>132</x:v>
      </x:c>
      <x:c r="G1884">
        <x:f>ROUND($C1884*10*VLOOKUP($B1884,Sheet2!$J$5:$K$7,2,FALSE)*VLOOKUP(Sheet1!$A1884,Sheet2!$B$5:$H$29,6,FALSE),0)</x:f>
        <x:v>0</x:v>
      </x:c>
      <x:c r="H1884">
        <x:f>ROUND($C1884*10*VLOOKUP($B1884,Sheet2!$J$5:$K$7,2,FALSE)*VLOOKUP(Sheet1!$A1884,Sheet2!$B$5:$H$29,7,FALSE),0)</x:f>
        <x:v>0</x:v>
      </x:c>
      <x:c r="I1884">
        <x:f t="shared" si="31"/>
        <x:v>11010</x:v>
      </x:c>
    </x:row>
    <x:row r="1885" spans="1:9" x14ac:dyDescent="0.15">
      <x:c r="A1885">
        <x:v>54101</x:v>
      </x:c>
      <x:c r="B1885">
        <x:v>2</x:v>
      </x:c>
      <x:c r="C1885">
        <x:v>24</x:v>
      </x:c>
      <x:c r="D1885">
        <x:f>ROUND($C1885*10*VLOOKUP($B1885,Sheet2!$J$5:$K$7,2,FALSE)*VLOOKUP(Sheet1!$A1885,Sheet2!$B$5:$H$29,3,FALSE),0)</x:f>
        <x:v>58</x:v>
      </x:c>
      <x:c r="E1885">
        <x:f>ROUND($C1885*10*VLOOKUP($B1885,Sheet2!$J$5:$K$7,2,FALSE)*VLOOKUP(Sheet1!$A1885,Sheet2!$B$5:$H$29,4,FALSE),0)</x:f>
        <x:v>0</x:v>
      </x:c>
      <x:c r="F1885">
        <x:f>ROUND($C1885*10*VLOOKUP($B1885,Sheet2!$J$5:$K$7,2,FALSE)*VLOOKUP(Sheet1!$A1885,Sheet2!$B$5:$H$29,5,FALSE),0)</x:f>
        <x:v>138</x:v>
      </x:c>
      <x:c r="G1885">
        <x:f>ROUND($C1885*10*VLOOKUP($B1885,Sheet2!$J$5:$K$7,2,FALSE)*VLOOKUP(Sheet1!$A1885,Sheet2!$B$5:$H$29,6,FALSE),0)</x:f>
        <x:v>0</x:v>
      </x:c>
      <x:c r="H1885">
        <x:f>ROUND($C1885*10*VLOOKUP($B1885,Sheet2!$J$5:$K$7,2,FALSE)*VLOOKUP(Sheet1!$A1885,Sheet2!$B$5:$H$29,7,FALSE),0)</x:f>
        <x:v>0</x:v>
      </x:c>
      <x:c r="I1885">
        <x:f t="shared" si="31"/>
        <x:v>11930</x:v>
      </x:c>
    </x:row>
    <x:row r="1886" spans="1:9" x14ac:dyDescent="0.15">
      <x:c r="A1886">
        <x:v>54101</x:v>
      </x:c>
      <x:c r="B1886">
        <x:v>2</x:v>
      </x:c>
      <x:c r="C1886">
        <x:v>25</x:v>
      </x:c>
      <x:c r="D1886">
        <x:f>ROUND($C1886*10*VLOOKUP($B1886,Sheet2!$J$5:$K$7,2,FALSE)*VLOOKUP(Sheet1!$A1886,Sheet2!$B$5:$H$29,3,FALSE),0)</x:f>
        <x:v>60</x:v>
      </x:c>
      <x:c r="E1886">
        <x:f>ROUND($C1886*10*VLOOKUP($B1886,Sheet2!$J$5:$K$7,2,FALSE)*VLOOKUP(Sheet1!$A1886,Sheet2!$B$5:$H$29,4,FALSE),0)</x:f>
        <x:v>0</x:v>
      </x:c>
      <x:c r="F1886">
        <x:f>ROUND($C1886*10*VLOOKUP($B1886,Sheet2!$J$5:$K$7,2,FALSE)*VLOOKUP(Sheet1!$A1886,Sheet2!$B$5:$H$29,5,FALSE),0)</x:f>
        <x:v>144</x:v>
      </x:c>
      <x:c r="G1886">
        <x:f>ROUND($C1886*10*VLOOKUP($B1886,Sheet2!$J$5:$K$7,2,FALSE)*VLOOKUP(Sheet1!$A1886,Sheet2!$B$5:$H$29,6,FALSE),0)</x:f>
        <x:v>0</x:v>
      </x:c>
      <x:c r="H1886">
        <x:f>ROUND($C1886*10*VLOOKUP($B1886,Sheet2!$J$5:$K$7,2,FALSE)*VLOOKUP(Sheet1!$A1886,Sheet2!$B$5:$H$29,7,FALSE),0)</x:f>
        <x:v>0</x:v>
      </x:c>
      <x:c r="I1886">
        <x:f t="shared" si="31"/>
        <x:v>12870</x:v>
      </x:c>
    </x:row>
    <x:row r="1887" spans="1:9" x14ac:dyDescent="0.15">
      <x:c r="A1887">
        <x:v>54101</x:v>
      </x:c>
      <x:c r="B1887">
        <x:v>2</x:v>
      </x:c>
      <x:c r="C1887">
        <x:v>26</x:v>
      </x:c>
      <x:c r="D1887">
        <x:f>ROUND($C1887*10*VLOOKUP($B1887,Sheet2!$J$5:$K$7,2,FALSE)*VLOOKUP(Sheet1!$A1887,Sheet2!$B$5:$H$29,3,FALSE),0)</x:f>
        <x:v>62</x:v>
      </x:c>
      <x:c r="E1887">
        <x:f>ROUND($C1887*10*VLOOKUP($B1887,Sheet2!$J$5:$K$7,2,FALSE)*VLOOKUP(Sheet1!$A1887,Sheet2!$B$5:$H$29,4,FALSE),0)</x:f>
        <x:v>0</x:v>
      </x:c>
      <x:c r="F1887">
        <x:f>ROUND($C1887*10*VLOOKUP($B1887,Sheet2!$J$5:$K$7,2,FALSE)*VLOOKUP(Sheet1!$A1887,Sheet2!$B$5:$H$29,5,FALSE),0)</x:f>
        <x:v>150</x:v>
      </x:c>
      <x:c r="G1887">
        <x:f>ROUND($C1887*10*VLOOKUP($B1887,Sheet2!$J$5:$K$7,2,FALSE)*VLOOKUP(Sheet1!$A1887,Sheet2!$B$5:$H$29,6,FALSE),0)</x:f>
        <x:v>0</x:v>
      </x:c>
      <x:c r="H1887">
        <x:f>ROUND($C1887*10*VLOOKUP($B1887,Sheet2!$J$5:$K$7,2,FALSE)*VLOOKUP(Sheet1!$A1887,Sheet2!$B$5:$H$29,7,FALSE),0)</x:f>
        <x:v>0</x:v>
      </x:c>
      <x:c r="I1887">
        <x:f t="shared" si="31"/>
        <x:v>13850</x:v>
      </x:c>
    </x:row>
    <x:row r="1888" spans="1:9" x14ac:dyDescent="0.15">
      <x:c r="A1888">
        <x:v>54101</x:v>
      </x:c>
      <x:c r="B1888">
        <x:v>2</x:v>
      </x:c>
      <x:c r="C1888">
        <x:v>27</x:v>
      </x:c>
      <x:c r="D1888">
        <x:f>ROUND($C1888*10*VLOOKUP($B1888,Sheet2!$J$5:$K$7,2,FALSE)*VLOOKUP(Sheet1!$A1888,Sheet2!$B$5:$H$29,3,FALSE),0)</x:f>
        <x:v>65</x:v>
      </x:c>
      <x:c r="E1888">
        <x:f>ROUND($C1888*10*VLOOKUP($B1888,Sheet2!$J$5:$K$7,2,FALSE)*VLOOKUP(Sheet1!$A1888,Sheet2!$B$5:$H$29,4,FALSE),0)</x:f>
        <x:v>0</x:v>
      </x:c>
      <x:c r="F1888">
        <x:f>ROUND($C1888*10*VLOOKUP($B1888,Sheet2!$J$5:$K$7,2,FALSE)*VLOOKUP(Sheet1!$A1888,Sheet2!$B$5:$H$29,5,FALSE),0)</x:f>
        <x:v>156</x:v>
      </x:c>
      <x:c r="G1888">
        <x:f>ROUND($C1888*10*VLOOKUP($B1888,Sheet2!$J$5:$K$7,2,FALSE)*VLOOKUP(Sheet1!$A1888,Sheet2!$B$5:$H$29,6,FALSE),0)</x:f>
        <x:v>0</x:v>
      </x:c>
      <x:c r="H1888">
        <x:f>ROUND($C1888*10*VLOOKUP($B1888,Sheet2!$J$5:$K$7,2,FALSE)*VLOOKUP(Sheet1!$A1888,Sheet2!$B$5:$H$29,7,FALSE),0)</x:f>
        <x:v>0</x:v>
      </x:c>
      <x:c r="I1888">
        <x:f t="shared" si="31"/>
        <x:v>14860</x:v>
      </x:c>
    </x:row>
    <x:row r="1889" spans="1:9" x14ac:dyDescent="0.15">
      <x:c r="A1889">
        <x:v>54101</x:v>
      </x:c>
      <x:c r="B1889">
        <x:v>2</x:v>
      </x:c>
      <x:c r="C1889">
        <x:v>28</x:v>
      </x:c>
      <x:c r="D1889">
        <x:f>ROUND($C1889*10*VLOOKUP($B1889,Sheet2!$J$5:$K$7,2,FALSE)*VLOOKUP(Sheet1!$A1889,Sheet2!$B$5:$H$29,3,FALSE),0)</x:f>
        <x:v>67</x:v>
      </x:c>
      <x:c r="E1889">
        <x:f>ROUND($C1889*10*VLOOKUP($B1889,Sheet2!$J$5:$K$7,2,FALSE)*VLOOKUP(Sheet1!$A1889,Sheet2!$B$5:$H$29,4,FALSE),0)</x:f>
        <x:v>0</x:v>
      </x:c>
      <x:c r="F1889">
        <x:f>ROUND($C1889*10*VLOOKUP($B1889,Sheet2!$J$5:$K$7,2,FALSE)*VLOOKUP(Sheet1!$A1889,Sheet2!$B$5:$H$29,5,FALSE),0)</x:f>
        <x:v>161</x:v>
      </x:c>
      <x:c r="G1889">
        <x:f>ROUND($C1889*10*VLOOKUP($B1889,Sheet2!$J$5:$K$7,2,FALSE)*VLOOKUP(Sheet1!$A1889,Sheet2!$B$5:$H$29,6,FALSE),0)</x:f>
        <x:v>0</x:v>
      </x:c>
      <x:c r="H1889">
        <x:f>ROUND($C1889*10*VLOOKUP($B1889,Sheet2!$J$5:$K$7,2,FALSE)*VLOOKUP(Sheet1!$A1889,Sheet2!$B$5:$H$29,7,FALSE),0)</x:f>
        <x:v>0</x:v>
      </x:c>
      <x:c r="I1889">
        <x:f t="shared" si="31"/>
        <x:v>15900</x:v>
      </x:c>
    </x:row>
    <x:row r="1890" spans="1:9" x14ac:dyDescent="0.15">
      <x:c r="A1890">
        <x:v>54101</x:v>
      </x:c>
      <x:c r="B1890">
        <x:v>2</x:v>
      </x:c>
      <x:c r="C1890">
        <x:v>29</x:v>
      </x:c>
      <x:c r="D1890">
        <x:f>ROUND($C1890*10*VLOOKUP($B1890,Sheet2!$J$5:$K$7,2,FALSE)*VLOOKUP(Sheet1!$A1890,Sheet2!$B$5:$H$29,3,FALSE),0)</x:f>
        <x:v>70</x:v>
      </x:c>
      <x:c r="E1890">
        <x:f>ROUND($C1890*10*VLOOKUP($B1890,Sheet2!$J$5:$K$7,2,FALSE)*VLOOKUP(Sheet1!$A1890,Sheet2!$B$5:$H$29,4,FALSE),0)</x:f>
        <x:v>0</x:v>
      </x:c>
      <x:c r="F1890">
        <x:f>ROUND($C1890*10*VLOOKUP($B1890,Sheet2!$J$5:$K$7,2,FALSE)*VLOOKUP(Sheet1!$A1890,Sheet2!$B$5:$H$29,5,FALSE),0)</x:f>
        <x:v>167</x:v>
      </x:c>
      <x:c r="G1890">
        <x:f>ROUND($C1890*10*VLOOKUP($B1890,Sheet2!$J$5:$K$7,2,FALSE)*VLOOKUP(Sheet1!$A1890,Sheet2!$B$5:$H$29,6,FALSE),0)</x:f>
        <x:v>0</x:v>
      </x:c>
      <x:c r="H1890">
        <x:f>ROUND($C1890*10*VLOOKUP($B1890,Sheet2!$J$5:$K$7,2,FALSE)*VLOOKUP(Sheet1!$A1890,Sheet2!$B$5:$H$29,7,FALSE),0)</x:f>
        <x:v>0</x:v>
      </x:c>
      <x:c r="I1890">
        <x:f t="shared" si="31"/>
        <x:v>16970</x:v>
      </x:c>
    </x:row>
    <x:row r="1891" spans="1:9" x14ac:dyDescent="0.15">
      <x:c r="A1891">
        <x:v>54101</x:v>
      </x:c>
      <x:c r="B1891">
        <x:v>2</x:v>
      </x:c>
      <x:c r="C1891">
        <x:v>30</x:v>
      </x:c>
      <x:c r="D1891">
        <x:f>ROUND($C1891*10*VLOOKUP($B1891,Sheet2!$J$5:$K$7,2,FALSE)*VLOOKUP(Sheet1!$A1891,Sheet2!$B$5:$H$29,3,FALSE),0)</x:f>
        <x:v>72</x:v>
      </x:c>
      <x:c r="E1891">
        <x:f>ROUND($C1891*10*VLOOKUP($B1891,Sheet2!$J$5:$K$7,2,FALSE)*VLOOKUP(Sheet1!$A1891,Sheet2!$B$5:$H$29,4,FALSE),0)</x:f>
        <x:v>0</x:v>
      </x:c>
      <x:c r="F1891">
        <x:f>ROUND($C1891*10*VLOOKUP($B1891,Sheet2!$J$5:$K$7,2,FALSE)*VLOOKUP(Sheet1!$A1891,Sheet2!$B$5:$H$29,5,FALSE),0)</x:f>
        <x:v>173</x:v>
      </x:c>
      <x:c r="G1891">
        <x:f>ROUND($C1891*10*VLOOKUP($B1891,Sheet2!$J$5:$K$7,2,FALSE)*VLOOKUP(Sheet1!$A1891,Sheet2!$B$5:$H$29,6,FALSE),0)</x:f>
        <x:v>0</x:v>
      </x:c>
      <x:c r="H1891">
        <x:f>ROUND($C1891*10*VLOOKUP($B1891,Sheet2!$J$5:$K$7,2,FALSE)*VLOOKUP(Sheet1!$A1891,Sheet2!$B$5:$H$29,7,FALSE),0)</x:f>
        <x:v>0</x:v>
      </x:c>
      <x:c r="I1891">
        <x:f t="shared" si="31"/>
        <x:v>18070</x:v>
      </x:c>
    </x:row>
    <x:row r="1892" spans="1:9" x14ac:dyDescent="0.15">
      <x:c r="A1892">
        <x:v>54101</x:v>
      </x:c>
      <x:c r="B1892">
        <x:v>2</x:v>
      </x:c>
      <x:c r="C1892">
        <x:v>31</x:v>
      </x:c>
      <x:c r="D1892">
        <x:f>ROUND($C1892*10*VLOOKUP($B1892,Sheet2!$J$5:$K$7,2,FALSE)*VLOOKUP(Sheet1!$A1892,Sheet2!$B$5:$H$29,3,FALSE),0)</x:f>
        <x:v>74</x:v>
      </x:c>
      <x:c r="E1892">
        <x:f>ROUND($C1892*10*VLOOKUP($B1892,Sheet2!$J$5:$K$7,2,FALSE)*VLOOKUP(Sheet1!$A1892,Sheet2!$B$5:$H$29,4,FALSE),0)</x:f>
        <x:v>0</x:v>
      </x:c>
      <x:c r="F1892">
        <x:f>ROUND($C1892*10*VLOOKUP($B1892,Sheet2!$J$5:$K$7,2,FALSE)*VLOOKUP(Sheet1!$A1892,Sheet2!$B$5:$H$29,5,FALSE),0)</x:f>
        <x:v>179</x:v>
      </x:c>
      <x:c r="G1892">
        <x:f>ROUND($C1892*10*VLOOKUP($B1892,Sheet2!$J$5:$K$7,2,FALSE)*VLOOKUP(Sheet1!$A1892,Sheet2!$B$5:$H$29,6,FALSE),0)</x:f>
        <x:v>0</x:v>
      </x:c>
      <x:c r="H1892">
        <x:f>ROUND($C1892*10*VLOOKUP($B1892,Sheet2!$J$5:$K$7,2,FALSE)*VLOOKUP(Sheet1!$A1892,Sheet2!$B$5:$H$29,7,FALSE),0)</x:f>
        <x:v>0</x:v>
      </x:c>
      <x:c r="I1892">
        <x:f t="shared" si="31"/>
        <x:v>19210</x:v>
      </x:c>
    </x:row>
    <x:row r="1893" spans="1:9" x14ac:dyDescent="0.15">
      <x:c r="A1893">
        <x:v>54101</x:v>
      </x:c>
      <x:c r="B1893">
        <x:v>2</x:v>
      </x:c>
      <x:c r="C1893">
        <x:v>32</x:v>
      </x:c>
      <x:c r="D1893">
        <x:f>ROUND($C1893*10*VLOOKUP($B1893,Sheet2!$J$5:$K$7,2,FALSE)*VLOOKUP(Sheet1!$A1893,Sheet2!$B$5:$H$29,3,FALSE),0)</x:f>
        <x:v>77</x:v>
      </x:c>
      <x:c r="E1893">
        <x:f>ROUND($C1893*10*VLOOKUP($B1893,Sheet2!$J$5:$K$7,2,FALSE)*VLOOKUP(Sheet1!$A1893,Sheet2!$B$5:$H$29,4,FALSE),0)</x:f>
        <x:v>0</x:v>
      </x:c>
      <x:c r="F1893">
        <x:f>ROUND($C1893*10*VLOOKUP($B1893,Sheet2!$J$5:$K$7,2,FALSE)*VLOOKUP(Sheet1!$A1893,Sheet2!$B$5:$H$29,5,FALSE),0)</x:f>
        <x:v>184</x:v>
      </x:c>
      <x:c r="G1893">
        <x:f>ROUND($C1893*10*VLOOKUP($B1893,Sheet2!$J$5:$K$7,2,FALSE)*VLOOKUP(Sheet1!$A1893,Sheet2!$B$5:$H$29,6,FALSE),0)</x:f>
        <x:v>0</x:v>
      </x:c>
      <x:c r="H1893">
        <x:f>ROUND($C1893*10*VLOOKUP($B1893,Sheet2!$J$5:$K$7,2,FALSE)*VLOOKUP(Sheet1!$A1893,Sheet2!$B$5:$H$29,7,FALSE),0)</x:f>
        <x:v>0</x:v>
      </x:c>
      <x:c r="I1893">
        <x:f t="shared" si="31"/>
        <x:v>20370</x:v>
      </x:c>
    </x:row>
    <x:row r="1894" spans="1:9" x14ac:dyDescent="0.15">
      <x:c r="A1894">
        <x:v>54101</x:v>
      </x:c>
      <x:c r="B1894">
        <x:v>2</x:v>
      </x:c>
      <x:c r="C1894">
        <x:v>33</x:v>
      </x:c>
      <x:c r="D1894">
        <x:f>ROUND($C1894*10*VLOOKUP($B1894,Sheet2!$J$5:$K$7,2,FALSE)*VLOOKUP(Sheet1!$A1894,Sheet2!$B$5:$H$29,3,FALSE),0)</x:f>
        <x:v>79</x:v>
      </x:c>
      <x:c r="E1894">
        <x:f>ROUND($C1894*10*VLOOKUP($B1894,Sheet2!$J$5:$K$7,2,FALSE)*VLOOKUP(Sheet1!$A1894,Sheet2!$B$5:$H$29,4,FALSE),0)</x:f>
        <x:v>0</x:v>
      </x:c>
      <x:c r="F1894">
        <x:f>ROUND($C1894*10*VLOOKUP($B1894,Sheet2!$J$5:$K$7,2,FALSE)*VLOOKUP(Sheet1!$A1894,Sheet2!$B$5:$H$29,5,FALSE),0)</x:f>
        <x:v>190</x:v>
      </x:c>
      <x:c r="G1894">
        <x:f>ROUND($C1894*10*VLOOKUP($B1894,Sheet2!$J$5:$K$7,2,FALSE)*VLOOKUP(Sheet1!$A1894,Sheet2!$B$5:$H$29,6,FALSE),0)</x:f>
        <x:v>0</x:v>
      </x:c>
      <x:c r="H1894">
        <x:f>ROUND($C1894*10*VLOOKUP($B1894,Sheet2!$J$5:$K$7,2,FALSE)*VLOOKUP(Sheet1!$A1894,Sheet2!$B$5:$H$29,7,FALSE),0)</x:f>
        <x:v>0</x:v>
      </x:c>
      <x:c r="I1894">
        <x:f t="shared" si="31"/>
        <x:v>21560</x:v>
      </x:c>
    </x:row>
    <x:row r="1895" spans="1:9" x14ac:dyDescent="0.15">
      <x:c r="A1895">
        <x:v>54101</x:v>
      </x:c>
      <x:c r="B1895">
        <x:v>2</x:v>
      </x:c>
      <x:c r="C1895">
        <x:v>34</x:v>
      </x:c>
      <x:c r="D1895">
        <x:f>ROUND($C1895*10*VLOOKUP($B1895,Sheet2!$J$5:$K$7,2,FALSE)*VLOOKUP(Sheet1!$A1895,Sheet2!$B$5:$H$29,3,FALSE),0)</x:f>
        <x:v>82</x:v>
      </x:c>
      <x:c r="E1895">
        <x:f>ROUND($C1895*10*VLOOKUP($B1895,Sheet2!$J$5:$K$7,2,FALSE)*VLOOKUP(Sheet1!$A1895,Sheet2!$B$5:$H$29,4,FALSE),0)</x:f>
        <x:v>0</x:v>
      </x:c>
      <x:c r="F1895">
        <x:f>ROUND($C1895*10*VLOOKUP($B1895,Sheet2!$J$5:$K$7,2,FALSE)*VLOOKUP(Sheet1!$A1895,Sheet2!$B$5:$H$29,5,FALSE),0)</x:f>
        <x:v>196</x:v>
      </x:c>
      <x:c r="G1895">
        <x:f>ROUND($C1895*10*VLOOKUP($B1895,Sheet2!$J$5:$K$7,2,FALSE)*VLOOKUP(Sheet1!$A1895,Sheet2!$B$5:$H$29,6,FALSE),0)</x:f>
        <x:v>0</x:v>
      </x:c>
      <x:c r="H1895">
        <x:f>ROUND($C1895*10*VLOOKUP($B1895,Sheet2!$J$5:$K$7,2,FALSE)*VLOOKUP(Sheet1!$A1895,Sheet2!$B$5:$H$29,7,FALSE),0)</x:f>
        <x:v>0</x:v>
      </x:c>
      <x:c r="I1895">
        <x:f t="shared" si="31"/>
        <x:v>22790</x:v>
      </x:c>
    </x:row>
    <x:row r="1896" spans="1:9" x14ac:dyDescent="0.15">
      <x:c r="A1896">
        <x:v>54101</x:v>
      </x:c>
      <x:c r="B1896">
        <x:v>2</x:v>
      </x:c>
      <x:c r="C1896">
        <x:v>35</x:v>
      </x:c>
      <x:c r="D1896">
        <x:f>ROUND($C1896*10*VLOOKUP($B1896,Sheet2!$J$5:$K$7,2,FALSE)*VLOOKUP(Sheet1!$A1896,Sheet2!$B$5:$H$29,3,FALSE),0)</x:f>
        <x:v>84</x:v>
      </x:c>
      <x:c r="E1896">
        <x:f>ROUND($C1896*10*VLOOKUP($B1896,Sheet2!$J$5:$K$7,2,FALSE)*VLOOKUP(Sheet1!$A1896,Sheet2!$B$5:$H$29,4,FALSE),0)</x:f>
        <x:v>0</x:v>
      </x:c>
      <x:c r="F1896">
        <x:f>ROUND($C1896*10*VLOOKUP($B1896,Sheet2!$J$5:$K$7,2,FALSE)*VLOOKUP(Sheet1!$A1896,Sheet2!$B$5:$H$29,5,FALSE),0)</x:f>
        <x:v>202</x:v>
      </x:c>
      <x:c r="G1896">
        <x:f>ROUND($C1896*10*VLOOKUP($B1896,Sheet2!$J$5:$K$7,2,FALSE)*VLOOKUP(Sheet1!$A1896,Sheet2!$B$5:$H$29,6,FALSE),0)</x:f>
        <x:v>0</x:v>
      </x:c>
      <x:c r="H1896">
        <x:f>ROUND($C1896*10*VLOOKUP($B1896,Sheet2!$J$5:$K$7,2,FALSE)*VLOOKUP(Sheet1!$A1896,Sheet2!$B$5:$H$29,7,FALSE),0)</x:f>
        <x:v>0</x:v>
      </x:c>
      <x:c r="I1896">
        <x:f t="shared" si="31"/>
        <x:v>24040</x:v>
      </x:c>
    </x:row>
    <x:row r="1897" spans="1:9" x14ac:dyDescent="0.15">
      <x:c r="A1897">
        <x:v>54101</x:v>
      </x:c>
      <x:c r="B1897">
        <x:v>2</x:v>
      </x:c>
      <x:c r="C1897">
        <x:v>36</x:v>
      </x:c>
      <x:c r="D1897">
        <x:f>ROUND($C1897*10*VLOOKUP($B1897,Sheet2!$J$5:$K$7,2,FALSE)*VLOOKUP(Sheet1!$A1897,Sheet2!$B$5:$H$29,3,FALSE),0)</x:f>
        <x:v>86</x:v>
      </x:c>
      <x:c r="E1897">
        <x:f>ROUND($C1897*10*VLOOKUP($B1897,Sheet2!$J$5:$K$7,2,FALSE)*VLOOKUP(Sheet1!$A1897,Sheet2!$B$5:$H$29,4,FALSE),0)</x:f>
        <x:v>0</x:v>
      </x:c>
      <x:c r="F1897">
        <x:f>ROUND($C1897*10*VLOOKUP($B1897,Sheet2!$J$5:$K$7,2,FALSE)*VLOOKUP(Sheet1!$A1897,Sheet2!$B$5:$H$29,5,FALSE),0)</x:f>
        <x:v>207</x:v>
      </x:c>
      <x:c r="G1897">
        <x:f>ROUND($C1897*10*VLOOKUP($B1897,Sheet2!$J$5:$K$7,2,FALSE)*VLOOKUP(Sheet1!$A1897,Sheet2!$B$5:$H$29,6,FALSE),0)</x:f>
        <x:v>0</x:v>
      </x:c>
      <x:c r="H1897">
        <x:f>ROUND($C1897*10*VLOOKUP($B1897,Sheet2!$J$5:$K$7,2,FALSE)*VLOOKUP(Sheet1!$A1897,Sheet2!$B$5:$H$29,7,FALSE),0)</x:f>
        <x:v>0</x:v>
      </x:c>
      <x:c r="I1897">
        <x:f t="shared" si="31"/>
        <x:v>25330</x:v>
      </x:c>
    </x:row>
    <x:row r="1898" spans="1:9" x14ac:dyDescent="0.15">
      <x:c r="A1898">
        <x:v>54101</x:v>
      </x:c>
      <x:c r="B1898">
        <x:v>2</x:v>
      </x:c>
      <x:c r="C1898">
        <x:v>37</x:v>
      </x:c>
      <x:c r="D1898">
        <x:f>ROUND($C1898*10*VLOOKUP($B1898,Sheet2!$J$5:$K$7,2,FALSE)*VLOOKUP(Sheet1!$A1898,Sheet2!$B$5:$H$29,3,FALSE),0)</x:f>
        <x:v>89</x:v>
      </x:c>
      <x:c r="E1898">
        <x:f>ROUND($C1898*10*VLOOKUP($B1898,Sheet2!$J$5:$K$7,2,FALSE)*VLOOKUP(Sheet1!$A1898,Sheet2!$B$5:$H$29,4,FALSE),0)</x:f>
        <x:v>0</x:v>
      </x:c>
      <x:c r="F1898">
        <x:f>ROUND($C1898*10*VLOOKUP($B1898,Sheet2!$J$5:$K$7,2,FALSE)*VLOOKUP(Sheet1!$A1898,Sheet2!$B$5:$H$29,5,FALSE),0)</x:f>
        <x:v>213</x:v>
      </x:c>
      <x:c r="G1898">
        <x:f>ROUND($C1898*10*VLOOKUP($B1898,Sheet2!$J$5:$K$7,2,FALSE)*VLOOKUP(Sheet1!$A1898,Sheet2!$B$5:$H$29,6,FALSE),0)</x:f>
        <x:v>0</x:v>
      </x:c>
      <x:c r="H1898">
        <x:f>ROUND($C1898*10*VLOOKUP($B1898,Sheet2!$J$5:$K$7,2,FALSE)*VLOOKUP(Sheet1!$A1898,Sheet2!$B$5:$H$29,7,FALSE),0)</x:f>
        <x:v>0</x:v>
      </x:c>
      <x:c r="I1898">
        <x:f t="shared" si="31"/>
        <x:v>26640</x:v>
      </x:c>
    </x:row>
    <x:row r="1899" spans="1:9" x14ac:dyDescent="0.15">
      <x:c r="A1899">
        <x:v>54101</x:v>
      </x:c>
      <x:c r="B1899">
        <x:v>2</x:v>
      </x:c>
      <x:c r="C1899">
        <x:v>38</x:v>
      </x:c>
      <x:c r="D1899">
        <x:f>ROUND($C1899*10*VLOOKUP($B1899,Sheet2!$J$5:$K$7,2,FALSE)*VLOOKUP(Sheet1!$A1899,Sheet2!$B$5:$H$29,3,FALSE),0)</x:f>
        <x:v>91</x:v>
      </x:c>
      <x:c r="E1899">
        <x:f>ROUND($C1899*10*VLOOKUP($B1899,Sheet2!$J$5:$K$7,2,FALSE)*VLOOKUP(Sheet1!$A1899,Sheet2!$B$5:$H$29,4,FALSE),0)</x:f>
        <x:v>0</x:v>
      </x:c>
      <x:c r="F1899">
        <x:f>ROUND($C1899*10*VLOOKUP($B1899,Sheet2!$J$5:$K$7,2,FALSE)*VLOOKUP(Sheet1!$A1899,Sheet2!$B$5:$H$29,5,FALSE),0)</x:f>
        <x:v>219</x:v>
      </x:c>
      <x:c r="G1899">
        <x:f>ROUND($C1899*10*VLOOKUP($B1899,Sheet2!$J$5:$K$7,2,FALSE)*VLOOKUP(Sheet1!$A1899,Sheet2!$B$5:$H$29,6,FALSE),0)</x:f>
        <x:v>0</x:v>
      </x:c>
      <x:c r="H1899">
        <x:f>ROUND($C1899*10*VLOOKUP($B1899,Sheet2!$J$5:$K$7,2,FALSE)*VLOOKUP(Sheet1!$A1899,Sheet2!$B$5:$H$29,7,FALSE),0)</x:f>
        <x:v>0</x:v>
      </x:c>
      <x:c r="I1899">
        <x:f t="shared" si="31"/>
        <x:v>27990</x:v>
      </x:c>
    </x:row>
    <x:row r="1900" spans="1:9" x14ac:dyDescent="0.15">
      <x:c r="A1900">
        <x:v>54101</x:v>
      </x:c>
      <x:c r="B1900">
        <x:v>2</x:v>
      </x:c>
      <x:c r="C1900">
        <x:v>39</x:v>
      </x:c>
      <x:c r="D1900">
        <x:f>ROUND($C1900*10*VLOOKUP($B1900,Sheet2!$J$5:$K$7,2,FALSE)*VLOOKUP(Sheet1!$A1900,Sheet2!$B$5:$H$29,3,FALSE),0)</x:f>
        <x:v>94</x:v>
      </x:c>
      <x:c r="E1900">
        <x:f>ROUND($C1900*10*VLOOKUP($B1900,Sheet2!$J$5:$K$7,2,FALSE)*VLOOKUP(Sheet1!$A1900,Sheet2!$B$5:$H$29,4,FALSE),0)</x:f>
        <x:v>0</x:v>
      </x:c>
      <x:c r="F1900">
        <x:f>ROUND($C1900*10*VLOOKUP($B1900,Sheet2!$J$5:$K$7,2,FALSE)*VLOOKUP(Sheet1!$A1900,Sheet2!$B$5:$H$29,5,FALSE),0)</x:f>
        <x:v>225</x:v>
      </x:c>
      <x:c r="G1900">
        <x:f>ROUND($C1900*10*VLOOKUP($B1900,Sheet2!$J$5:$K$7,2,FALSE)*VLOOKUP(Sheet1!$A1900,Sheet2!$B$5:$H$29,6,FALSE),0)</x:f>
        <x:v>0</x:v>
      </x:c>
      <x:c r="H1900">
        <x:f>ROUND($C1900*10*VLOOKUP($B1900,Sheet2!$J$5:$K$7,2,FALSE)*VLOOKUP(Sheet1!$A1900,Sheet2!$B$5:$H$29,7,FALSE),0)</x:f>
        <x:v>0</x:v>
      </x:c>
      <x:c r="I1900">
        <x:f t="shared" si="31"/>
        <x:v>29360</x:v>
      </x:c>
    </x:row>
    <x:row r="1901" spans="1:9" x14ac:dyDescent="0.15">
      <x:c r="A1901">
        <x:v>54101</x:v>
      </x:c>
      <x:c r="B1901">
        <x:v>2</x:v>
      </x:c>
      <x:c r="C1901">
        <x:v>40</x:v>
      </x:c>
      <x:c r="D1901">
        <x:f>ROUND($C1901*10*VLOOKUP($B1901,Sheet2!$J$5:$K$7,2,FALSE)*VLOOKUP(Sheet1!$A1901,Sheet2!$B$5:$H$29,3,FALSE),0)</x:f>
        <x:v>96</x:v>
      </x:c>
      <x:c r="E1901">
        <x:f>ROUND($C1901*10*VLOOKUP($B1901,Sheet2!$J$5:$K$7,2,FALSE)*VLOOKUP(Sheet1!$A1901,Sheet2!$B$5:$H$29,4,FALSE),0)</x:f>
        <x:v>0</x:v>
      </x:c>
      <x:c r="F1901">
        <x:f>ROUND($C1901*10*VLOOKUP($B1901,Sheet2!$J$5:$K$7,2,FALSE)*VLOOKUP(Sheet1!$A1901,Sheet2!$B$5:$H$29,5,FALSE),0)</x:f>
        <x:v>230</x:v>
      </x:c>
      <x:c r="G1901">
        <x:f>ROUND($C1901*10*VLOOKUP($B1901,Sheet2!$J$5:$K$7,2,FALSE)*VLOOKUP(Sheet1!$A1901,Sheet2!$B$5:$H$29,6,FALSE),0)</x:f>
        <x:v>0</x:v>
      </x:c>
      <x:c r="H1901">
        <x:f>ROUND($C1901*10*VLOOKUP($B1901,Sheet2!$J$5:$K$7,2,FALSE)*VLOOKUP(Sheet1!$A1901,Sheet2!$B$5:$H$29,7,FALSE),0)</x:f>
        <x:v>0</x:v>
      </x:c>
      <x:c r="I1901">
        <x:f t="shared" si="31"/>
        <x:v>30760</x:v>
      </x:c>
    </x:row>
    <x:row r="1902" spans="1:9" x14ac:dyDescent="0.15">
      <x:c r="A1902">
        <x:v>54101</x:v>
      </x:c>
      <x:c r="B1902">
        <x:v>2</x:v>
      </x:c>
      <x:c r="C1902">
        <x:v>41</x:v>
      </x:c>
      <x:c r="D1902">
        <x:f>ROUND($C1902*10*VLOOKUP($B1902,Sheet2!$J$5:$K$7,2,FALSE)*VLOOKUP(Sheet1!$A1902,Sheet2!$B$5:$H$29,3,FALSE),0)</x:f>
        <x:v>98</x:v>
      </x:c>
      <x:c r="E1902">
        <x:f>ROUND($C1902*10*VLOOKUP($B1902,Sheet2!$J$5:$K$7,2,FALSE)*VLOOKUP(Sheet1!$A1902,Sheet2!$B$5:$H$29,4,FALSE),0)</x:f>
        <x:v>0</x:v>
      </x:c>
      <x:c r="F1902">
        <x:f>ROUND($C1902*10*VLOOKUP($B1902,Sheet2!$J$5:$K$7,2,FALSE)*VLOOKUP(Sheet1!$A1902,Sheet2!$B$5:$H$29,5,FALSE),0)</x:f>
        <x:v>236</x:v>
      </x:c>
      <x:c r="G1902">
        <x:f>ROUND($C1902*10*VLOOKUP($B1902,Sheet2!$J$5:$K$7,2,FALSE)*VLOOKUP(Sheet1!$A1902,Sheet2!$B$5:$H$29,6,FALSE),0)</x:f>
        <x:v>0</x:v>
      </x:c>
      <x:c r="H1902">
        <x:f>ROUND($C1902*10*VLOOKUP($B1902,Sheet2!$J$5:$K$7,2,FALSE)*VLOOKUP(Sheet1!$A1902,Sheet2!$B$5:$H$29,7,FALSE),0)</x:f>
        <x:v>0</x:v>
      </x:c>
      <x:c r="I1902">
        <x:f t="shared" si="31"/>
        <x:v>32190</x:v>
      </x:c>
    </x:row>
    <x:row r="1903" spans="1:9" x14ac:dyDescent="0.15">
      <x:c r="A1903">
        <x:v>54101</x:v>
      </x:c>
      <x:c r="B1903">
        <x:v>2</x:v>
      </x:c>
      <x:c r="C1903">
        <x:v>42</x:v>
      </x:c>
      <x:c r="D1903">
        <x:f>ROUND($C1903*10*VLOOKUP($B1903,Sheet2!$J$5:$K$7,2,FALSE)*VLOOKUP(Sheet1!$A1903,Sheet2!$B$5:$H$29,3,FALSE),0)</x:f>
        <x:v>101</x:v>
      </x:c>
      <x:c r="E1903">
        <x:f>ROUND($C1903*10*VLOOKUP($B1903,Sheet2!$J$5:$K$7,2,FALSE)*VLOOKUP(Sheet1!$A1903,Sheet2!$B$5:$H$29,4,FALSE),0)</x:f>
        <x:v>0</x:v>
      </x:c>
      <x:c r="F1903">
        <x:f>ROUND($C1903*10*VLOOKUP($B1903,Sheet2!$J$5:$K$7,2,FALSE)*VLOOKUP(Sheet1!$A1903,Sheet2!$B$5:$H$29,5,FALSE),0)</x:f>
        <x:v>242</x:v>
      </x:c>
      <x:c r="G1903">
        <x:f>ROUND($C1903*10*VLOOKUP($B1903,Sheet2!$J$5:$K$7,2,FALSE)*VLOOKUP(Sheet1!$A1903,Sheet2!$B$5:$H$29,6,FALSE),0)</x:f>
        <x:v>0</x:v>
      </x:c>
      <x:c r="H1903">
        <x:f>ROUND($C1903*10*VLOOKUP($B1903,Sheet2!$J$5:$K$7,2,FALSE)*VLOOKUP(Sheet1!$A1903,Sheet2!$B$5:$H$29,7,FALSE),0)</x:f>
        <x:v>0</x:v>
      </x:c>
      <x:c r="I1903">
        <x:f t="shared" si="31"/>
        <x:v>33650</x:v>
      </x:c>
    </x:row>
    <x:row r="1904" spans="1:9" x14ac:dyDescent="0.15">
      <x:c r="A1904">
        <x:v>54101</x:v>
      </x:c>
      <x:c r="B1904">
        <x:v>2</x:v>
      </x:c>
      <x:c r="C1904">
        <x:v>43</x:v>
      </x:c>
      <x:c r="D1904">
        <x:f>ROUND($C1904*10*VLOOKUP($B1904,Sheet2!$J$5:$K$7,2,FALSE)*VLOOKUP(Sheet1!$A1904,Sheet2!$B$5:$H$29,3,FALSE),0)</x:f>
        <x:v>103</x:v>
      </x:c>
      <x:c r="E1904">
        <x:f>ROUND($C1904*10*VLOOKUP($B1904,Sheet2!$J$5:$K$7,2,FALSE)*VLOOKUP(Sheet1!$A1904,Sheet2!$B$5:$H$29,4,FALSE),0)</x:f>
        <x:v>0</x:v>
      </x:c>
      <x:c r="F1904">
        <x:f>ROUND($C1904*10*VLOOKUP($B1904,Sheet2!$J$5:$K$7,2,FALSE)*VLOOKUP(Sheet1!$A1904,Sheet2!$B$5:$H$29,5,FALSE),0)</x:f>
        <x:v>248</x:v>
      </x:c>
      <x:c r="G1904">
        <x:f>ROUND($C1904*10*VLOOKUP($B1904,Sheet2!$J$5:$K$7,2,FALSE)*VLOOKUP(Sheet1!$A1904,Sheet2!$B$5:$H$29,6,FALSE),0)</x:f>
        <x:v>0</x:v>
      </x:c>
      <x:c r="H1904">
        <x:f>ROUND($C1904*10*VLOOKUP($B1904,Sheet2!$J$5:$K$7,2,FALSE)*VLOOKUP(Sheet1!$A1904,Sheet2!$B$5:$H$29,7,FALSE),0)</x:f>
        <x:v>0</x:v>
      </x:c>
      <x:c r="I1904">
        <x:f t="shared" si="31"/>
        <x:v>35140</x:v>
      </x:c>
    </x:row>
    <x:row r="1905" spans="1:9" x14ac:dyDescent="0.15">
      <x:c r="A1905">
        <x:v>54101</x:v>
      </x:c>
      <x:c r="B1905">
        <x:v>2</x:v>
      </x:c>
      <x:c r="C1905">
        <x:v>44</x:v>
      </x:c>
      <x:c r="D1905">
        <x:f>ROUND($C1905*10*VLOOKUP($B1905,Sheet2!$J$5:$K$7,2,FALSE)*VLOOKUP(Sheet1!$A1905,Sheet2!$B$5:$H$29,3,FALSE),0)</x:f>
        <x:v>106</x:v>
      </x:c>
      <x:c r="E1905">
        <x:f>ROUND($C1905*10*VLOOKUP($B1905,Sheet2!$J$5:$K$7,2,FALSE)*VLOOKUP(Sheet1!$A1905,Sheet2!$B$5:$H$29,4,FALSE),0)</x:f>
        <x:v>0</x:v>
      </x:c>
      <x:c r="F1905">
        <x:f>ROUND($C1905*10*VLOOKUP($B1905,Sheet2!$J$5:$K$7,2,FALSE)*VLOOKUP(Sheet1!$A1905,Sheet2!$B$5:$H$29,5,FALSE),0)</x:f>
        <x:v>253</x:v>
      </x:c>
      <x:c r="G1905">
        <x:f>ROUND($C1905*10*VLOOKUP($B1905,Sheet2!$J$5:$K$7,2,FALSE)*VLOOKUP(Sheet1!$A1905,Sheet2!$B$5:$H$29,6,FALSE),0)</x:f>
        <x:v>0</x:v>
      </x:c>
      <x:c r="H1905">
        <x:f>ROUND($C1905*10*VLOOKUP($B1905,Sheet2!$J$5:$K$7,2,FALSE)*VLOOKUP(Sheet1!$A1905,Sheet2!$B$5:$H$29,7,FALSE),0)</x:f>
        <x:v>0</x:v>
      </x:c>
      <x:c r="I1905">
        <x:f t="shared" si="31"/>
        <x:v>36660</x:v>
      </x:c>
    </x:row>
    <x:row r="1906" spans="1:9" x14ac:dyDescent="0.15">
      <x:c r="A1906">
        <x:v>54101</x:v>
      </x:c>
      <x:c r="B1906">
        <x:v>2</x:v>
      </x:c>
      <x:c r="C1906">
        <x:v>45</x:v>
      </x:c>
      <x:c r="D1906">
        <x:f>ROUND($C1906*10*VLOOKUP($B1906,Sheet2!$J$5:$K$7,2,FALSE)*VLOOKUP(Sheet1!$A1906,Sheet2!$B$5:$H$29,3,FALSE),0)</x:f>
        <x:v>108</x:v>
      </x:c>
      <x:c r="E1906">
        <x:f>ROUND($C1906*10*VLOOKUP($B1906,Sheet2!$J$5:$K$7,2,FALSE)*VLOOKUP(Sheet1!$A1906,Sheet2!$B$5:$H$29,4,FALSE),0)</x:f>
        <x:v>0</x:v>
      </x:c>
      <x:c r="F1906">
        <x:f>ROUND($C1906*10*VLOOKUP($B1906,Sheet2!$J$5:$K$7,2,FALSE)*VLOOKUP(Sheet1!$A1906,Sheet2!$B$5:$H$29,5,FALSE),0)</x:f>
        <x:v>259</x:v>
      </x:c>
      <x:c r="G1906">
        <x:f>ROUND($C1906*10*VLOOKUP($B1906,Sheet2!$J$5:$K$7,2,FALSE)*VLOOKUP(Sheet1!$A1906,Sheet2!$B$5:$H$29,6,FALSE),0)</x:f>
        <x:v>0</x:v>
      </x:c>
      <x:c r="H1906">
        <x:f>ROUND($C1906*10*VLOOKUP($B1906,Sheet2!$J$5:$K$7,2,FALSE)*VLOOKUP(Sheet1!$A1906,Sheet2!$B$5:$H$29,7,FALSE),0)</x:f>
        <x:v>0</x:v>
      </x:c>
      <x:c r="I1906">
        <x:f t="shared" si="31"/>
        <x:v>38210</x:v>
      </x:c>
    </x:row>
    <x:row r="1907" spans="1:9" x14ac:dyDescent="0.15">
      <x:c r="A1907">
        <x:v>54101</x:v>
      </x:c>
      <x:c r="B1907">
        <x:v>2</x:v>
      </x:c>
      <x:c r="C1907">
        <x:v>46</x:v>
      </x:c>
      <x:c r="D1907">
        <x:f>ROUND($C1907*10*VLOOKUP($B1907,Sheet2!$J$5:$K$7,2,FALSE)*VLOOKUP(Sheet1!$A1907,Sheet2!$B$5:$H$29,3,FALSE),0)</x:f>
        <x:v>110</x:v>
      </x:c>
      <x:c r="E1907">
        <x:f>ROUND($C1907*10*VLOOKUP($B1907,Sheet2!$J$5:$K$7,2,FALSE)*VLOOKUP(Sheet1!$A1907,Sheet2!$B$5:$H$29,4,FALSE),0)</x:f>
        <x:v>0</x:v>
      </x:c>
      <x:c r="F1907">
        <x:f>ROUND($C1907*10*VLOOKUP($B1907,Sheet2!$J$5:$K$7,2,FALSE)*VLOOKUP(Sheet1!$A1907,Sheet2!$B$5:$H$29,5,FALSE),0)</x:f>
        <x:v>265</x:v>
      </x:c>
      <x:c r="G1907">
        <x:f>ROUND($C1907*10*VLOOKUP($B1907,Sheet2!$J$5:$K$7,2,FALSE)*VLOOKUP(Sheet1!$A1907,Sheet2!$B$5:$H$29,6,FALSE),0)</x:f>
        <x:v>0</x:v>
      </x:c>
      <x:c r="H1907">
        <x:f>ROUND($C1907*10*VLOOKUP($B1907,Sheet2!$J$5:$K$7,2,FALSE)*VLOOKUP(Sheet1!$A1907,Sheet2!$B$5:$H$29,7,FALSE),0)</x:f>
        <x:v>0</x:v>
      </x:c>
      <x:c r="I1907">
        <x:f t="shared" si="31"/>
        <x:v>39780</x:v>
      </x:c>
    </x:row>
    <x:row r="1908" spans="1:9" x14ac:dyDescent="0.15">
      <x:c r="A1908">
        <x:v>54101</x:v>
      </x:c>
      <x:c r="B1908">
        <x:v>2</x:v>
      </x:c>
      <x:c r="C1908">
        <x:v>47</x:v>
      </x:c>
      <x:c r="D1908">
        <x:f>ROUND($C1908*10*VLOOKUP($B1908,Sheet2!$J$5:$K$7,2,FALSE)*VLOOKUP(Sheet1!$A1908,Sheet2!$B$5:$H$29,3,FALSE),0)</x:f>
        <x:v>113</x:v>
      </x:c>
      <x:c r="E1908">
        <x:f>ROUND($C1908*10*VLOOKUP($B1908,Sheet2!$J$5:$K$7,2,FALSE)*VLOOKUP(Sheet1!$A1908,Sheet2!$B$5:$H$29,4,FALSE),0)</x:f>
        <x:v>0</x:v>
      </x:c>
      <x:c r="F1908">
        <x:f>ROUND($C1908*10*VLOOKUP($B1908,Sheet2!$J$5:$K$7,2,FALSE)*VLOOKUP(Sheet1!$A1908,Sheet2!$B$5:$H$29,5,FALSE),0)</x:f>
        <x:v>271</x:v>
      </x:c>
      <x:c r="G1908">
        <x:f>ROUND($C1908*10*VLOOKUP($B1908,Sheet2!$J$5:$K$7,2,FALSE)*VLOOKUP(Sheet1!$A1908,Sheet2!$B$5:$H$29,6,FALSE),0)</x:f>
        <x:v>0</x:v>
      </x:c>
      <x:c r="H1908">
        <x:f>ROUND($C1908*10*VLOOKUP($B1908,Sheet2!$J$5:$K$7,2,FALSE)*VLOOKUP(Sheet1!$A1908,Sheet2!$B$5:$H$29,7,FALSE),0)</x:f>
        <x:v>0</x:v>
      </x:c>
      <x:c r="I1908">
        <x:f t="shared" si="31"/>
        <x:v>41390</x:v>
      </x:c>
    </x:row>
    <x:row r="1909" spans="1:9" x14ac:dyDescent="0.15">
      <x:c r="A1909">
        <x:v>54101</x:v>
      </x:c>
      <x:c r="B1909">
        <x:v>2</x:v>
      </x:c>
      <x:c r="C1909">
        <x:v>48</x:v>
      </x:c>
      <x:c r="D1909">
        <x:f>ROUND($C1909*10*VLOOKUP($B1909,Sheet2!$J$5:$K$7,2,FALSE)*VLOOKUP(Sheet1!$A1909,Sheet2!$B$5:$H$29,3,FALSE),0)</x:f>
        <x:v>115</x:v>
      </x:c>
      <x:c r="E1909">
        <x:f>ROUND($C1909*10*VLOOKUP($B1909,Sheet2!$J$5:$K$7,2,FALSE)*VLOOKUP(Sheet1!$A1909,Sheet2!$B$5:$H$29,4,FALSE),0)</x:f>
        <x:v>0</x:v>
      </x:c>
      <x:c r="F1909">
        <x:f>ROUND($C1909*10*VLOOKUP($B1909,Sheet2!$J$5:$K$7,2,FALSE)*VLOOKUP(Sheet1!$A1909,Sheet2!$B$5:$H$29,5,FALSE),0)</x:f>
        <x:v>276</x:v>
      </x:c>
      <x:c r="G1909">
        <x:f>ROUND($C1909*10*VLOOKUP($B1909,Sheet2!$J$5:$K$7,2,FALSE)*VLOOKUP(Sheet1!$A1909,Sheet2!$B$5:$H$29,6,FALSE),0)</x:f>
        <x:v>0</x:v>
      </x:c>
      <x:c r="H1909">
        <x:f>ROUND($C1909*10*VLOOKUP($B1909,Sheet2!$J$5:$K$7,2,FALSE)*VLOOKUP(Sheet1!$A1909,Sheet2!$B$5:$H$29,7,FALSE),0)</x:f>
        <x:v>0</x:v>
      </x:c>
      <x:c r="I1909">
        <x:f t="shared" si="31"/>
        <x:v>43020</x:v>
      </x:c>
    </x:row>
    <x:row r="1910" spans="1:9" x14ac:dyDescent="0.15">
      <x:c r="A1910">
        <x:v>54101</x:v>
      </x:c>
      <x:c r="B1910">
        <x:v>2</x:v>
      </x:c>
      <x:c r="C1910">
        <x:v>49</x:v>
      </x:c>
      <x:c r="D1910">
        <x:f>ROUND($C1910*10*VLOOKUP($B1910,Sheet2!$J$5:$K$7,2,FALSE)*VLOOKUP(Sheet1!$A1910,Sheet2!$B$5:$H$29,3,FALSE),0)</x:f>
        <x:v>118</x:v>
      </x:c>
      <x:c r="E1910">
        <x:f>ROUND($C1910*10*VLOOKUP($B1910,Sheet2!$J$5:$K$7,2,FALSE)*VLOOKUP(Sheet1!$A1910,Sheet2!$B$5:$H$29,4,FALSE),0)</x:f>
        <x:v>0</x:v>
      </x:c>
      <x:c r="F1910">
        <x:f>ROUND($C1910*10*VLOOKUP($B1910,Sheet2!$J$5:$K$7,2,FALSE)*VLOOKUP(Sheet1!$A1910,Sheet2!$B$5:$H$29,5,FALSE),0)</x:f>
        <x:v>282</x:v>
      </x:c>
      <x:c r="G1910">
        <x:f>ROUND($C1910*10*VLOOKUP($B1910,Sheet2!$J$5:$K$7,2,FALSE)*VLOOKUP(Sheet1!$A1910,Sheet2!$B$5:$H$29,6,FALSE),0)</x:f>
        <x:v>0</x:v>
      </x:c>
      <x:c r="H1910">
        <x:f>ROUND($C1910*10*VLOOKUP($B1910,Sheet2!$J$5:$K$7,2,FALSE)*VLOOKUP(Sheet1!$A1910,Sheet2!$B$5:$H$29,7,FALSE),0)</x:f>
        <x:v>0</x:v>
      </x:c>
      <x:c r="I1910">
        <x:f t="shared" si="31"/>
        <x:v>44680</x:v>
      </x:c>
    </x:row>
    <x:row r="1911" spans="1:9" x14ac:dyDescent="0.15">
      <x:c r="A1911">
        <x:v>54101</x:v>
      </x:c>
      <x:c r="B1911">
        <x:v>2</x:v>
      </x:c>
      <x:c r="C1911">
        <x:v>50</x:v>
      </x:c>
      <x:c r="D1911">
        <x:f>ROUND($C1911*10*VLOOKUP($B1911,Sheet2!$J$5:$K$7,2,FALSE)*VLOOKUP(Sheet1!$A1911,Sheet2!$B$5:$H$29,3,FALSE),0)</x:f>
        <x:v>120</x:v>
      </x:c>
      <x:c r="E1911">
        <x:f>ROUND($C1911*10*VLOOKUP($B1911,Sheet2!$J$5:$K$7,2,FALSE)*VLOOKUP(Sheet1!$A1911,Sheet2!$B$5:$H$29,4,FALSE),0)</x:f>
        <x:v>0</x:v>
      </x:c>
      <x:c r="F1911">
        <x:f>ROUND($C1911*10*VLOOKUP($B1911,Sheet2!$J$5:$K$7,2,FALSE)*VLOOKUP(Sheet1!$A1911,Sheet2!$B$5:$H$29,5,FALSE),0)</x:f>
        <x:v>288</x:v>
      </x:c>
      <x:c r="G1911">
        <x:f>ROUND($C1911*10*VLOOKUP($B1911,Sheet2!$J$5:$K$7,2,FALSE)*VLOOKUP(Sheet1!$A1911,Sheet2!$B$5:$H$29,6,FALSE),0)</x:f>
        <x:v>0</x:v>
      </x:c>
      <x:c r="H1911">
        <x:f>ROUND($C1911*10*VLOOKUP($B1911,Sheet2!$J$5:$K$7,2,FALSE)*VLOOKUP(Sheet1!$A1911,Sheet2!$B$5:$H$29,7,FALSE),0)</x:f>
        <x:v>0</x:v>
      </x:c>
      <x:c r="I1911">
        <x:f t="shared" si="31"/>
        <x:v>46360</x:v>
      </x:c>
    </x:row>
    <x:row r="1912" spans="1:9" x14ac:dyDescent="0.15">
      <x:c r="A1912">
        <x:v>54101</x:v>
      </x:c>
      <x:c r="B1912">
        <x:v>2</x:v>
      </x:c>
      <x:c r="C1912">
        <x:v>51</x:v>
      </x:c>
      <x:c r="D1912">
        <x:f>ROUND($C1912*10*VLOOKUP($B1912,Sheet2!$J$5:$K$7,2,FALSE)*VLOOKUP(Sheet1!$A1912,Sheet2!$B$5:$H$29,3,FALSE),0)</x:f>
        <x:v>122</x:v>
      </x:c>
      <x:c r="E1912">
        <x:f>ROUND($C1912*10*VLOOKUP($B1912,Sheet2!$J$5:$K$7,2,FALSE)*VLOOKUP(Sheet1!$A1912,Sheet2!$B$5:$H$29,4,FALSE),0)</x:f>
        <x:v>0</x:v>
      </x:c>
      <x:c r="F1912">
        <x:f>ROUND($C1912*10*VLOOKUP($B1912,Sheet2!$J$5:$K$7,2,FALSE)*VLOOKUP(Sheet1!$A1912,Sheet2!$B$5:$H$29,5,FALSE),0)</x:f>
        <x:v>294</x:v>
      </x:c>
      <x:c r="G1912">
        <x:f>ROUND($C1912*10*VLOOKUP($B1912,Sheet2!$J$5:$K$7,2,FALSE)*VLOOKUP(Sheet1!$A1912,Sheet2!$B$5:$H$29,6,FALSE),0)</x:f>
        <x:v>0</x:v>
      </x:c>
      <x:c r="H1912">
        <x:f>ROUND($C1912*10*VLOOKUP($B1912,Sheet2!$J$5:$K$7,2,FALSE)*VLOOKUP(Sheet1!$A1912,Sheet2!$B$5:$H$29,7,FALSE),0)</x:f>
        <x:v>0</x:v>
      </x:c>
      <x:c r="I1912">
        <x:f t="shared" si="31"/>
        <x:v>48080</x:v>
      </x:c>
    </x:row>
    <x:row r="1913" spans="1:9" x14ac:dyDescent="0.15">
      <x:c r="A1913">
        <x:v>54101</x:v>
      </x:c>
      <x:c r="B1913">
        <x:v>2</x:v>
      </x:c>
      <x:c r="C1913">
        <x:v>52</x:v>
      </x:c>
      <x:c r="D1913">
        <x:f>ROUND($C1913*10*VLOOKUP($B1913,Sheet2!$J$5:$K$7,2,FALSE)*VLOOKUP(Sheet1!$A1913,Sheet2!$B$5:$H$29,3,FALSE),0)</x:f>
        <x:v>125</x:v>
      </x:c>
      <x:c r="E1913">
        <x:f>ROUND($C1913*10*VLOOKUP($B1913,Sheet2!$J$5:$K$7,2,FALSE)*VLOOKUP(Sheet1!$A1913,Sheet2!$B$5:$H$29,4,FALSE),0)</x:f>
        <x:v>0</x:v>
      </x:c>
      <x:c r="F1913">
        <x:f>ROUND($C1913*10*VLOOKUP($B1913,Sheet2!$J$5:$K$7,2,FALSE)*VLOOKUP(Sheet1!$A1913,Sheet2!$B$5:$H$29,5,FALSE),0)</x:f>
        <x:v>300</x:v>
      </x:c>
      <x:c r="G1913">
        <x:f>ROUND($C1913*10*VLOOKUP($B1913,Sheet2!$J$5:$K$7,2,FALSE)*VLOOKUP(Sheet1!$A1913,Sheet2!$B$5:$H$29,6,FALSE),0)</x:f>
        <x:v>0</x:v>
      </x:c>
      <x:c r="H1913">
        <x:f>ROUND($C1913*10*VLOOKUP($B1913,Sheet2!$J$5:$K$7,2,FALSE)*VLOOKUP(Sheet1!$A1913,Sheet2!$B$5:$H$29,7,FALSE),0)</x:f>
        <x:v>0</x:v>
      </x:c>
      <x:c r="I1913">
        <x:f t="shared" si="31"/>
        <x:v>49820</x:v>
      </x:c>
    </x:row>
    <x:row r="1914" spans="1:9" x14ac:dyDescent="0.15">
      <x:c r="A1914">
        <x:v>54101</x:v>
      </x:c>
      <x:c r="B1914">
        <x:v>2</x:v>
      </x:c>
      <x:c r="C1914">
        <x:v>53</x:v>
      </x:c>
      <x:c r="D1914">
        <x:f>ROUND($C1914*10*VLOOKUP($B1914,Sheet2!$J$5:$K$7,2,FALSE)*VLOOKUP(Sheet1!$A1914,Sheet2!$B$5:$H$29,3,FALSE),0)</x:f>
        <x:v>127</x:v>
      </x:c>
      <x:c r="E1914">
        <x:f>ROUND($C1914*10*VLOOKUP($B1914,Sheet2!$J$5:$K$7,2,FALSE)*VLOOKUP(Sheet1!$A1914,Sheet2!$B$5:$H$29,4,FALSE),0)</x:f>
        <x:v>0</x:v>
      </x:c>
      <x:c r="F1914">
        <x:f>ROUND($C1914*10*VLOOKUP($B1914,Sheet2!$J$5:$K$7,2,FALSE)*VLOOKUP(Sheet1!$A1914,Sheet2!$B$5:$H$29,5,FALSE),0)</x:f>
        <x:v>305</x:v>
      </x:c>
      <x:c r="G1914">
        <x:f>ROUND($C1914*10*VLOOKUP($B1914,Sheet2!$J$5:$K$7,2,FALSE)*VLOOKUP(Sheet1!$A1914,Sheet2!$B$5:$H$29,6,FALSE),0)</x:f>
        <x:v>0</x:v>
      </x:c>
      <x:c r="H1914">
        <x:f>ROUND($C1914*10*VLOOKUP($B1914,Sheet2!$J$5:$K$7,2,FALSE)*VLOOKUP(Sheet1!$A1914,Sheet2!$B$5:$H$29,7,FALSE),0)</x:f>
        <x:v>0</x:v>
      </x:c>
      <x:c r="I1914">
        <x:f t="shared" si="31"/>
        <x:v>51590</x:v>
      </x:c>
    </x:row>
    <x:row r="1915" spans="1:9" x14ac:dyDescent="0.15">
      <x:c r="A1915">
        <x:v>54101</x:v>
      </x:c>
      <x:c r="B1915">
        <x:v>2</x:v>
      </x:c>
      <x:c r="C1915">
        <x:v>54</x:v>
      </x:c>
      <x:c r="D1915">
        <x:f>ROUND($C1915*10*VLOOKUP($B1915,Sheet2!$J$5:$K$7,2,FALSE)*VLOOKUP(Sheet1!$A1915,Sheet2!$B$5:$H$29,3,FALSE),0)</x:f>
        <x:v>130</x:v>
      </x:c>
      <x:c r="E1915">
        <x:f>ROUND($C1915*10*VLOOKUP($B1915,Sheet2!$J$5:$K$7,2,FALSE)*VLOOKUP(Sheet1!$A1915,Sheet2!$B$5:$H$29,4,FALSE),0)</x:f>
        <x:v>0</x:v>
      </x:c>
      <x:c r="F1915">
        <x:f>ROUND($C1915*10*VLOOKUP($B1915,Sheet2!$J$5:$K$7,2,FALSE)*VLOOKUP(Sheet1!$A1915,Sheet2!$B$5:$H$29,5,FALSE),0)</x:f>
        <x:v>311</x:v>
      </x:c>
      <x:c r="G1915">
        <x:f>ROUND($C1915*10*VLOOKUP($B1915,Sheet2!$J$5:$K$7,2,FALSE)*VLOOKUP(Sheet1!$A1915,Sheet2!$B$5:$H$29,6,FALSE),0)</x:f>
        <x:v>0</x:v>
      </x:c>
      <x:c r="H1915">
        <x:f>ROUND($C1915*10*VLOOKUP($B1915,Sheet2!$J$5:$K$7,2,FALSE)*VLOOKUP(Sheet1!$A1915,Sheet2!$B$5:$H$29,7,FALSE),0)</x:f>
        <x:v>0</x:v>
      </x:c>
      <x:c r="I1915">
        <x:f t="shared" si="31"/>
        <x:v>53390</x:v>
      </x:c>
    </x:row>
    <x:row r="1916" spans="1:9" x14ac:dyDescent="0.15">
      <x:c r="A1916">
        <x:v>54101</x:v>
      </x:c>
      <x:c r="B1916">
        <x:v>2</x:v>
      </x:c>
      <x:c r="C1916">
        <x:v>55</x:v>
      </x:c>
      <x:c r="D1916">
        <x:f>ROUND($C1916*10*VLOOKUP($B1916,Sheet2!$J$5:$K$7,2,FALSE)*VLOOKUP(Sheet1!$A1916,Sheet2!$B$5:$H$29,3,FALSE),0)</x:f>
        <x:v>132</x:v>
      </x:c>
      <x:c r="E1916">
        <x:f>ROUND($C1916*10*VLOOKUP($B1916,Sheet2!$J$5:$K$7,2,FALSE)*VLOOKUP(Sheet1!$A1916,Sheet2!$B$5:$H$29,4,FALSE),0)</x:f>
        <x:v>0</x:v>
      </x:c>
      <x:c r="F1916">
        <x:f>ROUND($C1916*10*VLOOKUP($B1916,Sheet2!$J$5:$K$7,2,FALSE)*VLOOKUP(Sheet1!$A1916,Sheet2!$B$5:$H$29,5,FALSE),0)</x:f>
        <x:v>317</x:v>
      </x:c>
      <x:c r="G1916">
        <x:f>ROUND($C1916*10*VLOOKUP($B1916,Sheet2!$J$5:$K$7,2,FALSE)*VLOOKUP(Sheet1!$A1916,Sheet2!$B$5:$H$29,6,FALSE),0)</x:f>
        <x:v>0</x:v>
      </x:c>
      <x:c r="H1916">
        <x:f>ROUND($C1916*10*VLOOKUP($B1916,Sheet2!$J$5:$K$7,2,FALSE)*VLOOKUP(Sheet1!$A1916,Sheet2!$B$5:$H$29,7,FALSE),0)</x:f>
        <x:v>0</x:v>
      </x:c>
      <x:c r="I1916">
        <x:f t="shared" si="31"/>
        <x:v>55210</x:v>
      </x:c>
    </x:row>
    <x:row r="1917" spans="1:9" x14ac:dyDescent="0.15">
      <x:c r="A1917">
        <x:v>54101</x:v>
      </x:c>
      <x:c r="B1917">
        <x:v>2</x:v>
      </x:c>
      <x:c r="C1917">
        <x:v>56</x:v>
      </x:c>
      <x:c r="D1917">
        <x:f>ROUND($C1917*10*VLOOKUP($B1917,Sheet2!$J$5:$K$7,2,FALSE)*VLOOKUP(Sheet1!$A1917,Sheet2!$B$5:$H$29,3,FALSE),0)</x:f>
        <x:v>134</x:v>
      </x:c>
      <x:c r="E1917">
        <x:f>ROUND($C1917*10*VLOOKUP($B1917,Sheet2!$J$5:$K$7,2,FALSE)*VLOOKUP(Sheet1!$A1917,Sheet2!$B$5:$H$29,4,FALSE),0)</x:f>
        <x:v>0</x:v>
      </x:c>
      <x:c r="F1917">
        <x:f>ROUND($C1917*10*VLOOKUP($B1917,Sheet2!$J$5:$K$7,2,FALSE)*VLOOKUP(Sheet1!$A1917,Sheet2!$B$5:$H$29,5,FALSE),0)</x:f>
        <x:v>323</x:v>
      </x:c>
      <x:c r="G1917">
        <x:f>ROUND($C1917*10*VLOOKUP($B1917,Sheet2!$J$5:$K$7,2,FALSE)*VLOOKUP(Sheet1!$A1917,Sheet2!$B$5:$H$29,6,FALSE),0)</x:f>
        <x:v>0</x:v>
      </x:c>
      <x:c r="H1917">
        <x:f>ROUND($C1917*10*VLOOKUP($B1917,Sheet2!$J$5:$K$7,2,FALSE)*VLOOKUP(Sheet1!$A1917,Sheet2!$B$5:$H$29,7,FALSE),0)</x:f>
        <x:v>0</x:v>
      </x:c>
      <x:c r="I1917">
        <x:f t="shared" si="31"/>
        <x:v>57060</x:v>
      </x:c>
    </x:row>
    <x:row r="1918" spans="1:9" x14ac:dyDescent="0.15">
      <x:c r="A1918">
        <x:v>54101</x:v>
      </x:c>
      <x:c r="B1918">
        <x:v>2</x:v>
      </x:c>
      <x:c r="C1918">
        <x:v>57</x:v>
      </x:c>
      <x:c r="D1918">
        <x:f>ROUND($C1918*10*VLOOKUP($B1918,Sheet2!$J$5:$K$7,2,FALSE)*VLOOKUP(Sheet1!$A1918,Sheet2!$B$5:$H$29,3,FALSE),0)</x:f>
        <x:v>137</x:v>
      </x:c>
      <x:c r="E1918">
        <x:f>ROUND($C1918*10*VLOOKUP($B1918,Sheet2!$J$5:$K$7,2,FALSE)*VLOOKUP(Sheet1!$A1918,Sheet2!$B$5:$H$29,4,FALSE),0)</x:f>
        <x:v>0</x:v>
      </x:c>
      <x:c r="F1918">
        <x:f>ROUND($C1918*10*VLOOKUP($B1918,Sheet2!$J$5:$K$7,2,FALSE)*VLOOKUP(Sheet1!$A1918,Sheet2!$B$5:$H$29,5,FALSE),0)</x:f>
        <x:v>328</x:v>
      </x:c>
      <x:c r="G1918">
        <x:f>ROUND($C1918*10*VLOOKUP($B1918,Sheet2!$J$5:$K$7,2,FALSE)*VLOOKUP(Sheet1!$A1918,Sheet2!$B$5:$H$29,6,FALSE),0)</x:f>
        <x:v>0</x:v>
      </x:c>
      <x:c r="H1918">
        <x:f>ROUND($C1918*10*VLOOKUP($B1918,Sheet2!$J$5:$K$7,2,FALSE)*VLOOKUP(Sheet1!$A1918,Sheet2!$B$5:$H$29,7,FALSE),0)</x:f>
        <x:v>0</x:v>
      </x:c>
      <x:c r="I1918">
        <x:f t="shared" si="31"/>
        <x:v>58940</x:v>
      </x:c>
    </x:row>
    <x:row r="1919" spans="1:9" x14ac:dyDescent="0.15">
      <x:c r="A1919">
        <x:v>54101</x:v>
      </x:c>
      <x:c r="B1919">
        <x:v>2</x:v>
      </x:c>
      <x:c r="C1919">
        <x:v>58</x:v>
      </x:c>
      <x:c r="D1919">
        <x:f>ROUND($C1919*10*VLOOKUP($B1919,Sheet2!$J$5:$K$7,2,FALSE)*VLOOKUP(Sheet1!$A1919,Sheet2!$B$5:$H$29,3,FALSE),0)</x:f>
        <x:v>139</x:v>
      </x:c>
      <x:c r="E1919">
        <x:f>ROUND($C1919*10*VLOOKUP($B1919,Sheet2!$J$5:$K$7,2,FALSE)*VLOOKUP(Sheet1!$A1919,Sheet2!$B$5:$H$29,4,FALSE),0)</x:f>
        <x:v>0</x:v>
      </x:c>
      <x:c r="F1919">
        <x:f>ROUND($C1919*10*VLOOKUP($B1919,Sheet2!$J$5:$K$7,2,FALSE)*VLOOKUP(Sheet1!$A1919,Sheet2!$B$5:$H$29,5,FALSE),0)</x:f>
        <x:v>334</x:v>
      </x:c>
      <x:c r="G1919">
        <x:f>ROUND($C1919*10*VLOOKUP($B1919,Sheet2!$J$5:$K$7,2,FALSE)*VLOOKUP(Sheet1!$A1919,Sheet2!$B$5:$H$29,6,FALSE),0)</x:f>
        <x:v>0</x:v>
      </x:c>
      <x:c r="H1919">
        <x:f>ROUND($C1919*10*VLOOKUP($B1919,Sheet2!$J$5:$K$7,2,FALSE)*VLOOKUP(Sheet1!$A1919,Sheet2!$B$5:$H$29,7,FALSE),0)</x:f>
        <x:v>0</x:v>
      </x:c>
      <x:c r="I1919">
        <x:f t="shared" si="31"/>
        <x:v>60850</x:v>
      </x:c>
    </x:row>
    <x:row r="1920" spans="1:9" x14ac:dyDescent="0.15">
      <x:c r="A1920">
        <x:v>54101</x:v>
      </x:c>
      <x:c r="B1920">
        <x:v>2</x:v>
      </x:c>
      <x:c r="C1920">
        <x:v>59</x:v>
      </x:c>
      <x:c r="D1920">
        <x:f>ROUND($C1920*10*VLOOKUP($B1920,Sheet2!$J$5:$K$7,2,FALSE)*VLOOKUP(Sheet1!$A1920,Sheet2!$B$5:$H$29,3,FALSE),0)</x:f>
        <x:v>142</x:v>
      </x:c>
      <x:c r="E1920">
        <x:f>ROUND($C1920*10*VLOOKUP($B1920,Sheet2!$J$5:$K$7,2,FALSE)*VLOOKUP(Sheet1!$A1920,Sheet2!$B$5:$H$29,4,FALSE),0)</x:f>
        <x:v>0</x:v>
      </x:c>
      <x:c r="F1920">
        <x:f>ROUND($C1920*10*VLOOKUP($B1920,Sheet2!$J$5:$K$7,2,FALSE)*VLOOKUP(Sheet1!$A1920,Sheet2!$B$5:$H$29,5,FALSE),0)</x:f>
        <x:v>340</x:v>
      </x:c>
      <x:c r="G1920">
        <x:f>ROUND($C1920*10*VLOOKUP($B1920,Sheet2!$J$5:$K$7,2,FALSE)*VLOOKUP(Sheet1!$A1920,Sheet2!$B$5:$H$29,6,FALSE),0)</x:f>
        <x:v>0</x:v>
      </x:c>
      <x:c r="H1920">
        <x:f>ROUND($C1920*10*VLOOKUP($B1920,Sheet2!$J$5:$K$7,2,FALSE)*VLOOKUP(Sheet1!$A1920,Sheet2!$B$5:$H$29,7,FALSE),0)</x:f>
        <x:v>0</x:v>
      </x:c>
      <x:c r="I1920">
        <x:f t="shared" si="31"/>
        <x:v>62780</x:v>
      </x:c>
    </x:row>
    <x:row r="1921" spans="1:9" x14ac:dyDescent="0.15">
      <x:c r="A1921">
        <x:v>54101</x:v>
      </x:c>
      <x:c r="B1921">
        <x:v>2</x:v>
      </x:c>
      <x:c r="C1921">
        <x:v>60</x:v>
      </x:c>
      <x:c r="D1921">
        <x:f>ROUND($C1921*10*VLOOKUP($B1921,Sheet2!$J$5:$K$7,2,FALSE)*VLOOKUP(Sheet1!$A1921,Sheet2!$B$5:$H$29,3,FALSE),0)</x:f>
        <x:v>144</x:v>
      </x:c>
      <x:c r="E1921">
        <x:f>ROUND($C1921*10*VLOOKUP($B1921,Sheet2!$J$5:$K$7,2,FALSE)*VLOOKUP(Sheet1!$A1921,Sheet2!$B$5:$H$29,4,FALSE),0)</x:f>
        <x:v>0</x:v>
      </x:c>
      <x:c r="F1921">
        <x:f>ROUND($C1921*10*VLOOKUP($B1921,Sheet2!$J$5:$K$7,2,FALSE)*VLOOKUP(Sheet1!$A1921,Sheet2!$B$5:$H$29,5,FALSE),0)</x:f>
        <x:v>346</x:v>
      </x:c>
      <x:c r="G1921">
        <x:f>ROUND($C1921*10*VLOOKUP($B1921,Sheet2!$J$5:$K$7,2,FALSE)*VLOOKUP(Sheet1!$A1921,Sheet2!$B$5:$H$29,6,FALSE),0)</x:f>
        <x:v>0</x:v>
      </x:c>
      <x:c r="H1921">
        <x:f>ROUND($C1921*10*VLOOKUP($B1921,Sheet2!$J$5:$K$7,2,FALSE)*VLOOKUP(Sheet1!$A1921,Sheet2!$B$5:$H$29,7,FALSE),0)</x:f>
        <x:v>0</x:v>
      </x:c>
      <x:c r="I1921">
        <x:f t="shared" si="31"/>
        <x:v>64740</x:v>
      </x:c>
    </x:row>
    <x:row r="1922" spans="1:9" x14ac:dyDescent="0.15">
      <x:c r="A1922">
        <x:v>54101</x:v>
      </x:c>
      <x:c r="B1922">
        <x:v>3</x:v>
      </x:c>
      <x:c r="C1922">
        <x:v>1</x:v>
      </x:c>
      <x:c r="D1922">
        <x:f>ROUND($C1922*10*VLOOKUP($B1922,Sheet2!$J$5:$K$7,2,FALSE)*VLOOKUP(Sheet1!$A1922,Sheet2!$B$5:$H$29,3,FALSE),0)</x:f>
        <x:v>4</x:v>
      </x:c>
      <x:c r="E1922">
        <x:f>ROUND($C1922*10*VLOOKUP($B1922,Sheet2!$J$5:$K$7,2,FALSE)*VLOOKUP(Sheet1!$A1922,Sheet2!$B$5:$H$29,4,FALSE),0)</x:f>
        <x:v>0</x:v>
      </x:c>
      <x:c r="F1922">
        <x:f>ROUND($C1922*10*VLOOKUP($B1922,Sheet2!$J$5:$K$7,2,FALSE)*VLOOKUP(Sheet1!$A1922,Sheet2!$B$5:$H$29,5,FALSE),0)</x:f>
        <x:v>10</x:v>
      </x:c>
      <x:c r="G1922">
        <x:f>ROUND($C1922*10*VLOOKUP($B1922,Sheet2!$J$5:$K$7,2,FALSE)*VLOOKUP(Sheet1!$A1922,Sheet2!$B$5:$H$29,6,FALSE),0)</x:f>
        <x:v>0</x:v>
      </x:c>
      <x:c r="H1922">
        <x:f>ROUND($C1922*10*VLOOKUP($B1922,Sheet2!$J$5:$K$7,2,FALSE)*VLOOKUP(Sheet1!$A1922,Sheet2!$B$5:$H$29,7,FALSE),0)</x:f>
        <x:v>0</x:v>
      </x:c>
      <x:c r="I1922">
        <x:f t="shared" ref="I1922:I1981" si="32">ROUND(1.2*10*10.5*(C1922-1)^1.8+90,-1)</x:f>
        <x:v>90</x:v>
      </x:c>
    </x:row>
    <x:row r="1923" spans="1:9" x14ac:dyDescent="0.15">
      <x:c r="A1923">
        <x:v>54101</x:v>
      </x:c>
      <x:c r="B1923">
        <x:v>3</x:v>
      </x:c>
      <x:c r="C1923">
        <x:v>2</x:v>
      </x:c>
      <x:c r="D1923">
        <x:f>ROUND($C1923*10*VLOOKUP($B1923,Sheet2!$J$5:$K$7,2,FALSE)*VLOOKUP(Sheet1!$A1923,Sheet2!$B$5:$H$29,3,FALSE),0)</x:f>
        <x:v>8</x:v>
      </x:c>
      <x:c r="E1923">
        <x:f>ROUND($C1923*10*VLOOKUP($B1923,Sheet2!$J$5:$K$7,2,FALSE)*VLOOKUP(Sheet1!$A1923,Sheet2!$B$5:$H$29,4,FALSE),0)</x:f>
        <x:v>0</x:v>
      </x:c>
      <x:c r="F1923">
        <x:f>ROUND($C1923*10*VLOOKUP($B1923,Sheet2!$J$5:$K$7,2,FALSE)*VLOOKUP(Sheet1!$A1923,Sheet2!$B$5:$H$29,5,FALSE),0)</x:f>
        <x:v>19</x:v>
      </x:c>
      <x:c r="G1923">
        <x:f>ROUND($C1923*10*VLOOKUP($B1923,Sheet2!$J$5:$K$7,2,FALSE)*VLOOKUP(Sheet1!$A1923,Sheet2!$B$5:$H$29,6,FALSE),0)</x:f>
        <x:v>0</x:v>
      </x:c>
      <x:c r="H1923">
        <x:f>ROUND($C1923*10*VLOOKUP($B1923,Sheet2!$J$5:$K$7,2,FALSE)*VLOOKUP(Sheet1!$A1923,Sheet2!$B$5:$H$29,7,FALSE),0)</x:f>
        <x:v>0</x:v>
      </x:c>
      <x:c r="I1923">
        <x:f t="shared" si="32"/>
        <x:v>220</x:v>
      </x:c>
    </x:row>
    <x:row r="1924" spans="1:9" x14ac:dyDescent="0.15">
      <x:c r="A1924">
        <x:v>54101</x:v>
      </x:c>
      <x:c r="B1924">
        <x:v>3</x:v>
      </x:c>
      <x:c r="C1924">
        <x:v>3</x:v>
      </x:c>
      <x:c r="D1924">
        <x:f>ROUND($C1924*10*VLOOKUP($B1924,Sheet2!$J$5:$K$7,2,FALSE)*VLOOKUP(Sheet1!$A1924,Sheet2!$B$5:$H$29,3,FALSE),0)</x:f>
        <x:v>12</x:v>
      </x:c>
      <x:c r="E1924">
        <x:f>ROUND($C1924*10*VLOOKUP($B1924,Sheet2!$J$5:$K$7,2,FALSE)*VLOOKUP(Sheet1!$A1924,Sheet2!$B$5:$H$29,4,FALSE),0)</x:f>
        <x:v>0</x:v>
      </x:c>
      <x:c r="F1924">
        <x:f>ROUND($C1924*10*VLOOKUP($B1924,Sheet2!$J$5:$K$7,2,FALSE)*VLOOKUP(Sheet1!$A1924,Sheet2!$B$5:$H$29,5,FALSE),0)</x:f>
        <x:v>29</x:v>
      </x:c>
      <x:c r="G1924">
        <x:f>ROUND($C1924*10*VLOOKUP($B1924,Sheet2!$J$5:$K$7,2,FALSE)*VLOOKUP(Sheet1!$A1924,Sheet2!$B$5:$H$29,6,FALSE),0)</x:f>
        <x:v>0</x:v>
      </x:c>
      <x:c r="H1924">
        <x:f>ROUND($C1924*10*VLOOKUP($B1924,Sheet2!$J$5:$K$7,2,FALSE)*VLOOKUP(Sheet1!$A1924,Sheet2!$B$5:$H$29,7,FALSE),0)</x:f>
        <x:v>0</x:v>
      </x:c>
      <x:c r="I1924">
        <x:f t="shared" si="32"/>
        <x:v>530</x:v>
      </x:c>
    </x:row>
    <x:row r="1925" spans="1:9" x14ac:dyDescent="0.15">
      <x:c r="A1925">
        <x:v>54101</x:v>
      </x:c>
      <x:c r="B1925">
        <x:v>3</x:v>
      </x:c>
      <x:c r="C1925">
        <x:v>4</x:v>
      </x:c>
      <x:c r="D1925">
        <x:f>ROUND($C1925*10*VLOOKUP($B1925,Sheet2!$J$5:$K$7,2,FALSE)*VLOOKUP(Sheet1!$A1925,Sheet2!$B$5:$H$29,3,FALSE),0)</x:f>
        <x:v>16</x:v>
      </x:c>
      <x:c r="E1925">
        <x:f>ROUND($C1925*10*VLOOKUP($B1925,Sheet2!$J$5:$K$7,2,FALSE)*VLOOKUP(Sheet1!$A1925,Sheet2!$B$5:$H$29,4,FALSE),0)</x:f>
        <x:v>0</x:v>
      </x:c>
      <x:c r="F1925">
        <x:f>ROUND($C1925*10*VLOOKUP($B1925,Sheet2!$J$5:$K$7,2,FALSE)*VLOOKUP(Sheet1!$A1925,Sheet2!$B$5:$H$29,5,FALSE),0)</x:f>
        <x:v>38</x:v>
      </x:c>
      <x:c r="G1925">
        <x:f>ROUND($C1925*10*VLOOKUP($B1925,Sheet2!$J$5:$K$7,2,FALSE)*VLOOKUP(Sheet1!$A1925,Sheet2!$B$5:$H$29,6,FALSE),0)</x:f>
        <x:v>0</x:v>
      </x:c>
      <x:c r="H1925">
        <x:f>ROUND($C1925*10*VLOOKUP($B1925,Sheet2!$J$5:$K$7,2,FALSE)*VLOOKUP(Sheet1!$A1925,Sheet2!$B$5:$H$29,7,FALSE),0)</x:f>
        <x:v>0</x:v>
      </x:c>
      <x:c r="I1925">
        <x:f t="shared" si="32"/>
        <x:v>1000</x:v>
      </x:c>
    </x:row>
    <x:row r="1926" spans="1:9" x14ac:dyDescent="0.15">
      <x:c r="A1926">
        <x:v>54101</x:v>
      </x:c>
      <x:c r="B1926">
        <x:v>3</x:v>
      </x:c>
      <x:c r="C1926">
        <x:v>5</x:v>
      </x:c>
      <x:c r="D1926">
        <x:f>ROUND($C1926*10*VLOOKUP($B1926,Sheet2!$J$5:$K$7,2,FALSE)*VLOOKUP(Sheet1!$A1926,Sheet2!$B$5:$H$29,3,FALSE),0)</x:f>
        <x:v>20</x:v>
      </x:c>
      <x:c r="E1926">
        <x:f>ROUND($C1926*10*VLOOKUP($B1926,Sheet2!$J$5:$K$7,2,FALSE)*VLOOKUP(Sheet1!$A1926,Sheet2!$B$5:$H$29,4,FALSE),0)</x:f>
        <x:v>0</x:v>
      </x:c>
      <x:c r="F1926">
        <x:f>ROUND($C1926*10*VLOOKUP($B1926,Sheet2!$J$5:$K$7,2,FALSE)*VLOOKUP(Sheet1!$A1926,Sheet2!$B$5:$H$29,5,FALSE),0)</x:f>
        <x:v>48</x:v>
      </x:c>
      <x:c r="G1926">
        <x:f>ROUND($C1926*10*VLOOKUP($B1926,Sheet2!$J$5:$K$7,2,FALSE)*VLOOKUP(Sheet1!$A1926,Sheet2!$B$5:$H$29,6,FALSE),0)</x:f>
        <x:v>0</x:v>
      </x:c>
      <x:c r="H1926">
        <x:f>ROUND($C1926*10*VLOOKUP($B1926,Sheet2!$J$5:$K$7,2,FALSE)*VLOOKUP(Sheet1!$A1926,Sheet2!$B$5:$H$29,7,FALSE),0)</x:f>
        <x:v>0</x:v>
      </x:c>
      <x:c r="I1926">
        <x:f t="shared" si="32"/>
        <x:v>1620</x:v>
      </x:c>
    </x:row>
    <x:row r="1927" spans="1:9" x14ac:dyDescent="0.15">
      <x:c r="A1927">
        <x:v>54101</x:v>
      </x:c>
      <x:c r="B1927">
        <x:v>3</x:v>
      </x:c>
      <x:c r="C1927">
        <x:v>6</x:v>
      </x:c>
      <x:c r="D1927">
        <x:f>ROUND($C1927*10*VLOOKUP($B1927,Sheet2!$J$5:$K$7,2,FALSE)*VLOOKUP(Sheet1!$A1927,Sheet2!$B$5:$H$29,3,FALSE),0)</x:f>
        <x:v>24</x:v>
      </x:c>
      <x:c r="E1927">
        <x:f>ROUND($C1927*10*VLOOKUP($B1927,Sheet2!$J$5:$K$7,2,FALSE)*VLOOKUP(Sheet1!$A1927,Sheet2!$B$5:$H$29,4,FALSE),0)</x:f>
        <x:v>0</x:v>
      </x:c>
      <x:c r="F1927">
        <x:f>ROUND($C1927*10*VLOOKUP($B1927,Sheet2!$J$5:$K$7,2,FALSE)*VLOOKUP(Sheet1!$A1927,Sheet2!$B$5:$H$29,5,FALSE),0)</x:f>
        <x:v>58</x:v>
      </x:c>
      <x:c r="G1927">
        <x:f>ROUND($C1927*10*VLOOKUP($B1927,Sheet2!$J$5:$K$7,2,FALSE)*VLOOKUP(Sheet1!$A1927,Sheet2!$B$5:$H$29,6,FALSE),0)</x:f>
        <x:v>0</x:v>
      </x:c>
      <x:c r="H1927">
        <x:f>ROUND($C1927*10*VLOOKUP($B1927,Sheet2!$J$5:$K$7,2,FALSE)*VLOOKUP(Sheet1!$A1927,Sheet2!$B$5:$H$29,7,FALSE),0)</x:f>
        <x:v>0</x:v>
      </x:c>
      <x:c r="I1927">
        <x:f t="shared" si="32"/>
        <x:v>2370</x:v>
      </x:c>
    </x:row>
    <x:row r="1928" spans="1:9" x14ac:dyDescent="0.15">
      <x:c r="A1928">
        <x:v>54101</x:v>
      </x:c>
      <x:c r="B1928">
        <x:v>3</x:v>
      </x:c>
      <x:c r="C1928">
        <x:v>7</x:v>
      </x:c>
      <x:c r="D1928">
        <x:f>ROUND($C1928*10*VLOOKUP($B1928,Sheet2!$J$5:$K$7,2,FALSE)*VLOOKUP(Sheet1!$A1928,Sheet2!$B$5:$H$29,3,FALSE),0)</x:f>
        <x:v>28</x:v>
      </x:c>
      <x:c r="E1928">
        <x:f>ROUND($C1928*10*VLOOKUP($B1928,Sheet2!$J$5:$K$7,2,FALSE)*VLOOKUP(Sheet1!$A1928,Sheet2!$B$5:$H$29,4,FALSE),0)</x:f>
        <x:v>0</x:v>
      </x:c>
      <x:c r="F1928">
        <x:f>ROUND($C1928*10*VLOOKUP($B1928,Sheet2!$J$5:$K$7,2,FALSE)*VLOOKUP(Sheet1!$A1928,Sheet2!$B$5:$H$29,5,FALSE),0)</x:f>
        <x:v>67</x:v>
      </x:c>
      <x:c r="G1928">
        <x:f>ROUND($C1928*10*VLOOKUP($B1928,Sheet2!$J$5:$K$7,2,FALSE)*VLOOKUP(Sheet1!$A1928,Sheet2!$B$5:$H$29,6,FALSE),0)</x:f>
        <x:v>0</x:v>
      </x:c>
      <x:c r="H1928">
        <x:f>ROUND($C1928*10*VLOOKUP($B1928,Sheet2!$J$5:$K$7,2,FALSE)*VLOOKUP(Sheet1!$A1928,Sheet2!$B$5:$H$29,7,FALSE),0)</x:f>
        <x:v>0</x:v>
      </x:c>
      <x:c r="I1928">
        <x:f t="shared" si="32"/>
        <x:v>3260</x:v>
      </x:c>
    </x:row>
    <x:row r="1929" spans="1:9" x14ac:dyDescent="0.15">
      <x:c r="A1929">
        <x:v>54101</x:v>
      </x:c>
      <x:c r="B1929">
        <x:v>3</x:v>
      </x:c>
      <x:c r="C1929">
        <x:v>8</x:v>
      </x:c>
      <x:c r="D1929">
        <x:f>ROUND($C1929*10*VLOOKUP($B1929,Sheet2!$J$5:$K$7,2,FALSE)*VLOOKUP(Sheet1!$A1929,Sheet2!$B$5:$H$29,3,FALSE),0)</x:f>
        <x:v>32</x:v>
      </x:c>
      <x:c r="E1929">
        <x:f>ROUND($C1929*10*VLOOKUP($B1929,Sheet2!$J$5:$K$7,2,FALSE)*VLOOKUP(Sheet1!$A1929,Sheet2!$B$5:$H$29,4,FALSE),0)</x:f>
        <x:v>0</x:v>
      </x:c>
      <x:c r="F1929">
        <x:f>ROUND($C1929*10*VLOOKUP($B1929,Sheet2!$J$5:$K$7,2,FALSE)*VLOOKUP(Sheet1!$A1929,Sheet2!$B$5:$H$29,5,FALSE),0)</x:f>
        <x:v>77</x:v>
      </x:c>
      <x:c r="G1929">
        <x:f>ROUND($C1929*10*VLOOKUP($B1929,Sheet2!$J$5:$K$7,2,FALSE)*VLOOKUP(Sheet1!$A1929,Sheet2!$B$5:$H$29,6,FALSE),0)</x:f>
        <x:v>0</x:v>
      </x:c>
      <x:c r="H1929">
        <x:f>ROUND($C1929*10*VLOOKUP($B1929,Sheet2!$J$5:$K$7,2,FALSE)*VLOOKUP(Sheet1!$A1929,Sheet2!$B$5:$H$29,7,FALSE),0)</x:f>
        <x:v>0</x:v>
      </x:c>
      <x:c r="I1929">
        <x:f t="shared" si="32"/>
        <x:v>4270</x:v>
      </x:c>
    </x:row>
    <x:row r="1930" spans="1:9" x14ac:dyDescent="0.15">
      <x:c r="A1930">
        <x:v>54101</x:v>
      </x:c>
      <x:c r="B1930">
        <x:v>3</x:v>
      </x:c>
      <x:c r="C1930">
        <x:v>9</x:v>
      </x:c>
      <x:c r="D1930">
        <x:f>ROUND($C1930*10*VLOOKUP($B1930,Sheet2!$J$5:$K$7,2,FALSE)*VLOOKUP(Sheet1!$A1930,Sheet2!$B$5:$H$29,3,FALSE),0)</x:f>
        <x:v>36</x:v>
      </x:c>
      <x:c r="E1930">
        <x:f>ROUND($C1930*10*VLOOKUP($B1930,Sheet2!$J$5:$K$7,2,FALSE)*VLOOKUP(Sheet1!$A1930,Sheet2!$B$5:$H$29,4,FALSE),0)</x:f>
        <x:v>0</x:v>
      </x:c>
      <x:c r="F1930">
        <x:f>ROUND($C1930*10*VLOOKUP($B1930,Sheet2!$J$5:$K$7,2,FALSE)*VLOOKUP(Sheet1!$A1930,Sheet2!$B$5:$H$29,5,FALSE),0)</x:f>
        <x:v>86</x:v>
      </x:c>
      <x:c r="G1930">
        <x:f>ROUND($C1930*10*VLOOKUP($B1930,Sheet2!$J$5:$K$7,2,FALSE)*VLOOKUP(Sheet1!$A1930,Sheet2!$B$5:$H$29,6,FALSE),0)</x:f>
        <x:v>0</x:v>
      </x:c>
      <x:c r="H1930">
        <x:f>ROUND($C1930*10*VLOOKUP($B1930,Sheet2!$J$5:$K$7,2,FALSE)*VLOOKUP(Sheet1!$A1930,Sheet2!$B$5:$H$29,7,FALSE),0)</x:f>
        <x:v>0</x:v>
      </x:c>
      <x:c r="I1930">
        <x:f t="shared" si="32"/>
        <x:v>5410</x:v>
      </x:c>
    </x:row>
    <x:row r="1931" spans="1:9" x14ac:dyDescent="0.15">
      <x:c r="A1931">
        <x:v>54101</x:v>
      </x:c>
      <x:c r="B1931">
        <x:v>3</x:v>
      </x:c>
      <x:c r="C1931">
        <x:v>10</x:v>
      </x:c>
      <x:c r="D1931">
        <x:f>ROUND($C1931*10*VLOOKUP($B1931,Sheet2!$J$5:$K$7,2,FALSE)*VLOOKUP(Sheet1!$A1931,Sheet2!$B$5:$H$29,3,FALSE),0)</x:f>
        <x:v>40</x:v>
      </x:c>
      <x:c r="E1931">
        <x:f>ROUND($C1931*10*VLOOKUP($B1931,Sheet2!$J$5:$K$7,2,FALSE)*VLOOKUP(Sheet1!$A1931,Sheet2!$B$5:$H$29,4,FALSE),0)</x:f>
        <x:v>0</x:v>
      </x:c>
      <x:c r="F1931">
        <x:f>ROUND($C1931*10*VLOOKUP($B1931,Sheet2!$J$5:$K$7,2,FALSE)*VLOOKUP(Sheet1!$A1931,Sheet2!$B$5:$H$29,5,FALSE),0)</x:f>
        <x:v>96</x:v>
      </x:c>
      <x:c r="G1931">
        <x:f>ROUND($C1931*10*VLOOKUP($B1931,Sheet2!$J$5:$K$7,2,FALSE)*VLOOKUP(Sheet1!$A1931,Sheet2!$B$5:$H$29,6,FALSE),0)</x:f>
        <x:v>0</x:v>
      </x:c>
      <x:c r="H1931">
        <x:f>ROUND($C1931*10*VLOOKUP($B1931,Sheet2!$J$5:$K$7,2,FALSE)*VLOOKUP(Sheet1!$A1931,Sheet2!$B$5:$H$29,7,FALSE),0)</x:f>
        <x:v>0</x:v>
      </x:c>
      <x:c r="I1931">
        <x:f t="shared" si="32"/>
        <x:v>6670</x:v>
      </x:c>
    </x:row>
    <x:row r="1932" spans="1:9" x14ac:dyDescent="0.15">
      <x:c r="A1932">
        <x:v>54101</x:v>
      </x:c>
      <x:c r="B1932">
        <x:v>3</x:v>
      </x:c>
      <x:c r="C1932">
        <x:v>11</x:v>
      </x:c>
      <x:c r="D1932">
        <x:f>ROUND($C1932*10*VLOOKUP($B1932,Sheet2!$J$5:$K$7,2,FALSE)*VLOOKUP(Sheet1!$A1932,Sheet2!$B$5:$H$29,3,FALSE),0)</x:f>
        <x:v>44</x:v>
      </x:c>
      <x:c r="E1932">
        <x:f>ROUND($C1932*10*VLOOKUP($B1932,Sheet2!$J$5:$K$7,2,FALSE)*VLOOKUP(Sheet1!$A1932,Sheet2!$B$5:$H$29,4,FALSE),0)</x:f>
        <x:v>0</x:v>
      </x:c>
      <x:c r="F1932">
        <x:f>ROUND($C1932*10*VLOOKUP($B1932,Sheet2!$J$5:$K$7,2,FALSE)*VLOOKUP(Sheet1!$A1932,Sheet2!$B$5:$H$29,5,FALSE),0)</x:f>
        <x:v>106</x:v>
      </x:c>
      <x:c r="G1932">
        <x:f>ROUND($C1932*10*VLOOKUP($B1932,Sheet2!$J$5:$K$7,2,FALSE)*VLOOKUP(Sheet1!$A1932,Sheet2!$B$5:$H$29,6,FALSE),0)</x:f>
        <x:v>0</x:v>
      </x:c>
      <x:c r="H1932">
        <x:f>ROUND($C1932*10*VLOOKUP($B1932,Sheet2!$J$5:$K$7,2,FALSE)*VLOOKUP(Sheet1!$A1932,Sheet2!$B$5:$H$29,7,FALSE),0)</x:f>
        <x:v>0</x:v>
      </x:c>
      <x:c r="I1932">
        <x:f t="shared" si="32"/>
        <x:v>8040</x:v>
      </x:c>
    </x:row>
    <x:row r="1933" spans="1:9" x14ac:dyDescent="0.15">
      <x:c r="A1933">
        <x:v>54101</x:v>
      </x:c>
      <x:c r="B1933">
        <x:v>3</x:v>
      </x:c>
      <x:c r="C1933">
        <x:v>12</x:v>
      </x:c>
      <x:c r="D1933">
        <x:f>ROUND($C1933*10*VLOOKUP($B1933,Sheet2!$J$5:$K$7,2,FALSE)*VLOOKUP(Sheet1!$A1933,Sheet2!$B$5:$H$29,3,FALSE),0)</x:f>
        <x:v>48</x:v>
      </x:c>
      <x:c r="E1933">
        <x:f>ROUND($C1933*10*VLOOKUP($B1933,Sheet2!$J$5:$K$7,2,FALSE)*VLOOKUP(Sheet1!$A1933,Sheet2!$B$5:$H$29,4,FALSE),0)</x:f>
        <x:v>0</x:v>
      </x:c>
      <x:c r="F1933">
        <x:f>ROUND($C1933*10*VLOOKUP($B1933,Sheet2!$J$5:$K$7,2,FALSE)*VLOOKUP(Sheet1!$A1933,Sheet2!$B$5:$H$29,5,FALSE),0)</x:f>
        <x:v>115</x:v>
      </x:c>
      <x:c r="G1933">
        <x:f>ROUND($C1933*10*VLOOKUP($B1933,Sheet2!$J$5:$K$7,2,FALSE)*VLOOKUP(Sheet1!$A1933,Sheet2!$B$5:$H$29,6,FALSE),0)</x:f>
        <x:v>0</x:v>
      </x:c>
      <x:c r="H1933">
        <x:f>ROUND($C1933*10*VLOOKUP($B1933,Sheet2!$J$5:$K$7,2,FALSE)*VLOOKUP(Sheet1!$A1933,Sheet2!$B$5:$H$29,7,FALSE),0)</x:f>
        <x:v>0</x:v>
      </x:c>
      <x:c r="I1933">
        <x:f t="shared" si="32"/>
        <x:v>9530</x:v>
      </x:c>
    </x:row>
    <x:row r="1934" spans="1:9" x14ac:dyDescent="0.15">
      <x:c r="A1934">
        <x:v>54101</x:v>
      </x:c>
      <x:c r="B1934">
        <x:v>3</x:v>
      </x:c>
      <x:c r="C1934">
        <x:v>13</x:v>
      </x:c>
      <x:c r="D1934">
        <x:f>ROUND($C1934*10*VLOOKUP($B1934,Sheet2!$J$5:$K$7,2,FALSE)*VLOOKUP(Sheet1!$A1934,Sheet2!$B$5:$H$29,3,FALSE),0)</x:f>
        <x:v>52</x:v>
      </x:c>
      <x:c r="E1934">
        <x:f>ROUND($C1934*10*VLOOKUP($B1934,Sheet2!$J$5:$K$7,2,FALSE)*VLOOKUP(Sheet1!$A1934,Sheet2!$B$5:$H$29,4,FALSE),0)</x:f>
        <x:v>0</x:v>
      </x:c>
      <x:c r="F1934">
        <x:f>ROUND($C1934*10*VLOOKUP($B1934,Sheet2!$J$5:$K$7,2,FALSE)*VLOOKUP(Sheet1!$A1934,Sheet2!$B$5:$H$29,5,FALSE),0)</x:f>
        <x:v>125</x:v>
      </x:c>
      <x:c r="G1934">
        <x:f>ROUND($C1934*10*VLOOKUP($B1934,Sheet2!$J$5:$K$7,2,FALSE)*VLOOKUP(Sheet1!$A1934,Sheet2!$B$5:$H$29,6,FALSE),0)</x:f>
        <x:v>0</x:v>
      </x:c>
      <x:c r="H1934">
        <x:f>ROUND($C1934*10*VLOOKUP($B1934,Sheet2!$J$5:$K$7,2,FALSE)*VLOOKUP(Sheet1!$A1934,Sheet2!$B$5:$H$29,7,FALSE),0)</x:f>
        <x:v>0</x:v>
      </x:c>
      <x:c r="I1934">
        <x:f t="shared" si="32"/>
        <x:v>11130</x:v>
      </x:c>
    </x:row>
    <x:row r="1935" spans="1:9" x14ac:dyDescent="0.15">
      <x:c r="A1935">
        <x:v>54101</x:v>
      </x:c>
      <x:c r="B1935">
        <x:v>3</x:v>
      </x:c>
      <x:c r="C1935">
        <x:v>14</x:v>
      </x:c>
      <x:c r="D1935">
        <x:f>ROUND($C1935*10*VLOOKUP($B1935,Sheet2!$J$5:$K$7,2,FALSE)*VLOOKUP(Sheet1!$A1935,Sheet2!$B$5:$H$29,3,FALSE),0)</x:f>
        <x:v>56</x:v>
      </x:c>
      <x:c r="E1935">
        <x:f>ROUND($C1935*10*VLOOKUP($B1935,Sheet2!$J$5:$K$7,2,FALSE)*VLOOKUP(Sheet1!$A1935,Sheet2!$B$5:$H$29,4,FALSE),0)</x:f>
        <x:v>0</x:v>
      </x:c>
      <x:c r="F1935">
        <x:f>ROUND($C1935*10*VLOOKUP($B1935,Sheet2!$J$5:$K$7,2,FALSE)*VLOOKUP(Sheet1!$A1935,Sheet2!$B$5:$H$29,5,FALSE),0)</x:f>
        <x:v>134</x:v>
      </x:c>
      <x:c r="G1935">
        <x:f>ROUND($C1935*10*VLOOKUP($B1935,Sheet2!$J$5:$K$7,2,FALSE)*VLOOKUP(Sheet1!$A1935,Sheet2!$B$5:$H$29,6,FALSE),0)</x:f>
        <x:v>0</x:v>
      </x:c>
      <x:c r="H1935">
        <x:f>ROUND($C1935*10*VLOOKUP($B1935,Sheet2!$J$5:$K$7,2,FALSE)*VLOOKUP(Sheet1!$A1935,Sheet2!$B$5:$H$29,7,FALSE),0)</x:f>
        <x:v>0</x:v>
      </x:c>
      <x:c r="I1935">
        <x:f t="shared" si="32"/>
        <x:v>12840</x:v>
      </x:c>
    </x:row>
    <x:row r="1936" spans="1:9" x14ac:dyDescent="0.15">
      <x:c r="A1936">
        <x:v>54101</x:v>
      </x:c>
      <x:c r="B1936">
        <x:v>3</x:v>
      </x:c>
      <x:c r="C1936">
        <x:v>15</x:v>
      </x:c>
      <x:c r="D1936">
        <x:f>ROUND($C1936*10*VLOOKUP($B1936,Sheet2!$J$5:$K$7,2,FALSE)*VLOOKUP(Sheet1!$A1936,Sheet2!$B$5:$H$29,3,FALSE),0)</x:f>
        <x:v>60</x:v>
      </x:c>
      <x:c r="E1936">
        <x:f>ROUND($C1936*10*VLOOKUP($B1936,Sheet2!$J$5:$K$7,2,FALSE)*VLOOKUP(Sheet1!$A1936,Sheet2!$B$5:$H$29,4,FALSE),0)</x:f>
        <x:v>0</x:v>
      </x:c>
      <x:c r="F1936">
        <x:f>ROUND($C1936*10*VLOOKUP($B1936,Sheet2!$J$5:$K$7,2,FALSE)*VLOOKUP(Sheet1!$A1936,Sheet2!$B$5:$H$29,5,FALSE),0)</x:f>
        <x:v>144</x:v>
      </x:c>
      <x:c r="G1936">
        <x:f>ROUND($C1936*10*VLOOKUP($B1936,Sheet2!$J$5:$K$7,2,FALSE)*VLOOKUP(Sheet1!$A1936,Sheet2!$B$5:$H$29,6,FALSE),0)</x:f>
        <x:v>0</x:v>
      </x:c>
      <x:c r="H1936">
        <x:f>ROUND($C1936*10*VLOOKUP($B1936,Sheet2!$J$5:$K$7,2,FALSE)*VLOOKUP(Sheet1!$A1936,Sheet2!$B$5:$H$29,7,FALSE),0)</x:f>
        <x:v>0</x:v>
      </x:c>
      <x:c r="I1936">
        <x:f t="shared" si="32"/>
        <x:v>14660</x:v>
      </x:c>
    </x:row>
    <x:row r="1937" spans="1:9" x14ac:dyDescent="0.15">
      <x:c r="A1937">
        <x:v>54101</x:v>
      </x:c>
      <x:c r="B1937">
        <x:v>3</x:v>
      </x:c>
      <x:c r="C1937">
        <x:v>16</x:v>
      </x:c>
      <x:c r="D1937">
        <x:f>ROUND($C1937*10*VLOOKUP($B1937,Sheet2!$J$5:$K$7,2,FALSE)*VLOOKUP(Sheet1!$A1937,Sheet2!$B$5:$H$29,3,FALSE),0)</x:f>
        <x:v>64</x:v>
      </x:c>
      <x:c r="E1937">
        <x:f>ROUND($C1937*10*VLOOKUP($B1937,Sheet2!$J$5:$K$7,2,FALSE)*VLOOKUP(Sheet1!$A1937,Sheet2!$B$5:$H$29,4,FALSE),0)</x:f>
        <x:v>0</x:v>
      </x:c>
      <x:c r="F1937">
        <x:f>ROUND($C1937*10*VLOOKUP($B1937,Sheet2!$J$5:$K$7,2,FALSE)*VLOOKUP(Sheet1!$A1937,Sheet2!$B$5:$H$29,5,FALSE),0)</x:f>
        <x:v>154</x:v>
      </x:c>
      <x:c r="G1937">
        <x:f>ROUND($C1937*10*VLOOKUP($B1937,Sheet2!$J$5:$K$7,2,FALSE)*VLOOKUP(Sheet1!$A1937,Sheet2!$B$5:$H$29,6,FALSE),0)</x:f>
        <x:v>0</x:v>
      </x:c>
      <x:c r="H1937">
        <x:f>ROUND($C1937*10*VLOOKUP($B1937,Sheet2!$J$5:$K$7,2,FALSE)*VLOOKUP(Sheet1!$A1937,Sheet2!$B$5:$H$29,7,FALSE),0)</x:f>
        <x:v>0</x:v>
      </x:c>
      <x:c r="I1937">
        <x:f t="shared" si="32"/>
        <x:v>16580</x:v>
      </x:c>
    </x:row>
    <x:row r="1938" spans="1:9" x14ac:dyDescent="0.15">
      <x:c r="A1938">
        <x:v>54101</x:v>
      </x:c>
      <x:c r="B1938">
        <x:v>3</x:v>
      </x:c>
      <x:c r="C1938">
        <x:v>17</x:v>
      </x:c>
      <x:c r="D1938">
        <x:f>ROUND($C1938*10*VLOOKUP($B1938,Sheet2!$J$5:$K$7,2,FALSE)*VLOOKUP(Sheet1!$A1938,Sheet2!$B$5:$H$29,3,FALSE),0)</x:f>
        <x:v>68</x:v>
      </x:c>
      <x:c r="E1938">
        <x:f>ROUND($C1938*10*VLOOKUP($B1938,Sheet2!$J$5:$K$7,2,FALSE)*VLOOKUP(Sheet1!$A1938,Sheet2!$B$5:$H$29,4,FALSE),0)</x:f>
        <x:v>0</x:v>
      </x:c>
      <x:c r="F1938">
        <x:f>ROUND($C1938*10*VLOOKUP($B1938,Sheet2!$J$5:$K$7,2,FALSE)*VLOOKUP(Sheet1!$A1938,Sheet2!$B$5:$H$29,5,FALSE),0)</x:f>
        <x:v>163</x:v>
      </x:c>
      <x:c r="G1938">
        <x:f>ROUND($C1938*10*VLOOKUP($B1938,Sheet2!$J$5:$K$7,2,FALSE)*VLOOKUP(Sheet1!$A1938,Sheet2!$B$5:$H$29,6,FALSE),0)</x:f>
        <x:v>0</x:v>
      </x:c>
      <x:c r="H1938">
        <x:f>ROUND($C1938*10*VLOOKUP($B1938,Sheet2!$J$5:$K$7,2,FALSE)*VLOOKUP(Sheet1!$A1938,Sheet2!$B$5:$H$29,7,FALSE),0)</x:f>
        <x:v>0</x:v>
      </x:c>
      <x:c r="I1938">
        <x:f t="shared" si="32"/>
        <x:v>18620</x:v>
      </x:c>
    </x:row>
    <x:row r="1939" spans="1:9" x14ac:dyDescent="0.15">
      <x:c r="A1939">
        <x:v>54101</x:v>
      </x:c>
      <x:c r="B1939">
        <x:v>3</x:v>
      </x:c>
      <x:c r="C1939">
        <x:v>18</x:v>
      </x:c>
      <x:c r="D1939">
        <x:f>ROUND($C1939*10*VLOOKUP($B1939,Sheet2!$J$5:$K$7,2,FALSE)*VLOOKUP(Sheet1!$A1939,Sheet2!$B$5:$H$29,3,FALSE),0)</x:f>
        <x:v>72</x:v>
      </x:c>
      <x:c r="E1939">
        <x:f>ROUND($C1939*10*VLOOKUP($B1939,Sheet2!$J$5:$K$7,2,FALSE)*VLOOKUP(Sheet1!$A1939,Sheet2!$B$5:$H$29,4,FALSE),0)</x:f>
        <x:v>0</x:v>
      </x:c>
      <x:c r="F1939">
        <x:f>ROUND($C1939*10*VLOOKUP($B1939,Sheet2!$J$5:$K$7,2,FALSE)*VLOOKUP(Sheet1!$A1939,Sheet2!$B$5:$H$29,5,FALSE),0)</x:f>
        <x:v>173</x:v>
      </x:c>
      <x:c r="G1939">
        <x:f>ROUND($C1939*10*VLOOKUP($B1939,Sheet2!$J$5:$K$7,2,FALSE)*VLOOKUP(Sheet1!$A1939,Sheet2!$B$5:$H$29,6,FALSE),0)</x:f>
        <x:v>0</x:v>
      </x:c>
      <x:c r="H1939">
        <x:f>ROUND($C1939*10*VLOOKUP($B1939,Sheet2!$J$5:$K$7,2,FALSE)*VLOOKUP(Sheet1!$A1939,Sheet2!$B$5:$H$29,7,FALSE),0)</x:f>
        <x:v>0</x:v>
      </x:c>
      <x:c r="I1939">
        <x:f t="shared" si="32"/>
        <x:v>20750</x:v>
      </x:c>
    </x:row>
    <x:row r="1940" spans="1:9" x14ac:dyDescent="0.15">
      <x:c r="A1940">
        <x:v>54101</x:v>
      </x:c>
      <x:c r="B1940">
        <x:v>3</x:v>
      </x:c>
      <x:c r="C1940">
        <x:v>19</x:v>
      </x:c>
      <x:c r="D1940">
        <x:f>ROUND($C1940*10*VLOOKUP($B1940,Sheet2!$J$5:$K$7,2,FALSE)*VLOOKUP(Sheet1!$A1940,Sheet2!$B$5:$H$29,3,FALSE),0)</x:f>
        <x:v>76</x:v>
      </x:c>
      <x:c r="E1940">
        <x:f>ROUND($C1940*10*VLOOKUP($B1940,Sheet2!$J$5:$K$7,2,FALSE)*VLOOKUP(Sheet1!$A1940,Sheet2!$B$5:$H$29,4,FALSE),0)</x:f>
        <x:v>0</x:v>
      </x:c>
      <x:c r="F1940">
        <x:f>ROUND($C1940*10*VLOOKUP($B1940,Sheet2!$J$5:$K$7,2,FALSE)*VLOOKUP(Sheet1!$A1940,Sheet2!$B$5:$H$29,5,FALSE),0)</x:f>
        <x:v>182</x:v>
      </x:c>
      <x:c r="G1940">
        <x:f>ROUND($C1940*10*VLOOKUP($B1940,Sheet2!$J$5:$K$7,2,FALSE)*VLOOKUP(Sheet1!$A1940,Sheet2!$B$5:$H$29,6,FALSE),0)</x:f>
        <x:v>0</x:v>
      </x:c>
      <x:c r="H1940">
        <x:f>ROUND($C1940*10*VLOOKUP($B1940,Sheet2!$J$5:$K$7,2,FALSE)*VLOOKUP(Sheet1!$A1940,Sheet2!$B$5:$H$29,7,FALSE),0)</x:f>
        <x:v>0</x:v>
      </x:c>
      <x:c r="I1940">
        <x:f t="shared" si="32"/>
        <x:v>22990</x:v>
      </x:c>
    </x:row>
    <x:row r="1941" spans="1:9" x14ac:dyDescent="0.15">
      <x:c r="A1941">
        <x:v>54101</x:v>
      </x:c>
      <x:c r="B1941">
        <x:v>3</x:v>
      </x:c>
      <x:c r="C1941">
        <x:v>20</x:v>
      </x:c>
      <x:c r="D1941">
        <x:f>ROUND($C1941*10*VLOOKUP($B1941,Sheet2!$J$5:$K$7,2,FALSE)*VLOOKUP(Sheet1!$A1941,Sheet2!$B$5:$H$29,3,FALSE),0)</x:f>
        <x:v>80</x:v>
      </x:c>
      <x:c r="E1941">
        <x:f>ROUND($C1941*10*VLOOKUP($B1941,Sheet2!$J$5:$K$7,2,FALSE)*VLOOKUP(Sheet1!$A1941,Sheet2!$B$5:$H$29,4,FALSE),0)</x:f>
        <x:v>0</x:v>
      </x:c>
      <x:c r="F1941">
        <x:f>ROUND($C1941*10*VLOOKUP($B1941,Sheet2!$J$5:$K$7,2,FALSE)*VLOOKUP(Sheet1!$A1941,Sheet2!$B$5:$H$29,5,FALSE),0)</x:f>
        <x:v>192</x:v>
      </x:c>
      <x:c r="G1941">
        <x:f>ROUND($C1941*10*VLOOKUP($B1941,Sheet2!$J$5:$K$7,2,FALSE)*VLOOKUP(Sheet1!$A1941,Sheet2!$B$5:$H$29,6,FALSE),0)</x:f>
        <x:v>0</x:v>
      </x:c>
      <x:c r="H1941">
        <x:f>ROUND($C1941*10*VLOOKUP($B1941,Sheet2!$J$5:$K$7,2,FALSE)*VLOOKUP(Sheet1!$A1941,Sheet2!$B$5:$H$29,7,FALSE),0)</x:f>
        <x:v>0</x:v>
      </x:c>
      <x:c r="I1941">
        <x:f t="shared" si="32"/>
        <x:v>25330</x:v>
      </x:c>
    </x:row>
    <x:row r="1942" spans="1:9" x14ac:dyDescent="0.15">
      <x:c r="A1942">
        <x:v>54101</x:v>
      </x:c>
      <x:c r="B1942">
        <x:v>3</x:v>
      </x:c>
      <x:c r="C1942">
        <x:v>21</x:v>
      </x:c>
      <x:c r="D1942">
        <x:f>ROUND($C1942*10*VLOOKUP($B1942,Sheet2!$J$5:$K$7,2,FALSE)*VLOOKUP(Sheet1!$A1942,Sheet2!$B$5:$H$29,3,FALSE),0)</x:f>
        <x:v>84</x:v>
      </x:c>
      <x:c r="E1942">
        <x:f>ROUND($C1942*10*VLOOKUP($B1942,Sheet2!$J$5:$K$7,2,FALSE)*VLOOKUP(Sheet1!$A1942,Sheet2!$B$5:$H$29,4,FALSE),0)</x:f>
        <x:v>0</x:v>
      </x:c>
      <x:c r="F1942">
        <x:f>ROUND($C1942*10*VLOOKUP($B1942,Sheet2!$J$5:$K$7,2,FALSE)*VLOOKUP(Sheet1!$A1942,Sheet2!$B$5:$H$29,5,FALSE),0)</x:f>
        <x:v>202</x:v>
      </x:c>
      <x:c r="G1942">
        <x:f>ROUND($C1942*10*VLOOKUP($B1942,Sheet2!$J$5:$K$7,2,FALSE)*VLOOKUP(Sheet1!$A1942,Sheet2!$B$5:$H$29,6,FALSE),0)</x:f>
        <x:v>0</x:v>
      </x:c>
      <x:c r="H1942">
        <x:f>ROUND($C1942*10*VLOOKUP($B1942,Sheet2!$J$5:$K$7,2,FALSE)*VLOOKUP(Sheet1!$A1942,Sheet2!$B$5:$H$29,7,FALSE),0)</x:f>
        <x:v>0</x:v>
      </x:c>
      <x:c r="I1942">
        <x:f t="shared" si="32"/>
        <x:v>27770</x:v>
      </x:c>
    </x:row>
    <x:row r="1943" spans="1:9" x14ac:dyDescent="0.15">
      <x:c r="A1943">
        <x:v>54101</x:v>
      </x:c>
      <x:c r="B1943">
        <x:v>3</x:v>
      </x:c>
      <x:c r="C1943">
        <x:v>22</x:v>
      </x:c>
      <x:c r="D1943">
        <x:f>ROUND($C1943*10*VLOOKUP($B1943,Sheet2!$J$5:$K$7,2,FALSE)*VLOOKUP(Sheet1!$A1943,Sheet2!$B$5:$H$29,3,FALSE),0)</x:f>
        <x:v>88</x:v>
      </x:c>
      <x:c r="E1943">
        <x:f>ROUND($C1943*10*VLOOKUP($B1943,Sheet2!$J$5:$K$7,2,FALSE)*VLOOKUP(Sheet1!$A1943,Sheet2!$B$5:$H$29,4,FALSE),0)</x:f>
        <x:v>0</x:v>
      </x:c>
      <x:c r="F1943">
        <x:f>ROUND($C1943*10*VLOOKUP($B1943,Sheet2!$J$5:$K$7,2,FALSE)*VLOOKUP(Sheet1!$A1943,Sheet2!$B$5:$H$29,5,FALSE),0)</x:f>
        <x:v>211</x:v>
      </x:c>
      <x:c r="G1943">
        <x:f>ROUND($C1943*10*VLOOKUP($B1943,Sheet2!$J$5:$K$7,2,FALSE)*VLOOKUP(Sheet1!$A1943,Sheet2!$B$5:$H$29,6,FALSE),0)</x:f>
        <x:v>0</x:v>
      </x:c>
      <x:c r="H1943">
        <x:f>ROUND($C1943*10*VLOOKUP($B1943,Sheet2!$J$5:$K$7,2,FALSE)*VLOOKUP(Sheet1!$A1943,Sheet2!$B$5:$H$29,7,FALSE),0)</x:f>
        <x:v>0</x:v>
      </x:c>
      <x:c r="I1943">
        <x:f t="shared" si="32"/>
        <x:v>30310</x:v>
      </x:c>
    </x:row>
    <x:row r="1944" spans="1:9" x14ac:dyDescent="0.15">
      <x:c r="A1944">
        <x:v>54101</x:v>
      </x:c>
      <x:c r="B1944">
        <x:v>3</x:v>
      </x:c>
      <x:c r="C1944">
        <x:v>23</x:v>
      </x:c>
      <x:c r="D1944">
        <x:f>ROUND($C1944*10*VLOOKUP($B1944,Sheet2!$J$5:$K$7,2,FALSE)*VLOOKUP(Sheet1!$A1944,Sheet2!$B$5:$H$29,3,FALSE),0)</x:f>
        <x:v>92</x:v>
      </x:c>
      <x:c r="E1944">
        <x:f>ROUND($C1944*10*VLOOKUP($B1944,Sheet2!$J$5:$K$7,2,FALSE)*VLOOKUP(Sheet1!$A1944,Sheet2!$B$5:$H$29,4,FALSE),0)</x:f>
        <x:v>0</x:v>
      </x:c>
      <x:c r="F1944">
        <x:f>ROUND($C1944*10*VLOOKUP($B1944,Sheet2!$J$5:$K$7,2,FALSE)*VLOOKUP(Sheet1!$A1944,Sheet2!$B$5:$H$29,5,FALSE),0)</x:f>
        <x:v>221</x:v>
      </x:c>
      <x:c r="G1944">
        <x:f>ROUND($C1944*10*VLOOKUP($B1944,Sheet2!$J$5:$K$7,2,FALSE)*VLOOKUP(Sheet1!$A1944,Sheet2!$B$5:$H$29,6,FALSE),0)</x:f>
        <x:v>0</x:v>
      </x:c>
      <x:c r="H1944">
        <x:f>ROUND($C1944*10*VLOOKUP($B1944,Sheet2!$J$5:$K$7,2,FALSE)*VLOOKUP(Sheet1!$A1944,Sheet2!$B$5:$H$29,7,FALSE),0)</x:f>
        <x:v>0</x:v>
      </x:c>
      <x:c r="I1944">
        <x:f t="shared" si="32"/>
        <x:v>32950</x:v>
      </x:c>
    </x:row>
    <x:row r="1945" spans="1:9" x14ac:dyDescent="0.15">
      <x:c r="A1945">
        <x:v>54101</x:v>
      </x:c>
      <x:c r="B1945">
        <x:v>3</x:v>
      </x:c>
      <x:c r="C1945">
        <x:v>24</x:v>
      </x:c>
      <x:c r="D1945">
        <x:f>ROUND($C1945*10*VLOOKUP($B1945,Sheet2!$J$5:$K$7,2,FALSE)*VLOOKUP(Sheet1!$A1945,Sheet2!$B$5:$H$29,3,FALSE),0)</x:f>
        <x:v>96</x:v>
      </x:c>
      <x:c r="E1945">
        <x:f>ROUND($C1945*10*VLOOKUP($B1945,Sheet2!$J$5:$K$7,2,FALSE)*VLOOKUP(Sheet1!$A1945,Sheet2!$B$5:$H$29,4,FALSE),0)</x:f>
        <x:v>0</x:v>
      </x:c>
      <x:c r="F1945">
        <x:f>ROUND($C1945*10*VLOOKUP($B1945,Sheet2!$J$5:$K$7,2,FALSE)*VLOOKUP(Sheet1!$A1945,Sheet2!$B$5:$H$29,5,FALSE),0)</x:f>
        <x:v>230</x:v>
      </x:c>
      <x:c r="G1945">
        <x:f>ROUND($C1945*10*VLOOKUP($B1945,Sheet2!$J$5:$K$7,2,FALSE)*VLOOKUP(Sheet1!$A1945,Sheet2!$B$5:$H$29,6,FALSE),0)</x:f>
        <x:v>0</x:v>
      </x:c>
      <x:c r="H1945">
        <x:f>ROUND($C1945*10*VLOOKUP($B1945,Sheet2!$J$5:$K$7,2,FALSE)*VLOOKUP(Sheet1!$A1945,Sheet2!$B$5:$H$29,7,FALSE),0)</x:f>
        <x:v>0</x:v>
      </x:c>
      <x:c r="I1945">
        <x:f t="shared" si="32"/>
        <x:v>35690</x:v>
      </x:c>
    </x:row>
    <x:row r="1946" spans="1:9" x14ac:dyDescent="0.15">
      <x:c r="A1946">
        <x:v>54101</x:v>
      </x:c>
      <x:c r="B1946">
        <x:v>3</x:v>
      </x:c>
      <x:c r="C1946">
        <x:v>25</x:v>
      </x:c>
      <x:c r="D1946">
        <x:f>ROUND($C1946*10*VLOOKUP($B1946,Sheet2!$J$5:$K$7,2,FALSE)*VLOOKUP(Sheet1!$A1946,Sheet2!$B$5:$H$29,3,FALSE),0)</x:f>
        <x:v>100</x:v>
      </x:c>
      <x:c r="E1946">
        <x:f>ROUND($C1946*10*VLOOKUP($B1946,Sheet2!$J$5:$K$7,2,FALSE)*VLOOKUP(Sheet1!$A1946,Sheet2!$B$5:$H$29,4,FALSE),0)</x:f>
        <x:v>0</x:v>
      </x:c>
      <x:c r="F1946">
        <x:f>ROUND($C1946*10*VLOOKUP($B1946,Sheet2!$J$5:$K$7,2,FALSE)*VLOOKUP(Sheet1!$A1946,Sheet2!$B$5:$H$29,5,FALSE),0)</x:f>
        <x:v>240</x:v>
      </x:c>
      <x:c r="G1946">
        <x:f>ROUND($C1946*10*VLOOKUP($B1946,Sheet2!$J$5:$K$7,2,FALSE)*VLOOKUP(Sheet1!$A1946,Sheet2!$B$5:$H$29,6,FALSE),0)</x:f>
        <x:v>0</x:v>
      </x:c>
      <x:c r="H1946">
        <x:f>ROUND($C1946*10*VLOOKUP($B1946,Sheet2!$J$5:$K$7,2,FALSE)*VLOOKUP(Sheet1!$A1946,Sheet2!$B$5:$H$29,7,FALSE),0)</x:f>
        <x:v>0</x:v>
      </x:c>
      <x:c r="I1946">
        <x:f t="shared" si="32"/>
        <x:v>38530</x:v>
      </x:c>
    </x:row>
    <x:row r="1947" spans="1:9" x14ac:dyDescent="0.15">
      <x:c r="A1947">
        <x:v>54101</x:v>
      </x:c>
      <x:c r="B1947">
        <x:v>3</x:v>
      </x:c>
      <x:c r="C1947">
        <x:v>26</x:v>
      </x:c>
      <x:c r="D1947">
        <x:f>ROUND($C1947*10*VLOOKUP($B1947,Sheet2!$J$5:$K$7,2,FALSE)*VLOOKUP(Sheet1!$A1947,Sheet2!$B$5:$H$29,3,FALSE),0)</x:f>
        <x:v>104</x:v>
      </x:c>
      <x:c r="E1947">
        <x:f>ROUND($C1947*10*VLOOKUP($B1947,Sheet2!$J$5:$K$7,2,FALSE)*VLOOKUP(Sheet1!$A1947,Sheet2!$B$5:$H$29,4,FALSE),0)</x:f>
        <x:v>0</x:v>
      </x:c>
      <x:c r="F1947">
        <x:f>ROUND($C1947*10*VLOOKUP($B1947,Sheet2!$J$5:$K$7,2,FALSE)*VLOOKUP(Sheet1!$A1947,Sheet2!$B$5:$H$29,5,FALSE),0)</x:f>
        <x:v>250</x:v>
      </x:c>
      <x:c r="G1947">
        <x:f>ROUND($C1947*10*VLOOKUP($B1947,Sheet2!$J$5:$K$7,2,FALSE)*VLOOKUP(Sheet1!$A1947,Sheet2!$B$5:$H$29,6,FALSE),0)</x:f>
        <x:v>0</x:v>
      </x:c>
      <x:c r="H1947">
        <x:f>ROUND($C1947*10*VLOOKUP($B1947,Sheet2!$J$5:$K$7,2,FALSE)*VLOOKUP(Sheet1!$A1947,Sheet2!$B$5:$H$29,7,FALSE),0)</x:f>
        <x:v>0</x:v>
      </x:c>
      <x:c r="I1947">
        <x:f t="shared" si="32"/>
        <x:v>41460</x:v>
      </x:c>
    </x:row>
    <x:row r="1948" spans="1:9" x14ac:dyDescent="0.15">
      <x:c r="A1948">
        <x:v>54101</x:v>
      </x:c>
      <x:c r="B1948">
        <x:v>3</x:v>
      </x:c>
      <x:c r="C1948">
        <x:v>27</x:v>
      </x:c>
      <x:c r="D1948">
        <x:f>ROUND($C1948*10*VLOOKUP($B1948,Sheet2!$J$5:$K$7,2,FALSE)*VLOOKUP(Sheet1!$A1948,Sheet2!$B$5:$H$29,3,FALSE),0)</x:f>
        <x:v>108</x:v>
      </x:c>
      <x:c r="E1948">
        <x:f>ROUND($C1948*10*VLOOKUP($B1948,Sheet2!$J$5:$K$7,2,FALSE)*VLOOKUP(Sheet1!$A1948,Sheet2!$B$5:$H$29,4,FALSE),0)</x:f>
        <x:v>0</x:v>
      </x:c>
      <x:c r="F1948">
        <x:f>ROUND($C1948*10*VLOOKUP($B1948,Sheet2!$J$5:$K$7,2,FALSE)*VLOOKUP(Sheet1!$A1948,Sheet2!$B$5:$H$29,5,FALSE),0)</x:f>
        <x:v>259</x:v>
      </x:c>
      <x:c r="G1948">
        <x:f>ROUND($C1948*10*VLOOKUP($B1948,Sheet2!$J$5:$K$7,2,FALSE)*VLOOKUP(Sheet1!$A1948,Sheet2!$B$5:$H$29,6,FALSE),0)</x:f>
        <x:v>0</x:v>
      </x:c>
      <x:c r="H1948">
        <x:f>ROUND($C1948*10*VLOOKUP($B1948,Sheet2!$J$5:$K$7,2,FALSE)*VLOOKUP(Sheet1!$A1948,Sheet2!$B$5:$H$29,7,FALSE),0)</x:f>
        <x:v>0</x:v>
      </x:c>
      <x:c r="I1948">
        <x:f t="shared" si="32"/>
        <x:v>44480</x:v>
      </x:c>
    </x:row>
    <x:row r="1949" spans="1:9" x14ac:dyDescent="0.15">
      <x:c r="A1949">
        <x:v>54101</x:v>
      </x:c>
      <x:c r="B1949">
        <x:v>3</x:v>
      </x:c>
      <x:c r="C1949">
        <x:v>28</x:v>
      </x:c>
      <x:c r="D1949">
        <x:f>ROUND($C1949*10*VLOOKUP($B1949,Sheet2!$J$5:$K$7,2,FALSE)*VLOOKUP(Sheet1!$A1949,Sheet2!$B$5:$H$29,3,FALSE),0)</x:f>
        <x:v>112</x:v>
      </x:c>
      <x:c r="E1949">
        <x:f>ROUND($C1949*10*VLOOKUP($B1949,Sheet2!$J$5:$K$7,2,FALSE)*VLOOKUP(Sheet1!$A1949,Sheet2!$B$5:$H$29,4,FALSE),0)</x:f>
        <x:v>0</x:v>
      </x:c>
      <x:c r="F1949">
        <x:f>ROUND($C1949*10*VLOOKUP($B1949,Sheet2!$J$5:$K$7,2,FALSE)*VLOOKUP(Sheet1!$A1949,Sheet2!$B$5:$H$29,5,FALSE),0)</x:f>
        <x:v>269</x:v>
      </x:c>
      <x:c r="G1949">
        <x:f>ROUND($C1949*10*VLOOKUP($B1949,Sheet2!$J$5:$K$7,2,FALSE)*VLOOKUP(Sheet1!$A1949,Sheet2!$B$5:$H$29,6,FALSE),0)</x:f>
        <x:v>0</x:v>
      </x:c>
      <x:c r="H1949">
        <x:f>ROUND($C1949*10*VLOOKUP($B1949,Sheet2!$J$5:$K$7,2,FALSE)*VLOOKUP(Sheet1!$A1949,Sheet2!$B$5:$H$29,7,FALSE),0)</x:f>
        <x:v>0</x:v>
      </x:c>
      <x:c r="I1949">
        <x:f t="shared" si="32"/>
        <x:v>47600</x:v>
      </x:c>
    </x:row>
    <x:row r="1950" spans="1:9" x14ac:dyDescent="0.15">
      <x:c r="A1950">
        <x:v>54101</x:v>
      </x:c>
      <x:c r="B1950">
        <x:v>3</x:v>
      </x:c>
      <x:c r="C1950">
        <x:v>29</x:v>
      </x:c>
      <x:c r="D1950">
        <x:f>ROUND($C1950*10*VLOOKUP($B1950,Sheet2!$J$5:$K$7,2,FALSE)*VLOOKUP(Sheet1!$A1950,Sheet2!$B$5:$H$29,3,FALSE),0)</x:f>
        <x:v>116</x:v>
      </x:c>
      <x:c r="E1950">
        <x:f>ROUND($C1950*10*VLOOKUP($B1950,Sheet2!$J$5:$K$7,2,FALSE)*VLOOKUP(Sheet1!$A1950,Sheet2!$B$5:$H$29,4,FALSE),0)</x:f>
        <x:v>0</x:v>
      </x:c>
      <x:c r="F1950">
        <x:f>ROUND($C1950*10*VLOOKUP($B1950,Sheet2!$J$5:$K$7,2,FALSE)*VLOOKUP(Sheet1!$A1950,Sheet2!$B$5:$H$29,5,FALSE),0)</x:f>
        <x:v>278</x:v>
      </x:c>
      <x:c r="G1950">
        <x:f>ROUND($C1950*10*VLOOKUP($B1950,Sheet2!$J$5:$K$7,2,FALSE)*VLOOKUP(Sheet1!$A1950,Sheet2!$B$5:$H$29,6,FALSE),0)</x:f>
        <x:v>0</x:v>
      </x:c>
      <x:c r="H1950">
        <x:f>ROUND($C1950*10*VLOOKUP($B1950,Sheet2!$J$5:$K$7,2,FALSE)*VLOOKUP(Sheet1!$A1950,Sheet2!$B$5:$H$29,7,FALSE),0)</x:f>
        <x:v>0</x:v>
      </x:c>
      <x:c r="I1950">
        <x:f t="shared" si="32"/>
        <x:v>50820</x:v>
      </x:c>
    </x:row>
    <x:row r="1951" spans="1:9" x14ac:dyDescent="0.15">
      <x:c r="A1951">
        <x:v>54101</x:v>
      </x:c>
      <x:c r="B1951">
        <x:v>3</x:v>
      </x:c>
      <x:c r="C1951">
        <x:v>30</x:v>
      </x:c>
      <x:c r="D1951">
        <x:f>ROUND($C1951*10*VLOOKUP($B1951,Sheet2!$J$5:$K$7,2,FALSE)*VLOOKUP(Sheet1!$A1951,Sheet2!$B$5:$H$29,3,FALSE),0)</x:f>
        <x:v>120</x:v>
      </x:c>
      <x:c r="E1951">
        <x:f>ROUND($C1951*10*VLOOKUP($B1951,Sheet2!$J$5:$K$7,2,FALSE)*VLOOKUP(Sheet1!$A1951,Sheet2!$B$5:$H$29,4,FALSE),0)</x:f>
        <x:v>0</x:v>
      </x:c>
      <x:c r="F1951">
        <x:f>ROUND($C1951*10*VLOOKUP($B1951,Sheet2!$J$5:$K$7,2,FALSE)*VLOOKUP(Sheet1!$A1951,Sheet2!$B$5:$H$29,5,FALSE),0)</x:f>
        <x:v>288</x:v>
      </x:c>
      <x:c r="G1951">
        <x:f>ROUND($C1951*10*VLOOKUP($B1951,Sheet2!$J$5:$K$7,2,FALSE)*VLOOKUP(Sheet1!$A1951,Sheet2!$B$5:$H$29,6,FALSE),0)</x:f>
        <x:v>0</x:v>
      </x:c>
      <x:c r="H1951">
        <x:f>ROUND($C1951*10*VLOOKUP($B1951,Sheet2!$J$5:$K$7,2,FALSE)*VLOOKUP(Sheet1!$A1951,Sheet2!$B$5:$H$29,7,FALSE),0)</x:f>
        <x:v>0</x:v>
      </x:c>
      <x:c r="I1951">
        <x:f t="shared" si="32"/>
        <x:v>54130</x:v>
      </x:c>
    </x:row>
    <x:row r="1952" spans="1:9" x14ac:dyDescent="0.15">
      <x:c r="A1952">
        <x:v>54101</x:v>
      </x:c>
      <x:c r="B1952">
        <x:v>3</x:v>
      </x:c>
      <x:c r="C1952">
        <x:v>31</x:v>
      </x:c>
      <x:c r="D1952">
        <x:f>ROUND($C1952*10*VLOOKUP($B1952,Sheet2!$J$5:$K$7,2,FALSE)*VLOOKUP(Sheet1!$A1952,Sheet2!$B$5:$H$29,3,FALSE),0)</x:f>
        <x:v>124</x:v>
      </x:c>
      <x:c r="E1952">
        <x:f>ROUND($C1952*10*VLOOKUP($B1952,Sheet2!$J$5:$K$7,2,FALSE)*VLOOKUP(Sheet1!$A1952,Sheet2!$B$5:$H$29,4,FALSE),0)</x:f>
        <x:v>0</x:v>
      </x:c>
      <x:c r="F1952">
        <x:f>ROUND($C1952*10*VLOOKUP($B1952,Sheet2!$J$5:$K$7,2,FALSE)*VLOOKUP(Sheet1!$A1952,Sheet2!$B$5:$H$29,5,FALSE),0)</x:f>
        <x:v>298</x:v>
      </x:c>
      <x:c r="G1952">
        <x:f>ROUND($C1952*10*VLOOKUP($B1952,Sheet2!$J$5:$K$7,2,FALSE)*VLOOKUP(Sheet1!$A1952,Sheet2!$B$5:$H$29,6,FALSE),0)</x:f>
        <x:v>0</x:v>
      </x:c>
      <x:c r="H1952">
        <x:f>ROUND($C1952*10*VLOOKUP($B1952,Sheet2!$J$5:$K$7,2,FALSE)*VLOOKUP(Sheet1!$A1952,Sheet2!$B$5:$H$29,7,FALSE),0)</x:f>
        <x:v>0</x:v>
      </x:c>
      <x:c r="I1952">
        <x:f t="shared" si="32"/>
        <x:v>57530</x:v>
      </x:c>
    </x:row>
    <x:row r="1953" spans="1:9" x14ac:dyDescent="0.15">
      <x:c r="A1953">
        <x:v>54101</x:v>
      </x:c>
      <x:c r="B1953">
        <x:v>3</x:v>
      </x:c>
      <x:c r="C1953">
        <x:v>32</x:v>
      </x:c>
      <x:c r="D1953">
        <x:f>ROUND($C1953*10*VLOOKUP($B1953,Sheet2!$J$5:$K$7,2,FALSE)*VLOOKUP(Sheet1!$A1953,Sheet2!$B$5:$H$29,3,FALSE),0)</x:f>
        <x:v>128</x:v>
      </x:c>
      <x:c r="E1953">
        <x:f>ROUND($C1953*10*VLOOKUP($B1953,Sheet2!$J$5:$K$7,2,FALSE)*VLOOKUP(Sheet1!$A1953,Sheet2!$B$5:$H$29,4,FALSE),0)</x:f>
        <x:v>0</x:v>
      </x:c>
      <x:c r="F1953">
        <x:f>ROUND($C1953*10*VLOOKUP($B1953,Sheet2!$J$5:$K$7,2,FALSE)*VLOOKUP(Sheet1!$A1953,Sheet2!$B$5:$H$29,5,FALSE),0)</x:f>
        <x:v>307</x:v>
      </x:c>
      <x:c r="G1953">
        <x:f>ROUND($C1953*10*VLOOKUP($B1953,Sheet2!$J$5:$K$7,2,FALSE)*VLOOKUP(Sheet1!$A1953,Sheet2!$B$5:$H$29,6,FALSE),0)</x:f>
        <x:v>0</x:v>
      </x:c>
      <x:c r="H1953">
        <x:f>ROUND($C1953*10*VLOOKUP($B1953,Sheet2!$J$5:$K$7,2,FALSE)*VLOOKUP(Sheet1!$A1953,Sheet2!$B$5:$H$29,7,FALSE),0)</x:f>
        <x:v>0</x:v>
      </x:c>
      <x:c r="I1953">
        <x:f t="shared" si="32"/>
        <x:v>61020</x:v>
      </x:c>
    </x:row>
    <x:row r="1954" spans="1:9" x14ac:dyDescent="0.15">
      <x:c r="A1954">
        <x:v>54101</x:v>
      </x:c>
      <x:c r="B1954">
        <x:v>3</x:v>
      </x:c>
      <x:c r="C1954">
        <x:v>33</x:v>
      </x:c>
      <x:c r="D1954">
        <x:f>ROUND($C1954*10*VLOOKUP($B1954,Sheet2!$J$5:$K$7,2,FALSE)*VLOOKUP(Sheet1!$A1954,Sheet2!$B$5:$H$29,3,FALSE),0)</x:f>
        <x:v>132</x:v>
      </x:c>
      <x:c r="E1954">
        <x:f>ROUND($C1954*10*VLOOKUP($B1954,Sheet2!$J$5:$K$7,2,FALSE)*VLOOKUP(Sheet1!$A1954,Sheet2!$B$5:$H$29,4,FALSE),0)</x:f>
        <x:v>0</x:v>
      </x:c>
      <x:c r="F1954">
        <x:f>ROUND($C1954*10*VLOOKUP($B1954,Sheet2!$J$5:$K$7,2,FALSE)*VLOOKUP(Sheet1!$A1954,Sheet2!$B$5:$H$29,5,FALSE),0)</x:f>
        <x:v>317</x:v>
      </x:c>
      <x:c r="G1954">
        <x:f>ROUND($C1954*10*VLOOKUP($B1954,Sheet2!$J$5:$K$7,2,FALSE)*VLOOKUP(Sheet1!$A1954,Sheet2!$B$5:$H$29,6,FALSE),0)</x:f>
        <x:v>0</x:v>
      </x:c>
      <x:c r="H1954">
        <x:f>ROUND($C1954*10*VLOOKUP($B1954,Sheet2!$J$5:$K$7,2,FALSE)*VLOOKUP(Sheet1!$A1954,Sheet2!$B$5:$H$29,7,FALSE),0)</x:f>
        <x:v>0</x:v>
      </x:c>
      <x:c r="I1954">
        <x:f t="shared" si="32"/>
        <x:v>64600</x:v>
      </x:c>
    </x:row>
    <x:row r="1955" spans="1:9" x14ac:dyDescent="0.15">
      <x:c r="A1955">
        <x:v>54101</x:v>
      </x:c>
      <x:c r="B1955">
        <x:v>3</x:v>
      </x:c>
      <x:c r="C1955">
        <x:v>34</x:v>
      </x:c>
      <x:c r="D1955">
        <x:f>ROUND($C1955*10*VLOOKUP($B1955,Sheet2!$J$5:$K$7,2,FALSE)*VLOOKUP(Sheet1!$A1955,Sheet2!$B$5:$H$29,3,FALSE),0)</x:f>
        <x:v>136</x:v>
      </x:c>
      <x:c r="E1955">
        <x:f>ROUND($C1955*10*VLOOKUP($B1955,Sheet2!$J$5:$K$7,2,FALSE)*VLOOKUP(Sheet1!$A1955,Sheet2!$B$5:$H$29,4,FALSE),0)</x:f>
        <x:v>0</x:v>
      </x:c>
      <x:c r="F1955">
        <x:f>ROUND($C1955*10*VLOOKUP($B1955,Sheet2!$J$5:$K$7,2,FALSE)*VLOOKUP(Sheet1!$A1955,Sheet2!$B$5:$H$29,5,FALSE),0)</x:f>
        <x:v>326</x:v>
      </x:c>
      <x:c r="G1955">
        <x:f>ROUND($C1955*10*VLOOKUP($B1955,Sheet2!$J$5:$K$7,2,FALSE)*VLOOKUP(Sheet1!$A1955,Sheet2!$B$5:$H$29,6,FALSE),0)</x:f>
        <x:v>0</x:v>
      </x:c>
      <x:c r="H1955">
        <x:f>ROUND($C1955*10*VLOOKUP($B1955,Sheet2!$J$5:$K$7,2,FALSE)*VLOOKUP(Sheet1!$A1955,Sheet2!$B$5:$H$29,7,FALSE),0)</x:f>
        <x:v>0</x:v>
      </x:c>
      <x:c r="I1955">
        <x:f t="shared" si="32"/>
        <x:v>68280</x:v>
      </x:c>
    </x:row>
    <x:row r="1956" spans="1:9" x14ac:dyDescent="0.15">
      <x:c r="A1956">
        <x:v>54101</x:v>
      </x:c>
      <x:c r="B1956">
        <x:v>3</x:v>
      </x:c>
      <x:c r="C1956">
        <x:v>35</x:v>
      </x:c>
      <x:c r="D1956">
        <x:f>ROUND($C1956*10*VLOOKUP($B1956,Sheet2!$J$5:$K$7,2,FALSE)*VLOOKUP(Sheet1!$A1956,Sheet2!$B$5:$H$29,3,FALSE),0)</x:f>
        <x:v>140</x:v>
      </x:c>
      <x:c r="E1956">
        <x:f>ROUND($C1956*10*VLOOKUP($B1956,Sheet2!$J$5:$K$7,2,FALSE)*VLOOKUP(Sheet1!$A1956,Sheet2!$B$5:$H$29,4,FALSE),0)</x:f>
        <x:v>0</x:v>
      </x:c>
      <x:c r="F1956">
        <x:f>ROUND($C1956*10*VLOOKUP($B1956,Sheet2!$J$5:$K$7,2,FALSE)*VLOOKUP(Sheet1!$A1956,Sheet2!$B$5:$H$29,5,FALSE),0)</x:f>
        <x:v>336</x:v>
      </x:c>
      <x:c r="G1956">
        <x:f>ROUND($C1956*10*VLOOKUP($B1956,Sheet2!$J$5:$K$7,2,FALSE)*VLOOKUP(Sheet1!$A1956,Sheet2!$B$5:$H$29,6,FALSE),0)</x:f>
        <x:v>0</x:v>
      </x:c>
      <x:c r="H1956">
        <x:f>ROUND($C1956*10*VLOOKUP($B1956,Sheet2!$J$5:$K$7,2,FALSE)*VLOOKUP(Sheet1!$A1956,Sheet2!$B$5:$H$29,7,FALSE),0)</x:f>
        <x:v>0</x:v>
      </x:c>
      <x:c r="I1956">
        <x:f t="shared" si="32"/>
        <x:v>72040</x:v>
      </x:c>
    </x:row>
    <x:row r="1957" spans="1:9" x14ac:dyDescent="0.15">
      <x:c r="A1957">
        <x:v>54101</x:v>
      </x:c>
      <x:c r="B1957">
        <x:v>3</x:v>
      </x:c>
      <x:c r="C1957">
        <x:v>36</x:v>
      </x:c>
      <x:c r="D1957">
        <x:f>ROUND($C1957*10*VLOOKUP($B1957,Sheet2!$J$5:$K$7,2,FALSE)*VLOOKUP(Sheet1!$A1957,Sheet2!$B$5:$H$29,3,FALSE),0)</x:f>
        <x:v>144</x:v>
      </x:c>
      <x:c r="E1957">
        <x:f>ROUND($C1957*10*VLOOKUP($B1957,Sheet2!$J$5:$K$7,2,FALSE)*VLOOKUP(Sheet1!$A1957,Sheet2!$B$5:$H$29,4,FALSE),0)</x:f>
        <x:v>0</x:v>
      </x:c>
      <x:c r="F1957">
        <x:f>ROUND($C1957*10*VLOOKUP($B1957,Sheet2!$J$5:$K$7,2,FALSE)*VLOOKUP(Sheet1!$A1957,Sheet2!$B$5:$H$29,5,FALSE),0)</x:f>
        <x:v>346</x:v>
      </x:c>
      <x:c r="G1957">
        <x:f>ROUND($C1957*10*VLOOKUP($B1957,Sheet2!$J$5:$K$7,2,FALSE)*VLOOKUP(Sheet1!$A1957,Sheet2!$B$5:$H$29,6,FALSE),0)</x:f>
        <x:v>0</x:v>
      </x:c>
      <x:c r="H1957">
        <x:f>ROUND($C1957*10*VLOOKUP($B1957,Sheet2!$J$5:$K$7,2,FALSE)*VLOOKUP(Sheet1!$A1957,Sheet2!$B$5:$H$29,7,FALSE),0)</x:f>
        <x:v>0</x:v>
      </x:c>
      <x:c r="I1957">
        <x:f t="shared" si="32"/>
        <x:v>75890</x:v>
      </x:c>
    </x:row>
    <x:row r="1958" spans="1:9" x14ac:dyDescent="0.15">
      <x:c r="A1958">
        <x:v>54101</x:v>
      </x:c>
      <x:c r="B1958">
        <x:v>3</x:v>
      </x:c>
      <x:c r="C1958">
        <x:v>37</x:v>
      </x:c>
      <x:c r="D1958">
        <x:f>ROUND($C1958*10*VLOOKUP($B1958,Sheet2!$J$5:$K$7,2,FALSE)*VLOOKUP(Sheet1!$A1958,Sheet2!$B$5:$H$29,3,FALSE),0)</x:f>
        <x:v>148</x:v>
      </x:c>
      <x:c r="E1958">
        <x:f>ROUND($C1958*10*VLOOKUP($B1958,Sheet2!$J$5:$K$7,2,FALSE)*VLOOKUP(Sheet1!$A1958,Sheet2!$B$5:$H$29,4,FALSE),0)</x:f>
        <x:v>0</x:v>
      </x:c>
      <x:c r="F1958">
        <x:f>ROUND($C1958*10*VLOOKUP($B1958,Sheet2!$J$5:$K$7,2,FALSE)*VLOOKUP(Sheet1!$A1958,Sheet2!$B$5:$H$29,5,FALSE),0)</x:f>
        <x:v>355</x:v>
      </x:c>
      <x:c r="G1958">
        <x:f>ROUND($C1958*10*VLOOKUP($B1958,Sheet2!$J$5:$K$7,2,FALSE)*VLOOKUP(Sheet1!$A1958,Sheet2!$B$5:$H$29,6,FALSE),0)</x:f>
        <x:v>0</x:v>
      </x:c>
      <x:c r="H1958">
        <x:f>ROUND($C1958*10*VLOOKUP($B1958,Sheet2!$J$5:$K$7,2,FALSE)*VLOOKUP(Sheet1!$A1958,Sheet2!$B$5:$H$29,7,FALSE),0)</x:f>
        <x:v>0</x:v>
      </x:c>
      <x:c r="I1958">
        <x:f t="shared" si="32"/>
        <x:v>79840</x:v>
      </x:c>
    </x:row>
    <x:row r="1959" spans="1:9" x14ac:dyDescent="0.15">
      <x:c r="A1959">
        <x:v>54101</x:v>
      </x:c>
      <x:c r="B1959">
        <x:v>3</x:v>
      </x:c>
      <x:c r="C1959">
        <x:v>38</x:v>
      </x:c>
      <x:c r="D1959">
        <x:f>ROUND($C1959*10*VLOOKUP($B1959,Sheet2!$J$5:$K$7,2,FALSE)*VLOOKUP(Sheet1!$A1959,Sheet2!$B$5:$H$29,3,FALSE),0)</x:f>
        <x:v>152</x:v>
      </x:c>
      <x:c r="E1959">
        <x:f>ROUND($C1959*10*VLOOKUP($B1959,Sheet2!$J$5:$K$7,2,FALSE)*VLOOKUP(Sheet1!$A1959,Sheet2!$B$5:$H$29,4,FALSE),0)</x:f>
        <x:v>0</x:v>
      </x:c>
      <x:c r="F1959">
        <x:f>ROUND($C1959*10*VLOOKUP($B1959,Sheet2!$J$5:$K$7,2,FALSE)*VLOOKUP(Sheet1!$A1959,Sheet2!$B$5:$H$29,5,FALSE),0)</x:f>
        <x:v>365</x:v>
      </x:c>
      <x:c r="G1959">
        <x:f>ROUND($C1959*10*VLOOKUP($B1959,Sheet2!$J$5:$K$7,2,FALSE)*VLOOKUP(Sheet1!$A1959,Sheet2!$B$5:$H$29,6,FALSE),0)</x:f>
        <x:v>0</x:v>
      </x:c>
      <x:c r="H1959">
        <x:f>ROUND($C1959*10*VLOOKUP($B1959,Sheet2!$J$5:$K$7,2,FALSE)*VLOOKUP(Sheet1!$A1959,Sheet2!$B$5:$H$29,7,FALSE),0)</x:f>
        <x:v>0</x:v>
      </x:c>
      <x:c r="I1959">
        <x:f t="shared" si="32"/>
        <x:v>83870</x:v>
      </x:c>
    </x:row>
    <x:row r="1960" spans="1:9" x14ac:dyDescent="0.15">
      <x:c r="A1960">
        <x:v>54101</x:v>
      </x:c>
      <x:c r="B1960">
        <x:v>3</x:v>
      </x:c>
      <x:c r="C1960">
        <x:v>39</x:v>
      </x:c>
      <x:c r="D1960">
        <x:f>ROUND($C1960*10*VLOOKUP($B1960,Sheet2!$J$5:$K$7,2,FALSE)*VLOOKUP(Sheet1!$A1960,Sheet2!$B$5:$H$29,3,FALSE),0)</x:f>
        <x:v>156</x:v>
      </x:c>
      <x:c r="E1960">
        <x:f>ROUND($C1960*10*VLOOKUP($B1960,Sheet2!$J$5:$K$7,2,FALSE)*VLOOKUP(Sheet1!$A1960,Sheet2!$B$5:$H$29,4,FALSE),0)</x:f>
        <x:v>0</x:v>
      </x:c>
      <x:c r="F1960">
        <x:f>ROUND($C1960*10*VLOOKUP($B1960,Sheet2!$J$5:$K$7,2,FALSE)*VLOOKUP(Sheet1!$A1960,Sheet2!$B$5:$H$29,5,FALSE),0)</x:f>
        <x:v>374</x:v>
      </x:c>
      <x:c r="G1960">
        <x:f>ROUND($C1960*10*VLOOKUP($B1960,Sheet2!$J$5:$K$7,2,FALSE)*VLOOKUP(Sheet1!$A1960,Sheet2!$B$5:$H$29,6,FALSE),0)</x:f>
        <x:v>0</x:v>
      </x:c>
      <x:c r="H1960">
        <x:f>ROUND($C1960*10*VLOOKUP($B1960,Sheet2!$J$5:$K$7,2,FALSE)*VLOOKUP(Sheet1!$A1960,Sheet2!$B$5:$H$29,7,FALSE),0)</x:f>
        <x:v>0</x:v>
      </x:c>
      <x:c r="I1960">
        <x:f t="shared" si="32"/>
        <x:v>87990</x:v>
      </x:c>
    </x:row>
    <x:row r="1961" spans="1:9" x14ac:dyDescent="0.15">
      <x:c r="A1961">
        <x:v>54101</x:v>
      </x:c>
      <x:c r="B1961">
        <x:v>3</x:v>
      </x:c>
      <x:c r="C1961">
        <x:v>40</x:v>
      </x:c>
      <x:c r="D1961">
        <x:f>ROUND($C1961*10*VLOOKUP($B1961,Sheet2!$J$5:$K$7,2,FALSE)*VLOOKUP(Sheet1!$A1961,Sheet2!$B$5:$H$29,3,FALSE),0)</x:f>
        <x:v>160</x:v>
      </x:c>
      <x:c r="E1961">
        <x:f>ROUND($C1961*10*VLOOKUP($B1961,Sheet2!$J$5:$K$7,2,FALSE)*VLOOKUP(Sheet1!$A1961,Sheet2!$B$5:$H$29,4,FALSE),0)</x:f>
        <x:v>0</x:v>
      </x:c>
      <x:c r="F1961">
        <x:f>ROUND($C1961*10*VLOOKUP($B1961,Sheet2!$J$5:$K$7,2,FALSE)*VLOOKUP(Sheet1!$A1961,Sheet2!$B$5:$H$29,5,FALSE),0)</x:f>
        <x:v>384</x:v>
      </x:c>
      <x:c r="G1961">
        <x:f>ROUND($C1961*10*VLOOKUP($B1961,Sheet2!$J$5:$K$7,2,FALSE)*VLOOKUP(Sheet1!$A1961,Sheet2!$B$5:$H$29,6,FALSE),0)</x:f>
        <x:v>0</x:v>
      </x:c>
      <x:c r="H1961">
        <x:f>ROUND($C1961*10*VLOOKUP($B1961,Sheet2!$J$5:$K$7,2,FALSE)*VLOOKUP(Sheet1!$A1961,Sheet2!$B$5:$H$29,7,FALSE),0)</x:f>
        <x:v>0</x:v>
      </x:c>
      <x:c r="I1961">
        <x:f t="shared" si="32"/>
        <x:v>92200</x:v>
      </x:c>
    </x:row>
    <x:row r="1962" spans="1:9" x14ac:dyDescent="0.15">
      <x:c r="A1962">
        <x:v>54101</x:v>
      </x:c>
      <x:c r="B1962">
        <x:v>3</x:v>
      </x:c>
      <x:c r="C1962">
        <x:v>41</x:v>
      </x:c>
      <x:c r="D1962">
        <x:f>ROUND($C1962*10*VLOOKUP($B1962,Sheet2!$J$5:$K$7,2,FALSE)*VLOOKUP(Sheet1!$A1962,Sheet2!$B$5:$H$29,3,FALSE),0)</x:f>
        <x:v>164</x:v>
      </x:c>
      <x:c r="E1962">
        <x:f>ROUND($C1962*10*VLOOKUP($B1962,Sheet2!$J$5:$K$7,2,FALSE)*VLOOKUP(Sheet1!$A1962,Sheet2!$B$5:$H$29,4,FALSE),0)</x:f>
        <x:v>0</x:v>
      </x:c>
      <x:c r="F1962">
        <x:f>ROUND($C1962*10*VLOOKUP($B1962,Sheet2!$J$5:$K$7,2,FALSE)*VLOOKUP(Sheet1!$A1962,Sheet2!$B$5:$H$29,5,FALSE),0)</x:f>
        <x:v>394</x:v>
      </x:c>
      <x:c r="G1962">
        <x:f>ROUND($C1962*10*VLOOKUP($B1962,Sheet2!$J$5:$K$7,2,FALSE)*VLOOKUP(Sheet1!$A1962,Sheet2!$B$5:$H$29,6,FALSE),0)</x:f>
        <x:v>0</x:v>
      </x:c>
      <x:c r="H1962">
        <x:f>ROUND($C1962*10*VLOOKUP($B1962,Sheet2!$J$5:$K$7,2,FALSE)*VLOOKUP(Sheet1!$A1962,Sheet2!$B$5:$H$29,7,FALSE),0)</x:f>
        <x:v>0</x:v>
      </x:c>
      <x:c r="I1962">
        <x:f t="shared" si="32"/>
        <x:v>96490</x:v>
      </x:c>
    </x:row>
    <x:row r="1963" spans="1:9" x14ac:dyDescent="0.15">
      <x:c r="A1963">
        <x:v>54101</x:v>
      </x:c>
      <x:c r="B1963">
        <x:v>3</x:v>
      </x:c>
      <x:c r="C1963">
        <x:v>42</x:v>
      </x:c>
      <x:c r="D1963">
        <x:f>ROUND($C1963*10*VLOOKUP($B1963,Sheet2!$J$5:$K$7,2,FALSE)*VLOOKUP(Sheet1!$A1963,Sheet2!$B$5:$H$29,3,FALSE),0)</x:f>
        <x:v>168</x:v>
      </x:c>
      <x:c r="E1963">
        <x:f>ROUND($C1963*10*VLOOKUP($B1963,Sheet2!$J$5:$K$7,2,FALSE)*VLOOKUP(Sheet1!$A1963,Sheet2!$B$5:$H$29,4,FALSE),0)</x:f>
        <x:v>0</x:v>
      </x:c>
      <x:c r="F1963">
        <x:f>ROUND($C1963*10*VLOOKUP($B1963,Sheet2!$J$5:$K$7,2,FALSE)*VLOOKUP(Sheet1!$A1963,Sheet2!$B$5:$H$29,5,FALSE),0)</x:f>
        <x:v>403</x:v>
      </x:c>
      <x:c r="G1963">
        <x:f>ROUND($C1963*10*VLOOKUP($B1963,Sheet2!$J$5:$K$7,2,FALSE)*VLOOKUP(Sheet1!$A1963,Sheet2!$B$5:$H$29,6,FALSE),0)</x:f>
        <x:v>0</x:v>
      </x:c>
      <x:c r="H1963">
        <x:f>ROUND($C1963*10*VLOOKUP($B1963,Sheet2!$J$5:$K$7,2,FALSE)*VLOOKUP(Sheet1!$A1963,Sheet2!$B$5:$H$29,7,FALSE),0)</x:f>
        <x:v>0</x:v>
      </x:c>
      <x:c r="I1963">
        <x:f t="shared" si="32"/>
        <x:v>100870</x:v>
      </x:c>
    </x:row>
    <x:row r="1964" spans="1:9" x14ac:dyDescent="0.15">
      <x:c r="A1964">
        <x:v>54101</x:v>
      </x:c>
      <x:c r="B1964">
        <x:v>3</x:v>
      </x:c>
      <x:c r="C1964">
        <x:v>43</x:v>
      </x:c>
      <x:c r="D1964">
        <x:f>ROUND($C1964*10*VLOOKUP($B1964,Sheet2!$J$5:$K$7,2,FALSE)*VLOOKUP(Sheet1!$A1964,Sheet2!$B$5:$H$29,3,FALSE),0)</x:f>
        <x:v>172</x:v>
      </x:c>
      <x:c r="E1964">
        <x:f>ROUND($C1964*10*VLOOKUP($B1964,Sheet2!$J$5:$K$7,2,FALSE)*VLOOKUP(Sheet1!$A1964,Sheet2!$B$5:$H$29,4,FALSE),0)</x:f>
        <x:v>0</x:v>
      </x:c>
      <x:c r="F1964">
        <x:f>ROUND($C1964*10*VLOOKUP($B1964,Sheet2!$J$5:$K$7,2,FALSE)*VLOOKUP(Sheet1!$A1964,Sheet2!$B$5:$H$29,5,FALSE),0)</x:f>
        <x:v>413</x:v>
      </x:c>
      <x:c r="G1964">
        <x:f>ROUND($C1964*10*VLOOKUP($B1964,Sheet2!$J$5:$K$7,2,FALSE)*VLOOKUP(Sheet1!$A1964,Sheet2!$B$5:$H$29,6,FALSE),0)</x:f>
        <x:v>0</x:v>
      </x:c>
      <x:c r="H1964">
        <x:f>ROUND($C1964*10*VLOOKUP($B1964,Sheet2!$J$5:$K$7,2,FALSE)*VLOOKUP(Sheet1!$A1964,Sheet2!$B$5:$H$29,7,FALSE),0)</x:f>
        <x:v>0</x:v>
      </x:c>
      <x:c r="I1964">
        <x:f t="shared" si="32"/>
        <x:v>105340</x:v>
      </x:c>
    </x:row>
    <x:row r="1965" spans="1:9" x14ac:dyDescent="0.15">
      <x:c r="A1965">
        <x:v>54101</x:v>
      </x:c>
      <x:c r="B1965">
        <x:v>3</x:v>
      </x:c>
      <x:c r="C1965">
        <x:v>44</x:v>
      </x:c>
      <x:c r="D1965">
        <x:f>ROUND($C1965*10*VLOOKUP($B1965,Sheet2!$J$5:$K$7,2,FALSE)*VLOOKUP(Sheet1!$A1965,Sheet2!$B$5:$H$29,3,FALSE),0)</x:f>
        <x:v>176</x:v>
      </x:c>
      <x:c r="E1965">
        <x:f>ROUND($C1965*10*VLOOKUP($B1965,Sheet2!$J$5:$K$7,2,FALSE)*VLOOKUP(Sheet1!$A1965,Sheet2!$B$5:$H$29,4,FALSE),0)</x:f>
        <x:v>0</x:v>
      </x:c>
      <x:c r="F1965">
        <x:f>ROUND($C1965*10*VLOOKUP($B1965,Sheet2!$J$5:$K$7,2,FALSE)*VLOOKUP(Sheet1!$A1965,Sheet2!$B$5:$H$29,5,FALSE),0)</x:f>
        <x:v>422</x:v>
      </x:c>
      <x:c r="G1965">
        <x:f>ROUND($C1965*10*VLOOKUP($B1965,Sheet2!$J$5:$K$7,2,FALSE)*VLOOKUP(Sheet1!$A1965,Sheet2!$B$5:$H$29,6,FALSE),0)</x:f>
        <x:v>0</x:v>
      </x:c>
      <x:c r="H1965">
        <x:f>ROUND($C1965*10*VLOOKUP($B1965,Sheet2!$J$5:$K$7,2,FALSE)*VLOOKUP(Sheet1!$A1965,Sheet2!$B$5:$H$29,7,FALSE),0)</x:f>
        <x:v>0</x:v>
      </x:c>
      <x:c r="I1965">
        <x:f t="shared" si="32"/>
        <x:v>109890</x:v>
      </x:c>
    </x:row>
    <x:row r="1966" spans="1:9" x14ac:dyDescent="0.15">
      <x:c r="A1966">
        <x:v>54101</x:v>
      </x:c>
      <x:c r="B1966">
        <x:v>3</x:v>
      </x:c>
      <x:c r="C1966">
        <x:v>45</x:v>
      </x:c>
      <x:c r="D1966">
        <x:f>ROUND($C1966*10*VLOOKUP($B1966,Sheet2!$J$5:$K$7,2,FALSE)*VLOOKUP(Sheet1!$A1966,Sheet2!$B$5:$H$29,3,FALSE),0)</x:f>
        <x:v>180</x:v>
      </x:c>
      <x:c r="E1966">
        <x:f>ROUND($C1966*10*VLOOKUP($B1966,Sheet2!$J$5:$K$7,2,FALSE)*VLOOKUP(Sheet1!$A1966,Sheet2!$B$5:$H$29,4,FALSE),0)</x:f>
        <x:v>0</x:v>
      </x:c>
      <x:c r="F1966">
        <x:f>ROUND($C1966*10*VLOOKUP($B1966,Sheet2!$J$5:$K$7,2,FALSE)*VLOOKUP(Sheet1!$A1966,Sheet2!$B$5:$H$29,5,FALSE),0)</x:f>
        <x:v>432</x:v>
      </x:c>
      <x:c r="G1966">
        <x:f>ROUND($C1966*10*VLOOKUP($B1966,Sheet2!$J$5:$K$7,2,FALSE)*VLOOKUP(Sheet1!$A1966,Sheet2!$B$5:$H$29,6,FALSE),0)</x:f>
        <x:v>0</x:v>
      </x:c>
      <x:c r="H1966">
        <x:f>ROUND($C1966*10*VLOOKUP($B1966,Sheet2!$J$5:$K$7,2,FALSE)*VLOOKUP(Sheet1!$A1966,Sheet2!$B$5:$H$29,7,FALSE),0)</x:f>
        <x:v>0</x:v>
      </x:c>
      <x:c r="I1966">
        <x:f t="shared" si="32"/>
        <x:v>114530</x:v>
      </x:c>
    </x:row>
    <x:row r="1967" spans="1:9" x14ac:dyDescent="0.15">
      <x:c r="A1967">
        <x:v>54101</x:v>
      </x:c>
      <x:c r="B1967">
        <x:v>3</x:v>
      </x:c>
      <x:c r="C1967">
        <x:v>46</x:v>
      </x:c>
      <x:c r="D1967">
        <x:f>ROUND($C1967*10*VLOOKUP($B1967,Sheet2!$J$5:$K$7,2,FALSE)*VLOOKUP(Sheet1!$A1967,Sheet2!$B$5:$H$29,3,FALSE),0)</x:f>
        <x:v>184</x:v>
      </x:c>
      <x:c r="E1967">
        <x:f>ROUND($C1967*10*VLOOKUP($B1967,Sheet2!$J$5:$K$7,2,FALSE)*VLOOKUP(Sheet1!$A1967,Sheet2!$B$5:$H$29,4,FALSE),0)</x:f>
        <x:v>0</x:v>
      </x:c>
      <x:c r="F1967">
        <x:f>ROUND($C1967*10*VLOOKUP($B1967,Sheet2!$J$5:$K$7,2,FALSE)*VLOOKUP(Sheet1!$A1967,Sheet2!$B$5:$H$29,5,FALSE),0)</x:f>
        <x:v>442</x:v>
      </x:c>
      <x:c r="G1967">
        <x:f>ROUND($C1967*10*VLOOKUP($B1967,Sheet2!$J$5:$K$7,2,FALSE)*VLOOKUP(Sheet1!$A1967,Sheet2!$B$5:$H$29,6,FALSE),0)</x:f>
        <x:v>0</x:v>
      </x:c>
      <x:c r="H1967">
        <x:f>ROUND($C1967*10*VLOOKUP($B1967,Sheet2!$J$5:$K$7,2,FALSE)*VLOOKUP(Sheet1!$A1967,Sheet2!$B$5:$H$29,7,FALSE),0)</x:f>
        <x:v>0</x:v>
      </x:c>
      <x:c r="I1967">
        <x:f t="shared" si="32"/>
        <x:v>119260</x:v>
      </x:c>
    </x:row>
    <x:row r="1968" spans="1:9" x14ac:dyDescent="0.15">
      <x:c r="A1968">
        <x:v>54101</x:v>
      </x:c>
      <x:c r="B1968">
        <x:v>3</x:v>
      </x:c>
      <x:c r="C1968">
        <x:v>47</x:v>
      </x:c>
      <x:c r="D1968">
        <x:f>ROUND($C1968*10*VLOOKUP($B1968,Sheet2!$J$5:$K$7,2,FALSE)*VLOOKUP(Sheet1!$A1968,Sheet2!$B$5:$H$29,3,FALSE),0)</x:f>
        <x:v>188</x:v>
      </x:c>
      <x:c r="E1968">
        <x:f>ROUND($C1968*10*VLOOKUP($B1968,Sheet2!$J$5:$K$7,2,FALSE)*VLOOKUP(Sheet1!$A1968,Sheet2!$B$5:$H$29,4,FALSE),0)</x:f>
        <x:v>0</x:v>
      </x:c>
      <x:c r="F1968">
        <x:f>ROUND($C1968*10*VLOOKUP($B1968,Sheet2!$J$5:$K$7,2,FALSE)*VLOOKUP(Sheet1!$A1968,Sheet2!$B$5:$H$29,5,FALSE),0)</x:f>
        <x:v>451</x:v>
      </x:c>
      <x:c r="G1968">
        <x:f>ROUND($C1968*10*VLOOKUP($B1968,Sheet2!$J$5:$K$7,2,FALSE)*VLOOKUP(Sheet1!$A1968,Sheet2!$B$5:$H$29,6,FALSE),0)</x:f>
        <x:v>0</x:v>
      </x:c>
      <x:c r="H1968">
        <x:f>ROUND($C1968*10*VLOOKUP($B1968,Sheet2!$J$5:$K$7,2,FALSE)*VLOOKUP(Sheet1!$A1968,Sheet2!$B$5:$H$29,7,FALSE),0)</x:f>
        <x:v>0</x:v>
      </x:c>
      <x:c r="I1968">
        <x:f t="shared" si="32"/>
        <x:v>124070</x:v>
      </x:c>
    </x:row>
    <x:row r="1969" spans="1:9" x14ac:dyDescent="0.15">
      <x:c r="A1969">
        <x:v>54101</x:v>
      </x:c>
      <x:c r="B1969">
        <x:v>3</x:v>
      </x:c>
      <x:c r="C1969">
        <x:v>48</x:v>
      </x:c>
      <x:c r="D1969">
        <x:f>ROUND($C1969*10*VLOOKUP($B1969,Sheet2!$J$5:$K$7,2,FALSE)*VLOOKUP(Sheet1!$A1969,Sheet2!$B$5:$H$29,3,FALSE),0)</x:f>
        <x:v>192</x:v>
      </x:c>
      <x:c r="E1969">
        <x:f>ROUND($C1969*10*VLOOKUP($B1969,Sheet2!$J$5:$K$7,2,FALSE)*VLOOKUP(Sheet1!$A1969,Sheet2!$B$5:$H$29,4,FALSE),0)</x:f>
        <x:v>0</x:v>
      </x:c>
      <x:c r="F1969">
        <x:f>ROUND($C1969*10*VLOOKUP($B1969,Sheet2!$J$5:$K$7,2,FALSE)*VLOOKUP(Sheet1!$A1969,Sheet2!$B$5:$H$29,5,FALSE),0)</x:f>
        <x:v>461</x:v>
      </x:c>
      <x:c r="G1969">
        <x:f>ROUND($C1969*10*VLOOKUP($B1969,Sheet2!$J$5:$K$7,2,FALSE)*VLOOKUP(Sheet1!$A1969,Sheet2!$B$5:$H$29,6,FALSE),0)</x:f>
        <x:v>0</x:v>
      </x:c>
      <x:c r="H1969">
        <x:f>ROUND($C1969*10*VLOOKUP($B1969,Sheet2!$J$5:$K$7,2,FALSE)*VLOOKUP(Sheet1!$A1969,Sheet2!$B$5:$H$29,7,FALSE),0)</x:f>
        <x:v>0</x:v>
      </x:c>
      <x:c r="I1969">
        <x:f t="shared" si="32"/>
        <x:v>128960</x:v>
      </x:c>
    </x:row>
    <x:row r="1970" spans="1:9" x14ac:dyDescent="0.15">
      <x:c r="A1970">
        <x:v>54101</x:v>
      </x:c>
      <x:c r="B1970">
        <x:v>3</x:v>
      </x:c>
      <x:c r="C1970">
        <x:v>49</x:v>
      </x:c>
      <x:c r="D1970">
        <x:f>ROUND($C1970*10*VLOOKUP($B1970,Sheet2!$J$5:$K$7,2,FALSE)*VLOOKUP(Sheet1!$A1970,Sheet2!$B$5:$H$29,3,FALSE),0)</x:f>
        <x:v>196</x:v>
      </x:c>
      <x:c r="E1970">
        <x:f>ROUND($C1970*10*VLOOKUP($B1970,Sheet2!$J$5:$K$7,2,FALSE)*VLOOKUP(Sheet1!$A1970,Sheet2!$B$5:$H$29,4,FALSE),0)</x:f>
        <x:v>0</x:v>
      </x:c>
      <x:c r="F1970">
        <x:f>ROUND($C1970*10*VLOOKUP($B1970,Sheet2!$J$5:$K$7,2,FALSE)*VLOOKUP(Sheet1!$A1970,Sheet2!$B$5:$H$29,5,FALSE),0)</x:f>
        <x:v>470</x:v>
      </x:c>
      <x:c r="G1970">
        <x:f>ROUND($C1970*10*VLOOKUP($B1970,Sheet2!$J$5:$K$7,2,FALSE)*VLOOKUP(Sheet1!$A1970,Sheet2!$B$5:$H$29,6,FALSE),0)</x:f>
        <x:v>0</x:v>
      </x:c>
      <x:c r="H1970">
        <x:f>ROUND($C1970*10*VLOOKUP($B1970,Sheet2!$J$5:$K$7,2,FALSE)*VLOOKUP(Sheet1!$A1970,Sheet2!$B$5:$H$29,7,FALSE),0)</x:f>
        <x:v>0</x:v>
      </x:c>
      <x:c r="I1970">
        <x:f t="shared" si="32"/>
        <x:v>133940</x:v>
      </x:c>
    </x:row>
    <x:row r="1971" spans="1:9" x14ac:dyDescent="0.15">
      <x:c r="A1971">
        <x:v>54101</x:v>
      </x:c>
      <x:c r="B1971">
        <x:v>3</x:v>
      </x:c>
      <x:c r="C1971">
        <x:v>50</x:v>
      </x:c>
      <x:c r="D1971">
        <x:f>ROUND($C1971*10*VLOOKUP($B1971,Sheet2!$J$5:$K$7,2,FALSE)*VLOOKUP(Sheet1!$A1971,Sheet2!$B$5:$H$29,3,FALSE),0)</x:f>
        <x:v>200</x:v>
      </x:c>
      <x:c r="E1971">
        <x:f>ROUND($C1971*10*VLOOKUP($B1971,Sheet2!$J$5:$K$7,2,FALSE)*VLOOKUP(Sheet1!$A1971,Sheet2!$B$5:$H$29,4,FALSE),0)</x:f>
        <x:v>0</x:v>
      </x:c>
      <x:c r="F1971">
        <x:f>ROUND($C1971*10*VLOOKUP($B1971,Sheet2!$J$5:$K$7,2,FALSE)*VLOOKUP(Sheet1!$A1971,Sheet2!$B$5:$H$29,5,FALSE),0)</x:f>
        <x:v>480</x:v>
      </x:c>
      <x:c r="G1971">
        <x:f>ROUND($C1971*10*VLOOKUP($B1971,Sheet2!$J$5:$K$7,2,FALSE)*VLOOKUP(Sheet1!$A1971,Sheet2!$B$5:$H$29,6,FALSE),0)</x:f>
        <x:v>0</x:v>
      </x:c>
      <x:c r="H1971">
        <x:f>ROUND($C1971*10*VLOOKUP($B1971,Sheet2!$J$5:$K$7,2,FALSE)*VLOOKUP(Sheet1!$A1971,Sheet2!$B$5:$H$29,7,FALSE),0)</x:f>
        <x:v>0</x:v>
      </x:c>
      <x:c r="I1971">
        <x:f t="shared" si="32"/>
        <x:v>139000</x:v>
      </x:c>
    </x:row>
    <x:row r="1972" spans="1:9" x14ac:dyDescent="0.15">
      <x:c r="A1972">
        <x:v>54101</x:v>
      </x:c>
      <x:c r="B1972">
        <x:v>3</x:v>
      </x:c>
      <x:c r="C1972">
        <x:v>51</x:v>
      </x:c>
      <x:c r="D1972">
        <x:f>ROUND($C1972*10*VLOOKUP($B1972,Sheet2!$J$5:$K$7,2,FALSE)*VLOOKUP(Sheet1!$A1972,Sheet2!$B$5:$H$29,3,FALSE),0)</x:f>
        <x:v>204</x:v>
      </x:c>
      <x:c r="E1972">
        <x:f>ROUND($C1972*10*VLOOKUP($B1972,Sheet2!$J$5:$K$7,2,FALSE)*VLOOKUP(Sheet1!$A1972,Sheet2!$B$5:$H$29,4,FALSE),0)</x:f>
        <x:v>0</x:v>
      </x:c>
      <x:c r="F1972">
        <x:f>ROUND($C1972*10*VLOOKUP($B1972,Sheet2!$J$5:$K$7,2,FALSE)*VLOOKUP(Sheet1!$A1972,Sheet2!$B$5:$H$29,5,FALSE),0)</x:f>
        <x:v>490</x:v>
      </x:c>
      <x:c r="G1972">
        <x:f>ROUND($C1972*10*VLOOKUP($B1972,Sheet2!$J$5:$K$7,2,FALSE)*VLOOKUP(Sheet1!$A1972,Sheet2!$B$5:$H$29,6,FALSE),0)</x:f>
        <x:v>0</x:v>
      </x:c>
      <x:c r="H1972">
        <x:f>ROUND($C1972*10*VLOOKUP($B1972,Sheet2!$J$5:$K$7,2,FALSE)*VLOOKUP(Sheet1!$A1972,Sheet2!$B$5:$H$29,7,FALSE),0)</x:f>
        <x:v>0</x:v>
      </x:c>
      <x:c r="I1972">
        <x:f t="shared" si="32"/>
        <x:v>144140</x:v>
      </x:c>
    </x:row>
    <x:row r="1973" spans="1:9" x14ac:dyDescent="0.15">
      <x:c r="A1973">
        <x:v>54101</x:v>
      </x:c>
      <x:c r="B1973">
        <x:v>3</x:v>
      </x:c>
      <x:c r="C1973">
        <x:v>52</x:v>
      </x:c>
      <x:c r="D1973">
        <x:f>ROUND($C1973*10*VLOOKUP($B1973,Sheet2!$J$5:$K$7,2,FALSE)*VLOOKUP(Sheet1!$A1973,Sheet2!$B$5:$H$29,3,FALSE),0)</x:f>
        <x:v>208</x:v>
      </x:c>
      <x:c r="E1973">
        <x:f>ROUND($C1973*10*VLOOKUP($B1973,Sheet2!$J$5:$K$7,2,FALSE)*VLOOKUP(Sheet1!$A1973,Sheet2!$B$5:$H$29,4,FALSE),0)</x:f>
        <x:v>0</x:v>
      </x:c>
      <x:c r="F1973">
        <x:f>ROUND($C1973*10*VLOOKUP($B1973,Sheet2!$J$5:$K$7,2,FALSE)*VLOOKUP(Sheet1!$A1973,Sheet2!$B$5:$H$29,5,FALSE),0)</x:f>
        <x:v>499</x:v>
      </x:c>
      <x:c r="G1973">
        <x:f>ROUND($C1973*10*VLOOKUP($B1973,Sheet2!$J$5:$K$7,2,FALSE)*VLOOKUP(Sheet1!$A1973,Sheet2!$B$5:$H$29,6,FALSE),0)</x:f>
        <x:v>0</x:v>
      </x:c>
      <x:c r="H1973">
        <x:f>ROUND($C1973*10*VLOOKUP($B1973,Sheet2!$J$5:$K$7,2,FALSE)*VLOOKUP(Sheet1!$A1973,Sheet2!$B$5:$H$29,7,FALSE),0)</x:f>
        <x:v>0</x:v>
      </x:c>
      <x:c r="I1973">
        <x:f t="shared" si="32"/>
        <x:v>149370</x:v>
      </x:c>
    </x:row>
    <x:row r="1974" spans="1:9" x14ac:dyDescent="0.15">
      <x:c r="A1974">
        <x:v>54101</x:v>
      </x:c>
      <x:c r="B1974">
        <x:v>3</x:v>
      </x:c>
      <x:c r="C1974">
        <x:v>53</x:v>
      </x:c>
      <x:c r="D1974">
        <x:f>ROUND($C1974*10*VLOOKUP($B1974,Sheet2!$J$5:$K$7,2,FALSE)*VLOOKUP(Sheet1!$A1974,Sheet2!$B$5:$H$29,3,FALSE),0)</x:f>
        <x:v>212</x:v>
      </x:c>
      <x:c r="E1974">
        <x:f>ROUND($C1974*10*VLOOKUP($B1974,Sheet2!$J$5:$K$7,2,FALSE)*VLOOKUP(Sheet1!$A1974,Sheet2!$B$5:$H$29,4,FALSE),0)</x:f>
        <x:v>0</x:v>
      </x:c>
      <x:c r="F1974">
        <x:f>ROUND($C1974*10*VLOOKUP($B1974,Sheet2!$J$5:$K$7,2,FALSE)*VLOOKUP(Sheet1!$A1974,Sheet2!$B$5:$H$29,5,FALSE),0)</x:f>
        <x:v>509</x:v>
      </x:c>
      <x:c r="G1974">
        <x:f>ROUND($C1974*10*VLOOKUP($B1974,Sheet2!$J$5:$K$7,2,FALSE)*VLOOKUP(Sheet1!$A1974,Sheet2!$B$5:$H$29,6,FALSE),0)</x:f>
        <x:v>0</x:v>
      </x:c>
      <x:c r="H1974">
        <x:f>ROUND($C1974*10*VLOOKUP($B1974,Sheet2!$J$5:$K$7,2,FALSE)*VLOOKUP(Sheet1!$A1974,Sheet2!$B$5:$H$29,7,FALSE),0)</x:f>
        <x:v>0</x:v>
      </x:c>
      <x:c r="I1974">
        <x:f t="shared" si="32"/>
        <x:v>154680</x:v>
      </x:c>
    </x:row>
    <x:row r="1975" spans="1:9" x14ac:dyDescent="0.15">
      <x:c r="A1975">
        <x:v>54101</x:v>
      </x:c>
      <x:c r="B1975">
        <x:v>3</x:v>
      </x:c>
      <x:c r="C1975">
        <x:v>54</x:v>
      </x:c>
      <x:c r="D1975">
        <x:f>ROUND($C1975*10*VLOOKUP($B1975,Sheet2!$J$5:$K$7,2,FALSE)*VLOOKUP(Sheet1!$A1975,Sheet2!$B$5:$H$29,3,FALSE),0)</x:f>
        <x:v>216</x:v>
      </x:c>
      <x:c r="E1975">
        <x:f>ROUND($C1975*10*VLOOKUP($B1975,Sheet2!$J$5:$K$7,2,FALSE)*VLOOKUP(Sheet1!$A1975,Sheet2!$B$5:$H$29,4,FALSE),0)</x:f>
        <x:v>0</x:v>
      </x:c>
      <x:c r="F1975">
        <x:f>ROUND($C1975*10*VLOOKUP($B1975,Sheet2!$J$5:$K$7,2,FALSE)*VLOOKUP(Sheet1!$A1975,Sheet2!$B$5:$H$29,5,FALSE),0)</x:f>
        <x:v>518</x:v>
      </x:c>
      <x:c r="G1975">
        <x:f>ROUND($C1975*10*VLOOKUP($B1975,Sheet2!$J$5:$K$7,2,FALSE)*VLOOKUP(Sheet1!$A1975,Sheet2!$B$5:$H$29,6,FALSE),0)</x:f>
        <x:v>0</x:v>
      </x:c>
      <x:c r="H1975">
        <x:f>ROUND($C1975*10*VLOOKUP($B1975,Sheet2!$J$5:$K$7,2,FALSE)*VLOOKUP(Sheet1!$A1975,Sheet2!$B$5:$H$29,7,FALSE),0)</x:f>
        <x:v>0</x:v>
      </x:c>
      <x:c r="I1975">
        <x:f t="shared" si="32"/>
        <x:v>160070</x:v>
      </x:c>
    </x:row>
    <x:row r="1976" spans="1:9" x14ac:dyDescent="0.15">
      <x:c r="A1976">
        <x:v>54101</x:v>
      </x:c>
      <x:c r="B1976">
        <x:v>3</x:v>
      </x:c>
      <x:c r="C1976">
        <x:v>55</x:v>
      </x:c>
      <x:c r="D1976">
        <x:f>ROUND($C1976*10*VLOOKUP($B1976,Sheet2!$J$5:$K$7,2,FALSE)*VLOOKUP(Sheet1!$A1976,Sheet2!$B$5:$H$29,3,FALSE),0)</x:f>
        <x:v>220</x:v>
      </x:c>
      <x:c r="E1976">
        <x:f>ROUND($C1976*10*VLOOKUP($B1976,Sheet2!$J$5:$K$7,2,FALSE)*VLOOKUP(Sheet1!$A1976,Sheet2!$B$5:$H$29,4,FALSE),0)</x:f>
        <x:v>0</x:v>
      </x:c>
      <x:c r="F1976">
        <x:f>ROUND($C1976*10*VLOOKUP($B1976,Sheet2!$J$5:$K$7,2,FALSE)*VLOOKUP(Sheet1!$A1976,Sheet2!$B$5:$H$29,5,FALSE),0)</x:f>
        <x:v>528</x:v>
      </x:c>
      <x:c r="G1976">
        <x:f>ROUND($C1976*10*VLOOKUP($B1976,Sheet2!$J$5:$K$7,2,FALSE)*VLOOKUP(Sheet1!$A1976,Sheet2!$B$5:$H$29,6,FALSE),0)</x:f>
        <x:v>0</x:v>
      </x:c>
      <x:c r="H1976">
        <x:f>ROUND($C1976*10*VLOOKUP($B1976,Sheet2!$J$5:$K$7,2,FALSE)*VLOOKUP(Sheet1!$A1976,Sheet2!$B$5:$H$29,7,FALSE),0)</x:f>
        <x:v>0</x:v>
      </x:c>
      <x:c r="I1976">
        <x:f t="shared" si="32"/>
        <x:v>165540</x:v>
      </x:c>
    </x:row>
    <x:row r="1977" spans="1:9" x14ac:dyDescent="0.15">
      <x:c r="A1977">
        <x:v>54101</x:v>
      </x:c>
      <x:c r="B1977">
        <x:v>3</x:v>
      </x:c>
      <x:c r="C1977">
        <x:v>56</x:v>
      </x:c>
      <x:c r="D1977">
        <x:f>ROUND($C1977*10*VLOOKUP($B1977,Sheet2!$J$5:$K$7,2,FALSE)*VLOOKUP(Sheet1!$A1977,Sheet2!$B$5:$H$29,3,FALSE),0)</x:f>
        <x:v>224</x:v>
      </x:c>
      <x:c r="E1977">
        <x:f>ROUND($C1977*10*VLOOKUP($B1977,Sheet2!$J$5:$K$7,2,FALSE)*VLOOKUP(Sheet1!$A1977,Sheet2!$B$5:$H$29,4,FALSE),0)</x:f>
        <x:v>0</x:v>
      </x:c>
      <x:c r="F1977">
        <x:f>ROUND($C1977*10*VLOOKUP($B1977,Sheet2!$J$5:$K$7,2,FALSE)*VLOOKUP(Sheet1!$A1977,Sheet2!$B$5:$H$29,5,FALSE),0)</x:f>
        <x:v>538</x:v>
      </x:c>
      <x:c r="G1977">
        <x:f>ROUND($C1977*10*VLOOKUP($B1977,Sheet2!$J$5:$K$7,2,FALSE)*VLOOKUP(Sheet1!$A1977,Sheet2!$B$5:$H$29,6,FALSE),0)</x:f>
        <x:v>0</x:v>
      </x:c>
      <x:c r="H1977">
        <x:f>ROUND($C1977*10*VLOOKUP($B1977,Sheet2!$J$5:$K$7,2,FALSE)*VLOOKUP(Sheet1!$A1977,Sheet2!$B$5:$H$29,7,FALSE),0)</x:f>
        <x:v>0</x:v>
      </x:c>
      <x:c r="I1977">
        <x:f t="shared" si="32"/>
        <x:v>171100</x:v>
      </x:c>
    </x:row>
    <x:row r="1978" spans="1:9" x14ac:dyDescent="0.15">
      <x:c r="A1978">
        <x:v>54101</x:v>
      </x:c>
      <x:c r="B1978">
        <x:v>3</x:v>
      </x:c>
      <x:c r="C1978">
        <x:v>57</x:v>
      </x:c>
      <x:c r="D1978">
        <x:f>ROUND($C1978*10*VLOOKUP($B1978,Sheet2!$J$5:$K$7,2,FALSE)*VLOOKUP(Sheet1!$A1978,Sheet2!$B$5:$H$29,3,FALSE),0)</x:f>
        <x:v>228</x:v>
      </x:c>
      <x:c r="E1978">
        <x:f>ROUND($C1978*10*VLOOKUP($B1978,Sheet2!$J$5:$K$7,2,FALSE)*VLOOKUP(Sheet1!$A1978,Sheet2!$B$5:$H$29,4,FALSE),0)</x:f>
        <x:v>0</x:v>
      </x:c>
      <x:c r="F1978">
        <x:f>ROUND($C1978*10*VLOOKUP($B1978,Sheet2!$J$5:$K$7,2,FALSE)*VLOOKUP(Sheet1!$A1978,Sheet2!$B$5:$H$29,5,FALSE),0)</x:f>
        <x:v>547</x:v>
      </x:c>
      <x:c r="G1978">
        <x:f>ROUND($C1978*10*VLOOKUP($B1978,Sheet2!$J$5:$K$7,2,FALSE)*VLOOKUP(Sheet1!$A1978,Sheet2!$B$5:$H$29,6,FALSE),0)</x:f>
        <x:v>0</x:v>
      </x:c>
      <x:c r="H1978">
        <x:f>ROUND($C1978*10*VLOOKUP($B1978,Sheet2!$J$5:$K$7,2,FALSE)*VLOOKUP(Sheet1!$A1978,Sheet2!$B$5:$H$29,7,FALSE),0)</x:f>
        <x:v>0</x:v>
      </x:c>
      <x:c r="I1978">
        <x:f t="shared" si="32"/>
        <x:v>176740</x:v>
      </x:c>
    </x:row>
    <x:row r="1979" spans="1:9" x14ac:dyDescent="0.15">
      <x:c r="A1979">
        <x:v>54101</x:v>
      </x:c>
      <x:c r="B1979">
        <x:v>3</x:v>
      </x:c>
      <x:c r="C1979">
        <x:v>58</x:v>
      </x:c>
      <x:c r="D1979">
        <x:f>ROUND($C1979*10*VLOOKUP($B1979,Sheet2!$J$5:$K$7,2,FALSE)*VLOOKUP(Sheet1!$A1979,Sheet2!$B$5:$H$29,3,FALSE),0)</x:f>
        <x:v>232</x:v>
      </x:c>
      <x:c r="E1979">
        <x:f>ROUND($C1979*10*VLOOKUP($B1979,Sheet2!$J$5:$K$7,2,FALSE)*VLOOKUP(Sheet1!$A1979,Sheet2!$B$5:$H$29,4,FALSE),0)</x:f>
        <x:v>0</x:v>
      </x:c>
      <x:c r="F1979">
        <x:f>ROUND($C1979*10*VLOOKUP($B1979,Sheet2!$J$5:$K$7,2,FALSE)*VLOOKUP(Sheet1!$A1979,Sheet2!$B$5:$H$29,5,FALSE),0)</x:f>
        <x:v>557</x:v>
      </x:c>
      <x:c r="G1979">
        <x:f>ROUND($C1979*10*VLOOKUP($B1979,Sheet2!$J$5:$K$7,2,FALSE)*VLOOKUP(Sheet1!$A1979,Sheet2!$B$5:$H$29,6,FALSE),0)</x:f>
        <x:v>0</x:v>
      </x:c>
      <x:c r="H1979">
        <x:f>ROUND($C1979*10*VLOOKUP($B1979,Sheet2!$J$5:$K$7,2,FALSE)*VLOOKUP(Sheet1!$A1979,Sheet2!$B$5:$H$29,7,FALSE),0)</x:f>
        <x:v>0</x:v>
      </x:c>
      <x:c r="I1979">
        <x:f t="shared" si="32"/>
        <x:v>182460</x:v>
      </x:c>
    </x:row>
    <x:row r="1980" spans="1:9" x14ac:dyDescent="0.15">
      <x:c r="A1980">
        <x:v>54101</x:v>
      </x:c>
      <x:c r="B1980">
        <x:v>3</x:v>
      </x:c>
      <x:c r="C1980">
        <x:v>59</x:v>
      </x:c>
      <x:c r="D1980">
        <x:f>ROUND($C1980*10*VLOOKUP($B1980,Sheet2!$J$5:$K$7,2,FALSE)*VLOOKUP(Sheet1!$A1980,Sheet2!$B$5:$H$29,3,FALSE),0)</x:f>
        <x:v>236</x:v>
      </x:c>
      <x:c r="E1980">
        <x:f>ROUND($C1980*10*VLOOKUP($B1980,Sheet2!$J$5:$K$7,2,FALSE)*VLOOKUP(Sheet1!$A1980,Sheet2!$B$5:$H$29,4,FALSE),0)</x:f>
        <x:v>0</x:v>
      </x:c>
      <x:c r="F1980">
        <x:f>ROUND($C1980*10*VLOOKUP($B1980,Sheet2!$J$5:$K$7,2,FALSE)*VLOOKUP(Sheet1!$A1980,Sheet2!$B$5:$H$29,5,FALSE),0)</x:f>
        <x:v>566</x:v>
      </x:c>
      <x:c r="G1980">
        <x:f>ROUND($C1980*10*VLOOKUP($B1980,Sheet2!$J$5:$K$7,2,FALSE)*VLOOKUP(Sheet1!$A1980,Sheet2!$B$5:$H$29,6,FALSE),0)</x:f>
        <x:v>0</x:v>
      </x:c>
      <x:c r="H1980">
        <x:f>ROUND($C1980*10*VLOOKUP($B1980,Sheet2!$J$5:$K$7,2,FALSE)*VLOOKUP(Sheet1!$A1980,Sheet2!$B$5:$H$29,7,FALSE),0)</x:f>
        <x:v>0</x:v>
      </x:c>
      <x:c r="I1980">
        <x:f t="shared" si="32"/>
        <x:v>188260</x:v>
      </x:c>
    </x:row>
    <x:row r="1981" spans="1:9" x14ac:dyDescent="0.15">
      <x:c r="A1981">
        <x:v>54101</x:v>
      </x:c>
      <x:c r="B1981">
        <x:v>3</x:v>
      </x:c>
      <x:c r="C1981">
        <x:v>60</x:v>
      </x:c>
      <x:c r="D1981">
        <x:f>ROUND($C1981*10*VLOOKUP($B1981,Sheet2!$J$5:$K$7,2,FALSE)*VLOOKUP(Sheet1!$A1981,Sheet2!$B$5:$H$29,3,FALSE),0)</x:f>
        <x:v>240</x:v>
      </x:c>
      <x:c r="E1981">
        <x:f>ROUND($C1981*10*VLOOKUP($B1981,Sheet2!$J$5:$K$7,2,FALSE)*VLOOKUP(Sheet1!$A1981,Sheet2!$B$5:$H$29,4,FALSE),0)</x:f>
        <x:v>0</x:v>
      </x:c>
      <x:c r="F1981">
        <x:f>ROUND($C1981*10*VLOOKUP($B1981,Sheet2!$J$5:$K$7,2,FALSE)*VLOOKUP(Sheet1!$A1981,Sheet2!$B$5:$H$29,5,FALSE),0)</x:f>
        <x:v>576</x:v>
      </x:c>
      <x:c r="G1981">
        <x:f>ROUND($C1981*10*VLOOKUP($B1981,Sheet2!$J$5:$K$7,2,FALSE)*VLOOKUP(Sheet1!$A1981,Sheet2!$B$5:$H$29,6,FALSE),0)</x:f>
        <x:v>0</x:v>
      </x:c>
      <x:c r="H1981">
        <x:f>ROUND($C1981*10*VLOOKUP($B1981,Sheet2!$J$5:$K$7,2,FALSE)*VLOOKUP(Sheet1!$A1981,Sheet2!$B$5:$H$29,7,FALSE),0)</x:f>
        <x:v>0</x:v>
      </x:c>
      <x:c r="I1981">
        <x:f t="shared" si="32"/>
        <x:v>194140</x:v>
      </x:c>
    </x:row>
    <x:row r="1982" spans="1:9" x14ac:dyDescent="0.15">
      <x:c r="A1982">
        <x:v>54102</x:v>
      </x:c>
      <x:c r="B1982">
        <x:v>1</x:v>
      </x:c>
      <x:c r="C1982">
        <x:v>1</x:v>
      </x:c>
      <x:c r="D1982">
        <x:f>ROUND($C1982*10*VLOOKUP($B1982,Sheet2!$J$5:$K$7,2,FALSE)*VLOOKUP(Sheet1!$A1982,Sheet2!$B$5:$H$29,3,FALSE),0)</x:f>
        <x:v>0</x:v>
      </x:c>
      <x:c r="E1982">
        <x:f>ROUND($C1982*10*VLOOKUP($B1982,Sheet2!$J$5:$K$7,2,FALSE)*VLOOKUP(Sheet1!$A1982,Sheet2!$B$5:$H$29,4,FALSE),0)</x:f>
        <x:v>2</x:v>
      </x:c>
      <x:c r="F1982">
        <x:f>ROUND($C1982*10*VLOOKUP($B1982,Sheet2!$J$5:$K$7,2,FALSE)*VLOOKUP(Sheet1!$A1982,Sheet2!$B$5:$H$29,5,FALSE),0)</x:f>
        <x:v>5</x:v>
      </x:c>
      <x:c r="G1982">
        <x:f>ROUND($C1982*10*VLOOKUP($B1982,Sheet2!$J$5:$K$7,2,FALSE)*VLOOKUP(Sheet1!$A1982,Sheet2!$B$5:$H$29,6,FALSE),0)</x:f>
        <x:v>0</x:v>
      </x:c>
      <x:c r="H1982">
        <x:f>ROUND($C1982*10*VLOOKUP($B1982,Sheet2!$J$5:$K$7,2,FALSE)*VLOOKUP(Sheet1!$A1982,Sheet2!$B$5:$H$29,7,FALSE),0)</x:f>
        <x:v>0</x:v>
      </x:c>
      <x:c r="I1982">
        <x:f t="shared" ref="I1982:I2041" si="33">ROUND(1.2*10*1.8*(C1982-1)^1.8+30,-1)</x:f>
        <x:v>30</x:v>
      </x:c>
    </x:row>
    <x:row r="1983" spans="1:9" x14ac:dyDescent="0.15">
      <x:c r="A1983">
        <x:v>54102</x:v>
      </x:c>
      <x:c r="B1983">
        <x:v>1</x:v>
      </x:c>
      <x:c r="C1983">
        <x:v>2</x:v>
      </x:c>
      <x:c r="D1983">
        <x:f>ROUND($C1983*10*VLOOKUP($B1983,Sheet2!$J$5:$K$7,2,FALSE)*VLOOKUP(Sheet1!$A1983,Sheet2!$B$5:$H$29,3,FALSE),0)</x:f>
        <x:v>0</x:v>
      </x:c>
      <x:c r="E1983">
        <x:f>ROUND($C1983*10*VLOOKUP($B1983,Sheet2!$J$5:$K$7,2,FALSE)*VLOOKUP(Sheet1!$A1983,Sheet2!$B$5:$H$29,4,FALSE),0)</x:f>
        <x:v>4</x:v>
      </x:c>
      <x:c r="F1983">
        <x:f>ROUND($C1983*10*VLOOKUP($B1983,Sheet2!$J$5:$K$7,2,FALSE)*VLOOKUP(Sheet1!$A1983,Sheet2!$B$5:$H$29,5,FALSE),0)</x:f>
        <x:v>10</x:v>
      </x:c>
      <x:c r="G1983">
        <x:f>ROUND($C1983*10*VLOOKUP($B1983,Sheet2!$J$5:$K$7,2,FALSE)*VLOOKUP(Sheet1!$A1983,Sheet2!$B$5:$H$29,6,FALSE),0)</x:f>
        <x:v>0</x:v>
      </x:c>
      <x:c r="H1983">
        <x:f>ROUND($C1983*10*VLOOKUP($B1983,Sheet2!$J$5:$K$7,2,FALSE)*VLOOKUP(Sheet1!$A1983,Sheet2!$B$5:$H$29,7,FALSE),0)</x:f>
        <x:v>0</x:v>
      </x:c>
      <x:c r="I1983">
        <x:f t="shared" si="33"/>
        <x:v>50</x:v>
      </x:c>
    </x:row>
    <x:row r="1984" spans="1:9" x14ac:dyDescent="0.15">
      <x:c r="A1984">
        <x:v>54102</x:v>
      </x:c>
      <x:c r="B1984">
        <x:v>1</x:v>
      </x:c>
      <x:c r="C1984">
        <x:v>3</x:v>
      </x:c>
      <x:c r="D1984">
        <x:f>ROUND($C1984*10*VLOOKUP($B1984,Sheet2!$J$5:$K$7,2,FALSE)*VLOOKUP(Sheet1!$A1984,Sheet2!$B$5:$H$29,3,FALSE),0)</x:f>
        <x:v>0</x:v>
      </x:c>
      <x:c r="E1984">
        <x:f>ROUND($C1984*10*VLOOKUP($B1984,Sheet2!$J$5:$K$7,2,FALSE)*VLOOKUP(Sheet1!$A1984,Sheet2!$B$5:$H$29,4,FALSE),0)</x:f>
        <x:v>6</x:v>
      </x:c>
      <x:c r="F1984">
        <x:f>ROUND($C1984*10*VLOOKUP($B1984,Sheet2!$J$5:$K$7,2,FALSE)*VLOOKUP(Sheet1!$A1984,Sheet2!$B$5:$H$29,5,FALSE),0)</x:f>
        <x:v>14</x:v>
      </x:c>
      <x:c r="G1984">
        <x:f>ROUND($C1984*10*VLOOKUP($B1984,Sheet2!$J$5:$K$7,2,FALSE)*VLOOKUP(Sheet1!$A1984,Sheet2!$B$5:$H$29,6,FALSE),0)</x:f>
        <x:v>0</x:v>
      </x:c>
      <x:c r="H1984">
        <x:f>ROUND($C1984*10*VLOOKUP($B1984,Sheet2!$J$5:$K$7,2,FALSE)*VLOOKUP(Sheet1!$A1984,Sheet2!$B$5:$H$29,7,FALSE),0)</x:f>
        <x:v>0</x:v>
      </x:c>
      <x:c r="I1984">
        <x:f t="shared" si="33"/>
        <x:v>110</x:v>
      </x:c>
    </x:row>
    <x:row r="1985" spans="1:9" x14ac:dyDescent="0.15">
      <x:c r="A1985">
        <x:v>54102</x:v>
      </x:c>
      <x:c r="B1985">
        <x:v>1</x:v>
      </x:c>
      <x:c r="C1985">
        <x:v>4</x:v>
      </x:c>
      <x:c r="D1985">
        <x:f>ROUND($C1985*10*VLOOKUP($B1985,Sheet2!$J$5:$K$7,2,FALSE)*VLOOKUP(Sheet1!$A1985,Sheet2!$B$5:$H$29,3,FALSE),0)</x:f>
        <x:v>0</x:v>
      </x:c>
      <x:c r="E1985">
        <x:f>ROUND($C1985*10*VLOOKUP($B1985,Sheet2!$J$5:$K$7,2,FALSE)*VLOOKUP(Sheet1!$A1985,Sheet2!$B$5:$H$29,4,FALSE),0)</x:f>
        <x:v>8</x:v>
      </x:c>
      <x:c r="F1985">
        <x:f>ROUND($C1985*10*VLOOKUP($B1985,Sheet2!$J$5:$K$7,2,FALSE)*VLOOKUP(Sheet1!$A1985,Sheet2!$B$5:$H$29,5,FALSE),0)</x:f>
        <x:v>19</x:v>
      </x:c>
      <x:c r="G1985">
        <x:f>ROUND($C1985*10*VLOOKUP($B1985,Sheet2!$J$5:$K$7,2,FALSE)*VLOOKUP(Sheet1!$A1985,Sheet2!$B$5:$H$29,6,FALSE),0)</x:f>
        <x:v>0</x:v>
      </x:c>
      <x:c r="H1985">
        <x:f>ROUND($C1985*10*VLOOKUP($B1985,Sheet2!$J$5:$K$7,2,FALSE)*VLOOKUP(Sheet1!$A1985,Sheet2!$B$5:$H$29,7,FALSE),0)</x:f>
        <x:v>0</x:v>
      </x:c>
      <x:c r="I1985">
        <x:f t="shared" si="33"/>
        <x:v>190</x:v>
      </x:c>
    </x:row>
    <x:row r="1986" spans="1:9" x14ac:dyDescent="0.15">
      <x:c r="A1986">
        <x:v>54102</x:v>
      </x:c>
      <x:c r="B1986">
        <x:v>1</x:v>
      </x:c>
      <x:c r="C1986">
        <x:v>5</x:v>
      </x:c>
      <x:c r="D1986">
        <x:f>ROUND($C1986*10*VLOOKUP($B1986,Sheet2!$J$5:$K$7,2,FALSE)*VLOOKUP(Sheet1!$A1986,Sheet2!$B$5:$H$29,3,FALSE),0)</x:f>
        <x:v>0</x:v>
      </x:c>
      <x:c r="E1986">
        <x:f>ROUND($C1986*10*VLOOKUP($B1986,Sheet2!$J$5:$K$7,2,FALSE)*VLOOKUP(Sheet1!$A1986,Sheet2!$B$5:$H$29,4,FALSE),0)</x:f>
        <x:v>10</x:v>
      </x:c>
      <x:c r="F1986">
        <x:f>ROUND($C1986*10*VLOOKUP($B1986,Sheet2!$J$5:$K$7,2,FALSE)*VLOOKUP(Sheet1!$A1986,Sheet2!$B$5:$H$29,5,FALSE),0)</x:f>
        <x:v>24</x:v>
      </x:c>
      <x:c r="G1986">
        <x:f>ROUND($C1986*10*VLOOKUP($B1986,Sheet2!$J$5:$K$7,2,FALSE)*VLOOKUP(Sheet1!$A1986,Sheet2!$B$5:$H$29,6,FALSE),0)</x:f>
        <x:v>0</x:v>
      </x:c>
      <x:c r="H1986">
        <x:f>ROUND($C1986*10*VLOOKUP($B1986,Sheet2!$J$5:$K$7,2,FALSE)*VLOOKUP(Sheet1!$A1986,Sheet2!$B$5:$H$29,7,FALSE),0)</x:f>
        <x:v>0</x:v>
      </x:c>
      <x:c r="I1986">
        <x:f t="shared" si="33"/>
        <x:v>290</x:v>
      </x:c>
    </x:row>
    <x:row r="1987" spans="1:9" x14ac:dyDescent="0.15">
      <x:c r="A1987">
        <x:v>54102</x:v>
      </x:c>
      <x:c r="B1987">
        <x:v>1</x:v>
      </x:c>
      <x:c r="C1987">
        <x:v>6</x:v>
      </x:c>
      <x:c r="D1987">
        <x:f>ROUND($C1987*10*VLOOKUP($B1987,Sheet2!$J$5:$K$7,2,FALSE)*VLOOKUP(Sheet1!$A1987,Sheet2!$B$5:$H$29,3,FALSE),0)</x:f>
        <x:v>0</x:v>
      </x:c>
      <x:c r="E1987">
        <x:f>ROUND($C1987*10*VLOOKUP($B1987,Sheet2!$J$5:$K$7,2,FALSE)*VLOOKUP(Sheet1!$A1987,Sheet2!$B$5:$H$29,4,FALSE),0)</x:f>
        <x:v>12</x:v>
      </x:c>
      <x:c r="F1987">
        <x:f>ROUND($C1987*10*VLOOKUP($B1987,Sheet2!$J$5:$K$7,2,FALSE)*VLOOKUP(Sheet1!$A1987,Sheet2!$B$5:$H$29,5,FALSE),0)</x:f>
        <x:v>29</x:v>
      </x:c>
      <x:c r="G1987">
        <x:f>ROUND($C1987*10*VLOOKUP($B1987,Sheet2!$J$5:$K$7,2,FALSE)*VLOOKUP(Sheet1!$A1987,Sheet2!$B$5:$H$29,6,FALSE),0)</x:f>
        <x:v>0</x:v>
      </x:c>
      <x:c r="H1987">
        <x:f>ROUND($C1987*10*VLOOKUP($B1987,Sheet2!$J$5:$K$7,2,FALSE)*VLOOKUP(Sheet1!$A1987,Sheet2!$B$5:$H$29,7,FALSE),0)</x:f>
        <x:v>0</x:v>
      </x:c>
      <x:c r="I1987">
        <x:f t="shared" si="33"/>
        <x:v>420</x:v>
      </x:c>
    </x:row>
    <x:row r="1988" spans="1:9" x14ac:dyDescent="0.15">
      <x:c r="A1988">
        <x:v>54102</x:v>
      </x:c>
      <x:c r="B1988">
        <x:v>1</x:v>
      </x:c>
      <x:c r="C1988">
        <x:v>7</x:v>
      </x:c>
      <x:c r="D1988">
        <x:f>ROUND($C1988*10*VLOOKUP($B1988,Sheet2!$J$5:$K$7,2,FALSE)*VLOOKUP(Sheet1!$A1988,Sheet2!$B$5:$H$29,3,FALSE),0)</x:f>
        <x:v>0</x:v>
      </x:c>
      <x:c r="E1988">
        <x:f>ROUND($C1988*10*VLOOKUP($B1988,Sheet2!$J$5:$K$7,2,FALSE)*VLOOKUP(Sheet1!$A1988,Sheet2!$B$5:$H$29,4,FALSE),0)</x:f>
        <x:v>14</x:v>
      </x:c>
      <x:c r="F1988">
        <x:f>ROUND($C1988*10*VLOOKUP($B1988,Sheet2!$J$5:$K$7,2,FALSE)*VLOOKUP(Sheet1!$A1988,Sheet2!$B$5:$H$29,5,FALSE),0)</x:f>
        <x:v>34</x:v>
      </x:c>
      <x:c r="G1988">
        <x:f>ROUND($C1988*10*VLOOKUP($B1988,Sheet2!$J$5:$K$7,2,FALSE)*VLOOKUP(Sheet1!$A1988,Sheet2!$B$5:$H$29,6,FALSE),0)</x:f>
        <x:v>0</x:v>
      </x:c>
      <x:c r="H1988">
        <x:f>ROUND($C1988*10*VLOOKUP($B1988,Sheet2!$J$5:$K$7,2,FALSE)*VLOOKUP(Sheet1!$A1988,Sheet2!$B$5:$H$29,7,FALSE),0)</x:f>
        <x:v>0</x:v>
      </x:c>
      <x:c r="I1988">
        <x:f t="shared" si="33"/>
        <x:v>570</x:v>
      </x:c>
    </x:row>
    <x:row r="1989" spans="1:9" x14ac:dyDescent="0.15">
      <x:c r="A1989">
        <x:v>54102</x:v>
      </x:c>
      <x:c r="B1989">
        <x:v>1</x:v>
      </x:c>
      <x:c r="C1989">
        <x:v>8</x:v>
      </x:c>
      <x:c r="D1989">
        <x:f>ROUND($C1989*10*VLOOKUP($B1989,Sheet2!$J$5:$K$7,2,FALSE)*VLOOKUP(Sheet1!$A1989,Sheet2!$B$5:$H$29,3,FALSE),0)</x:f>
        <x:v>0</x:v>
      </x:c>
      <x:c r="E1989">
        <x:f>ROUND($C1989*10*VLOOKUP($B1989,Sheet2!$J$5:$K$7,2,FALSE)*VLOOKUP(Sheet1!$A1989,Sheet2!$B$5:$H$29,4,FALSE),0)</x:f>
        <x:v>16</x:v>
      </x:c>
      <x:c r="F1989">
        <x:f>ROUND($C1989*10*VLOOKUP($B1989,Sheet2!$J$5:$K$7,2,FALSE)*VLOOKUP(Sheet1!$A1989,Sheet2!$B$5:$H$29,5,FALSE),0)</x:f>
        <x:v>38</x:v>
      </x:c>
      <x:c r="G1989">
        <x:f>ROUND($C1989*10*VLOOKUP($B1989,Sheet2!$J$5:$K$7,2,FALSE)*VLOOKUP(Sheet1!$A1989,Sheet2!$B$5:$H$29,6,FALSE),0)</x:f>
        <x:v>0</x:v>
      </x:c>
      <x:c r="H1989">
        <x:f>ROUND($C1989*10*VLOOKUP($B1989,Sheet2!$J$5:$K$7,2,FALSE)*VLOOKUP(Sheet1!$A1989,Sheet2!$B$5:$H$29,7,FALSE),0)</x:f>
        <x:v>0</x:v>
      </x:c>
      <x:c r="I1989">
        <x:f t="shared" si="33"/>
        <x:v>750</x:v>
      </x:c>
    </x:row>
    <x:row r="1990" spans="1:9" x14ac:dyDescent="0.15">
      <x:c r="A1990">
        <x:v>54102</x:v>
      </x:c>
      <x:c r="B1990">
        <x:v>1</x:v>
      </x:c>
      <x:c r="C1990">
        <x:v>9</x:v>
      </x:c>
      <x:c r="D1990">
        <x:f>ROUND($C1990*10*VLOOKUP($B1990,Sheet2!$J$5:$K$7,2,FALSE)*VLOOKUP(Sheet1!$A1990,Sheet2!$B$5:$H$29,3,FALSE),0)</x:f>
        <x:v>0</x:v>
      </x:c>
      <x:c r="E1990">
        <x:f>ROUND($C1990*10*VLOOKUP($B1990,Sheet2!$J$5:$K$7,2,FALSE)*VLOOKUP(Sheet1!$A1990,Sheet2!$B$5:$H$29,4,FALSE),0)</x:f>
        <x:v>18</x:v>
      </x:c>
      <x:c r="F1990">
        <x:f>ROUND($C1990*10*VLOOKUP($B1990,Sheet2!$J$5:$K$7,2,FALSE)*VLOOKUP(Sheet1!$A1990,Sheet2!$B$5:$H$29,5,FALSE),0)</x:f>
        <x:v>43</x:v>
      </x:c>
      <x:c r="G1990">
        <x:f>ROUND($C1990*10*VLOOKUP($B1990,Sheet2!$J$5:$K$7,2,FALSE)*VLOOKUP(Sheet1!$A1990,Sheet2!$B$5:$H$29,6,FALSE),0)</x:f>
        <x:v>0</x:v>
      </x:c>
      <x:c r="H1990">
        <x:f>ROUND($C1990*10*VLOOKUP($B1990,Sheet2!$J$5:$K$7,2,FALSE)*VLOOKUP(Sheet1!$A1990,Sheet2!$B$5:$H$29,7,FALSE),0)</x:f>
        <x:v>0</x:v>
      </x:c>
      <x:c r="I1990">
        <x:f t="shared" si="33"/>
        <x:v>940</x:v>
      </x:c>
    </x:row>
    <x:row r="1991" spans="1:9" x14ac:dyDescent="0.15">
      <x:c r="A1991">
        <x:v>54102</x:v>
      </x:c>
      <x:c r="B1991">
        <x:v>1</x:v>
      </x:c>
      <x:c r="C1991">
        <x:v>10</x:v>
      </x:c>
      <x:c r="D1991">
        <x:f>ROUND($C1991*10*VLOOKUP($B1991,Sheet2!$J$5:$K$7,2,FALSE)*VLOOKUP(Sheet1!$A1991,Sheet2!$B$5:$H$29,3,FALSE),0)</x:f>
        <x:v>0</x:v>
      </x:c>
      <x:c r="E1991">
        <x:f>ROUND($C1991*10*VLOOKUP($B1991,Sheet2!$J$5:$K$7,2,FALSE)*VLOOKUP(Sheet1!$A1991,Sheet2!$B$5:$H$29,4,FALSE),0)</x:f>
        <x:v>20</x:v>
      </x:c>
      <x:c r="F1991">
        <x:f>ROUND($C1991*10*VLOOKUP($B1991,Sheet2!$J$5:$K$7,2,FALSE)*VLOOKUP(Sheet1!$A1991,Sheet2!$B$5:$H$29,5,FALSE),0)</x:f>
        <x:v>48</x:v>
      </x:c>
      <x:c r="G1991">
        <x:f>ROUND($C1991*10*VLOOKUP($B1991,Sheet2!$J$5:$K$7,2,FALSE)*VLOOKUP(Sheet1!$A1991,Sheet2!$B$5:$H$29,6,FALSE),0)</x:f>
        <x:v>0</x:v>
      </x:c>
      <x:c r="H1991">
        <x:f>ROUND($C1991*10*VLOOKUP($B1991,Sheet2!$J$5:$K$7,2,FALSE)*VLOOKUP(Sheet1!$A1991,Sheet2!$B$5:$H$29,7,FALSE),0)</x:f>
        <x:v>0</x:v>
      </x:c>
      <x:c r="I1991">
        <x:f t="shared" si="33"/>
        <x:v>1160</x:v>
      </x:c>
    </x:row>
    <x:row r="1992" spans="1:9" x14ac:dyDescent="0.15">
      <x:c r="A1992">
        <x:v>54102</x:v>
      </x:c>
      <x:c r="B1992">
        <x:v>1</x:v>
      </x:c>
      <x:c r="C1992">
        <x:v>11</x:v>
      </x:c>
      <x:c r="D1992">
        <x:f>ROUND($C1992*10*VLOOKUP($B1992,Sheet2!$J$5:$K$7,2,FALSE)*VLOOKUP(Sheet1!$A1992,Sheet2!$B$5:$H$29,3,FALSE),0)</x:f>
        <x:v>0</x:v>
      </x:c>
      <x:c r="E1992">
        <x:f>ROUND($C1992*10*VLOOKUP($B1992,Sheet2!$J$5:$K$7,2,FALSE)*VLOOKUP(Sheet1!$A1992,Sheet2!$B$5:$H$29,4,FALSE),0)</x:f>
        <x:v>22</x:v>
      </x:c>
      <x:c r="F1992">
        <x:f>ROUND($C1992*10*VLOOKUP($B1992,Sheet2!$J$5:$K$7,2,FALSE)*VLOOKUP(Sheet1!$A1992,Sheet2!$B$5:$H$29,5,FALSE),0)</x:f>
        <x:v>53</x:v>
      </x:c>
      <x:c r="G1992">
        <x:f>ROUND($C1992*10*VLOOKUP($B1992,Sheet2!$J$5:$K$7,2,FALSE)*VLOOKUP(Sheet1!$A1992,Sheet2!$B$5:$H$29,6,FALSE),0)</x:f>
        <x:v>0</x:v>
      </x:c>
      <x:c r="H1992">
        <x:f>ROUND($C1992*10*VLOOKUP($B1992,Sheet2!$J$5:$K$7,2,FALSE)*VLOOKUP(Sheet1!$A1992,Sheet2!$B$5:$H$29,7,FALSE),0)</x:f>
        <x:v>0</x:v>
      </x:c>
      <x:c r="I1992">
        <x:f t="shared" si="33"/>
        <x:v>1390</x:v>
      </x:c>
    </x:row>
    <x:row r="1993" spans="1:9" x14ac:dyDescent="0.15">
      <x:c r="A1993">
        <x:v>54102</x:v>
      </x:c>
      <x:c r="B1993">
        <x:v>1</x:v>
      </x:c>
      <x:c r="C1993">
        <x:v>12</x:v>
      </x:c>
      <x:c r="D1993">
        <x:f>ROUND($C1993*10*VLOOKUP($B1993,Sheet2!$J$5:$K$7,2,FALSE)*VLOOKUP(Sheet1!$A1993,Sheet2!$B$5:$H$29,3,FALSE),0)</x:f>
        <x:v>0</x:v>
      </x:c>
      <x:c r="E1993">
        <x:f>ROUND($C1993*10*VLOOKUP($B1993,Sheet2!$J$5:$K$7,2,FALSE)*VLOOKUP(Sheet1!$A1993,Sheet2!$B$5:$H$29,4,FALSE),0)</x:f>
        <x:v>24</x:v>
      </x:c>
      <x:c r="F1993">
        <x:f>ROUND($C1993*10*VLOOKUP($B1993,Sheet2!$J$5:$K$7,2,FALSE)*VLOOKUP(Sheet1!$A1993,Sheet2!$B$5:$H$29,5,FALSE),0)</x:f>
        <x:v>58</x:v>
      </x:c>
      <x:c r="G1993">
        <x:f>ROUND($C1993*10*VLOOKUP($B1993,Sheet2!$J$5:$K$7,2,FALSE)*VLOOKUP(Sheet1!$A1993,Sheet2!$B$5:$H$29,6,FALSE),0)</x:f>
        <x:v>0</x:v>
      </x:c>
      <x:c r="H1993">
        <x:f>ROUND($C1993*10*VLOOKUP($B1993,Sheet2!$J$5:$K$7,2,FALSE)*VLOOKUP(Sheet1!$A1993,Sheet2!$B$5:$H$29,7,FALSE),0)</x:f>
        <x:v>0</x:v>
      </x:c>
      <x:c r="I1993">
        <x:f t="shared" si="33"/>
        <x:v>1650</x:v>
      </x:c>
    </x:row>
    <x:row r="1994" spans="1:9" x14ac:dyDescent="0.15">
      <x:c r="A1994">
        <x:v>54102</x:v>
      </x:c>
      <x:c r="B1994">
        <x:v>1</x:v>
      </x:c>
      <x:c r="C1994">
        <x:v>13</x:v>
      </x:c>
      <x:c r="D1994">
        <x:f>ROUND($C1994*10*VLOOKUP($B1994,Sheet2!$J$5:$K$7,2,FALSE)*VLOOKUP(Sheet1!$A1994,Sheet2!$B$5:$H$29,3,FALSE),0)</x:f>
        <x:v>0</x:v>
      </x:c>
      <x:c r="E1994">
        <x:f>ROUND($C1994*10*VLOOKUP($B1994,Sheet2!$J$5:$K$7,2,FALSE)*VLOOKUP(Sheet1!$A1994,Sheet2!$B$5:$H$29,4,FALSE),0)</x:f>
        <x:v>26</x:v>
      </x:c>
      <x:c r="F1994">
        <x:f>ROUND($C1994*10*VLOOKUP($B1994,Sheet2!$J$5:$K$7,2,FALSE)*VLOOKUP(Sheet1!$A1994,Sheet2!$B$5:$H$29,5,FALSE),0)</x:f>
        <x:v>62</x:v>
      </x:c>
      <x:c r="G1994">
        <x:f>ROUND($C1994*10*VLOOKUP($B1994,Sheet2!$J$5:$K$7,2,FALSE)*VLOOKUP(Sheet1!$A1994,Sheet2!$B$5:$H$29,6,FALSE),0)</x:f>
        <x:v>0</x:v>
      </x:c>
      <x:c r="H1994">
        <x:f>ROUND($C1994*10*VLOOKUP($B1994,Sheet2!$J$5:$K$7,2,FALSE)*VLOOKUP(Sheet1!$A1994,Sheet2!$B$5:$H$29,7,FALSE),0)</x:f>
        <x:v>0</x:v>
      </x:c>
      <x:c r="I1994">
        <x:f t="shared" si="33"/>
        <x:v>1920</x:v>
      </x:c>
    </x:row>
    <x:row r="1995" spans="1:9" x14ac:dyDescent="0.15">
      <x:c r="A1995">
        <x:v>54102</x:v>
      </x:c>
      <x:c r="B1995">
        <x:v>1</x:v>
      </x:c>
      <x:c r="C1995">
        <x:v>14</x:v>
      </x:c>
      <x:c r="D1995">
        <x:f>ROUND($C1995*10*VLOOKUP($B1995,Sheet2!$J$5:$K$7,2,FALSE)*VLOOKUP(Sheet1!$A1995,Sheet2!$B$5:$H$29,3,FALSE),0)</x:f>
        <x:v>0</x:v>
      </x:c>
      <x:c r="E1995">
        <x:f>ROUND($C1995*10*VLOOKUP($B1995,Sheet2!$J$5:$K$7,2,FALSE)*VLOOKUP(Sheet1!$A1995,Sheet2!$B$5:$H$29,4,FALSE),0)</x:f>
        <x:v>28</x:v>
      </x:c>
      <x:c r="F1995">
        <x:f>ROUND($C1995*10*VLOOKUP($B1995,Sheet2!$J$5:$K$7,2,FALSE)*VLOOKUP(Sheet1!$A1995,Sheet2!$B$5:$H$29,5,FALSE),0)</x:f>
        <x:v>67</x:v>
      </x:c>
      <x:c r="G1995">
        <x:f>ROUND($C1995*10*VLOOKUP($B1995,Sheet2!$J$5:$K$7,2,FALSE)*VLOOKUP(Sheet1!$A1995,Sheet2!$B$5:$H$29,6,FALSE),0)</x:f>
        <x:v>0</x:v>
      </x:c>
      <x:c r="H1995">
        <x:f>ROUND($C1995*10*VLOOKUP($B1995,Sheet2!$J$5:$K$7,2,FALSE)*VLOOKUP(Sheet1!$A1995,Sheet2!$B$5:$H$29,7,FALSE),0)</x:f>
        <x:v>0</x:v>
      </x:c>
      <x:c r="I1995">
        <x:f t="shared" si="33"/>
        <x:v>2220</x:v>
      </x:c>
    </x:row>
    <x:row r="1996" spans="1:9" x14ac:dyDescent="0.15">
      <x:c r="A1996">
        <x:v>54102</x:v>
      </x:c>
      <x:c r="B1996">
        <x:v>1</x:v>
      </x:c>
      <x:c r="C1996">
        <x:v>15</x:v>
      </x:c>
      <x:c r="D1996">
        <x:f>ROUND($C1996*10*VLOOKUP($B1996,Sheet2!$J$5:$K$7,2,FALSE)*VLOOKUP(Sheet1!$A1996,Sheet2!$B$5:$H$29,3,FALSE),0)</x:f>
        <x:v>0</x:v>
      </x:c>
      <x:c r="E1996">
        <x:f>ROUND($C1996*10*VLOOKUP($B1996,Sheet2!$J$5:$K$7,2,FALSE)*VLOOKUP(Sheet1!$A1996,Sheet2!$B$5:$H$29,4,FALSE),0)</x:f>
        <x:v>30</x:v>
      </x:c>
      <x:c r="F1996">
        <x:f>ROUND($C1996*10*VLOOKUP($B1996,Sheet2!$J$5:$K$7,2,FALSE)*VLOOKUP(Sheet1!$A1996,Sheet2!$B$5:$H$29,5,FALSE),0)</x:f>
        <x:v>72</x:v>
      </x:c>
      <x:c r="G1996">
        <x:f>ROUND($C1996*10*VLOOKUP($B1996,Sheet2!$J$5:$K$7,2,FALSE)*VLOOKUP(Sheet1!$A1996,Sheet2!$B$5:$H$29,6,FALSE),0)</x:f>
        <x:v>0</x:v>
      </x:c>
      <x:c r="H1996">
        <x:f>ROUND($C1996*10*VLOOKUP($B1996,Sheet2!$J$5:$K$7,2,FALSE)*VLOOKUP(Sheet1!$A1996,Sheet2!$B$5:$H$29,7,FALSE),0)</x:f>
        <x:v>0</x:v>
      </x:c>
      <x:c r="I1996">
        <x:f t="shared" si="33"/>
        <x:v>2530</x:v>
      </x:c>
    </x:row>
    <x:row r="1997" spans="1:9" x14ac:dyDescent="0.15">
      <x:c r="A1997">
        <x:v>54102</x:v>
      </x:c>
      <x:c r="B1997">
        <x:v>1</x:v>
      </x:c>
      <x:c r="C1997">
        <x:v>16</x:v>
      </x:c>
      <x:c r="D1997">
        <x:f>ROUND($C1997*10*VLOOKUP($B1997,Sheet2!$J$5:$K$7,2,FALSE)*VLOOKUP(Sheet1!$A1997,Sheet2!$B$5:$H$29,3,FALSE),0)</x:f>
        <x:v>0</x:v>
      </x:c>
      <x:c r="E1997">
        <x:f>ROUND($C1997*10*VLOOKUP($B1997,Sheet2!$J$5:$K$7,2,FALSE)*VLOOKUP(Sheet1!$A1997,Sheet2!$B$5:$H$29,4,FALSE),0)</x:f>
        <x:v>32</x:v>
      </x:c>
      <x:c r="F1997">
        <x:f>ROUND($C1997*10*VLOOKUP($B1997,Sheet2!$J$5:$K$7,2,FALSE)*VLOOKUP(Sheet1!$A1997,Sheet2!$B$5:$H$29,5,FALSE),0)</x:f>
        <x:v>77</x:v>
      </x:c>
      <x:c r="G1997">
        <x:f>ROUND($C1997*10*VLOOKUP($B1997,Sheet2!$J$5:$K$7,2,FALSE)*VLOOKUP(Sheet1!$A1997,Sheet2!$B$5:$H$29,6,FALSE),0)</x:f>
        <x:v>0</x:v>
      </x:c>
      <x:c r="H1997">
        <x:f>ROUND($C1997*10*VLOOKUP($B1997,Sheet2!$J$5:$K$7,2,FALSE)*VLOOKUP(Sheet1!$A1997,Sheet2!$B$5:$H$29,7,FALSE),0)</x:f>
        <x:v>0</x:v>
      </x:c>
      <x:c r="I1997">
        <x:f t="shared" si="33"/>
        <x:v>2860</x:v>
      </x:c>
    </x:row>
    <x:row r="1998" spans="1:9" x14ac:dyDescent="0.15">
      <x:c r="A1998">
        <x:v>54102</x:v>
      </x:c>
      <x:c r="B1998">
        <x:v>1</x:v>
      </x:c>
      <x:c r="C1998">
        <x:v>17</x:v>
      </x:c>
      <x:c r="D1998">
        <x:f>ROUND($C1998*10*VLOOKUP($B1998,Sheet2!$J$5:$K$7,2,FALSE)*VLOOKUP(Sheet1!$A1998,Sheet2!$B$5:$H$29,3,FALSE),0)</x:f>
        <x:v>0</x:v>
      </x:c>
      <x:c r="E1998">
        <x:f>ROUND($C1998*10*VLOOKUP($B1998,Sheet2!$J$5:$K$7,2,FALSE)*VLOOKUP(Sheet1!$A1998,Sheet2!$B$5:$H$29,4,FALSE),0)</x:f>
        <x:v>34</x:v>
      </x:c>
      <x:c r="F1998">
        <x:f>ROUND($C1998*10*VLOOKUP($B1998,Sheet2!$J$5:$K$7,2,FALSE)*VLOOKUP(Sheet1!$A1998,Sheet2!$B$5:$H$29,5,FALSE),0)</x:f>
        <x:v>82</x:v>
      </x:c>
      <x:c r="G1998">
        <x:f>ROUND($C1998*10*VLOOKUP($B1998,Sheet2!$J$5:$K$7,2,FALSE)*VLOOKUP(Sheet1!$A1998,Sheet2!$B$5:$H$29,6,FALSE),0)</x:f>
        <x:v>0</x:v>
      </x:c>
      <x:c r="H1998">
        <x:f>ROUND($C1998*10*VLOOKUP($B1998,Sheet2!$J$5:$K$7,2,FALSE)*VLOOKUP(Sheet1!$A1998,Sheet2!$B$5:$H$29,7,FALSE),0)</x:f>
        <x:v>0</x:v>
      </x:c>
      <x:c r="I1998">
        <x:f t="shared" si="33"/>
        <x:v>3210</x:v>
      </x:c>
    </x:row>
    <x:row r="1999" spans="1:9" x14ac:dyDescent="0.15">
      <x:c r="A1999">
        <x:v>54102</x:v>
      </x:c>
      <x:c r="B1999">
        <x:v>1</x:v>
      </x:c>
      <x:c r="C1999">
        <x:v>18</x:v>
      </x:c>
      <x:c r="D1999">
        <x:f>ROUND($C1999*10*VLOOKUP($B1999,Sheet2!$J$5:$K$7,2,FALSE)*VLOOKUP(Sheet1!$A1999,Sheet2!$B$5:$H$29,3,FALSE),0)</x:f>
        <x:v>0</x:v>
      </x:c>
      <x:c r="E1999">
        <x:f>ROUND($C1999*10*VLOOKUP($B1999,Sheet2!$J$5:$K$7,2,FALSE)*VLOOKUP(Sheet1!$A1999,Sheet2!$B$5:$H$29,4,FALSE),0)</x:f>
        <x:v>36</x:v>
      </x:c>
      <x:c r="F1999">
        <x:f>ROUND($C1999*10*VLOOKUP($B1999,Sheet2!$J$5:$K$7,2,FALSE)*VLOOKUP(Sheet1!$A1999,Sheet2!$B$5:$H$29,5,FALSE),0)</x:f>
        <x:v>86</x:v>
      </x:c>
      <x:c r="G1999">
        <x:f>ROUND($C1999*10*VLOOKUP($B1999,Sheet2!$J$5:$K$7,2,FALSE)*VLOOKUP(Sheet1!$A1999,Sheet2!$B$5:$H$29,6,FALSE),0)</x:f>
        <x:v>0</x:v>
      </x:c>
      <x:c r="H1999">
        <x:f>ROUND($C1999*10*VLOOKUP($B1999,Sheet2!$J$5:$K$7,2,FALSE)*VLOOKUP(Sheet1!$A1999,Sheet2!$B$5:$H$29,7,FALSE),0)</x:f>
        <x:v>0</x:v>
      </x:c>
      <x:c r="I1999">
        <x:f t="shared" si="33"/>
        <x:v>3570</x:v>
      </x:c>
    </x:row>
    <x:row r="2000" spans="1:9" x14ac:dyDescent="0.15">
      <x:c r="A2000">
        <x:v>54102</x:v>
      </x:c>
      <x:c r="B2000">
        <x:v>1</x:v>
      </x:c>
      <x:c r="C2000">
        <x:v>19</x:v>
      </x:c>
      <x:c r="D2000">
        <x:f>ROUND($C2000*10*VLOOKUP($B2000,Sheet2!$J$5:$K$7,2,FALSE)*VLOOKUP(Sheet1!$A2000,Sheet2!$B$5:$H$29,3,FALSE),0)</x:f>
        <x:v>0</x:v>
      </x:c>
      <x:c r="E2000">
        <x:f>ROUND($C2000*10*VLOOKUP($B2000,Sheet2!$J$5:$K$7,2,FALSE)*VLOOKUP(Sheet1!$A2000,Sheet2!$B$5:$H$29,4,FALSE),0)</x:f>
        <x:v>38</x:v>
      </x:c>
      <x:c r="F2000">
        <x:f>ROUND($C2000*10*VLOOKUP($B2000,Sheet2!$J$5:$K$7,2,FALSE)*VLOOKUP(Sheet1!$A2000,Sheet2!$B$5:$H$29,5,FALSE),0)</x:f>
        <x:v>91</x:v>
      </x:c>
      <x:c r="G2000">
        <x:f>ROUND($C2000*10*VLOOKUP($B2000,Sheet2!$J$5:$K$7,2,FALSE)*VLOOKUP(Sheet1!$A2000,Sheet2!$B$5:$H$29,6,FALSE),0)</x:f>
        <x:v>0</x:v>
      </x:c>
      <x:c r="H2000">
        <x:f>ROUND($C2000*10*VLOOKUP($B2000,Sheet2!$J$5:$K$7,2,FALSE)*VLOOKUP(Sheet1!$A2000,Sheet2!$B$5:$H$29,7,FALSE),0)</x:f>
        <x:v>0</x:v>
      </x:c>
      <x:c r="I2000">
        <x:f t="shared" si="33"/>
        <x:v>3960</x:v>
      </x:c>
    </x:row>
    <x:row r="2001" spans="1:9" x14ac:dyDescent="0.15">
      <x:c r="A2001">
        <x:v>54102</x:v>
      </x:c>
      <x:c r="B2001">
        <x:v>1</x:v>
      </x:c>
      <x:c r="C2001">
        <x:v>20</x:v>
      </x:c>
      <x:c r="D2001">
        <x:f>ROUND($C2001*10*VLOOKUP($B2001,Sheet2!$J$5:$K$7,2,FALSE)*VLOOKUP(Sheet1!$A2001,Sheet2!$B$5:$H$29,3,FALSE),0)</x:f>
        <x:v>0</x:v>
      </x:c>
      <x:c r="E2001">
        <x:f>ROUND($C2001*10*VLOOKUP($B2001,Sheet2!$J$5:$K$7,2,FALSE)*VLOOKUP(Sheet1!$A2001,Sheet2!$B$5:$H$29,4,FALSE),0)</x:f>
        <x:v>40</x:v>
      </x:c>
      <x:c r="F2001">
        <x:f>ROUND($C2001*10*VLOOKUP($B2001,Sheet2!$J$5:$K$7,2,FALSE)*VLOOKUP(Sheet1!$A2001,Sheet2!$B$5:$H$29,5,FALSE),0)</x:f>
        <x:v>96</x:v>
      </x:c>
      <x:c r="G2001">
        <x:f>ROUND($C2001*10*VLOOKUP($B2001,Sheet2!$J$5:$K$7,2,FALSE)*VLOOKUP(Sheet1!$A2001,Sheet2!$B$5:$H$29,6,FALSE),0)</x:f>
        <x:v>0</x:v>
      </x:c>
      <x:c r="H2001">
        <x:f>ROUND($C2001*10*VLOOKUP($B2001,Sheet2!$J$5:$K$7,2,FALSE)*VLOOKUP(Sheet1!$A2001,Sheet2!$B$5:$H$29,7,FALSE),0)</x:f>
        <x:v>0</x:v>
      </x:c>
      <x:c r="I2001">
        <x:f t="shared" si="33"/>
        <x:v>4360</x:v>
      </x:c>
    </x:row>
    <x:row r="2002" spans="1:9" x14ac:dyDescent="0.15">
      <x:c r="A2002">
        <x:v>54102</x:v>
      </x:c>
      <x:c r="B2002">
        <x:v>1</x:v>
      </x:c>
      <x:c r="C2002">
        <x:v>21</x:v>
      </x:c>
      <x:c r="D2002">
        <x:f>ROUND($C2002*10*VLOOKUP($B2002,Sheet2!$J$5:$K$7,2,FALSE)*VLOOKUP(Sheet1!$A2002,Sheet2!$B$5:$H$29,3,FALSE),0)</x:f>
        <x:v>0</x:v>
      </x:c>
      <x:c r="E2002">
        <x:f>ROUND($C2002*10*VLOOKUP($B2002,Sheet2!$J$5:$K$7,2,FALSE)*VLOOKUP(Sheet1!$A2002,Sheet2!$B$5:$H$29,4,FALSE),0)</x:f>
        <x:v>42</x:v>
      </x:c>
      <x:c r="F2002">
        <x:f>ROUND($C2002*10*VLOOKUP($B2002,Sheet2!$J$5:$K$7,2,FALSE)*VLOOKUP(Sheet1!$A2002,Sheet2!$B$5:$H$29,5,FALSE),0)</x:f>
        <x:v>101</x:v>
      </x:c>
      <x:c r="G2002">
        <x:f>ROUND($C2002*10*VLOOKUP($B2002,Sheet2!$J$5:$K$7,2,FALSE)*VLOOKUP(Sheet1!$A2002,Sheet2!$B$5:$H$29,6,FALSE),0)</x:f>
        <x:v>0</x:v>
      </x:c>
      <x:c r="H2002">
        <x:f>ROUND($C2002*10*VLOOKUP($B2002,Sheet2!$J$5:$K$7,2,FALSE)*VLOOKUP(Sheet1!$A2002,Sheet2!$B$5:$H$29,7,FALSE),0)</x:f>
        <x:v>0</x:v>
      </x:c>
      <x:c r="I2002">
        <x:f t="shared" si="33"/>
        <x:v>4780</x:v>
      </x:c>
    </x:row>
    <x:row r="2003" spans="1:9" x14ac:dyDescent="0.15">
      <x:c r="A2003">
        <x:v>54102</x:v>
      </x:c>
      <x:c r="B2003">
        <x:v>1</x:v>
      </x:c>
      <x:c r="C2003">
        <x:v>22</x:v>
      </x:c>
      <x:c r="D2003">
        <x:f>ROUND($C2003*10*VLOOKUP($B2003,Sheet2!$J$5:$K$7,2,FALSE)*VLOOKUP(Sheet1!$A2003,Sheet2!$B$5:$H$29,3,FALSE),0)</x:f>
        <x:v>0</x:v>
      </x:c>
      <x:c r="E2003">
        <x:f>ROUND($C2003*10*VLOOKUP($B2003,Sheet2!$J$5:$K$7,2,FALSE)*VLOOKUP(Sheet1!$A2003,Sheet2!$B$5:$H$29,4,FALSE),0)</x:f>
        <x:v>44</x:v>
      </x:c>
      <x:c r="F2003">
        <x:f>ROUND($C2003*10*VLOOKUP($B2003,Sheet2!$J$5:$K$7,2,FALSE)*VLOOKUP(Sheet1!$A2003,Sheet2!$B$5:$H$29,5,FALSE),0)</x:f>
        <x:v>106</x:v>
      </x:c>
      <x:c r="G2003">
        <x:f>ROUND($C2003*10*VLOOKUP($B2003,Sheet2!$J$5:$K$7,2,FALSE)*VLOOKUP(Sheet1!$A2003,Sheet2!$B$5:$H$29,6,FALSE),0)</x:f>
        <x:v>0</x:v>
      </x:c>
      <x:c r="H2003">
        <x:f>ROUND($C2003*10*VLOOKUP($B2003,Sheet2!$J$5:$K$7,2,FALSE)*VLOOKUP(Sheet1!$A2003,Sheet2!$B$5:$H$29,7,FALSE),0)</x:f>
        <x:v>0</x:v>
      </x:c>
      <x:c r="I2003">
        <x:f t="shared" si="33"/>
        <x:v>5210</x:v>
      </x:c>
    </x:row>
    <x:row r="2004" spans="1:9" x14ac:dyDescent="0.15">
      <x:c r="A2004">
        <x:v>54102</x:v>
      </x:c>
      <x:c r="B2004">
        <x:v>1</x:v>
      </x:c>
      <x:c r="C2004">
        <x:v>23</x:v>
      </x:c>
      <x:c r="D2004">
        <x:f>ROUND($C2004*10*VLOOKUP($B2004,Sheet2!$J$5:$K$7,2,FALSE)*VLOOKUP(Sheet1!$A2004,Sheet2!$B$5:$H$29,3,FALSE),0)</x:f>
        <x:v>0</x:v>
      </x:c>
      <x:c r="E2004">
        <x:f>ROUND($C2004*10*VLOOKUP($B2004,Sheet2!$J$5:$K$7,2,FALSE)*VLOOKUP(Sheet1!$A2004,Sheet2!$B$5:$H$29,4,FALSE),0)</x:f>
        <x:v>46</x:v>
      </x:c>
      <x:c r="F2004">
        <x:f>ROUND($C2004*10*VLOOKUP($B2004,Sheet2!$J$5:$K$7,2,FALSE)*VLOOKUP(Sheet1!$A2004,Sheet2!$B$5:$H$29,5,FALSE),0)</x:f>
        <x:v>110</x:v>
      </x:c>
      <x:c r="G2004">
        <x:f>ROUND($C2004*10*VLOOKUP($B2004,Sheet2!$J$5:$K$7,2,FALSE)*VLOOKUP(Sheet1!$A2004,Sheet2!$B$5:$H$29,6,FALSE),0)</x:f>
        <x:v>0</x:v>
      </x:c>
      <x:c r="H2004">
        <x:f>ROUND($C2004*10*VLOOKUP($B2004,Sheet2!$J$5:$K$7,2,FALSE)*VLOOKUP(Sheet1!$A2004,Sheet2!$B$5:$H$29,7,FALSE),0)</x:f>
        <x:v>0</x:v>
      </x:c>
      <x:c r="I2004">
        <x:f t="shared" si="33"/>
        <x:v>5660</x:v>
      </x:c>
    </x:row>
    <x:row r="2005" spans="1:9" x14ac:dyDescent="0.15">
      <x:c r="A2005">
        <x:v>54102</x:v>
      </x:c>
      <x:c r="B2005">
        <x:v>1</x:v>
      </x:c>
      <x:c r="C2005">
        <x:v>24</x:v>
      </x:c>
      <x:c r="D2005">
        <x:f>ROUND($C2005*10*VLOOKUP($B2005,Sheet2!$J$5:$K$7,2,FALSE)*VLOOKUP(Sheet1!$A2005,Sheet2!$B$5:$H$29,3,FALSE),0)</x:f>
        <x:v>0</x:v>
      </x:c>
      <x:c r="E2005">
        <x:f>ROUND($C2005*10*VLOOKUP($B2005,Sheet2!$J$5:$K$7,2,FALSE)*VLOOKUP(Sheet1!$A2005,Sheet2!$B$5:$H$29,4,FALSE),0)</x:f>
        <x:v>48</x:v>
      </x:c>
      <x:c r="F2005">
        <x:f>ROUND($C2005*10*VLOOKUP($B2005,Sheet2!$J$5:$K$7,2,FALSE)*VLOOKUP(Sheet1!$A2005,Sheet2!$B$5:$H$29,5,FALSE),0)</x:f>
        <x:v>115</x:v>
      </x:c>
      <x:c r="G2005">
        <x:f>ROUND($C2005*10*VLOOKUP($B2005,Sheet2!$J$5:$K$7,2,FALSE)*VLOOKUP(Sheet1!$A2005,Sheet2!$B$5:$H$29,6,FALSE),0)</x:f>
        <x:v>0</x:v>
      </x:c>
      <x:c r="H2005">
        <x:f>ROUND($C2005*10*VLOOKUP($B2005,Sheet2!$J$5:$K$7,2,FALSE)*VLOOKUP(Sheet1!$A2005,Sheet2!$B$5:$H$29,7,FALSE),0)</x:f>
        <x:v>0</x:v>
      </x:c>
      <x:c r="I2005">
        <x:f t="shared" si="33"/>
        <x:v>6130</x:v>
      </x:c>
    </x:row>
    <x:row r="2006" spans="1:9" x14ac:dyDescent="0.15">
      <x:c r="A2006">
        <x:v>54102</x:v>
      </x:c>
      <x:c r="B2006">
        <x:v>1</x:v>
      </x:c>
      <x:c r="C2006">
        <x:v>25</x:v>
      </x:c>
      <x:c r="D2006">
        <x:f>ROUND($C2006*10*VLOOKUP($B2006,Sheet2!$J$5:$K$7,2,FALSE)*VLOOKUP(Sheet1!$A2006,Sheet2!$B$5:$H$29,3,FALSE),0)</x:f>
        <x:v>0</x:v>
      </x:c>
      <x:c r="E2006">
        <x:f>ROUND($C2006*10*VLOOKUP($B2006,Sheet2!$J$5:$K$7,2,FALSE)*VLOOKUP(Sheet1!$A2006,Sheet2!$B$5:$H$29,4,FALSE),0)</x:f>
        <x:v>50</x:v>
      </x:c>
      <x:c r="F2006">
        <x:f>ROUND($C2006*10*VLOOKUP($B2006,Sheet2!$J$5:$K$7,2,FALSE)*VLOOKUP(Sheet1!$A2006,Sheet2!$B$5:$H$29,5,FALSE),0)</x:f>
        <x:v>120</x:v>
      </x:c>
      <x:c r="G2006">
        <x:f>ROUND($C2006*10*VLOOKUP($B2006,Sheet2!$J$5:$K$7,2,FALSE)*VLOOKUP(Sheet1!$A2006,Sheet2!$B$5:$H$29,6,FALSE),0)</x:f>
        <x:v>0</x:v>
      </x:c>
      <x:c r="H2006">
        <x:f>ROUND($C2006*10*VLOOKUP($B2006,Sheet2!$J$5:$K$7,2,FALSE)*VLOOKUP(Sheet1!$A2006,Sheet2!$B$5:$H$29,7,FALSE),0)</x:f>
        <x:v>0</x:v>
      </x:c>
      <x:c r="I2006">
        <x:f t="shared" si="33"/>
        <x:v>6620</x:v>
      </x:c>
    </x:row>
    <x:row r="2007" spans="1:9" x14ac:dyDescent="0.15">
      <x:c r="A2007">
        <x:v>54102</x:v>
      </x:c>
      <x:c r="B2007">
        <x:v>1</x:v>
      </x:c>
      <x:c r="C2007">
        <x:v>26</x:v>
      </x:c>
      <x:c r="D2007">
        <x:f>ROUND($C2007*10*VLOOKUP($B2007,Sheet2!$J$5:$K$7,2,FALSE)*VLOOKUP(Sheet1!$A2007,Sheet2!$B$5:$H$29,3,FALSE),0)</x:f>
        <x:v>0</x:v>
      </x:c>
      <x:c r="E2007">
        <x:f>ROUND($C2007*10*VLOOKUP($B2007,Sheet2!$J$5:$K$7,2,FALSE)*VLOOKUP(Sheet1!$A2007,Sheet2!$B$5:$H$29,4,FALSE),0)</x:f>
        <x:v>52</x:v>
      </x:c>
      <x:c r="F2007">
        <x:f>ROUND($C2007*10*VLOOKUP($B2007,Sheet2!$J$5:$K$7,2,FALSE)*VLOOKUP(Sheet1!$A2007,Sheet2!$B$5:$H$29,5,FALSE),0)</x:f>
        <x:v>125</x:v>
      </x:c>
      <x:c r="G2007">
        <x:f>ROUND($C2007*10*VLOOKUP($B2007,Sheet2!$J$5:$K$7,2,FALSE)*VLOOKUP(Sheet1!$A2007,Sheet2!$B$5:$H$29,6,FALSE),0)</x:f>
        <x:v>0</x:v>
      </x:c>
      <x:c r="H2007">
        <x:f>ROUND($C2007*10*VLOOKUP($B2007,Sheet2!$J$5:$K$7,2,FALSE)*VLOOKUP(Sheet1!$A2007,Sheet2!$B$5:$H$29,7,FALSE),0)</x:f>
        <x:v>0</x:v>
      </x:c>
      <x:c r="I2007">
        <x:f t="shared" si="33"/>
        <x:v>7120</x:v>
      </x:c>
    </x:row>
    <x:row r="2008" spans="1:9" x14ac:dyDescent="0.15">
      <x:c r="A2008">
        <x:v>54102</x:v>
      </x:c>
      <x:c r="B2008">
        <x:v>1</x:v>
      </x:c>
      <x:c r="C2008">
        <x:v>27</x:v>
      </x:c>
      <x:c r="D2008">
        <x:f>ROUND($C2008*10*VLOOKUP($B2008,Sheet2!$J$5:$K$7,2,FALSE)*VLOOKUP(Sheet1!$A2008,Sheet2!$B$5:$H$29,3,FALSE),0)</x:f>
        <x:v>0</x:v>
      </x:c>
      <x:c r="E2008">
        <x:f>ROUND($C2008*10*VLOOKUP($B2008,Sheet2!$J$5:$K$7,2,FALSE)*VLOOKUP(Sheet1!$A2008,Sheet2!$B$5:$H$29,4,FALSE),0)</x:f>
        <x:v>54</x:v>
      </x:c>
      <x:c r="F2008">
        <x:f>ROUND($C2008*10*VLOOKUP($B2008,Sheet2!$J$5:$K$7,2,FALSE)*VLOOKUP(Sheet1!$A2008,Sheet2!$B$5:$H$29,5,FALSE),0)</x:f>
        <x:v>130</x:v>
      </x:c>
      <x:c r="G2008">
        <x:f>ROUND($C2008*10*VLOOKUP($B2008,Sheet2!$J$5:$K$7,2,FALSE)*VLOOKUP(Sheet1!$A2008,Sheet2!$B$5:$H$29,6,FALSE),0)</x:f>
        <x:v>0</x:v>
      </x:c>
      <x:c r="H2008">
        <x:f>ROUND($C2008*10*VLOOKUP($B2008,Sheet2!$J$5:$K$7,2,FALSE)*VLOOKUP(Sheet1!$A2008,Sheet2!$B$5:$H$29,7,FALSE),0)</x:f>
        <x:v>0</x:v>
      </x:c>
      <x:c r="I2008">
        <x:f t="shared" si="33"/>
        <x:v>7640</x:v>
      </x:c>
    </x:row>
    <x:row r="2009" spans="1:9" x14ac:dyDescent="0.15">
      <x:c r="A2009">
        <x:v>54102</x:v>
      </x:c>
      <x:c r="B2009">
        <x:v>1</x:v>
      </x:c>
      <x:c r="C2009">
        <x:v>28</x:v>
      </x:c>
      <x:c r="D2009">
        <x:f>ROUND($C2009*10*VLOOKUP($B2009,Sheet2!$J$5:$K$7,2,FALSE)*VLOOKUP(Sheet1!$A2009,Sheet2!$B$5:$H$29,3,FALSE),0)</x:f>
        <x:v>0</x:v>
      </x:c>
      <x:c r="E2009">
        <x:f>ROUND($C2009*10*VLOOKUP($B2009,Sheet2!$J$5:$K$7,2,FALSE)*VLOOKUP(Sheet1!$A2009,Sheet2!$B$5:$H$29,4,FALSE),0)</x:f>
        <x:v>56</x:v>
      </x:c>
      <x:c r="F2009">
        <x:f>ROUND($C2009*10*VLOOKUP($B2009,Sheet2!$J$5:$K$7,2,FALSE)*VLOOKUP(Sheet1!$A2009,Sheet2!$B$5:$H$29,5,FALSE),0)</x:f>
        <x:v>134</x:v>
      </x:c>
      <x:c r="G2009">
        <x:f>ROUND($C2009*10*VLOOKUP($B2009,Sheet2!$J$5:$K$7,2,FALSE)*VLOOKUP(Sheet1!$A2009,Sheet2!$B$5:$H$29,6,FALSE),0)</x:f>
        <x:v>0</x:v>
      </x:c>
      <x:c r="H2009">
        <x:f>ROUND($C2009*10*VLOOKUP($B2009,Sheet2!$J$5:$K$7,2,FALSE)*VLOOKUP(Sheet1!$A2009,Sheet2!$B$5:$H$29,7,FALSE),0)</x:f>
        <x:v>0</x:v>
      </x:c>
      <x:c r="I2009">
        <x:f t="shared" si="33"/>
        <x:v>8180</x:v>
      </x:c>
    </x:row>
    <x:row r="2010" spans="1:9" x14ac:dyDescent="0.15">
      <x:c r="A2010">
        <x:v>54102</x:v>
      </x:c>
      <x:c r="B2010">
        <x:v>1</x:v>
      </x:c>
      <x:c r="C2010">
        <x:v>29</x:v>
      </x:c>
      <x:c r="D2010">
        <x:f>ROUND($C2010*10*VLOOKUP($B2010,Sheet2!$J$5:$K$7,2,FALSE)*VLOOKUP(Sheet1!$A2010,Sheet2!$B$5:$H$29,3,FALSE),0)</x:f>
        <x:v>0</x:v>
      </x:c>
      <x:c r="E2010">
        <x:f>ROUND($C2010*10*VLOOKUP($B2010,Sheet2!$J$5:$K$7,2,FALSE)*VLOOKUP(Sheet1!$A2010,Sheet2!$B$5:$H$29,4,FALSE),0)</x:f>
        <x:v>58</x:v>
      </x:c>
      <x:c r="F2010">
        <x:f>ROUND($C2010*10*VLOOKUP($B2010,Sheet2!$J$5:$K$7,2,FALSE)*VLOOKUP(Sheet1!$A2010,Sheet2!$B$5:$H$29,5,FALSE),0)</x:f>
        <x:v>139</x:v>
      </x:c>
      <x:c r="G2010">
        <x:f>ROUND($C2010*10*VLOOKUP($B2010,Sheet2!$J$5:$K$7,2,FALSE)*VLOOKUP(Sheet1!$A2010,Sheet2!$B$5:$H$29,6,FALSE),0)</x:f>
        <x:v>0</x:v>
      </x:c>
      <x:c r="H2010">
        <x:f>ROUND($C2010*10*VLOOKUP($B2010,Sheet2!$J$5:$K$7,2,FALSE)*VLOOKUP(Sheet1!$A2010,Sheet2!$B$5:$H$29,7,FALSE),0)</x:f>
        <x:v>0</x:v>
      </x:c>
      <x:c r="I2010">
        <x:f t="shared" si="33"/>
        <x:v>8730</x:v>
      </x:c>
    </x:row>
    <x:row r="2011" spans="1:9" x14ac:dyDescent="0.15">
      <x:c r="A2011">
        <x:v>54102</x:v>
      </x:c>
      <x:c r="B2011">
        <x:v>1</x:v>
      </x:c>
      <x:c r="C2011">
        <x:v>30</x:v>
      </x:c>
      <x:c r="D2011">
        <x:f>ROUND($C2011*10*VLOOKUP($B2011,Sheet2!$J$5:$K$7,2,FALSE)*VLOOKUP(Sheet1!$A2011,Sheet2!$B$5:$H$29,3,FALSE),0)</x:f>
        <x:v>0</x:v>
      </x:c>
      <x:c r="E2011">
        <x:f>ROUND($C2011*10*VLOOKUP($B2011,Sheet2!$J$5:$K$7,2,FALSE)*VLOOKUP(Sheet1!$A2011,Sheet2!$B$5:$H$29,4,FALSE),0)</x:f>
        <x:v>60</x:v>
      </x:c>
      <x:c r="F2011">
        <x:f>ROUND($C2011*10*VLOOKUP($B2011,Sheet2!$J$5:$K$7,2,FALSE)*VLOOKUP(Sheet1!$A2011,Sheet2!$B$5:$H$29,5,FALSE),0)</x:f>
        <x:v>144</x:v>
      </x:c>
      <x:c r="G2011">
        <x:f>ROUND($C2011*10*VLOOKUP($B2011,Sheet2!$J$5:$K$7,2,FALSE)*VLOOKUP(Sheet1!$A2011,Sheet2!$B$5:$H$29,6,FALSE),0)</x:f>
        <x:v>0</x:v>
      </x:c>
      <x:c r="H2011">
        <x:f>ROUND($C2011*10*VLOOKUP($B2011,Sheet2!$J$5:$K$7,2,FALSE)*VLOOKUP(Sheet1!$A2011,Sheet2!$B$5:$H$29,7,FALSE),0)</x:f>
        <x:v>0</x:v>
      </x:c>
      <x:c r="I2011">
        <x:f t="shared" si="33"/>
        <x:v>9290</x:v>
      </x:c>
    </x:row>
    <x:row r="2012" spans="1:9" x14ac:dyDescent="0.15">
      <x:c r="A2012">
        <x:v>54102</x:v>
      </x:c>
      <x:c r="B2012">
        <x:v>1</x:v>
      </x:c>
      <x:c r="C2012">
        <x:v>31</x:v>
      </x:c>
      <x:c r="D2012">
        <x:f>ROUND($C2012*10*VLOOKUP($B2012,Sheet2!$J$5:$K$7,2,FALSE)*VLOOKUP(Sheet1!$A2012,Sheet2!$B$5:$H$29,3,FALSE),0)</x:f>
        <x:v>0</x:v>
      </x:c>
      <x:c r="E2012">
        <x:f>ROUND($C2012*10*VLOOKUP($B2012,Sheet2!$J$5:$K$7,2,FALSE)*VLOOKUP(Sheet1!$A2012,Sheet2!$B$5:$H$29,4,FALSE),0)</x:f>
        <x:v>62</x:v>
      </x:c>
      <x:c r="F2012">
        <x:f>ROUND($C2012*10*VLOOKUP($B2012,Sheet2!$J$5:$K$7,2,FALSE)*VLOOKUP(Sheet1!$A2012,Sheet2!$B$5:$H$29,5,FALSE),0)</x:f>
        <x:v>149</x:v>
      </x:c>
      <x:c r="G2012">
        <x:f>ROUND($C2012*10*VLOOKUP($B2012,Sheet2!$J$5:$K$7,2,FALSE)*VLOOKUP(Sheet1!$A2012,Sheet2!$B$5:$H$29,6,FALSE),0)</x:f>
        <x:v>0</x:v>
      </x:c>
      <x:c r="H2012">
        <x:f>ROUND($C2012*10*VLOOKUP($B2012,Sheet2!$J$5:$K$7,2,FALSE)*VLOOKUP(Sheet1!$A2012,Sheet2!$B$5:$H$29,7,FALSE),0)</x:f>
        <x:v>0</x:v>
      </x:c>
      <x:c r="I2012">
        <x:f t="shared" si="33"/>
        <x:v>9880</x:v>
      </x:c>
    </x:row>
    <x:row r="2013" spans="1:9" x14ac:dyDescent="0.15">
      <x:c r="A2013">
        <x:v>54102</x:v>
      </x:c>
      <x:c r="B2013">
        <x:v>1</x:v>
      </x:c>
      <x:c r="C2013">
        <x:v>32</x:v>
      </x:c>
      <x:c r="D2013">
        <x:f>ROUND($C2013*10*VLOOKUP($B2013,Sheet2!$J$5:$K$7,2,FALSE)*VLOOKUP(Sheet1!$A2013,Sheet2!$B$5:$H$29,3,FALSE),0)</x:f>
        <x:v>0</x:v>
      </x:c>
      <x:c r="E2013">
        <x:f>ROUND($C2013*10*VLOOKUP($B2013,Sheet2!$J$5:$K$7,2,FALSE)*VLOOKUP(Sheet1!$A2013,Sheet2!$B$5:$H$29,4,FALSE),0)</x:f>
        <x:v>64</x:v>
      </x:c>
      <x:c r="F2013">
        <x:f>ROUND($C2013*10*VLOOKUP($B2013,Sheet2!$J$5:$K$7,2,FALSE)*VLOOKUP(Sheet1!$A2013,Sheet2!$B$5:$H$29,5,FALSE),0)</x:f>
        <x:v>154</x:v>
      </x:c>
      <x:c r="G2013">
        <x:f>ROUND($C2013*10*VLOOKUP($B2013,Sheet2!$J$5:$K$7,2,FALSE)*VLOOKUP(Sheet1!$A2013,Sheet2!$B$5:$H$29,6,FALSE),0)</x:f>
        <x:v>0</x:v>
      </x:c>
      <x:c r="H2013">
        <x:f>ROUND($C2013*10*VLOOKUP($B2013,Sheet2!$J$5:$K$7,2,FALSE)*VLOOKUP(Sheet1!$A2013,Sheet2!$B$5:$H$29,7,FALSE),0)</x:f>
        <x:v>0</x:v>
      </x:c>
      <x:c r="I2013">
        <x:f t="shared" si="33"/>
        <x:v>10470</x:v>
      </x:c>
    </x:row>
    <x:row r="2014" spans="1:9" x14ac:dyDescent="0.15">
      <x:c r="A2014">
        <x:v>54102</x:v>
      </x:c>
      <x:c r="B2014">
        <x:v>1</x:v>
      </x:c>
      <x:c r="C2014">
        <x:v>33</x:v>
      </x:c>
      <x:c r="D2014">
        <x:f>ROUND($C2014*10*VLOOKUP($B2014,Sheet2!$J$5:$K$7,2,FALSE)*VLOOKUP(Sheet1!$A2014,Sheet2!$B$5:$H$29,3,FALSE),0)</x:f>
        <x:v>0</x:v>
      </x:c>
      <x:c r="E2014">
        <x:f>ROUND($C2014*10*VLOOKUP($B2014,Sheet2!$J$5:$K$7,2,FALSE)*VLOOKUP(Sheet1!$A2014,Sheet2!$B$5:$H$29,4,FALSE),0)</x:f>
        <x:v>66</x:v>
      </x:c>
      <x:c r="F2014">
        <x:f>ROUND($C2014*10*VLOOKUP($B2014,Sheet2!$J$5:$K$7,2,FALSE)*VLOOKUP(Sheet1!$A2014,Sheet2!$B$5:$H$29,5,FALSE),0)</x:f>
        <x:v>158</x:v>
      </x:c>
      <x:c r="G2014">
        <x:f>ROUND($C2014*10*VLOOKUP($B2014,Sheet2!$J$5:$K$7,2,FALSE)*VLOOKUP(Sheet1!$A2014,Sheet2!$B$5:$H$29,6,FALSE),0)</x:f>
        <x:v>0</x:v>
      </x:c>
      <x:c r="H2014">
        <x:f>ROUND($C2014*10*VLOOKUP($B2014,Sheet2!$J$5:$K$7,2,FALSE)*VLOOKUP(Sheet1!$A2014,Sheet2!$B$5:$H$29,7,FALSE),0)</x:f>
        <x:v>0</x:v>
      </x:c>
      <x:c r="I2014">
        <x:f t="shared" si="33"/>
        <x:v>11090</x:v>
      </x:c>
    </x:row>
    <x:row r="2015" spans="1:9" x14ac:dyDescent="0.15">
      <x:c r="A2015">
        <x:v>54102</x:v>
      </x:c>
      <x:c r="B2015">
        <x:v>1</x:v>
      </x:c>
      <x:c r="C2015">
        <x:v>34</x:v>
      </x:c>
      <x:c r="D2015">
        <x:f>ROUND($C2015*10*VLOOKUP($B2015,Sheet2!$J$5:$K$7,2,FALSE)*VLOOKUP(Sheet1!$A2015,Sheet2!$B$5:$H$29,3,FALSE),0)</x:f>
        <x:v>0</x:v>
      </x:c>
      <x:c r="E2015">
        <x:f>ROUND($C2015*10*VLOOKUP($B2015,Sheet2!$J$5:$K$7,2,FALSE)*VLOOKUP(Sheet1!$A2015,Sheet2!$B$5:$H$29,4,FALSE),0)</x:f>
        <x:v>68</x:v>
      </x:c>
      <x:c r="F2015">
        <x:f>ROUND($C2015*10*VLOOKUP($B2015,Sheet2!$J$5:$K$7,2,FALSE)*VLOOKUP(Sheet1!$A2015,Sheet2!$B$5:$H$29,5,FALSE),0)</x:f>
        <x:v>163</x:v>
      </x:c>
      <x:c r="G2015">
        <x:f>ROUND($C2015*10*VLOOKUP($B2015,Sheet2!$J$5:$K$7,2,FALSE)*VLOOKUP(Sheet1!$A2015,Sheet2!$B$5:$H$29,6,FALSE),0)</x:f>
        <x:v>0</x:v>
      </x:c>
      <x:c r="H2015">
        <x:f>ROUND($C2015*10*VLOOKUP($B2015,Sheet2!$J$5:$K$7,2,FALSE)*VLOOKUP(Sheet1!$A2015,Sheet2!$B$5:$H$29,7,FALSE),0)</x:f>
        <x:v>0</x:v>
      </x:c>
      <x:c r="I2015">
        <x:f t="shared" si="33"/>
        <x:v>11720</x:v>
      </x:c>
    </x:row>
    <x:row r="2016" spans="1:9" x14ac:dyDescent="0.15">
      <x:c r="A2016">
        <x:v>54102</x:v>
      </x:c>
      <x:c r="B2016">
        <x:v>1</x:v>
      </x:c>
      <x:c r="C2016">
        <x:v>35</x:v>
      </x:c>
      <x:c r="D2016">
        <x:f>ROUND($C2016*10*VLOOKUP($B2016,Sheet2!$J$5:$K$7,2,FALSE)*VLOOKUP(Sheet1!$A2016,Sheet2!$B$5:$H$29,3,FALSE),0)</x:f>
        <x:v>0</x:v>
      </x:c>
      <x:c r="E2016">
        <x:f>ROUND($C2016*10*VLOOKUP($B2016,Sheet2!$J$5:$K$7,2,FALSE)*VLOOKUP(Sheet1!$A2016,Sheet2!$B$5:$H$29,4,FALSE),0)</x:f>
        <x:v>70</x:v>
      </x:c>
      <x:c r="F2016">
        <x:f>ROUND($C2016*10*VLOOKUP($B2016,Sheet2!$J$5:$K$7,2,FALSE)*VLOOKUP(Sheet1!$A2016,Sheet2!$B$5:$H$29,5,FALSE),0)</x:f>
        <x:v>168</x:v>
      </x:c>
      <x:c r="G2016">
        <x:f>ROUND($C2016*10*VLOOKUP($B2016,Sheet2!$J$5:$K$7,2,FALSE)*VLOOKUP(Sheet1!$A2016,Sheet2!$B$5:$H$29,6,FALSE),0)</x:f>
        <x:v>0</x:v>
      </x:c>
      <x:c r="H2016">
        <x:f>ROUND($C2016*10*VLOOKUP($B2016,Sheet2!$J$5:$K$7,2,FALSE)*VLOOKUP(Sheet1!$A2016,Sheet2!$B$5:$H$29,7,FALSE),0)</x:f>
        <x:v>0</x:v>
      </x:c>
      <x:c r="I2016">
        <x:f t="shared" si="33"/>
        <x:v>12360</x:v>
      </x:c>
    </x:row>
    <x:row r="2017" spans="1:9" x14ac:dyDescent="0.15">
      <x:c r="A2017">
        <x:v>54102</x:v>
      </x:c>
      <x:c r="B2017">
        <x:v>1</x:v>
      </x:c>
      <x:c r="C2017">
        <x:v>36</x:v>
      </x:c>
      <x:c r="D2017">
        <x:f>ROUND($C2017*10*VLOOKUP($B2017,Sheet2!$J$5:$K$7,2,FALSE)*VLOOKUP(Sheet1!$A2017,Sheet2!$B$5:$H$29,3,FALSE),0)</x:f>
        <x:v>0</x:v>
      </x:c>
      <x:c r="E2017">
        <x:f>ROUND($C2017*10*VLOOKUP($B2017,Sheet2!$J$5:$K$7,2,FALSE)*VLOOKUP(Sheet1!$A2017,Sheet2!$B$5:$H$29,4,FALSE),0)</x:f>
        <x:v>72</x:v>
      </x:c>
      <x:c r="F2017">
        <x:f>ROUND($C2017*10*VLOOKUP($B2017,Sheet2!$J$5:$K$7,2,FALSE)*VLOOKUP(Sheet1!$A2017,Sheet2!$B$5:$H$29,5,FALSE),0)</x:f>
        <x:v>173</x:v>
      </x:c>
      <x:c r="G2017">
        <x:f>ROUND($C2017*10*VLOOKUP($B2017,Sheet2!$J$5:$K$7,2,FALSE)*VLOOKUP(Sheet1!$A2017,Sheet2!$B$5:$H$29,6,FALSE),0)</x:f>
        <x:v>0</x:v>
      </x:c>
      <x:c r="H2017">
        <x:f>ROUND($C2017*10*VLOOKUP($B2017,Sheet2!$J$5:$K$7,2,FALSE)*VLOOKUP(Sheet1!$A2017,Sheet2!$B$5:$H$29,7,FALSE),0)</x:f>
        <x:v>0</x:v>
      </x:c>
      <x:c r="I2017">
        <x:f t="shared" si="33"/>
        <x:v>13020</x:v>
      </x:c>
    </x:row>
    <x:row r="2018" spans="1:9" x14ac:dyDescent="0.15">
      <x:c r="A2018">
        <x:v>54102</x:v>
      </x:c>
      <x:c r="B2018">
        <x:v>1</x:v>
      </x:c>
      <x:c r="C2018">
        <x:v>37</x:v>
      </x:c>
      <x:c r="D2018">
        <x:f>ROUND($C2018*10*VLOOKUP($B2018,Sheet2!$J$5:$K$7,2,FALSE)*VLOOKUP(Sheet1!$A2018,Sheet2!$B$5:$H$29,3,FALSE),0)</x:f>
        <x:v>0</x:v>
      </x:c>
      <x:c r="E2018">
        <x:f>ROUND($C2018*10*VLOOKUP($B2018,Sheet2!$J$5:$K$7,2,FALSE)*VLOOKUP(Sheet1!$A2018,Sheet2!$B$5:$H$29,4,FALSE),0)</x:f>
        <x:v>74</x:v>
      </x:c>
      <x:c r="F2018">
        <x:f>ROUND($C2018*10*VLOOKUP($B2018,Sheet2!$J$5:$K$7,2,FALSE)*VLOOKUP(Sheet1!$A2018,Sheet2!$B$5:$H$29,5,FALSE),0)</x:f>
        <x:v>178</x:v>
      </x:c>
      <x:c r="G2018">
        <x:f>ROUND($C2018*10*VLOOKUP($B2018,Sheet2!$J$5:$K$7,2,FALSE)*VLOOKUP(Sheet1!$A2018,Sheet2!$B$5:$H$29,6,FALSE),0)</x:f>
        <x:v>0</x:v>
      </x:c>
      <x:c r="H2018">
        <x:f>ROUND($C2018*10*VLOOKUP($B2018,Sheet2!$J$5:$K$7,2,FALSE)*VLOOKUP(Sheet1!$A2018,Sheet2!$B$5:$H$29,7,FALSE),0)</x:f>
        <x:v>0</x:v>
      </x:c>
      <x:c r="I2018">
        <x:f t="shared" si="33"/>
        <x:v>13700</x:v>
      </x:c>
    </x:row>
    <x:row r="2019" spans="1:9" x14ac:dyDescent="0.15">
      <x:c r="A2019">
        <x:v>54102</x:v>
      </x:c>
      <x:c r="B2019">
        <x:v>1</x:v>
      </x:c>
      <x:c r="C2019">
        <x:v>38</x:v>
      </x:c>
      <x:c r="D2019">
        <x:f>ROUND($C2019*10*VLOOKUP($B2019,Sheet2!$J$5:$K$7,2,FALSE)*VLOOKUP(Sheet1!$A2019,Sheet2!$B$5:$H$29,3,FALSE),0)</x:f>
        <x:v>0</x:v>
      </x:c>
      <x:c r="E2019">
        <x:f>ROUND($C2019*10*VLOOKUP($B2019,Sheet2!$J$5:$K$7,2,FALSE)*VLOOKUP(Sheet1!$A2019,Sheet2!$B$5:$H$29,4,FALSE),0)</x:f>
        <x:v>76</x:v>
      </x:c>
      <x:c r="F2019">
        <x:f>ROUND($C2019*10*VLOOKUP($B2019,Sheet2!$J$5:$K$7,2,FALSE)*VLOOKUP(Sheet1!$A2019,Sheet2!$B$5:$H$29,5,FALSE),0)</x:f>
        <x:v>182</x:v>
      </x:c>
      <x:c r="G2019">
        <x:f>ROUND($C2019*10*VLOOKUP($B2019,Sheet2!$J$5:$K$7,2,FALSE)*VLOOKUP(Sheet1!$A2019,Sheet2!$B$5:$H$29,6,FALSE),0)</x:f>
        <x:v>0</x:v>
      </x:c>
      <x:c r="H2019">
        <x:f>ROUND($C2019*10*VLOOKUP($B2019,Sheet2!$J$5:$K$7,2,FALSE)*VLOOKUP(Sheet1!$A2019,Sheet2!$B$5:$H$29,7,FALSE),0)</x:f>
        <x:v>0</x:v>
      </x:c>
      <x:c r="I2019">
        <x:f t="shared" si="33"/>
        <x:v>14390</x:v>
      </x:c>
    </x:row>
    <x:row r="2020" spans="1:9" x14ac:dyDescent="0.15">
      <x:c r="A2020">
        <x:v>54102</x:v>
      </x:c>
      <x:c r="B2020">
        <x:v>1</x:v>
      </x:c>
      <x:c r="C2020">
        <x:v>39</x:v>
      </x:c>
      <x:c r="D2020">
        <x:f>ROUND($C2020*10*VLOOKUP($B2020,Sheet2!$J$5:$K$7,2,FALSE)*VLOOKUP(Sheet1!$A2020,Sheet2!$B$5:$H$29,3,FALSE),0)</x:f>
        <x:v>0</x:v>
      </x:c>
      <x:c r="E2020">
        <x:f>ROUND($C2020*10*VLOOKUP($B2020,Sheet2!$J$5:$K$7,2,FALSE)*VLOOKUP(Sheet1!$A2020,Sheet2!$B$5:$H$29,4,FALSE),0)</x:f>
        <x:v>78</x:v>
      </x:c>
      <x:c r="F2020">
        <x:f>ROUND($C2020*10*VLOOKUP($B2020,Sheet2!$J$5:$K$7,2,FALSE)*VLOOKUP(Sheet1!$A2020,Sheet2!$B$5:$H$29,5,FALSE),0)</x:f>
        <x:v>187</x:v>
      </x:c>
      <x:c r="G2020">
        <x:f>ROUND($C2020*10*VLOOKUP($B2020,Sheet2!$J$5:$K$7,2,FALSE)*VLOOKUP(Sheet1!$A2020,Sheet2!$B$5:$H$29,6,FALSE),0)</x:f>
        <x:v>0</x:v>
      </x:c>
      <x:c r="H2020">
        <x:f>ROUND($C2020*10*VLOOKUP($B2020,Sheet2!$J$5:$K$7,2,FALSE)*VLOOKUP(Sheet1!$A2020,Sheet2!$B$5:$H$29,7,FALSE),0)</x:f>
        <x:v>0</x:v>
      </x:c>
      <x:c r="I2020">
        <x:f t="shared" si="33"/>
        <x:v>15100</x:v>
      </x:c>
    </x:row>
    <x:row r="2021" spans="1:9" x14ac:dyDescent="0.15">
      <x:c r="A2021">
        <x:v>54102</x:v>
      </x:c>
      <x:c r="B2021">
        <x:v>1</x:v>
      </x:c>
      <x:c r="C2021">
        <x:v>40</x:v>
      </x:c>
      <x:c r="D2021">
        <x:f>ROUND($C2021*10*VLOOKUP($B2021,Sheet2!$J$5:$K$7,2,FALSE)*VLOOKUP(Sheet1!$A2021,Sheet2!$B$5:$H$29,3,FALSE),0)</x:f>
        <x:v>0</x:v>
      </x:c>
      <x:c r="E2021">
        <x:f>ROUND($C2021*10*VLOOKUP($B2021,Sheet2!$J$5:$K$7,2,FALSE)*VLOOKUP(Sheet1!$A2021,Sheet2!$B$5:$H$29,4,FALSE),0)</x:f>
        <x:v>80</x:v>
      </x:c>
      <x:c r="F2021">
        <x:f>ROUND($C2021*10*VLOOKUP($B2021,Sheet2!$J$5:$K$7,2,FALSE)*VLOOKUP(Sheet1!$A2021,Sheet2!$B$5:$H$29,5,FALSE),0)</x:f>
        <x:v>192</x:v>
      </x:c>
      <x:c r="G2021">
        <x:f>ROUND($C2021*10*VLOOKUP($B2021,Sheet2!$J$5:$K$7,2,FALSE)*VLOOKUP(Sheet1!$A2021,Sheet2!$B$5:$H$29,6,FALSE),0)</x:f>
        <x:v>0</x:v>
      </x:c>
      <x:c r="H2021">
        <x:f>ROUND($C2021*10*VLOOKUP($B2021,Sheet2!$J$5:$K$7,2,FALSE)*VLOOKUP(Sheet1!$A2021,Sheet2!$B$5:$H$29,7,FALSE),0)</x:f>
        <x:v>0</x:v>
      </x:c>
      <x:c r="I2021">
        <x:f t="shared" si="33"/>
        <x:v>15820</x:v>
      </x:c>
    </x:row>
    <x:row r="2022" spans="1:9" x14ac:dyDescent="0.15">
      <x:c r="A2022">
        <x:v>54102</x:v>
      </x:c>
      <x:c r="B2022">
        <x:v>1</x:v>
      </x:c>
      <x:c r="C2022">
        <x:v>41</x:v>
      </x:c>
      <x:c r="D2022">
        <x:f>ROUND($C2022*10*VLOOKUP($B2022,Sheet2!$J$5:$K$7,2,FALSE)*VLOOKUP(Sheet1!$A2022,Sheet2!$B$5:$H$29,3,FALSE),0)</x:f>
        <x:v>0</x:v>
      </x:c>
      <x:c r="E2022">
        <x:f>ROUND($C2022*10*VLOOKUP($B2022,Sheet2!$J$5:$K$7,2,FALSE)*VLOOKUP(Sheet1!$A2022,Sheet2!$B$5:$H$29,4,FALSE),0)</x:f>
        <x:v>82</x:v>
      </x:c>
      <x:c r="F2022">
        <x:f>ROUND($C2022*10*VLOOKUP($B2022,Sheet2!$J$5:$K$7,2,FALSE)*VLOOKUP(Sheet1!$A2022,Sheet2!$B$5:$H$29,5,FALSE),0)</x:f>
        <x:v>197</x:v>
      </x:c>
      <x:c r="G2022">
        <x:f>ROUND($C2022*10*VLOOKUP($B2022,Sheet2!$J$5:$K$7,2,FALSE)*VLOOKUP(Sheet1!$A2022,Sheet2!$B$5:$H$29,6,FALSE),0)</x:f>
        <x:v>0</x:v>
      </x:c>
      <x:c r="H2022">
        <x:f>ROUND($C2022*10*VLOOKUP($B2022,Sheet2!$J$5:$K$7,2,FALSE)*VLOOKUP(Sheet1!$A2022,Sheet2!$B$5:$H$29,7,FALSE),0)</x:f>
        <x:v>0</x:v>
      </x:c>
      <x:c r="I2022">
        <x:f t="shared" si="33"/>
        <x:v>16560</x:v>
      </x:c>
    </x:row>
    <x:row r="2023" spans="1:9" x14ac:dyDescent="0.15">
      <x:c r="A2023">
        <x:v>54102</x:v>
      </x:c>
      <x:c r="B2023">
        <x:v>1</x:v>
      </x:c>
      <x:c r="C2023">
        <x:v>42</x:v>
      </x:c>
      <x:c r="D2023">
        <x:f>ROUND($C2023*10*VLOOKUP($B2023,Sheet2!$J$5:$K$7,2,FALSE)*VLOOKUP(Sheet1!$A2023,Sheet2!$B$5:$H$29,3,FALSE),0)</x:f>
        <x:v>0</x:v>
      </x:c>
      <x:c r="E2023">
        <x:f>ROUND($C2023*10*VLOOKUP($B2023,Sheet2!$J$5:$K$7,2,FALSE)*VLOOKUP(Sheet1!$A2023,Sheet2!$B$5:$H$29,4,FALSE),0)</x:f>
        <x:v>84</x:v>
      </x:c>
      <x:c r="F2023">
        <x:f>ROUND($C2023*10*VLOOKUP($B2023,Sheet2!$J$5:$K$7,2,FALSE)*VLOOKUP(Sheet1!$A2023,Sheet2!$B$5:$H$29,5,FALSE),0)</x:f>
        <x:v>202</x:v>
      </x:c>
      <x:c r="G2023">
        <x:f>ROUND($C2023*10*VLOOKUP($B2023,Sheet2!$J$5:$K$7,2,FALSE)*VLOOKUP(Sheet1!$A2023,Sheet2!$B$5:$H$29,6,FALSE),0)</x:f>
        <x:v>0</x:v>
      </x:c>
      <x:c r="H2023">
        <x:f>ROUND($C2023*10*VLOOKUP($B2023,Sheet2!$J$5:$K$7,2,FALSE)*VLOOKUP(Sheet1!$A2023,Sheet2!$B$5:$H$29,7,FALSE),0)</x:f>
        <x:v>0</x:v>
      </x:c>
      <x:c r="I2023">
        <x:f t="shared" si="33"/>
        <x:v>17310</x:v>
      </x:c>
    </x:row>
    <x:row r="2024" spans="1:9" x14ac:dyDescent="0.15">
      <x:c r="A2024">
        <x:v>54102</x:v>
      </x:c>
      <x:c r="B2024">
        <x:v>1</x:v>
      </x:c>
      <x:c r="C2024">
        <x:v>43</x:v>
      </x:c>
      <x:c r="D2024">
        <x:f>ROUND($C2024*10*VLOOKUP($B2024,Sheet2!$J$5:$K$7,2,FALSE)*VLOOKUP(Sheet1!$A2024,Sheet2!$B$5:$H$29,3,FALSE),0)</x:f>
        <x:v>0</x:v>
      </x:c>
      <x:c r="E2024">
        <x:f>ROUND($C2024*10*VLOOKUP($B2024,Sheet2!$J$5:$K$7,2,FALSE)*VLOOKUP(Sheet1!$A2024,Sheet2!$B$5:$H$29,4,FALSE),0)</x:f>
        <x:v>86</x:v>
      </x:c>
      <x:c r="F2024">
        <x:f>ROUND($C2024*10*VLOOKUP($B2024,Sheet2!$J$5:$K$7,2,FALSE)*VLOOKUP(Sheet1!$A2024,Sheet2!$B$5:$H$29,5,FALSE),0)</x:f>
        <x:v>206</x:v>
      </x:c>
      <x:c r="G2024">
        <x:f>ROUND($C2024*10*VLOOKUP($B2024,Sheet2!$J$5:$K$7,2,FALSE)*VLOOKUP(Sheet1!$A2024,Sheet2!$B$5:$H$29,6,FALSE),0)</x:f>
        <x:v>0</x:v>
      </x:c>
      <x:c r="H2024">
        <x:f>ROUND($C2024*10*VLOOKUP($B2024,Sheet2!$J$5:$K$7,2,FALSE)*VLOOKUP(Sheet1!$A2024,Sheet2!$B$5:$H$29,7,FALSE),0)</x:f>
        <x:v>0</x:v>
      </x:c>
      <x:c r="I2024">
        <x:f t="shared" si="33"/>
        <x:v>18070</x:v>
      </x:c>
    </x:row>
    <x:row r="2025" spans="1:9" x14ac:dyDescent="0.15">
      <x:c r="A2025">
        <x:v>54102</x:v>
      </x:c>
      <x:c r="B2025">
        <x:v>1</x:v>
      </x:c>
      <x:c r="C2025">
        <x:v>44</x:v>
      </x:c>
      <x:c r="D2025">
        <x:f>ROUND($C2025*10*VLOOKUP($B2025,Sheet2!$J$5:$K$7,2,FALSE)*VLOOKUP(Sheet1!$A2025,Sheet2!$B$5:$H$29,3,FALSE),0)</x:f>
        <x:v>0</x:v>
      </x:c>
      <x:c r="E2025">
        <x:f>ROUND($C2025*10*VLOOKUP($B2025,Sheet2!$J$5:$K$7,2,FALSE)*VLOOKUP(Sheet1!$A2025,Sheet2!$B$5:$H$29,4,FALSE),0)</x:f>
        <x:v>88</x:v>
      </x:c>
      <x:c r="F2025">
        <x:f>ROUND($C2025*10*VLOOKUP($B2025,Sheet2!$J$5:$K$7,2,FALSE)*VLOOKUP(Sheet1!$A2025,Sheet2!$B$5:$H$29,5,FALSE),0)</x:f>
        <x:v>211</x:v>
      </x:c>
      <x:c r="G2025">
        <x:f>ROUND($C2025*10*VLOOKUP($B2025,Sheet2!$J$5:$K$7,2,FALSE)*VLOOKUP(Sheet1!$A2025,Sheet2!$B$5:$H$29,6,FALSE),0)</x:f>
        <x:v>0</x:v>
      </x:c>
      <x:c r="H2025">
        <x:f>ROUND($C2025*10*VLOOKUP($B2025,Sheet2!$J$5:$K$7,2,FALSE)*VLOOKUP(Sheet1!$A2025,Sheet2!$B$5:$H$29,7,FALSE),0)</x:f>
        <x:v>0</x:v>
      </x:c>
      <x:c r="I2025">
        <x:f t="shared" si="33"/>
        <x:v>18850</x:v>
      </x:c>
    </x:row>
    <x:row r="2026" spans="1:9" x14ac:dyDescent="0.15">
      <x:c r="A2026">
        <x:v>54102</x:v>
      </x:c>
      <x:c r="B2026">
        <x:v>1</x:v>
      </x:c>
      <x:c r="C2026">
        <x:v>45</x:v>
      </x:c>
      <x:c r="D2026">
        <x:f>ROUND($C2026*10*VLOOKUP($B2026,Sheet2!$J$5:$K$7,2,FALSE)*VLOOKUP(Sheet1!$A2026,Sheet2!$B$5:$H$29,3,FALSE),0)</x:f>
        <x:v>0</x:v>
      </x:c>
      <x:c r="E2026">
        <x:f>ROUND($C2026*10*VLOOKUP($B2026,Sheet2!$J$5:$K$7,2,FALSE)*VLOOKUP(Sheet1!$A2026,Sheet2!$B$5:$H$29,4,FALSE),0)</x:f>
        <x:v>90</x:v>
      </x:c>
      <x:c r="F2026">
        <x:f>ROUND($C2026*10*VLOOKUP($B2026,Sheet2!$J$5:$K$7,2,FALSE)*VLOOKUP(Sheet1!$A2026,Sheet2!$B$5:$H$29,5,FALSE),0)</x:f>
        <x:v>216</x:v>
      </x:c>
      <x:c r="G2026">
        <x:f>ROUND($C2026*10*VLOOKUP($B2026,Sheet2!$J$5:$K$7,2,FALSE)*VLOOKUP(Sheet1!$A2026,Sheet2!$B$5:$H$29,6,FALSE),0)</x:f>
        <x:v>0</x:v>
      </x:c>
      <x:c r="H2026">
        <x:f>ROUND($C2026*10*VLOOKUP($B2026,Sheet2!$J$5:$K$7,2,FALSE)*VLOOKUP(Sheet1!$A2026,Sheet2!$B$5:$H$29,7,FALSE),0)</x:f>
        <x:v>0</x:v>
      </x:c>
      <x:c r="I2026">
        <x:f t="shared" si="33"/>
        <x:v>19650</x:v>
      </x:c>
    </x:row>
    <x:row r="2027" spans="1:9" x14ac:dyDescent="0.15">
      <x:c r="A2027">
        <x:v>54102</x:v>
      </x:c>
      <x:c r="B2027">
        <x:v>1</x:v>
      </x:c>
      <x:c r="C2027">
        <x:v>46</x:v>
      </x:c>
      <x:c r="D2027">
        <x:f>ROUND($C2027*10*VLOOKUP($B2027,Sheet2!$J$5:$K$7,2,FALSE)*VLOOKUP(Sheet1!$A2027,Sheet2!$B$5:$H$29,3,FALSE),0)</x:f>
        <x:v>0</x:v>
      </x:c>
      <x:c r="E2027">
        <x:f>ROUND($C2027*10*VLOOKUP($B2027,Sheet2!$J$5:$K$7,2,FALSE)*VLOOKUP(Sheet1!$A2027,Sheet2!$B$5:$H$29,4,FALSE),0)</x:f>
        <x:v>92</x:v>
      </x:c>
      <x:c r="F2027">
        <x:f>ROUND($C2027*10*VLOOKUP($B2027,Sheet2!$J$5:$K$7,2,FALSE)*VLOOKUP(Sheet1!$A2027,Sheet2!$B$5:$H$29,5,FALSE),0)</x:f>
        <x:v>221</x:v>
      </x:c>
      <x:c r="G2027">
        <x:f>ROUND($C2027*10*VLOOKUP($B2027,Sheet2!$J$5:$K$7,2,FALSE)*VLOOKUP(Sheet1!$A2027,Sheet2!$B$5:$H$29,6,FALSE),0)</x:f>
        <x:v>0</x:v>
      </x:c>
      <x:c r="H2027">
        <x:f>ROUND($C2027*10*VLOOKUP($B2027,Sheet2!$J$5:$K$7,2,FALSE)*VLOOKUP(Sheet1!$A2027,Sheet2!$B$5:$H$29,7,FALSE),0)</x:f>
        <x:v>0</x:v>
      </x:c>
      <x:c r="I2027">
        <x:f t="shared" si="33"/>
        <x:v>20460</x:v>
      </x:c>
    </x:row>
    <x:row r="2028" spans="1:9" x14ac:dyDescent="0.15">
      <x:c r="A2028">
        <x:v>54102</x:v>
      </x:c>
      <x:c r="B2028">
        <x:v>1</x:v>
      </x:c>
      <x:c r="C2028">
        <x:v>47</x:v>
      </x:c>
      <x:c r="D2028">
        <x:f>ROUND($C2028*10*VLOOKUP($B2028,Sheet2!$J$5:$K$7,2,FALSE)*VLOOKUP(Sheet1!$A2028,Sheet2!$B$5:$H$29,3,FALSE),0)</x:f>
        <x:v>0</x:v>
      </x:c>
      <x:c r="E2028">
        <x:f>ROUND($C2028*10*VLOOKUP($B2028,Sheet2!$J$5:$K$7,2,FALSE)*VLOOKUP(Sheet1!$A2028,Sheet2!$B$5:$H$29,4,FALSE),0)</x:f>
        <x:v>94</x:v>
      </x:c>
      <x:c r="F2028">
        <x:f>ROUND($C2028*10*VLOOKUP($B2028,Sheet2!$J$5:$K$7,2,FALSE)*VLOOKUP(Sheet1!$A2028,Sheet2!$B$5:$H$29,5,FALSE),0)</x:f>
        <x:v>226</x:v>
      </x:c>
      <x:c r="G2028">
        <x:f>ROUND($C2028*10*VLOOKUP($B2028,Sheet2!$J$5:$K$7,2,FALSE)*VLOOKUP(Sheet1!$A2028,Sheet2!$B$5:$H$29,6,FALSE),0)</x:f>
        <x:v>0</x:v>
      </x:c>
      <x:c r="H2028">
        <x:f>ROUND($C2028*10*VLOOKUP($B2028,Sheet2!$J$5:$K$7,2,FALSE)*VLOOKUP(Sheet1!$A2028,Sheet2!$B$5:$H$29,7,FALSE),0)</x:f>
        <x:v>0</x:v>
      </x:c>
      <x:c r="I2028">
        <x:f t="shared" si="33"/>
        <x:v>21280</x:v>
      </x:c>
    </x:row>
    <x:row r="2029" spans="1:9" x14ac:dyDescent="0.15">
      <x:c r="A2029">
        <x:v>54102</x:v>
      </x:c>
      <x:c r="B2029">
        <x:v>1</x:v>
      </x:c>
      <x:c r="C2029">
        <x:v>48</x:v>
      </x:c>
      <x:c r="D2029">
        <x:f>ROUND($C2029*10*VLOOKUP($B2029,Sheet2!$J$5:$K$7,2,FALSE)*VLOOKUP(Sheet1!$A2029,Sheet2!$B$5:$H$29,3,FALSE),0)</x:f>
        <x:v>0</x:v>
      </x:c>
      <x:c r="E2029">
        <x:f>ROUND($C2029*10*VLOOKUP($B2029,Sheet2!$J$5:$K$7,2,FALSE)*VLOOKUP(Sheet1!$A2029,Sheet2!$B$5:$H$29,4,FALSE),0)</x:f>
        <x:v>96</x:v>
      </x:c>
      <x:c r="F2029">
        <x:f>ROUND($C2029*10*VLOOKUP($B2029,Sheet2!$J$5:$K$7,2,FALSE)*VLOOKUP(Sheet1!$A2029,Sheet2!$B$5:$H$29,5,FALSE),0)</x:f>
        <x:v>230</x:v>
      </x:c>
      <x:c r="G2029">
        <x:f>ROUND($C2029*10*VLOOKUP($B2029,Sheet2!$J$5:$K$7,2,FALSE)*VLOOKUP(Sheet1!$A2029,Sheet2!$B$5:$H$29,6,FALSE),0)</x:f>
        <x:v>0</x:v>
      </x:c>
      <x:c r="H2029">
        <x:f>ROUND($C2029*10*VLOOKUP($B2029,Sheet2!$J$5:$K$7,2,FALSE)*VLOOKUP(Sheet1!$A2029,Sheet2!$B$5:$H$29,7,FALSE),0)</x:f>
        <x:v>0</x:v>
      </x:c>
      <x:c r="I2029">
        <x:f t="shared" si="33"/>
        <x:v>22120</x:v>
      </x:c>
    </x:row>
    <x:row r="2030" spans="1:9" x14ac:dyDescent="0.15">
      <x:c r="A2030">
        <x:v>54102</x:v>
      </x:c>
      <x:c r="B2030">
        <x:v>1</x:v>
      </x:c>
      <x:c r="C2030">
        <x:v>49</x:v>
      </x:c>
      <x:c r="D2030">
        <x:f>ROUND($C2030*10*VLOOKUP($B2030,Sheet2!$J$5:$K$7,2,FALSE)*VLOOKUP(Sheet1!$A2030,Sheet2!$B$5:$H$29,3,FALSE),0)</x:f>
        <x:v>0</x:v>
      </x:c>
      <x:c r="E2030">
        <x:f>ROUND($C2030*10*VLOOKUP($B2030,Sheet2!$J$5:$K$7,2,FALSE)*VLOOKUP(Sheet1!$A2030,Sheet2!$B$5:$H$29,4,FALSE),0)</x:f>
        <x:v>98</x:v>
      </x:c>
      <x:c r="F2030">
        <x:f>ROUND($C2030*10*VLOOKUP($B2030,Sheet2!$J$5:$K$7,2,FALSE)*VLOOKUP(Sheet1!$A2030,Sheet2!$B$5:$H$29,5,FALSE),0)</x:f>
        <x:v>235</x:v>
      </x:c>
      <x:c r="G2030">
        <x:f>ROUND($C2030*10*VLOOKUP($B2030,Sheet2!$J$5:$K$7,2,FALSE)*VLOOKUP(Sheet1!$A2030,Sheet2!$B$5:$H$29,6,FALSE),0)</x:f>
        <x:v>0</x:v>
      </x:c>
      <x:c r="H2030">
        <x:f>ROUND($C2030*10*VLOOKUP($B2030,Sheet2!$J$5:$K$7,2,FALSE)*VLOOKUP(Sheet1!$A2030,Sheet2!$B$5:$H$29,7,FALSE),0)</x:f>
        <x:v>0</x:v>
      </x:c>
      <x:c r="I2030">
        <x:f t="shared" si="33"/>
        <x:v>22970</x:v>
      </x:c>
    </x:row>
    <x:row r="2031" spans="1:9" x14ac:dyDescent="0.15">
      <x:c r="A2031">
        <x:v>54102</x:v>
      </x:c>
      <x:c r="B2031">
        <x:v>1</x:v>
      </x:c>
      <x:c r="C2031">
        <x:v>50</x:v>
      </x:c>
      <x:c r="D2031">
        <x:f>ROUND($C2031*10*VLOOKUP($B2031,Sheet2!$J$5:$K$7,2,FALSE)*VLOOKUP(Sheet1!$A2031,Sheet2!$B$5:$H$29,3,FALSE),0)</x:f>
        <x:v>0</x:v>
      </x:c>
      <x:c r="E2031">
        <x:f>ROUND($C2031*10*VLOOKUP($B2031,Sheet2!$J$5:$K$7,2,FALSE)*VLOOKUP(Sheet1!$A2031,Sheet2!$B$5:$H$29,4,FALSE),0)</x:f>
        <x:v>100</x:v>
      </x:c>
      <x:c r="F2031">
        <x:f>ROUND($C2031*10*VLOOKUP($B2031,Sheet2!$J$5:$K$7,2,FALSE)*VLOOKUP(Sheet1!$A2031,Sheet2!$B$5:$H$29,5,FALSE),0)</x:f>
        <x:v>240</x:v>
      </x:c>
      <x:c r="G2031">
        <x:f>ROUND($C2031*10*VLOOKUP($B2031,Sheet2!$J$5:$K$7,2,FALSE)*VLOOKUP(Sheet1!$A2031,Sheet2!$B$5:$H$29,6,FALSE),0)</x:f>
        <x:v>0</x:v>
      </x:c>
      <x:c r="H2031">
        <x:f>ROUND($C2031*10*VLOOKUP($B2031,Sheet2!$J$5:$K$7,2,FALSE)*VLOOKUP(Sheet1!$A2031,Sheet2!$B$5:$H$29,7,FALSE),0)</x:f>
        <x:v>0</x:v>
      </x:c>
      <x:c r="I2031">
        <x:f t="shared" si="33"/>
        <x:v>23840</x:v>
      </x:c>
    </x:row>
    <x:row r="2032" spans="1:9" x14ac:dyDescent="0.15">
      <x:c r="A2032">
        <x:v>54102</x:v>
      </x:c>
      <x:c r="B2032">
        <x:v>1</x:v>
      </x:c>
      <x:c r="C2032">
        <x:v>51</x:v>
      </x:c>
      <x:c r="D2032">
        <x:f>ROUND($C2032*10*VLOOKUP($B2032,Sheet2!$J$5:$K$7,2,FALSE)*VLOOKUP(Sheet1!$A2032,Sheet2!$B$5:$H$29,3,FALSE),0)</x:f>
        <x:v>0</x:v>
      </x:c>
      <x:c r="E2032">
        <x:f>ROUND($C2032*10*VLOOKUP($B2032,Sheet2!$J$5:$K$7,2,FALSE)*VLOOKUP(Sheet1!$A2032,Sheet2!$B$5:$H$29,4,FALSE),0)</x:f>
        <x:v>102</x:v>
      </x:c>
      <x:c r="F2032">
        <x:f>ROUND($C2032*10*VLOOKUP($B2032,Sheet2!$J$5:$K$7,2,FALSE)*VLOOKUP(Sheet1!$A2032,Sheet2!$B$5:$H$29,5,FALSE),0)</x:f>
        <x:v>245</x:v>
      </x:c>
      <x:c r="G2032">
        <x:f>ROUND($C2032*10*VLOOKUP($B2032,Sheet2!$J$5:$K$7,2,FALSE)*VLOOKUP(Sheet1!$A2032,Sheet2!$B$5:$H$29,6,FALSE),0)</x:f>
        <x:v>0</x:v>
      </x:c>
      <x:c r="H2032">
        <x:f>ROUND($C2032*10*VLOOKUP($B2032,Sheet2!$J$5:$K$7,2,FALSE)*VLOOKUP(Sheet1!$A2032,Sheet2!$B$5:$H$29,7,FALSE),0)</x:f>
        <x:v>0</x:v>
      </x:c>
      <x:c r="I2032">
        <x:f t="shared" si="33"/>
        <x:v>24720</x:v>
      </x:c>
    </x:row>
    <x:row r="2033" spans="1:9" x14ac:dyDescent="0.15">
      <x:c r="A2033">
        <x:v>54102</x:v>
      </x:c>
      <x:c r="B2033">
        <x:v>1</x:v>
      </x:c>
      <x:c r="C2033">
        <x:v>52</x:v>
      </x:c>
      <x:c r="D2033">
        <x:f>ROUND($C2033*10*VLOOKUP($B2033,Sheet2!$J$5:$K$7,2,FALSE)*VLOOKUP(Sheet1!$A2033,Sheet2!$B$5:$H$29,3,FALSE),0)</x:f>
        <x:v>0</x:v>
      </x:c>
      <x:c r="E2033">
        <x:f>ROUND($C2033*10*VLOOKUP($B2033,Sheet2!$J$5:$K$7,2,FALSE)*VLOOKUP(Sheet1!$A2033,Sheet2!$B$5:$H$29,4,FALSE),0)</x:f>
        <x:v>104</x:v>
      </x:c>
      <x:c r="F2033">
        <x:f>ROUND($C2033*10*VLOOKUP($B2033,Sheet2!$J$5:$K$7,2,FALSE)*VLOOKUP(Sheet1!$A2033,Sheet2!$B$5:$H$29,5,FALSE),0)</x:f>
        <x:v>250</x:v>
      </x:c>
      <x:c r="G2033">
        <x:f>ROUND($C2033*10*VLOOKUP($B2033,Sheet2!$J$5:$K$7,2,FALSE)*VLOOKUP(Sheet1!$A2033,Sheet2!$B$5:$H$29,6,FALSE),0)</x:f>
        <x:v>0</x:v>
      </x:c>
      <x:c r="H2033">
        <x:f>ROUND($C2033*10*VLOOKUP($B2033,Sheet2!$J$5:$K$7,2,FALSE)*VLOOKUP(Sheet1!$A2033,Sheet2!$B$5:$H$29,7,FALSE),0)</x:f>
        <x:v>0</x:v>
      </x:c>
      <x:c r="I2033">
        <x:f t="shared" si="33"/>
        <x:v>25620</x:v>
      </x:c>
    </x:row>
    <x:row r="2034" spans="1:9" x14ac:dyDescent="0.15">
      <x:c r="A2034">
        <x:v>54102</x:v>
      </x:c>
      <x:c r="B2034">
        <x:v>1</x:v>
      </x:c>
      <x:c r="C2034">
        <x:v>53</x:v>
      </x:c>
      <x:c r="D2034">
        <x:f>ROUND($C2034*10*VLOOKUP($B2034,Sheet2!$J$5:$K$7,2,FALSE)*VLOOKUP(Sheet1!$A2034,Sheet2!$B$5:$H$29,3,FALSE),0)</x:f>
        <x:v>0</x:v>
      </x:c>
      <x:c r="E2034">
        <x:f>ROUND($C2034*10*VLOOKUP($B2034,Sheet2!$J$5:$K$7,2,FALSE)*VLOOKUP(Sheet1!$A2034,Sheet2!$B$5:$H$29,4,FALSE),0)</x:f>
        <x:v>106</x:v>
      </x:c>
      <x:c r="F2034">
        <x:f>ROUND($C2034*10*VLOOKUP($B2034,Sheet2!$J$5:$K$7,2,FALSE)*VLOOKUP(Sheet1!$A2034,Sheet2!$B$5:$H$29,5,FALSE),0)</x:f>
        <x:v>254</x:v>
      </x:c>
      <x:c r="G2034">
        <x:f>ROUND($C2034*10*VLOOKUP($B2034,Sheet2!$J$5:$K$7,2,FALSE)*VLOOKUP(Sheet1!$A2034,Sheet2!$B$5:$H$29,6,FALSE),0)</x:f>
        <x:v>0</x:v>
      </x:c>
      <x:c r="H2034">
        <x:f>ROUND($C2034*10*VLOOKUP($B2034,Sheet2!$J$5:$K$7,2,FALSE)*VLOOKUP(Sheet1!$A2034,Sheet2!$B$5:$H$29,7,FALSE),0)</x:f>
        <x:v>0</x:v>
      </x:c>
      <x:c r="I2034">
        <x:f t="shared" si="33"/>
        <x:v>26530</x:v>
      </x:c>
    </x:row>
    <x:row r="2035" spans="1:9" x14ac:dyDescent="0.15">
      <x:c r="A2035">
        <x:v>54102</x:v>
      </x:c>
      <x:c r="B2035">
        <x:v>1</x:v>
      </x:c>
      <x:c r="C2035">
        <x:v>54</x:v>
      </x:c>
      <x:c r="D2035">
        <x:f>ROUND($C2035*10*VLOOKUP($B2035,Sheet2!$J$5:$K$7,2,FALSE)*VLOOKUP(Sheet1!$A2035,Sheet2!$B$5:$H$29,3,FALSE),0)</x:f>
        <x:v>0</x:v>
      </x:c>
      <x:c r="E2035">
        <x:f>ROUND($C2035*10*VLOOKUP($B2035,Sheet2!$J$5:$K$7,2,FALSE)*VLOOKUP(Sheet1!$A2035,Sheet2!$B$5:$H$29,4,FALSE),0)</x:f>
        <x:v>108</x:v>
      </x:c>
      <x:c r="F2035">
        <x:f>ROUND($C2035*10*VLOOKUP($B2035,Sheet2!$J$5:$K$7,2,FALSE)*VLOOKUP(Sheet1!$A2035,Sheet2!$B$5:$H$29,5,FALSE),0)</x:f>
        <x:v>259</x:v>
      </x:c>
      <x:c r="G2035">
        <x:f>ROUND($C2035*10*VLOOKUP($B2035,Sheet2!$J$5:$K$7,2,FALSE)*VLOOKUP(Sheet1!$A2035,Sheet2!$B$5:$H$29,6,FALSE),0)</x:f>
        <x:v>0</x:v>
      </x:c>
      <x:c r="H2035">
        <x:f>ROUND($C2035*10*VLOOKUP($B2035,Sheet2!$J$5:$K$7,2,FALSE)*VLOOKUP(Sheet1!$A2035,Sheet2!$B$5:$H$29,7,FALSE),0)</x:f>
        <x:v>0</x:v>
      </x:c>
      <x:c r="I2035">
        <x:f t="shared" si="33"/>
        <x:v>27460</x:v>
      </x:c>
    </x:row>
    <x:row r="2036" spans="1:9" x14ac:dyDescent="0.15">
      <x:c r="A2036">
        <x:v>54102</x:v>
      </x:c>
      <x:c r="B2036">
        <x:v>1</x:v>
      </x:c>
      <x:c r="C2036">
        <x:v>55</x:v>
      </x:c>
      <x:c r="D2036">
        <x:f>ROUND($C2036*10*VLOOKUP($B2036,Sheet2!$J$5:$K$7,2,FALSE)*VLOOKUP(Sheet1!$A2036,Sheet2!$B$5:$H$29,3,FALSE),0)</x:f>
        <x:v>0</x:v>
      </x:c>
      <x:c r="E2036">
        <x:f>ROUND($C2036*10*VLOOKUP($B2036,Sheet2!$J$5:$K$7,2,FALSE)*VLOOKUP(Sheet1!$A2036,Sheet2!$B$5:$H$29,4,FALSE),0)</x:f>
        <x:v>110</x:v>
      </x:c>
      <x:c r="F2036">
        <x:f>ROUND($C2036*10*VLOOKUP($B2036,Sheet2!$J$5:$K$7,2,FALSE)*VLOOKUP(Sheet1!$A2036,Sheet2!$B$5:$H$29,5,FALSE),0)</x:f>
        <x:v>264</x:v>
      </x:c>
      <x:c r="G2036">
        <x:f>ROUND($C2036*10*VLOOKUP($B2036,Sheet2!$J$5:$K$7,2,FALSE)*VLOOKUP(Sheet1!$A2036,Sheet2!$B$5:$H$29,6,FALSE),0)</x:f>
        <x:v>0</x:v>
      </x:c>
      <x:c r="H2036">
        <x:f>ROUND($C2036*10*VLOOKUP($B2036,Sheet2!$J$5:$K$7,2,FALSE)*VLOOKUP(Sheet1!$A2036,Sheet2!$B$5:$H$29,7,FALSE),0)</x:f>
        <x:v>0</x:v>
      </x:c>
      <x:c r="I2036">
        <x:f t="shared" si="33"/>
        <x:v>28390</x:v>
      </x:c>
    </x:row>
    <x:row r="2037" spans="1:9" x14ac:dyDescent="0.15">
      <x:c r="A2037">
        <x:v>54102</x:v>
      </x:c>
      <x:c r="B2037">
        <x:v>1</x:v>
      </x:c>
      <x:c r="C2037">
        <x:v>56</x:v>
      </x:c>
      <x:c r="D2037">
        <x:f>ROUND($C2037*10*VLOOKUP($B2037,Sheet2!$J$5:$K$7,2,FALSE)*VLOOKUP(Sheet1!$A2037,Sheet2!$B$5:$H$29,3,FALSE),0)</x:f>
        <x:v>0</x:v>
      </x:c>
      <x:c r="E2037">
        <x:f>ROUND($C2037*10*VLOOKUP($B2037,Sheet2!$J$5:$K$7,2,FALSE)*VLOOKUP(Sheet1!$A2037,Sheet2!$B$5:$H$29,4,FALSE),0)</x:f>
        <x:v>112</x:v>
      </x:c>
      <x:c r="F2037">
        <x:f>ROUND($C2037*10*VLOOKUP($B2037,Sheet2!$J$5:$K$7,2,FALSE)*VLOOKUP(Sheet1!$A2037,Sheet2!$B$5:$H$29,5,FALSE),0)</x:f>
        <x:v>269</x:v>
      </x:c>
      <x:c r="G2037">
        <x:f>ROUND($C2037*10*VLOOKUP($B2037,Sheet2!$J$5:$K$7,2,FALSE)*VLOOKUP(Sheet1!$A2037,Sheet2!$B$5:$H$29,6,FALSE),0)</x:f>
        <x:v>0</x:v>
      </x:c>
      <x:c r="H2037">
        <x:f>ROUND($C2037*10*VLOOKUP($B2037,Sheet2!$J$5:$K$7,2,FALSE)*VLOOKUP(Sheet1!$A2037,Sheet2!$B$5:$H$29,7,FALSE),0)</x:f>
        <x:v>0</x:v>
      </x:c>
      <x:c r="I2037">
        <x:f t="shared" si="33"/>
        <x:v>29350</x:v>
      </x:c>
    </x:row>
    <x:row r="2038" spans="1:9" x14ac:dyDescent="0.15">
      <x:c r="A2038">
        <x:v>54102</x:v>
      </x:c>
      <x:c r="B2038">
        <x:v>1</x:v>
      </x:c>
      <x:c r="C2038">
        <x:v>57</x:v>
      </x:c>
      <x:c r="D2038">
        <x:f>ROUND($C2038*10*VLOOKUP($B2038,Sheet2!$J$5:$K$7,2,FALSE)*VLOOKUP(Sheet1!$A2038,Sheet2!$B$5:$H$29,3,FALSE),0)</x:f>
        <x:v>0</x:v>
      </x:c>
      <x:c r="E2038">
        <x:f>ROUND($C2038*10*VLOOKUP($B2038,Sheet2!$J$5:$K$7,2,FALSE)*VLOOKUP(Sheet1!$A2038,Sheet2!$B$5:$H$29,4,FALSE),0)</x:f>
        <x:v>114</x:v>
      </x:c>
      <x:c r="F2038">
        <x:f>ROUND($C2038*10*VLOOKUP($B2038,Sheet2!$J$5:$K$7,2,FALSE)*VLOOKUP(Sheet1!$A2038,Sheet2!$B$5:$H$29,5,FALSE),0)</x:f>
        <x:v>274</x:v>
      </x:c>
      <x:c r="G2038">
        <x:f>ROUND($C2038*10*VLOOKUP($B2038,Sheet2!$J$5:$K$7,2,FALSE)*VLOOKUP(Sheet1!$A2038,Sheet2!$B$5:$H$29,6,FALSE),0)</x:f>
        <x:v>0</x:v>
      </x:c>
      <x:c r="H2038">
        <x:f>ROUND($C2038*10*VLOOKUP($B2038,Sheet2!$J$5:$K$7,2,FALSE)*VLOOKUP(Sheet1!$A2038,Sheet2!$B$5:$H$29,7,FALSE),0)</x:f>
        <x:v>0</x:v>
      </x:c>
      <x:c r="I2038">
        <x:f t="shared" si="33"/>
        <x:v>30310</x:v>
      </x:c>
    </x:row>
    <x:row r="2039" spans="1:9" x14ac:dyDescent="0.15">
      <x:c r="A2039">
        <x:v>54102</x:v>
      </x:c>
      <x:c r="B2039">
        <x:v>1</x:v>
      </x:c>
      <x:c r="C2039">
        <x:v>58</x:v>
      </x:c>
      <x:c r="D2039">
        <x:f>ROUND($C2039*10*VLOOKUP($B2039,Sheet2!$J$5:$K$7,2,FALSE)*VLOOKUP(Sheet1!$A2039,Sheet2!$B$5:$H$29,3,FALSE),0)</x:f>
        <x:v>0</x:v>
      </x:c>
      <x:c r="E2039">
        <x:f>ROUND($C2039*10*VLOOKUP($B2039,Sheet2!$J$5:$K$7,2,FALSE)*VLOOKUP(Sheet1!$A2039,Sheet2!$B$5:$H$29,4,FALSE),0)</x:f>
        <x:v>116</x:v>
      </x:c>
      <x:c r="F2039">
        <x:f>ROUND($C2039*10*VLOOKUP($B2039,Sheet2!$J$5:$K$7,2,FALSE)*VLOOKUP(Sheet1!$A2039,Sheet2!$B$5:$H$29,5,FALSE),0)</x:f>
        <x:v>278</x:v>
      </x:c>
      <x:c r="G2039">
        <x:f>ROUND($C2039*10*VLOOKUP($B2039,Sheet2!$J$5:$K$7,2,FALSE)*VLOOKUP(Sheet1!$A2039,Sheet2!$B$5:$H$29,6,FALSE),0)</x:f>
        <x:v>0</x:v>
      </x:c>
      <x:c r="H2039">
        <x:f>ROUND($C2039*10*VLOOKUP($B2039,Sheet2!$J$5:$K$7,2,FALSE)*VLOOKUP(Sheet1!$A2039,Sheet2!$B$5:$H$29,7,FALSE),0)</x:f>
        <x:v>0</x:v>
      </x:c>
      <x:c r="I2039">
        <x:f t="shared" si="33"/>
        <x:v>31290</x:v>
      </x:c>
    </x:row>
    <x:row r="2040" spans="1:9" x14ac:dyDescent="0.15">
      <x:c r="A2040">
        <x:v>54102</x:v>
      </x:c>
      <x:c r="B2040">
        <x:v>1</x:v>
      </x:c>
      <x:c r="C2040">
        <x:v>59</x:v>
      </x:c>
      <x:c r="D2040">
        <x:f>ROUND($C2040*10*VLOOKUP($B2040,Sheet2!$J$5:$K$7,2,FALSE)*VLOOKUP(Sheet1!$A2040,Sheet2!$B$5:$H$29,3,FALSE),0)</x:f>
        <x:v>0</x:v>
      </x:c>
      <x:c r="E2040">
        <x:f>ROUND($C2040*10*VLOOKUP($B2040,Sheet2!$J$5:$K$7,2,FALSE)*VLOOKUP(Sheet1!$A2040,Sheet2!$B$5:$H$29,4,FALSE),0)</x:f>
        <x:v>118</x:v>
      </x:c>
      <x:c r="F2040">
        <x:f>ROUND($C2040*10*VLOOKUP($B2040,Sheet2!$J$5:$K$7,2,FALSE)*VLOOKUP(Sheet1!$A2040,Sheet2!$B$5:$H$29,5,FALSE),0)</x:f>
        <x:v>283</x:v>
      </x:c>
      <x:c r="G2040">
        <x:f>ROUND($C2040*10*VLOOKUP($B2040,Sheet2!$J$5:$K$7,2,FALSE)*VLOOKUP(Sheet1!$A2040,Sheet2!$B$5:$H$29,6,FALSE),0)</x:f>
        <x:v>0</x:v>
      </x:c>
      <x:c r="H2040">
        <x:f>ROUND($C2040*10*VLOOKUP($B2040,Sheet2!$J$5:$K$7,2,FALSE)*VLOOKUP(Sheet1!$A2040,Sheet2!$B$5:$H$29,7,FALSE),0)</x:f>
        <x:v>0</x:v>
      </x:c>
      <x:c r="I2040">
        <x:f t="shared" si="33"/>
        <x:v>32290</x:v>
      </x:c>
    </x:row>
    <x:row r="2041" spans="1:9" x14ac:dyDescent="0.15">
      <x:c r="A2041">
        <x:v>54102</x:v>
      </x:c>
      <x:c r="B2041">
        <x:v>1</x:v>
      </x:c>
      <x:c r="C2041">
        <x:v>60</x:v>
      </x:c>
      <x:c r="D2041">
        <x:f>ROUND($C2041*10*VLOOKUP($B2041,Sheet2!$J$5:$K$7,2,FALSE)*VLOOKUP(Sheet1!$A2041,Sheet2!$B$5:$H$29,3,FALSE),0)</x:f>
        <x:v>0</x:v>
      </x:c>
      <x:c r="E2041">
        <x:f>ROUND($C2041*10*VLOOKUP($B2041,Sheet2!$J$5:$K$7,2,FALSE)*VLOOKUP(Sheet1!$A2041,Sheet2!$B$5:$H$29,4,FALSE),0)</x:f>
        <x:v>120</x:v>
      </x:c>
      <x:c r="F2041">
        <x:f>ROUND($C2041*10*VLOOKUP($B2041,Sheet2!$J$5:$K$7,2,FALSE)*VLOOKUP(Sheet1!$A2041,Sheet2!$B$5:$H$29,5,FALSE),0)</x:f>
        <x:v>288</x:v>
      </x:c>
      <x:c r="G2041">
        <x:f>ROUND($C2041*10*VLOOKUP($B2041,Sheet2!$J$5:$K$7,2,FALSE)*VLOOKUP(Sheet1!$A2041,Sheet2!$B$5:$H$29,6,FALSE),0)</x:f>
        <x:v>0</x:v>
      </x:c>
      <x:c r="H2041">
        <x:f>ROUND($C2041*10*VLOOKUP($B2041,Sheet2!$J$5:$K$7,2,FALSE)*VLOOKUP(Sheet1!$A2041,Sheet2!$B$5:$H$29,7,FALSE),0)</x:f>
        <x:v>0</x:v>
      </x:c>
      <x:c r="I2041">
        <x:f t="shared" si="33"/>
        <x:v>33290</x:v>
      </x:c>
    </x:row>
    <x:row r="2042" spans="1:9" x14ac:dyDescent="0.15">
      <x:c r="A2042">
        <x:v>54102</x:v>
      </x:c>
      <x:c r="B2042">
        <x:v>2</x:v>
      </x:c>
      <x:c r="C2042">
        <x:v>1</x:v>
      </x:c>
      <x:c r="D2042">
        <x:f>ROUND($C2042*10*VLOOKUP($B2042,Sheet2!$J$5:$K$7,2,FALSE)*VLOOKUP(Sheet1!$A2042,Sheet2!$B$5:$H$29,3,FALSE),0)</x:f>
        <x:v>0</x:v>
      </x:c>
      <x:c r="E2042">
        <x:f>ROUND($C2042*10*VLOOKUP($B2042,Sheet2!$J$5:$K$7,2,FALSE)*VLOOKUP(Sheet1!$A2042,Sheet2!$B$5:$H$29,4,FALSE),0)</x:f>
        <x:v>2</x:v>
      </x:c>
      <x:c r="F2042">
        <x:f>ROUND($C2042*10*VLOOKUP($B2042,Sheet2!$J$5:$K$7,2,FALSE)*VLOOKUP(Sheet1!$A2042,Sheet2!$B$5:$H$29,5,FALSE),0)</x:f>
        <x:v>6</x:v>
      </x:c>
      <x:c r="G2042">
        <x:f>ROUND($C2042*10*VLOOKUP($B2042,Sheet2!$J$5:$K$7,2,FALSE)*VLOOKUP(Sheet1!$A2042,Sheet2!$B$5:$H$29,6,FALSE),0)</x:f>
        <x:v>0</x:v>
      </x:c>
      <x:c r="H2042">
        <x:f>ROUND($C2042*10*VLOOKUP($B2042,Sheet2!$J$5:$K$7,2,FALSE)*VLOOKUP(Sheet1!$A2042,Sheet2!$B$5:$H$29,7,FALSE),0)</x:f>
        <x:v>0</x:v>
      </x:c>
      <x:c r="I2042">
        <x:f t="shared" ref="I2042:I2101" si="34">ROUND(1.2*10*3.5*(C2042-1)^1.8+60,-1)</x:f>
        <x:v>60</x:v>
      </x:c>
    </x:row>
    <x:row r="2043" spans="1:9" x14ac:dyDescent="0.15">
      <x:c r="A2043">
        <x:v>54102</x:v>
      </x:c>
      <x:c r="B2043">
        <x:v>2</x:v>
      </x:c>
      <x:c r="C2043">
        <x:v>2</x:v>
      </x:c>
      <x:c r="D2043">
        <x:f>ROUND($C2043*10*VLOOKUP($B2043,Sheet2!$J$5:$K$7,2,FALSE)*VLOOKUP(Sheet1!$A2043,Sheet2!$B$5:$H$29,3,FALSE),0)</x:f>
        <x:v>0</x:v>
      </x:c>
      <x:c r="E2043">
        <x:f>ROUND($C2043*10*VLOOKUP($B2043,Sheet2!$J$5:$K$7,2,FALSE)*VLOOKUP(Sheet1!$A2043,Sheet2!$B$5:$H$29,4,FALSE),0)</x:f>
        <x:v>5</x:v>
      </x:c>
      <x:c r="F2043">
        <x:f>ROUND($C2043*10*VLOOKUP($B2043,Sheet2!$J$5:$K$7,2,FALSE)*VLOOKUP(Sheet1!$A2043,Sheet2!$B$5:$H$29,5,FALSE),0)</x:f>
        <x:v>12</x:v>
      </x:c>
      <x:c r="G2043">
        <x:f>ROUND($C2043*10*VLOOKUP($B2043,Sheet2!$J$5:$K$7,2,FALSE)*VLOOKUP(Sheet1!$A2043,Sheet2!$B$5:$H$29,6,FALSE),0)</x:f>
        <x:v>0</x:v>
      </x:c>
      <x:c r="H2043">
        <x:f>ROUND($C2043*10*VLOOKUP($B2043,Sheet2!$J$5:$K$7,2,FALSE)*VLOOKUP(Sheet1!$A2043,Sheet2!$B$5:$H$29,7,FALSE),0)</x:f>
        <x:v>0</x:v>
      </x:c>
      <x:c r="I2043">
        <x:f t="shared" si="34"/>
        <x:v>100</x:v>
      </x:c>
    </x:row>
    <x:row r="2044" spans="1:9" x14ac:dyDescent="0.15">
      <x:c r="A2044">
        <x:v>54102</x:v>
      </x:c>
      <x:c r="B2044">
        <x:v>2</x:v>
      </x:c>
      <x:c r="C2044">
        <x:v>3</x:v>
      </x:c>
      <x:c r="D2044">
        <x:f>ROUND($C2044*10*VLOOKUP($B2044,Sheet2!$J$5:$K$7,2,FALSE)*VLOOKUP(Sheet1!$A2044,Sheet2!$B$5:$H$29,3,FALSE),0)</x:f>
        <x:v>0</x:v>
      </x:c>
      <x:c r="E2044">
        <x:f>ROUND($C2044*10*VLOOKUP($B2044,Sheet2!$J$5:$K$7,2,FALSE)*VLOOKUP(Sheet1!$A2044,Sheet2!$B$5:$H$29,4,FALSE),0)</x:f>
        <x:v>7</x:v>
      </x:c>
      <x:c r="F2044">
        <x:f>ROUND($C2044*10*VLOOKUP($B2044,Sheet2!$J$5:$K$7,2,FALSE)*VLOOKUP(Sheet1!$A2044,Sheet2!$B$5:$H$29,5,FALSE),0)</x:f>
        <x:v>17</x:v>
      </x:c>
      <x:c r="G2044">
        <x:f>ROUND($C2044*10*VLOOKUP($B2044,Sheet2!$J$5:$K$7,2,FALSE)*VLOOKUP(Sheet1!$A2044,Sheet2!$B$5:$H$29,6,FALSE),0)</x:f>
        <x:v>0</x:v>
      </x:c>
      <x:c r="H2044">
        <x:f>ROUND($C2044*10*VLOOKUP($B2044,Sheet2!$J$5:$K$7,2,FALSE)*VLOOKUP(Sheet1!$A2044,Sheet2!$B$5:$H$29,7,FALSE),0)</x:f>
        <x:v>0</x:v>
      </x:c>
      <x:c r="I2044">
        <x:f t="shared" si="34"/>
        <x:v>210</x:v>
      </x:c>
    </x:row>
    <x:row r="2045" spans="1:9" x14ac:dyDescent="0.15">
      <x:c r="A2045">
        <x:v>54102</x:v>
      </x:c>
      <x:c r="B2045">
        <x:v>2</x:v>
      </x:c>
      <x:c r="C2045">
        <x:v>4</x:v>
      </x:c>
      <x:c r="D2045">
        <x:f>ROUND($C2045*10*VLOOKUP($B2045,Sheet2!$J$5:$K$7,2,FALSE)*VLOOKUP(Sheet1!$A2045,Sheet2!$B$5:$H$29,3,FALSE),0)</x:f>
        <x:v>0</x:v>
      </x:c>
      <x:c r="E2045">
        <x:f>ROUND($C2045*10*VLOOKUP($B2045,Sheet2!$J$5:$K$7,2,FALSE)*VLOOKUP(Sheet1!$A2045,Sheet2!$B$5:$H$29,4,FALSE),0)</x:f>
        <x:v>10</x:v>
      </x:c>
      <x:c r="F2045">
        <x:f>ROUND($C2045*10*VLOOKUP($B2045,Sheet2!$J$5:$K$7,2,FALSE)*VLOOKUP(Sheet1!$A2045,Sheet2!$B$5:$H$29,5,FALSE),0)</x:f>
        <x:v>23</x:v>
      </x:c>
      <x:c r="G2045">
        <x:f>ROUND($C2045*10*VLOOKUP($B2045,Sheet2!$J$5:$K$7,2,FALSE)*VLOOKUP(Sheet1!$A2045,Sheet2!$B$5:$H$29,6,FALSE),0)</x:f>
        <x:v>0</x:v>
      </x:c>
      <x:c r="H2045">
        <x:f>ROUND($C2045*10*VLOOKUP($B2045,Sheet2!$J$5:$K$7,2,FALSE)*VLOOKUP(Sheet1!$A2045,Sheet2!$B$5:$H$29,7,FALSE),0)</x:f>
        <x:v>0</x:v>
      </x:c>
      <x:c r="I2045">
        <x:f t="shared" si="34"/>
        <x:v>360</x:v>
      </x:c>
    </x:row>
    <x:row r="2046" spans="1:9" x14ac:dyDescent="0.15">
      <x:c r="A2046">
        <x:v>54102</x:v>
      </x:c>
      <x:c r="B2046">
        <x:v>2</x:v>
      </x:c>
      <x:c r="C2046">
        <x:v>5</x:v>
      </x:c>
      <x:c r="D2046">
        <x:f>ROUND($C2046*10*VLOOKUP($B2046,Sheet2!$J$5:$K$7,2,FALSE)*VLOOKUP(Sheet1!$A2046,Sheet2!$B$5:$H$29,3,FALSE),0)</x:f>
        <x:v>0</x:v>
      </x:c>
      <x:c r="E2046">
        <x:f>ROUND($C2046*10*VLOOKUP($B2046,Sheet2!$J$5:$K$7,2,FALSE)*VLOOKUP(Sheet1!$A2046,Sheet2!$B$5:$H$29,4,FALSE),0)</x:f>
        <x:v>12</x:v>
      </x:c>
      <x:c r="F2046">
        <x:f>ROUND($C2046*10*VLOOKUP($B2046,Sheet2!$J$5:$K$7,2,FALSE)*VLOOKUP(Sheet1!$A2046,Sheet2!$B$5:$H$29,5,FALSE),0)</x:f>
        <x:v>29</x:v>
      </x:c>
      <x:c r="G2046">
        <x:f>ROUND($C2046*10*VLOOKUP($B2046,Sheet2!$J$5:$K$7,2,FALSE)*VLOOKUP(Sheet1!$A2046,Sheet2!$B$5:$H$29,6,FALSE),0)</x:f>
        <x:v>0</x:v>
      </x:c>
      <x:c r="H2046">
        <x:f>ROUND($C2046*10*VLOOKUP($B2046,Sheet2!$J$5:$K$7,2,FALSE)*VLOOKUP(Sheet1!$A2046,Sheet2!$B$5:$H$29,7,FALSE),0)</x:f>
        <x:v>0</x:v>
      </x:c>
      <x:c r="I2046">
        <x:f t="shared" si="34"/>
        <x:v>570</x:v>
      </x:c>
    </x:row>
    <x:row r="2047" spans="1:9" x14ac:dyDescent="0.15">
      <x:c r="A2047">
        <x:v>54102</x:v>
      </x:c>
      <x:c r="B2047">
        <x:v>2</x:v>
      </x:c>
      <x:c r="C2047">
        <x:v>6</x:v>
      </x:c>
      <x:c r="D2047">
        <x:f>ROUND($C2047*10*VLOOKUP($B2047,Sheet2!$J$5:$K$7,2,FALSE)*VLOOKUP(Sheet1!$A2047,Sheet2!$B$5:$H$29,3,FALSE),0)</x:f>
        <x:v>0</x:v>
      </x:c>
      <x:c r="E2047">
        <x:f>ROUND($C2047*10*VLOOKUP($B2047,Sheet2!$J$5:$K$7,2,FALSE)*VLOOKUP(Sheet1!$A2047,Sheet2!$B$5:$H$29,4,FALSE),0)</x:f>
        <x:v>14</x:v>
      </x:c>
      <x:c r="F2047">
        <x:f>ROUND($C2047*10*VLOOKUP($B2047,Sheet2!$J$5:$K$7,2,FALSE)*VLOOKUP(Sheet1!$A2047,Sheet2!$B$5:$H$29,5,FALSE),0)</x:f>
        <x:v>35</x:v>
      </x:c>
      <x:c r="G2047">
        <x:f>ROUND($C2047*10*VLOOKUP($B2047,Sheet2!$J$5:$K$7,2,FALSE)*VLOOKUP(Sheet1!$A2047,Sheet2!$B$5:$H$29,6,FALSE),0)</x:f>
        <x:v>0</x:v>
      </x:c>
      <x:c r="H2047">
        <x:f>ROUND($C2047*10*VLOOKUP($B2047,Sheet2!$J$5:$K$7,2,FALSE)*VLOOKUP(Sheet1!$A2047,Sheet2!$B$5:$H$29,7,FALSE),0)</x:f>
        <x:v>0</x:v>
      </x:c>
      <x:c r="I2047">
        <x:f t="shared" si="34"/>
        <x:v>820</x:v>
      </x:c>
    </x:row>
    <x:row r="2048" spans="1:9" x14ac:dyDescent="0.15">
      <x:c r="A2048">
        <x:v>54102</x:v>
      </x:c>
      <x:c r="B2048">
        <x:v>2</x:v>
      </x:c>
      <x:c r="C2048">
        <x:v>7</x:v>
      </x:c>
      <x:c r="D2048">
        <x:f>ROUND($C2048*10*VLOOKUP($B2048,Sheet2!$J$5:$K$7,2,FALSE)*VLOOKUP(Sheet1!$A2048,Sheet2!$B$5:$H$29,3,FALSE),0)</x:f>
        <x:v>0</x:v>
      </x:c>
      <x:c r="E2048">
        <x:f>ROUND($C2048*10*VLOOKUP($B2048,Sheet2!$J$5:$K$7,2,FALSE)*VLOOKUP(Sheet1!$A2048,Sheet2!$B$5:$H$29,4,FALSE),0)</x:f>
        <x:v>17</x:v>
      </x:c>
      <x:c r="F2048">
        <x:f>ROUND($C2048*10*VLOOKUP($B2048,Sheet2!$J$5:$K$7,2,FALSE)*VLOOKUP(Sheet1!$A2048,Sheet2!$B$5:$H$29,5,FALSE),0)</x:f>
        <x:v>40</x:v>
      </x:c>
      <x:c r="G2048">
        <x:f>ROUND($C2048*10*VLOOKUP($B2048,Sheet2!$J$5:$K$7,2,FALSE)*VLOOKUP(Sheet1!$A2048,Sheet2!$B$5:$H$29,6,FALSE),0)</x:f>
        <x:v>0</x:v>
      </x:c>
      <x:c r="H2048">
        <x:f>ROUND($C2048*10*VLOOKUP($B2048,Sheet2!$J$5:$K$7,2,FALSE)*VLOOKUP(Sheet1!$A2048,Sheet2!$B$5:$H$29,7,FALSE),0)</x:f>
        <x:v>0</x:v>
      </x:c>
      <x:c r="I2048">
        <x:f t="shared" si="34"/>
        <x:v>1120</x:v>
      </x:c>
    </x:row>
    <x:row r="2049" spans="1:9" x14ac:dyDescent="0.15">
      <x:c r="A2049">
        <x:v>54102</x:v>
      </x:c>
      <x:c r="B2049">
        <x:v>2</x:v>
      </x:c>
      <x:c r="C2049">
        <x:v>8</x:v>
      </x:c>
      <x:c r="D2049">
        <x:f>ROUND($C2049*10*VLOOKUP($B2049,Sheet2!$J$5:$K$7,2,FALSE)*VLOOKUP(Sheet1!$A2049,Sheet2!$B$5:$H$29,3,FALSE),0)</x:f>
        <x:v>0</x:v>
      </x:c>
      <x:c r="E2049">
        <x:f>ROUND($C2049*10*VLOOKUP($B2049,Sheet2!$J$5:$K$7,2,FALSE)*VLOOKUP(Sheet1!$A2049,Sheet2!$B$5:$H$29,4,FALSE),0)</x:f>
        <x:v>19</x:v>
      </x:c>
      <x:c r="F2049">
        <x:f>ROUND($C2049*10*VLOOKUP($B2049,Sheet2!$J$5:$K$7,2,FALSE)*VLOOKUP(Sheet1!$A2049,Sheet2!$B$5:$H$29,5,FALSE),0)</x:f>
        <x:v>46</x:v>
      </x:c>
      <x:c r="G2049">
        <x:f>ROUND($C2049*10*VLOOKUP($B2049,Sheet2!$J$5:$K$7,2,FALSE)*VLOOKUP(Sheet1!$A2049,Sheet2!$B$5:$H$29,6,FALSE),0)</x:f>
        <x:v>0</x:v>
      </x:c>
      <x:c r="H2049">
        <x:f>ROUND($C2049*10*VLOOKUP($B2049,Sheet2!$J$5:$K$7,2,FALSE)*VLOOKUP(Sheet1!$A2049,Sheet2!$B$5:$H$29,7,FALSE),0)</x:f>
        <x:v>0</x:v>
      </x:c>
      <x:c r="I2049">
        <x:f t="shared" si="34"/>
        <x:v>1450</x:v>
      </x:c>
    </x:row>
    <x:row r="2050" spans="1:9" x14ac:dyDescent="0.15">
      <x:c r="A2050">
        <x:v>54102</x:v>
      </x:c>
      <x:c r="B2050">
        <x:v>2</x:v>
      </x:c>
      <x:c r="C2050">
        <x:v>9</x:v>
      </x:c>
      <x:c r="D2050">
        <x:f>ROUND($C2050*10*VLOOKUP($B2050,Sheet2!$J$5:$K$7,2,FALSE)*VLOOKUP(Sheet1!$A2050,Sheet2!$B$5:$H$29,3,FALSE),0)</x:f>
        <x:v>0</x:v>
      </x:c>
      <x:c r="E2050">
        <x:f>ROUND($C2050*10*VLOOKUP($B2050,Sheet2!$J$5:$K$7,2,FALSE)*VLOOKUP(Sheet1!$A2050,Sheet2!$B$5:$H$29,4,FALSE),0)</x:f>
        <x:v>22</x:v>
      </x:c>
      <x:c r="F2050">
        <x:f>ROUND($C2050*10*VLOOKUP($B2050,Sheet2!$J$5:$K$7,2,FALSE)*VLOOKUP(Sheet1!$A2050,Sheet2!$B$5:$H$29,5,FALSE),0)</x:f>
        <x:v>52</x:v>
      </x:c>
      <x:c r="G2050">
        <x:f>ROUND($C2050*10*VLOOKUP($B2050,Sheet2!$J$5:$K$7,2,FALSE)*VLOOKUP(Sheet1!$A2050,Sheet2!$B$5:$H$29,6,FALSE),0)</x:f>
        <x:v>0</x:v>
      </x:c>
      <x:c r="H2050">
        <x:f>ROUND($C2050*10*VLOOKUP($B2050,Sheet2!$J$5:$K$7,2,FALSE)*VLOOKUP(Sheet1!$A2050,Sheet2!$B$5:$H$29,7,FALSE),0)</x:f>
        <x:v>0</x:v>
      </x:c>
      <x:c r="I2050">
        <x:f t="shared" si="34"/>
        <x:v>1830</x:v>
      </x:c>
    </x:row>
    <x:row r="2051" spans="1:9" x14ac:dyDescent="0.15">
      <x:c r="A2051">
        <x:v>54102</x:v>
      </x:c>
      <x:c r="B2051">
        <x:v>2</x:v>
      </x:c>
      <x:c r="C2051">
        <x:v>10</x:v>
      </x:c>
      <x:c r="D2051">
        <x:f>ROUND($C2051*10*VLOOKUP($B2051,Sheet2!$J$5:$K$7,2,FALSE)*VLOOKUP(Sheet1!$A2051,Sheet2!$B$5:$H$29,3,FALSE),0)</x:f>
        <x:v>0</x:v>
      </x:c>
      <x:c r="E2051">
        <x:f>ROUND($C2051*10*VLOOKUP($B2051,Sheet2!$J$5:$K$7,2,FALSE)*VLOOKUP(Sheet1!$A2051,Sheet2!$B$5:$H$29,4,FALSE),0)</x:f>
        <x:v>24</x:v>
      </x:c>
      <x:c r="F2051">
        <x:f>ROUND($C2051*10*VLOOKUP($B2051,Sheet2!$J$5:$K$7,2,FALSE)*VLOOKUP(Sheet1!$A2051,Sheet2!$B$5:$H$29,5,FALSE),0)</x:f>
        <x:v>58</x:v>
      </x:c>
      <x:c r="G2051">
        <x:f>ROUND($C2051*10*VLOOKUP($B2051,Sheet2!$J$5:$K$7,2,FALSE)*VLOOKUP(Sheet1!$A2051,Sheet2!$B$5:$H$29,6,FALSE),0)</x:f>
        <x:v>0</x:v>
      </x:c>
      <x:c r="H2051">
        <x:f>ROUND($C2051*10*VLOOKUP($B2051,Sheet2!$J$5:$K$7,2,FALSE)*VLOOKUP(Sheet1!$A2051,Sheet2!$B$5:$H$29,7,FALSE),0)</x:f>
        <x:v>0</x:v>
      </x:c>
      <x:c r="I2051">
        <x:f t="shared" si="34"/>
        <x:v>2250</x:v>
      </x:c>
    </x:row>
    <x:row r="2052" spans="1:9" x14ac:dyDescent="0.15">
      <x:c r="A2052">
        <x:v>54102</x:v>
      </x:c>
      <x:c r="B2052">
        <x:v>2</x:v>
      </x:c>
      <x:c r="C2052">
        <x:v>11</x:v>
      </x:c>
      <x:c r="D2052">
        <x:f>ROUND($C2052*10*VLOOKUP($B2052,Sheet2!$J$5:$K$7,2,FALSE)*VLOOKUP(Sheet1!$A2052,Sheet2!$B$5:$H$29,3,FALSE),0)</x:f>
        <x:v>0</x:v>
      </x:c>
      <x:c r="E2052">
        <x:f>ROUND($C2052*10*VLOOKUP($B2052,Sheet2!$J$5:$K$7,2,FALSE)*VLOOKUP(Sheet1!$A2052,Sheet2!$B$5:$H$29,4,FALSE),0)</x:f>
        <x:v>26</x:v>
      </x:c>
      <x:c r="F2052">
        <x:f>ROUND($C2052*10*VLOOKUP($B2052,Sheet2!$J$5:$K$7,2,FALSE)*VLOOKUP(Sheet1!$A2052,Sheet2!$B$5:$H$29,5,FALSE),0)</x:f>
        <x:v>63</x:v>
      </x:c>
      <x:c r="G2052">
        <x:f>ROUND($C2052*10*VLOOKUP($B2052,Sheet2!$J$5:$K$7,2,FALSE)*VLOOKUP(Sheet1!$A2052,Sheet2!$B$5:$H$29,6,FALSE),0)</x:f>
        <x:v>0</x:v>
      </x:c>
      <x:c r="H2052">
        <x:f>ROUND($C2052*10*VLOOKUP($B2052,Sheet2!$J$5:$K$7,2,FALSE)*VLOOKUP(Sheet1!$A2052,Sheet2!$B$5:$H$29,7,FALSE),0)</x:f>
        <x:v>0</x:v>
      </x:c>
      <x:c r="I2052">
        <x:f t="shared" si="34"/>
        <x:v>2710</x:v>
      </x:c>
    </x:row>
    <x:row r="2053" spans="1:9" x14ac:dyDescent="0.15">
      <x:c r="A2053">
        <x:v>54102</x:v>
      </x:c>
      <x:c r="B2053">
        <x:v>2</x:v>
      </x:c>
      <x:c r="C2053">
        <x:v>12</x:v>
      </x:c>
      <x:c r="D2053">
        <x:f>ROUND($C2053*10*VLOOKUP($B2053,Sheet2!$J$5:$K$7,2,FALSE)*VLOOKUP(Sheet1!$A2053,Sheet2!$B$5:$H$29,3,FALSE),0)</x:f>
        <x:v>0</x:v>
      </x:c>
      <x:c r="E2053">
        <x:f>ROUND($C2053*10*VLOOKUP($B2053,Sheet2!$J$5:$K$7,2,FALSE)*VLOOKUP(Sheet1!$A2053,Sheet2!$B$5:$H$29,4,FALSE),0)</x:f>
        <x:v>29</x:v>
      </x:c>
      <x:c r="F2053">
        <x:f>ROUND($C2053*10*VLOOKUP($B2053,Sheet2!$J$5:$K$7,2,FALSE)*VLOOKUP(Sheet1!$A2053,Sheet2!$B$5:$H$29,5,FALSE),0)</x:f>
        <x:v>69</x:v>
      </x:c>
      <x:c r="G2053">
        <x:f>ROUND($C2053*10*VLOOKUP($B2053,Sheet2!$J$5:$K$7,2,FALSE)*VLOOKUP(Sheet1!$A2053,Sheet2!$B$5:$H$29,6,FALSE),0)</x:f>
        <x:v>0</x:v>
      </x:c>
      <x:c r="H2053">
        <x:f>ROUND($C2053*10*VLOOKUP($B2053,Sheet2!$J$5:$K$7,2,FALSE)*VLOOKUP(Sheet1!$A2053,Sheet2!$B$5:$H$29,7,FALSE),0)</x:f>
        <x:v>0</x:v>
      </x:c>
      <x:c r="I2053">
        <x:f t="shared" si="34"/>
        <x:v>3210</x:v>
      </x:c>
    </x:row>
    <x:row r="2054" spans="1:9" x14ac:dyDescent="0.15">
      <x:c r="A2054">
        <x:v>54102</x:v>
      </x:c>
      <x:c r="B2054">
        <x:v>2</x:v>
      </x:c>
      <x:c r="C2054">
        <x:v>13</x:v>
      </x:c>
      <x:c r="D2054">
        <x:f>ROUND($C2054*10*VLOOKUP($B2054,Sheet2!$J$5:$K$7,2,FALSE)*VLOOKUP(Sheet1!$A2054,Sheet2!$B$5:$H$29,3,FALSE),0)</x:f>
        <x:v>0</x:v>
      </x:c>
      <x:c r="E2054">
        <x:f>ROUND($C2054*10*VLOOKUP($B2054,Sheet2!$J$5:$K$7,2,FALSE)*VLOOKUP(Sheet1!$A2054,Sheet2!$B$5:$H$29,4,FALSE),0)</x:f>
        <x:v>31</x:v>
      </x:c>
      <x:c r="F2054">
        <x:f>ROUND($C2054*10*VLOOKUP($B2054,Sheet2!$J$5:$K$7,2,FALSE)*VLOOKUP(Sheet1!$A2054,Sheet2!$B$5:$H$29,5,FALSE),0)</x:f>
        <x:v>75</x:v>
      </x:c>
      <x:c r="G2054">
        <x:f>ROUND($C2054*10*VLOOKUP($B2054,Sheet2!$J$5:$K$7,2,FALSE)*VLOOKUP(Sheet1!$A2054,Sheet2!$B$5:$H$29,6,FALSE),0)</x:f>
        <x:v>0</x:v>
      </x:c>
      <x:c r="H2054">
        <x:f>ROUND($C2054*10*VLOOKUP($B2054,Sheet2!$J$5:$K$7,2,FALSE)*VLOOKUP(Sheet1!$A2054,Sheet2!$B$5:$H$29,7,FALSE),0)</x:f>
        <x:v>0</x:v>
      </x:c>
      <x:c r="I2054">
        <x:f t="shared" si="34"/>
        <x:v>3740</x:v>
      </x:c>
    </x:row>
    <x:row r="2055" spans="1:9" x14ac:dyDescent="0.15">
      <x:c r="A2055">
        <x:v>54102</x:v>
      </x:c>
      <x:c r="B2055">
        <x:v>2</x:v>
      </x:c>
      <x:c r="C2055">
        <x:v>14</x:v>
      </x:c>
      <x:c r="D2055">
        <x:f>ROUND($C2055*10*VLOOKUP($B2055,Sheet2!$J$5:$K$7,2,FALSE)*VLOOKUP(Sheet1!$A2055,Sheet2!$B$5:$H$29,3,FALSE),0)</x:f>
        <x:v>0</x:v>
      </x:c>
      <x:c r="E2055">
        <x:f>ROUND($C2055*10*VLOOKUP($B2055,Sheet2!$J$5:$K$7,2,FALSE)*VLOOKUP(Sheet1!$A2055,Sheet2!$B$5:$H$29,4,FALSE),0)</x:f>
        <x:v>34</x:v>
      </x:c>
      <x:c r="F2055">
        <x:f>ROUND($C2055*10*VLOOKUP($B2055,Sheet2!$J$5:$K$7,2,FALSE)*VLOOKUP(Sheet1!$A2055,Sheet2!$B$5:$H$29,5,FALSE),0)</x:f>
        <x:v>81</x:v>
      </x:c>
      <x:c r="G2055">
        <x:f>ROUND($C2055*10*VLOOKUP($B2055,Sheet2!$J$5:$K$7,2,FALSE)*VLOOKUP(Sheet1!$A2055,Sheet2!$B$5:$H$29,6,FALSE),0)</x:f>
        <x:v>0</x:v>
      </x:c>
      <x:c r="H2055">
        <x:f>ROUND($C2055*10*VLOOKUP($B2055,Sheet2!$J$5:$K$7,2,FALSE)*VLOOKUP(Sheet1!$A2055,Sheet2!$B$5:$H$29,7,FALSE),0)</x:f>
        <x:v>0</x:v>
      </x:c>
      <x:c r="I2055">
        <x:f t="shared" si="34"/>
        <x:v>4310</x:v>
      </x:c>
    </x:row>
    <x:row r="2056" spans="1:9" x14ac:dyDescent="0.15">
      <x:c r="A2056">
        <x:v>54102</x:v>
      </x:c>
      <x:c r="B2056">
        <x:v>2</x:v>
      </x:c>
      <x:c r="C2056">
        <x:v>15</x:v>
      </x:c>
      <x:c r="D2056">
        <x:f>ROUND($C2056*10*VLOOKUP($B2056,Sheet2!$J$5:$K$7,2,FALSE)*VLOOKUP(Sheet1!$A2056,Sheet2!$B$5:$H$29,3,FALSE),0)</x:f>
        <x:v>0</x:v>
      </x:c>
      <x:c r="E2056">
        <x:f>ROUND($C2056*10*VLOOKUP($B2056,Sheet2!$J$5:$K$7,2,FALSE)*VLOOKUP(Sheet1!$A2056,Sheet2!$B$5:$H$29,4,FALSE),0)</x:f>
        <x:v>36</x:v>
      </x:c>
      <x:c r="F2056">
        <x:f>ROUND($C2056*10*VLOOKUP($B2056,Sheet2!$J$5:$K$7,2,FALSE)*VLOOKUP(Sheet1!$A2056,Sheet2!$B$5:$H$29,5,FALSE),0)</x:f>
        <x:v>86</x:v>
      </x:c>
      <x:c r="G2056">
        <x:f>ROUND($C2056*10*VLOOKUP($B2056,Sheet2!$J$5:$K$7,2,FALSE)*VLOOKUP(Sheet1!$A2056,Sheet2!$B$5:$H$29,6,FALSE),0)</x:f>
        <x:v>0</x:v>
      </x:c>
      <x:c r="H2056">
        <x:f>ROUND($C2056*10*VLOOKUP($B2056,Sheet2!$J$5:$K$7,2,FALSE)*VLOOKUP(Sheet1!$A2056,Sheet2!$B$5:$H$29,7,FALSE),0)</x:f>
        <x:v>0</x:v>
      </x:c>
      <x:c r="I2056">
        <x:f t="shared" si="34"/>
        <x:v>4920</x:v>
      </x:c>
    </x:row>
    <x:row r="2057" spans="1:9" x14ac:dyDescent="0.15">
      <x:c r="A2057">
        <x:v>54102</x:v>
      </x:c>
      <x:c r="B2057">
        <x:v>2</x:v>
      </x:c>
      <x:c r="C2057">
        <x:v>16</x:v>
      </x:c>
      <x:c r="D2057">
        <x:f>ROUND($C2057*10*VLOOKUP($B2057,Sheet2!$J$5:$K$7,2,FALSE)*VLOOKUP(Sheet1!$A2057,Sheet2!$B$5:$H$29,3,FALSE),0)</x:f>
        <x:v>0</x:v>
      </x:c>
      <x:c r="E2057">
        <x:f>ROUND($C2057*10*VLOOKUP($B2057,Sheet2!$J$5:$K$7,2,FALSE)*VLOOKUP(Sheet1!$A2057,Sheet2!$B$5:$H$29,4,FALSE),0)</x:f>
        <x:v>38</x:v>
      </x:c>
      <x:c r="F2057">
        <x:f>ROUND($C2057*10*VLOOKUP($B2057,Sheet2!$J$5:$K$7,2,FALSE)*VLOOKUP(Sheet1!$A2057,Sheet2!$B$5:$H$29,5,FALSE),0)</x:f>
        <x:v>92</x:v>
      </x:c>
      <x:c r="G2057">
        <x:f>ROUND($C2057*10*VLOOKUP($B2057,Sheet2!$J$5:$K$7,2,FALSE)*VLOOKUP(Sheet1!$A2057,Sheet2!$B$5:$H$29,6,FALSE),0)</x:f>
        <x:v>0</x:v>
      </x:c>
      <x:c r="H2057">
        <x:f>ROUND($C2057*10*VLOOKUP($B2057,Sheet2!$J$5:$K$7,2,FALSE)*VLOOKUP(Sheet1!$A2057,Sheet2!$B$5:$H$29,7,FALSE),0)</x:f>
        <x:v>0</x:v>
      </x:c>
      <x:c r="I2057">
        <x:f t="shared" si="34"/>
        <x:v>5560</x:v>
      </x:c>
    </x:row>
    <x:row r="2058" spans="1:9" x14ac:dyDescent="0.15">
      <x:c r="A2058">
        <x:v>54102</x:v>
      </x:c>
      <x:c r="B2058">
        <x:v>2</x:v>
      </x:c>
      <x:c r="C2058">
        <x:v>17</x:v>
      </x:c>
      <x:c r="D2058">
        <x:f>ROUND($C2058*10*VLOOKUP($B2058,Sheet2!$J$5:$K$7,2,FALSE)*VLOOKUP(Sheet1!$A2058,Sheet2!$B$5:$H$29,3,FALSE),0)</x:f>
        <x:v>0</x:v>
      </x:c>
      <x:c r="E2058">
        <x:f>ROUND($C2058*10*VLOOKUP($B2058,Sheet2!$J$5:$K$7,2,FALSE)*VLOOKUP(Sheet1!$A2058,Sheet2!$B$5:$H$29,4,FALSE),0)</x:f>
        <x:v>41</x:v>
      </x:c>
      <x:c r="F2058">
        <x:f>ROUND($C2058*10*VLOOKUP($B2058,Sheet2!$J$5:$K$7,2,FALSE)*VLOOKUP(Sheet1!$A2058,Sheet2!$B$5:$H$29,5,FALSE),0)</x:f>
        <x:v>98</x:v>
      </x:c>
      <x:c r="G2058">
        <x:f>ROUND($C2058*10*VLOOKUP($B2058,Sheet2!$J$5:$K$7,2,FALSE)*VLOOKUP(Sheet1!$A2058,Sheet2!$B$5:$H$29,6,FALSE),0)</x:f>
        <x:v>0</x:v>
      </x:c>
      <x:c r="H2058">
        <x:f>ROUND($C2058*10*VLOOKUP($B2058,Sheet2!$J$5:$K$7,2,FALSE)*VLOOKUP(Sheet1!$A2058,Sheet2!$B$5:$H$29,7,FALSE),0)</x:f>
        <x:v>0</x:v>
      </x:c>
      <x:c r="I2058">
        <x:f t="shared" si="34"/>
        <x:v>6240</x:v>
      </x:c>
    </x:row>
    <x:row r="2059" spans="1:9" x14ac:dyDescent="0.15">
      <x:c r="A2059">
        <x:v>54102</x:v>
      </x:c>
      <x:c r="B2059">
        <x:v>2</x:v>
      </x:c>
      <x:c r="C2059">
        <x:v>18</x:v>
      </x:c>
      <x:c r="D2059">
        <x:f>ROUND($C2059*10*VLOOKUP($B2059,Sheet2!$J$5:$K$7,2,FALSE)*VLOOKUP(Sheet1!$A2059,Sheet2!$B$5:$H$29,3,FALSE),0)</x:f>
        <x:v>0</x:v>
      </x:c>
      <x:c r="E2059">
        <x:f>ROUND($C2059*10*VLOOKUP($B2059,Sheet2!$J$5:$K$7,2,FALSE)*VLOOKUP(Sheet1!$A2059,Sheet2!$B$5:$H$29,4,FALSE),0)</x:f>
        <x:v>43</x:v>
      </x:c>
      <x:c r="F2059">
        <x:f>ROUND($C2059*10*VLOOKUP($B2059,Sheet2!$J$5:$K$7,2,FALSE)*VLOOKUP(Sheet1!$A2059,Sheet2!$B$5:$H$29,5,FALSE),0)</x:f>
        <x:v>104</x:v>
      </x:c>
      <x:c r="G2059">
        <x:f>ROUND($C2059*10*VLOOKUP($B2059,Sheet2!$J$5:$K$7,2,FALSE)*VLOOKUP(Sheet1!$A2059,Sheet2!$B$5:$H$29,6,FALSE),0)</x:f>
        <x:v>0</x:v>
      </x:c>
      <x:c r="H2059">
        <x:f>ROUND($C2059*10*VLOOKUP($B2059,Sheet2!$J$5:$K$7,2,FALSE)*VLOOKUP(Sheet1!$A2059,Sheet2!$B$5:$H$29,7,FALSE),0)</x:f>
        <x:v>0</x:v>
      </x:c>
      <x:c r="I2059">
        <x:f t="shared" si="34"/>
        <x:v>6950</x:v>
      </x:c>
    </x:row>
    <x:row r="2060" spans="1:9" x14ac:dyDescent="0.15">
      <x:c r="A2060">
        <x:v>54102</x:v>
      </x:c>
      <x:c r="B2060">
        <x:v>2</x:v>
      </x:c>
      <x:c r="C2060">
        <x:v>19</x:v>
      </x:c>
      <x:c r="D2060">
        <x:f>ROUND($C2060*10*VLOOKUP($B2060,Sheet2!$J$5:$K$7,2,FALSE)*VLOOKUP(Sheet1!$A2060,Sheet2!$B$5:$H$29,3,FALSE),0)</x:f>
        <x:v>0</x:v>
      </x:c>
      <x:c r="E2060">
        <x:f>ROUND($C2060*10*VLOOKUP($B2060,Sheet2!$J$5:$K$7,2,FALSE)*VLOOKUP(Sheet1!$A2060,Sheet2!$B$5:$H$29,4,FALSE),0)</x:f>
        <x:v>46</x:v>
      </x:c>
      <x:c r="F2060">
        <x:f>ROUND($C2060*10*VLOOKUP($B2060,Sheet2!$J$5:$K$7,2,FALSE)*VLOOKUP(Sheet1!$A2060,Sheet2!$B$5:$H$29,5,FALSE),0)</x:f>
        <x:v>109</x:v>
      </x:c>
      <x:c r="G2060">
        <x:f>ROUND($C2060*10*VLOOKUP($B2060,Sheet2!$J$5:$K$7,2,FALSE)*VLOOKUP(Sheet1!$A2060,Sheet2!$B$5:$H$29,6,FALSE),0)</x:f>
        <x:v>0</x:v>
      </x:c>
      <x:c r="H2060">
        <x:f>ROUND($C2060*10*VLOOKUP($B2060,Sheet2!$J$5:$K$7,2,FALSE)*VLOOKUP(Sheet1!$A2060,Sheet2!$B$5:$H$29,7,FALSE),0)</x:f>
        <x:v>0</x:v>
      </x:c>
      <x:c r="I2060">
        <x:f t="shared" si="34"/>
        <x:v>7690</x:v>
      </x:c>
    </x:row>
    <x:row r="2061" spans="1:9" x14ac:dyDescent="0.15">
      <x:c r="A2061">
        <x:v>54102</x:v>
      </x:c>
      <x:c r="B2061">
        <x:v>2</x:v>
      </x:c>
      <x:c r="C2061">
        <x:v>20</x:v>
      </x:c>
      <x:c r="D2061">
        <x:f>ROUND($C2061*10*VLOOKUP($B2061,Sheet2!$J$5:$K$7,2,FALSE)*VLOOKUP(Sheet1!$A2061,Sheet2!$B$5:$H$29,3,FALSE),0)</x:f>
        <x:v>0</x:v>
      </x:c>
      <x:c r="E2061">
        <x:f>ROUND($C2061*10*VLOOKUP($B2061,Sheet2!$J$5:$K$7,2,FALSE)*VLOOKUP(Sheet1!$A2061,Sheet2!$B$5:$H$29,4,FALSE),0)</x:f>
        <x:v>48</x:v>
      </x:c>
      <x:c r="F2061">
        <x:f>ROUND($C2061*10*VLOOKUP($B2061,Sheet2!$J$5:$K$7,2,FALSE)*VLOOKUP(Sheet1!$A2061,Sheet2!$B$5:$H$29,5,FALSE),0)</x:f>
        <x:v>115</x:v>
      </x:c>
      <x:c r="G2061">
        <x:f>ROUND($C2061*10*VLOOKUP($B2061,Sheet2!$J$5:$K$7,2,FALSE)*VLOOKUP(Sheet1!$A2061,Sheet2!$B$5:$H$29,6,FALSE),0)</x:f>
        <x:v>0</x:v>
      </x:c>
      <x:c r="H2061">
        <x:f>ROUND($C2061*10*VLOOKUP($B2061,Sheet2!$J$5:$K$7,2,FALSE)*VLOOKUP(Sheet1!$A2061,Sheet2!$B$5:$H$29,7,FALSE),0)</x:f>
        <x:v>0</x:v>
      </x:c>
      <x:c r="I2061">
        <x:f t="shared" si="34"/>
        <x:v>8470</x:v>
      </x:c>
    </x:row>
    <x:row r="2062" spans="1:9" x14ac:dyDescent="0.15">
      <x:c r="A2062">
        <x:v>54102</x:v>
      </x:c>
      <x:c r="B2062">
        <x:v>2</x:v>
      </x:c>
      <x:c r="C2062">
        <x:v>21</x:v>
      </x:c>
      <x:c r="D2062">
        <x:f>ROUND($C2062*10*VLOOKUP($B2062,Sheet2!$J$5:$K$7,2,FALSE)*VLOOKUP(Sheet1!$A2062,Sheet2!$B$5:$H$29,3,FALSE),0)</x:f>
        <x:v>0</x:v>
      </x:c>
      <x:c r="E2062">
        <x:f>ROUND($C2062*10*VLOOKUP($B2062,Sheet2!$J$5:$K$7,2,FALSE)*VLOOKUP(Sheet1!$A2062,Sheet2!$B$5:$H$29,4,FALSE),0)</x:f>
        <x:v>50</x:v>
      </x:c>
      <x:c r="F2062">
        <x:f>ROUND($C2062*10*VLOOKUP($B2062,Sheet2!$J$5:$K$7,2,FALSE)*VLOOKUP(Sheet1!$A2062,Sheet2!$B$5:$H$29,5,FALSE),0)</x:f>
        <x:v>121</x:v>
      </x:c>
      <x:c r="G2062">
        <x:f>ROUND($C2062*10*VLOOKUP($B2062,Sheet2!$J$5:$K$7,2,FALSE)*VLOOKUP(Sheet1!$A2062,Sheet2!$B$5:$H$29,6,FALSE),0)</x:f>
        <x:v>0</x:v>
      </x:c>
      <x:c r="H2062">
        <x:f>ROUND($C2062*10*VLOOKUP($B2062,Sheet2!$J$5:$K$7,2,FALSE)*VLOOKUP(Sheet1!$A2062,Sheet2!$B$5:$H$29,7,FALSE),0)</x:f>
        <x:v>0</x:v>
      </x:c>
      <x:c r="I2062">
        <x:f t="shared" si="34"/>
        <x:v>9290</x:v>
      </x:c>
    </x:row>
    <x:row r="2063" spans="1:9" x14ac:dyDescent="0.15">
      <x:c r="A2063">
        <x:v>54102</x:v>
      </x:c>
      <x:c r="B2063">
        <x:v>2</x:v>
      </x:c>
      <x:c r="C2063">
        <x:v>22</x:v>
      </x:c>
      <x:c r="D2063">
        <x:f>ROUND($C2063*10*VLOOKUP($B2063,Sheet2!$J$5:$K$7,2,FALSE)*VLOOKUP(Sheet1!$A2063,Sheet2!$B$5:$H$29,3,FALSE),0)</x:f>
        <x:v>0</x:v>
      </x:c>
      <x:c r="E2063">
        <x:f>ROUND($C2063*10*VLOOKUP($B2063,Sheet2!$J$5:$K$7,2,FALSE)*VLOOKUP(Sheet1!$A2063,Sheet2!$B$5:$H$29,4,FALSE),0)</x:f>
        <x:v>53</x:v>
      </x:c>
      <x:c r="F2063">
        <x:f>ROUND($C2063*10*VLOOKUP($B2063,Sheet2!$J$5:$K$7,2,FALSE)*VLOOKUP(Sheet1!$A2063,Sheet2!$B$5:$H$29,5,FALSE),0)</x:f>
        <x:v>127</x:v>
      </x:c>
      <x:c r="G2063">
        <x:f>ROUND($C2063*10*VLOOKUP($B2063,Sheet2!$J$5:$K$7,2,FALSE)*VLOOKUP(Sheet1!$A2063,Sheet2!$B$5:$H$29,6,FALSE),0)</x:f>
        <x:v>0</x:v>
      </x:c>
      <x:c r="H2063">
        <x:f>ROUND($C2063*10*VLOOKUP($B2063,Sheet2!$J$5:$K$7,2,FALSE)*VLOOKUP(Sheet1!$A2063,Sheet2!$B$5:$H$29,7,FALSE),0)</x:f>
        <x:v>0</x:v>
      </x:c>
      <x:c r="I2063">
        <x:f t="shared" si="34"/>
        <x:v>10130</x:v>
      </x:c>
    </x:row>
    <x:row r="2064" spans="1:9" x14ac:dyDescent="0.15">
      <x:c r="A2064">
        <x:v>54102</x:v>
      </x:c>
      <x:c r="B2064">
        <x:v>2</x:v>
      </x:c>
      <x:c r="C2064">
        <x:v>23</x:v>
      </x:c>
      <x:c r="D2064">
        <x:f>ROUND($C2064*10*VLOOKUP($B2064,Sheet2!$J$5:$K$7,2,FALSE)*VLOOKUP(Sheet1!$A2064,Sheet2!$B$5:$H$29,3,FALSE),0)</x:f>
        <x:v>0</x:v>
      </x:c>
      <x:c r="E2064">
        <x:f>ROUND($C2064*10*VLOOKUP($B2064,Sheet2!$J$5:$K$7,2,FALSE)*VLOOKUP(Sheet1!$A2064,Sheet2!$B$5:$H$29,4,FALSE),0)</x:f>
        <x:v>55</x:v>
      </x:c>
      <x:c r="F2064">
        <x:f>ROUND($C2064*10*VLOOKUP($B2064,Sheet2!$J$5:$K$7,2,FALSE)*VLOOKUP(Sheet1!$A2064,Sheet2!$B$5:$H$29,5,FALSE),0)</x:f>
        <x:v>132</x:v>
      </x:c>
      <x:c r="G2064">
        <x:f>ROUND($C2064*10*VLOOKUP($B2064,Sheet2!$J$5:$K$7,2,FALSE)*VLOOKUP(Sheet1!$A2064,Sheet2!$B$5:$H$29,6,FALSE),0)</x:f>
        <x:v>0</x:v>
      </x:c>
      <x:c r="H2064">
        <x:f>ROUND($C2064*10*VLOOKUP($B2064,Sheet2!$J$5:$K$7,2,FALSE)*VLOOKUP(Sheet1!$A2064,Sheet2!$B$5:$H$29,7,FALSE),0)</x:f>
        <x:v>0</x:v>
      </x:c>
      <x:c r="I2064">
        <x:f t="shared" si="34"/>
        <x:v>11010</x:v>
      </x:c>
    </x:row>
    <x:row r="2065" spans="1:9" x14ac:dyDescent="0.15">
      <x:c r="A2065">
        <x:v>54102</x:v>
      </x:c>
      <x:c r="B2065">
        <x:v>2</x:v>
      </x:c>
      <x:c r="C2065">
        <x:v>24</x:v>
      </x:c>
      <x:c r="D2065">
        <x:f>ROUND($C2065*10*VLOOKUP($B2065,Sheet2!$J$5:$K$7,2,FALSE)*VLOOKUP(Sheet1!$A2065,Sheet2!$B$5:$H$29,3,FALSE),0)</x:f>
        <x:v>0</x:v>
      </x:c>
      <x:c r="E2065">
        <x:f>ROUND($C2065*10*VLOOKUP($B2065,Sheet2!$J$5:$K$7,2,FALSE)*VLOOKUP(Sheet1!$A2065,Sheet2!$B$5:$H$29,4,FALSE),0)</x:f>
        <x:v>58</x:v>
      </x:c>
      <x:c r="F2065">
        <x:f>ROUND($C2065*10*VLOOKUP($B2065,Sheet2!$J$5:$K$7,2,FALSE)*VLOOKUP(Sheet1!$A2065,Sheet2!$B$5:$H$29,5,FALSE),0)</x:f>
        <x:v>138</x:v>
      </x:c>
      <x:c r="G2065">
        <x:f>ROUND($C2065*10*VLOOKUP($B2065,Sheet2!$J$5:$K$7,2,FALSE)*VLOOKUP(Sheet1!$A2065,Sheet2!$B$5:$H$29,6,FALSE),0)</x:f>
        <x:v>0</x:v>
      </x:c>
      <x:c r="H2065">
        <x:f>ROUND($C2065*10*VLOOKUP($B2065,Sheet2!$J$5:$K$7,2,FALSE)*VLOOKUP(Sheet1!$A2065,Sheet2!$B$5:$H$29,7,FALSE),0)</x:f>
        <x:v>0</x:v>
      </x:c>
      <x:c r="I2065">
        <x:f t="shared" si="34"/>
        <x:v>11930</x:v>
      </x:c>
    </x:row>
    <x:row r="2066" spans="1:9" x14ac:dyDescent="0.15">
      <x:c r="A2066">
        <x:v>54102</x:v>
      </x:c>
      <x:c r="B2066">
        <x:v>2</x:v>
      </x:c>
      <x:c r="C2066">
        <x:v>25</x:v>
      </x:c>
      <x:c r="D2066">
        <x:f>ROUND($C2066*10*VLOOKUP($B2066,Sheet2!$J$5:$K$7,2,FALSE)*VLOOKUP(Sheet1!$A2066,Sheet2!$B$5:$H$29,3,FALSE),0)</x:f>
        <x:v>0</x:v>
      </x:c>
      <x:c r="E2066">
        <x:f>ROUND($C2066*10*VLOOKUP($B2066,Sheet2!$J$5:$K$7,2,FALSE)*VLOOKUP(Sheet1!$A2066,Sheet2!$B$5:$H$29,4,FALSE),0)</x:f>
        <x:v>60</x:v>
      </x:c>
      <x:c r="F2066">
        <x:f>ROUND($C2066*10*VLOOKUP($B2066,Sheet2!$J$5:$K$7,2,FALSE)*VLOOKUP(Sheet1!$A2066,Sheet2!$B$5:$H$29,5,FALSE),0)</x:f>
        <x:v>144</x:v>
      </x:c>
      <x:c r="G2066">
        <x:f>ROUND($C2066*10*VLOOKUP($B2066,Sheet2!$J$5:$K$7,2,FALSE)*VLOOKUP(Sheet1!$A2066,Sheet2!$B$5:$H$29,6,FALSE),0)</x:f>
        <x:v>0</x:v>
      </x:c>
      <x:c r="H2066">
        <x:f>ROUND($C2066*10*VLOOKUP($B2066,Sheet2!$J$5:$K$7,2,FALSE)*VLOOKUP(Sheet1!$A2066,Sheet2!$B$5:$H$29,7,FALSE),0)</x:f>
        <x:v>0</x:v>
      </x:c>
      <x:c r="I2066">
        <x:f t="shared" si="34"/>
        <x:v>12870</x:v>
      </x:c>
    </x:row>
    <x:row r="2067" spans="1:9" x14ac:dyDescent="0.15">
      <x:c r="A2067">
        <x:v>54102</x:v>
      </x:c>
      <x:c r="B2067">
        <x:v>2</x:v>
      </x:c>
      <x:c r="C2067">
        <x:v>26</x:v>
      </x:c>
      <x:c r="D2067">
        <x:f>ROUND($C2067*10*VLOOKUP($B2067,Sheet2!$J$5:$K$7,2,FALSE)*VLOOKUP(Sheet1!$A2067,Sheet2!$B$5:$H$29,3,FALSE),0)</x:f>
        <x:v>0</x:v>
      </x:c>
      <x:c r="E2067">
        <x:f>ROUND($C2067*10*VLOOKUP($B2067,Sheet2!$J$5:$K$7,2,FALSE)*VLOOKUP(Sheet1!$A2067,Sheet2!$B$5:$H$29,4,FALSE),0)</x:f>
        <x:v>62</x:v>
      </x:c>
      <x:c r="F2067">
        <x:f>ROUND($C2067*10*VLOOKUP($B2067,Sheet2!$J$5:$K$7,2,FALSE)*VLOOKUP(Sheet1!$A2067,Sheet2!$B$5:$H$29,5,FALSE),0)</x:f>
        <x:v>150</x:v>
      </x:c>
      <x:c r="G2067">
        <x:f>ROUND($C2067*10*VLOOKUP($B2067,Sheet2!$J$5:$K$7,2,FALSE)*VLOOKUP(Sheet1!$A2067,Sheet2!$B$5:$H$29,6,FALSE),0)</x:f>
        <x:v>0</x:v>
      </x:c>
      <x:c r="H2067">
        <x:f>ROUND($C2067*10*VLOOKUP($B2067,Sheet2!$J$5:$K$7,2,FALSE)*VLOOKUP(Sheet1!$A2067,Sheet2!$B$5:$H$29,7,FALSE),0)</x:f>
        <x:v>0</x:v>
      </x:c>
      <x:c r="I2067">
        <x:f t="shared" si="34"/>
        <x:v>13850</x:v>
      </x:c>
    </x:row>
    <x:row r="2068" spans="1:9" x14ac:dyDescent="0.15">
      <x:c r="A2068">
        <x:v>54102</x:v>
      </x:c>
      <x:c r="B2068">
        <x:v>2</x:v>
      </x:c>
      <x:c r="C2068">
        <x:v>27</x:v>
      </x:c>
      <x:c r="D2068">
        <x:f>ROUND($C2068*10*VLOOKUP($B2068,Sheet2!$J$5:$K$7,2,FALSE)*VLOOKUP(Sheet1!$A2068,Sheet2!$B$5:$H$29,3,FALSE),0)</x:f>
        <x:v>0</x:v>
      </x:c>
      <x:c r="E2068">
        <x:f>ROUND($C2068*10*VLOOKUP($B2068,Sheet2!$J$5:$K$7,2,FALSE)*VLOOKUP(Sheet1!$A2068,Sheet2!$B$5:$H$29,4,FALSE),0)</x:f>
        <x:v>65</x:v>
      </x:c>
      <x:c r="F2068">
        <x:f>ROUND($C2068*10*VLOOKUP($B2068,Sheet2!$J$5:$K$7,2,FALSE)*VLOOKUP(Sheet1!$A2068,Sheet2!$B$5:$H$29,5,FALSE),0)</x:f>
        <x:v>156</x:v>
      </x:c>
      <x:c r="G2068">
        <x:f>ROUND($C2068*10*VLOOKUP($B2068,Sheet2!$J$5:$K$7,2,FALSE)*VLOOKUP(Sheet1!$A2068,Sheet2!$B$5:$H$29,6,FALSE),0)</x:f>
        <x:v>0</x:v>
      </x:c>
      <x:c r="H2068">
        <x:f>ROUND($C2068*10*VLOOKUP($B2068,Sheet2!$J$5:$K$7,2,FALSE)*VLOOKUP(Sheet1!$A2068,Sheet2!$B$5:$H$29,7,FALSE),0)</x:f>
        <x:v>0</x:v>
      </x:c>
      <x:c r="I2068">
        <x:f t="shared" si="34"/>
        <x:v>14860</x:v>
      </x:c>
    </x:row>
    <x:row r="2069" spans="1:9" x14ac:dyDescent="0.15">
      <x:c r="A2069">
        <x:v>54102</x:v>
      </x:c>
      <x:c r="B2069">
        <x:v>2</x:v>
      </x:c>
      <x:c r="C2069">
        <x:v>28</x:v>
      </x:c>
      <x:c r="D2069">
        <x:f>ROUND($C2069*10*VLOOKUP($B2069,Sheet2!$J$5:$K$7,2,FALSE)*VLOOKUP(Sheet1!$A2069,Sheet2!$B$5:$H$29,3,FALSE),0)</x:f>
        <x:v>0</x:v>
      </x:c>
      <x:c r="E2069">
        <x:f>ROUND($C2069*10*VLOOKUP($B2069,Sheet2!$J$5:$K$7,2,FALSE)*VLOOKUP(Sheet1!$A2069,Sheet2!$B$5:$H$29,4,FALSE),0)</x:f>
        <x:v>67</x:v>
      </x:c>
      <x:c r="F2069">
        <x:f>ROUND($C2069*10*VLOOKUP($B2069,Sheet2!$J$5:$K$7,2,FALSE)*VLOOKUP(Sheet1!$A2069,Sheet2!$B$5:$H$29,5,FALSE),0)</x:f>
        <x:v>161</x:v>
      </x:c>
      <x:c r="G2069">
        <x:f>ROUND($C2069*10*VLOOKUP($B2069,Sheet2!$J$5:$K$7,2,FALSE)*VLOOKUP(Sheet1!$A2069,Sheet2!$B$5:$H$29,6,FALSE),0)</x:f>
        <x:v>0</x:v>
      </x:c>
      <x:c r="H2069">
        <x:f>ROUND($C2069*10*VLOOKUP($B2069,Sheet2!$J$5:$K$7,2,FALSE)*VLOOKUP(Sheet1!$A2069,Sheet2!$B$5:$H$29,7,FALSE),0)</x:f>
        <x:v>0</x:v>
      </x:c>
      <x:c r="I2069">
        <x:f t="shared" si="34"/>
        <x:v>15900</x:v>
      </x:c>
    </x:row>
    <x:row r="2070" spans="1:9" x14ac:dyDescent="0.15">
      <x:c r="A2070">
        <x:v>54102</x:v>
      </x:c>
      <x:c r="B2070">
        <x:v>2</x:v>
      </x:c>
      <x:c r="C2070">
        <x:v>29</x:v>
      </x:c>
      <x:c r="D2070">
        <x:f>ROUND($C2070*10*VLOOKUP($B2070,Sheet2!$J$5:$K$7,2,FALSE)*VLOOKUP(Sheet1!$A2070,Sheet2!$B$5:$H$29,3,FALSE),0)</x:f>
        <x:v>0</x:v>
      </x:c>
      <x:c r="E2070">
        <x:f>ROUND($C2070*10*VLOOKUP($B2070,Sheet2!$J$5:$K$7,2,FALSE)*VLOOKUP(Sheet1!$A2070,Sheet2!$B$5:$H$29,4,FALSE),0)</x:f>
        <x:v>70</x:v>
      </x:c>
      <x:c r="F2070">
        <x:f>ROUND($C2070*10*VLOOKUP($B2070,Sheet2!$J$5:$K$7,2,FALSE)*VLOOKUP(Sheet1!$A2070,Sheet2!$B$5:$H$29,5,FALSE),0)</x:f>
        <x:v>167</x:v>
      </x:c>
      <x:c r="G2070">
        <x:f>ROUND($C2070*10*VLOOKUP($B2070,Sheet2!$J$5:$K$7,2,FALSE)*VLOOKUP(Sheet1!$A2070,Sheet2!$B$5:$H$29,6,FALSE),0)</x:f>
        <x:v>0</x:v>
      </x:c>
      <x:c r="H2070">
        <x:f>ROUND($C2070*10*VLOOKUP($B2070,Sheet2!$J$5:$K$7,2,FALSE)*VLOOKUP(Sheet1!$A2070,Sheet2!$B$5:$H$29,7,FALSE),0)</x:f>
        <x:v>0</x:v>
      </x:c>
      <x:c r="I2070">
        <x:f t="shared" si="34"/>
        <x:v>16970</x:v>
      </x:c>
    </x:row>
    <x:row r="2071" spans="1:9" x14ac:dyDescent="0.15">
      <x:c r="A2071">
        <x:v>54102</x:v>
      </x:c>
      <x:c r="B2071">
        <x:v>2</x:v>
      </x:c>
      <x:c r="C2071">
        <x:v>30</x:v>
      </x:c>
      <x:c r="D2071">
        <x:f>ROUND($C2071*10*VLOOKUP($B2071,Sheet2!$J$5:$K$7,2,FALSE)*VLOOKUP(Sheet1!$A2071,Sheet2!$B$5:$H$29,3,FALSE),0)</x:f>
        <x:v>0</x:v>
      </x:c>
      <x:c r="E2071">
        <x:f>ROUND($C2071*10*VLOOKUP($B2071,Sheet2!$J$5:$K$7,2,FALSE)*VLOOKUP(Sheet1!$A2071,Sheet2!$B$5:$H$29,4,FALSE),0)</x:f>
        <x:v>72</x:v>
      </x:c>
      <x:c r="F2071">
        <x:f>ROUND($C2071*10*VLOOKUP($B2071,Sheet2!$J$5:$K$7,2,FALSE)*VLOOKUP(Sheet1!$A2071,Sheet2!$B$5:$H$29,5,FALSE),0)</x:f>
        <x:v>173</x:v>
      </x:c>
      <x:c r="G2071">
        <x:f>ROUND($C2071*10*VLOOKUP($B2071,Sheet2!$J$5:$K$7,2,FALSE)*VLOOKUP(Sheet1!$A2071,Sheet2!$B$5:$H$29,6,FALSE),0)</x:f>
        <x:v>0</x:v>
      </x:c>
      <x:c r="H2071">
        <x:f>ROUND($C2071*10*VLOOKUP($B2071,Sheet2!$J$5:$K$7,2,FALSE)*VLOOKUP(Sheet1!$A2071,Sheet2!$B$5:$H$29,7,FALSE),0)</x:f>
        <x:v>0</x:v>
      </x:c>
      <x:c r="I2071">
        <x:f t="shared" si="34"/>
        <x:v>18070</x:v>
      </x:c>
    </x:row>
    <x:row r="2072" spans="1:9" x14ac:dyDescent="0.15">
      <x:c r="A2072">
        <x:v>54102</x:v>
      </x:c>
      <x:c r="B2072">
        <x:v>2</x:v>
      </x:c>
      <x:c r="C2072">
        <x:v>31</x:v>
      </x:c>
      <x:c r="D2072">
        <x:f>ROUND($C2072*10*VLOOKUP($B2072,Sheet2!$J$5:$K$7,2,FALSE)*VLOOKUP(Sheet1!$A2072,Sheet2!$B$5:$H$29,3,FALSE),0)</x:f>
        <x:v>0</x:v>
      </x:c>
      <x:c r="E2072">
        <x:f>ROUND($C2072*10*VLOOKUP($B2072,Sheet2!$J$5:$K$7,2,FALSE)*VLOOKUP(Sheet1!$A2072,Sheet2!$B$5:$H$29,4,FALSE),0)</x:f>
        <x:v>74</x:v>
      </x:c>
      <x:c r="F2072">
        <x:f>ROUND($C2072*10*VLOOKUP($B2072,Sheet2!$J$5:$K$7,2,FALSE)*VLOOKUP(Sheet1!$A2072,Sheet2!$B$5:$H$29,5,FALSE),0)</x:f>
        <x:v>179</x:v>
      </x:c>
      <x:c r="G2072">
        <x:f>ROUND($C2072*10*VLOOKUP($B2072,Sheet2!$J$5:$K$7,2,FALSE)*VLOOKUP(Sheet1!$A2072,Sheet2!$B$5:$H$29,6,FALSE),0)</x:f>
        <x:v>0</x:v>
      </x:c>
      <x:c r="H2072">
        <x:f>ROUND($C2072*10*VLOOKUP($B2072,Sheet2!$J$5:$K$7,2,FALSE)*VLOOKUP(Sheet1!$A2072,Sheet2!$B$5:$H$29,7,FALSE),0)</x:f>
        <x:v>0</x:v>
      </x:c>
      <x:c r="I2072">
        <x:f t="shared" si="34"/>
        <x:v>19210</x:v>
      </x:c>
    </x:row>
    <x:row r="2073" spans="1:9" x14ac:dyDescent="0.15">
      <x:c r="A2073">
        <x:v>54102</x:v>
      </x:c>
      <x:c r="B2073">
        <x:v>2</x:v>
      </x:c>
      <x:c r="C2073">
        <x:v>32</x:v>
      </x:c>
      <x:c r="D2073">
        <x:f>ROUND($C2073*10*VLOOKUP($B2073,Sheet2!$J$5:$K$7,2,FALSE)*VLOOKUP(Sheet1!$A2073,Sheet2!$B$5:$H$29,3,FALSE),0)</x:f>
        <x:v>0</x:v>
      </x:c>
      <x:c r="E2073">
        <x:f>ROUND($C2073*10*VLOOKUP($B2073,Sheet2!$J$5:$K$7,2,FALSE)*VLOOKUP(Sheet1!$A2073,Sheet2!$B$5:$H$29,4,FALSE),0)</x:f>
        <x:v>77</x:v>
      </x:c>
      <x:c r="F2073">
        <x:f>ROUND($C2073*10*VLOOKUP($B2073,Sheet2!$J$5:$K$7,2,FALSE)*VLOOKUP(Sheet1!$A2073,Sheet2!$B$5:$H$29,5,FALSE),0)</x:f>
        <x:v>184</x:v>
      </x:c>
      <x:c r="G2073">
        <x:f>ROUND($C2073*10*VLOOKUP($B2073,Sheet2!$J$5:$K$7,2,FALSE)*VLOOKUP(Sheet1!$A2073,Sheet2!$B$5:$H$29,6,FALSE),0)</x:f>
        <x:v>0</x:v>
      </x:c>
      <x:c r="H2073">
        <x:f>ROUND($C2073*10*VLOOKUP($B2073,Sheet2!$J$5:$K$7,2,FALSE)*VLOOKUP(Sheet1!$A2073,Sheet2!$B$5:$H$29,7,FALSE),0)</x:f>
        <x:v>0</x:v>
      </x:c>
      <x:c r="I2073">
        <x:f t="shared" si="34"/>
        <x:v>20370</x:v>
      </x:c>
    </x:row>
    <x:row r="2074" spans="1:9" x14ac:dyDescent="0.15">
      <x:c r="A2074">
        <x:v>54102</x:v>
      </x:c>
      <x:c r="B2074">
        <x:v>2</x:v>
      </x:c>
      <x:c r="C2074">
        <x:v>33</x:v>
      </x:c>
      <x:c r="D2074">
        <x:f>ROUND($C2074*10*VLOOKUP($B2074,Sheet2!$J$5:$K$7,2,FALSE)*VLOOKUP(Sheet1!$A2074,Sheet2!$B$5:$H$29,3,FALSE),0)</x:f>
        <x:v>0</x:v>
      </x:c>
      <x:c r="E2074">
        <x:f>ROUND($C2074*10*VLOOKUP($B2074,Sheet2!$J$5:$K$7,2,FALSE)*VLOOKUP(Sheet1!$A2074,Sheet2!$B$5:$H$29,4,FALSE),0)</x:f>
        <x:v>79</x:v>
      </x:c>
      <x:c r="F2074">
        <x:f>ROUND($C2074*10*VLOOKUP($B2074,Sheet2!$J$5:$K$7,2,FALSE)*VLOOKUP(Sheet1!$A2074,Sheet2!$B$5:$H$29,5,FALSE),0)</x:f>
        <x:v>190</x:v>
      </x:c>
      <x:c r="G2074">
        <x:f>ROUND($C2074*10*VLOOKUP($B2074,Sheet2!$J$5:$K$7,2,FALSE)*VLOOKUP(Sheet1!$A2074,Sheet2!$B$5:$H$29,6,FALSE),0)</x:f>
        <x:v>0</x:v>
      </x:c>
      <x:c r="H2074">
        <x:f>ROUND($C2074*10*VLOOKUP($B2074,Sheet2!$J$5:$K$7,2,FALSE)*VLOOKUP(Sheet1!$A2074,Sheet2!$B$5:$H$29,7,FALSE),0)</x:f>
        <x:v>0</x:v>
      </x:c>
      <x:c r="I2074">
        <x:f t="shared" si="34"/>
        <x:v>21560</x:v>
      </x:c>
    </x:row>
    <x:row r="2075" spans="1:9" x14ac:dyDescent="0.15">
      <x:c r="A2075">
        <x:v>54102</x:v>
      </x:c>
      <x:c r="B2075">
        <x:v>2</x:v>
      </x:c>
      <x:c r="C2075">
        <x:v>34</x:v>
      </x:c>
      <x:c r="D2075">
        <x:f>ROUND($C2075*10*VLOOKUP($B2075,Sheet2!$J$5:$K$7,2,FALSE)*VLOOKUP(Sheet1!$A2075,Sheet2!$B$5:$H$29,3,FALSE),0)</x:f>
        <x:v>0</x:v>
      </x:c>
      <x:c r="E2075">
        <x:f>ROUND($C2075*10*VLOOKUP($B2075,Sheet2!$J$5:$K$7,2,FALSE)*VLOOKUP(Sheet1!$A2075,Sheet2!$B$5:$H$29,4,FALSE),0)</x:f>
        <x:v>82</x:v>
      </x:c>
      <x:c r="F2075">
        <x:f>ROUND($C2075*10*VLOOKUP($B2075,Sheet2!$J$5:$K$7,2,FALSE)*VLOOKUP(Sheet1!$A2075,Sheet2!$B$5:$H$29,5,FALSE),0)</x:f>
        <x:v>196</x:v>
      </x:c>
      <x:c r="G2075">
        <x:f>ROUND($C2075*10*VLOOKUP($B2075,Sheet2!$J$5:$K$7,2,FALSE)*VLOOKUP(Sheet1!$A2075,Sheet2!$B$5:$H$29,6,FALSE),0)</x:f>
        <x:v>0</x:v>
      </x:c>
      <x:c r="H2075">
        <x:f>ROUND($C2075*10*VLOOKUP($B2075,Sheet2!$J$5:$K$7,2,FALSE)*VLOOKUP(Sheet1!$A2075,Sheet2!$B$5:$H$29,7,FALSE),0)</x:f>
        <x:v>0</x:v>
      </x:c>
      <x:c r="I2075">
        <x:f t="shared" si="34"/>
        <x:v>22790</x:v>
      </x:c>
    </x:row>
    <x:row r="2076" spans="1:9" x14ac:dyDescent="0.15">
      <x:c r="A2076">
        <x:v>54102</x:v>
      </x:c>
      <x:c r="B2076">
        <x:v>2</x:v>
      </x:c>
      <x:c r="C2076">
        <x:v>35</x:v>
      </x:c>
      <x:c r="D2076">
        <x:f>ROUND($C2076*10*VLOOKUP($B2076,Sheet2!$J$5:$K$7,2,FALSE)*VLOOKUP(Sheet1!$A2076,Sheet2!$B$5:$H$29,3,FALSE),0)</x:f>
        <x:v>0</x:v>
      </x:c>
      <x:c r="E2076">
        <x:f>ROUND($C2076*10*VLOOKUP($B2076,Sheet2!$J$5:$K$7,2,FALSE)*VLOOKUP(Sheet1!$A2076,Sheet2!$B$5:$H$29,4,FALSE),0)</x:f>
        <x:v>84</x:v>
      </x:c>
      <x:c r="F2076">
        <x:f>ROUND($C2076*10*VLOOKUP($B2076,Sheet2!$J$5:$K$7,2,FALSE)*VLOOKUP(Sheet1!$A2076,Sheet2!$B$5:$H$29,5,FALSE),0)</x:f>
        <x:v>202</x:v>
      </x:c>
      <x:c r="G2076">
        <x:f>ROUND($C2076*10*VLOOKUP($B2076,Sheet2!$J$5:$K$7,2,FALSE)*VLOOKUP(Sheet1!$A2076,Sheet2!$B$5:$H$29,6,FALSE),0)</x:f>
        <x:v>0</x:v>
      </x:c>
      <x:c r="H2076">
        <x:f>ROUND($C2076*10*VLOOKUP($B2076,Sheet2!$J$5:$K$7,2,FALSE)*VLOOKUP(Sheet1!$A2076,Sheet2!$B$5:$H$29,7,FALSE),0)</x:f>
        <x:v>0</x:v>
      </x:c>
      <x:c r="I2076">
        <x:f t="shared" si="34"/>
        <x:v>24040</x:v>
      </x:c>
    </x:row>
    <x:row r="2077" spans="1:9" x14ac:dyDescent="0.15">
      <x:c r="A2077">
        <x:v>54102</x:v>
      </x:c>
      <x:c r="B2077">
        <x:v>2</x:v>
      </x:c>
      <x:c r="C2077">
        <x:v>36</x:v>
      </x:c>
      <x:c r="D2077">
        <x:f>ROUND($C2077*10*VLOOKUP($B2077,Sheet2!$J$5:$K$7,2,FALSE)*VLOOKUP(Sheet1!$A2077,Sheet2!$B$5:$H$29,3,FALSE),0)</x:f>
        <x:v>0</x:v>
      </x:c>
      <x:c r="E2077">
        <x:f>ROUND($C2077*10*VLOOKUP($B2077,Sheet2!$J$5:$K$7,2,FALSE)*VLOOKUP(Sheet1!$A2077,Sheet2!$B$5:$H$29,4,FALSE),0)</x:f>
        <x:v>86</x:v>
      </x:c>
      <x:c r="F2077">
        <x:f>ROUND($C2077*10*VLOOKUP($B2077,Sheet2!$J$5:$K$7,2,FALSE)*VLOOKUP(Sheet1!$A2077,Sheet2!$B$5:$H$29,5,FALSE),0)</x:f>
        <x:v>207</x:v>
      </x:c>
      <x:c r="G2077">
        <x:f>ROUND($C2077*10*VLOOKUP($B2077,Sheet2!$J$5:$K$7,2,FALSE)*VLOOKUP(Sheet1!$A2077,Sheet2!$B$5:$H$29,6,FALSE),0)</x:f>
        <x:v>0</x:v>
      </x:c>
      <x:c r="H2077">
        <x:f>ROUND($C2077*10*VLOOKUP($B2077,Sheet2!$J$5:$K$7,2,FALSE)*VLOOKUP(Sheet1!$A2077,Sheet2!$B$5:$H$29,7,FALSE),0)</x:f>
        <x:v>0</x:v>
      </x:c>
      <x:c r="I2077">
        <x:f t="shared" si="34"/>
        <x:v>25330</x:v>
      </x:c>
    </x:row>
    <x:row r="2078" spans="1:9" x14ac:dyDescent="0.15">
      <x:c r="A2078">
        <x:v>54102</x:v>
      </x:c>
      <x:c r="B2078">
        <x:v>2</x:v>
      </x:c>
      <x:c r="C2078">
        <x:v>37</x:v>
      </x:c>
      <x:c r="D2078">
        <x:f>ROUND($C2078*10*VLOOKUP($B2078,Sheet2!$J$5:$K$7,2,FALSE)*VLOOKUP(Sheet1!$A2078,Sheet2!$B$5:$H$29,3,FALSE),0)</x:f>
        <x:v>0</x:v>
      </x:c>
      <x:c r="E2078">
        <x:f>ROUND($C2078*10*VLOOKUP($B2078,Sheet2!$J$5:$K$7,2,FALSE)*VLOOKUP(Sheet1!$A2078,Sheet2!$B$5:$H$29,4,FALSE),0)</x:f>
        <x:v>89</x:v>
      </x:c>
      <x:c r="F2078">
        <x:f>ROUND($C2078*10*VLOOKUP($B2078,Sheet2!$J$5:$K$7,2,FALSE)*VLOOKUP(Sheet1!$A2078,Sheet2!$B$5:$H$29,5,FALSE),0)</x:f>
        <x:v>213</x:v>
      </x:c>
      <x:c r="G2078">
        <x:f>ROUND($C2078*10*VLOOKUP($B2078,Sheet2!$J$5:$K$7,2,FALSE)*VLOOKUP(Sheet1!$A2078,Sheet2!$B$5:$H$29,6,FALSE),0)</x:f>
        <x:v>0</x:v>
      </x:c>
      <x:c r="H2078">
        <x:f>ROUND($C2078*10*VLOOKUP($B2078,Sheet2!$J$5:$K$7,2,FALSE)*VLOOKUP(Sheet1!$A2078,Sheet2!$B$5:$H$29,7,FALSE),0)</x:f>
        <x:v>0</x:v>
      </x:c>
      <x:c r="I2078">
        <x:f t="shared" si="34"/>
        <x:v>26640</x:v>
      </x:c>
    </x:row>
    <x:row r="2079" spans="1:9" x14ac:dyDescent="0.15">
      <x:c r="A2079">
        <x:v>54102</x:v>
      </x:c>
      <x:c r="B2079">
        <x:v>2</x:v>
      </x:c>
      <x:c r="C2079">
        <x:v>38</x:v>
      </x:c>
      <x:c r="D2079">
        <x:f>ROUND($C2079*10*VLOOKUP($B2079,Sheet2!$J$5:$K$7,2,FALSE)*VLOOKUP(Sheet1!$A2079,Sheet2!$B$5:$H$29,3,FALSE),0)</x:f>
        <x:v>0</x:v>
      </x:c>
      <x:c r="E2079">
        <x:f>ROUND($C2079*10*VLOOKUP($B2079,Sheet2!$J$5:$K$7,2,FALSE)*VLOOKUP(Sheet1!$A2079,Sheet2!$B$5:$H$29,4,FALSE),0)</x:f>
        <x:v>91</x:v>
      </x:c>
      <x:c r="F2079">
        <x:f>ROUND($C2079*10*VLOOKUP($B2079,Sheet2!$J$5:$K$7,2,FALSE)*VLOOKUP(Sheet1!$A2079,Sheet2!$B$5:$H$29,5,FALSE),0)</x:f>
        <x:v>219</x:v>
      </x:c>
      <x:c r="G2079">
        <x:f>ROUND($C2079*10*VLOOKUP($B2079,Sheet2!$J$5:$K$7,2,FALSE)*VLOOKUP(Sheet1!$A2079,Sheet2!$B$5:$H$29,6,FALSE),0)</x:f>
        <x:v>0</x:v>
      </x:c>
      <x:c r="H2079">
        <x:f>ROUND($C2079*10*VLOOKUP($B2079,Sheet2!$J$5:$K$7,2,FALSE)*VLOOKUP(Sheet1!$A2079,Sheet2!$B$5:$H$29,7,FALSE),0)</x:f>
        <x:v>0</x:v>
      </x:c>
      <x:c r="I2079">
        <x:f t="shared" si="34"/>
        <x:v>27990</x:v>
      </x:c>
    </x:row>
    <x:row r="2080" spans="1:9" x14ac:dyDescent="0.15">
      <x:c r="A2080">
        <x:v>54102</x:v>
      </x:c>
      <x:c r="B2080">
        <x:v>2</x:v>
      </x:c>
      <x:c r="C2080">
        <x:v>39</x:v>
      </x:c>
      <x:c r="D2080">
        <x:f>ROUND($C2080*10*VLOOKUP($B2080,Sheet2!$J$5:$K$7,2,FALSE)*VLOOKUP(Sheet1!$A2080,Sheet2!$B$5:$H$29,3,FALSE),0)</x:f>
        <x:v>0</x:v>
      </x:c>
      <x:c r="E2080">
        <x:f>ROUND($C2080*10*VLOOKUP($B2080,Sheet2!$J$5:$K$7,2,FALSE)*VLOOKUP(Sheet1!$A2080,Sheet2!$B$5:$H$29,4,FALSE),0)</x:f>
        <x:v>94</x:v>
      </x:c>
      <x:c r="F2080">
        <x:f>ROUND($C2080*10*VLOOKUP($B2080,Sheet2!$J$5:$K$7,2,FALSE)*VLOOKUP(Sheet1!$A2080,Sheet2!$B$5:$H$29,5,FALSE),0)</x:f>
        <x:v>225</x:v>
      </x:c>
      <x:c r="G2080">
        <x:f>ROUND($C2080*10*VLOOKUP($B2080,Sheet2!$J$5:$K$7,2,FALSE)*VLOOKUP(Sheet1!$A2080,Sheet2!$B$5:$H$29,6,FALSE),0)</x:f>
        <x:v>0</x:v>
      </x:c>
      <x:c r="H2080">
        <x:f>ROUND($C2080*10*VLOOKUP($B2080,Sheet2!$J$5:$K$7,2,FALSE)*VLOOKUP(Sheet1!$A2080,Sheet2!$B$5:$H$29,7,FALSE),0)</x:f>
        <x:v>0</x:v>
      </x:c>
      <x:c r="I2080">
        <x:f t="shared" si="34"/>
        <x:v>29360</x:v>
      </x:c>
    </x:row>
    <x:row r="2081" spans="1:9" x14ac:dyDescent="0.15">
      <x:c r="A2081">
        <x:v>54102</x:v>
      </x:c>
      <x:c r="B2081">
        <x:v>2</x:v>
      </x:c>
      <x:c r="C2081">
        <x:v>40</x:v>
      </x:c>
      <x:c r="D2081">
        <x:f>ROUND($C2081*10*VLOOKUP($B2081,Sheet2!$J$5:$K$7,2,FALSE)*VLOOKUP(Sheet1!$A2081,Sheet2!$B$5:$H$29,3,FALSE),0)</x:f>
        <x:v>0</x:v>
      </x:c>
      <x:c r="E2081">
        <x:f>ROUND($C2081*10*VLOOKUP($B2081,Sheet2!$J$5:$K$7,2,FALSE)*VLOOKUP(Sheet1!$A2081,Sheet2!$B$5:$H$29,4,FALSE),0)</x:f>
        <x:v>96</x:v>
      </x:c>
      <x:c r="F2081">
        <x:f>ROUND($C2081*10*VLOOKUP($B2081,Sheet2!$J$5:$K$7,2,FALSE)*VLOOKUP(Sheet1!$A2081,Sheet2!$B$5:$H$29,5,FALSE),0)</x:f>
        <x:v>230</x:v>
      </x:c>
      <x:c r="G2081">
        <x:f>ROUND($C2081*10*VLOOKUP($B2081,Sheet2!$J$5:$K$7,2,FALSE)*VLOOKUP(Sheet1!$A2081,Sheet2!$B$5:$H$29,6,FALSE),0)</x:f>
        <x:v>0</x:v>
      </x:c>
      <x:c r="H2081">
        <x:f>ROUND($C2081*10*VLOOKUP($B2081,Sheet2!$J$5:$K$7,2,FALSE)*VLOOKUP(Sheet1!$A2081,Sheet2!$B$5:$H$29,7,FALSE),0)</x:f>
        <x:v>0</x:v>
      </x:c>
      <x:c r="I2081">
        <x:f t="shared" si="34"/>
        <x:v>30760</x:v>
      </x:c>
    </x:row>
    <x:row r="2082" spans="1:9" x14ac:dyDescent="0.15">
      <x:c r="A2082">
        <x:v>54102</x:v>
      </x:c>
      <x:c r="B2082">
        <x:v>2</x:v>
      </x:c>
      <x:c r="C2082">
        <x:v>41</x:v>
      </x:c>
      <x:c r="D2082">
        <x:f>ROUND($C2082*10*VLOOKUP($B2082,Sheet2!$J$5:$K$7,2,FALSE)*VLOOKUP(Sheet1!$A2082,Sheet2!$B$5:$H$29,3,FALSE),0)</x:f>
        <x:v>0</x:v>
      </x:c>
      <x:c r="E2082">
        <x:f>ROUND($C2082*10*VLOOKUP($B2082,Sheet2!$J$5:$K$7,2,FALSE)*VLOOKUP(Sheet1!$A2082,Sheet2!$B$5:$H$29,4,FALSE),0)</x:f>
        <x:v>98</x:v>
      </x:c>
      <x:c r="F2082">
        <x:f>ROUND($C2082*10*VLOOKUP($B2082,Sheet2!$J$5:$K$7,2,FALSE)*VLOOKUP(Sheet1!$A2082,Sheet2!$B$5:$H$29,5,FALSE),0)</x:f>
        <x:v>236</x:v>
      </x:c>
      <x:c r="G2082">
        <x:f>ROUND($C2082*10*VLOOKUP($B2082,Sheet2!$J$5:$K$7,2,FALSE)*VLOOKUP(Sheet1!$A2082,Sheet2!$B$5:$H$29,6,FALSE),0)</x:f>
        <x:v>0</x:v>
      </x:c>
      <x:c r="H2082">
        <x:f>ROUND($C2082*10*VLOOKUP($B2082,Sheet2!$J$5:$K$7,2,FALSE)*VLOOKUP(Sheet1!$A2082,Sheet2!$B$5:$H$29,7,FALSE),0)</x:f>
        <x:v>0</x:v>
      </x:c>
      <x:c r="I2082">
        <x:f t="shared" si="34"/>
        <x:v>32190</x:v>
      </x:c>
    </x:row>
    <x:row r="2083" spans="1:9" x14ac:dyDescent="0.15">
      <x:c r="A2083">
        <x:v>54102</x:v>
      </x:c>
      <x:c r="B2083">
        <x:v>2</x:v>
      </x:c>
      <x:c r="C2083">
        <x:v>42</x:v>
      </x:c>
      <x:c r="D2083">
        <x:f>ROUND($C2083*10*VLOOKUP($B2083,Sheet2!$J$5:$K$7,2,FALSE)*VLOOKUP(Sheet1!$A2083,Sheet2!$B$5:$H$29,3,FALSE),0)</x:f>
        <x:v>0</x:v>
      </x:c>
      <x:c r="E2083">
        <x:f>ROUND($C2083*10*VLOOKUP($B2083,Sheet2!$J$5:$K$7,2,FALSE)*VLOOKUP(Sheet1!$A2083,Sheet2!$B$5:$H$29,4,FALSE),0)</x:f>
        <x:v>101</x:v>
      </x:c>
      <x:c r="F2083">
        <x:f>ROUND($C2083*10*VLOOKUP($B2083,Sheet2!$J$5:$K$7,2,FALSE)*VLOOKUP(Sheet1!$A2083,Sheet2!$B$5:$H$29,5,FALSE),0)</x:f>
        <x:v>242</x:v>
      </x:c>
      <x:c r="G2083">
        <x:f>ROUND($C2083*10*VLOOKUP($B2083,Sheet2!$J$5:$K$7,2,FALSE)*VLOOKUP(Sheet1!$A2083,Sheet2!$B$5:$H$29,6,FALSE),0)</x:f>
        <x:v>0</x:v>
      </x:c>
      <x:c r="H2083">
        <x:f>ROUND($C2083*10*VLOOKUP($B2083,Sheet2!$J$5:$K$7,2,FALSE)*VLOOKUP(Sheet1!$A2083,Sheet2!$B$5:$H$29,7,FALSE),0)</x:f>
        <x:v>0</x:v>
      </x:c>
      <x:c r="I2083">
        <x:f t="shared" si="34"/>
        <x:v>33650</x:v>
      </x:c>
    </x:row>
    <x:row r="2084" spans="1:9" x14ac:dyDescent="0.15">
      <x:c r="A2084">
        <x:v>54102</x:v>
      </x:c>
      <x:c r="B2084">
        <x:v>2</x:v>
      </x:c>
      <x:c r="C2084">
        <x:v>43</x:v>
      </x:c>
      <x:c r="D2084">
        <x:f>ROUND($C2084*10*VLOOKUP($B2084,Sheet2!$J$5:$K$7,2,FALSE)*VLOOKUP(Sheet1!$A2084,Sheet2!$B$5:$H$29,3,FALSE),0)</x:f>
        <x:v>0</x:v>
      </x:c>
      <x:c r="E2084">
        <x:f>ROUND($C2084*10*VLOOKUP($B2084,Sheet2!$J$5:$K$7,2,FALSE)*VLOOKUP(Sheet1!$A2084,Sheet2!$B$5:$H$29,4,FALSE),0)</x:f>
        <x:v>103</x:v>
      </x:c>
      <x:c r="F2084">
        <x:f>ROUND($C2084*10*VLOOKUP($B2084,Sheet2!$J$5:$K$7,2,FALSE)*VLOOKUP(Sheet1!$A2084,Sheet2!$B$5:$H$29,5,FALSE),0)</x:f>
        <x:v>248</x:v>
      </x:c>
      <x:c r="G2084">
        <x:f>ROUND($C2084*10*VLOOKUP($B2084,Sheet2!$J$5:$K$7,2,FALSE)*VLOOKUP(Sheet1!$A2084,Sheet2!$B$5:$H$29,6,FALSE),0)</x:f>
        <x:v>0</x:v>
      </x:c>
      <x:c r="H2084">
        <x:f>ROUND($C2084*10*VLOOKUP($B2084,Sheet2!$J$5:$K$7,2,FALSE)*VLOOKUP(Sheet1!$A2084,Sheet2!$B$5:$H$29,7,FALSE),0)</x:f>
        <x:v>0</x:v>
      </x:c>
      <x:c r="I2084">
        <x:f t="shared" si="34"/>
        <x:v>35140</x:v>
      </x:c>
    </x:row>
    <x:row r="2085" spans="1:9" x14ac:dyDescent="0.15">
      <x:c r="A2085">
        <x:v>54102</x:v>
      </x:c>
      <x:c r="B2085">
        <x:v>2</x:v>
      </x:c>
      <x:c r="C2085">
        <x:v>44</x:v>
      </x:c>
      <x:c r="D2085">
        <x:f>ROUND($C2085*10*VLOOKUP($B2085,Sheet2!$J$5:$K$7,2,FALSE)*VLOOKUP(Sheet1!$A2085,Sheet2!$B$5:$H$29,3,FALSE),0)</x:f>
        <x:v>0</x:v>
      </x:c>
      <x:c r="E2085">
        <x:f>ROUND($C2085*10*VLOOKUP($B2085,Sheet2!$J$5:$K$7,2,FALSE)*VLOOKUP(Sheet1!$A2085,Sheet2!$B$5:$H$29,4,FALSE),0)</x:f>
        <x:v>106</x:v>
      </x:c>
      <x:c r="F2085">
        <x:f>ROUND($C2085*10*VLOOKUP($B2085,Sheet2!$J$5:$K$7,2,FALSE)*VLOOKUP(Sheet1!$A2085,Sheet2!$B$5:$H$29,5,FALSE),0)</x:f>
        <x:v>253</x:v>
      </x:c>
      <x:c r="G2085">
        <x:f>ROUND($C2085*10*VLOOKUP($B2085,Sheet2!$J$5:$K$7,2,FALSE)*VLOOKUP(Sheet1!$A2085,Sheet2!$B$5:$H$29,6,FALSE),0)</x:f>
        <x:v>0</x:v>
      </x:c>
      <x:c r="H2085">
        <x:f>ROUND($C2085*10*VLOOKUP($B2085,Sheet2!$J$5:$K$7,2,FALSE)*VLOOKUP(Sheet1!$A2085,Sheet2!$B$5:$H$29,7,FALSE),0)</x:f>
        <x:v>0</x:v>
      </x:c>
      <x:c r="I2085">
        <x:f t="shared" si="34"/>
        <x:v>36660</x:v>
      </x:c>
    </x:row>
    <x:row r="2086" spans="1:9" x14ac:dyDescent="0.15">
      <x:c r="A2086">
        <x:v>54102</x:v>
      </x:c>
      <x:c r="B2086">
        <x:v>2</x:v>
      </x:c>
      <x:c r="C2086">
        <x:v>45</x:v>
      </x:c>
      <x:c r="D2086">
        <x:f>ROUND($C2086*10*VLOOKUP($B2086,Sheet2!$J$5:$K$7,2,FALSE)*VLOOKUP(Sheet1!$A2086,Sheet2!$B$5:$H$29,3,FALSE),0)</x:f>
        <x:v>0</x:v>
      </x:c>
      <x:c r="E2086">
        <x:f>ROUND($C2086*10*VLOOKUP($B2086,Sheet2!$J$5:$K$7,2,FALSE)*VLOOKUP(Sheet1!$A2086,Sheet2!$B$5:$H$29,4,FALSE),0)</x:f>
        <x:v>108</x:v>
      </x:c>
      <x:c r="F2086">
        <x:f>ROUND($C2086*10*VLOOKUP($B2086,Sheet2!$J$5:$K$7,2,FALSE)*VLOOKUP(Sheet1!$A2086,Sheet2!$B$5:$H$29,5,FALSE),0)</x:f>
        <x:v>259</x:v>
      </x:c>
      <x:c r="G2086">
        <x:f>ROUND($C2086*10*VLOOKUP($B2086,Sheet2!$J$5:$K$7,2,FALSE)*VLOOKUP(Sheet1!$A2086,Sheet2!$B$5:$H$29,6,FALSE),0)</x:f>
        <x:v>0</x:v>
      </x:c>
      <x:c r="H2086">
        <x:f>ROUND($C2086*10*VLOOKUP($B2086,Sheet2!$J$5:$K$7,2,FALSE)*VLOOKUP(Sheet1!$A2086,Sheet2!$B$5:$H$29,7,FALSE),0)</x:f>
        <x:v>0</x:v>
      </x:c>
      <x:c r="I2086">
        <x:f t="shared" si="34"/>
        <x:v>38210</x:v>
      </x:c>
    </x:row>
    <x:row r="2087" spans="1:9" x14ac:dyDescent="0.15">
      <x:c r="A2087">
        <x:v>54102</x:v>
      </x:c>
      <x:c r="B2087">
        <x:v>2</x:v>
      </x:c>
      <x:c r="C2087">
        <x:v>46</x:v>
      </x:c>
      <x:c r="D2087">
        <x:f>ROUND($C2087*10*VLOOKUP($B2087,Sheet2!$J$5:$K$7,2,FALSE)*VLOOKUP(Sheet1!$A2087,Sheet2!$B$5:$H$29,3,FALSE),0)</x:f>
        <x:v>0</x:v>
      </x:c>
      <x:c r="E2087">
        <x:f>ROUND($C2087*10*VLOOKUP($B2087,Sheet2!$J$5:$K$7,2,FALSE)*VLOOKUP(Sheet1!$A2087,Sheet2!$B$5:$H$29,4,FALSE),0)</x:f>
        <x:v>110</x:v>
      </x:c>
      <x:c r="F2087">
        <x:f>ROUND($C2087*10*VLOOKUP($B2087,Sheet2!$J$5:$K$7,2,FALSE)*VLOOKUP(Sheet1!$A2087,Sheet2!$B$5:$H$29,5,FALSE),0)</x:f>
        <x:v>265</x:v>
      </x:c>
      <x:c r="G2087">
        <x:f>ROUND($C2087*10*VLOOKUP($B2087,Sheet2!$J$5:$K$7,2,FALSE)*VLOOKUP(Sheet1!$A2087,Sheet2!$B$5:$H$29,6,FALSE),0)</x:f>
        <x:v>0</x:v>
      </x:c>
      <x:c r="H2087">
        <x:f>ROUND($C2087*10*VLOOKUP($B2087,Sheet2!$J$5:$K$7,2,FALSE)*VLOOKUP(Sheet1!$A2087,Sheet2!$B$5:$H$29,7,FALSE),0)</x:f>
        <x:v>0</x:v>
      </x:c>
      <x:c r="I2087">
        <x:f t="shared" si="34"/>
        <x:v>39780</x:v>
      </x:c>
    </x:row>
    <x:row r="2088" spans="1:9" x14ac:dyDescent="0.15">
      <x:c r="A2088">
        <x:v>54102</x:v>
      </x:c>
      <x:c r="B2088">
        <x:v>2</x:v>
      </x:c>
      <x:c r="C2088">
        <x:v>47</x:v>
      </x:c>
      <x:c r="D2088">
        <x:f>ROUND($C2088*10*VLOOKUP($B2088,Sheet2!$J$5:$K$7,2,FALSE)*VLOOKUP(Sheet1!$A2088,Sheet2!$B$5:$H$29,3,FALSE),0)</x:f>
        <x:v>0</x:v>
      </x:c>
      <x:c r="E2088">
        <x:f>ROUND($C2088*10*VLOOKUP($B2088,Sheet2!$J$5:$K$7,2,FALSE)*VLOOKUP(Sheet1!$A2088,Sheet2!$B$5:$H$29,4,FALSE),0)</x:f>
        <x:v>113</x:v>
      </x:c>
      <x:c r="F2088">
        <x:f>ROUND($C2088*10*VLOOKUP($B2088,Sheet2!$J$5:$K$7,2,FALSE)*VLOOKUP(Sheet1!$A2088,Sheet2!$B$5:$H$29,5,FALSE),0)</x:f>
        <x:v>271</x:v>
      </x:c>
      <x:c r="G2088">
        <x:f>ROUND($C2088*10*VLOOKUP($B2088,Sheet2!$J$5:$K$7,2,FALSE)*VLOOKUP(Sheet1!$A2088,Sheet2!$B$5:$H$29,6,FALSE),0)</x:f>
        <x:v>0</x:v>
      </x:c>
      <x:c r="H2088">
        <x:f>ROUND($C2088*10*VLOOKUP($B2088,Sheet2!$J$5:$K$7,2,FALSE)*VLOOKUP(Sheet1!$A2088,Sheet2!$B$5:$H$29,7,FALSE),0)</x:f>
        <x:v>0</x:v>
      </x:c>
      <x:c r="I2088">
        <x:f t="shared" si="34"/>
        <x:v>41390</x:v>
      </x:c>
    </x:row>
    <x:row r="2089" spans="1:9" x14ac:dyDescent="0.15">
      <x:c r="A2089">
        <x:v>54102</x:v>
      </x:c>
      <x:c r="B2089">
        <x:v>2</x:v>
      </x:c>
      <x:c r="C2089">
        <x:v>48</x:v>
      </x:c>
      <x:c r="D2089">
        <x:f>ROUND($C2089*10*VLOOKUP($B2089,Sheet2!$J$5:$K$7,2,FALSE)*VLOOKUP(Sheet1!$A2089,Sheet2!$B$5:$H$29,3,FALSE),0)</x:f>
        <x:v>0</x:v>
      </x:c>
      <x:c r="E2089">
        <x:f>ROUND($C2089*10*VLOOKUP($B2089,Sheet2!$J$5:$K$7,2,FALSE)*VLOOKUP(Sheet1!$A2089,Sheet2!$B$5:$H$29,4,FALSE),0)</x:f>
        <x:v>115</x:v>
      </x:c>
      <x:c r="F2089">
        <x:f>ROUND($C2089*10*VLOOKUP($B2089,Sheet2!$J$5:$K$7,2,FALSE)*VLOOKUP(Sheet1!$A2089,Sheet2!$B$5:$H$29,5,FALSE),0)</x:f>
        <x:v>276</x:v>
      </x:c>
      <x:c r="G2089">
        <x:f>ROUND($C2089*10*VLOOKUP($B2089,Sheet2!$J$5:$K$7,2,FALSE)*VLOOKUP(Sheet1!$A2089,Sheet2!$B$5:$H$29,6,FALSE),0)</x:f>
        <x:v>0</x:v>
      </x:c>
      <x:c r="H2089">
        <x:f>ROUND($C2089*10*VLOOKUP($B2089,Sheet2!$J$5:$K$7,2,FALSE)*VLOOKUP(Sheet1!$A2089,Sheet2!$B$5:$H$29,7,FALSE),0)</x:f>
        <x:v>0</x:v>
      </x:c>
      <x:c r="I2089">
        <x:f t="shared" si="34"/>
        <x:v>43020</x:v>
      </x:c>
    </x:row>
    <x:row r="2090" spans="1:9" x14ac:dyDescent="0.15">
      <x:c r="A2090">
        <x:v>54102</x:v>
      </x:c>
      <x:c r="B2090">
        <x:v>2</x:v>
      </x:c>
      <x:c r="C2090">
        <x:v>49</x:v>
      </x:c>
      <x:c r="D2090">
        <x:f>ROUND($C2090*10*VLOOKUP($B2090,Sheet2!$J$5:$K$7,2,FALSE)*VLOOKUP(Sheet1!$A2090,Sheet2!$B$5:$H$29,3,FALSE),0)</x:f>
        <x:v>0</x:v>
      </x:c>
      <x:c r="E2090">
        <x:f>ROUND($C2090*10*VLOOKUP($B2090,Sheet2!$J$5:$K$7,2,FALSE)*VLOOKUP(Sheet1!$A2090,Sheet2!$B$5:$H$29,4,FALSE),0)</x:f>
        <x:v>118</x:v>
      </x:c>
      <x:c r="F2090">
        <x:f>ROUND($C2090*10*VLOOKUP($B2090,Sheet2!$J$5:$K$7,2,FALSE)*VLOOKUP(Sheet1!$A2090,Sheet2!$B$5:$H$29,5,FALSE),0)</x:f>
        <x:v>282</x:v>
      </x:c>
      <x:c r="G2090">
        <x:f>ROUND($C2090*10*VLOOKUP($B2090,Sheet2!$J$5:$K$7,2,FALSE)*VLOOKUP(Sheet1!$A2090,Sheet2!$B$5:$H$29,6,FALSE),0)</x:f>
        <x:v>0</x:v>
      </x:c>
      <x:c r="H2090">
        <x:f>ROUND($C2090*10*VLOOKUP($B2090,Sheet2!$J$5:$K$7,2,FALSE)*VLOOKUP(Sheet1!$A2090,Sheet2!$B$5:$H$29,7,FALSE),0)</x:f>
        <x:v>0</x:v>
      </x:c>
      <x:c r="I2090">
        <x:f t="shared" si="34"/>
        <x:v>44680</x:v>
      </x:c>
    </x:row>
    <x:row r="2091" spans="1:9" x14ac:dyDescent="0.15">
      <x:c r="A2091">
        <x:v>54102</x:v>
      </x:c>
      <x:c r="B2091">
        <x:v>2</x:v>
      </x:c>
      <x:c r="C2091">
        <x:v>50</x:v>
      </x:c>
      <x:c r="D2091">
        <x:f>ROUND($C2091*10*VLOOKUP($B2091,Sheet2!$J$5:$K$7,2,FALSE)*VLOOKUP(Sheet1!$A2091,Sheet2!$B$5:$H$29,3,FALSE),0)</x:f>
        <x:v>0</x:v>
      </x:c>
      <x:c r="E2091">
        <x:f>ROUND($C2091*10*VLOOKUP($B2091,Sheet2!$J$5:$K$7,2,FALSE)*VLOOKUP(Sheet1!$A2091,Sheet2!$B$5:$H$29,4,FALSE),0)</x:f>
        <x:v>120</x:v>
      </x:c>
      <x:c r="F2091">
        <x:f>ROUND($C2091*10*VLOOKUP($B2091,Sheet2!$J$5:$K$7,2,FALSE)*VLOOKUP(Sheet1!$A2091,Sheet2!$B$5:$H$29,5,FALSE),0)</x:f>
        <x:v>288</x:v>
      </x:c>
      <x:c r="G2091">
        <x:f>ROUND($C2091*10*VLOOKUP($B2091,Sheet2!$J$5:$K$7,2,FALSE)*VLOOKUP(Sheet1!$A2091,Sheet2!$B$5:$H$29,6,FALSE),0)</x:f>
        <x:v>0</x:v>
      </x:c>
      <x:c r="H2091">
        <x:f>ROUND($C2091*10*VLOOKUP($B2091,Sheet2!$J$5:$K$7,2,FALSE)*VLOOKUP(Sheet1!$A2091,Sheet2!$B$5:$H$29,7,FALSE),0)</x:f>
        <x:v>0</x:v>
      </x:c>
      <x:c r="I2091">
        <x:f t="shared" si="34"/>
        <x:v>46360</x:v>
      </x:c>
    </x:row>
    <x:row r="2092" spans="1:9" x14ac:dyDescent="0.15">
      <x:c r="A2092">
        <x:v>54102</x:v>
      </x:c>
      <x:c r="B2092">
        <x:v>2</x:v>
      </x:c>
      <x:c r="C2092">
        <x:v>51</x:v>
      </x:c>
      <x:c r="D2092">
        <x:f>ROUND($C2092*10*VLOOKUP($B2092,Sheet2!$J$5:$K$7,2,FALSE)*VLOOKUP(Sheet1!$A2092,Sheet2!$B$5:$H$29,3,FALSE),0)</x:f>
        <x:v>0</x:v>
      </x:c>
      <x:c r="E2092">
        <x:f>ROUND($C2092*10*VLOOKUP($B2092,Sheet2!$J$5:$K$7,2,FALSE)*VLOOKUP(Sheet1!$A2092,Sheet2!$B$5:$H$29,4,FALSE),0)</x:f>
        <x:v>122</x:v>
      </x:c>
      <x:c r="F2092">
        <x:f>ROUND($C2092*10*VLOOKUP($B2092,Sheet2!$J$5:$K$7,2,FALSE)*VLOOKUP(Sheet1!$A2092,Sheet2!$B$5:$H$29,5,FALSE),0)</x:f>
        <x:v>294</x:v>
      </x:c>
      <x:c r="G2092">
        <x:f>ROUND($C2092*10*VLOOKUP($B2092,Sheet2!$J$5:$K$7,2,FALSE)*VLOOKUP(Sheet1!$A2092,Sheet2!$B$5:$H$29,6,FALSE),0)</x:f>
        <x:v>0</x:v>
      </x:c>
      <x:c r="H2092">
        <x:f>ROUND($C2092*10*VLOOKUP($B2092,Sheet2!$J$5:$K$7,2,FALSE)*VLOOKUP(Sheet1!$A2092,Sheet2!$B$5:$H$29,7,FALSE),0)</x:f>
        <x:v>0</x:v>
      </x:c>
      <x:c r="I2092">
        <x:f t="shared" si="34"/>
        <x:v>48080</x:v>
      </x:c>
    </x:row>
    <x:row r="2093" spans="1:9" x14ac:dyDescent="0.15">
      <x:c r="A2093">
        <x:v>54102</x:v>
      </x:c>
      <x:c r="B2093">
        <x:v>2</x:v>
      </x:c>
      <x:c r="C2093">
        <x:v>52</x:v>
      </x:c>
      <x:c r="D2093">
        <x:f>ROUND($C2093*10*VLOOKUP($B2093,Sheet2!$J$5:$K$7,2,FALSE)*VLOOKUP(Sheet1!$A2093,Sheet2!$B$5:$H$29,3,FALSE),0)</x:f>
        <x:v>0</x:v>
      </x:c>
      <x:c r="E2093">
        <x:f>ROUND($C2093*10*VLOOKUP($B2093,Sheet2!$J$5:$K$7,2,FALSE)*VLOOKUP(Sheet1!$A2093,Sheet2!$B$5:$H$29,4,FALSE),0)</x:f>
        <x:v>125</x:v>
      </x:c>
      <x:c r="F2093">
        <x:f>ROUND($C2093*10*VLOOKUP($B2093,Sheet2!$J$5:$K$7,2,FALSE)*VLOOKUP(Sheet1!$A2093,Sheet2!$B$5:$H$29,5,FALSE),0)</x:f>
        <x:v>300</x:v>
      </x:c>
      <x:c r="G2093">
        <x:f>ROUND($C2093*10*VLOOKUP($B2093,Sheet2!$J$5:$K$7,2,FALSE)*VLOOKUP(Sheet1!$A2093,Sheet2!$B$5:$H$29,6,FALSE),0)</x:f>
        <x:v>0</x:v>
      </x:c>
      <x:c r="H2093">
        <x:f>ROUND($C2093*10*VLOOKUP($B2093,Sheet2!$J$5:$K$7,2,FALSE)*VLOOKUP(Sheet1!$A2093,Sheet2!$B$5:$H$29,7,FALSE),0)</x:f>
        <x:v>0</x:v>
      </x:c>
      <x:c r="I2093">
        <x:f t="shared" si="34"/>
        <x:v>49820</x:v>
      </x:c>
    </x:row>
    <x:row r="2094" spans="1:9" x14ac:dyDescent="0.15">
      <x:c r="A2094">
        <x:v>54102</x:v>
      </x:c>
      <x:c r="B2094">
        <x:v>2</x:v>
      </x:c>
      <x:c r="C2094">
        <x:v>53</x:v>
      </x:c>
      <x:c r="D2094">
        <x:f>ROUND($C2094*10*VLOOKUP($B2094,Sheet2!$J$5:$K$7,2,FALSE)*VLOOKUP(Sheet1!$A2094,Sheet2!$B$5:$H$29,3,FALSE),0)</x:f>
        <x:v>0</x:v>
      </x:c>
      <x:c r="E2094">
        <x:f>ROUND($C2094*10*VLOOKUP($B2094,Sheet2!$J$5:$K$7,2,FALSE)*VLOOKUP(Sheet1!$A2094,Sheet2!$B$5:$H$29,4,FALSE),0)</x:f>
        <x:v>127</x:v>
      </x:c>
      <x:c r="F2094">
        <x:f>ROUND($C2094*10*VLOOKUP($B2094,Sheet2!$J$5:$K$7,2,FALSE)*VLOOKUP(Sheet1!$A2094,Sheet2!$B$5:$H$29,5,FALSE),0)</x:f>
        <x:v>305</x:v>
      </x:c>
      <x:c r="G2094">
        <x:f>ROUND($C2094*10*VLOOKUP($B2094,Sheet2!$J$5:$K$7,2,FALSE)*VLOOKUP(Sheet1!$A2094,Sheet2!$B$5:$H$29,6,FALSE),0)</x:f>
        <x:v>0</x:v>
      </x:c>
      <x:c r="H2094">
        <x:f>ROUND($C2094*10*VLOOKUP($B2094,Sheet2!$J$5:$K$7,2,FALSE)*VLOOKUP(Sheet1!$A2094,Sheet2!$B$5:$H$29,7,FALSE),0)</x:f>
        <x:v>0</x:v>
      </x:c>
      <x:c r="I2094">
        <x:f t="shared" si="34"/>
        <x:v>51590</x:v>
      </x:c>
    </x:row>
    <x:row r="2095" spans="1:9" x14ac:dyDescent="0.15">
      <x:c r="A2095">
        <x:v>54102</x:v>
      </x:c>
      <x:c r="B2095">
        <x:v>2</x:v>
      </x:c>
      <x:c r="C2095">
        <x:v>54</x:v>
      </x:c>
      <x:c r="D2095">
        <x:f>ROUND($C2095*10*VLOOKUP($B2095,Sheet2!$J$5:$K$7,2,FALSE)*VLOOKUP(Sheet1!$A2095,Sheet2!$B$5:$H$29,3,FALSE),0)</x:f>
        <x:v>0</x:v>
      </x:c>
      <x:c r="E2095">
        <x:f>ROUND($C2095*10*VLOOKUP($B2095,Sheet2!$J$5:$K$7,2,FALSE)*VLOOKUP(Sheet1!$A2095,Sheet2!$B$5:$H$29,4,FALSE),0)</x:f>
        <x:v>130</x:v>
      </x:c>
      <x:c r="F2095">
        <x:f>ROUND($C2095*10*VLOOKUP($B2095,Sheet2!$J$5:$K$7,2,FALSE)*VLOOKUP(Sheet1!$A2095,Sheet2!$B$5:$H$29,5,FALSE),0)</x:f>
        <x:v>311</x:v>
      </x:c>
      <x:c r="G2095">
        <x:f>ROUND($C2095*10*VLOOKUP($B2095,Sheet2!$J$5:$K$7,2,FALSE)*VLOOKUP(Sheet1!$A2095,Sheet2!$B$5:$H$29,6,FALSE),0)</x:f>
        <x:v>0</x:v>
      </x:c>
      <x:c r="H2095">
        <x:f>ROUND($C2095*10*VLOOKUP($B2095,Sheet2!$J$5:$K$7,2,FALSE)*VLOOKUP(Sheet1!$A2095,Sheet2!$B$5:$H$29,7,FALSE),0)</x:f>
        <x:v>0</x:v>
      </x:c>
      <x:c r="I2095">
        <x:f t="shared" si="34"/>
        <x:v>53390</x:v>
      </x:c>
    </x:row>
    <x:row r="2096" spans="1:9" x14ac:dyDescent="0.15">
      <x:c r="A2096">
        <x:v>54102</x:v>
      </x:c>
      <x:c r="B2096">
        <x:v>2</x:v>
      </x:c>
      <x:c r="C2096">
        <x:v>55</x:v>
      </x:c>
      <x:c r="D2096">
        <x:f>ROUND($C2096*10*VLOOKUP($B2096,Sheet2!$J$5:$K$7,2,FALSE)*VLOOKUP(Sheet1!$A2096,Sheet2!$B$5:$H$29,3,FALSE),0)</x:f>
        <x:v>0</x:v>
      </x:c>
      <x:c r="E2096">
        <x:f>ROUND($C2096*10*VLOOKUP($B2096,Sheet2!$J$5:$K$7,2,FALSE)*VLOOKUP(Sheet1!$A2096,Sheet2!$B$5:$H$29,4,FALSE),0)</x:f>
        <x:v>132</x:v>
      </x:c>
      <x:c r="F2096">
        <x:f>ROUND($C2096*10*VLOOKUP($B2096,Sheet2!$J$5:$K$7,2,FALSE)*VLOOKUP(Sheet1!$A2096,Sheet2!$B$5:$H$29,5,FALSE),0)</x:f>
        <x:v>317</x:v>
      </x:c>
      <x:c r="G2096">
        <x:f>ROUND($C2096*10*VLOOKUP($B2096,Sheet2!$J$5:$K$7,2,FALSE)*VLOOKUP(Sheet1!$A2096,Sheet2!$B$5:$H$29,6,FALSE),0)</x:f>
        <x:v>0</x:v>
      </x:c>
      <x:c r="H2096">
        <x:f>ROUND($C2096*10*VLOOKUP($B2096,Sheet2!$J$5:$K$7,2,FALSE)*VLOOKUP(Sheet1!$A2096,Sheet2!$B$5:$H$29,7,FALSE),0)</x:f>
        <x:v>0</x:v>
      </x:c>
      <x:c r="I2096">
        <x:f t="shared" si="34"/>
        <x:v>55210</x:v>
      </x:c>
    </x:row>
    <x:row r="2097" spans="1:9" x14ac:dyDescent="0.15">
      <x:c r="A2097">
        <x:v>54102</x:v>
      </x:c>
      <x:c r="B2097">
        <x:v>2</x:v>
      </x:c>
      <x:c r="C2097">
        <x:v>56</x:v>
      </x:c>
      <x:c r="D2097">
        <x:f>ROUND($C2097*10*VLOOKUP($B2097,Sheet2!$J$5:$K$7,2,FALSE)*VLOOKUP(Sheet1!$A2097,Sheet2!$B$5:$H$29,3,FALSE),0)</x:f>
        <x:v>0</x:v>
      </x:c>
      <x:c r="E2097">
        <x:f>ROUND($C2097*10*VLOOKUP($B2097,Sheet2!$J$5:$K$7,2,FALSE)*VLOOKUP(Sheet1!$A2097,Sheet2!$B$5:$H$29,4,FALSE),0)</x:f>
        <x:v>134</x:v>
      </x:c>
      <x:c r="F2097">
        <x:f>ROUND($C2097*10*VLOOKUP($B2097,Sheet2!$J$5:$K$7,2,FALSE)*VLOOKUP(Sheet1!$A2097,Sheet2!$B$5:$H$29,5,FALSE),0)</x:f>
        <x:v>323</x:v>
      </x:c>
      <x:c r="G2097">
        <x:f>ROUND($C2097*10*VLOOKUP($B2097,Sheet2!$J$5:$K$7,2,FALSE)*VLOOKUP(Sheet1!$A2097,Sheet2!$B$5:$H$29,6,FALSE),0)</x:f>
        <x:v>0</x:v>
      </x:c>
      <x:c r="H2097">
        <x:f>ROUND($C2097*10*VLOOKUP($B2097,Sheet2!$J$5:$K$7,2,FALSE)*VLOOKUP(Sheet1!$A2097,Sheet2!$B$5:$H$29,7,FALSE),0)</x:f>
        <x:v>0</x:v>
      </x:c>
      <x:c r="I2097">
        <x:f t="shared" si="34"/>
        <x:v>57060</x:v>
      </x:c>
    </x:row>
    <x:row r="2098" spans="1:9" x14ac:dyDescent="0.15">
      <x:c r="A2098">
        <x:v>54102</x:v>
      </x:c>
      <x:c r="B2098">
        <x:v>2</x:v>
      </x:c>
      <x:c r="C2098">
        <x:v>57</x:v>
      </x:c>
      <x:c r="D2098">
        <x:f>ROUND($C2098*10*VLOOKUP($B2098,Sheet2!$J$5:$K$7,2,FALSE)*VLOOKUP(Sheet1!$A2098,Sheet2!$B$5:$H$29,3,FALSE),0)</x:f>
        <x:v>0</x:v>
      </x:c>
      <x:c r="E2098">
        <x:f>ROUND($C2098*10*VLOOKUP($B2098,Sheet2!$J$5:$K$7,2,FALSE)*VLOOKUP(Sheet1!$A2098,Sheet2!$B$5:$H$29,4,FALSE),0)</x:f>
        <x:v>137</x:v>
      </x:c>
      <x:c r="F2098">
        <x:f>ROUND($C2098*10*VLOOKUP($B2098,Sheet2!$J$5:$K$7,2,FALSE)*VLOOKUP(Sheet1!$A2098,Sheet2!$B$5:$H$29,5,FALSE),0)</x:f>
        <x:v>328</x:v>
      </x:c>
      <x:c r="G2098">
        <x:f>ROUND($C2098*10*VLOOKUP($B2098,Sheet2!$J$5:$K$7,2,FALSE)*VLOOKUP(Sheet1!$A2098,Sheet2!$B$5:$H$29,6,FALSE),0)</x:f>
        <x:v>0</x:v>
      </x:c>
      <x:c r="H2098">
        <x:f>ROUND($C2098*10*VLOOKUP($B2098,Sheet2!$J$5:$K$7,2,FALSE)*VLOOKUP(Sheet1!$A2098,Sheet2!$B$5:$H$29,7,FALSE),0)</x:f>
        <x:v>0</x:v>
      </x:c>
      <x:c r="I2098">
        <x:f t="shared" si="34"/>
        <x:v>58940</x:v>
      </x:c>
    </x:row>
    <x:row r="2099" spans="1:9" x14ac:dyDescent="0.15">
      <x:c r="A2099">
        <x:v>54102</x:v>
      </x:c>
      <x:c r="B2099">
        <x:v>2</x:v>
      </x:c>
      <x:c r="C2099">
        <x:v>58</x:v>
      </x:c>
      <x:c r="D2099">
        <x:f>ROUND($C2099*10*VLOOKUP($B2099,Sheet2!$J$5:$K$7,2,FALSE)*VLOOKUP(Sheet1!$A2099,Sheet2!$B$5:$H$29,3,FALSE),0)</x:f>
        <x:v>0</x:v>
      </x:c>
      <x:c r="E2099">
        <x:f>ROUND($C2099*10*VLOOKUP($B2099,Sheet2!$J$5:$K$7,2,FALSE)*VLOOKUP(Sheet1!$A2099,Sheet2!$B$5:$H$29,4,FALSE),0)</x:f>
        <x:v>139</x:v>
      </x:c>
      <x:c r="F2099">
        <x:f>ROUND($C2099*10*VLOOKUP($B2099,Sheet2!$J$5:$K$7,2,FALSE)*VLOOKUP(Sheet1!$A2099,Sheet2!$B$5:$H$29,5,FALSE),0)</x:f>
        <x:v>334</x:v>
      </x:c>
      <x:c r="G2099">
        <x:f>ROUND($C2099*10*VLOOKUP($B2099,Sheet2!$J$5:$K$7,2,FALSE)*VLOOKUP(Sheet1!$A2099,Sheet2!$B$5:$H$29,6,FALSE),0)</x:f>
        <x:v>0</x:v>
      </x:c>
      <x:c r="H2099">
        <x:f>ROUND($C2099*10*VLOOKUP($B2099,Sheet2!$J$5:$K$7,2,FALSE)*VLOOKUP(Sheet1!$A2099,Sheet2!$B$5:$H$29,7,FALSE),0)</x:f>
        <x:v>0</x:v>
      </x:c>
      <x:c r="I2099">
        <x:f t="shared" si="34"/>
        <x:v>60850</x:v>
      </x:c>
    </x:row>
    <x:row r="2100" spans="1:9" x14ac:dyDescent="0.15">
      <x:c r="A2100">
        <x:v>54102</x:v>
      </x:c>
      <x:c r="B2100">
        <x:v>2</x:v>
      </x:c>
      <x:c r="C2100">
        <x:v>59</x:v>
      </x:c>
      <x:c r="D2100">
        <x:f>ROUND($C2100*10*VLOOKUP($B2100,Sheet2!$J$5:$K$7,2,FALSE)*VLOOKUP(Sheet1!$A2100,Sheet2!$B$5:$H$29,3,FALSE),0)</x:f>
        <x:v>0</x:v>
      </x:c>
      <x:c r="E2100">
        <x:f>ROUND($C2100*10*VLOOKUP($B2100,Sheet2!$J$5:$K$7,2,FALSE)*VLOOKUP(Sheet1!$A2100,Sheet2!$B$5:$H$29,4,FALSE),0)</x:f>
        <x:v>142</x:v>
      </x:c>
      <x:c r="F2100">
        <x:f>ROUND($C2100*10*VLOOKUP($B2100,Sheet2!$J$5:$K$7,2,FALSE)*VLOOKUP(Sheet1!$A2100,Sheet2!$B$5:$H$29,5,FALSE),0)</x:f>
        <x:v>340</x:v>
      </x:c>
      <x:c r="G2100">
        <x:f>ROUND($C2100*10*VLOOKUP($B2100,Sheet2!$J$5:$K$7,2,FALSE)*VLOOKUP(Sheet1!$A2100,Sheet2!$B$5:$H$29,6,FALSE),0)</x:f>
        <x:v>0</x:v>
      </x:c>
      <x:c r="H2100">
        <x:f>ROUND($C2100*10*VLOOKUP($B2100,Sheet2!$J$5:$K$7,2,FALSE)*VLOOKUP(Sheet1!$A2100,Sheet2!$B$5:$H$29,7,FALSE),0)</x:f>
        <x:v>0</x:v>
      </x:c>
      <x:c r="I2100">
        <x:f t="shared" si="34"/>
        <x:v>62780</x:v>
      </x:c>
    </x:row>
    <x:row r="2101" spans="1:9" x14ac:dyDescent="0.15">
      <x:c r="A2101">
        <x:v>54102</x:v>
      </x:c>
      <x:c r="B2101">
        <x:v>2</x:v>
      </x:c>
      <x:c r="C2101">
        <x:v>60</x:v>
      </x:c>
      <x:c r="D2101">
        <x:f>ROUND($C2101*10*VLOOKUP($B2101,Sheet2!$J$5:$K$7,2,FALSE)*VLOOKUP(Sheet1!$A2101,Sheet2!$B$5:$H$29,3,FALSE),0)</x:f>
        <x:v>0</x:v>
      </x:c>
      <x:c r="E2101">
        <x:f>ROUND($C2101*10*VLOOKUP($B2101,Sheet2!$J$5:$K$7,2,FALSE)*VLOOKUP(Sheet1!$A2101,Sheet2!$B$5:$H$29,4,FALSE),0)</x:f>
        <x:v>144</x:v>
      </x:c>
      <x:c r="F2101">
        <x:f>ROUND($C2101*10*VLOOKUP($B2101,Sheet2!$J$5:$K$7,2,FALSE)*VLOOKUP(Sheet1!$A2101,Sheet2!$B$5:$H$29,5,FALSE),0)</x:f>
        <x:v>346</x:v>
      </x:c>
      <x:c r="G2101">
        <x:f>ROUND($C2101*10*VLOOKUP($B2101,Sheet2!$J$5:$K$7,2,FALSE)*VLOOKUP(Sheet1!$A2101,Sheet2!$B$5:$H$29,6,FALSE),0)</x:f>
        <x:v>0</x:v>
      </x:c>
      <x:c r="H2101">
        <x:f>ROUND($C2101*10*VLOOKUP($B2101,Sheet2!$J$5:$K$7,2,FALSE)*VLOOKUP(Sheet1!$A2101,Sheet2!$B$5:$H$29,7,FALSE),0)</x:f>
        <x:v>0</x:v>
      </x:c>
      <x:c r="I2101">
        <x:f t="shared" si="34"/>
        <x:v>64740</x:v>
      </x:c>
    </x:row>
    <x:row r="2102" spans="1:9" x14ac:dyDescent="0.15">
      <x:c r="A2102">
        <x:v>54102</x:v>
      </x:c>
      <x:c r="B2102">
        <x:v>3</x:v>
      </x:c>
      <x:c r="C2102">
        <x:v>1</x:v>
      </x:c>
      <x:c r="D2102">
        <x:f>ROUND($C2102*10*VLOOKUP($B2102,Sheet2!$J$5:$K$7,2,FALSE)*VLOOKUP(Sheet1!$A2102,Sheet2!$B$5:$H$29,3,FALSE),0)</x:f>
        <x:v>0</x:v>
      </x:c>
      <x:c r="E2102">
        <x:f>ROUND($C2102*10*VLOOKUP($B2102,Sheet2!$J$5:$K$7,2,FALSE)*VLOOKUP(Sheet1!$A2102,Sheet2!$B$5:$H$29,4,FALSE),0)</x:f>
        <x:v>4</x:v>
      </x:c>
      <x:c r="F2102">
        <x:f>ROUND($C2102*10*VLOOKUP($B2102,Sheet2!$J$5:$K$7,2,FALSE)*VLOOKUP(Sheet1!$A2102,Sheet2!$B$5:$H$29,5,FALSE),0)</x:f>
        <x:v>10</x:v>
      </x:c>
      <x:c r="G2102">
        <x:f>ROUND($C2102*10*VLOOKUP($B2102,Sheet2!$J$5:$K$7,2,FALSE)*VLOOKUP(Sheet1!$A2102,Sheet2!$B$5:$H$29,6,FALSE),0)</x:f>
        <x:v>0</x:v>
      </x:c>
      <x:c r="H2102">
        <x:f>ROUND($C2102*10*VLOOKUP($B2102,Sheet2!$J$5:$K$7,2,FALSE)*VLOOKUP(Sheet1!$A2102,Sheet2!$B$5:$H$29,7,FALSE),0)</x:f>
        <x:v>0</x:v>
      </x:c>
      <x:c r="I2102">
        <x:f t="shared" ref="I2102:I2161" si="35">ROUND(1.2*10*10.5*(C2102-1)^1.8+90,-1)</x:f>
        <x:v>90</x:v>
      </x:c>
    </x:row>
    <x:row r="2103" spans="1:9" x14ac:dyDescent="0.15">
      <x:c r="A2103">
        <x:v>54102</x:v>
      </x:c>
      <x:c r="B2103">
        <x:v>3</x:v>
      </x:c>
      <x:c r="C2103">
        <x:v>2</x:v>
      </x:c>
      <x:c r="D2103">
        <x:f>ROUND($C2103*10*VLOOKUP($B2103,Sheet2!$J$5:$K$7,2,FALSE)*VLOOKUP(Sheet1!$A2103,Sheet2!$B$5:$H$29,3,FALSE),0)</x:f>
        <x:v>0</x:v>
      </x:c>
      <x:c r="E2103">
        <x:f>ROUND($C2103*10*VLOOKUP($B2103,Sheet2!$J$5:$K$7,2,FALSE)*VLOOKUP(Sheet1!$A2103,Sheet2!$B$5:$H$29,4,FALSE),0)</x:f>
        <x:v>8</x:v>
      </x:c>
      <x:c r="F2103">
        <x:f>ROUND($C2103*10*VLOOKUP($B2103,Sheet2!$J$5:$K$7,2,FALSE)*VLOOKUP(Sheet1!$A2103,Sheet2!$B$5:$H$29,5,FALSE),0)</x:f>
        <x:v>19</x:v>
      </x:c>
      <x:c r="G2103">
        <x:f>ROUND($C2103*10*VLOOKUP($B2103,Sheet2!$J$5:$K$7,2,FALSE)*VLOOKUP(Sheet1!$A2103,Sheet2!$B$5:$H$29,6,FALSE),0)</x:f>
        <x:v>0</x:v>
      </x:c>
      <x:c r="H2103">
        <x:f>ROUND($C2103*10*VLOOKUP($B2103,Sheet2!$J$5:$K$7,2,FALSE)*VLOOKUP(Sheet1!$A2103,Sheet2!$B$5:$H$29,7,FALSE),0)</x:f>
        <x:v>0</x:v>
      </x:c>
      <x:c r="I2103">
        <x:f t="shared" si="35"/>
        <x:v>220</x:v>
      </x:c>
    </x:row>
    <x:row r="2104" spans="1:9" x14ac:dyDescent="0.15">
      <x:c r="A2104">
        <x:v>54102</x:v>
      </x:c>
      <x:c r="B2104">
        <x:v>3</x:v>
      </x:c>
      <x:c r="C2104">
        <x:v>3</x:v>
      </x:c>
      <x:c r="D2104">
        <x:f>ROUND($C2104*10*VLOOKUP($B2104,Sheet2!$J$5:$K$7,2,FALSE)*VLOOKUP(Sheet1!$A2104,Sheet2!$B$5:$H$29,3,FALSE),0)</x:f>
        <x:v>0</x:v>
      </x:c>
      <x:c r="E2104">
        <x:f>ROUND($C2104*10*VLOOKUP($B2104,Sheet2!$J$5:$K$7,2,FALSE)*VLOOKUP(Sheet1!$A2104,Sheet2!$B$5:$H$29,4,FALSE),0)</x:f>
        <x:v>12</x:v>
      </x:c>
      <x:c r="F2104">
        <x:f>ROUND($C2104*10*VLOOKUP($B2104,Sheet2!$J$5:$K$7,2,FALSE)*VLOOKUP(Sheet1!$A2104,Sheet2!$B$5:$H$29,5,FALSE),0)</x:f>
        <x:v>29</x:v>
      </x:c>
      <x:c r="G2104">
        <x:f>ROUND($C2104*10*VLOOKUP($B2104,Sheet2!$J$5:$K$7,2,FALSE)*VLOOKUP(Sheet1!$A2104,Sheet2!$B$5:$H$29,6,FALSE),0)</x:f>
        <x:v>0</x:v>
      </x:c>
      <x:c r="H2104">
        <x:f>ROUND($C2104*10*VLOOKUP($B2104,Sheet2!$J$5:$K$7,2,FALSE)*VLOOKUP(Sheet1!$A2104,Sheet2!$B$5:$H$29,7,FALSE),0)</x:f>
        <x:v>0</x:v>
      </x:c>
      <x:c r="I2104">
        <x:f t="shared" si="35"/>
        <x:v>530</x:v>
      </x:c>
    </x:row>
    <x:row r="2105" spans="1:9" x14ac:dyDescent="0.15">
      <x:c r="A2105">
        <x:v>54102</x:v>
      </x:c>
      <x:c r="B2105">
        <x:v>3</x:v>
      </x:c>
      <x:c r="C2105">
        <x:v>4</x:v>
      </x:c>
      <x:c r="D2105">
        <x:f>ROUND($C2105*10*VLOOKUP($B2105,Sheet2!$J$5:$K$7,2,FALSE)*VLOOKUP(Sheet1!$A2105,Sheet2!$B$5:$H$29,3,FALSE),0)</x:f>
        <x:v>0</x:v>
      </x:c>
      <x:c r="E2105">
        <x:f>ROUND($C2105*10*VLOOKUP($B2105,Sheet2!$J$5:$K$7,2,FALSE)*VLOOKUP(Sheet1!$A2105,Sheet2!$B$5:$H$29,4,FALSE),0)</x:f>
        <x:v>16</x:v>
      </x:c>
      <x:c r="F2105">
        <x:f>ROUND($C2105*10*VLOOKUP($B2105,Sheet2!$J$5:$K$7,2,FALSE)*VLOOKUP(Sheet1!$A2105,Sheet2!$B$5:$H$29,5,FALSE),0)</x:f>
        <x:v>38</x:v>
      </x:c>
      <x:c r="G2105">
        <x:f>ROUND($C2105*10*VLOOKUP($B2105,Sheet2!$J$5:$K$7,2,FALSE)*VLOOKUP(Sheet1!$A2105,Sheet2!$B$5:$H$29,6,FALSE),0)</x:f>
        <x:v>0</x:v>
      </x:c>
      <x:c r="H2105">
        <x:f>ROUND($C2105*10*VLOOKUP($B2105,Sheet2!$J$5:$K$7,2,FALSE)*VLOOKUP(Sheet1!$A2105,Sheet2!$B$5:$H$29,7,FALSE),0)</x:f>
        <x:v>0</x:v>
      </x:c>
      <x:c r="I2105">
        <x:f t="shared" si="35"/>
        <x:v>1000</x:v>
      </x:c>
    </x:row>
    <x:row r="2106" spans="1:9" x14ac:dyDescent="0.15">
      <x:c r="A2106">
        <x:v>54102</x:v>
      </x:c>
      <x:c r="B2106">
        <x:v>3</x:v>
      </x:c>
      <x:c r="C2106">
        <x:v>5</x:v>
      </x:c>
      <x:c r="D2106">
        <x:f>ROUND($C2106*10*VLOOKUP($B2106,Sheet2!$J$5:$K$7,2,FALSE)*VLOOKUP(Sheet1!$A2106,Sheet2!$B$5:$H$29,3,FALSE),0)</x:f>
        <x:v>0</x:v>
      </x:c>
      <x:c r="E2106">
        <x:f>ROUND($C2106*10*VLOOKUP($B2106,Sheet2!$J$5:$K$7,2,FALSE)*VLOOKUP(Sheet1!$A2106,Sheet2!$B$5:$H$29,4,FALSE),0)</x:f>
        <x:v>20</x:v>
      </x:c>
      <x:c r="F2106">
        <x:f>ROUND($C2106*10*VLOOKUP($B2106,Sheet2!$J$5:$K$7,2,FALSE)*VLOOKUP(Sheet1!$A2106,Sheet2!$B$5:$H$29,5,FALSE),0)</x:f>
        <x:v>48</x:v>
      </x:c>
      <x:c r="G2106">
        <x:f>ROUND($C2106*10*VLOOKUP($B2106,Sheet2!$J$5:$K$7,2,FALSE)*VLOOKUP(Sheet1!$A2106,Sheet2!$B$5:$H$29,6,FALSE),0)</x:f>
        <x:v>0</x:v>
      </x:c>
      <x:c r="H2106">
        <x:f>ROUND($C2106*10*VLOOKUP($B2106,Sheet2!$J$5:$K$7,2,FALSE)*VLOOKUP(Sheet1!$A2106,Sheet2!$B$5:$H$29,7,FALSE),0)</x:f>
        <x:v>0</x:v>
      </x:c>
      <x:c r="I2106">
        <x:f t="shared" si="35"/>
        <x:v>1620</x:v>
      </x:c>
    </x:row>
    <x:row r="2107" spans="1:9" x14ac:dyDescent="0.15">
      <x:c r="A2107">
        <x:v>54102</x:v>
      </x:c>
      <x:c r="B2107">
        <x:v>3</x:v>
      </x:c>
      <x:c r="C2107">
        <x:v>6</x:v>
      </x:c>
      <x:c r="D2107">
        <x:f>ROUND($C2107*10*VLOOKUP($B2107,Sheet2!$J$5:$K$7,2,FALSE)*VLOOKUP(Sheet1!$A2107,Sheet2!$B$5:$H$29,3,FALSE),0)</x:f>
        <x:v>0</x:v>
      </x:c>
      <x:c r="E2107">
        <x:f>ROUND($C2107*10*VLOOKUP($B2107,Sheet2!$J$5:$K$7,2,FALSE)*VLOOKUP(Sheet1!$A2107,Sheet2!$B$5:$H$29,4,FALSE),0)</x:f>
        <x:v>24</x:v>
      </x:c>
      <x:c r="F2107">
        <x:f>ROUND($C2107*10*VLOOKUP($B2107,Sheet2!$J$5:$K$7,2,FALSE)*VLOOKUP(Sheet1!$A2107,Sheet2!$B$5:$H$29,5,FALSE),0)</x:f>
        <x:v>58</x:v>
      </x:c>
      <x:c r="G2107">
        <x:f>ROUND($C2107*10*VLOOKUP($B2107,Sheet2!$J$5:$K$7,2,FALSE)*VLOOKUP(Sheet1!$A2107,Sheet2!$B$5:$H$29,6,FALSE),0)</x:f>
        <x:v>0</x:v>
      </x:c>
      <x:c r="H2107">
        <x:f>ROUND($C2107*10*VLOOKUP($B2107,Sheet2!$J$5:$K$7,2,FALSE)*VLOOKUP(Sheet1!$A2107,Sheet2!$B$5:$H$29,7,FALSE),0)</x:f>
        <x:v>0</x:v>
      </x:c>
      <x:c r="I2107">
        <x:f t="shared" si="35"/>
        <x:v>2370</x:v>
      </x:c>
    </x:row>
    <x:row r="2108" spans="1:9" x14ac:dyDescent="0.15">
      <x:c r="A2108">
        <x:v>54102</x:v>
      </x:c>
      <x:c r="B2108">
        <x:v>3</x:v>
      </x:c>
      <x:c r="C2108">
        <x:v>7</x:v>
      </x:c>
      <x:c r="D2108">
        <x:f>ROUND($C2108*10*VLOOKUP($B2108,Sheet2!$J$5:$K$7,2,FALSE)*VLOOKUP(Sheet1!$A2108,Sheet2!$B$5:$H$29,3,FALSE),0)</x:f>
        <x:v>0</x:v>
      </x:c>
      <x:c r="E2108">
        <x:f>ROUND($C2108*10*VLOOKUP($B2108,Sheet2!$J$5:$K$7,2,FALSE)*VLOOKUP(Sheet1!$A2108,Sheet2!$B$5:$H$29,4,FALSE),0)</x:f>
        <x:v>28</x:v>
      </x:c>
      <x:c r="F2108">
        <x:f>ROUND($C2108*10*VLOOKUP($B2108,Sheet2!$J$5:$K$7,2,FALSE)*VLOOKUP(Sheet1!$A2108,Sheet2!$B$5:$H$29,5,FALSE),0)</x:f>
        <x:v>67</x:v>
      </x:c>
      <x:c r="G2108">
        <x:f>ROUND($C2108*10*VLOOKUP($B2108,Sheet2!$J$5:$K$7,2,FALSE)*VLOOKUP(Sheet1!$A2108,Sheet2!$B$5:$H$29,6,FALSE),0)</x:f>
        <x:v>0</x:v>
      </x:c>
      <x:c r="H2108">
        <x:f>ROUND($C2108*10*VLOOKUP($B2108,Sheet2!$J$5:$K$7,2,FALSE)*VLOOKUP(Sheet1!$A2108,Sheet2!$B$5:$H$29,7,FALSE),0)</x:f>
        <x:v>0</x:v>
      </x:c>
      <x:c r="I2108">
        <x:f t="shared" si="35"/>
        <x:v>3260</x:v>
      </x:c>
    </x:row>
    <x:row r="2109" spans="1:9" x14ac:dyDescent="0.15">
      <x:c r="A2109">
        <x:v>54102</x:v>
      </x:c>
      <x:c r="B2109">
        <x:v>3</x:v>
      </x:c>
      <x:c r="C2109">
        <x:v>8</x:v>
      </x:c>
      <x:c r="D2109">
        <x:f>ROUND($C2109*10*VLOOKUP($B2109,Sheet2!$J$5:$K$7,2,FALSE)*VLOOKUP(Sheet1!$A2109,Sheet2!$B$5:$H$29,3,FALSE),0)</x:f>
        <x:v>0</x:v>
      </x:c>
      <x:c r="E2109">
        <x:f>ROUND($C2109*10*VLOOKUP($B2109,Sheet2!$J$5:$K$7,2,FALSE)*VLOOKUP(Sheet1!$A2109,Sheet2!$B$5:$H$29,4,FALSE),0)</x:f>
        <x:v>32</x:v>
      </x:c>
      <x:c r="F2109">
        <x:f>ROUND($C2109*10*VLOOKUP($B2109,Sheet2!$J$5:$K$7,2,FALSE)*VLOOKUP(Sheet1!$A2109,Sheet2!$B$5:$H$29,5,FALSE),0)</x:f>
        <x:v>77</x:v>
      </x:c>
      <x:c r="G2109">
        <x:f>ROUND($C2109*10*VLOOKUP($B2109,Sheet2!$J$5:$K$7,2,FALSE)*VLOOKUP(Sheet1!$A2109,Sheet2!$B$5:$H$29,6,FALSE),0)</x:f>
        <x:v>0</x:v>
      </x:c>
      <x:c r="H2109">
        <x:f>ROUND($C2109*10*VLOOKUP($B2109,Sheet2!$J$5:$K$7,2,FALSE)*VLOOKUP(Sheet1!$A2109,Sheet2!$B$5:$H$29,7,FALSE),0)</x:f>
        <x:v>0</x:v>
      </x:c>
      <x:c r="I2109">
        <x:f t="shared" si="35"/>
        <x:v>4270</x:v>
      </x:c>
    </x:row>
    <x:row r="2110" spans="1:9" x14ac:dyDescent="0.15">
      <x:c r="A2110">
        <x:v>54102</x:v>
      </x:c>
      <x:c r="B2110">
        <x:v>3</x:v>
      </x:c>
      <x:c r="C2110">
        <x:v>9</x:v>
      </x:c>
      <x:c r="D2110">
        <x:f>ROUND($C2110*10*VLOOKUP($B2110,Sheet2!$J$5:$K$7,2,FALSE)*VLOOKUP(Sheet1!$A2110,Sheet2!$B$5:$H$29,3,FALSE),0)</x:f>
        <x:v>0</x:v>
      </x:c>
      <x:c r="E2110">
        <x:f>ROUND($C2110*10*VLOOKUP($B2110,Sheet2!$J$5:$K$7,2,FALSE)*VLOOKUP(Sheet1!$A2110,Sheet2!$B$5:$H$29,4,FALSE),0)</x:f>
        <x:v>36</x:v>
      </x:c>
      <x:c r="F2110">
        <x:f>ROUND($C2110*10*VLOOKUP($B2110,Sheet2!$J$5:$K$7,2,FALSE)*VLOOKUP(Sheet1!$A2110,Sheet2!$B$5:$H$29,5,FALSE),0)</x:f>
        <x:v>86</x:v>
      </x:c>
      <x:c r="G2110">
        <x:f>ROUND($C2110*10*VLOOKUP($B2110,Sheet2!$J$5:$K$7,2,FALSE)*VLOOKUP(Sheet1!$A2110,Sheet2!$B$5:$H$29,6,FALSE),0)</x:f>
        <x:v>0</x:v>
      </x:c>
      <x:c r="H2110">
        <x:f>ROUND($C2110*10*VLOOKUP($B2110,Sheet2!$J$5:$K$7,2,FALSE)*VLOOKUP(Sheet1!$A2110,Sheet2!$B$5:$H$29,7,FALSE),0)</x:f>
        <x:v>0</x:v>
      </x:c>
      <x:c r="I2110">
        <x:f t="shared" si="35"/>
        <x:v>5410</x:v>
      </x:c>
    </x:row>
    <x:row r="2111" spans="1:9" x14ac:dyDescent="0.15">
      <x:c r="A2111">
        <x:v>54102</x:v>
      </x:c>
      <x:c r="B2111">
        <x:v>3</x:v>
      </x:c>
      <x:c r="C2111">
        <x:v>10</x:v>
      </x:c>
      <x:c r="D2111">
        <x:f>ROUND($C2111*10*VLOOKUP($B2111,Sheet2!$J$5:$K$7,2,FALSE)*VLOOKUP(Sheet1!$A2111,Sheet2!$B$5:$H$29,3,FALSE),0)</x:f>
        <x:v>0</x:v>
      </x:c>
      <x:c r="E2111">
        <x:f>ROUND($C2111*10*VLOOKUP($B2111,Sheet2!$J$5:$K$7,2,FALSE)*VLOOKUP(Sheet1!$A2111,Sheet2!$B$5:$H$29,4,FALSE),0)</x:f>
        <x:v>40</x:v>
      </x:c>
      <x:c r="F2111">
        <x:f>ROUND($C2111*10*VLOOKUP($B2111,Sheet2!$J$5:$K$7,2,FALSE)*VLOOKUP(Sheet1!$A2111,Sheet2!$B$5:$H$29,5,FALSE),0)</x:f>
        <x:v>96</x:v>
      </x:c>
      <x:c r="G2111">
        <x:f>ROUND($C2111*10*VLOOKUP($B2111,Sheet2!$J$5:$K$7,2,FALSE)*VLOOKUP(Sheet1!$A2111,Sheet2!$B$5:$H$29,6,FALSE),0)</x:f>
        <x:v>0</x:v>
      </x:c>
      <x:c r="H2111">
        <x:f>ROUND($C2111*10*VLOOKUP($B2111,Sheet2!$J$5:$K$7,2,FALSE)*VLOOKUP(Sheet1!$A2111,Sheet2!$B$5:$H$29,7,FALSE),0)</x:f>
        <x:v>0</x:v>
      </x:c>
      <x:c r="I2111">
        <x:f t="shared" si="35"/>
        <x:v>6670</x:v>
      </x:c>
    </x:row>
    <x:row r="2112" spans="1:9" x14ac:dyDescent="0.15">
      <x:c r="A2112">
        <x:v>54102</x:v>
      </x:c>
      <x:c r="B2112">
        <x:v>3</x:v>
      </x:c>
      <x:c r="C2112">
        <x:v>11</x:v>
      </x:c>
      <x:c r="D2112">
        <x:f>ROUND($C2112*10*VLOOKUP($B2112,Sheet2!$J$5:$K$7,2,FALSE)*VLOOKUP(Sheet1!$A2112,Sheet2!$B$5:$H$29,3,FALSE),0)</x:f>
        <x:v>0</x:v>
      </x:c>
      <x:c r="E2112">
        <x:f>ROUND($C2112*10*VLOOKUP($B2112,Sheet2!$J$5:$K$7,2,FALSE)*VLOOKUP(Sheet1!$A2112,Sheet2!$B$5:$H$29,4,FALSE),0)</x:f>
        <x:v>44</x:v>
      </x:c>
      <x:c r="F2112">
        <x:f>ROUND($C2112*10*VLOOKUP($B2112,Sheet2!$J$5:$K$7,2,FALSE)*VLOOKUP(Sheet1!$A2112,Sheet2!$B$5:$H$29,5,FALSE),0)</x:f>
        <x:v>106</x:v>
      </x:c>
      <x:c r="G2112">
        <x:f>ROUND($C2112*10*VLOOKUP($B2112,Sheet2!$J$5:$K$7,2,FALSE)*VLOOKUP(Sheet1!$A2112,Sheet2!$B$5:$H$29,6,FALSE),0)</x:f>
        <x:v>0</x:v>
      </x:c>
      <x:c r="H2112">
        <x:f>ROUND($C2112*10*VLOOKUP($B2112,Sheet2!$J$5:$K$7,2,FALSE)*VLOOKUP(Sheet1!$A2112,Sheet2!$B$5:$H$29,7,FALSE),0)</x:f>
        <x:v>0</x:v>
      </x:c>
      <x:c r="I2112">
        <x:f t="shared" si="35"/>
        <x:v>8040</x:v>
      </x:c>
    </x:row>
    <x:row r="2113" spans="1:9" x14ac:dyDescent="0.15">
      <x:c r="A2113">
        <x:v>54102</x:v>
      </x:c>
      <x:c r="B2113">
        <x:v>3</x:v>
      </x:c>
      <x:c r="C2113">
        <x:v>12</x:v>
      </x:c>
      <x:c r="D2113">
        <x:f>ROUND($C2113*10*VLOOKUP($B2113,Sheet2!$J$5:$K$7,2,FALSE)*VLOOKUP(Sheet1!$A2113,Sheet2!$B$5:$H$29,3,FALSE),0)</x:f>
        <x:v>0</x:v>
      </x:c>
      <x:c r="E2113">
        <x:f>ROUND($C2113*10*VLOOKUP($B2113,Sheet2!$J$5:$K$7,2,FALSE)*VLOOKUP(Sheet1!$A2113,Sheet2!$B$5:$H$29,4,FALSE),0)</x:f>
        <x:v>48</x:v>
      </x:c>
      <x:c r="F2113">
        <x:f>ROUND($C2113*10*VLOOKUP($B2113,Sheet2!$J$5:$K$7,2,FALSE)*VLOOKUP(Sheet1!$A2113,Sheet2!$B$5:$H$29,5,FALSE),0)</x:f>
        <x:v>115</x:v>
      </x:c>
      <x:c r="G2113">
        <x:f>ROUND($C2113*10*VLOOKUP($B2113,Sheet2!$J$5:$K$7,2,FALSE)*VLOOKUP(Sheet1!$A2113,Sheet2!$B$5:$H$29,6,FALSE),0)</x:f>
        <x:v>0</x:v>
      </x:c>
      <x:c r="H2113">
        <x:f>ROUND($C2113*10*VLOOKUP($B2113,Sheet2!$J$5:$K$7,2,FALSE)*VLOOKUP(Sheet1!$A2113,Sheet2!$B$5:$H$29,7,FALSE),0)</x:f>
        <x:v>0</x:v>
      </x:c>
      <x:c r="I2113">
        <x:f t="shared" si="35"/>
        <x:v>9530</x:v>
      </x:c>
    </x:row>
    <x:row r="2114" spans="1:9" x14ac:dyDescent="0.15">
      <x:c r="A2114">
        <x:v>54102</x:v>
      </x:c>
      <x:c r="B2114">
        <x:v>3</x:v>
      </x:c>
      <x:c r="C2114">
        <x:v>13</x:v>
      </x:c>
      <x:c r="D2114">
        <x:f>ROUND($C2114*10*VLOOKUP($B2114,Sheet2!$J$5:$K$7,2,FALSE)*VLOOKUP(Sheet1!$A2114,Sheet2!$B$5:$H$29,3,FALSE),0)</x:f>
        <x:v>0</x:v>
      </x:c>
      <x:c r="E2114">
        <x:f>ROUND($C2114*10*VLOOKUP($B2114,Sheet2!$J$5:$K$7,2,FALSE)*VLOOKUP(Sheet1!$A2114,Sheet2!$B$5:$H$29,4,FALSE),0)</x:f>
        <x:v>52</x:v>
      </x:c>
      <x:c r="F2114">
        <x:f>ROUND($C2114*10*VLOOKUP($B2114,Sheet2!$J$5:$K$7,2,FALSE)*VLOOKUP(Sheet1!$A2114,Sheet2!$B$5:$H$29,5,FALSE),0)</x:f>
        <x:v>125</x:v>
      </x:c>
      <x:c r="G2114">
        <x:f>ROUND($C2114*10*VLOOKUP($B2114,Sheet2!$J$5:$K$7,2,FALSE)*VLOOKUP(Sheet1!$A2114,Sheet2!$B$5:$H$29,6,FALSE),0)</x:f>
        <x:v>0</x:v>
      </x:c>
      <x:c r="H2114">
        <x:f>ROUND($C2114*10*VLOOKUP($B2114,Sheet2!$J$5:$K$7,2,FALSE)*VLOOKUP(Sheet1!$A2114,Sheet2!$B$5:$H$29,7,FALSE),0)</x:f>
        <x:v>0</x:v>
      </x:c>
      <x:c r="I2114">
        <x:f t="shared" si="35"/>
        <x:v>11130</x:v>
      </x:c>
    </x:row>
    <x:row r="2115" spans="1:9" x14ac:dyDescent="0.15">
      <x:c r="A2115">
        <x:v>54102</x:v>
      </x:c>
      <x:c r="B2115">
        <x:v>3</x:v>
      </x:c>
      <x:c r="C2115">
        <x:v>14</x:v>
      </x:c>
      <x:c r="D2115">
        <x:f>ROUND($C2115*10*VLOOKUP($B2115,Sheet2!$J$5:$K$7,2,FALSE)*VLOOKUP(Sheet1!$A2115,Sheet2!$B$5:$H$29,3,FALSE),0)</x:f>
        <x:v>0</x:v>
      </x:c>
      <x:c r="E2115">
        <x:f>ROUND($C2115*10*VLOOKUP($B2115,Sheet2!$J$5:$K$7,2,FALSE)*VLOOKUP(Sheet1!$A2115,Sheet2!$B$5:$H$29,4,FALSE),0)</x:f>
        <x:v>56</x:v>
      </x:c>
      <x:c r="F2115">
        <x:f>ROUND($C2115*10*VLOOKUP($B2115,Sheet2!$J$5:$K$7,2,FALSE)*VLOOKUP(Sheet1!$A2115,Sheet2!$B$5:$H$29,5,FALSE),0)</x:f>
        <x:v>134</x:v>
      </x:c>
      <x:c r="G2115">
        <x:f>ROUND($C2115*10*VLOOKUP($B2115,Sheet2!$J$5:$K$7,2,FALSE)*VLOOKUP(Sheet1!$A2115,Sheet2!$B$5:$H$29,6,FALSE),0)</x:f>
        <x:v>0</x:v>
      </x:c>
      <x:c r="H2115">
        <x:f>ROUND($C2115*10*VLOOKUP($B2115,Sheet2!$J$5:$K$7,2,FALSE)*VLOOKUP(Sheet1!$A2115,Sheet2!$B$5:$H$29,7,FALSE),0)</x:f>
        <x:v>0</x:v>
      </x:c>
      <x:c r="I2115">
        <x:f t="shared" si="35"/>
        <x:v>12840</x:v>
      </x:c>
    </x:row>
    <x:row r="2116" spans="1:9" x14ac:dyDescent="0.15">
      <x:c r="A2116">
        <x:v>54102</x:v>
      </x:c>
      <x:c r="B2116">
        <x:v>3</x:v>
      </x:c>
      <x:c r="C2116">
        <x:v>15</x:v>
      </x:c>
      <x:c r="D2116">
        <x:f>ROUND($C2116*10*VLOOKUP($B2116,Sheet2!$J$5:$K$7,2,FALSE)*VLOOKUP(Sheet1!$A2116,Sheet2!$B$5:$H$29,3,FALSE),0)</x:f>
        <x:v>0</x:v>
      </x:c>
      <x:c r="E2116">
        <x:f>ROUND($C2116*10*VLOOKUP($B2116,Sheet2!$J$5:$K$7,2,FALSE)*VLOOKUP(Sheet1!$A2116,Sheet2!$B$5:$H$29,4,FALSE),0)</x:f>
        <x:v>60</x:v>
      </x:c>
      <x:c r="F2116">
        <x:f>ROUND($C2116*10*VLOOKUP($B2116,Sheet2!$J$5:$K$7,2,FALSE)*VLOOKUP(Sheet1!$A2116,Sheet2!$B$5:$H$29,5,FALSE),0)</x:f>
        <x:v>144</x:v>
      </x:c>
      <x:c r="G2116">
        <x:f>ROUND($C2116*10*VLOOKUP($B2116,Sheet2!$J$5:$K$7,2,FALSE)*VLOOKUP(Sheet1!$A2116,Sheet2!$B$5:$H$29,6,FALSE),0)</x:f>
        <x:v>0</x:v>
      </x:c>
      <x:c r="H2116">
        <x:f>ROUND($C2116*10*VLOOKUP($B2116,Sheet2!$J$5:$K$7,2,FALSE)*VLOOKUP(Sheet1!$A2116,Sheet2!$B$5:$H$29,7,FALSE),0)</x:f>
        <x:v>0</x:v>
      </x:c>
      <x:c r="I2116">
        <x:f t="shared" si="35"/>
        <x:v>14660</x:v>
      </x:c>
    </x:row>
    <x:row r="2117" spans="1:9" x14ac:dyDescent="0.15">
      <x:c r="A2117">
        <x:v>54102</x:v>
      </x:c>
      <x:c r="B2117">
        <x:v>3</x:v>
      </x:c>
      <x:c r="C2117">
        <x:v>16</x:v>
      </x:c>
      <x:c r="D2117">
        <x:f>ROUND($C2117*10*VLOOKUP($B2117,Sheet2!$J$5:$K$7,2,FALSE)*VLOOKUP(Sheet1!$A2117,Sheet2!$B$5:$H$29,3,FALSE),0)</x:f>
        <x:v>0</x:v>
      </x:c>
      <x:c r="E2117">
        <x:f>ROUND($C2117*10*VLOOKUP($B2117,Sheet2!$J$5:$K$7,2,FALSE)*VLOOKUP(Sheet1!$A2117,Sheet2!$B$5:$H$29,4,FALSE),0)</x:f>
        <x:v>64</x:v>
      </x:c>
      <x:c r="F2117">
        <x:f>ROUND($C2117*10*VLOOKUP($B2117,Sheet2!$J$5:$K$7,2,FALSE)*VLOOKUP(Sheet1!$A2117,Sheet2!$B$5:$H$29,5,FALSE),0)</x:f>
        <x:v>154</x:v>
      </x:c>
      <x:c r="G2117">
        <x:f>ROUND($C2117*10*VLOOKUP($B2117,Sheet2!$J$5:$K$7,2,FALSE)*VLOOKUP(Sheet1!$A2117,Sheet2!$B$5:$H$29,6,FALSE),0)</x:f>
        <x:v>0</x:v>
      </x:c>
      <x:c r="H2117">
        <x:f>ROUND($C2117*10*VLOOKUP($B2117,Sheet2!$J$5:$K$7,2,FALSE)*VLOOKUP(Sheet1!$A2117,Sheet2!$B$5:$H$29,7,FALSE),0)</x:f>
        <x:v>0</x:v>
      </x:c>
      <x:c r="I2117">
        <x:f t="shared" si="35"/>
        <x:v>16580</x:v>
      </x:c>
    </x:row>
    <x:row r="2118" spans="1:9" x14ac:dyDescent="0.15">
      <x:c r="A2118">
        <x:v>54102</x:v>
      </x:c>
      <x:c r="B2118">
        <x:v>3</x:v>
      </x:c>
      <x:c r="C2118">
        <x:v>17</x:v>
      </x:c>
      <x:c r="D2118">
        <x:f>ROUND($C2118*10*VLOOKUP($B2118,Sheet2!$J$5:$K$7,2,FALSE)*VLOOKUP(Sheet1!$A2118,Sheet2!$B$5:$H$29,3,FALSE),0)</x:f>
        <x:v>0</x:v>
      </x:c>
      <x:c r="E2118">
        <x:f>ROUND($C2118*10*VLOOKUP($B2118,Sheet2!$J$5:$K$7,2,FALSE)*VLOOKUP(Sheet1!$A2118,Sheet2!$B$5:$H$29,4,FALSE),0)</x:f>
        <x:v>68</x:v>
      </x:c>
      <x:c r="F2118">
        <x:f>ROUND($C2118*10*VLOOKUP($B2118,Sheet2!$J$5:$K$7,2,FALSE)*VLOOKUP(Sheet1!$A2118,Sheet2!$B$5:$H$29,5,FALSE),0)</x:f>
        <x:v>163</x:v>
      </x:c>
      <x:c r="G2118">
        <x:f>ROUND($C2118*10*VLOOKUP($B2118,Sheet2!$J$5:$K$7,2,FALSE)*VLOOKUP(Sheet1!$A2118,Sheet2!$B$5:$H$29,6,FALSE),0)</x:f>
        <x:v>0</x:v>
      </x:c>
      <x:c r="H2118">
        <x:f>ROUND($C2118*10*VLOOKUP($B2118,Sheet2!$J$5:$K$7,2,FALSE)*VLOOKUP(Sheet1!$A2118,Sheet2!$B$5:$H$29,7,FALSE),0)</x:f>
        <x:v>0</x:v>
      </x:c>
      <x:c r="I2118">
        <x:f t="shared" si="35"/>
        <x:v>18620</x:v>
      </x:c>
    </x:row>
    <x:row r="2119" spans="1:9" x14ac:dyDescent="0.15">
      <x:c r="A2119">
        <x:v>54102</x:v>
      </x:c>
      <x:c r="B2119">
        <x:v>3</x:v>
      </x:c>
      <x:c r="C2119">
        <x:v>18</x:v>
      </x:c>
      <x:c r="D2119">
        <x:f>ROUND($C2119*10*VLOOKUP($B2119,Sheet2!$J$5:$K$7,2,FALSE)*VLOOKUP(Sheet1!$A2119,Sheet2!$B$5:$H$29,3,FALSE),0)</x:f>
        <x:v>0</x:v>
      </x:c>
      <x:c r="E2119">
        <x:f>ROUND($C2119*10*VLOOKUP($B2119,Sheet2!$J$5:$K$7,2,FALSE)*VLOOKUP(Sheet1!$A2119,Sheet2!$B$5:$H$29,4,FALSE),0)</x:f>
        <x:v>72</x:v>
      </x:c>
      <x:c r="F2119">
        <x:f>ROUND($C2119*10*VLOOKUP($B2119,Sheet2!$J$5:$K$7,2,FALSE)*VLOOKUP(Sheet1!$A2119,Sheet2!$B$5:$H$29,5,FALSE),0)</x:f>
        <x:v>173</x:v>
      </x:c>
      <x:c r="G2119">
        <x:f>ROUND($C2119*10*VLOOKUP($B2119,Sheet2!$J$5:$K$7,2,FALSE)*VLOOKUP(Sheet1!$A2119,Sheet2!$B$5:$H$29,6,FALSE),0)</x:f>
        <x:v>0</x:v>
      </x:c>
      <x:c r="H2119">
        <x:f>ROUND($C2119*10*VLOOKUP($B2119,Sheet2!$J$5:$K$7,2,FALSE)*VLOOKUP(Sheet1!$A2119,Sheet2!$B$5:$H$29,7,FALSE),0)</x:f>
        <x:v>0</x:v>
      </x:c>
      <x:c r="I2119">
        <x:f t="shared" si="35"/>
        <x:v>20750</x:v>
      </x:c>
    </x:row>
    <x:row r="2120" spans="1:9" x14ac:dyDescent="0.15">
      <x:c r="A2120">
        <x:v>54102</x:v>
      </x:c>
      <x:c r="B2120">
        <x:v>3</x:v>
      </x:c>
      <x:c r="C2120">
        <x:v>19</x:v>
      </x:c>
      <x:c r="D2120">
        <x:f>ROUND($C2120*10*VLOOKUP($B2120,Sheet2!$J$5:$K$7,2,FALSE)*VLOOKUP(Sheet1!$A2120,Sheet2!$B$5:$H$29,3,FALSE),0)</x:f>
        <x:v>0</x:v>
      </x:c>
      <x:c r="E2120">
        <x:f>ROUND($C2120*10*VLOOKUP($B2120,Sheet2!$J$5:$K$7,2,FALSE)*VLOOKUP(Sheet1!$A2120,Sheet2!$B$5:$H$29,4,FALSE),0)</x:f>
        <x:v>76</x:v>
      </x:c>
      <x:c r="F2120">
        <x:f>ROUND($C2120*10*VLOOKUP($B2120,Sheet2!$J$5:$K$7,2,FALSE)*VLOOKUP(Sheet1!$A2120,Sheet2!$B$5:$H$29,5,FALSE),0)</x:f>
        <x:v>182</x:v>
      </x:c>
      <x:c r="G2120">
        <x:f>ROUND($C2120*10*VLOOKUP($B2120,Sheet2!$J$5:$K$7,2,FALSE)*VLOOKUP(Sheet1!$A2120,Sheet2!$B$5:$H$29,6,FALSE),0)</x:f>
        <x:v>0</x:v>
      </x:c>
      <x:c r="H2120">
        <x:f>ROUND($C2120*10*VLOOKUP($B2120,Sheet2!$J$5:$K$7,2,FALSE)*VLOOKUP(Sheet1!$A2120,Sheet2!$B$5:$H$29,7,FALSE),0)</x:f>
        <x:v>0</x:v>
      </x:c>
      <x:c r="I2120">
        <x:f t="shared" si="35"/>
        <x:v>22990</x:v>
      </x:c>
    </x:row>
    <x:row r="2121" spans="1:9" x14ac:dyDescent="0.15">
      <x:c r="A2121">
        <x:v>54102</x:v>
      </x:c>
      <x:c r="B2121">
        <x:v>3</x:v>
      </x:c>
      <x:c r="C2121">
        <x:v>20</x:v>
      </x:c>
      <x:c r="D2121">
        <x:f>ROUND($C2121*10*VLOOKUP($B2121,Sheet2!$J$5:$K$7,2,FALSE)*VLOOKUP(Sheet1!$A2121,Sheet2!$B$5:$H$29,3,FALSE),0)</x:f>
        <x:v>0</x:v>
      </x:c>
      <x:c r="E2121">
        <x:f>ROUND($C2121*10*VLOOKUP($B2121,Sheet2!$J$5:$K$7,2,FALSE)*VLOOKUP(Sheet1!$A2121,Sheet2!$B$5:$H$29,4,FALSE),0)</x:f>
        <x:v>80</x:v>
      </x:c>
      <x:c r="F2121">
        <x:f>ROUND($C2121*10*VLOOKUP($B2121,Sheet2!$J$5:$K$7,2,FALSE)*VLOOKUP(Sheet1!$A2121,Sheet2!$B$5:$H$29,5,FALSE),0)</x:f>
        <x:v>192</x:v>
      </x:c>
      <x:c r="G2121">
        <x:f>ROUND($C2121*10*VLOOKUP($B2121,Sheet2!$J$5:$K$7,2,FALSE)*VLOOKUP(Sheet1!$A2121,Sheet2!$B$5:$H$29,6,FALSE),0)</x:f>
        <x:v>0</x:v>
      </x:c>
      <x:c r="H2121">
        <x:f>ROUND($C2121*10*VLOOKUP($B2121,Sheet2!$J$5:$K$7,2,FALSE)*VLOOKUP(Sheet1!$A2121,Sheet2!$B$5:$H$29,7,FALSE),0)</x:f>
        <x:v>0</x:v>
      </x:c>
      <x:c r="I2121">
        <x:f t="shared" si="35"/>
        <x:v>25330</x:v>
      </x:c>
    </x:row>
    <x:row r="2122" spans="1:9" x14ac:dyDescent="0.15">
      <x:c r="A2122">
        <x:v>54102</x:v>
      </x:c>
      <x:c r="B2122">
        <x:v>3</x:v>
      </x:c>
      <x:c r="C2122">
        <x:v>21</x:v>
      </x:c>
      <x:c r="D2122">
        <x:f>ROUND($C2122*10*VLOOKUP($B2122,Sheet2!$J$5:$K$7,2,FALSE)*VLOOKUP(Sheet1!$A2122,Sheet2!$B$5:$H$29,3,FALSE),0)</x:f>
        <x:v>0</x:v>
      </x:c>
      <x:c r="E2122">
        <x:f>ROUND($C2122*10*VLOOKUP($B2122,Sheet2!$J$5:$K$7,2,FALSE)*VLOOKUP(Sheet1!$A2122,Sheet2!$B$5:$H$29,4,FALSE),0)</x:f>
        <x:v>84</x:v>
      </x:c>
      <x:c r="F2122">
        <x:f>ROUND($C2122*10*VLOOKUP($B2122,Sheet2!$J$5:$K$7,2,FALSE)*VLOOKUP(Sheet1!$A2122,Sheet2!$B$5:$H$29,5,FALSE),0)</x:f>
        <x:v>202</x:v>
      </x:c>
      <x:c r="G2122">
        <x:f>ROUND($C2122*10*VLOOKUP($B2122,Sheet2!$J$5:$K$7,2,FALSE)*VLOOKUP(Sheet1!$A2122,Sheet2!$B$5:$H$29,6,FALSE),0)</x:f>
        <x:v>0</x:v>
      </x:c>
      <x:c r="H2122">
        <x:f>ROUND($C2122*10*VLOOKUP($B2122,Sheet2!$J$5:$K$7,2,FALSE)*VLOOKUP(Sheet1!$A2122,Sheet2!$B$5:$H$29,7,FALSE),0)</x:f>
        <x:v>0</x:v>
      </x:c>
      <x:c r="I2122">
        <x:f t="shared" si="35"/>
        <x:v>27770</x:v>
      </x:c>
    </x:row>
    <x:row r="2123" spans="1:9" x14ac:dyDescent="0.15">
      <x:c r="A2123">
        <x:v>54102</x:v>
      </x:c>
      <x:c r="B2123">
        <x:v>3</x:v>
      </x:c>
      <x:c r="C2123">
        <x:v>22</x:v>
      </x:c>
      <x:c r="D2123">
        <x:f>ROUND($C2123*10*VLOOKUP($B2123,Sheet2!$J$5:$K$7,2,FALSE)*VLOOKUP(Sheet1!$A2123,Sheet2!$B$5:$H$29,3,FALSE),0)</x:f>
        <x:v>0</x:v>
      </x:c>
      <x:c r="E2123">
        <x:f>ROUND($C2123*10*VLOOKUP($B2123,Sheet2!$J$5:$K$7,2,FALSE)*VLOOKUP(Sheet1!$A2123,Sheet2!$B$5:$H$29,4,FALSE),0)</x:f>
        <x:v>88</x:v>
      </x:c>
      <x:c r="F2123">
        <x:f>ROUND($C2123*10*VLOOKUP($B2123,Sheet2!$J$5:$K$7,2,FALSE)*VLOOKUP(Sheet1!$A2123,Sheet2!$B$5:$H$29,5,FALSE),0)</x:f>
        <x:v>211</x:v>
      </x:c>
      <x:c r="G2123">
        <x:f>ROUND($C2123*10*VLOOKUP($B2123,Sheet2!$J$5:$K$7,2,FALSE)*VLOOKUP(Sheet1!$A2123,Sheet2!$B$5:$H$29,6,FALSE),0)</x:f>
        <x:v>0</x:v>
      </x:c>
      <x:c r="H2123">
        <x:f>ROUND($C2123*10*VLOOKUP($B2123,Sheet2!$J$5:$K$7,2,FALSE)*VLOOKUP(Sheet1!$A2123,Sheet2!$B$5:$H$29,7,FALSE),0)</x:f>
        <x:v>0</x:v>
      </x:c>
      <x:c r="I2123">
        <x:f t="shared" si="35"/>
        <x:v>30310</x:v>
      </x:c>
    </x:row>
    <x:row r="2124" spans="1:9" x14ac:dyDescent="0.15">
      <x:c r="A2124">
        <x:v>54102</x:v>
      </x:c>
      <x:c r="B2124">
        <x:v>3</x:v>
      </x:c>
      <x:c r="C2124">
        <x:v>23</x:v>
      </x:c>
      <x:c r="D2124">
        <x:f>ROUND($C2124*10*VLOOKUP($B2124,Sheet2!$J$5:$K$7,2,FALSE)*VLOOKUP(Sheet1!$A2124,Sheet2!$B$5:$H$29,3,FALSE),0)</x:f>
        <x:v>0</x:v>
      </x:c>
      <x:c r="E2124">
        <x:f>ROUND($C2124*10*VLOOKUP($B2124,Sheet2!$J$5:$K$7,2,FALSE)*VLOOKUP(Sheet1!$A2124,Sheet2!$B$5:$H$29,4,FALSE),0)</x:f>
        <x:v>92</x:v>
      </x:c>
      <x:c r="F2124">
        <x:f>ROUND($C2124*10*VLOOKUP($B2124,Sheet2!$J$5:$K$7,2,FALSE)*VLOOKUP(Sheet1!$A2124,Sheet2!$B$5:$H$29,5,FALSE),0)</x:f>
        <x:v>221</x:v>
      </x:c>
      <x:c r="G2124">
        <x:f>ROUND($C2124*10*VLOOKUP($B2124,Sheet2!$J$5:$K$7,2,FALSE)*VLOOKUP(Sheet1!$A2124,Sheet2!$B$5:$H$29,6,FALSE),0)</x:f>
        <x:v>0</x:v>
      </x:c>
      <x:c r="H2124">
        <x:f>ROUND($C2124*10*VLOOKUP($B2124,Sheet2!$J$5:$K$7,2,FALSE)*VLOOKUP(Sheet1!$A2124,Sheet2!$B$5:$H$29,7,FALSE),0)</x:f>
        <x:v>0</x:v>
      </x:c>
      <x:c r="I2124">
        <x:f t="shared" si="35"/>
        <x:v>32950</x:v>
      </x:c>
    </x:row>
    <x:row r="2125" spans="1:9" x14ac:dyDescent="0.15">
      <x:c r="A2125">
        <x:v>54102</x:v>
      </x:c>
      <x:c r="B2125">
        <x:v>3</x:v>
      </x:c>
      <x:c r="C2125">
        <x:v>24</x:v>
      </x:c>
      <x:c r="D2125">
        <x:f>ROUND($C2125*10*VLOOKUP($B2125,Sheet2!$J$5:$K$7,2,FALSE)*VLOOKUP(Sheet1!$A2125,Sheet2!$B$5:$H$29,3,FALSE),0)</x:f>
        <x:v>0</x:v>
      </x:c>
      <x:c r="E2125">
        <x:f>ROUND($C2125*10*VLOOKUP($B2125,Sheet2!$J$5:$K$7,2,FALSE)*VLOOKUP(Sheet1!$A2125,Sheet2!$B$5:$H$29,4,FALSE),0)</x:f>
        <x:v>96</x:v>
      </x:c>
      <x:c r="F2125">
        <x:f>ROUND($C2125*10*VLOOKUP($B2125,Sheet2!$J$5:$K$7,2,FALSE)*VLOOKUP(Sheet1!$A2125,Sheet2!$B$5:$H$29,5,FALSE),0)</x:f>
        <x:v>230</x:v>
      </x:c>
      <x:c r="G2125">
        <x:f>ROUND($C2125*10*VLOOKUP($B2125,Sheet2!$J$5:$K$7,2,FALSE)*VLOOKUP(Sheet1!$A2125,Sheet2!$B$5:$H$29,6,FALSE),0)</x:f>
        <x:v>0</x:v>
      </x:c>
      <x:c r="H2125">
        <x:f>ROUND($C2125*10*VLOOKUP($B2125,Sheet2!$J$5:$K$7,2,FALSE)*VLOOKUP(Sheet1!$A2125,Sheet2!$B$5:$H$29,7,FALSE),0)</x:f>
        <x:v>0</x:v>
      </x:c>
      <x:c r="I2125">
        <x:f t="shared" si="35"/>
        <x:v>35690</x:v>
      </x:c>
    </x:row>
    <x:row r="2126" spans="1:9" x14ac:dyDescent="0.15">
      <x:c r="A2126">
        <x:v>54102</x:v>
      </x:c>
      <x:c r="B2126">
        <x:v>3</x:v>
      </x:c>
      <x:c r="C2126">
        <x:v>25</x:v>
      </x:c>
      <x:c r="D2126">
        <x:f>ROUND($C2126*10*VLOOKUP($B2126,Sheet2!$J$5:$K$7,2,FALSE)*VLOOKUP(Sheet1!$A2126,Sheet2!$B$5:$H$29,3,FALSE),0)</x:f>
        <x:v>0</x:v>
      </x:c>
      <x:c r="E2126">
        <x:f>ROUND($C2126*10*VLOOKUP($B2126,Sheet2!$J$5:$K$7,2,FALSE)*VLOOKUP(Sheet1!$A2126,Sheet2!$B$5:$H$29,4,FALSE),0)</x:f>
        <x:v>100</x:v>
      </x:c>
      <x:c r="F2126">
        <x:f>ROUND($C2126*10*VLOOKUP($B2126,Sheet2!$J$5:$K$7,2,FALSE)*VLOOKUP(Sheet1!$A2126,Sheet2!$B$5:$H$29,5,FALSE),0)</x:f>
        <x:v>240</x:v>
      </x:c>
      <x:c r="G2126">
        <x:f>ROUND($C2126*10*VLOOKUP($B2126,Sheet2!$J$5:$K$7,2,FALSE)*VLOOKUP(Sheet1!$A2126,Sheet2!$B$5:$H$29,6,FALSE),0)</x:f>
        <x:v>0</x:v>
      </x:c>
      <x:c r="H2126">
        <x:f>ROUND($C2126*10*VLOOKUP($B2126,Sheet2!$J$5:$K$7,2,FALSE)*VLOOKUP(Sheet1!$A2126,Sheet2!$B$5:$H$29,7,FALSE),0)</x:f>
        <x:v>0</x:v>
      </x:c>
      <x:c r="I2126">
        <x:f t="shared" si="35"/>
        <x:v>38530</x:v>
      </x:c>
    </x:row>
    <x:row r="2127" spans="1:9" x14ac:dyDescent="0.15">
      <x:c r="A2127">
        <x:v>54102</x:v>
      </x:c>
      <x:c r="B2127">
        <x:v>3</x:v>
      </x:c>
      <x:c r="C2127">
        <x:v>26</x:v>
      </x:c>
      <x:c r="D2127">
        <x:f>ROUND($C2127*10*VLOOKUP($B2127,Sheet2!$J$5:$K$7,2,FALSE)*VLOOKUP(Sheet1!$A2127,Sheet2!$B$5:$H$29,3,FALSE),0)</x:f>
        <x:v>0</x:v>
      </x:c>
      <x:c r="E2127">
        <x:f>ROUND($C2127*10*VLOOKUP($B2127,Sheet2!$J$5:$K$7,2,FALSE)*VLOOKUP(Sheet1!$A2127,Sheet2!$B$5:$H$29,4,FALSE),0)</x:f>
        <x:v>104</x:v>
      </x:c>
      <x:c r="F2127">
        <x:f>ROUND($C2127*10*VLOOKUP($B2127,Sheet2!$J$5:$K$7,2,FALSE)*VLOOKUP(Sheet1!$A2127,Sheet2!$B$5:$H$29,5,FALSE),0)</x:f>
        <x:v>250</x:v>
      </x:c>
      <x:c r="G2127">
        <x:f>ROUND($C2127*10*VLOOKUP($B2127,Sheet2!$J$5:$K$7,2,FALSE)*VLOOKUP(Sheet1!$A2127,Sheet2!$B$5:$H$29,6,FALSE),0)</x:f>
        <x:v>0</x:v>
      </x:c>
      <x:c r="H2127">
        <x:f>ROUND($C2127*10*VLOOKUP($B2127,Sheet2!$J$5:$K$7,2,FALSE)*VLOOKUP(Sheet1!$A2127,Sheet2!$B$5:$H$29,7,FALSE),0)</x:f>
        <x:v>0</x:v>
      </x:c>
      <x:c r="I2127">
        <x:f t="shared" si="35"/>
        <x:v>41460</x:v>
      </x:c>
    </x:row>
    <x:row r="2128" spans="1:9" x14ac:dyDescent="0.15">
      <x:c r="A2128">
        <x:v>54102</x:v>
      </x:c>
      <x:c r="B2128">
        <x:v>3</x:v>
      </x:c>
      <x:c r="C2128">
        <x:v>27</x:v>
      </x:c>
      <x:c r="D2128">
        <x:f>ROUND($C2128*10*VLOOKUP($B2128,Sheet2!$J$5:$K$7,2,FALSE)*VLOOKUP(Sheet1!$A2128,Sheet2!$B$5:$H$29,3,FALSE),0)</x:f>
        <x:v>0</x:v>
      </x:c>
      <x:c r="E2128">
        <x:f>ROUND($C2128*10*VLOOKUP($B2128,Sheet2!$J$5:$K$7,2,FALSE)*VLOOKUP(Sheet1!$A2128,Sheet2!$B$5:$H$29,4,FALSE),0)</x:f>
        <x:v>108</x:v>
      </x:c>
      <x:c r="F2128">
        <x:f>ROUND($C2128*10*VLOOKUP($B2128,Sheet2!$J$5:$K$7,2,FALSE)*VLOOKUP(Sheet1!$A2128,Sheet2!$B$5:$H$29,5,FALSE),0)</x:f>
        <x:v>259</x:v>
      </x:c>
      <x:c r="G2128">
        <x:f>ROUND($C2128*10*VLOOKUP($B2128,Sheet2!$J$5:$K$7,2,FALSE)*VLOOKUP(Sheet1!$A2128,Sheet2!$B$5:$H$29,6,FALSE),0)</x:f>
        <x:v>0</x:v>
      </x:c>
      <x:c r="H2128">
        <x:f>ROUND($C2128*10*VLOOKUP($B2128,Sheet2!$J$5:$K$7,2,FALSE)*VLOOKUP(Sheet1!$A2128,Sheet2!$B$5:$H$29,7,FALSE),0)</x:f>
        <x:v>0</x:v>
      </x:c>
      <x:c r="I2128">
        <x:f t="shared" si="35"/>
        <x:v>44480</x:v>
      </x:c>
    </x:row>
    <x:row r="2129" spans="1:9" x14ac:dyDescent="0.15">
      <x:c r="A2129">
        <x:v>54102</x:v>
      </x:c>
      <x:c r="B2129">
        <x:v>3</x:v>
      </x:c>
      <x:c r="C2129">
        <x:v>28</x:v>
      </x:c>
      <x:c r="D2129">
        <x:f>ROUND($C2129*10*VLOOKUP($B2129,Sheet2!$J$5:$K$7,2,FALSE)*VLOOKUP(Sheet1!$A2129,Sheet2!$B$5:$H$29,3,FALSE),0)</x:f>
        <x:v>0</x:v>
      </x:c>
      <x:c r="E2129">
        <x:f>ROUND($C2129*10*VLOOKUP($B2129,Sheet2!$J$5:$K$7,2,FALSE)*VLOOKUP(Sheet1!$A2129,Sheet2!$B$5:$H$29,4,FALSE),0)</x:f>
        <x:v>112</x:v>
      </x:c>
      <x:c r="F2129">
        <x:f>ROUND($C2129*10*VLOOKUP($B2129,Sheet2!$J$5:$K$7,2,FALSE)*VLOOKUP(Sheet1!$A2129,Sheet2!$B$5:$H$29,5,FALSE),0)</x:f>
        <x:v>269</x:v>
      </x:c>
      <x:c r="G2129">
        <x:f>ROUND($C2129*10*VLOOKUP($B2129,Sheet2!$J$5:$K$7,2,FALSE)*VLOOKUP(Sheet1!$A2129,Sheet2!$B$5:$H$29,6,FALSE),0)</x:f>
        <x:v>0</x:v>
      </x:c>
      <x:c r="H2129">
        <x:f>ROUND($C2129*10*VLOOKUP($B2129,Sheet2!$J$5:$K$7,2,FALSE)*VLOOKUP(Sheet1!$A2129,Sheet2!$B$5:$H$29,7,FALSE),0)</x:f>
        <x:v>0</x:v>
      </x:c>
      <x:c r="I2129">
        <x:f t="shared" si="35"/>
        <x:v>47600</x:v>
      </x:c>
    </x:row>
    <x:row r="2130" spans="1:9" x14ac:dyDescent="0.15">
      <x:c r="A2130">
        <x:v>54102</x:v>
      </x:c>
      <x:c r="B2130">
        <x:v>3</x:v>
      </x:c>
      <x:c r="C2130">
        <x:v>29</x:v>
      </x:c>
      <x:c r="D2130">
        <x:f>ROUND($C2130*10*VLOOKUP($B2130,Sheet2!$J$5:$K$7,2,FALSE)*VLOOKUP(Sheet1!$A2130,Sheet2!$B$5:$H$29,3,FALSE),0)</x:f>
        <x:v>0</x:v>
      </x:c>
      <x:c r="E2130">
        <x:f>ROUND($C2130*10*VLOOKUP($B2130,Sheet2!$J$5:$K$7,2,FALSE)*VLOOKUP(Sheet1!$A2130,Sheet2!$B$5:$H$29,4,FALSE),0)</x:f>
        <x:v>116</x:v>
      </x:c>
      <x:c r="F2130">
        <x:f>ROUND($C2130*10*VLOOKUP($B2130,Sheet2!$J$5:$K$7,2,FALSE)*VLOOKUP(Sheet1!$A2130,Sheet2!$B$5:$H$29,5,FALSE),0)</x:f>
        <x:v>278</x:v>
      </x:c>
      <x:c r="G2130">
        <x:f>ROUND($C2130*10*VLOOKUP($B2130,Sheet2!$J$5:$K$7,2,FALSE)*VLOOKUP(Sheet1!$A2130,Sheet2!$B$5:$H$29,6,FALSE),0)</x:f>
        <x:v>0</x:v>
      </x:c>
      <x:c r="H2130">
        <x:f>ROUND($C2130*10*VLOOKUP($B2130,Sheet2!$J$5:$K$7,2,FALSE)*VLOOKUP(Sheet1!$A2130,Sheet2!$B$5:$H$29,7,FALSE),0)</x:f>
        <x:v>0</x:v>
      </x:c>
      <x:c r="I2130">
        <x:f t="shared" si="35"/>
        <x:v>50820</x:v>
      </x:c>
    </x:row>
    <x:row r="2131" spans="1:9" x14ac:dyDescent="0.15">
      <x:c r="A2131">
        <x:v>54102</x:v>
      </x:c>
      <x:c r="B2131">
        <x:v>3</x:v>
      </x:c>
      <x:c r="C2131">
        <x:v>30</x:v>
      </x:c>
      <x:c r="D2131">
        <x:f>ROUND($C2131*10*VLOOKUP($B2131,Sheet2!$J$5:$K$7,2,FALSE)*VLOOKUP(Sheet1!$A2131,Sheet2!$B$5:$H$29,3,FALSE),0)</x:f>
        <x:v>0</x:v>
      </x:c>
      <x:c r="E2131">
        <x:f>ROUND($C2131*10*VLOOKUP($B2131,Sheet2!$J$5:$K$7,2,FALSE)*VLOOKUP(Sheet1!$A2131,Sheet2!$B$5:$H$29,4,FALSE),0)</x:f>
        <x:v>120</x:v>
      </x:c>
      <x:c r="F2131">
        <x:f>ROUND($C2131*10*VLOOKUP($B2131,Sheet2!$J$5:$K$7,2,FALSE)*VLOOKUP(Sheet1!$A2131,Sheet2!$B$5:$H$29,5,FALSE),0)</x:f>
        <x:v>288</x:v>
      </x:c>
      <x:c r="G2131">
        <x:f>ROUND($C2131*10*VLOOKUP($B2131,Sheet2!$J$5:$K$7,2,FALSE)*VLOOKUP(Sheet1!$A2131,Sheet2!$B$5:$H$29,6,FALSE),0)</x:f>
        <x:v>0</x:v>
      </x:c>
      <x:c r="H2131">
        <x:f>ROUND($C2131*10*VLOOKUP($B2131,Sheet2!$J$5:$K$7,2,FALSE)*VLOOKUP(Sheet1!$A2131,Sheet2!$B$5:$H$29,7,FALSE),0)</x:f>
        <x:v>0</x:v>
      </x:c>
      <x:c r="I2131">
        <x:f t="shared" si="35"/>
        <x:v>54130</x:v>
      </x:c>
    </x:row>
    <x:row r="2132" spans="1:9" x14ac:dyDescent="0.15">
      <x:c r="A2132">
        <x:v>54102</x:v>
      </x:c>
      <x:c r="B2132">
        <x:v>3</x:v>
      </x:c>
      <x:c r="C2132">
        <x:v>31</x:v>
      </x:c>
      <x:c r="D2132">
        <x:f>ROUND($C2132*10*VLOOKUP($B2132,Sheet2!$J$5:$K$7,2,FALSE)*VLOOKUP(Sheet1!$A2132,Sheet2!$B$5:$H$29,3,FALSE),0)</x:f>
        <x:v>0</x:v>
      </x:c>
      <x:c r="E2132">
        <x:f>ROUND($C2132*10*VLOOKUP($B2132,Sheet2!$J$5:$K$7,2,FALSE)*VLOOKUP(Sheet1!$A2132,Sheet2!$B$5:$H$29,4,FALSE),0)</x:f>
        <x:v>124</x:v>
      </x:c>
      <x:c r="F2132">
        <x:f>ROUND($C2132*10*VLOOKUP($B2132,Sheet2!$J$5:$K$7,2,FALSE)*VLOOKUP(Sheet1!$A2132,Sheet2!$B$5:$H$29,5,FALSE),0)</x:f>
        <x:v>298</x:v>
      </x:c>
      <x:c r="G2132">
        <x:f>ROUND($C2132*10*VLOOKUP($B2132,Sheet2!$J$5:$K$7,2,FALSE)*VLOOKUP(Sheet1!$A2132,Sheet2!$B$5:$H$29,6,FALSE),0)</x:f>
        <x:v>0</x:v>
      </x:c>
      <x:c r="H2132">
        <x:f>ROUND($C2132*10*VLOOKUP($B2132,Sheet2!$J$5:$K$7,2,FALSE)*VLOOKUP(Sheet1!$A2132,Sheet2!$B$5:$H$29,7,FALSE),0)</x:f>
        <x:v>0</x:v>
      </x:c>
      <x:c r="I2132">
        <x:f t="shared" si="35"/>
        <x:v>57530</x:v>
      </x:c>
    </x:row>
    <x:row r="2133" spans="1:9" x14ac:dyDescent="0.15">
      <x:c r="A2133">
        <x:v>54102</x:v>
      </x:c>
      <x:c r="B2133">
        <x:v>3</x:v>
      </x:c>
      <x:c r="C2133">
        <x:v>32</x:v>
      </x:c>
      <x:c r="D2133">
        <x:f>ROUND($C2133*10*VLOOKUP($B2133,Sheet2!$J$5:$K$7,2,FALSE)*VLOOKUP(Sheet1!$A2133,Sheet2!$B$5:$H$29,3,FALSE),0)</x:f>
        <x:v>0</x:v>
      </x:c>
      <x:c r="E2133">
        <x:f>ROUND($C2133*10*VLOOKUP($B2133,Sheet2!$J$5:$K$7,2,FALSE)*VLOOKUP(Sheet1!$A2133,Sheet2!$B$5:$H$29,4,FALSE),0)</x:f>
        <x:v>128</x:v>
      </x:c>
      <x:c r="F2133">
        <x:f>ROUND($C2133*10*VLOOKUP($B2133,Sheet2!$J$5:$K$7,2,FALSE)*VLOOKUP(Sheet1!$A2133,Sheet2!$B$5:$H$29,5,FALSE),0)</x:f>
        <x:v>307</x:v>
      </x:c>
      <x:c r="G2133">
        <x:f>ROUND($C2133*10*VLOOKUP($B2133,Sheet2!$J$5:$K$7,2,FALSE)*VLOOKUP(Sheet1!$A2133,Sheet2!$B$5:$H$29,6,FALSE),0)</x:f>
        <x:v>0</x:v>
      </x:c>
      <x:c r="H2133">
        <x:f>ROUND($C2133*10*VLOOKUP($B2133,Sheet2!$J$5:$K$7,2,FALSE)*VLOOKUP(Sheet1!$A2133,Sheet2!$B$5:$H$29,7,FALSE),0)</x:f>
        <x:v>0</x:v>
      </x:c>
      <x:c r="I2133">
        <x:f t="shared" si="35"/>
        <x:v>61020</x:v>
      </x:c>
    </x:row>
    <x:row r="2134" spans="1:9" x14ac:dyDescent="0.15">
      <x:c r="A2134">
        <x:v>54102</x:v>
      </x:c>
      <x:c r="B2134">
        <x:v>3</x:v>
      </x:c>
      <x:c r="C2134">
        <x:v>33</x:v>
      </x:c>
      <x:c r="D2134">
        <x:f>ROUND($C2134*10*VLOOKUP($B2134,Sheet2!$J$5:$K$7,2,FALSE)*VLOOKUP(Sheet1!$A2134,Sheet2!$B$5:$H$29,3,FALSE),0)</x:f>
        <x:v>0</x:v>
      </x:c>
      <x:c r="E2134">
        <x:f>ROUND($C2134*10*VLOOKUP($B2134,Sheet2!$J$5:$K$7,2,FALSE)*VLOOKUP(Sheet1!$A2134,Sheet2!$B$5:$H$29,4,FALSE),0)</x:f>
        <x:v>132</x:v>
      </x:c>
      <x:c r="F2134">
        <x:f>ROUND($C2134*10*VLOOKUP($B2134,Sheet2!$J$5:$K$7,2,FALSE)*VLOOKUP(Sheet1!$A2134,Sheet2!$B$5:$H$29,5,FALSE),0)</x:f>
        <x:v>317</x:v>
      </x:c>
      <x:c r="G2134">
        <x:f>ROUND($C2134*10*VLOOKUP($B2134,Sheet2!$J$5:$K$7,2,FALSE)*VLOOKUP(Sheet1!$A2134,Sheet2!$B$5:$H$29,6,FALSE),0)</x:f>
        <x:v>0</x:v>
      </x:c>
      <x:c r="H2134">
        <x:f>ROUND($C2134*10*VLOOKUP($B2134,Sheet2!$J$5:$K$7,2,FALSE)*VLOOKUP(Sheet1!$A2134,Sheet2!$B$5:$H$29,7,FALSE),0)</x:f>
        <x:v>0</x:v>
      </x:c>
      <x:c r="I2134">
        <x:f t="shared" si="35"/>
        <x:v>64600</x:v>
      </x:c>
    </x:row>
    <x:row r="2135" spans="1:9" x14ac:dyDescent="0.15">
      <x:c r="A2135">
        <x:v>54102</x:v>
      </x:c>
      <x:c r="B2135">
        <x:v>3</x:v>
      </x:c>
      <x:c r="C2135">
        <x:v>34</x:v>
      </x:c>
      <x:c r="D2135">
        <x:f>ROUND($C2135*10*VLOOKUP($B2135,Sheet2!$J$5:$K$7,2,FALSE)*VLOOKUP(Sheet1!$A2135,Sheet2!$B$5:$H$29,3,FALSE),0)</x:f>
        <x:v>0</x:v>
      </x:c>
      <x:c r="E2135">
        <x:f>ROUND($C2135*10*VLOOKUP($B2135,Sheet2!$J$5:$K$7,2,FALSE)*VLOOKUP(Sheet1!$A2135,Sheet2!$B$5:$H$29,4,FALSE),0)</x:f>
        <x:v>136</x:v>
      </x:c>
      <x:c r="F2135">
        <x:f>ROUND($C2135*10*VLOOKUP($B2135,Sheet2!$J$5:$K$7,2,FALSE)*VLOOKUP(Sheet1!$A2135,Sheet2!$B$5:$H$29,5,FALSE),0)</x:f>
        <x:v>326</x:v>
      </x:c>
      <x:c r="G2135">
        <x:f>ROUND($C2135*10*VLOOKUP($B2135,Sheet2!$J$5:$K$7,2,FALSE)*VLOOKUP(Sheet1!$A2135,Sheet2!$B$5:$H$29,6,FALSE),0)</x:f>
        <x:v>0</x:v>
      </x:c>
      <x:c r="H2135">
        <x:f>ROUND($C2135*10*VLOOKUP($B2135,Sheet2!$J$5:$K$7,2,FALSE)*VLOOKUP(Sheet1!$A2135,Sheet2!$B$5:$H$29,7,FALSE),0)</x:f>
        <x:v>0</x:v>
      </x:c>
      <x:c r="I2135">
        <x:f t="shared" si="35"/>
        <x:v>68280</x:v>
      </x:c>
    </x:row>
    <x:row r="2136" spans="1:9" x14ac:dyDescent="0.15">
      <x:c r="A2136">
        <x:v>54102</x:v>
      </x:c>
      <x:c r="B2136">
        <x:v>3</x:v>
      </x:c>
      <x:c r="C2136">
        <x:v>35</x:v>
      </x:c>
      <x:c r="D2136">
        <x:f>ROUND($C2136*10*VLOOKUP($B2136,Sheet2!$J$5:$K$7,2,FALSE)*VLOOKUP(Sheet1!$A2136,Sheet2!$B$5:$H$29,3,FALSE),0)</x:f>
        <x:v>0</x:v>
      </x:c>
      <x:c r="E2136">
        <x:f>ROUND($C2136*10*VLOOKUP($B2136,Sheet2!$J$5:$K$7,2,FALSE)*VLOOKUP(Sheet1!$A2136,Sheet2!$B$5:$H$29,4,FALSE),0)</x:f>
        <x:v>140</x:v>
      </x:c>
      <x:c r="F2136">
        <x:f>ROUND($C2136*10*VLOOKUP($B2136,Sheet2!$J$5:$K$7,2,FALSE)*VLOOKUP(Sheet1!$A2136,Sheet2!$B$5:$H$29,5,FALSE),0)</x:f>
        <x:v>336</x:v>
      </x:c>
      <x:c r="G2136">
        <x:f>ROUND($C2136*10*VLOOKUP($B2136,Sheet2!$J$5:$K$7,2,FALSE)*VLOOKUP(Sheet1!$A2136,Sheet2!$B$5:$H$29,6,FALSE),0)</x:f>
        <x:v>0</x:v>
      </x:c>
      <x:c r="H2136">
        <x:f>ROUND($C2136*10*VLOOKUP($B2136,Sheet2!$J$5:$K$7,2,FALSE)*VLOOKUP(Sheet1!$A2136,Sheet2!$B$5:$H$29,7,FALSE),0)</x:f>
        <x:v>0</x:v>
      </x:c>
      <x:c r="I2136">
        <x:f t="shared" si="35"/>
        <x:v>72040</x:v>
      </x:c>
    </x:row>
    <x:row r="2137" spans="1:9" x14ac:dyDescent="0.15">
      <x:c r="A2137">
        <x:v>54102</x:v>
      </x:c>
      <x:c r="B2137">
        <x:v>3</x:v>
      </x:c>
      <x:c r="C2137">
        <x:v>36</x:v>
      </x:c>
      <x:c r="D2137">
        <x:f>ROUND($C2137*10*VLOOKUP($B2137,Sheet2!$J$5:$K$7,2,FALSE)*VLOOKUP(Sheet1!$A2137,Sheet2!$B$5:$H$29,3,FALSE),0)</x:f>
        <x:v>0</x:v>
      </x:c>
      <x:c r="E2137">
        <x:f>ROUND($C2137*10*VLOOKUP($B2137,Sheet2!$J$5:$K$7,2,FALSE)*VLOOKUP(Sheet1!$A2137,Sheet2!$B$5:$H$29,4,FALSE),0)</x:f>
        <x:v>144</x:v>
      </x:c>
      <x:c r="F2137">
        <x:f>ROUND($C2137*10*VLOOKUP($B2137,Sheet2!$J$5:$K$7,2,FALSE)*VLOOKUP(Sheet1!$A2137,Sheet2!$B$5:$H$29,5,FALSE),0)</x:f>
        <x:v>346</x:v>
      </x:c>
      <x:c r="G2137">
        <x:f>ROUND($C2137*10*VLOOKUP($B2137,Sheet2!$J$5:$K$7,2,FALSE)*VLOOKUP(Sheet1!$A2137,Sheet2!$B$5:$H$29,6,FALSE),0)</x:f>
        <x:v>0</x:v>
      </x:c>
      <x:c r="H2137">
        <x:f>ROUND($C2137*10*VLOOKUP($B2137,Sheet2!$J$5:$K$7,2,FALSE)*VLOOKUP(Sheet1!$A2137,Sheet2!$B$5:$H$29,7,FALSE),0)</x:f>
        <x:v>0</x:v>
      </x:c>
      <x:c r="I2137">
        <x:f t="shared" si="35"/>
        <x:v>75890</x:v>
      </x:c>
    </x:row>
    <x:row r="2138" spans="1:9" x14ac:dyDescent="0.15">
      <x:c r="A2138">
        <x:v>54102</x:v>
      </x:c>
      <x:c r="B2138">
        <x:v>3</x:v>
      </x:c>
      <x:c r="C2138">
        <x:v>37</x:v>
      </x:c>
      <x:c r="D2138">
        <x:f>ROUND($C2138*10*VLOOKUP($B2138,Sheet2!$J$5:$K$7,2,FALSE)*VLOOKUP(Sheet1!$A2138,Sheet2!$B$5:$H$29,3,FALSE),0)</x:f>
        <x:v>0</x:v>
      </x:c>
      <x:c r="E2138">
        <x:f>ROUND($C2138*10*VLOOKUP($B2138,Sheet2!$J$5:$K$7,2,FALSE)*VLOOKUP(Sheet1!$A2138,Sheet2!$B$5:$H$29,4,FALSE),0)</x:f>
        <x:v>148</x:v>
      </x:c>
      <x:c r="F2138">
        <x:f>ROUND($C2138*10*VLOOKUP($B2138,Sheet2!$J$5:$K$7,2,FALSE)*VLOOKUP(Sheet1!$A2138,Sheet2!$B$5:$H$29,5,FALSE),0)</x:f>
        <x:v>355</x:v>
      </x:c>
      <x:c r="G2138">
        <x:f>ROUND($C2138*10*VLOOKUP($B2138,Sheet2!$J$5:$K$7,2,FALSE)*VLOOKUP(Sheet1!$A2138,Sheet2!$B$5:$H$29,6,FALSE),0)</x:f>
        <x:v>0</x:v>
      </x:c>
      <x:c r="H2138">
        <x:f>ROUND($C2138*10*VLOOKUP($B2138,Sheet2!$J$5:$K$7,2,FALSE)*VLOOKUP(Sheet1!$A2138,Sheet2!$B$5:$H$29,7,FALSE),0)</x:f>
        <x:v>0</x:v>
      </x:c>
      <x:c r="I2138">
        <x:f t="shared" si="35"/>
        <x:v>79840</x:v>
      </x:c>
    </x:row>
    <x:row r="2139" spans="1:9" x14ac:dyDescent="0.15">
      <x:c r="A2139">
        <x:v>54102</x:v>
      </x:c>
      <x:c r="B2139">
        <x:v>3</x:v>
      </x:c>
      <x:c r="C2139">
        <x:v>38</x:v>
      </x:c>
      <x:c r="D2139">
        <x:f>ROUND($C2139*10*VLOOKUP($B2139,Sheet2!$J$5:$K$7,2,FALSE)*VLOOKUP(Sheet1!$A2139,Sheet2!$B$5:$H$29,3,FALSE),0)</x:f>
        <x:v>0</x:v>
      </x:c>
      <x:c r="E2139">
        <x:f>ROUND($C2139*10*VLOOKUP($B2139,Sheet2!$J$5:$K$7,2,FALSE)*VLOOKUP(Sheet1!$A2139,Sheet2!$B$5:$H$29,4,FALSE),0)</x:f>
        <x:v>152</x:v>
      </x:c>
      <x:c r="F2139">
        <x:f>ROUND($C2139*10*VLOOKUP($B2139,Sheet2!$J$5:$K$7,2,FALSE)*VLOOKUP(Sheet1!$A2139,Sheet2!$B$5:$H$29,5,FALSE),0)</x:f>
        <x:v>365</x:v>
      </x:c>
      <x:c r="G2139">
        <x:f>ROUND($C2139*10*VLOOKUP($B2139,Sheet2!$J$5:$K$7,2,FALSE)*VLOOKUP(Sheet1!$A2139,Sheet2!$B$5:$H$29,6,FALSE),0)</x:f>
        <x:v>0</x:v>
      </x:c>
      <x:c r="H2139">
        <x:f>ROUND($C2139*10*VLOOKUP($B2139,Sheet2!$J$5:$K$7,2,FALSE)*VLOOKUP(Sheet1!$A2139,Sheet2!$B$5:$H$29,7,FALSE),0)</x:f>
        <x:v>0</x:v>
      </x:c>
      <x:c r="I2139">
        <x:f t="shared" si="35"/>
        <x:v>83870</x:v>
      </x:c>
    </x:row>
    <x:row r="2140" spans="1:9" x14ac:dyDescent="0.15">
      <x:c r="A2140">
        <x:v>54102</x:v>
      </x:c>
      <x:c r="B2140">
        <x:v>3</x:v>
      </x:c>
      <x:c r="C2140">
        <x:v>39</x:v>
      </x:c>
      <x:c r="D2140">
        <x:f>ROUND($C2140*10*VLOOKUP($B2140,Sheet2!$J$5:$K$7,2,FALSE)*VLOOKUP(Sheet1!$A2140,Sheet2!$B$5:$H$29,3,FALSE),0)</x:f>
        <x:v>0</x:v>
      </x:c>
      <x:c r="E2140">
        <x:f>ROUND($C2140*10*VLOOKUP($B2140,Sheet2!$J$5:$K$7,2,FALSE)*VLOOKUP(Sheet1!$A2140,Sheet2!$B$5:$H$29,4,FALSE),0)</x:f>
        <x:v>156</x:v>
      </x:c>
      <x:c r="F2140">
        <x:f>ROUND($C2140*10*VLOOKUP($B2140,Sheet2!$J$5:$K$7,2,FALSE)*VLOOKUP(Sheet1!$A2140,Sheet2!$B$5:$H$29,5,FALSE),0)</x:f>
        <x:v>374</x:v>
      </x:c>
      <x:c r="G2140">
        <x:f>ROUND($C2140*10*VLOOKUP($B2140,Sheet2!$J$5:$K$7,2,FALSE)*VLOOKUP(Sheet1!$A2140,Sheet2!$B$5:$H$29,6,FALSE),0)</x:f>
        <x:v>0</x:v>
      </x:c>
      <x:c r="H2140">
        <x:f>ROUND($C2140*10*VLOOKUP($B2140,Sheet2!$J$5:$K$7,2,FALSE)*VLOOKUP(Sheet1!$A2140,Sheet2!$B$5:$H$29,7,FALSE),0)</x:f>
        <x:v>0</x:v>
      </x:c>
      <x:c r="I2140">
        <x:f t="shared" si="35"/>
        <x:v>87990</x:v>
      </x:c>
    </x:row>
    <x:row r="2141" spans="1:9" x14ac:dyDescent="0.15">
      <x:c r="A2141">
        <x:v>54102</x:v>
      </x:c>
      <x:c r="B2141">
        <x:v>3</x:v>
      </x:c>
      <x:c r="C2141">
        <x:v>40</x:v>
      </x:c>
      <x:c r="D2141">
        <x:f>ROUND($C2141*10*VLOOKUP($B2141,Sheet2!$J$5:$K$7,2,FALSE)*VLOOKUP(Sheet1!$A2141,Sheet2!$B$5:$H$29,3,FALSE),0)</x:f>
        <x:v>0</x:v>
      </x:c>
      <x:c r="E2141">
        <x:f>ROUND($C2141*10*VLOOKUP($B2141,Sheet2!$J$5:$K$7,2,FALSE)*VLOOKUP(Sheet1!$A2141,Sheet2!$B$5:$H$29,4,FALSE),0)</x:f>
        <x:v>160</x:v>
      </x:c>
      <x:c r="F2141">
        <x:f>ROUND($C2141*10*VLOOKUP($B2141,Sheet2!$J$5:$K$7,2,FALSE)*VLOOKUP(Sheet1!$A2141,Sheet2!$B$5:$H$29,5,FALSE),0)</x:f>
        <x:v>384</x:v>
      </x:c>
      <x:c r="G2141">
        <x:f>ROUND($C2141*10*VLOOKUP($B2141,Sheet2!$J$5:$K$7,2,FALSE)*VLOOKUP(Sheet1!$A2141,Sheet2!$B$5:$H$29,6,FALSE),0)</x:f>
        <x:v>0</x:v>
      </x:c>
      <x:c r="H2141">
        <x:f>ROUND($C2141*10*VLOOKUP($B2141,Sheet2!$J$5:$K$7,2,FALSE)*VLOOKUP(Sheet1!$A2141,Sheet2!$B$5:$H$29,7,FALSE),0)</x:f>
        <x:v>0</x:v>
      </x:c>
      <x:c r="I2141">
        <x:f t="shared" si="35"/>
        <x:v>92200</x:v>
      </x:c>
    </x:row>
    <x:row r="2142" spans="1:9" x14ac:dyDescent="0.15">
      <x:c r="A2142">
        <x:v>54102</x:v>
      </x:c>
      <x:c r="B2142">
        <x:v>3</x:v>
      </x:c>
      <x:c r="C2142">
        <x:v>41</x:v>
      </x:c>
      <x:c r="D2142">
        <x:f>ROUND($C2142*10*VLOOKUP($B2142,Sheet2!$J$5:$K$7,2,FALSE)*VLOOKUP(Sheet1!$A2142,Sheet2!$B$5:$H$29,3,FALSE),0)</x:f>
        <x:v>0</x:v>
      </x:c>
      <x:c r="E2142">
        <x:f>ROUND($C2142*10*VLOOKUP($B2142,Sheet2!$J$5:$K$7,2,FALSE)*VLOOKUP(Sheet1!$A2142,Sheet2!$B$5:$H$29,4,FALSE),0)</x:f>
        <x:v>164</x:v>
      </x:c>
      <x:c r="F2142">
        <x:f>ROUND($C2142*10*VLOOKUP($B2142,Sheet2!$J$5:$K$7,2,FALSE)*VLOOKUP(Sheet1!$A2142,Sheet2!$B$5:$H$29,5,FALSE),0)</x:f>
        <x:v>394</x:v>
      </x:c>
      <x:c r="G2142">
        <x:f>ROUND($C2142*10*VLOOKUP($B2142,Sheet2!$J$5:$K$7,2,FALSE)*VLOOKUP(Sheet1!$A2142,Sheet2!$B$5:$H$29,6,FALSE),0)</x:f>
        <x:v>0</x:v>
      </x:c>
      <x:c r="H2142">
        <x:f>ROUND($C2142*10*VLOOKUP($B2142,Sheet2!$J$5:$K$7,2,FALSE)*VLOOKUP(Sheet1!$A2142,Sheet2!$B$5:$H$29,7,FALSE),0)</x:f>
        <x:v>0</x:v>
      </x:c>
      <x:c r="I2142">
        <x:f t="shared" si="35"/>
        <x:v>96490</x:v>
      </x:c>
    </x:row>
    <x:row r="2143" spans="1:9" x14ac:dyDescent="0.15">
      <x:c r="A2143">
        <x:v>54102</x:v>
      </x:c>
      <x:c r="B2143">
        <x:v>3</x:v>
      </x:c>
      <x:c r="C2143">
        <x:v>42</x:v>
      </x:c>
      <x:c r="D2143">
        <x:f>ROUND($C2143*10*VLOOKUP($B2143,Sheet2!$J$5:$K$7,2,FALSE)*VLOOKUP(Sheet1!$A2143,Sheet2!$B$5:$H$29,3,FALSE),0)</x:f>
        <x:v>0</x:v>
      </x:c>
      <x:c r="E2143">
        <x:f>ROUND($C2143*10*VLOOKUP($B2143,Sheet2!$J$5:$K$7,2,FALSE)*VLOOKUP(Sheet1!$A2143,Sheet2!$B$5:$H$29,4,FALSE),0)</x:f>
        <x:v>168</x:v>
      </x:c>
      <x:c r="F2143">
        <x:f>ROUND($C2143*10*VLOOKUP($B2143,Sheet2!$J$5:$K$7,2,FALSE)*VLOOKUP(Sheet1!$A2143,Sheet2!$B$5:$H$29,5,FALSE),0)</x:f>
        <x:v>403</x:v>
      </x:c>
      <x:c r="G2143">
        <x:f>ROUND($C2143*10*VLOOKUP($B2143,Sheet2!$J$5:$K$7,2,FALSE)*VLOOKUP(Sheet1!$A2143,Sheet2!$B$5:$H$29,6,FALSE),0)</x:f>
        <x:v>0</x:v>
      </x:c>
      <x:c r="H2143">
        <x:f>ROUND($C2143*10*VLOOKUP($B2143,Sheet2!$J$5:$K$7,2,FALSE)*VLOOKUP(Sheet1!$A2143,Sheet2!$B$5:$H$29,7,FALSE),0)</x:f>
        <x:v>0</x:v>
      </x:c>
      <x:c r="I2143">
        <x:f t="shared" si="35"/>
        <x:v>100870</x:v>
      </x:c>
    </x:row>
    <x:row r="2144" spans="1:9" x14ac:dyDescent="0.15">
      <x:c r="A2144">
        <x:v>54102</x:v>
      </x:c>
      <x:c r="B2144">
        <x:v>3</x:v>
      </x:c>
      <x:c r="C2144">
        <x:v>43</x:v>
      </x:c>
      <x:c r="D2144">
        <x:f>ROUND($C2144*10*VLOOKUP($B2144,Sheet2!$J$5:$K$7,2,FALSE)*VLOOKUP(Sheet1!$A2144,Sheet2!$B$5:$H$29,3,FALSE),0)</x:f>
        <x:v>0</x:v>
      </x:c>
      <x:c r="E2144">
        <x:f>ROUND($C2144*10*VLOOKUP($B2144,Sheet2!$J$5:$K$7,2,FALSE)*VLOOKUP(Sheet1!$A2144,Sheet2!$B$5:$H$29,4,FALSE),0)</x:f>
        <x:v>172</x:v>
      </x:c>
      <x:c r="F2144">
        <x:f>ROUND($C2144*10*VLOOKUP($B2144,Sheet2!$J$5:$K$7,2,FALSE)*VLOOKUP(Sheet1!$A2144,Sheet2!$B$5:$H$29,5,FALSE),0)</x:f>
        <x:v>413</x:v>
      </x:c>
      <x:c r="G2144">
        <x:f>ROUND($C2144*10*VLOOKUP($B2144,Sheet2!$J$5:$K$7,2,FALSE)*VLOOKUP(Sheet1!$A2144,Sheet2!$B$5:$H$29,6,FALSE),0)</x:f>
        <x:v>0</x:v>
      </x:c>
      <x:c r="H2144">
        <x:f>ROUND($C2144*10*VLOOKUP($B2144,Sheet2!$J$5:$K$7,2,FALSE)*VLOOKUP(Sheet1!$A2144,Sheet2!$B$5:$H$29,7,FALSE),0)</x:f>
        <x:v>0</x:v>
      </x:c>
      <x:c r="I2144">
        <x:f t="shared" si="35"/>
        <x:v>105340</x:v>
      </x:c>
    </x:row>
    <x:row r="2145" spans="1:9" x14ac:dyDescent="0.15">
      <x:c r="A2145">
        <x:v>54102</x:v>
      </x:c>
      <x:c r="B2145">
        <x:v>3</x:v>
      </x:c>
      <x:c r="C2145">
        <x:v>44</x:v>
      </x:c>
      <x:c r="D2145">
        <x:f>ROUND($C2145*10*VLOOKUP($B2145,Sheet2!$J$5:$K$7,2,FALSE)*VLOOKUP(Sheet1!$A2145,Sheet2!$B$5:$H$29,3,FALSE),0)</x:f>
        <x:v>0</x:v>
      </x:c>
      <x:c r="E2145">
        <x:f>ROUND($C2145*10*VLOOKUP($B2145,Sheet2!$J$5:$K$7,2,FALSE)*VLOOKUP(Sheet1!$A2145,Sheet2!$B$5:$H$29,4,FALSE),0)</x:f>
        <x:v>176</x:v>
      </x:c>
      <x:c r="F2145">
        <x:f>ROUND($C2145*10*VLOOKUP($B2145,Sheet2!$J$5:$K$7,2,FALSE)*VLOOKUP(Sheet1!$A2145,Sheet2!$B$5:$H$29,5,FALSE),0)</x:f>
        <x:v>422</x:v>
      </x:c>
      <x:c r="G2145">
        <x:f>ROUND($C2145*10*VLOOKUP($B2145,Sheet2!$J$5:$K$7,2,FALSE)*VLOOKUP(Sheet1!$A2145,Sheet2!$B$5:$H$29,6,FALSE),0)</x:f>
        <x:v>0</x:v>
      </x:c>
      <x:c r="H2145">
        <x:f>ROUND($C2145*10*VLOOKUP($B2145,Sheet2!$J$5:$K$7,2,FALSE)*VLOOKUP(Sheet1!$A2145,Sheet2!$B$5:$H$29,7,FALSE),0)</x:f>
        <x:v>0</x:v>
      </x:c>
      <x:c r="I2145">
        <x:f t="shared" si="35"/>
        <x:v>109890</x:v>
      </x:c>
    </x:row>
    <x:row r="2146" spans="1:9" x14ac:dyDescent="0.15">
      <x:c r="A2146">
        <x:v>54102</x:v>
      </x:c>
      <x:c r="B2146">
        <x:v>3</x:v>
      </x:c>
      <x:c r="C2146">
        <x:v>45</x:v>
      </x:c>
      <x:c r="D2146">
        <x:f>ROUND($C2146*10*VLOOKUP($B2146,Sheet2!$J$5:$K$7,2,FALSE)*VLOOKUP(Sheet1!$A2146,Sheet2!$B$5:$H$29,3,FALSE),0)</x:f>
        <x:v>0</x:v>
      </x:c>
      <x:c r="E2146">
        <x:f>ROUND($C2146*10*VLOOKUP($B2146,Sheet2!$J$5:$K$7,2,FALSE)*VLOOKUP(Sheet1!$A2146,Sheet2!$B$5:$H$29,4,FALSE),0)</x:f>
        <x:v>180</x:v>
      </x:c>
      <x:c r="F2146">
        <x:f>ROUND($C2146*10*VLOOKUP($B2146,Sheet2!$J$5:$K$7,2,FALSE)*VLOOKUP(Sheet1!$A2146,Sheet2!$B$5:$H$29,5,FALSE),0)</x:f>
        <x:v>432</x:v>
      </x:c>
      <x:c r="G2146">
        <x:f>ROUND($C2146*10*VLOOKUP($B2146,Sheet2!$J$5:$K$7,2,FALSE)*VLOOKUP(Sheet1!$A2146,Sheet2!$B$5:$H$29,6,FALSE),0)</x:f>
        <x:v>0</x:v>
      </x:c>
      <x:c r="H2146">
        <x:f>ROUND($C2146*10*VLOOKUP($B2146,Sheet2!$J$5:$K$7,2,FALSE)*VLOOKUP(Sheet1!$A2146,Sheet2!$B$5:$H$29,7,FALSE),0)</x:f>
        <x:v>0</x:v>
      </x:c>
      <x:c r="I2146">
        <x:f t="shared" si="35"/>
        <x:v>114530</x:v>
      </x:c>
    </x:row>
    <x:row r="2147" spans="1:9" x14ac:dyDescent="0.15">
      <x:c r="A2147">
        <x:v>54102</x:v>
      </x:c>
      <x:c r="B2147">
        <x:v>3</x:v>
      </x:c>
      <x:c r="C2147">
        <x:v>46</x:v>
      </x:c>
      <x:c r="D2147">
        <x:f>ROUND($C2147*10*VLOOKUP($B2147,Sheet2!$J$5:$K$7,2,FALSE)*VLOOKUP(Sheet1!$A2147,Sheet2!$B$5:$H$29,3,FALSE),0)</x:f>
        <x:v>0</x:v>
      </x:c>
      <x:c r="E2147">
        <x:f>ROUND($C2147*10*VLOOKUP($B2147,Sheet2!$J$5:$K$7,2,FALSE)*VLOOKUP(Sheet1!$A2147,Sheet2!$B$5:$H$29,4,FALSE),0)</x:f>
        <x:v>184</x:v>
      </x:c>
      <x:c r="F2147">
        <x:f>ROUND($C2147*10*VLOOKUP($B2147,Sheet2!$J$5:$K$7,2,FALSE)*VLOOKUP(Sheet1!$A2147,Sheet2!$B$5:$H$29,5,FALSE),0)</x:f>
        <x:v>442</x:v>
      </x:c>
      <x:c r="G2147">
        <x:f>ROUND($C2147*10*VLOOKUP($B2147,Sheet2!$J$5:$K$7,2,FALSE)*VLOOKUP(Sheet1!$A2147,Sheet2!$B$5:$H$29,6,FALSE),0)</x:f>
        <x:v>0</x:v>
      </x:c>
      <x:c r="H2147">
        <x:f>ROUND($C2147*10*VLOOKUP($B2147,Sheet2!$J$5:$K$7,2,FALSE)*VLOOKUP(Sheet1!$A2147,Sheet2!$B$5:$H$29,7,FALSE),0)</x:f>
        <x:v>0</x:v>
      </x:c>
      <x:c r="I2147">
        <x:f t="shared" si="35"/>
        <x:v>119260</x:v>
      </x:c>
    </x:row>
    <x:row r="2148" spans="1:9" x14ac:dyDescent="0.15">
      <x:c r="A2148">
        <x:v>54102</x:v>
      </x:c>
      <x:c r="B2148">
        <x:v>3</x:v>
      </x:c>
      <x:c r="C2148">
        <x:v>47</x:v>
      </x:c>
      <x:c r="D2148">
        <x:f>ROUND($C2148*10*VLOOKUP($B2148,Sheet2!$J$5:$K$7,2,FALSE)*VLOOKUP(Sheet1!$A2148,Sheet2!$B$5:$H$29,3,FALSE),0)</x:f>
        <x:v>0</x:v>
      </x:c>
      <x:c r="E2148">
        <x:f>ROUND($C2148*10*VLOOKUP($B2148,Sheet2!$J$5:$K$7,2,FALSE)*VLOOKUP(Sheet1!$A2148,Sheet2!$B$5:$H$29,4,FALSE),0)</x:f>
        <x:v>188</x:v>
      </x:c>
      <x:c r="F2148">
        <x:f>ROUND($C2148*10*VLOOKUP($B2148,Sheet2!$J$5:$K$7,2,FALSE)*VLOOKUP(Sheet1!$A2148,Sheet2!$B$5:$H$29,5,FALSE),0)</x:f>
        <x:v>451</x:v>
      </x:c>
      <x:c r="G2148">
        <x:f>ROUND($C2148*10*VLOOKUP($B2148,Sheet2!$J$5:$K$7,2,FALSE)*VLOOKUP(Sheet1!$A2148,Sheet2!$B$5:$H$29,6,FALSE),0)</x:f>
        <x:v>0</x:v>
      </x:c>
      <x:c r="H2148">
        <x:f>ROUND($C2148*10*VLOOKUP($B2148,Sheet2!$J$5:$K$7,2,FALSE)*VLOOKUP(Sheet1!$A2148,Sheet2!$B$5:$H$29,7,FALSE),0)</x:f>
        <x:v>0</x:v>
      </x:c>
      <x:c r="I2148">
        <x:f t="shared" si="35"/>
        <x:v>124070</x:v>
      </x:c>
    </x:row>
    <x:row r="2149" spans="1:9" x14ac:dyDescent="0.15">
      <x:c r="A2149">
        <x:v>54102</x:v>
      </x:c>
      <x:c r="B2149">
        <x:v>3</x:v>
      </x:c>
      <x:c r="C2149">
        <x:v>48</x:v>
      </x:c>
      <x:c r="D2149">
        <x:f>ROUND($C2149*10*VLOOKUP($B2149,Sheet2!$J$5:$K$7,2,FALSE)*VLOOKUP(Sheet1!$A2149,Sheet2!$B$5:$H$29,3,FALSE),0)</x:f>
        <x:v>0</x:v>
      </x:c>
      <x:c r="E2149">
        <x:f>ROUND($C2149*10*VLOOKUP($B2149,Sheet2!$J$5:$K$7,2,FALSE)*VLOOKUP(Sheet1!$A2149,Sheet2!$B$5:$H$29,4,FALSE),0)</x:f>
        <x:v>192</x:v>
      </x:c>
      <x:c r="F2149">
        <x:f>ROUND($C2149*10*VLOOKUP($B2149,Sheet2!$J$5:$K$7,2,FALSE)*VLOOKUP(Sheet1!$A2149,Sheet2!$B$5:$H$29,5,FALSE),0)</x:f>
        <x:v>461</x:v>
      </x:c>
      <x:c r="G2149">
        <x:f>ROUND($C2149*10*VLOOKUP($B2149,Sheet2!$J$5:$K$7,2,FALSE)*VLOOKUP(Sheet1!$A2149,Sheet2!$B$5:$H$29,6,FALSE),0)</x:f>
        <x:v>0</x:v>
      </x:c>
      <x:c r="H2149">
        <x:f>ROUND($C2149*10*VLOOKUP($B2149,Sheet2!$J$5:$K$7,2,FALSE)*VLOOKUP(Sheet1!$A2149,Sheet2!$B$5:$H$29,7,FALSE),0)</x:f>
        <x:v>0</x:v>
      </x:c>
      <x:c r="I2149">
        <x:f t="shared" si="35"/>
        <x:v>128960</x:v>
      </x:c>
    </x:row>
    <x:row r="2150" spans="1:9" x14ac:dyDescent="0.15">
      <x:c r="A2150">
        <x:v>54102</x:v>
      </x:c>
      <x:c r="B2150">
        <x:v>3</x:v>
      </x:c>
      <x:c r="C2150">
        <x:v>49</x:v>
      </x:c>
      <x:c r="D2150">
        <x:f>ROUND($C2150*10*VLOOKUP($B2150,Sheet2!$J$5:$K$7,2,FALSE)*VLOOKUP(Sheet1!$A2150,Sheet2!$B$5:$H$29,3,FALSE),0)</x:f>
        <x:v>0</x:v>
      </x:c>
      <x:c r="E2150">
        <x:f>ROUND($C2150*10*VLOOKUP($B2150,Sheet2!$J$5:$K$7,2,FALSE)*VLOOKUP(Sheet1!$A2150,Sheet2!$B$5:$H$29,4,FALSE),0)</x:f>
        <x:v>196</x:v>
      </x:c>
      <x:c r="F2150">
        <x:f>ROUND($C2150*10*VLOOKUP($B2150,Sheet2!$J$5:$K$7,2,FALSE)*VLOOKUP(Sheet1!$A2150,Sheet2!$B$5:$H$29,5,FALSE),0)</x:f>
        <x:v>470</x:v>
      </x:c>
      <x:c r="G2150">
        <x:f>ROUND($C2150*10*VLOOKUP($B2150,Sheet2!$J$5:$K$7,2,FALSE)*VLOOKUP(Sheet1!$A2150,Sheet2!$B$5:$H$29,6,FALSE),0)</x:f>
        <x:v>0</x:v>
      </x:c>
      <x:c r="H2150">
        <x:f>ROUND($C2150*10*VLOOKUP($B2150,Sheet2!$J$5:$K$7,2,FALSE)*VLOOKUP(Sheet1!$A2150,Sheet2!$B$5:$H$29,7,FALSE),0)</x:f>
        <x:v>0</x:v>
      </x:c>
      <x:c r="I2150">
        <x:f t="shared" si="35"/>
        <x:v>133940</x:v>
      </x:c>
    </x:row>
    <x:row r="2151" spans="1:9" x14ac:dyDescent="0.15">
      <x:c r="A2151">
        <x:v>54102</x:v>
      </x:c>
      <x:c r="B2151">
        <x:v>3</x:v>
      </x:c>
      <x:c r="C2151">
        <x:v>50</x:v>
      </x:c>
      <x:c r="D2151">
        <x:f>ROUND($C2151*10*VLOOKUP($B2151,Sheet2!$J$5:$K$7,2,FALSE)*VLOOKUP(Sheet1!$A2151,Sheet2!$B$5:$H$29,3,FALSE),0)</x:f>
        <x:v>0</x:v>
      </x:c>
      <x:c r="E2151">
        <x:f>ROUND($C2151*10*VLOOKUP($B2151,Sheet2!$J$5:$K$7,2,FALSE)*VLOOKUP(Sheet1!$A2151,Sheet2!$B$5:$H$29,4,FALSE),0)</x:f>
        <x:v>200</x:v>
      </x:c>
      <x:c r="F2151">
        <x:f>ROUND($C2151*10*VLOOKUP($B2151,Sheet2!$J$5:$K$7,2,FALSE)*VLOOKUP(Sheet1!$A2151,Sheet2!$B$5:$H$29,5,FALSE),0)</x:f>
        <x:v>480</x:v>
      </x:c>
      <x:c r="G2151">
        <x:f>ROUND($C2151*10*VLOOKUP($B2151,Sheet2!$J$5:$K$7,2,FALSE)*VLOOKUP(Sheet1!$A2151,Sheet2!$B$5:$H$29,6,FALSE),0)</x:f>
        <x:v>0</x:v>
      </x:c>
      <x:c r="H2151">
        <x:f>ROUND($C2151*10*VLOOKUP($B2151,Sheet2!$J$5:$K$7,2,FALSE)*VLOOKUP(Sheet1!$A2151,Sheet2!$B$5:$H$29,7,FALSE),0)</x:f>
        <x:v>0</x:v>
      </x:c>
      <x:c r="I2151">
        <x:f t="shared" si="35"/>
        <x:v>139000</x:v>
      </x:c>
    </x:row>
    <x:row r="2152" spans="1:9" x14ac:dyDescent="0.15">
      <x:c r="A2152">
        <x:v>54102</x:v>
      </x:c>
      <x:c r="B2152">
        <x:v>3</x:v>
      </x:c>
      <x:c r="C2152">
        <x:v>51</x:v>
      </x:c>
      <x:c r="D2152">
        <x:f>ROUND($C2152*10*VLOOKUP($B2152,Sheet2!$J$5:$K$7,2,FALSE)*VLOOKUP(Sheet1!$A2152,Sheet2!$B$5:$H$29,3,FALSE),0)</x:f>
        <x:v>0</x:v>
      </x:c>
      <x:c r="E2152">
        <x:f>ROUND($C2152*10*VLOOKUP($B2152,Sheet2!$J$5:$K$7,2,FALSE)*VLOOKUP(Sheet1!$A2152,Sheet2!$B$5:$H$29,4,FALSE),0)</x:f>
        <x:v>204</x:v>
      </x:c>
      <x:c r="F2152">
        <x:f>ROUND($C2152*10*VLOOKUP($B2152,Sheet2!$J$5:$K$7,2,FALSE)*VLOOKUP(Sheet1!$A2152,Sheet2!$B$5:$H$29,5,FALSE),0)</x:f>
        <x:v>490</x:v>
      </x:c>
      <x:c r="G2152">
        <x:f>ROUND($C2152*10*VLOOKUP($B2152,Sheet2!$J$5:$K$7,2,FALSE)*VLOOKUP(Sheet1!$A2152,Sheet2!$B$5:$H$29,6,FALSE),0)</x:f>
        <x:v>0</x:v>
      </x:c>
      <x:c r="H2152">
        <x:f>ROUND($C2152*10*VLOOKUP($B2152,Sheet2!$J$5:$K$7,2,FALSE)*VLOOKUP(Sheet1!$A2152,Sheet2!$B$5:$H$29,7,FALSE),0)</x:f>
        <x:v>0</x:v>
      </x:c>
      <x:c r="I2152">
        <x:f t="shared" si="35"/>
        <x:v>144140</x:v>
      </x:c>
    </x:row>
    <x:row r="2153" spans="1:9" x14ac:dyDescent="0.15">
      <x:c r="A2153">
        <x:v>54102</x:v>
      </x:c>
      <x:c r="B2153">
        <x:v>3</x:v>
      </x:c>
      <x:c r="C2153">
        <x:v>52</x:v>
      </x:c>
      <x:c r="D2153">
        <x:f>ROUND($C2153*10*VLOOKUP($B2153,Sheet2!$J$5:$K$7,2,FALSE)*VLOOKUP(Sheet1!$A2153,Sheet2!$B$5:$H$29,3,FALSE),0)</x:f>
        <x:v>0</x:v>
      </x:c>
      <x:c r="E2153">
        <x:f>ROUND($C2153*10*VLOOKUP($B2153,Sheet2!$J$5:$K$7,2,FALSE)*VLOOKUP(Sheet1!$A2153,Sheet2!$B$5:$H$29,4,FALSE),0)</x:f>
        <x:v>208</x:v>
      </x:c>
      <x:c r="F2153">
        <x:f>ROUND($C2153*10*VLOOKUP($B2153,Sheet2!$J$5:$K$7,2,FALSE)*VLOOKUP(Sheet1!$A2153,Sheet2!$B$5:$H$29,5,FALSE),0)</x:f>
        <x:v>499</x:v>
      </x:c>
      <x:c r="G2153">
        <x:f>ROUND($C2153*10*VLOOKUP($B2153,Sheet2!$J$5:$K$7,2,FALSE)*VLOOKUP(Sheet1!$A2153,Sheet2!$B$5:$H$29,6,FALSE),0)</x:f>
        <x:v>0</x:v>
      </x:c>
      <x:c r="H2153">
        <x:f>ROUND($C2153*10*VLOOKUP($B2153,Sheet2!$J$5:$K$7,2,FALSE)*VLOOKUP(Sheet1!$A2153,Sheet2!$B$5:$H$29,7,FALSE),0)</x:f>
        <x:v>0</x:v>
      </x:c>
      <x:c r="I2153">
        <x:f t="shared" si="35"/>
        <x:v>149370</x:v>
      </x:c>
    </x:row>
    <x:row r="2154" spans="1:9" x14ac:dyDescent="0.15">
      <x:c r="A2154">
        <x:v>54102</x:v>
      </x:c>
      <x:c r="B2154">
        <x:v>3</x:v>
      </x:c>
      <x:c r="C2154">
        <x:v>53</x:v>
      </x:c>
      <x:c r="D2154">
        <x:f>ROUND($C2154*10*VLOOKUP($B2154,Sheet2!$J$5:$K$7,2,FALSE)*VLOOKUP(Sheet1!$A2154,Sheet2!$B$5:$H$29,3,FALSE),0)</x:f>
        <x:v>0</x:v>
      </x:c>
      <x:c r="E2154">
        <x:f>ROUND($C2154*10*VLOOKUP($B2154,Sheet2!$J$5:$K$7,2,FALSE)*VLOOKUP(Sheet1!$A2154,Sheet2!$B$5:$H$29,4,FALSE),0)</x:f>
        <x:v>212</x:v>
      </x:c>
      <x:c r="F2154">
        <x:f>ROUND($C2154*10*VLOOKUP($B2154,Sheet2!$J$5:$K$7,2,FALSE)*VLOOKUP(Sheet1!$A2154,Sheet2!$B$5:$H$29,5,FALSE),0)</x:f>
        <x:v>509</x:v>
      </x:c>
      <x:c r="G2154">
        <x:f>ROUND($C2154*10*VLOOKUP($B2154,Sheet2!$J$5:$K$7,2,FALSE)*VLOOKUP(Sheet1!$A2154,Sheet2!$B$5:$H$29,6,FALSE),0)</x:f>
        <x:v>0</x:v>
      </x:c>
      <x:c r="H2154">
        <x:f>ROUND($C2154*10*VLOOKUP($B2154,Sheet2!$J$5:$K$7,2,FALSE)*VLOOKUP(Sheet1!$A2154,Sheet2!$B$5:$H$29,7,FALSE),0)</x:f>
        <x:v>0</x:v>
      </x:c>
      <x:c r="I2154">
        <x:f t="shared" si="35"/>
        <x:v>154680</x:v>
      </x:c>
    </x:row>
    <x:row r="2155" spans="1:9" x14ac:dyDescent="0.15">
      <x:c r="A2155">
        <x:v>54102</x:v>
      </x:c>
      <x:c r="B2155">
        <x:v>3</x:v>
      </x:c>
      <x:c r="C2155">
        <x:v>54</x:v>
      </x:c>
      <x:c r="D2155">
        <x:f>ROUND($C2155*10*VLOOKUP($B2155,Sheet2!$J$5:$K$7,2,FALSE)*VLOOKUP(Sheet1!$A2155,Sheet2!$B$5:$H$29,3,FALSE),0)</x:f>
        <x:v>0</x:v>
      </x:c>
      <x:c r="E2155">
        <x:f>ROUND($C2155*10*VLOOKUP($B2155,Sheet2!$J$5:$K$7,2,FALSE)*VLOOKUP(Sheet1!$A2155,Sheet2!$B$5:$H$29,4,FALSE),0)</x:f>
        <x:v>216</x:v>
      </x:c>
      <x:c r="F2155">
        <x:f>ROUND($C2155*10*VLOOKUP($B2155,Sheet2!$J$5:$K$7,2,FALSE)*VLOOKUP(Sheet1!$A2155,Sheet2!$B$5:$H$29,5,FALSE),0)</x:f>
        <x:v>518</x:v>
      </x:c>
      <x:c r="G2155">
        <x:f>ROUND($C2155*10*VLOOKUP($B2155,Sheet2!$J$5:$K$7,2,FALSE)*VLOOKUP(Sheet1!$A2155,Sheet2!$B$5:$H$29,6,FALSE),0)</x:f>
        <x:v>0</x:v>
      </x:c>
      <x:c r="H2155">
        <x:f>ROUND($C2155*10*VLOOKUP($B2155,Sheet2!$J$5:$K$7,2,FALSE)*VLOOKUP(Sheet1!$A2155,Sheet2!$B$5:$H$29,7,FALSE),0)</x:f>
        <x:v>0</x:v>
      </x:c>
      <x:c r="I2155">
        <x:f t="shared" si="35"/>
        <x:v>160070</x:v>
      </x:c>
    </x:row>
    <x:row r="2156" spans="1:9" x14ac:dyDescent="0.15">
      <x:c r="A2156">
        <x:v>54102</x:v>
      </x:c>
      <x:c r="B2156">
        <x:v>3</x:v>
      </x:c>
      <x:c r="C2156">
        <x:v>55</x:v>
      </x:c>
      <x:c r="D2156">
        <x:f>ROUND($C2156*10*VLOOKUP($B2156,Sheet2!$J$5:$K$7,2,FALSE)*VLOOKUP(Sheet1!$A2156,Sheet2!$B$5:$H$29,3,FALSE),0)</x:f>
        <x:v>0</x:v>
      </x:c>
      <x:c r="E2156">
        <x:f>ROUND($C2156*10*VLOOKUP($B2156,Sheet2!$J$5:$K$7,2,FALSE)*VLOOKUP(Sheet1!$A2156,Sheet2!$B$5:$H$29,4,FALSE),0)</x:f>
        <x:v>220</x:v>
      </x:c>
      <x:c r="F2156">
        <x:f>ROUND($C2156*10*VLOOKUP($B2156,Sheet2!$J$5:$K$7,2,FALSE)*VLOOKUP(Sheet1!$A2156,Sheet2!$B$5:$H$29,5,FALSE),0)</x:f>
        <x:v>528</x:v>
      </x:c>
      <x:c r="G2156">
        <x:f>ROUND($C2156*10*VLOOKUP($B2156,Sheet2!$J$5:$K$7,2,FALSE)*VLOOKUP(Sheet1!$A2156,Sheet2!$B$5:$H$29,6,FALSE),0)</x:f>
        <x:v>0</x:v>
      </x:c>
      <x:c r="H2156">
        <x:f>ROUND($C2156*10*VLOOKUP($B2156,Sheet2!$J$5:$K$7,2,FALSE)*VLOOKUP(Sheet1!$A2156,Sheet2!$B$5:$H$29,7,FALSE),0)</x:f>
        <x:v>0</x:v>
      </x:c>
      <x:c r="I2156">
        <x:f t="shared" si="35"/>
        <x:v>165540</x:v>
      </x:c>
    </x:row>
    <x:row r="2157" spans="1:9" x14ac:dyDescent="0.15">
      <x:c r="A2157">
        <x:v>54102</x:v>
      </x:c>
      <x:c r="B2157">
        <x:v>3</x:v>
      </x:c>
      <x:c r="C2157">
        <x:v>56</x:v>
      </x:c>
      <x:c r="D2157">
        <x:f>ROUND($C2157*10*VLOOKUP($B2157,Sheet2!$J$5:$K$7,2,FALSE)*VLOOKUP(Sheet1!$A2157,Sheet2!$B$5:$H$29,3,FALSE),0)</x:f>
        <x:v>0</x:v>
      </x:c>
      <x:c r="E2157">
        <x:f>ROUND($C2157*10*VLOOKUP($B2157,Sheet2!$J$5:$K$7,2,FALSE)*VLOOKUP(Sheet1!$A2157,Sheet2!$B$5:$H$29,4,FALSE),0)</x:f>
        <x:v>224</x:v>
      </x:c>
      <x:c r="F2157">
        <x:f>ROUND($C2157*10*VLOOKUP($B2157,Sheet2!$J$5:$K$7,2,FALSE)*VLOOKUP(Sheet1!$A2157,Sheet2!$B$5:$H$29,5,FALSE),0)</x:f>
        <x:v>538</x:v>
      </x:c>
      <x:c r="G2157">
        <x:f>ROUND($C2157*10*VLOOKUP($B2157,Sheet2!$J$5:$K$7,2,FALSE)*VLOOKUP(Sheet1!$A2157,Sheet2!$B$5:$H$29,6,FALSE),0)</x:f>
        <x:v>0</x:v>
      </x:c>
      <x:c r="H2157">
        <x:f>ROUND($C2157*10*VLOOKUP($B2157,Sheet2!$J$5:$K$7,2,FALSE)*VLOOKUP(Sheet1!$A2157,Sheet2!$B$5:$H$29,7,FALSE),0)</x:f>
        <x:v>0</x:v>
      </x:c>
      <x:c r="I2157">
        <x:f t="shared" si="35"/>
        <x:v>171100</x:v>
      </x:c>
    </x:row>
    <x:row r="2158" spans="1:9" x14ac:dyDescent="0.15">
      <x:c r="A2158">
        <x:v>54102</x:v>
      </x:c>
      <x:c r="B2158">
        <x:v>3</x:v>
      </x:c>
      <x:c r="C2158">
        <x:v>57</x:v>
      </x:c>
      <x:c r="D2158">
        <x:f>ROUND($C2158*10*VLOOKUP($B2158,Sheet2!$J$5:$K$7,2,FALSE)*VLOOKUP(Sheet1!$A2158,Sheet2!$B$5:$H$29,3,FALSE),0)</x:f>
        <x:v>0</x:v>
      </x:c>
      <x:c r="E2158">
        <x:f>ROUND($C2158*10*VLOOKUP($B2158,Sheet2!$J$5:$K$7,2,FALSE)*VLOOKUP(Sheet1!$A2158,Sheet2!$B$5:$H$29,4,FALSE),0)</x:f>
        <x:v>228</x:v>
      </x:c>
      <x:c r="F2158">
        <x:f>ROUND($C2158*10*VLOOKUP($B2158,Sheet2!$J$5:$K$7,2,FALSE)*VLOOKUP(Sheet1!$A2158,Sheet2!$B$5:$H$29,5,FALSE),0)</x:f>
        <x:v>547</x:v>
      </x:c>
      <x:c r="G2158">
        <x:f>ROUND($C2158*10*VLOOKUP($B2158,Sheet2!$J$5:$K$7,2,FALSE)*VLOOKUP(Sheet1!$A2158,Sheet2!$B$5:$H$29,6,FALSE),0)</x:f>
        <x:v>0</x:v>
      </x:c>
      <x:c r="H2158">
        <x:f>ROUND($C2158*10*VLOOKUP($B2158,Sheet2!$J$5:$K$7,2,FALSE)*VLOOKUP(Sheet1!$A2158,Sheet2!$B$5:$H$29,7,FALSE),0)</x:f>
        <x:v>0</x:v>
      </x:c>
      <x:c r="I2158">
        <x:f t="shared" si="35"/>
        <x:v>176740</x:v>
      </x:c>
    </x:row>
    <x:row r="2159" spans="1:9" x14ac:dyDescent="0.15">
      <x:c r="A2159">
        <x:v>54102</x:v>
      </x:c>
      <x:c r="B2159">
        <x:v>3</x:v>
      </x:c>
      <x:c r="C2159">
        <x:v>58</x:v>
      </x:c>
      <x:c r="D2159">
        <x:f>ROUND($C2159*10*VLOOKUP($B2159,Sheet2!$J$5:$K$7,2,FALSE)*VLOOKUP(Sheet1!$A2159,Sheet2!$B$5:$H$29,3,FALSE),0)</x:f>
        <x:v>0</x:v>
      </x:c>
      <x:c r="E2159">
        <x:f>ROUND($C2159*10*VLOOKUP($B2159,Sheet2!$J$5:$K$7,2,FALSE)*VLOOKUP(Sheet1!$A2159,Sheet2!$B$5:$H$29,4,FALSE),0)</x:f>
        <x:v>232</x:v>
      </x:c>
      <x:c r="F2159">
        <x:f>ROUND($C2159*10*VLOOKUP($B2159,Sheet2!$J$5:$K$7,2,FALSE)*VLOOKUP(Sheet1!$A2159,Sheet2!$B$5:$H$29,5,FALSE),0)</x:f>
        <x:v>557</x:v>
      </x:c>
      <x:c r="G2159">
        <x:f>ROUND($C2159*10*VLOOKUP($B2159,Sheet2!$J$5:$K$7,2,FALSE)*VLOOKUP(Sheet1!$A2159,Sheet2!$B$5:$H$29,6,FALSE),0)</x:f>
        <x:v>0</x:v>
      </x:c>
      <x:c r="H2159">
        <x:f>ROUND($C2159*10*VLOOKUP($B2159,Sheet2!$J$5:$K$7,2,FALSE)*VLOOKUP(Sheet1!$A2159,Sheet2!$B$5:$H$29,7,FALSE),0)</x:f>
        <x:v>0</x:v>
      </x:c>
      <x:c r="I2159">
        <x:f t="shared" si="35"/>
        <x:v>182460</x:v>
      </x:c>
    </x:row>
    <x:row r="2160" spans="1:9" x14ac:dyDescent="0.15">
      <x:c r="A2160">
        <x:v>54102</x:v>
      </x:c>
      <x:c r="B2160">
        <x:v>3</x:v>
      </x:c>
      <x:c r="C2160">
        <x:v>59</x:v>
      </x:c>
      <x:c r="D2160">
        <x:f>ROUND($C2160*10*VLOOKUP($B2160,Sheet2!$J$5:$K$7,2,FALSE)*VLOOKUP(Sheet1!$A2160,Sheet2!$B$5:$H$29,3,FALSE),0)</x:f>
        <x:v>0</x:v>
      </x:c>
      <x:c r="E2160">
        <x:f>ROUND($C2160*10*VLOOKUP($B2160,Sheet2!$J$5:$K$7,2,FALSE)*VLOOKUP(Sheet1!$A2160,Sheet2!$B$5:$H$29,4,FALSE),0)</x:f>
        <x:v>236</x:v>
      </x:c>
      <x:c r="F2160">
        <x:f>ROUND($C2160*10*VLOOKUP($B2160,Sheet2!$J$5:$K$7,2,FALSE)*VLOOKUP(Sheet1!$A2160,Sheet2!$B$5:$H$29,5,FALSE),0)</x:f>
        <x:v>566</x:v>
      </x:c>
      <x:c r="G2160">
        <x:f>ROUND($C2160*10*VLOOKUP($B2160,Sheet2!$J$5:$K$7,2,FALSE)*VLOOKUP(Sheet1!$A2160,Sheet2!$B$5:$H$29,6,FALSE),0)</x:f>
        <x:v>0</x:v>
      </x:c>
      <x:c r="H2160">
        <x:f>ROUND($C2160*10*VLOOKUP($B2160,Sheet2!$J$5:$K$7,2,FALSE)*VLOOKUP(Sheet1!$A2160,Sheet2!$B$5:$H$29,7,FALSE),0)</x:f>
        <x:v>0</x:v>
      </x:c>
      <x:c r="I2160">
        <x:f t="shared" si="35"/>
        <x:v>188260</x:v>
      </x:c>
    </x:row>
    <x:row r="2161" spans="1:9" x14ac:dyDescent="0.15">
      <x:c r="A2161">
        <x:v>54102</x:v>
      </x:c>
      <x:c r="B2161">
        <x:v>3</x:v>
      </x:c>
      <x:c r="C2161">
        <x:v>60</x:v>
      </x:c>
      <x:c r="D2161">
        <x:f>ROUND($C2161*10*VLOOKUP($B2161,Sheet2!$J$5:$K$7,2,FALSE)*VLOOKUP(Sheet1!$A2161,Sheet2!$B$5:$H$29,3,FALSE),0)</x:f>
        <x:v>0</x:v>
      </x:c>
      <x:c r="E2161">
        <x:f>ROUND($C2161*10*VLOOKUP($B2161,Sheet2!$J$5:$K$7,2,FALSE)*VLOOKUP(Sheet1!$A2161,Sheet2!$B$5:$H$29,4,FALSE),0)</x:f>
        <x:v>240</x:v>
      </x:c>
      <x:c r="F2161">
        <x:f>ROUND($C2161*10*VLOOKUP($B2161,Sheet2!$J$5:$K$7,2,FALSE)*VLOOKUP(Sheet1!$A2161,Sheet2!$B$5:$H$29,5,FALSE),0)</x:f>
        <x:v>576</x:v>
      </x:c>
      <x:c r="G2161">
        <x:f>ROUND($C2161*10*VLOOKUP($B2161,Sheet2!$J$5:$K$7,2,FALSE)*VLOOKUP(Sheet1!$A2161,Sheet2!$B$5:$H$29,6,FALSE),0)</x:f>
        <x:v>0</x:v>
      </x:c>
      <x:c r="H2161">
        <x:f>ROUND($C2161*10*VLOOKUP($B2161,Sheet2!$J$5:$K$7,2,FALSE)*VLOOKUP(Sheet1!$A2161,Sheet2!$B$5:$H$29,7,FALSE),0)</x:f>
        <x:v>0</x:v>
      </x:c>
      <x:c r="I2161">
        <x:f t="shared" si="35"/>
        <x:v>194140</x:v>
      </x:c>
    </x:row>
    <x:row r="2162" spans="1:9" x14ac:dyDescent="0.15">
      <x:c r="A2162">
        <x:v>54103</x:v>
      </x:c>
      <x:c r="B2162">
        <x:v>1</x:v>
      </x:c>
      <x:c r="C2162">
        <x:v>1</x:v>
      </x:c>
      <x:c r="D2162">
        <x:f>ROUND($C2162*10*VLOOKUP($B2162,Sheet2!$J$5:$K$7,2,FALSE)*VLOOKUP(Sheet1!$A2162,Sheet2!$B$5:$H$29,3,FALSE),0)</x:f>
        <x:v>0</x:v>
      </x:c>
      <x:c r="E2162">
        <x:f>ROUND($C2162*10*VLOOKUP($B2162,Sheet2!$J$5:$K$7,2,FALSE)*VLOOKUP(Sheet1!$A2162,Sheet2!$B$5:$H$29,4,FALSE),0)</x:f>
        <x:v>0</x:v>
      </x:c>
      <x:c r="F2162">
        <x:f>ROUND($C2162*10*VLOOKUP($B2162,Sheet2!$J$5:$K$7,2,FALSE)*VLOOKUP(Sheet1!$A2162,Sheet2!$B$5:$H$29,5,FALSE),0)</x:f>
        <x:v>8</x:v>
      </x:c>
      <x:c r="G2162">
        <x:f>ROUND($C2162*10*VLOOKUP($B2162,Sheet2!$J$5:$K$7,2,FALSE)*VLOOKUP(Sheet1!$A2162,Sheet2!$B$5:$H$29,6,FALSE),0)</x:f>
        <x:v>0</x:v>
      </x:c>
      <x:c r="H2162">
        <x:f>ROUND($C2162*10*VLOOKUP($B2162,Sheet2!$J$5:$K$7,2,FALSE)*VLOOKUP(Sheet1!$A2162,Sheet2!$B$5:$H$29,7,FALSE),0)</x:f>
        <x:v>0</x:v>
      </x:c>
      <x:c r="I2162">
        <x:f t="shared" ref="I2162:I2221" si="36">ROUND(1.2*10*1.8*(C2162-1)^1.8+30,-1)</x:f>
        <x:v>30</x:v>
      </x:c>
    </x:row>
    <x:row r="2163" spans="1:9" x14ac:dyDescent="0.15">
      <x:c r="A2163">
        <x:v>54103</x:v>
      </x:c>
      <x:c r="B2163">
        <x:v>1</x:v>
      </x:c>
      <x:c r="C2163">
        <x:v>2</x:v>
      </x:c>
      <x:c r="D2163">
        <x:f>ROUND($C2163*10*VLOOKUP($B2163,Sheet2!$J$5:$K$7,2,FALSE)*VLOOKUP(Sheet1!$A2163,Sheet2!$B$5:$H$29,3,FALSE),0)</x:f>
        <x:v>0</x:v>
      </x:c>
      <x:c r="E2163">
        <x:f>ROUND($C2163*10*VLOOKUP($B2163,Sheet2!$J$5:$K$7,2,FALSE)*VLOOKUP(Sheet1!$A2163,Sheet2!$B$5:$H$29,4,FALSE),0)</x:f>
        <x:v>0</x:v>
      </x:c>
      <x:c r="F2163">
        <x:f>ROUND($C2163*10*VLOOKUP($B2163,Sheet2!$J$5:$K$7,2,FALSE)*VLOOKUP(Sheet1!$A2163,Sheet2!$B$5:$H$29,5,FALSE),0)</x:f>
        <x:v>16</x:v>
      </x:c>
      <x:c r="G2163">
        <x:f>ROUND($C2163*10*VLOOKUP($B2163,Sheet2!$J$5:$K$7,2,FALSE)*VLOOKUP(Sheet1!$A2163,Sheet2!$B$5:$H$29,6,FALSE),0)</x:f>
        <x:v>0</x:v>
      </x:c>
      <x:c r="H2163">
        <x:f>ROUND($C2163*10*VLOOKUP($B2163,Sheet2!$J$5:$K$7,2,FALSE)*VLOOKUP(Sheet1!$A2163,Sheet2!$B$5:$H$29,7,FALSE),0)</x:f>
        <x:v>0</x:v>
      </x:c>
      <x:c r="I2163">
        <x:f t="shared" si="36"/>
        <x:v>50</x:v>
      </x:c>
    </x:row>
    <x:row r="2164" spans="1:9" x14ac:dyDescent="0.15">
      <x:c r="A2164">
        <x:v>54103</x:v>
      </x:c>
      <x:c r="B2164">
        <x:v>1</x:v>
      </x:c>
      <x:c r="C2164">
        <x:v>3</x:v>
      </x:c>
      <x:c r="D2164">
        <x:f>ROUND($C2164*10*VLOOKUP($B2164,Sheet2!$J$5:$K$7,2,FALSE)*VLOOKUP(Sheet1!$A2164,Sheet2!$B$5:$H$29,3,FALSE),0)</x:f>
        <x:v>0</x:v>
      </x:c>
      <x:c r="E2164">
        <x:f>ROUND($C2164*10*VLOOKUP($B2164,Sheet2!$J$5:$K$7,2,FALSE)*VLOOKUP(Sheet1!$A2164,Sheet2!$B$5:$H$29,4,FALSE),0)</x:f>
        <x:v>0</x:v>
      </x:c>
      <x:c r="F2164">
        <x:f>ROUND($C2164*10*VLOOKUP($B2164,Sheet2!$J$5:$K$7,2,FALSE)*VLOOKUP(Sheet1!$A2164,Sheet2!$B$5:$H$29,5,FALSE),0)</x:f>
        <x:v>24</x:v>
      </x:c>
      <x:c r="G2164">
        <x:f>ROUND($C2164*10*VLOOKUP($B2164,Sheet2!$J$5:$K$7,2,FALSE)*VLOOKUP(Sheet1!$A2164,Sheet2!$B$5:$H$29,6,FALSE),0)</x:f>
        <x:v>0</x:v>
      </x:c>
      <x:c r="H2164">
        <x:f>ROUND($C2164*10*VLOOKUP($B2164,Sheet2!$J$5:$K$7,2,FALSE)*VLOOKUP(Sheet1!$A2164,Sheet2!$B$5:$H$29,7,FALSE),0)</x:f>
        <x:v>0</x:v>
      </x:c>
      <x:c r="I2164">
        <x:f t="shared" si="36"/>
        <x:v>110</x:v>
      </x:c>
    </x:row>
    <x:row r="2165" spans="1:9" x14ac:dyDescent="0.15">
      <x:c r="A2165">
        <x:v>54103</x:v>
      </x:c>
      <x:c r="B2165">
        <x:v>1</x:v>
      </x:c>
      <x:c r="C2165">
        <x:v>4</x:v>
      </x:c>
      <x:c r="D2165">
        <x:f>ROUND($C2165*10*VLOOKUP($B2165,Sheet2!$J$5:$K$7,2,FALSE)*VLOOKUP(Sheet1!$A2165,Sheet2!$B$5:$H$29,3,FALSE),0)</x:f>
        <x:v>0</x:v>
      </x:c>
      <x:c r="E2165">
        <x:f>ROUND($C2165*10*VLOOKUP($B2165,Sheet2!$J$5:$K$7,2,FALSE)*VLOOKUP(Sheet1!$A2165,Sheet2!$B$5:$H$29,4,FALSE),0)</x:f>
        <x:v>0</x:v>
      </x:c>
      <x:c r="F2165">
        <x:f>ROUND($C2165*10*VLOOKUP($B2165,Sheet2!$J$5:$K$7,2,FALSE)*VLOOKUP(Sheet1!$A2165,Sheet2!$B$5:$H$29,5,FALSE),0)</x:f>
        <x:v>32</x:v>
      </x:c>
      <x:c r="G2165">
        <x:f>ROUND($C2165*10*VLOOKUP($B2165,Sheet2!$J$5:$K$7,2,FALSE)*VLOOKUP(Sheet1!$A2165,Sheet2!$B$5:$H$29,6,FALSE),0)</x:f>
        <x:v>0</x:v>
      </x:c>
      <x:c r="H2165">
        <x:f>ROUND($C2165*10*VLOOKUP($B2165,Sheet2!$J$5:$K$7,2,FALSE)*VLOOKUP(Sheet1!$A2165,Sheet2!$B$5:$H$29,7,FALSE),0)</x:f>
        <x:v>0</x:v>
      </x:c>
      <x:c r="I2165">
        <x:f t="shared" si="36"/>
        <x:v>190</x:v>
      </x:c>
    </x:row>
    <x:row r="2166" spans="1:9" x14ac:dyDescent="0.15">
      <x:c r="A2166">
        <x:v>54103</x:v>
      </x:c>
      <x:c r="B2166">
        <x:v>1</x:v>
      </x:c>
      <x:c r="C2166">
        <x:v>5</x:v>
      </x:c>
      <x:c r="D2166">
        <x:f>ROUND($C2166*10*VLOOKUP($B2166,Sheet2!$J$5:$K$7,2,FALSE)*VLOOKUP(Sheet1!$A2166,Sheet2!$B$5:$H$29,3,FALSE),0)</x:f>
        <x:v>0</x:v>
      </x:c>
      <x:c r="E2166">
        <x:f>ROUND($C2166*10*VLOOKUP($B2166,Sheet2!$J$5:$K$7,2,FALSE)*VLOOKUP(Sheet1!$A2166,Sheet2!$B$5:$H$29,4,FALSE),0)</x:f>
        <x:v>0</x:v>
      </x:c>
      <x:c r="F2166">
        <x:f>ROUND($C2166*10*VLOOKUP($B2166,Sheet2!$J$5:$K$7,2,FALSE)*VLOOKUP(Sheet1!$A2166,Sheet2!$B$5:$H$29,5,FALSE),0)</x:f>
        <x:v>40</x:v>
      </x:c>
      <x:c r="G2166">
        <x:f>ROUND($C2166*10*VLOOKUP($B2166,Sheet2!$J$5:$K$7,2,FALSE)*VLOOKUP(Sheet1!$A2166,Sheet2!$B$5:$H$29,6,FALSE),0)</x:f>
        <x:v>0</x:v>
      </x:c>
      <x:c r="H2166">
        <x:f>ROUND($C2166*10*VLOOKUP($B2166,Sheet2!$J$5:$K$7,2,FALSE)*VLOOKUP(Sheet1!$A2166,Sheet2!$B$5:$H$29,7,FALSE),0)</x:f>
        <x:v>0</x:v>
      </x:c>
      <x:c r="I2166">
        <x:f t="shared" si="36"/>
        <x:v>290</x:v>
      </x:c>
    </x:row>
    <x:row r="2167" spans="1:9" x14ac:dyDescent="0.15">
      <x:c r="A2167">
        <x:v>54103</x:v>
      </x:c>
      <x:c r="B2167">
        <x:v>1</x:v>
      </x:c>
      <x:c r="C2167">
        <x:v>6</x:v>
      </x:c>
      <x:c r="D2167">
        <x:f>ROUND($C2167*10*VLOOKUP($B2167,Sheet2!$J$5:$K$7,2,FALSE)*VLOOKUP(Sheet1!$A2167,Sheet2!$B$5:$H$29,3,FALSE),0)</x:f>
        <x:v>0</x:v>
      </x:c>
      <x:c r="E2167">
        <x:f>ROUND($C2167*10*VLOOKUP($B2167,Sheet2!$J$5:$K$7,2,FALSE)*VLOOKUP(Sheet1!$A2167,Sheet2!$B$5:$H$29,4,FALSE),0)</x:f>
        <x:v>0</x:v>
      </x:c>
      <x:c r="F2167">
        <x:f>ROUND($C2167*10*VLOOKUP($B2167,Sheet2!$J$5:$K$7,2,FALSE)*VLOOKUP(Sheet1!$A2167,Sheet2!$B$5:$H$29,5,FALSE),0)</x:f>
        <x:v>48</x:v>
      </x:c>
      <x:c r="G2167">
        <x:f>ROUND($C2167*10*VLOOKUP($B2167,Sheet2!$J$5:$K$7,2,FALSE)*VLOOKUP(Sheet1!$A2167,Sheet2!$B$5:$H$29,6,FALSE),0)</x:f>
        <x:v>0</x:v>
      </x:c>
      <x:c r="H2167">
        <x:f>ROUND($C2167*10*VLOOKUP($B2167,Sheet2!$J$5:$K$7,2,FALSE)*VLOOKUP(Sheet1!$A2167,Sheet2!$B$5:$H$29,7,FALSE),0)</x:f>
        <x:v>0</x:v>
      </x:c>
      <x:c r="I2167">
        <x:f t="shared" si="36"/>
        <x:v>420</x:v>
      </x:c>
    </x:row>
    <x:row r="2168" spans="1:9" x14ac:dyDescent="0.15">
      <x:c r="A2168">
        <x:v>54103</x:v>
      </x:c>
      <x:c r="B2168">
        <x:v>1</x:v>
      </x:c>
      <x:c r="C2168">
        <x:v>7</x:v>
      </x:c>
      <x:c r="D2168">
        <x:f>ROUND($C2168*10*VLOOKUP($B2168,Sheet2!$J$5:$K$7,2,FALSE)*VLOOKUP(Sheet1!$A2168,Sheet2!$B$5:$H$29,3,FALSE),0)</x:f>
        <x:v>0</x:v>
      </x:c>
      <x:c r="E2168">
        <x:f>ROUND($C2168*10*VLOOKUP($B2168,Sheet2!$J$5:$K$7,2,FALSE)*VLOOKUP(Sheet1!$A2168,Sheet2!$B$5:$H$29,4,FALSE),0)</x:f>
        <x:v>0</x:v>
      </x:c>
      <x:c r="F2168">
        <x:f>ROUND($C2168*10*VLOOKUP($B2168,Sheet2!$J$5:$K$7,2,FALSE)*VLOOKUP(Sheet1!$A2168,Sheet2!$B$5:$H$29,5,FALSE),0)</x:f>
        <x:v>56</x:v>
      </x:c>
      <x:c r="G2168">
        <x:f>ROUND($C2168*10*VLOOKUP($B2168,Sheet2!$J$5:$K$7,2,FALSE)*VLOOKUP(Sheet1!$A2168,Sheet2!$B$5:$H$29,6,FALSE),0)</x:f>
        <x:v>0</x:v>
      </x:c>
      <x:c r="H2168">
        <x:f>ROUND($C2168*10*VLOOKUP($B2168,Sheet2!$J$5:$K$7,2,FALSE)*VLOOKUP(Sheet1!$A2168,Sheet2!$B$5:$H$29,7,FALSE),0)</x:f>
        <x:v>0</x:v>
      </x:c>
      <x:c r="I2168">
        <x:f t="shared" si="36"/>
        <x:v>570</x:v>
      </x:c>
    </x:row>
    <x:row r="2169" spans="1:9" x14ac:dyDescent="0.15">
      <x:c r="A2169">
        <x:v>54103</x:v>
      </x:c>
      <x:c r="B2169">
        <x:v>1</x:v>
      </x:c>
      <x:c r="C2169">
        <x:v>8</x:v>
      </x:c>
      <x:c r="D2169">
        <x:f>ROUND($C2169*10*VLOOKUP($B2169,Sheet2!$J$5:$K$7,2,FALSE)*VLOOKUP(Sheet1!$A2169,Sheet2!$B$5:$H$29,3,FALSE),0)</x:f>
        <x:v>0</x:v>
      </x:c>
      <x:c r="E2169">
        <x:f>ROUND($C2169*10*VLOOKUP($B2169,Sheet2!$J$5:$K$7,2,FALSE)*VLOOKUP(Sheet1!$A2169,Sheet2!$B$5:$H$29,4,FALSE),0)</x:f>
        <x:v>0</x:v>
      </x:c>
      <x:c r="F2169">
        <x:f>ROUND($C2169*10*VLOOKUP($B2169,Sheet2!$J$5:$K$7,2,FALSE)*VLOOKUP(Sheet1!$A2169,Sheet2!$B$5:$H$29,5,FALSE),0)</x:f>
        <x:v>64</x:v>
      </x:c>
      <x:c r="G2169">
        <x:f>ROUND($C2169*10*VLOOKUP($B2169,Sheet2!$J$5:$K$7,2,FALSE)*VLOOKUP(Sheet1!$A2169,Sheet2!$B$5:$H$29,6,FALSE),0)</x:f>
        <x:v>0</x:v>
      </x:c>
      <x:c r="H2169">
        <x:f>ROUND($C2169*10*VLOOKUP($B2169,Sheet2!$J$5:$K$7,2,FALSE)*VLOOKUP(Sheet1!$A2169,Sheet2!$B$5:$H$29,7,FALSE),0)</x:f>
        <x:v>0</x:v>
      </x:c>
      <x:c r="I2169">
        <x:f t="shared" si="36"/>
        <x:v>750</x:v>
      </x:c>
    </x:row>
    <x:row r="2170" spans="1:9" x14ac:dyDescent="0.15">
      <x:c r="A2170">
        <x:v>54103</x:v>
      </x:c>
      <x:c r="B2170">
        <x:v>1</x:v>
      </x:c>
      <x:c r="C2170">
        <x:v>9</x:v>
      </x:c>
      <x:c r="D2170">
        <x:f>ROUND($C2170*10*VLOOKUP($B2170,Sheet2!$J$5:$K$7,2,FALSE)*VLOOKUP(Sheet1!$A2170,Sheet2!$B$5:$H$29,3,FALSE),0)</x:f>
        <x:v>0</x:v>
      </x:c>
      <x:c r="E2170">
        <x:f>ROUND($C2170*10*VLOOKUP($B2170,Sheet2!$J$5:$K$7,2,FALSE)*VLOOKUP(Sheet1!$A2170,Sheet2!$B$5:$H$29,4,FALSE),0)</x:f>
        <x:v>0</x:v>
      </x:c>
      <x:c r="F2170">
        <x:f>ROUND($C2170*10*VLOOKUP($B2170,Sheet2!$J$5:$K$7,2,FALSE)*VLOOKUP(Sheet1!$A2170,Sheet2!$B$5:$H$29,5,FALSE),0)</x:f>
        <x:v>72</x:v>
      </x:c>
      <x:c r="G2170">
        <x:f>ROUND($C2170*10*VLOOKUP($B2170,Sheet2!$J$5:$K$7,2,FALSE)*VLOOKUP(Sheet1!$A2170,Sheet2!$B$5:$H$29,6,FALSE),0)</x:f>
        <x:v>0</x:v>
      </x:c>
      <x:c r="H2170">
        <x:f>ROUND($C2170*10*VLOOKUP($B2170,Sheet2!$J$5:$K$7,2,FALSE)*VLOOKUP(Sheet1!$A2170,Sheet2!$B$5:$H$29,7,FALSE),0)</x:f>
        <x:v>0</x:v>
      </x:c>
      <x:c r="I2170">
        <x:f t="shared" si="36"/>
        <x:v>940</x:v>
      </x:c>
    </x:row>
    <x:row r="2171" spans="1:9" x14ac:dyDescent="0.15">
      <x:c r="A2171">
        <x:v>54103</x:v>
      </x:c>
      <x:c r="B2171">
        <x:v>1</x:v>
      </x:c>
      <x:c r="C2171">
        <x:v>10</x:v>
      </x:c>
      <x:c r="D2171">
        <x:f>ROUND($C2171*10*VLOOKUP($B2171,Sheet2!$J$5:$K$7,2,FALSE)*VLOOKUP(Sheet1!$A2171,Sheet2!$B$5:$H$29,3,FALSE),0)</x:f>
        <x:v>0</x:v>
      </x:c>
      <x:c r="E2171">
        <x:f>ROUND($C2171*10*VLOOKUP($B2171,Sheet2!$J$5:$K$7,2,FALSE)*VLOOKUP(Sheet1!$A2171,Sheet2!$B$5:$H$29,4,FALSE),0)</x:f>
        <x:v>0</x:v>
      </x:c>
      <x:c r="F2171">
        <x:f>ROUND($C2171*10*VLOOKUP($B2171,Sheet2!$J$5:$K$7,2,FALSE)*VLOOKUP(Sheet1!$A2171,Sheet2!$B$5:$H$29,5,FALSE),0)</x:f>
        <x:v>80</x:v>
      </x:c>
      <x:c r="G2171">
        <x:f>ROUND($C2171*10*VLOOKUP($B2171,Sheet2!$J$5:$K$7,2,FALSE)*VLOOKUP(Sheet1!$A2171,Sheet2!$B$5:$H$29,6,FALSE),0)</x:f>
        <x:v>0</x:v>
      </x:c>
      <x:c r="H2171">
        <x:f>ROUND($C2171*10*VLOOKUP($B2171,Sheet2!$J$5:$K$7,2,FALSE)*VLOOKUP(Sheet1!$A2171,Sheet2!$B$5:$H$29,7,FALSE),0)</x:f>
        <x:v>0</x:v>
      </x:c>
      <x:c r="I2171">
        <x:f t="shared" si="36"/>
        <x:v>1160</x:v>
      </x:c>
    </x:row>
    <x:row r="2172" spans="1:9" x14ac:dyDescent="0.15">
      <x:c r="A2172">
        <x:v>54103</x:v>
      </x:c>
      <x:c r="B2172">
        <x:v>1</x:v>
      </x:c>
      <x:c r="C2172">
        <x:v>11</x:v>
      </x:c>
      <x:c r="D2172">
        <x:f>ROUND($C2172*10*VLOOKUP($B2172,Sheet2!$J$5:$K$7,2,FALSE)*VLOOKUP(Sheet1!$A2172,Sheet2!$B$5:$H$29,3,FALSE),0)</x:f>
        <x:v>0</x:v>
      </x:c>
      <x:c r="E2172">
        <x:f>ROUND($C2172*10*VLOOKUP($B2172,Sheet2!$J$5:$K$7,2,FALSE)*VLOOKUP(Sheet1!$A2172,Sheet2!$B$5:$H$29,4,FALSE),0)</x:f>
        <x:v>0</x:v>
      </x:c>
      <x:c r="F2172">
        <x:f>ROUND($C2172*10*VLOOKUP($B2172,Sheet2!$J$5:$K$7,2,FALSE)*VLOOKUP(Sheet1!$A2172,Sheet2!$B$5:$H$29,5,FALSE),0)</x:f>
        <x:v>88</x:v>
      </x:c>
      <x:c r="G2172">
        <x:f>ROUND($C2172*10*VLOOKUP($B2172,Sheet2!$J$5:$K$7,2,FALSE)*VLOOKUP(Sheet1!$A2172,Sheet2!$B$5:$H$29,6,FALSE),0)</x:f>
        <x:v>0</x:v>
      </x:c>
      <x:c r="H2172">
        <x:f>ROUND($C2172*10*VLOOKUP($B2172,Sheet2!$J$5:$K$7,2,FALSE)*VLOOKUP(Sheet1!$A2172,Sheet2!$B$5:$H$29,7,FALSE),0)</x:f>
        <x:v>0</x:v>
      </x:c>
      <x:c r="I2172">
        <x:f t="shared" si="36"/>
        <x:v>1390</x:v>
      </x:c>
    </x:row>
    <x:row r="2173" spans="1:9" x14ac:dyDescent="0.15">
      <x:c r="A2173">
        <x:v>54103</x:v>
      </x:c>
      <x:c r="B2173">
        <x:v>1</x:v>
      </x:c>
      <x:c r="C2173">
        <x:v>12</x:v>
      </x:c>
      <x:c r="D2173">
        <x:f>ROUND($C2173*10*VLOOKUP($B2173,Sheet2!$J$5:$K$7,2,FALSE)*VLOOKUP(Sheet1!$A2173,Sheet2!$B$5:$H$29,3,FALSE),0)</x:f>
        <x:v>0</x:v>
      </x:c>
      <x:c r="E2173">
        <x:f>ROUND($C2173*10*VLOOKUP($B2173,Sheet2!$J$5:$K$7,2,FALSE)*VLOOKUP(Sheet1!$A2173,Sheet2!$B$5:$H$29,4,FALSE),0)</x:f>
        <x:v>0</x:v>
      </x:c>
      <x:c r="F2173">
        <x:f>ROUND($C2173*10*VLOOKUP($B2173,Sheet2!$J$5:$K$7,2,FALSE)*VLOOKUP(Sheet1!$A2173,Sheet2!$B$5:$H$29,5,FALSE),0)</x:f>
        <x:v>96</x:v>
      </x:c>
      <x:c r="G2173">
        <x:f>ROUND($C2173*10*VLOOKUP($B2173,Sheet2!$J$5:$K$7,2,FALSE)*VLOOKUP(Sheet1!$A2173,Sheet2!$B$5:$H$29,6,FALSE),0)</x:f>
        <x:v>0</x:v>
      </x:c>
      <x:c r="H2173">
        <x:f>ROUND($C2173*10*VLOOKUP($B2173,Sheet2!$J$5:$K$7,2,FALSE)*VLOOKUP(Sheet1!$A2173,Sheet2!$B$5:$H$29,7,FALSE),0)</x:f>
        <x:v>0</x:v>
      </x:c>
      <x:c r="I2173">
        <x:f t="shared" si="36"/>
        <x:v>1650</x:v>
      </x:c>
    </x:row>
    <x:row r="2174" spans="1:9" x14ac:dyDescent="0.15">
      <x:c r="A2174">
        <x:v>54103</x:v>
      </x:c>
      <x:c r="B2174">
        <x:v>1</x:v>
      </x:c>
      <x:c r="C2174">
        <x:v>13</x:v>
      </x:c>
      <x:c r="D2174">
        <x:f>ROUND($C2174*10*VLOOKUP($B2174,Sheet2!$J$5:$K$7,2,FALSE)*VLOOKUP(Sheet1!$A2174,Sheet2!$B$5:$H$29,3,FALSE),0)</x:f>
        <x:v>0</x:v>
      </x:c>
      <x:c r="E2174">
        <x:f>ROUND($C2174*10*VLOOKUP($B2174,Sheet2!$J$5:$K$7,2,FALSE)*VLOOKUP(Sheet1!$A2174,Sheet2!$B$5:$H$29,4,FALSE),0)</x:f>
        <x:v>0</x:v>
      </x:c>
      <x:c r="F2174">
        <x:f>ROUND($C2174*10*VLOOKUP($B2174,Sheet2!$J$5:$K$7,2,FALSE)*VLOOKUP(Sheet1!$A2174,Sheet2!$B$5:$H$29,5,FALSE),0)</x:f>
        <x:v>104</x:v>
      </x:c>
      <x:c r="G2174">
        <x:f>ROUND($C2174*10*VLOOKUP($B2174,Sheet2!$J$5:$K$7,2,FALSE)*VLOOKUP(Sheet1!$A2174,Sheet2!$B$5:$H$29,6,FALSE),0)</x:f>
        <x:v>0</x:v>
      </x:c>
      <x:c r="H2174">
        <x:f>ROUND($C2174*10*VLOOKUP($B2174,Sheet2!$J$5:$K$7,2,FALSE)*VLOOKUP(Sheet1!$A2174,Sheet2!$B$5:$H$29,7,FALSE),0)</x:f>
        <x:v>0</x:v>
      </x:c>
      <x:c r="I2174">
        <x:f t="shared" si="36"/>
        <x:v>1920</x:v>
      </x:c>
    </x:row>
    <x:row r="2175" spans="1:9" x14ac:dyDescent="0.15">
      <x:c r="A2175">
        <x:v>54103</x:v>
      </x:c>
      <x:c r="B2175">
        <x:v>1</x:v>
      </x:c>
      <x:c r="C2175">
        <x:v>14</x:v>
      </x:c>
      <x:c r="D2175">
        <x:f>ROUND($C2175*10*VLOOKUP($B2175,Sheet2!$J$5:$K$7,2,FALSE)*VLOOKUP(Sheet1!$A2175,Sheet2!$B$5:$H$29,3,FALSE),0)</x:f>
        <x:v>0</x:v>
      </x:c>
      <x:c r="E2175">
        <x:f>ROUND($C2175*10*VLOOKUP($B2175,Sheet2!$J$5:$K$7,2,FALSE)*VLOOKUP(Sheet1!$A2175,Sheet2!$B$5:$H$29,4,FALSE),0)</x:f>
        <x:v>0</x:v>
      </x:c>
      <x:c r="F2175">
        <x:f>ROUND($C2175*10*VLOOKUP($B2175,Sheet2!$J$5:$K$7,2,FALSE)*VLOOKUP(Sheet1!$A2175,Sheet2!$B$5:$H$29,5,FALSE),0)</x:f>
        <x:v>112</x:v>
      </x:c>
      <x:c r="G2175">
        <x:f>ROUND($C2175*10*VLOOKUP($B2175,Sheet2!$J$5:$K$7,2,FALSE)*VLOOKUP(Sheet1!$A2175,Sheet2!$B$5:$H$29,6,FALSE),0)</x:f>
        <x:v>0</x:v>
      </x:c>
      <x:c r="H2175">
        <x:f>ROUND($C2175*10*VLOOKUP($B2175,Sheet2!$J$5:$K$7,2,FALSE)*VLOOKUP(Sheet1!$A2175,Sheet2!$B$5:$H$29,7,FALSE),0)</x:f>
        <x:v>0</x:v>
      </x:c>
      <x:c r="I2175">
        <x:f t="shared" si="36"/>
        <x:v>2220</x:v>
      </x:c>
    </x:row>
    <x:row r="2176" spans="1:9" x14ac:dyDescent="0.15">
      <x:c r="A2176">
        <x:v>54103</x:v>
      </x:c>
      <x:c r="B2176">
        <x:v>1</x:v>
      </x:c>
      <x:c r="C2176">
        <x:v>15</x:v>
      </x:c>
      <x:c r="D2176">
        <x:f>ROUND($C2176*10*VLOOKUP($B2176,Sheet2!$J$5:$K$7,2,FALSE)*VLOOKUP(Sheet1!$A2176,Sheet2!$B$5:$H$29,3,FALSE),0)</x:f>
        <x:v>0</x:v>
      </x:c>
      <x:c r="E2176">
        <x:f>ROUND($C2176*10*VLOOKUP($B2176,Sheet2!$J$5:$K$7,2,FALSE)*VLOOKUP(Sheet1!$A2176,Sheet2!$B$5:$H$29,4,FALSE),0)</x:f>
        <x:v>0</x:v>
      </x:c>
      <x:c r="F2176">
        <x:f>ROUND($C2176*10*VLOOKUP($B2176,Sheet2!$J$5:$K$7,2,FALSE)*VLOOKUP(Sheet1!$A2176,Sheet2!$B$5:$H$29,5,FALSE),0)</x:f>
        <x:v>120</x:v>
      </x:c>
      <x:c r="G2176">
        <x:f>ROUND($C2176*10*VLOOKUP($B2176,Sheet2!$J$5:$K$7,2,FALSE)*VLOOKUP(Sheet1!$A2176,Sheet2!$B$5:$H$29,6,FALSE),0)</x:f>
        <x:v>0</x:v>
      </x:c>
      <x:c r="H2176">
        <x:f>ROUND($C2176*10*VLOOKUP($B2176,Sheet2!$J$5:$K$7,2,FALSE)*VLOOKUP(Sheet1!$A2176,Sheet2!$B$5:$H$29,7,FALSE),0)</x:f>
        <x:v>0</x:v>
      </x:c>
      <x:c r="I2176">
        <x:f t="shared" si="36"/>
        <x:v>2530</x:v>
      </x:c>
    </x:row>
    <x:row r="2177" spans="1:9" x14ac:dyDescent="0.15">
      <x:c r="A2177">
        <x:v>54103</x:v>
      </x:c>
      <x:c r="B2177">
        <x:v>1</x:v>
      </x:c>
      <x:c r="C2177">
        <x:v>16</x:v>
      </x:c>
      <x:c r="D2177">
        <x:f>ROUND($C2177*10*VLOOKUP($B2177,Sheet2!$J$5:$K$7,2,FALSE)*VLOOKUP(Sheet1!$A2177,Sheet2!$B$5:$H$29,3,FALSE),0)</x:f>
        <x:v>0</x:v>
      </x:c>
      <x:c r="E2177">
        <x:f>ROUND($C2177*10*VLOOKUP($B2177,Sheet2!$J$5:$K$7,2,FALSE)*VLOOKUP(Sheet1!$A2177,Sheet2!$B$5:$H$29,4,FALSE),0)</x:f>
        <x:v>0</x:v>
      </x:c>
      <x:c r="F2177">
        <x:f>ROUND($C2177*10*VLOOKUP($B2177,Sheet2!$J$5:$K$7,2,FALSE)*VLOOKUP(Sheet1!$A2177,Sheet2!$B$5:$H$29,5,FALSE),0)</x:f>
        <x:v>128</x:v>
      </x:c>
      <x:c r="G2177">
        <x:f>ROUND($C2177*10*VLOOKUP($B2177,Sheet2!$J$5:$K$7,2,FALSE)*VLOOKUP(Sheet1!$A2177,Sheet2!$B$5:$H$29,6,FALSE),0)</x:f>
        <x:v>0</x:v>
      </x:c>
      <x:c r="H2177">
        <x:f>ROUND($C2177*10*VLOOKUP($B2177,Sheet2!$J$5:$K$7,2,FALSE)*VLOOKUP(Sheet1!$A2177,Sheet2!$B$5:$H$29,7,FALSE),0)</x:f>
        <x:v>0</x:v>
      </x:c>
      <x:c r="I2177">
        <x:f t="shared" si="36"/>
        <x:v>2860</x:v>
      </x:c>
    </x:row>
    <x:row r="2178" spans="1:9" x14ac:dyDescent="0.15">
      <x:c r="A2178">
        <x:v>54103</x:v>
      </x:c>
      <x:c r="B2178">
        <x:v>1</x:v>
      </x:c>
      <x:c r="C2178">
        <x:v>17</x:v>
      </x:c>
      <x:c r="D2178">
        <x:f>ROUND($C2178*10*VLOOKUP($B2178,Sheet2!$J$5:$K$7,2,FALSE)*VLOOKUP(Sheet1!$A2178,Sheet2!$B$5:$H$29,3,FALSE),0)</x:f>
        <x:v>0</x:v>
      </x:c>
      <x:c r="E2178">
        <x:f>ROUND($C2178*10*VLOOKUP($B2178,Sheet2!$J$5:$K$7,2,FALSE)*VLOOKUP(Sheet1!$A2178,Sheet2!$B$5:$H$29,4,FALSE),0)</x:f>
        <x:v>0</x:v>
      </x:c>
      <x:c r="F2178">
        <x:f>ROUND($C2178*10*VLOOKUP($B2178,Sheet2!$J$5:$K$7,2,FALSE)*VLOOKUP(Sheet1!$A2178,Sheet2!$B$5:$H$29,5,FALSE),0)</x:f>
        <x:v>136</x:v>
      </x:c>
      <x:c r="G2178">
        <x:f>ROUND($C2178*10*VLOOKUP($B2178,Sheet2!$J$5:$K$7,2,FALSE)*VLOOKUP(Sheet1!$A2178,Sheet2!$B$5:$H$29,6,FALSE),0)</x:f>
        <x:v>0</x:v>
      </x:c>
      <x:c r="H2178">
        <x:f>ROUND($C2178*10*VLOOKUP($B2178,Sheet2!$J$5:$K$7,2,FALSE)*VLOOKUP(Sheet1!$A2178,Sheet2!$B$5:$H$29,7,FALSE),0)</x:f>
        <x:v>0</x:v>
      </x:c>
      <x:c r="I2178">
        <x:f t="shared" si="36"/>
        <x:v>3210</x:v>
      </x:c>
    </x:row>
    <x:row r="2179" spans="1:9" x14ac:dyDescent="0.15">
      <x:c r="A2179">
        <x:v>54103</x:v>
      </x:c>
      <x:c r="B2179">
        <x:v>1</x:v>
      </x:c>
      <x:c r="C2179">
        <x:v>18</x:v>
      </x:c>
      <x:c r="D2179">
        <x:f>ROUND($C2179*10*VLOOKUP($B2179,Sheet2!$J$5:$K$7,2,FALSE)*VLOOKUP(Sheet1!$A2179,Sheet2!$B$5:$H$29,3,FALSE),0)</x:f>
        <x:v>0</x:v>
      </x:c>
      <x:c r="E2179">
        <x:f>ROUND($C2179*10*VLOOKUP($B2179,Sheet2!$J$5:$K$7,2,FALSE)*VLOOKUP(Sheet1!$A2179,Sheet2!$B$5:$H$29,4,FALSE),0)</x:f>
        <x:v>0</x:v>
      </x:c>
      <x:c r="F2179">
        <x:f>ROUND($C2179*10*VLOOKUP($B2179,Sheet2!$J$5:$K$7,2,FALSE)*VLOOKUP(Sheet1!$A2179,Sheet2!$B$5:$H$29,5,FALSE),0)</x:f>
        <x:v>144</x:v>
      </x:c>
      <x:c r="G2179">
        <x:f>ROUND($C2179*10*VLOOKUP($B2179,Sheet2!$J$5:$K$7,2,FALSE)*VLOOKUP(Sheet1!$A2179,Sheet2!$B$5:$H$29,6,FALSE),0)</x:f>
        <x:v>0</x:v>
      </x:c>
      <x:c r="H2179">
        <x:f>ROUND($C2179*10*VLOOKUP($B2179,Sheet2!$J$5:$K$7,2,FALSE)*VLOOKUP(Sheet1!$A2179,Sheet2!$B$5:$H$29,7,FALSE),0)</x:f>
        <x:v>0</x:v>
      </x:c>
      <x:c r="I2179">
        <x:f t="shared" si="36"/>
        <x:v>3570</x:v>
      </x:c>
    </x:row>
    <x:row r="2180" spans="1:9" x14ac:dyDescent="0.15">
      <x:c r="A2180">
        <x:v>54103</x:v>
      </x:c>
      <x:c r="B2180">
        <x:v>1</x:v>
      </x:c>
      <x:c r="C2180">
        <x:v>19</x:v>
      </x:c>
      <x:c r="D2180">
        <x:f>ROUND($C2180*10*VLOOKUP($B2180,Sheet2!$J$5:$K$7,2,FALSE)*VLOOKUP(Sheet1!$A2180,Sheet2!$B$5:$H$29,3,FALSE),0)</x:f>
        <x:v>0</x:v>
      </x:c>
      <x:c r="E2180">
        <x:f>ROUND($C2180*10*VLOOKUP($B2180,Sheet2!$J$5:$K$7,2,FALSE)*VLOOKUP(Sheet1!$A2180,Sheet2!$B$5:$H$29,4,FALSE),0)</x:f>
        <x:v>0</x:v>
      </x:c>
      <x:c r="F2180">
        <x:f>ROUND($C2180*10*VLOOKUP($B2180,Sheet2!$J$5:$K$7,2,FALSE)*VLOOKUP(Sheet1!$A2180,Sheet2!$B$5:$H$29,5,FALSE),0)</x:f>
        <x:v>152</x:v>
      </x:c>
      <x:c r="G2180">
        <x:f>ROUND($C2180*10*VLOOKUP($B2180,Sheet2!$J$5:$K$7,2,FALSE)*VLOOKUP(Sheet1!$A2180,Sheet2!$B$5:$H$29,6,FALSE),0)</x:f>
        <x:v>0</x:v>
      </x:c>
      <x:c r="H2180">
        <x:f>ROUND($C2180*10*VLOOKUP($B2180,Sheet2!$J$5:$K$7,2,FALSE)*VLOOKUP(Sheet1!$A2180,Sheet2!$B$5:$H$29,7,FALSE),0)</x:f>
        <x:v>0</x:v>
      </x:c>
      <x:c r="I2180">
        <x:f t="shared" si="36"/>
        <x:v>3960</x:v>
      </x:c>
    </x:row>
    <x:row r="2181" spans="1:9" x14ac:dyDescent="0.15">
      <x:c r="A2181">
        <x:v>54103</x:v>
      </x:c>
      <x:c r="B2181">
        <x:v>1</x:v>
      </x:c>
      <x:c r="C2181">
        <x:v>20</x:v>
      </x:c>
      <x:c r="D2181">
        <x:f>ROUND($C2181*10*VLOOKUP($B2181,Sheet2!$J$5:$K$7,2,FALSE)*VLOOKUP(Sheet1!$A2181,Sheet2!$B$5:$H$29,3,FALSE),0)</x:f>
        <x:v>0</x:v>
      </x:c>
      <x:c r="E2181">
        <x:f>ROUND($C2181*10*VLOOKUP($B2181,Sheet2!$J$5:$K$7,2,FALSE)*VLOOKUP(Sheet1!$A2181,Sheet2!$B$5:$H$29,4,FALSE),0)</x:f>
        <x:v>0</x:v>
      </x:c>
      <x:c r="F2181">
        <x:f>ROUND($C2181*10*VLOOKUP($B2181,Sheet2!$J$5:$K$7,2,FALSE)*VLOOKUP(Sheet1!$A2181,Sheet2!$B$5:$H$29,5,FALSE),0)</x:f>
        <x:v>160</x:v>
      </x:c>
      <x:c r="G2181">
        <x:f>ROUND($C2181*10*VLOOKUP($B2181,Sheet2!$J$5:$K$7,2,FALSE)*VLOOKUP(Sheet1!$A2181,Sheet2!$B$5:$H$29,6,FALSE),0)</x:f>
        <x:v>0</x:v>
      </x:c>
      <x:c r="H2181">
        <x:f>ROUND($C2181*10*VLOOKUP($B2181,Sheet2!$J$5:$K$7,2,FALSE)*VLOOKUP(Sheet1!$A2181,Sheet2!$B$5:$H$29,7,FALSE),0)</x:f>
        <x:v>0</x:v>
      </x:c>
      <x:c r="I2181">
        <x:f t="shared" si="36"/>
        <x:v>4360</x:v>
      </x:c>
    </x:row>
    <x:row r="2182" spans="1:9" x14ac:dyDescent="0.15">
      <x:c r="A2182">
        <x:v>54103</x:v>
      </x:c>
      <x:c r="B2182">
        <x:v>1</x:v>
      </x:c>
      <x:c r="C2182">
        <x:v>21</x:v>
      </x:c>
      <x:c r="D2182">
        <x:f>ROUND($C2182*10*VLOOKUP($B2182,Sheet2!$J$5:$K$7,2,FALSE)*VLOOKUP(Sheet1!$A2182,Sheet2!$B$5:$H$29,3,FALSE),0)</x:f>
        <x:v>0</x:v>
      </x:c>
      <x:c r="E2182">
        <x:f>ROUND($C2182*10*VLOOKUP($B2182,Sheet2!$J$5:$K$7,2,FALSE)*VLOOKUP(Sheet1!$A2182,Sheet2!$B$5:$H$29,4,FALSE),0)</x:f>
        <x:v>0</x:v>
      </x:c>
      <x:c r="F2182">
        <x:f>ROUND($C2182*10*VLOOKUP($B2182,Sheet2!$J$5:$K$7,2,FALSE)*VLOOKUP(Sheet1!$A2182,Sheet2!$B$5:$H$29,5,FALSE),0)</x:f>
        <x:v>168</x:v>
      </x:c>
      <x:c r="G2182">
        <x:f>ROUND($C2182*10*VLOOKUP($B2182,Sheet2!$J$5:$K$7,2,FALSE)*VLOOKUP(Sheet1!$A2182,Sheet2!$B$5:$H$29,6,FALSE),0)</x:f>
        <x:v>0</x:v>
      </x:c>
      <x:c r="H2182">
        <x:f>ROUND($C2182*10*VLOOKUP($B2182,Sheet2!$J$5:$K$7,2,FALSE)*VLOOKUP(Sheet1!$A2182,Sheet2!$B$5:$H$29,7,FALSE),0)</x:f>
        <x:v>0</x:v>
      </x:c>
      <x:c r="I2182">
        <x:f t="shared" si="36"/>
        <x:v>4780</x:v>
      </x:c>
    </x:row>
    <x:row r="2183" spans="1:9" x14ac:dyDescent="0.15">
      <x:c r="A2183">
        <x:v>54103</x:v>
      </x:c>
      <x:c r="B2183">
        <x:v>1</x:v>
      </x:c>
      <x:c r="C2183">
        <x:v>22</x:v>
      </x:c>
      <x:c r="D2183">
        <x:f>ROUND($C2183*10*VLOOKUP($B2183,Sheet2!$J$5:$K$7,2,FALSE)*VLOOKUP(Sheet1!$A2183,Sheet2!$B$5:$H$29,3,FALSE),0)</x:f>
        <x:v>0</x:v>
      </x:c>
      <x:c r="E2183">
        <x:f>ROUND($C2183*10*VLOOKUP($B2183,Sheet2!$J$5:$K$7,2,FALSE)*VLOOKUP(Sheet1!$A2183,Sheet2!$B$5:$H$29,4,FALSE),0)</x:f>
        <x:v>0</x:v>
      </x:c>
      <x:c r="F2183">
        <x:f>ROUND($C2183*10*VLOOKUP($B2183,Sheet2!$J$5:$K$7,2,FALSE)*VLOOKUP(Sheet1!$A2183,Sheet2!$B$5:$H$29,5,FALSE),0)</x:f>
        <x:v>176</x:v>
      </x:c>
      <x:c r="G2183">
        <x:f>ROUND($C2183*10*VLOOKUP($B2183,Sheet2!$J$5:$K$7,2,FALSE)*VLOOKUP(Sheet1!$A2183,Sheet2!$B$5:$H$29,6,FALSE),0)</x:f>
        <x:v>0</x:v>
      </x:c>
      <x:c r="H2183">
        <x:f>ROUND($C2183*10*VLOOKUP($B2183,Sheet2!$J$5:$K$7,2,FALSE)*VLOOKUP(Sheet1!$A2183,Sheet2!$B$5:$H$29,7,FALSE),0)</x:f>
        <x:v>0</x:v>
      </x:c>
      <x:c r="I2183">
        <x:f t="shared" si="36"/>
        <x:v>5210</x:v>
      </x:c>
    </x:row>
    <x:row r="2184" spans="1:9" x14ac:dyDescent="0.15">
      <x:c r="A2184">
        <x:v>54103</x:v>
      </x:c>
      <x:c r="B2184">
        <x:v>1</x:v>
      </x:c>
      <x:c r="C2184">
        <x:v>23</x:v>
      </x:c>
      <x:c r="D2184">
        <x:f>ROUND($C2184*10*VLOOKUP($B2184,Sheet2!$J$5:$K$7,2,FALSE)*VLOOKUP(Sheet1!$A2184,Sheet2!$B$5:$H$29,3,FALSE),0)</x:f>
        <x:v>0</x:v>
      </x:c>
      <x:c r="E2184">
        <x:f>ROUND($C2184*10*VLOOKUP($B2184,Sheet2!$J$5:$K$7,2,FALSE)*VLOOKUP(Sheet1!$A2184,Sheet2!$B$5:$H$29,4,FALSE),0)</x:f>
        <x:v>0</x:v>
      </x:c>
      <x:c r="F2184">
        <x:f>ROUND($C2184*10*VLOOKUP($B2184,Sheet2!$J$5:$K$7,2,FALSE)*VLOOKUP(Sheet1!$A2184,Sheet2!$B$5:$H$29,5,FALSE),0)</x:f>
        <x:v>184</x:v>
      </x:c>
      <x:c r="G2184">
        <x:f>ROUND($C2184*10*VLOOKUP($B2184,Sheet2!$J$5:$K$7,2,FALSE)*VLOOKUP(Sheet1!$A2184,Sheet2!$B$5:$H$29,6,FALSE),0)</x:f>
        <x:v>0</x:v>
      </x:c>
      <x:c r="H2184">
        <x:f>ROUND($C2184*10*VLOOKUP($B2184,Sheet2!$J$5:$K$7,2,FALSE)*VLOOKUP(Sheet1!$A2184,Sheet2!$B$5:$H$29,7,FALSE),0)</x:f>
        <x:v>0</x:v>
      </x:c>
      <x:c r="I2184">
        <x:f t="shared" si="36"/>
        <x:v>5660</x:v>
      </x:c>
    </x:row>
    <x:row r="2185" spans="1:9" x14ac:dyDescent="0.15">
      <x:c r="A2185">
        <x:v>54103</x:v>
      </x:c>
      <x:c r="B2185">
        <x:v>1</x:v>
      </x:c>
      <x:c r="C2185">
        <x:v>24</x:v>
      </x:c>
      <x:c r="D2185">
        <x:f>ROUND($C2185*10*VLOOKUP($B2185,Sheet2!$J$5:$K$7,2,FALSE)*VLOOKUP(Sheet1!$A2185,Sheet2!$B$5:$H$29,3,FALSE),0)</x:f>
        <x:v>0</x:v>
      </x:c>
      <x:c r="E2185">
        <x:f>ROUND($C2185*10*VLOOKUP($B2185,Sheet2!$J$5:$K$7,2,FALSE)*VLOOKUP(Sheet1!$A2185,Sheet2!$B$5:$H$29,4,FALSE),0)</x:f>
        <x:v>0</x:v>
      </x:c>
      <x:c r="F2185">
        <x:f>ROUND($C2185*10*VLOOKUP($B2185,Sheet2!$J$5:$K$7,2,FALSE)*VLOOKUP(Sheet1!$A2185,Sheet2!$B$5:$H$29,5,FALSE),0)</x:f>
        <x:v>192</x:v>
      </x:c>
      <x:c r="G2185">
        <x:f>ROUND($C2185*10*VLOOKUP($B2185,Sheet2!$J$5:$K$7,2,FALSE)*VLOOKUP(Sheet1!$A2185,Sheet2!$B$5:$H$29,6,FALSE),0)</x:f>
        <x:v>0</x:v>
      </x:c>
      <x:c r="H2185">
        <x:f>ROUND($C2185*10*VLOOKUP($B2185,Sheet2!$J$5:$K$7,2,FALSE)*VLOOKUP(Sheet1!$A2185,Sheet2!$B$5:$H$29,7,FALSE),0)</x:f>
        <x:v>0</x:v>
      </x:c>
      <x:c r="I2185">
        <x:f t="shared" si="36"/>
        <x:v>6130</x:v>
      </x:c>
    </x:row>
    <x:row r="2186" spans="1:9" x14ac:dyDescent="0.15">
      <x:c r="A2186">
        <x:v>54103</x:v>
      </x:c>
      <x:c r="B2186">
        <x:v>1</x:v>
      </x:c>
      <x:c r="C2186">
        <x:v>25</x:v>
      </x:c>
      <x:c r="D2186">
        <x:f>ROUND($C2186*10*VLOOKUP($B2186,Sheet2!$J$5:$K$7,2,FALSE)*VLOOKUP(Sheet1!$A2186,Sheet2!$B$5:$H$29,3,FALSE),0)</x:f>
        <x:v>0</x:v>
      </x:c>
      <x:c r="E2186">
        <x:f>ROUND($C2186*10*VLOOKUP($B2186,Sheet2!$J$5:$K$7,2,FALSE)*VLOOKUP(Sheet1!$A2186,Sheet2!$B$5:$H$29,4,FALSE),0)</x:f>
        <x:v>0</x:v>
      </x:c>
      <x:c r="F2186">
        <x:f>ROUND($C2186*10*VLOOKUP($B2186,Sheet2!$J$5:$K$7,2,FALSE)*VLOOKUP(Sheet1!$A2186,Sheet2!$B$5:$H$29,5,FALSE),0)</x:f>
        <x:v>200</x:v>
      </x:c>
      <x:c r="G2186">
        <x:f>ROUND($C2186*10*VLOOKUP($B2186,Sheet2!$J$5:$K$7,2,FALSE)*VLOOKUP(Sheet1!$A2186,Sheet2!$B$5:$H$29,6,FALSE),0)</x:f>
        <x:v>0</x:v>
      </x:c>
      <x:c r="H2186">
        <x:f>ROUND($C2186*10*VLOOKUP($B2186,Sheet2!$J$5:$K$7,2,FALSE)*VLOOKUP(Sheet1!$A2186,Sheet2!$B$5:$H$29,7,FALSE),0)</x:f>
        <x:v>0</x:v>
      </x:c>
      <x:c r="I2186">
        <x:f t="shared" si="36"/>
        <x:v>6620</x:v>
      </x:c>
    </x:row>
    <x:row r="2187" spans="1:9" x14ac:dyDescent="0.15">
      <x:c r="A2187">
        <x:v>54103</x:v>
      </x:c>
      <x:c r="B2187">
        <x:v>1</x:v>
      </x:c>
      <x:c r="C2187">
        <x:v>26</x:v>
      </x:c>
      <x:c r="D2187">
        <x:f>ROUND($C2187*10*VLOOKUP($B2187,Sheet2!$J$5:$K$7,2,FALSE)*VLOOKUP(Sheet1!$A2187,Sheet2!$B$5:$H$29,3,FALSE),0)</x:f>
        <x:v>0</x:v>
      </x:c>
      <x:c r="E2187">
        <x:f>ROUND($C2187*10*VLOOKUP($B2187,Sheet2!$J$5:$K$7,2,FALSE)*VLOOKUP(Sheet1!$A2187,Sheet2!$B$5:$H$29,4,FALSE),0)</x:f>
        <x:v>0</x:v>
      </x:c>
      <x:c r="F2187">
        <x:f>ROUND($C2187*10*VLOOKUP($B2187,Sheet2!$J$5:$K$7,2,FALSE)*VLOOKUP(Sheet1!$A2187,Sheet2!$B$5:$H$29,5,FALSE),0)</x:f>
        <x:v>208</x:v>
      </x:c>
      <x:c r="G2187">
        <x:f>ROUND($C2187*10*VLOOKUP($B2187,Sheet2!$J$5:$K$7,2,FALSE)*VLOOKUP(Sheet1!$A2187,Sheet2!$B$5:$H$29,6,FALSE),0)</x:f>
        <x:v>0</x:v>
      </x:c>
      <x:c r="H2187">
        <x:f>ROUND($C2187*10*VLOOKUP($B2187,Sheet2!$J$5:$K$7,2,FALSE)*VLOOKUP(Sheet1!$A2187,Sheet2!$B$5:$H$29,7,FALSE),0)</x:f>
        <x:v>0</x:v>
      </x:c>
      <x:c r="I2187">
        <x:f t="shared" si="36"/>
        <x:v>7120</x:v>
      </x:c>
    </x:row>
    <x:row r="2188" spans="1:9" x14ac:dyDescent="0.15">
      <x:c r="A2188">
        <x:v>54103</x:v>
      </x:c>
      <x:c r="B2188">
        <x:v>1</x:v>
      </x:c>
      <x:c r="C2188">
        <x:v>27</x:v>
      </x:c>
      <x:c r="D2188">
        <x:f>ROUND($C2188*10*VLOOKUP($B2188,Sheet2!$J$5:$K$7,2,FALSE)*VLOOKUP(Sheet1!$A2188,Sheet2!$B$5:$H$29,3,FALSE),0)</x:f>
        <x:v>0</x:v>
      </x:c>
      <x:c r="E2188">
        <x:f>ROUND($C2188*10*VLOOKUP($B2188,Sheet2!$J$5:$K$7,2,FALSE)*VLOOKUP(Sheet1!$A2188,Sheet2!$B$5:$H$29,4,FALSE),0)</x:f>
        <x:v>0</x:v>
      </x:c>
      <x:c r="F2188">
        <x:f>ROUND($C2188*10*VLOOKUP($B2188,Sheet2!$J$5:$K$7,2,FALSE)*VLOOKUP(Sheet1!$A2188,Sheet2!$B$5:$H$29,5,FALSE),0)</x:f>
        <x:v>216</x:v>
      </x:c>
      <x:c r="G2188">
        <x:f>ROUND($C2188*10*VLOOKUP($B2188,Sheet2!$J$5:$K$7,2,FALSE)*VLOOKUP(Sheet1!$A2188,Sheet2!$B$5:$H$29,6,FALSE),0)</x:f>
        <x:v>0</x:v>
      </x:c>
      <x:c r="H2188">
        <x:f>ROUND($C2188*10*VLOOKUP($B2188,Sheet2!$J$5:$K$7,2,FALSE)*VLOOKUP(Sheet1!$A2188,Sheet2!$B$5:$H$29,7,FALSE),0)</x:f>
        <x:v>0</x:v>
      </x:c>
      <x:c r="I2188">
        <x:f t="shared" si="36"/>
        <x:v>7640</x:v>
      </x:c>
    </x:row>
    <x:row r="2189" spans="1:9" x14ac:dyDescent="0.15">
      <x:c r="A2189">
        <x:v>54103</x:v>
      </x:c>
      <x:c r="B2189">
        <x:v>1</x:v>
      </x:c>
      <x:c r="C2189">
        <x:v>28</x:v>
      </x:c>
      <x:c r="D2189">
        <x:f>ROUND($C2189*10*VLOOKUP($B2189,Sheet2!$J$5:$K$7,2,FALSE)*VLOOKUP(Sheet1!$A2189,Sheet2!$B$5:$H$29,3,FALSE),0)</x:f>
        <x:v>0</x:v>
      </x:c>
      <x:c r="E2189">
        <x:f>ROUND($C2189*10*VLOOKUP($B2189,Sheet2!$J$5:$K$7,2,FALSE)*VLOOKUP(Sheet1!$A2189,Sheet2!$B$5:$H$29,4,FALSE),0)</x:f>
        <x:v>0</x:v>
      </x:c>
      <x:c r="F2189">
        <x:f>ROUND($C2189*10*VLOOKUP($B2189,Sheet2!$J$5:$K$7,2,FALSE)*VLOOKUP(Sheet1!$A2189,Sheet2!$B$5:$H$29,5,FALSE),0)</x:f>
        <x:v>224</x:v>
      </x:c>
      <x:c r="G2189">
        <x:f>ROUND($C2189*10*VLOOKUP($B2189,Sheet2!$J$5:$K$7,2,FALSE)*VLOOKUP(Sheet1!$A2189,Sheet2!$B$5:$H$29,6,FALSE),0)</x:f>
        <x:v>0</x:v>
      </x:c>
      <x:c r="H2189">
        <x:f>ROUND($C2189*10*VLOOKUP($B2189,Sheet2!$J$5:$K$7,2,FALSE)*VLOOKUP(Sheet1!$A2189,Sheet2!$B$5:$H$29,7,FALSE),0)</x:f>
        <x:v>0</x:v>
      </x:c>
      <x:c r="I2189">
        <x:f t="shared" si="36"/>
        <x:v>8180</x:v>
      </x:c>
    </x:row>
    <x:row r="2190" spans="1:9" x14ac:dyDescent="0.15">
      <x:c r="A2190">
        <x:v>54103</x:v>
      </x:c>
      <x:c r="B2190">
        <x:v>1</x:v>
      </x:c>
      <x:c r="C2190">
        <x:v>29</x:v>
      </x:c>
      <x:c r="D2190">
        <x:f>ROUND($C2190*10*VLOOKUP($B2190,Sheet2!$J$5:$K$7,2,FALSE)*VLOOKUP(Sheet1!$A2190,Sheet2!$B$5:$H$29,3,FALSE),0)</x:f>
        <x:v>0</x:v>
      </x:c>
      <x:c r="E2190">
        <x:f>ROUND($C2190*10*VLOOKUP($B2190,Sheet2!$J$5:$K$7,2,FALSE)*VLOOKUP(Sheet1!$A2190,Sheet2!$B$5:$H$29,4,FALSE),0)</x:f>
        <x:v>0</x:v>
      </x:c>
      <x:c r="F2190">
        <x:f>ROUND($C2190*10*VLOOKUP($B2190,Sheet2!$J$5:$K$7,2,FALSE)*VLOOKUP(Sheet1!$A2190,Sheet2!$B$5:$H$29,5,FALSE),0)</x:f>
        <x:v>232</x:v>
      </x:c>
      <x:c r="G2190">
        <x:f>ROUND($C2190*10*VLOOKUP($B2190,Sheet2!$J$5:$K$7,2,FALSE)*VLOOKUP(Sheet1!$A2190,Sheet2!$B$5:$H$29,6,FALSE),0)</x:f>
        <x:v>0</x:v>
      </x:c>
      <x:c r="H2190">
        <x:f>ROUND($C2190*10*VLOOKUP($B2190,Sheet2!$J$5:$K$7,2,FALSE)*VLOOKUP(Sheet1!$A2190,Sheet2!$B$5:$H$29,7,FALSE),0)</x:f>
        <x:v>0</x:v>
      </x:c>
      <x:c r="I2190">
        <x:f t="shared" si="36"/>
        <x:v>8730</x:v>
      </x:c>
    </x:row>
    <x:row r="2191" spans="1:9" x14ac:dyDescent="0.15">
      <x:c r="A2191">
        <x:v>54103</x:v>
      </x:c>
      <x:c r="B2191">
        <x:v>1</x:v>
      </x:c>
      <x:c r="C2191">
        <x:v>30</x:v>
      </x:c>
      <x:c r="D2191">
        <x:f>ROUND($C2191*10*VLOOKUP($B2191,Sheet2!$J$5:$K$7,2,FALSE)*VLOOKUP(Sheet1!$A2191,Sheet2!$B$5:$H$29,3,FALSE),0)</x:f>
        <x:v>0</x:v>
      </x:c>
      <x:c r="E2191">
        <x:f>ROUND($C2191*10*VLOOKUP($B2191,Sheet2!$J$5:$K$7,2,FALSE)*VLOOKUP(Sheet1!$A2191,Sheet2!$B$5:$H$29,4,FALSE),0)</x:f>
        <x:v>0</x:v>
      </x:c>
      <x:c r="F2191">
        <x:f>ROUND($C2191*10*VLOOKUP($B2191,Sheet2!$J$5:$K$7,2,FALSE)*VLOOKUP(Sheet1!$A2191,Sheet2!$B$5:$H$29,5,FALSE),0)</x:f>
        <x:v>240</x:v>
      </x:c>
      <x:c r="G2191">
        <x:f>ROUND($C2191*10*VLOOKUP($B2191,Sheet2!$J$5:$K$7,2,FALSE)*VLOOKUP(Sheet1!$A2191,Sheet2!$B$5:$H$29,6,FALSE),0)</x:f>
        <x:v>0</x:v>
      </x:c>
      <x:c r="H2191">
        <x:f>ROUND($C2191*10*VLOOKUP($B2191,Sheet2!$J$5:$K$7,2,FALSE)*VLOOKUP(Sheet1!$A2191,Sheet2!$B$5:$H$29,7,FALSE),0)</x:f>
        <x:v>0</x:v>
      </x:c>
      <x:c r="I2191">
        <x:f t="shared" si="36"/>
        <x:v>9290</x:v>
      </x:c>
    </x:row>
    <x:row r="2192" spans="1:9" x14ac:dyDescent="0.15">
      <x:c r="A2192">
        <x:v>54103</x:v>
      </x:c>
      <x:c r="B2192">
        <x:v>1</x:v>
      </x:c>
      <x:c r="C2192">
        <x:v>31</x:v>
      </x:c>
      <x:c r="D2192">
        <x:f>ROUND($C2192*10*VLOOKUP($B2192,Sheet2!$J$5:$K$7,2,FALSE)*VLOOKUP(Sheet1!$A2192,Sheet2!$B$5:$H$29,3,FALSE),0)</x:f>
        <x:v>0</x:v>
      </x:c>
      <x:c r="E2192">
        <x:f>ROUND($C2192*10*VLOOKUP($B2192,Sheet2!$J$5:$K$7,2,FALSE)*VLOOKUP(Sheet1!$A2192,Sheet2!$B$5:$H$29,4,FALSE),0)</x:f>
        <x:v>0</x:v>
      </x:c>
      <x:c r="F2192">
        <x:f>ROUND($C2192*10*VLOOKUP($B2192,Sheet2!$J$5:$K$7,2,FALSE)*VLOOKUP(Sheet1!$A2192,Sheet2!$B$5:$H$29,5,FALSE),0)</x:f>
        <x:v>248</x:v>
      </x:c>
      <x:c r="G2192">
        <x:f>ROUND($C2192*10*VLOOKUP($B2192,Sheet2!$J$5:$K$7,2,FALSE)*VLOOKUP(Sheet1!$A2192,Sheet2!$B$5:$H$29,6,FALSE),0)</x:f>
        <x:v>0</x:v>
      </x:c>
      <x:c r="H2192">
        <x:f>ROUND($C2192*10*VLOOKUP($B2192,Sheet2!$J$5:$K$7,2,FALSE)*VLOOKUP(Sheet1!$A2192,Sheet2!$B$5:$H$29,7,FALSE),0)</x:f>
        <x:v>0</x:v>
      </x:c>
      <x:c r="I2192">
        <x:f t="shared" si="36"/>
        <x:v>9880</x:v>
      </x:c>
    </x:row>
    <x:row r="2193" spans="1:9" x14ac:dyDescent="0.15">
      <x:c r="A2193">
        <x:v>54103</x:v>
      </x:c>
      <x:c r="B2193">
        <x:v>1</x:v>
      </x:c>
      <x:c r="C2193">
        <x:v>32</x:v>
      </x:c>
      <x:c r="D2193">
        <x:f>ROUND($C2193*10*VLOOKUP($B2193,Sheet2!$J$5:$K$7,2,FALSE)*VLOOKUP(Sheet1!$A2193,Sheet2!$B$5:$H$29,3,FALSE),0)</x:f>
        <x:v>0</x:v>
      </x:c>
      <x:c r="E2193">
        <x:f>ROUND($C2193*10*VLOOKUP($B2193,Sheet2!$J$5:$K$7,2,FALSE)*VLOOKUP(Sheet1!$A2193,Sheet2!$B$5:$H$29,4,FALSE),0)</x:f>
        <x:v>0</x:v>
      </x:c>
      <x:c r="F2193">
        <x:f>ROUND($C2193*10*VLOOKUP($B2193,Sheet2!$J$5:$K$7,2,FALSE)*VLOOKUP(Sheet1!$A2193,Sheet2!$B$5:$H$29,5,FALSE),0)</x:f>
        <x:v>256</x:v>
      </x:c>
      <x:c r="G2193">
        <x:f>ROUND($C2193*10*VLOOKUP($B2193,Sheet2!$J$5:$K$7,2,FALSE)*VLOOKUP(Sheet1!$A2193,Sheet2!$B$5:$H$29,6,FALSE),0)</x:f>
        <x:v>0</x:v>
      </x:c>
      <x:c r="H2193">
        <x:f>ROUND($C2193*10*VLOOKUP($B2193,Sheet2!$J$5:$K$7,2,FALSE)*VLOOKUP(Sheet1!$A2193,Sheet2!$B$5:$H$29,7,FALSE),0)</x:f>
        <x:v>0</x:v>
      </x:c>
      <x:c r="I2193">
        <x:f t="shared" si="36"/>
        <x:v>10470</x:v>
      </x:c>
    </x:row>
    <x:row r="2194" spans="1:9" x14ac:dyDescent="0.15">
      <x:c r="A2194">
        <x:v>54103</x:v>
      </x:c>
      <x:c r="B2194">
        <x:v>1</x:v>
      </x:c>
      <x:c r="C2194">
        <x:v>33</x:v>
      </x:c>
      <x:c r="D2194">
        <x:f>ROUND($C2194*10*VLOOKUP($B2194,Sheet2!$J$5:$K$7,2,FALSE)*VLOOKUP(Sheet1!$A2194,Sheet2!$B$5:$H$29,3,FALSE),0)</x:f>
        <x:v>0</x:v>
      </x:c>
      <x:c r="E2194">
        <x:f>ROUND($C2194*10*VLOOKUP($B2194,Sheet2!$J$5:$K$7,2,FALSE)*VLOOKUP(Sheet1!$A2194,Sheet2!$B$5:$H$29,4,FALSE),0)</x:f>
        <x:v>0</x:v>
      </x:c>
      <x:c r="F2194">
        <x:f>ROUND($C2194*10*VLOOKUP($B2194,Sheet2!$J$5:$K$7,2,FALSE)*VLOOKUP(Sheet1!$A2194,Sheet2!$B$5:$H$29,5,FALSE),0)</x:f>
        <x:v>264</x:v>
      </x:c>
      <x:c r="G2194">
        <x:f>ROUND($C2194*10*VLOOKUP($B2194,Sheet2!$J$5:$K$7,2,FALSE)*VLOOKUP(Sheet1!$A2194,Sheet2!$B$5:$H$29,6,FALSE),0)</x:f>
        <x:v>0</x:v>
      </x:c>
      <x:c r="H2194">
        <x:f>ROUND($C2194*10*VLOOKUP($B2194,Sheet2!$J$5:$K$7,2,FALSE)*VLOOKUP(Sheet1!$A2194,Sheet2!$B$5:$H$29,7,FALSE),0)</x:f>
        <x:v>0</x:v>
      </x:c>
      <x:c r="I2194">
        <x:f t="shared" si="36"/>
        <x:v>11090</x:v>
      </x:c>
    </x:row>
    <x:row r="2195" spans="1:9" x14ac:dyDescent="0.15">
      <x:c r="A2195">
        <x:v>54103</x:v>
      </x:c>
      <x:c r="B2195">
        <x:v>1</x:v>
      </x:c>
      <x:c r="C2195">
        <x:v>34</x:v>
      </x:c>
      <x:c r="D2195">
        <x:f>ROUND($C2195*10*VLOOKUP($B2195,Sheet2!$J$5:$K$7,2,FALSE)*VLOOKUP(Sheet1!$A2195,Sheet2!$B$5:$H$29,3,FALSE),0)</x:f>
        <x:v>0</x:v>
      </x:c>
      <x:c r="E2195">
        <x:f>ROUND($C2195*10*VLOOKUP($B2195,Sheet2!$J$5:$K$7,2,FALSE)*VLOOKUP(Sheet1!$A2195,Sheet2!$B$5:$H$29,4,FALSE),0)</x:f>
        <x:v>0</x:v>
      </x:c>
      <x:c r="F2195">
        <x:f>ROUND($C2195*10*VLOOKUP($B2195,Sheet2!$J$5:$K$7,2,FALSE)*VLOOKUP(Sheet1!$A2195,Sheet2!$B$5:$H$29,5,FALSE),0)</x:f>
        <x:v>272</x:v>
      </x:c>
      <x:c r="G2195">
        <x:f>ROUND($C2195*10*VLOOKUP($B2195,Sheet2!$J$5:$K$7,2,FALSE)*VLOOKUP(Sheet1!$A2195,Sheet2!$B$5:$H$29,6,FALSE),0)</x:f>
        <x:v>0</x:v>
      </x:c>
      <x:c r="H2195">
        <x:f>ROUND($C2195*10*VLOOKUP($B2195,Sheet2!$J$5:$K$7,2,FALSE)*VLOOKUP(Sheet1!$A2195,Sheet2!$B$5:$H$29,7,FALSE),0)</x:f>
        <x:v>0</x:v>
      </x:c>
      <x:c r="I2195">
        <x:f t="shared" si="36"/>
        <x:v>11720</x:v>
      </x:c>
    </x:row>
    <x:row r="2196" spans="1:9" x14ac:dyDescent="0.15">
      <x:c r="A2196">
        <x:v>54103</x:v>
      </x:c>
      <x:c r="B2196">
        <x:v>1</x:v>
      </x:c>
      <x:c r="C2196">
        <x:v>35</x:v>
      </x:c>
      <x:c r="D2196">
        <x:f>ROUND($C2196*10*VLOOKUP($B2196,Sheet2!$J$5:$K$7,2,FALSE)*VLOOKUP(Sheet1!$A2196,Sheet2!$B$5:$H$29,3,FALSE),0)</x:f>
        <x:v>0</x:v>
      </x:c>
      <x:c r="E2196">
        <x:f>ROUND($C2196*10*VLOOKUP($B2196,Sheet2!$J$5:$K$7,2,FALSE)*VLOOKUP(Sheet1!$A2196,Sheet2!$B$5:$H$29,4,FALSE),0)</x:f>
        <x:v>0</x:v>
      </x:c>
      <x:c r="F2196">
        <x:f>ROUND($C2196*10*VLOOKUP($B2196,Sheet2!$J$5:$K$7,2,FALSE)*VLOOKUP(Sheet1!$A2196,Sheet2!$B$5:$H$29,5,FALSE),0)</x:f>
        <x:v>280</x:v>
      </x:c>
      <x:c r="G2196">
        <x:f>ROUND($C2196*10*VLOOKUP($B2196,Sheet2!$J$5:$K$7,2,FALSE)*VLOOKUP(Sheet1!$A2196,Sheet2!$B$5:$H$29,6,FALSE),0)</x:f>
        <x:v>0</x:v>
      </x:c>
      <x:c r="H2196">
        <x:f>ROUND($C2196*10*VLOOKUP($B2196,Sheet2!$J$5:$K$7,2,FALSE)*VLOOKUP(Sheet1!$A2196,Sheet2!$B$5:$H$29,7,FALSE),0)</x:f>
        <x:v>0</x:v>
      </x:c>
      <x:c r="I2196">
        <x:f t="shared" si="36"/>
        <x:v>12360</x:v>
      </x:c>
    </x:row>
    <x:row r="2197" spans="1:9" x14ac:dyDescent="0.15">
      <x:c r="A2197">
        <x:v>54103</x:v>
      </x:c>
      <x:c r="B2197">
        <x:v>1</x:v>
      </x:c>
      <x:c r="C2197">
        <x:v>36</x:v>
      </x:c>
      <x:c r="D2197">
        <x:f>ROUND($C2197*10*VLOOKUP($B2197,Sheet2!$J$5:$K$7,2,FALSE)*VLOOKUP(Sheet1!$A2197,Sheet2!$B$5:$H$29,3,FALSE),0)</x:f>
        <x:v>0</x:v>
      </x:c>
      <x:c r="E2197">
        <x:f>ROUND($C2197*10*VLOOKUP($B2197,Sheet2!$J$5:$K$7,2,FALSE)*VLOOKUP(Sheet1!$A2197,Sheet2!$B$5:$H$29,4,FALSE),0)</x:f>
        <x:v>0</x:v>
      </x:c>
      <x:c r="F2197">
        <x:f>ROUND($C2197*10*VLOOKUP($B2197,Sheet2!$J$5:$K$7,2,FALSE)*VLOOKUP(Sheet1!$A2197,Sheet2!$B$5:$H$29,5,FALSE),0)</x:f>
        <x:v>288</x:v>
      </x:c>
      <x:c r="G2197">
        <x:f>ROUND($C2197*10*VLOOKUP($B2197,Sheet2!$J$5:$K$7,2,FALSE)*VLOOKUP(Sheet1!$A2197,Sheet2!$B$5:$H$29,6,FALSE),0)</x:f>
        <x:v>0</x:v>
      </x:c>
      <x:c r="H2197">
        <x:f>ROUND($C2197*10*VLOOKUP($B2197,Sheet2!$J$5:$K$7,2,FALSE)*VLOOKUP(Sheet1!$A2197,Sheet2!$B$5:$H$29,7,FALSE),0)</x:f>
        <x:v>0</x:v>
      </x:c>
      <x:c r="I2197">
        <x:f t="shared" si="36"/>
        <x:v>13020</x:v>
      </x:c>
    </x:row>
    <x:row r="2198" spans="1:9" x14ac:dyDescent="0.15">
      <x:c r="A2198">
        <x:v>54103</x:v>
      </x:c>
      <x:c r="B2198">
        <x:v>1</x:v>
      </x:c>
      <x:c r="C2198">
        <x:v>37</x:v>
      </x:c>
      <x:c r="D2198">
        <x:f>ROUND($C2198*10*VLOOKUP($B2198,Sheet2!$J$5:$K$7,2,FALSE)*VLOOKUP(Sheet1!$A2198,Sheet2!$B$5:$H$29,3,FALSE),0)</x:f>
        <x:v>0</x:v>
      </x:c>
      <x:c r="E2198">
        <x:f>ROUND($C2198*10*VLOOKUP($B2198,Sheet2!$J$5:$K$7,2,FALSE)*VLOOKUP(Sheet1!$A2198,Sheet2!$B$5:$H$29,4,FALSE),0)</x:f>
        <x:v>0</x:v>
      </x:c>
      <x:c r="F2198">
        <x:f>ROUND($C2198*10*VLOOKUP($B2198,Sheet2!$J$5:$K$7,2,FALSE)*VLOOKUP(Sheet1!$A2198,Sheet2!$B$5:$H$29,5,FALSE),0)</x:f>
        <x:v>296</x:v>
      </x:c>
      <x:c r="G2198">
        <x:f>ROUND($C2198*10*VLOOKUP($B2198,Sheet2!$J$5:$K$7,2,FALSE)*VLOOKUP(Sheet1!$A2198,Sheet2!$B$5:$H$29,6,FALSE),0)</x:f>
        <x:v>0</x:v>
      </x:c>
      <x:c r="H2198">
        <x:f>ROUND($C2198*10*VLOOKUP($B2198,Sheet2!$J$5:$K$7,2,FALSE)*VLOOKUP(Sheet1!$A2198,Sheet2!$B$5:$H$29,7,FALSE),0)</x:f>
        <x:v>0</x:v>
      </x:c>
      <x:c r="I2198">
        <x:f t="shared" si="36"/>
        <x:v>13700</x:v>
      </x:c>
    </x:row>
    <x:row r="2199" spans="1:9" x14ac:dyDescent="0.15">
      <x:c r="A2199">
        <x:v>54103</x:v>
      </x:c>
      <x:c r="B2199">
        <x:v>1</x:v>
      </x:c>
      <x:c r="C2199">
        <x:v>38</x:v>
      </x:c>
      <x:c r="D2199">
        <x:f>ROUND($C2199*10*VLOOKUP($B2199,Sheet2!$J$5:$K$7,2,FALSE)*VLOOKUP(Sheet1!$A2199,Sheet2!$B$5:$H$29,3,FALSE),0)</x:f>
        <x:v>0</x:v>
      </x:c>
      <x:c r="E2199">
        <x:f>ROUND($C2199*10*VLOOKUP($B2199,Sheet2!$J$5:$K$7,2,FALSE)*VLOOKUP(Sheet1!$A2199,Sheet2!$B$5:$H$29,4,FALSE),0)</x:f>
        <x:v>0</x:v>
      </x:c>
      <x:c r="F2199">
        <x:f>ROUND($C2199*10*VLOOKUP($B2199,Sheet2!$J$5:$K$7,2,FALSE)*VLOOKUP(Sheet1!$A2199,Sheet2!$B$5:$H$29,5,FALSE),0)</x:f>
        <x:v>304</x:v>
      </x:c>
      <x:c r="G2199">
        <x:f>ROUND($C2199*10*VLOOKUP($B2199,Sheet2!$J$5:$K$7,2,FALSE)*VLOOKUP(Sheet1!$A2199,Sheet2!$B$5:$H$29,6,FALSE),0)</x:f>
        <x:v>0</x:v>
      </x:c>
      <x:c r="H2199">
        <x:f>ROUND($C2199*10*VLOOKUP($B2199,Sheet2!$J$5:$K$7,2,FALSE)*VLOOKUP(Sheet1!$A2199,Sheet2!$B$5:$H$29,7,FALSE),0)</x:f>
        <x:v>0</x:v>
      </x:c>
      <x:c r="I2199">
        <x:f t="shared" si="36"/>
        <x:v>14390</x:v>
      </x:c>
    </x:row>
    <x:row r="2200" spans="1:9" x14ac:dyDescent="0.15">
      <x:c r="A2200">
        <x:v>54103</x:v>
      </x:c>
      <x:c r="B2200">
        <x:v>1</x:v>
      </x:c>
      <x:c r="C2200">
        <x:v>39</x:v>
      </x:c>
      <x:c r="D2200">
        <x:f>ROUND($C2200*10*VLOOKUP($B2200,Sheet2!$J$5:$K$7,2,FALSE)*VLOOKUP(Sheet1!$A2200,Sheet2!$B$5:$H$29,3,FALSE),0)</x:f>
        <x:v>0</x:v>
      </x:c>
      <x:c r="E2200">
        <x:f>ROUND($C2200*10*VLOOKUP($B2200,Sheet2!$J$5:$K$7,2,FALSE)*VLOOKUP(Sheet1!$A2200,Sheet2!$B$5:$H$29,4,FALSE),0)</x:f>
        <x:v>0</x:v>
      </x:c>
      <x:c r="F2200">
        <x:f>ROUND($C2200*10*VLOOKUP($B2200,Sheet2!$J$5:$K$7,2,FALSE)*VLOOKUP(Sheet1!$A2200,Sheet2!$B$5:$H$29,5,FALSE),0)</x:f>
        <x:v>312</x:v>
      </x:c>
      <x:c r="G2200">
        <x:f>ROUND($C2200*10*VLOOKUP($B2200,Sheet2!$J$5:$K$7,2,FALSE)*VLOOKUP(Sheet1!$A2200,Sheet2!$B$5:$H$29,6,FALSE),0)</x:f>
        <x:v>0</x:v>
      </x:c>
      <x:c r="H2200">
        <x:f>ROUND($C2200*10*VLOOKUP($B2200,Sheet2!$J$5:$K$7,2,FALSE)*VLOOKUP(Sheet1!$A2200,Sheet2!$B$5:$H$29,7,FALSE),0)</x:f>
        <x:v>0</x:v>
      </x:c>
      <x:c r="I2200">
        <x:f t="shared" si="36"/>
        <x:v>15100</x:v>
      </x:c>
    </x:row>
    <x:row r="2201" spans="1:9" x14ac:dyDescent="0.15">
      <x:c r="A2201">
        <x:v>54103</x:v>
      </x:c>
      <x:c r="B2201">
        <x:v>1</x:v>
      </x:c>
      <x:c r="C2201">
        <x:v>40</x:v>
      </x:c>
      <x:c r="D2201">
        <x:f>ROUND($C2201*10*VLOOKUP($B2201,Sheet2!$J$5:$K$7,2,FALSE)*VLOOKUP(Sheet1!$A2201,Sheet2!$B$5:$H$29,3,FALSE),0)</x:f>
        <x:v>0</x:v>
      </x:c>
      <x:c r="E2201">
        <x:f>ROUND($C2201*10*VLOOKUP($B2201,Sheet2!$J$5:$K$7,2,FALSE)*VLOOKUP(Sheet1!$A2201,Sheet2!$B$5:$H$29,4,FALSE),0)</x:f>
        <x:v>0</x:v>
      </x:c>
      <x:c r="F2201">
        <x:f>ROUND($C2201*10*VLOOKUP($B2201,Sheet2!$J$5:$K$7,2,FALSE)*VLOOKUP(Sheet1!$A2201,Sheet2!$B$5:$H$29,5,FALSE),0)</x:f>
        <x:v>320</x:v>
      </x:c>
      <x:c r="G2201">
        <x:f>ROUND($C2201*10*VLOOKUP($B2201,Sheet2!$J$5:$K$7,2,FALSE)*VLOOKUP(Sheet1!$A2201,Sheet2!$B$5:$H$29,6,FALSE),0)</x:f>
        <x:v>0</x:v>
      </x:c>
      <x:c r="H2201">
        <x:f>ROUND($C2201*10*VLOOKUP($B2201,Sheet2!$J$5:$K$7,2,FALSE)*VLOOKUP(Sheet1!$A2201,Sheet2!$B$5:$H$29,7,FALSE),0)</x:f>
        <x:v>0</x:v>
      </x:c>
      <x:c r="I2201">
        <x:f t="shared" si="36"/>
        <x:v>15820</x:v>
      </x:c>
    </x:row>
    <x:row r="2202" spans="1:9" x14ac:dyDescent="0.15">
      <x:c r="A2202">
        <x:v>54103</x:v>
      </x:c>
      <x:c r="B2202">
        <x:v>1</x:v>
      </x:c>
      <x:c r="C2202">
        <x:v>41</x:v>
      </x:c>
      <x:c r="D2202">
        <x:f>ROUND($C2202*10*VLOOKUP($B2202,Sheet2!$J$5:$K$7,2,FALSE)*VLOOKUP(Sheet1!$A2202,Sheet2!$B$5:$H$29,3,FALSE),0)</x:f>
        <x:v>0</x:v>
      </x:c>
      <x:c r="E2202">
        <x:f>ROUND($C2202*10*VLOOKUP($B2202,Sheet2!$J$5:$K$7,2,FALSE)*VLOOKUP(Sheet1!$A2202,Sheet2!$B$5:$H$29,4,FALSE),0)</x:f>
        <x:v>0</x:v>
      </x:c>
      <x:c r="F2202">
        <x:f>ROUND($C2202*10*VLOOKUP($B2202,Sheet2!$J$5:$K$7,2,FALSE)*VLOOKUP(Sheet1!$A2202,Sheet2!$B$5:$H$29,5,FALSE),0)</x:f>
        <x:v>328</x:v>
      </x:c>
      <x:c r="G2202">
        <x:f>ROUND($C2202*10*VLOOKUP($B2202,Sheet2!$J$5:$K$7,2,FALSE)*VLOOKUP(Sheet1!$A2202,Sheet2!$B$5:$H$29,6,FALSE),0)</x:f>
        <x:v>0</x:v>
      </x:c>
      <x:c r="H2202">
        <x:f>ROUND($C2202*10*VLOOKUP($B2202,Sheet2!$J$5:$K$7,2,FALSE)*VLOOKUP(Sheet1!$A2202,Sheet2!$B$5:$H$29,7,FALSE),0)</x:f>
        <x:v>0</x:v>
      </x:c>
      <x:c r="I2202">
        <x:f t="shared" si="36"/>
        <x:v>16560</x:v>
      </x:c>
    </x:row>
    <x:row r="2203" spans="1:9" x14ac:dyDescent="0.15">
      <x:c r="A2203">
        <x:v>54103</x:v>
      </x:c>
      <x:c r="B2203">
        <x:v>1</x:v>
      </x:c>
      <x:c r="C2203">
        <x:v>42</x:v>
      </x:c>
      <x:c r="D2203">
        <x:f>ROUND($C2203*10*VLOOKUP($B2203,Sheet2!$J$5:$K$7,2,FALSE)*VLOOKUP(Sheet1!$A2203,Sheet2!$B$5:$H$29,3,FALSE),0)</x:f>
        <x:v>0</x:v>
      </x:c>
      <x:c r="E2203">
        <x:f>ROUND($C2203*10*VLOOKUP($B2203,Sheet2!$J$5:$K$7,2,FALSE)*VLOOKUP(Sheet1!$A2203,Sheet2!$B$5:$H$29,4,FALSE),0)</x:f>
        <x:v>0</x:v>
      </x:c>
      <x:c r="F2203">
        <x:f>ROUND($C2203*10*VLOOKUP($B2203,Sheet2!$J$5:$K$7,2,FALSE)*VLOOKUP(Sheet1!$A2203,Sheet2!$B$5:$H$29,5,FALSE),0)</x:f>
        <x:v>336</x:v>
      </x:c>
      <x:c r="G2203">
        <x:f>ROUND($C2203*10*VLOOKUP($B2203,Sheet2!$J$5:$K$7,2,FALSE)*VLOOKUP(Sheet1!$A2203,Sheet2!$B$5:$H$29,6,FALSE),0)</x:f>
        <x:v>0</x:v>
      </x:c>
      <x:c r="H2203">
        <x:f>ROUND($C2203*10*VLOOKUP($B2203,Sheet2!$J$5:$K$7,2,FALSE)*VLOOKUP(Sheet1!$A2203,Sheet2!$B$5:$H$29,7,FALSE),0)</x:f>
        <x:v>0</x:v>
      </x:c>
      <x:c r="I2203">
        <x:f t="shared" si="36"/>
        <x:v>17310</x:v>
      </x:c>
    </x:row>
    <x:row r="2204" spans="1:9" x14ac:dyDescent="0.15">
      <x:c r="A2204">
        <x:v>54103</x:v>
      </x:c>
      <x:c r="B2204">
        <x:v>1</x:v>
      </x:c>
      <x:c r="C2204">
        <x:v>43</x:v>
      </x:c>
      <x:c r="D2204">
        <x:f>ROUND($C2204*10*VLOOKUP($B2204,Sheet2!$J$5:$K$7,2,FALSE)*VLOOKUP(Sheet1!$A2204,Sheet2!$B$5:$H$29,3,FALSE),0)</x:f>
        <x:v>0</x:v>
      </x:c>
      <x:c r="E2204">
        <x:f>ROUND($C2204*10*VLOOKUP($B2204,Sheet2!$J$5:$K$7,2,FALSE)*VLOOKUP(Sheet1!$A2204,Sheet2!$B$5:$H$29,4,FALSE),0)</x:f>
        <x:v>0</x:v>
      </x:c>
      <x:c r="F2204">
        <x:f>ROUND($C2204*10*VLOOKUP($B2204,Sheet2!$J$5:$K$7,2,FALSE)*VLOOKUP(Sheet1!$A2204,Sheet2!$B$5:$H$29,5,FALSE),0)</x:f>
        <x:v>344</x:v>
      </x:c>
      <x:c r="G2204">
        <x:f>ROUND($C2204*10*VLOOKUP($B2204,Sheet2!$J$5:$K$7,2,FALSE)*VLOOKUP(Sheet1!$A2204,Sheet2!$B$5:$H$29,6,FALSE),0)</x:f>
        <x:v>0</x:v>
      </x:c>
      <x:c r="H2204">
        <x:f>ROUND($C2204*10*VLOOKUP($B2204,Sheet2!$J$5:$K$7,2,FALSE)*VLOOKUP(Sheet1!$A2204,Sheet2!$B$5:$H$29,7,FALSE),0)</x:f>
        <x:v>0</x:v>
      </x:c>
      <x:c r="I2204">
        <x:f t="shared" si="36"/>
        <x:v>18070</x:v>
      </x:c>
    </x:row>
    <x:row r="2205" spans="1:9" x14ac:dyDescent="0.15">
      <x:c r="A2205">
        <x:v>54103</x:v>
      </x:c>
      <x:c r="B2205">
        <x:v>1</x:v>
      </x:c>
      <x:c r="C2205">
        <x:v>44</x:v>
      </x:c>
      <x:c r="D2205">
        <x:f>ROUND($C2205*10*VLOOKUP($B2205,Sheet2!$J$5:$K$7,2,FALSE)*VLOOKUP(Sheet1!$A2205,Sheet2!$B$5:$H$29,3,FALSE),0)</x:f>
        <x:v>0</x:v>
      </x:c>
      <x:c r="E2205">
        <x:f>ROUND($C2205*10*VLOOKUP($B2205,Sheet2!$J$5:$K$7,2,FALSE)*VLOOKUP(Sheet1!$A2205,Sheet2!$B$5:$H$29,4,FALSE),0)</x:f>
        <x:v>0</x:v>
      </x:c>
      <x:c r="F2205">
        <x:f>ROUND($C2205*10*VLOOKUP($B2205,Sheet2!$J$5:$K$7,2,FALSE)*VLOOKUP(Sheet1!$A2205,Sheet2!$B$5:$H$29,5,FALSE),0)</x:f>
        <x:v>352</x:v>
      </x:c>
      <x:c r="G2205">
        <x:f>ROUND($C2205*10*VLOOKUP($B2205,Sheet2!$J$5:$K$7,2,FALSE)*VLOOKUP(Sheet1!$A2205,Sheet2!$B$5:$H$29,6,FALSE),0)</x:f>
        <x:v>0</x:v>
      </x:c>
      <x:c r="H2205">
        <x:f>ROUND($C2205*10*VLOOKUP($B2205,Sheet2!$J$5:$K$7,2,FALSE)*VLOOKUP(Sheet1!$A2205,Sheet2!$B$5:$H$29,7,FALSE),0)</x:f>
        <x:v>0</x:v>
      </x:c>
      <x:c r="I2205">
        <x:f t="shared" si="36"/>
        <x:v>18850</x:v>
      </x:c>
    </x:row>
    <x:row r="2206" spans="1:9" x14ac:dyDescent="0.15">
      <x:c r="A2206">
        <x:v>54103</x:v>
      </x:c>
      <x:c r="B2206">
        <x:v>1</x:v>
      </x:c>
      <x:c r="C2206">
        <x:v>45</x:v>
      </x:c>
      <x:c r="D2206">
        <x:f>ROUND($C2206*10*VLOOKUP($B2206,Sheet2!$J$5:$K$7,2,FALSE)*VLOOKUP(Sheet1!$A2206,Sheet2!$B$5:$H$29,3,FALSE),0)</x:f>
        <x:v>0</x:v>
      </x:c>
      <x:c r="E2206">
        <x:f>ROUND($C2206*10*VLOOKUP($B2206,Sheet2!$J$5:$K$7,2,FALSE)*VLOOKUP(Sheet1!$A2206,Sheet2!$B$5:$H$29,4,FALSE),0)</x:f>
        <x:v>0</x:v>
      </x:c>
      <x:c r="F2206">
        <x:f>ROUND($C2206*10*VLOOKUP($B2206,Sheet2!$J$5:$K$7,2,FALSE)*VLOOKUP(Sheet1!$A2206,Sheet2!$B$5:$H$29,5,FALSE),0)</x:f>
        <x:v>360</x:v>
      </x:c>
      <x:c r="G2206">
        <x:f>ROUND($C2206*10*VLOOKUP($B2206,Sheet2!$J$5:$K$7,2,FALSE)*VLOOKUP(Sheet1!$A2206,Sheet2!$B$5:$H$29,6,FALSE),0)</x:f>
        <x:v>0</x:v>
      </x:c>
      <x:c r="H2206">
        <x:f>ROUND($C2206*10*VLOOKUP($B2206,Sheet2!$J$5:$K$7,2,FALSE)*VLOOKUP(Sheet1!$A2206,Sheet2!$B$5:$H$29,7,FALSE),0)</x:f>
        <x:v>0</x:v>
      </x:c>
      <x:c r="I2206">
        <x:f t="shared" si="36"/>
        <x:v>19650</x:v>
      </x:c>
    </x:row>
    <x:row r="2207" spans="1:9" x14ac:dyDescent="0.15">
      <x:c r="A2207">
        <x:v>54103</x:v>
      </x:c>
      <x:c r="B2207">
        <x:v>1</x:v>
      </x:c>
      <x:c r="C2207">
        <x:v>46</x:v>
      </x:c>
      <x:c r="D2207">
        <x:f>ROUND($C2207*10*VLOOKUP($B2207,Sheet2!$J$5:$K$7,2,FALSE)*VLOOKUP(Sheet1!$A2207,Sheet2!$B$5:$H$29,3,FALSE),0)</x:f>
        <x:v>0</x:v>
      </x:c>
      <x:c r="E2207">
        <x:f>ROUND($C2207*10*VLOOKUP($B2207,Sheet2!$J$5:$K$7,2,FALSE)*VLOOKUP(Sheet1!$A2207,Sheet2!$B$5:$H$29,4,FALSE),0)</x:f>
        <x:v>0</x:v>
      </x:c>
      <x:c r="F2207">
        <x:f>ROUND($C2207*10*VLOOKUP($B2207,Sheet2!$J$5:$K$7,2,FALSE)*VLOOKUP(Sheet1!$A2207,Sheet2!$B$5:$H$29,5,FALSE),0)</x:f>
        <x:v>368</x:v>
      </x:c>
      <x:c r="G2207">
        <x:f>ROUND($C2207*10*VLOOKUP($B2207,Sheet2!$J$5:$K$7,2,FALSE)*VLOOKUP(Sheet1!$A2207,Sheet2!$B$5:$H$29,6,FALSE),0)</x:f>
        <x:v>0</x:v>
      </x:c>
      <x:c r="H2207">
        <x:f>ROUND($C2207*10*VLOOKUP($B2207,Sheet2!$J$5:$K$7,2,FALSE)*VLOOKUP(Sheet1!$A2207,Sheet2!$B$5:$H$29,7,FALSE),0)</x:f>
        <x:v>0</x:v>
      </x:c>
      <x:c r="I2207">
        <x:f t="shared" si="36"/>
        <x:v>20460</x:v>
      </x:c>
    </x:row>
    <x:row r="2208" spans="1:9" x14ac:dyDescent="0.15">
      <x:c r="A2208">
        <x:v>54103</x:v>
      </x:c>
      <x:c r="B2208">
        <x:v>1</x:v>
      </x:c>
      <x:c r="C2208">
        <x:v>47</x:v>
      </x:c>
      <x:c r="D2208">
        <x:f>ROUND($C2208*10*VLOOKUP($B2208,Sheet2!$J$5:$K$7,2,FALSE)*VLOOKUP(Sheet1!$A2208,Sheet2!$B$5:$H$29,3,FALSE),0)</x:f>
        <x:v>0</x:v>
      </x:c>
      <x:c r="E2208">
        <x:f>ROUND($C2208*10*VLOOKUP($B2208,Sheet2!$J$5:$K$7,2,FALSE)*VLOOKUP(Sheet1!$A2208,Sheet2!$B$5:$H$29,4,FALSE),0)</x:f>
        <x:v>0</x:v>
      </x:c>
      <x:c r="F2208">
        <x:f>ROUND($C2208*10*VLOOKUP($B2208,Sheet2!$J$5:$K$7,2,FALSE)*VLOOKUP(Sheet1!$A2208,Sheet2!$B$5:$H$29,5,FALSE),0)</x:f>
        <x:v>376</x:v>
      </x:c>
      <x:c r="G2208">
        <x:f>ROUND($C2208*10*VLOOKUP($B2208,Sheet2!$J$5:$K$7,2,FALSE)*VLOOKUP(Sheet1!$A2208,Sheet2!$B$5:$H$29,6,FALSE),0)</x:f>
        <x:v>0</x:v>
      </x:c>
      <x:c r="H2208">
        <x:f>ROUND($C2208*10*VLOOKUP($B2208,Sheet2!$J$5:$K$7,2,FALSE)*VLOOKUP(Sheet1!$A2208,Sheet2!$B$5:$H$29,7,FALSE),0)</x:f>
        <x:v>0</x:v>
      </x:c>
      <x:c r="I2208">
        <x:f t="shared" si="36"/>
        <x:v>21280</x:v>
      </x:c>
    </x:row>
    <x:row r="2209" spans="1:9" x14ac:dyDescent="0.15">
      <x:c r="A2209">
        <x:v>54103</x:v>
      </x:c>
      <x:c r="B2209">
        <x:v>1</x:v>
      </x:c>
      <x:c r="C2209">
        <x:v>48</x:v>
      </x:c>
      <x:c r="D2209">
        <x:f>ROUND($C2209*10*VLOOKUP($B2209,Sheet2!$J$5:$K$7,2,FALSE)*VLOOKUP(Sheet1!$A2209,Sheet2!$B$5:$H$29,3,FALSE),0)</x:f>
        <x:v>0</x:v>
      </x:c>
      <x:c r="E2209">
        <x:f>ROUND($C2209*10*VLOOKUP($B2209,Sheet2!$J$5:$K$7,2,FALSE)*VLOOKUP(Sheet1!$A2209,Sheet2!$B$5:$H$29,4,FALSE),0)</x:f>
        <x:v>0</x:v>
      </x:c>
      <x:c r="F2209">
        <x:f>ROUND($C2209*10*VLOOKUP($B2209,Sheet2!$J$5:$K$7,2,FALSE)*VLOOKUP(Sheet1!$A2209,Sheet2!$B$5:$H$29,5,FALSE),0)</x:f>
        <x:v>384</x:v>
      </x:c>
      <x:c r="G2209">
        <x:f>ROUND($C2209*10*VLOOKUP($B2209,Sheet2!$J$5:$K$7,2,FALSE)*VLOOKUP(Sheet1!$A2209,Sheet2!$B$5:$H$29,6,FALSE),0)</x:f>
        <x:v>0</x:v>
      </x:c>
      <x:c r="H2209">
        <x:f>ROUND($C2209*10*VLOOKUP($B2209,Sheet2!$J$5:$K$7,2,FALSE)*VLOOKUP(Sheet1!$A2209,Sheet2!$B$5:$H$29,7,FALSE),0)</x:f>
        <x:v>0</x:v>
      </x:c>
      <x:c r="I2209">
        <x:f t="shared" si="36"/>
        <x:v>22120</x:v>
      </x:c>
    </x:row>
    <x:row r="2210" spans="1:9" x14ac:dyDescent="0.15">
      <x:c r="A2210">
        <x:v>54103</x:v>
      </x:c>
      <x:c r="B2210">
        <x:v>1</x:v>
      </x:c>
      <x:c r="C2210">
        <x:v>49</x:v>
      </x:c>
      <x:c r="D2210">
        <x:f>ROUND($C2210*10*VLOOKUP($B2210,Sheet2!$J$5:$K$7,2,FALSE)*VLOOKUP(Sheet1!$A2210,Sheet2!$B$5:$H$29,3,FALSE),0)</x:f>
        <x:v>0</x:v>
      </x:c>
      <x:c r="E2210">
        <x:f>ROUND($C2210*10*VLOOKUP($B2210,Sheet2!$J$5:$K$7,2,FALSE)*VLOOKUP(Sheet1!$A2210,Sheet2!$B$5:$H$29,4,FALSE),0)</x:f>
        <x:v>0</x:v>
      </x:c>
      <x:c r="F2210">
        <x:f>ROUND($C2210*10*VLOOKUP($B2210,Sheet2!$J$5:$K$7,2,FALSE)*VLOOKUP(Sheet1!$A2210,Sheet2!$B$5:$H$29,5,FALSE),0)</x:f>
        <x:v>392</x:v>
      </x:c>
      <x:c r="G2210">
        <x:f>ROUND($C2210*10*VLOOKUP($B2210,Sheet2!$J$5:$K$7,2,FALSE)*VLOOKUP(Sheet1!$A2210,Sheet2!$B$5:$H$29,6,FALSE),0)</x:f>
        <x:v>0</x:v>
      </x:c>
      <x:c r="H2210">
        <x:f>ROUND($C2210*10*VLOOKUP($B2210,Sheet2!$J$5:$K$7,2,FALSE)*VLOOKUP(Sheet1!$A2210,Sheet2!$B$5:$H$29,7,FALSE),0)</x:f>
        <x:v>0</x:v>
      </x:c>
      <x:c r="I2210">
        <x:f t="shared" si="36"/>
        <x:v>22970</x:v>
      </x:c>
    </x:row>
    <x:row r="2211" spans="1:9" x14ac:dyDescent="0.15">
      <x:c r="A2211">
        <x:v>54103</x:v>
      </x:c>
      <x:c r="B2211">
        <x:v>1</x:v>
      </x:c>
      <x:c r="C2211">
        <x:v>50</x:v>
      </x:c>
      <x:c r="D2211">
        <x:f>ROUND($C2211*10*VLOOKUP($B2211,Sheet2!$J$5:$K$7,2,FALSE)*VLOOKUP(Sheet1!$A2211,Sheet2!$B$5:$H$29,3,FALSE),0)</x:f>
        <x:v>0</x:v>
      </x:c>
      <x:c r="E2211">
        <x:f>ROUND($C2211*10*VLOOKUP($B2211,Sheet2!$J$5:$K$7,2,FALSE)*VLOOKUP(Sheet1!$A2211,Sheet2!$B$5:$H$29,4,FALSE),0)</x:f>
        <x:v>0</x:v>
      </x:c>
      <x:c r="F2211">
        <x:f>ROUND($C2211*10*VLOOKUP($B2211,Sheet2!$J$5:$K$7,2,FALSE)*VLOOKUP(Sheet1!$A2211,Sheet2!$B$5:$H$29,5,FALSE),0)</x:f>
        <x:v>400</x:v>
      </x:c>
      <x:c r="G2211">
        <x:f>ROUND($C2211*10*VLOOKUP($B2211,Sheet2!$J$5:$K$7,2,FALSE)*VLOOKUP(Sheet1!$A2211,Sheet2!$B$5:$H$29,6,FALSE),0)</x:f>
        <x:v>0</x:v>
      </x:c>
      <x:c r="H2211">
        <x:f>ROUND($C2211*10*VLOOKUP($B2211,Sheet2!$J$5:$K$7,2,FALSE)*VLOOKUP(Sheet1!$A2211,Sheet2!$B$5:$H$29,7,FALSE),0)</x:f>
        <x:v>0</x:v>
      </x:c>
      <x:c r="I2211">
        <x:f t="shared" si="36"/>
        <x:v>23840</x:v>
      </x:c>
    </x:row>
    <x:row r="2212" spans="1:9" x14ac:dyDescent="0.15">
      <x:c r="A2212">
        <x:v>54103</x:v>
      </x:c>
      <x:c r="B2212">
        <x:v>1</x:v>
      </x:c>
      <x:c r="C2212">
        <x:v>51</x:v>
      </x:c>
      <x:c r="D2212">
        <x:f>ROUND($C2212*10*VLOOKUP($B2212,Sheet2!$J$5:$K$7,2,FALSE)*VLOOKUP(Sheet1!$A2212,Sheet2!$B$5:$H$29,3,FALSE),0)</x:f>
        <x:v>0</x:v>
      </x:c>
      <x:c r="E2212">
        <x:f>ROUND($C2212*10*VLOOKUP($B2212,Sheet2!$J$5:$K$7,2,FALSE)*VLOOKUP(Sheet1!$A2212,Sheet2!$B$5:$H$29,4,FALSE),0)</x:f>
        <x:v>0</x:v>
      </x:c>
      <x:c r="F2212">
        <x:f>ROUND($C2212*10*VLOOKUP($B2212,Sheet2!$J$5:$K$7,2,FALSE)*VLOOKUP(Sheet1!$A2212,Sheet2!$B$5:$H$29,5,FALSE),0)</x:f>
        <x:v>408</x:v>
      </x:c>
      <x:c r="G2212">
        <x:f>ROUND($C2212*10*VLOOKUP($B2212,Sheet2!$J$5:$K$7,2,FALSE)*VLOOKUP(Sheet1!$A2212,Sheet2!$B$5:$H$29,6,FALSE),0)</x:f>
        <x:v>0</x:v>
      </x:c>
      <x:c r="H2212">
        <x:f>ROUND($C2212*10*VLOOKUP($B2212,Sheet2!$J$5:$K$7,2,FALSE)*VLOOKUP(Sheet1!$A2212,Sheet2!$B$5:$H$29,7,FALSE),0)</x:f>
        <x:v>0</x:v>
      </x:c>
      <x:c r="I2212">
        <x:f t="shared" si="36"/>
        <x:v>24720</x:v>
      </x:c>
    </x:row>
    <x:row r="2213" spans="1:9" x14ac:dyDescent="0.15">
      <x:c r="A2213">
        <x:v>54103</x:v>
      </x:c>
      <x:c r="B2213">
        <x:v>1</x:v>
      </x:c>
      <x:c r="C2213">
        <x:v>52</x:v>
      </x:c>
      <x:c r="D2213">
        <x:f>ROUND($C2213*10*VLOOKUP($B2213,Sheet2!$J$5:$K$7,2,FALSE)*VLOOKUP(Sheet1!$A2213,Sheet2!$B$5:$H$29,3,FALSE),0)</x:f>
        <x:v>0</x:v>
      </x:c>
      <x:c r="E2213">
        <x:f>ROUND($C2213*10*VLOOKUP($B2213,Sheet2!$J$5:$K$7,2,FALSE)*VLOOKUP(Sheet1!$A2213,Sheet2!$B$5:$H$29,4,FALSE),0)</x:f>
        <x:v>0</x:v>
      </x:c>
      <x:c r="F2213">
        <x:f>ROUND($C2213*10*VLOOKUP($B2213,Sheet2!$J$5:$K$7,2,FALSE)*VLOOKUP(Sheet1!$A2213,Sheet2!$B$5:$H$29,5,FALSE),0)</x:f>
        <x:v>416</x:v>
      </x:c>
      <x:c r="G2213">
        <x:f>ROUND($C2213*10*VLOOKUP($B2213,Sheet2!$J$5:$K$7,2,FALSE)*VLOOKUP(Sheet1!$A2213,Sheet2!$B$5:$H$29,6,FALSE),0)</x:f>
        <x:v>0</x:v>
      </x:c>
      <x:c r="H2213">
        <x:f>ROUND($C2213*10*VLOOKUP($B2213,Sheet2!$J$5:$K$7,2,FALSE)*VLOOKUP(Sheet1!$A2213,Sheet2!$B$5:$H$29,7,FALSE),0)</x:f>
        <x:v>0</x:v>
      </x:c>
      <x:c r="I2213">
        <x:f t="shared" si="36"/>
        <x:v>25620</x:v>
      </x:c>
    </x:row>
    <x:row r="2214" spans="1:9" x14ac:dyDescent="0.15">
      <x:c r="A2214">
        <x:v>54103</x:v>
      </x:c>
      <x:c r="B2214">
        <x:v>1</x:v>
      </x:c>
      <x:c r="C2214">
        <x:v>53</x:v>
      </x:c>
      <x:c r="D2214">
        <x:f>ROUND($C2214*10*VLOOKUP($B2214,Sheet2!$J$5:$K$7,2,FALSE)*VLOOKUP(Sheet1!$A2214,Sheet2!$B$5:$H$29,3,FALSE),0)</x:f>
        <x:v>0</x:v>
      </x:c>
      <x:c r="E2214">
        <x:f>ROUND($C2214*10*VLOOKUP($B2214,Sheet2!$J$5:$K$7,2,FALSE)*VLOOKUP(Sheet1!$A2214,Sheet2!$B$5:$H$29,4,FALSE),0)</x:f>
        <x:v>0</x:v>
      </x:c>
      <x:c r="F2214">
        <x:f>ROUND($C2214*10*VLOOKUP($B2214,Sheet2!$J$5:$K$7,2,FALSE)*VLOOKUP(Sheet1!$A2214,Sheet2!$B$5:$H$29,5,FALSE),0)</x:f>
        <x:v>424</x:v>
      </x:c>
      <x:c r="G2214">
        <x:f>ROUND($C2214*10*VLOOKUP($B2214,Sheet2!$J$5:$K$7,2,FALSE)*VLOOKUP(Sheet1!$A2214,Sheet2!$B$5:$H$29,6,FALSE),0)</x:f>
        <x:v>0</x:v>
      </x:c>
      <x:c r="H2214">
        <x:f>ROUND($C2214*10*VLOOKUP($B2214,Sheet2!$J$5:$K$7,2,FALSE)*VLOOKUP(Sheet1!$A2214,Sheet2!$B$5:$H$29,7,FALSE),0)</x:f>
        <x:v>0</x:v>
      </x:c>
      <x:c r="I2214">
        <x:f t="shared" si="36"/>
        <x:v>26530</x:v>
      </x:c>
    </x:row>
    <x:row r="2215" spans="1:9" x14ac:dyDescent="0.15">
      <x:c r="A2215">
        <x:v>54103</x:v>
      </x:c>
      <x:c r="B2215">
        <x:v>1</x:v>
      </x:c>
      <x:c r="C2215">
        <x:v>54</x:v>
      </x:c>
      <x:c r="D2215">
        <x:f>ROUND($C2215*10*VLOOKUP($B2215,Sheet2!$J$5:$K$7,2,FALSE)*VLOOKUP(Sheet1!$A2215,Sheet2!$B$5:$H$29,3,FALSE),0)</x:f>
        <x:v>0</x:v>
      </x:c>
      <x:c r="E2215">
        <x:f>ROUND($C2215*10*VLOOKUP($B2215,Sheet2!$J$5:$K$7,2,FALSE)*VLOOKUP(Sheet1!$A2215,Sheet2!$B$5:$H$29,4,FALSE),0)</x:f>
        <x:v>0</x:v>
      </x:c>
      <x:c r="F2215">
        <x:f>ROUND($C2215*10*VLOOKUP($B2215,Sheet2!$J$5:$K$7,2,FALSE)*VLOOKUP(Sheet1!$A2215,Sheet2!$B$5:$H$29,5,FALSE),0)</x:f>
        <x:v>432</x:v>
      </x:c>
      <x:c r="G2215">
        <x:f>ROUND($C2215*10*VLOOKUP($B2215,Sheet2!$J$5:$K$7,2,FALSE)*VLOOKUP(Sheet1!$A2215,Sheet2!$B$5:$H$29,6,FALSE),0)</x:f>
        <x:v>0</x:v>
      </x:c>
      <x:c r="H2215">
        <x:f>ROUND($C2215*10*VLOOKUP($B2215,Sheet2!$J$5:$K$7,2,FALSE)*VLOOKUP(Sheet1!$A2215,Sheet2!$B$5:$H$29,7,FALSE),0)</x:f>
        <x:v>0</x:v>
      </x:c>
      <x:c r="I2215">
        <x:f t="shared" si="36"/>
        <x:v>27460</x:v>
      </x:c>
    </x:row>
    <x:row r="2216" spans="1:9" x14ac:dyDescent="0.15">
      <x:c r="A2216">
        <x:v>54103</x:v>
      </x:c>
      <x:c r="B2216">
        <x:v>1</x:v>
      </x:c>
      <x:c r="C2216">
        <x:v>55</x:v>
      </x:c>
      <x:c r="D2216">
        <x:f>ROUND($C2216*10*VLOOKUP($B2216,Sheet2!$J$5:$K$7,2,FALSE)*VLOOKUP(Sheet1!$A2216,Sheet2!$B$5:$H$29,3,FALSE),0)</x:f>
        <x:v>0</x:v>
      </x:c>
      <x:c r="E2216">
        <x:f>ROUND($C2216*10*VLOOKUP($B2216,Sheet2!$J$5:$K$7,2,FALSE)*VLOOKUP(Sheet1!$A2216,Sheet2!$B$5:$H$29,4,FALSE),0)</x:f>
        <x:v>0</x:v>
      </x:c>
      <x:c r="F2216">
        <x:f>ROUND($C2216*10*VLOOKUP($B2216,Sheet2!$J$5:$K$7,2,FALSE)*VLOOKUP(Sheet1!$A2216,Sheet2!$B$5:$H$29,5,FALSE),0)</x:f>
        <x:v>440</x:v>
      </x:c>
      <x:c r="G2216">
        <x:f>ROUND($C2216*10*VLOOKUP($B2216,Sheet2!$J$5:$K$7,2,FALSE)*VLOOKUP(Sheet1!$A2216,Sheet2!$B$5:$H$29,6,FALSE),0)</x:f>
        <x:v>0</x:v>
      </x:c>
      <x:c r="H2216">
        <x:f>ROUND($C2216*10*VLOOKUP($B2216,Sheet2!$J$5:$K$7,2,FALSE)*VLOOKUP(Sheet1!$A2216,Sheet2!$B$5:$H$29,7,FALSE),0)</x:f>
        <x:v>0</x:v>
      </x:c>
      <x:c r="I2216">
        <x:f t="shared" si="36"/>
        <x:v>28390</x:v>
      </x:c>
    </x:row>
    <x:row r="2217" spans="1:9" x14ac:dyDescent="0.15">
      <x:c r="A2217">
        <x:v>54103</x:v>
      </x:c>
      <x:c r="B2217">
        <x:v>1</x:v>
      </x:c>
      <x:c r="C2217">
        <x:v>56</x:v>
      </x:c>
      <x:c r="D2217">
        <x:f>ROUND($C2217*10*VLOOKUP($B2217,Sheet2!$J$5:$K$7,2,FALSE)*VLOOKUP(Sheet1!$A2217,Sheet2!$B$5:$H$29,3,FALSE),0)</x:f>
        <x:v>0</x:v>
      </x:c>
      <x:c r="E2217">
        <x:f>ROUND($C2217*10*VLOOKUP($B2217,Sheet2!$J$5:$K$7,2,FALSE)*VLOOKUP(Sheet1!$A2217,Sheet2!$B$5:$H$29,4,FALSE),0)</x:f>
        <x:v>0</x:v>
      </x:c>
      <x:c r="F2217">
        <x:f>ROUND($C2217*10*VLOOKUP($B2217,Sheet2!$J$5:$K$7,2,FALSE)*VLOOKUP(Sheet1!$A2217,Sheet2!$B$5:$H$29,5,FALSE),0)</x:f>
        <x:v>448</x:v>
      </x:c>
      <x:c r="G2217">
        <x:f>ROUND($C2217*10*VLOOKUP($B2217,Sheet2!$J$5:$K$7,2,FALSE)*VLOOKUP(Sheet1!$A2217,Sheet2!$B$5:$H$29,6,FALSE),0)</x:f>
        <x:v>0</x:v>
      </x:c>
      <x:c r="H2217">
        <x:f>ROUND($C2217*10*VLOOKUP($B2217,Sheet2!$J$5:$K$7,2,FALSE)*VLOOKUP(Sheet1!$A2217,Sheet2!$B$5:$H$29,7,FALSE),0)</x:f>
        <x:v>0</x:v>
      </x:c>
      <x:c r="I2217">
        <x:f t="shared" si="36"/>
        <x:v>29350</x:v>
      </x:c>
    </x:row>
    <x:row r="2218" spans="1:9" x14ac:dyDescent="0.15">
      <x:c r="A2218">
        <x:v>54103</x:v>
      </x:c>
      <x:c r="B2218">
        <x:v>1</x:v>
      </x:c>
      <x:c r="C2218">
        <x:v>57</x:v>
      </x:c>
      <x:c r="D2218">
        <x:f>ROUND($C2218*10*VLOOKUP($B2218,Sheet2!$J$5:$K$7,2,FALSE)*VLOOKUP(Sheet1!$A2218,Sheet2!$B$5:$H$29,3,FALSE),0)</x:f>
        <x:v>0</x:v>
      </x:c>
      <x:c r="E2218">
        <x:f>ROUND($C2218*10*VLOOKUP($B2218,Sheet2!$J$5:$K$7,2,FALSE)*VLOOKUP(Sheet1!$A2218,Sheet2!$B$5:$H$29,4,FALSE),0)</x:f>
        <x:v>0</x:v>
      </x:c>
      <x:c r="F2218">
        <x:f>ROUND($C2218*10*VLOOKUP($B2218,Sheet2!$J$5:$K$7,2,FALSE)*VLOOKUP(Sheet1!$A2218,Sheet2!$B$5:$H$29,5,FALSE),0)</x:f>
        <x:v>456</x:v>
      </x:c>
      <x:c r="G2218">
        <x:f>ROUND($C2218*10*VLOOKUP($B2218,Sheet2!$J$5:$K$7,2,FALSE)*VLOOKUP(Sheet1!$A2218,Sheet2!$B$5:$H$29,6,FALSE),0)</x:f>
        <x:v>0</x:v>
      </x:c>
      <x:c r="H2218">
        <x:f>ROUND($C2218*10*VLOOKUP($B2218,Sheet2!$J$5:$K$7,2,FALSE)*VLOOKUP(Sheet1!$A2218,Sheet2!$B$5:$H$29,7,FALSE),0)</x:f>
        <x:v>0</x:v>
      </x:c>
      <x:c r="I2218">
        <x:f t="shared" si="36"/>
        <x:v>30310</x:v>
      </x:c>
    </x:row>
    <x:row r="2219" spans="1:9" x14ac:dyDescent="0.15">
      <x:c r="A2219">
        <x:v>54103</x:v>
      </x:c>
      <x:c r="B2219">
        <x:v>1</x:v>
      </x:c>
      <x:c r="C2219">
        <x:v>58</x:v>
      </x:c>
      <x:c r="D2219">
        <x:f>ROUND($C2219*10*VLOOKUP($B2219,Sheet2!$J$5:$K$7,2,FALSE)*VLOOKUP(Sheet1!$A2219,Sheet2!$B$5:$H$29,3,FALSE),0)</x:f>
        <x:v>0</x:v>
      </x:c>
      <x:c r="E2219">
        <x:f>ROUND($C2219*10*VLOOKUP($B2219,Sheet2!$J$5:$K$7,2,FALSE)*VLOOKUP(Sheet1!$A2219,Sheet2!$B$5:$H$29,4,FALSE),0)</x:f>
        <x:v>0</x:v>
      </x:c>
      <x:c r="F2219">
        <x:f>ROUND($C2219*10*VLOOKUP($B2219,Sheet2!$J$5:$K$7,2,FALSE)*VLOOKUP(Sheet1!$A2219,Sheet2!$B$5:$H$29,5,FALSE),0)</x:f>
        <x:v>464</x:v>
      </x:c>
      <x:c r="G2219">
        <x:f>ROUND($C2219*10*VLOOKUP($B2219,Sheet2!$J$5:$K$7,2,FALSE)*VLOOKUP(Sheet1!$A2219,Sheet2!$B$5:$H$29,6,FALSE),0)</x:f>
        <x:v>0</x:v>
      </x:c>
      <x:c r="H2219">
        <x:f>ROUND($C2219*10*VLOOKUP($B2219,Sheet2!$J$5:$K$7,2,FALSE)*VLOOKUP(Sheet1!$A2219,Sheet2!$B$5:$H$29,7,FALSE),0)</x:f>
        <x:v>0</x:v>
      </x:c>
      <x:c r="I2219">
        <x:f t="shared" si="36"/>
        <x:v>31290</x:v>
      </x:c>
    </x:row>
    <x:row r="2220" spans="1:9" x14ac:dyDescent="0.15">
      <x:c r="A2220">
        <x:v>54103</x:v>
      </x:c>
      <x:c r="B2220">
        <x:v>1</x:v>
      </x:c>
      <x:c r="C2220">
        <x:v>59</x:v>
      </x:c>
      <x:c r="D2220">
        <x:f>ROUND($C2220*10*VLOOKUP($B2220,Sheet2!$J$5:$K$7,2,FALSE)*VLOOKUP(Sheet1!$A2220,Sheet2!$B$5:$H$29,3,FALSE),0)</x:f>
        <x:v>0</x:v>
      </x:c>
      <x:c r="E2220">
        <x:f>ROUND($C2220*10*VLOOKUP($B2220,Sheet2!$J$5:$K$7,2,FALSE)*VLOOKUP(Sheet1!$A2220,Sheet2!$B$5:$H$29,4,FALSE),0)</x:f>
        <x:v>0</x:v>
      </x:c>
      <x:c r="F2220">
        <x:f>ROUND($C2220*10*VLOOKUP($B2220,Sheet2!$J$5:$K$7,2,FALSE)*VLOOKUP(Sheet1!$A2220,Sheet2!$B$5:$H$29,5,FALSE),0)</x:f>
        <x:v>472</x:v>
      </x:c>
      <x:c r="G2220">
        <x:f>ROUND($C2220*10*VLOOKUP($B2220,Sheet2!$J$5:$K$7,2,FALSE)*VLOOKUP(Sheet1!$A2220,Sheet2!$B$5:$H$29,6,FALSE),0)</x:f>
        <x:v>0</x:v>
      </x:c>
      <x:c r="H2220">
        <x:f>ROUND($C2220*10*VLOOKUP($B2220,Sheet2!$J$5:$K$7,2,FALSE)*VLOOKUP(Sheet1!$A2220,Sheet2!$B$5:$H$29,7,FALSE),0)</x:f>
        <x:v>0</x:v>
      </x:c>
      <x:c r="I2220">
        <x:f t="shared" si="36"/>
        <x:v>32290</x:v>
      </x:c>
    </x:row>
    <x:row r="2221" spans="1:9" x14ac:dyDescent="0.15">
      <x:c r="A2221">
        <x:v>54103</x:v>
      </x:c>
      <x:c r="B2221">
        <x:v>1</x:v>
      </x:c>
      <x:c r="C2221">
        <x:v>60</x:v>
      </x:c>
      <x:c r="D2221">
        <x:f>ROUND($C2221*10*VLOOKUP($B2221,Sheet2!$J$5:$K$7,2,FALSE)*VLOOKUP(Sheet1!$A2221,Sheet2!$B$5:$H$29,3,FALSE),0)</x:f>
        <x:v>0</x:v>
      </x:c>
      <x:c r="E2221">
        <x:f>ROUND($C2221*10*VLOOKUP($B2221,Sheet2!$J$5:$K$7,2,FALSE)*VLOOKUP(Sheet1!$A2221,Sheet2!$B$5:$H$29,4,FALSE),0)</x:f>
        <x:v>0</x:v>
      </x:c>
      <x:c r="F2221">
        <x:f>ROUND($C2221*10*VLOOKUP($B2221,Sheet2!$J$5:$K$7,2,FALSE)*VLOOKUP(Sheet1!$A2221,Sheet2!$B$5:$H$29,5,FALSE),0)</x:f>
        <x:v>480</x:v>
      </x:c>
      <x:c r="G2221">
        <x:f>ROUND($C2221*10*VLOOKUP($B2221,Sheet2!$J$5:$K$7,2,FALSE)*VLOOKUP(Sheet1!$A2221,Sheet2!$B$5:$H$29,6,FALSE),0)</x:f>
        <x:v>0</x:v>
      </x:c>
      <x:c r="H2221">
        <x:f>ROUND($C2221*10*VLOOKUP($B2221,Sheet2!$J$5:$K$7,2,FALSE)*VLOOKUP(Sheet1!$A2221,Sheet2!$B$5:$H$29,7,FALSE),0)</x:f>
        <x:v>0</x:v>
      </x:c>
      <x:c r="I2221">
        <x:f t="shared" si="36"/>
        <x:v>33290</x:v>
      </x:c>
    </x:row>
    <x:row r="2222" spans="1:9" x14ac:dyDescent="0.15">
      <x:c r="A2222">
        <x:v>54103</x:v>
      </x:c>
      <x:c r="B2222">
        <x:v>2</x:v>
      </x:c>
      <x:c r="C2222">
        <x:v>1</x:v>
      </x:c>
      <x:c r="D2222">
        <x:f>ROUND($C2222*10*VLOOKUP($B2222,Sheet2!$J$5:$K$7,2,FALSE)*VLOOKUP(Sheet1!$A2222,Sheet2!$B$5:$H$29,3,FALSE),0)</x:f>
        <x:v>0</x:v>
      </x:c>
      <x:c r="E2222">
        <x:f>ROUND($C2222*10*VLOOKUP($B2222,Sheet2!$J$5:$K$7,2,FALSE)*VLOOKUP(Sheet1!$A2222,Sheet2!$B$5:$H$29,4,FALSE),0)</x:f>
        <x:v>0</x:v>
      </x:c>
      <x:c r="F2222">
        <x:f>ROUND($C2222*10*VLOOKUP($B2222,Sheet2!$J$5:$K$7,2,FALSE)*VLOOKUP(Sheet1!$A2222,Sheet2!$B$5:$H$29,5,FALSE),0)</x:f>
        <x:v>10</x:v>
      </x:c>
      <x:c r="G2222">
        <x:f>ROUND($C2222*10*VLOOKUP($B2222,Sheet2!$J$5:$K$7,2,FALSE)*VLOOKUP(Sheet1!$A2222,Sheet2!$B$5:$H$29,6,FALSE),0)</x:f>
        <x:v>0</x:v>
      </x:c>
      <x:c r="H2222">
        <x:f>ROUND($C2222*10*VLOOKUP($B2222,Sheet2!$J$5:$K$7,2,FALSE)*VLOOKUP(Sheet1!$A2222,Sheet2!$B$5:$H$29,7,FALSE),0)</x:f>
        <x:v>0</x:v>
      </x:c>
      <x:c r="I2222">
        <x:f t="shared" ref="I2222:I2281" si="37">ROUND(1.2*10*3.5*(C2222-1)^1.8+60,-1)</x:f>
        <x:v>60</x:v>
      </x:c>
    </x:row>
    <x:row r="2223" spans="1:9" x14ac:dyDescent="0.15">
      <x:c r="A2223">
        <x:v>54103</x:v>
      </x:c>
      <x:c r="B2223">
        <x:v>2</x:v>
      </x:c>
      <x:c r="C2223">
        <x:v>2</x:v>
      </x:c>
      <x:c r="D2223">
        <x:f>ROUND($C2223*10*VLOOKUP($B2223,Sheet2!$J$5:$K$7,2,FALSE)*VLOOKUP(Sheet1!$A2223,Sheet2!$B$5:$H$29,3,FALSE),0)</x:f>
        <x:v>0</x:v>
      </x:c>
      <x:c r="E2223">
        <x:f>ROUND($C2223*10*VLOOKUP($B2223,Sheet2!$J$5:$K$7,2,FALSE)*VLOOKUP(Sheet1!$A2223,Sheet2!$B$5:$H$29,4,FALSE),0)</x:f>
        <x:v>0</x:v>
      </x:c>
      <x:c r="F2223">
        <x:f>ROUND($C2223*10*VLOOKUP($B2223,Sheet2!$J$5:$K$7,2,FALSE)*VLOOKUP(Sheet1!$A2223,Sheet2!$B$5:$H$29,5,FALSE),0)</x:f>
        <x:v>19</x:v>
      </x:c>
      <x:c r="G2223">
        <x:f>ROUND($C2223*10*VLOOKUP($B2223,Sheet2!$J$5:$K$7,2,FALSE)*VLOOKUP(Sheet1!$A2223,Sheet2!$B$5:$H$29,6,FALSE),0)</x:f>
        <x:v>0</x:v>
      </x:c>
      <x:c r="H2223">
        <x:f>ROUND($C2223*10*VLOOKUP($B2223,Sheet2!$J$5:$K$7,2,FALSE)*VLOOKUP(Sheet1!$A2223,Sheet2!$B$5:$H$29,7,FALSE),0)</x:f>
        <x:v>0</x:v>
      </x:c>
      <x:c r="I2223">
        <x:f t="shared" si="37"/>
        <x:v>100</x:v>
      </x:c>
    </x:row>
    <x:row r="2224" spans="1:9" x14ac:dyDescent="0.15">
      <x:c r="A2224">
        <x:v>54103</x:v>
      </x:c>
      <x:c r="B2224">
        <x:v>2</x:v>
      </x:c>
      <x:c r="C2224">
        <x:v>3</x:v>
      </x:c>
      <x:c r="D2224">
        <x:f>ROUND($C2224*10*VLOOKUP($B2224,Sheet2!$J$5:$K$7,2,FALSE)*VLOOKUP(Sheet1!$A2224,Sheet2!$B$5:$H$29,3,FALSE),0)</x:f>
        <x:v>0</x:v>
      </x:c>
      <x:c r="E2224">
        <x:f>ROUND($C2224*10*VLOOKUP($B2224,Sheet2!$J$5:$K$7,2,FALSE)*VLOOKUP(Sheet1!$A2224,Sheet2!$B$5:$H$29,4,FALSE),0)</x:f>
        <x:v>0</x:v>
      </x:c>
      <x:c r="F2224">
        <x:f>ROUND($C2224*10*VLOOKUP($B2224,Sheet2!$J$5:$K$7,2,FALSE)*VLOOKUP(Sheet1!$A2224,Sheet2!$B$5:$H$29,5,FALSE),0)</x:f>
        <x:v>29</x:v>
      </x:c>
      <x:c r="G2224">
        <x:f>ROUND($C2224*10*VLOOKUP($B2224,Sheet2!$J$5:$K$7,2,FALSE)*VLOOKUP(Sheet1!$A2224,Sheet2!$B$5:$H$29,6,FALSE),0)</x:f>
        <x:v>0</x:v>
      </x:c>
      <x:c r="H2224">
        <x:f>ROUND($C2224*10*VLOOKUP($B2224,Sheet2!$J$5:$K$7,2,FALSE)*VLOOKUP(Sheet1!$A2224,Sheet2!$B$5:$H$29,7,FALSE),0)</x:f>
        <x:v>0</x:v>
      </x:c>
      <x:c r="I2224">
        <x:f t="shared" si="37"/>
        <x:v>210</x:v>
      </x:c>
    </x:row>
    <x:row r="2225" spans="1:9" x14ac:dyDescent="0.15">
      <x:c r="A2225">
        <x:v>54103</x:v>
      </x:c>
      <x:c r="B2225">
        <x:v>2</x:v>
      </x:c>
      <x:c r="C2225">
        <x:v>4</x:v>
      </x:c>
      <x:c r="D2225">
        <x:f>ROUND($C2225*10*VLOOKUP($B2225,Sheet2!$J$5:$K$7,2,FALSE)*VLOOKUP(Sheet1!$A2225,Sheet2!$B$5:$H$29,3,FALSE),0)</x:f>
        <x:v>0</x:v>
      </x:c>
      <x:c r="E2225">
        <x:f>ROUND($C2225*10*VLOOKUP($B2225,Sheet2!$J$5:$K$7,2,FALSE)*VLOOKUP(Sheet1!$A2225,Sheet2!$B$5:$H$29,4,FALSE),0)</x:f>
        <x:v>0</x:v>
      </x:c>
      <x:c r="F2225">
        <x:f>ROUND($C2225*10*VLOOKUP($B2225,Sheet2!$J$5:$K$7,2,FALSE)*VLOOKUP(Sheet1!$A2225,Sheet2!$B$5:$H$29,5,FALSE),0)</x:f>
        <x:v>38</x:v>
      </x:c>
      <x:c r="G2225">
        <x:f>ROUND($C2225*10*VLOOKUP($B2225,Sheet2!$J$5:$K$7,2,FALSE)*VLOOKUP(Sheet1!$A2225,Sheet2!$B$5:$H$29,6,FALSE),0)</x:f>
        <x:v>0</x:v>
      </x:c>
      <x:c r="H2225">
        <x:f>ROUND($C2225*10*VLOOKUP($B2225,Sheet2!$J$5:$K$7,2,FALSE)*VLOOKUP(Sheet1!$A2225,Sheet2!$B$5:$H$29,7,FALSE),0)</x:f>
        <x:v>0</x:v>
      </x:c>
      <x:c r="I2225">
        <x:f t="shared" si="37"/>
        <x:v>360</x:v>
      </x:c>
    </x:row>
    <x:row r="2226" spans="1:9" x14ac:dyDescent="0.15">
      <x:c r="A2226">
        <x:v>54103</x:v>
      </x:c>
      <x:c r="B2226">
        <x:v>2</x:v>
      </x:c>
      <x:c r="C2226">
        <x:v>5</x:v>
      </x:c>
      <x:c r="D2226">
        <x:f>ROUND($C2226*10*VLOOKUP($B2226,Sheet2!$J$5:$K$7,2,FALSE)*VLOOKUP(Sheet1!$A2226,Sheet2!$B$5:$H$29,3,FALSE),0)</x:f>
        <x:v>0</x:v>
      </x:c>
      <x:c r="E2226">
        <x:f>ROUND($C2226*10*VLOOKUP($B2226,Sheet2!$J$5:$K$7,2,FALSE)*VLOOKUP(Sheet1!$A2226,Sheet2!$B$5:$H$29,4,FALSE),0)</x:f>
        <x:v>0</x:v>
      </x:c>
      <x:c r="F2226">
        <x:f>ROUND($C2226*10*VLOOKUP($B2226,Sheet2!$J$5:$K$7,2,FALSE)*VLOOKUP(Sheet1!$A2226,Sheet2!$B$5:$H$29,5,FALSE),0)</x:f>
        <x:v>48</x:v>
      </x:c>
      <x:c r="G2226">
        <x:f>ROUND($C2226*10*VLOOKUP($B2226,Sheet2!$J$5:$K$7,2,FALSE)*VLOOKUP(Sheet1!$A2226,Sheet2!$B$5:$H$29,6,FALSE),0)</x:f>
        <x:v>0</x:v>
      </x:c>
      <x:c r="H2226">
        <x:f>ROUND($C2226*10*VLOOKUP($B2226,Sheet2!$J$5:$K$7,2,FALSE)*VLOOKUP(Sheet1!$A2226,Sheet2!$B$5:$H$29,7,FALSE),0)</x:f>
        <x:v>0</x:v>
      </x:c>
      <x:c r="I2226">
        <x:f t="shared" si="37"/>
        <x:v>570</x:v>
      </x:c>
    </x:row>
    <x:row r="2227" spans="1:9" x14ac:dyDescent="0.15">
      <x:c r="A2227">
        <x:v>54103</x:v>
      </x:c>
      <x:c r="B2227">
        <x:v>2</x:v>
      </x:c>
      <x:c r="C2227">
        <x:v>6</x:v>
      </x:c>
      <x:c r="D2227">
        <x:f>ROUND($C2227*10*VLOOKUP($B2227,Sheet2!$J$5:$K$7,2,FALSE)*VLOOKUP(Sheet1!$A2227,Sheet2!$B$5:$H$29,3,FALSE),0)</x:f>
        <x:v>0</x:v>
      </x:c>
      <x:c r="E2227">
        <x:f>ROUND($C2227*10*VLOOKUP($B2227,Sheet2!$J$5:$K$7,2,FALSE)*VLOOKUP(Sheet1!$A2227,Sheet2!$B$5:$H$29,4,FALSE),0)</x:f>
        <x:v>0</x:v>
      </x:c>
      <x:c r="F2227">
        <x:f>ROUND($C2227*10*VLOOKUP($B2227,Sheet2!$J$5:$K$7,2,FALSE)*VLOOKUP(Sheet1!$A2227,Sheet2!$B$5:$H$29,5,FALSE),0)</x:f>
        <x:v>58</x:v>
      </x:c>
      <x:c r="G2227">
        <x:f>ROUND($C2227*10*VLOOKUP($B2227,Sheet2!$J$5:$K$7,2,FALSE)*VLOOKUP(Sheet1!$A2227,Sheet2!$B$5:$H$29,6,FALSE),0)</x:f>
        <x:v>0</x:v>
      </x:c>
      <x:c r="H2227">
        <x:f>ROUND($C2227*10*VLOOKUP($B2227,Sheet2!$J$5:$K$7,2,FALSE)*VLOOKUP(Sheet1!$A2227,Sheet2!$B$5:$H$29,7,FALSE),0)</x:f>
        <x:v>0</x:v>
      </x:c>
      <x:c r="I2227">
        <x:f t="shared" si="37"/>
        <x:v>820</x:v>
      </x:c>
    </x:row>
    <x:row r="2228" spans="1:9" x14ac:dyDescent="0.15">
      <x:c r="A2228">
        <x:v>54103</x:v>
      </x:c>
      <x:c r="B2228">
        <x:v>2</x:v>
      </x:c>
      <x:c r="C2228">
        <x:v>7</x:v>
      </x:c>
      <x:c r="D2228">
        <x:f>ROUND($C2228*10*VLOOKUP($B2228,Sheet2!$J$5:$K$7,2,FALSE)*VLOOKUP(Sheet1!$A2228,Sheet2!$B$5:$H$29,3,FALSE),0)</x:f>
        <x:v>0</x:v>
      </x:c>
      <x:c r="E2228">
        <x:f>ROUND($C2228*10*VLOOKUP($B2228,Sheet2!$J$5:$K$7,2,FALSE)*VLOOKUP(Sheet1!$A2228,Sheet2!$B$5:$H$29,4,FALSE),0)</x:f>
        <x:v>0</x:v>
      </x:c>
      <x:c r="F2228">
        <x:f>ROUND($C2228*10*VLOOKUP($B2228,Sheet2!$J$5:$K$7,2,FALSE)*VLOOKUP(Sheet1!$A2228,Sheet2!$B$5:$H$29,5,FALSE),0)</x:f>
        <x:v>67</x:v>
      </x:c>
      <x:c r="G2228">
        <x:f>ROUND($C2228*10*VLOOKUP($B2228,Sheet2!$J$5:$K$7,2,FALSE)*VLOOKUP(Sheet1!$A2228,Sheet2!$B$5:$H$29,6,FALSE),0)</x:f>
        <x:v>0</x:v>
      </x:c>
      <x:c r="H2228">
        <x:f>ROUND($C2228*10*VLOOKUP($B2228,Sheet2!$J$5:$K$7,2,FALSE)*VLOOKUP(Sheet1!$A2228,Sheet2!$B$5:$H$29,7,FALSE),0)</x:f>
        <x:v>0</x:v>
      </x:c>
      <x:c r="I2228">
        <x:f t="shared" si="37"/>
        <x:v>1120</x:v>
      </x:c>
    </x:row>
    <x:row r="2229" spans="1:9" x14ac:dyDescent="0.15">
      <x:c r="A2229">
        <x:v>54103</x:v>
      </x:c>
      <x:c r="B2229">
        <x:v>2</x:v>
      </x:c>
      <x:c r="C2229">
        <x:v>8</x:v>
      </x:c>
      <x:c r="D2229">
        <x:f>ROUND($C2229*10*VLOOKUP($B2229,Sheet2!$J$5:$K$7,2,FALSE)*VLOOKUP(Sheet1!$A2229,Sheet2!$B$5:$H$29,3,FALSE),0)</x:f>
        <x:v>0</x:v>
      </x:c>
      <x:c r="E2229">
        <x:f>ROUND($C2229*10*VLOOKUP($B2229,Sheet2!$J$5:$K$7,2,FALSE)*VLOOKUP(Sheet1!$A2229,Sheet2!$B$5:$H$29,4,FALSE),0)</x:f>
        <x:v>0</x:v>
      </x:c>
      <x:c r="F2229">
        <x:f>ROUND($C2229*10*VLOOKUP($B2229,Sheet2!$J$5:$K$7,2,FALSE)*VLOOKUP(Sheet1!$A2229,Sheet2!$B$5:$H$29,5,FALSE),0)</x:f>
        <x:v>77</x:v>
      </x:c>
      <x:c r="G2229">
        <x:f>ROUND($C2229*10*VLOOKUP($B2229,Sheet2!$J$5:$K$7,2,FALSE)*VLOOKUP(Sheet1!$A2229,Sheet2!$B$5:$H$29,6,FALSE),0)</x:f>
        <x:v>0</x:v>
      </x:c>
      <x:c r="H2229">
        <x:f>ROUND($C2229*10*VLOOKUP($B2229,Sheet2!$J$5:$K$7,2,FALSE)*VLOOKUP(Sheet1!$A2229,Sheet2!$B$5:$H$29,7,FALSE),0)</x:f>
        <x:v>0</x:v>
      </x:c>
      <x:c r="I2229">
        <x:f t="shared" si="37"/>
        <x:v>1450</x:v>
      </x:c>
    </x:row>
    <x:row r="2230" spans="1:9" x14ac:dyDescent="0.15">
      <x:c r="A2230">
        <x:v>54103</x:v>
      </x:c>
      <x:c r="B2230">
        <x:v>2</x:v>
      </x:c>
      <x:c r="C2230">
        <x:v>9</x:v>
      </x:c>
      <x:c r="D2230">
        <x:f>ROUND($C2230*10*VLOOKUP($B2230,Sheet2!$J$5:$K$7,2,FALSE)*VLOOKUP(Sheet1!$A2230,Sheet2!$B$5:$H$29,3,FALSE),0)</x:f>
        <x:v>0</x:v>
      </x:c>
      <x:c r="E2230">
        <x:f>ROUND($C2230*10*VLOOKUP($B2230,Sheet2!$J$5:$K$7,2,FALSE)*VLOOKUP(Sheet1!$A2230,Sheet2!$B$5:$H$29,4,FALSE),0)</x:f>
        <x:v>0</x:v>
      </x:c>
      <x:c r="F2230">
        <x:f>ROUND($C2230*10*VLOOKUP($B2230,Sheet2!$J$5:$K$7,2,FALSE)*VLOOKUP(Sheet1!$A2230,Sheet2!$B$5:$H$29,5,FALSE),0)</x:f>
        <x:v>86</x:v>
      </x:c>
      <x:c r="G2230">
        <x:f>ROUND($C2230*10*VLOOKUP($B2230,Sheet2!$J$5:$K$7,2,FALSE)*VLOOKUP(Sheet1!$A2230,Sheet2!$B$5:$H$29,6,FALSE),0)</x:f>
        <x:v>0</x:v>
      </x:c>
      <x:c r="H2230">
        <x:f>ROUND($C2230*10*VLOOKUP($B2230,Sheet2!$J$5:$K$7,2,FALSE)*VLOOKUP(Sheet1!$A2230,Sheet2!$B$5:$H$29,7,FALSE),0)</x:f>
        <x:v>0</x:v>
      </x:c>
      <x:c r="I2230">
        <x:f t="shared" si="37"/>
        <x:v>1830</x:v>
      </x:c>
    </x:row>
    <x:row r="2231" spans="1:9" x14ac:dyDescent="0.15">
      <x:c r="A2231">
        <x:v>54103</x:v>
      </x:c>
      <x:c r="B2231">
        <x:v>2</x:v>
      </x:c>
      <x:c r="C2231">
        <x:v>10</x:v>
      </x:c>
      <x:c r="D2231">
        <x:f>ROUND($C2231*10*VLOOKUP($B2231,Sheet2!$J$5:$K$7,2,FALSE)*VLOOKUP(Sheet1!$A2231,Sheet2!$B$5:$H$29,3,FALSE),0)</x:f>
        <x:v>0</x:v>
      </x:c>
      <x:c r="E2231">
        <x:f>ROUND($C2231*10*VLOOKUP($B2231,Sheet2!$J$5:$K$7,2,FALSE)*VLOOKUP(Sheet1!$A2231,Sheet2!$B$5:$H$29,4,FALSE),0)</x:f>
        <x:v>0</x:v>
      </x:c>
      <x:c r="F2231">
        <x:f>ROUND($C2231*10*VLOOKUP($B2231,Sheet2!$J$5:$K$7,2,FALSE)*VLOOKUP(Sheet1!$A2231,Sheet2!$B$5:$H$29,5,FALSE),0)</x:f>
        <x:v>96</x:v>
      </x:c>
      <x:c r="G2231">
        <x:f>ROUND($C2231*10*VLOOKUP($B2231,Sheet2!$J$5:$K$7,2,FALSE)*VLOOKUP(Sheet1!$A2231,Sheet2!$B$5:$H$29,6,FALSE),0)</x:f>
        <x:v>0</x:v>
      </x:c>
      <x:c r="H2231">
        <x:f>ROUND($C2231*10*VLOOKUP($B2231,Sheet2!$J$5:$K$7,2,FALSE)*VLOOKUP(Sheet1!$A2231,Sheet2!$B$5:$H$29,7,FALSE),0)</x:f>
        <x:v>0</x:v>
      </x:c>
      <x:c r="I2231">
        <x:f t="shared" si="37"/>
        <x:v>2250</x:v>
      </x:c>
    </x:row>
    <x:row r="2232" spans="1:9" x14ac:dyDescent="0.15">
      <x:c r="A2232">
        <x:v>54103</x:v>
      </x:c>
      <x:c r="B2232">
        <x:v>2</x:v>
      </x:c>
      <x:c r="C2232">
        <x:v>11</x:v>
      </x:c>
      <x:c r="D2232">
        <x:f>ROUND($C2232*10*VLOOKUP($B2232,Sheet2!$J$5:$K$7,2,FALSE)*VLOOKUP(Sheet1!$A2232,Sheet2!$B$5:$H$29,3,FALSE),0)</x:f>
        <x:v>0</x:v>
      </x:c>
      <x:c r="E2232">
        <x:f>ROUND($C2232*10*VLOOKUP($B2232,Sheet2!$J$5:$K$7,2,FALSE)*VLOOKUP(Sheet1!$A2232,Sheet2!$B$5:$H$29,4,FALSE),0)</x:f>
        <x:v>0</x:v>
      </x:c>
      <x:c r="F2232">
        <x:f>ROUND($C2232*10*VLOOKUP($B2232,Sheet2!$J$5:$K$7,2,FALSE)*VLOOKUP(Sheet1!$A2232,Sheet2!$B$5:$H$29,5,FALSE),0)</x:f>
        <x:v>106</x:v>
      </x:c>
      <x:c r="G2232">
        <x:f>ROUND($C2232*10*VLOOKUP($B2232,Sheet2!$J$5:$K$7,2,FALSE)*VLOOKUP(Sheet1!$A2232,Sheet2!$B$5:$H$29,6,FALSE),0)</x:f>
        <x:v>0</x:v>
      </x:c>
      <x:c r="H2232">
        <x:f>ROUND($C2232*10*VLOOKUP($B2232,Sheet2!$J$5:$K$7,2,FALSE)*VLOOKUP(Sheet1!$A2232,Sheet2!$B$5:$H$29,7,FALSE),0)</x:f>
        <x:v>0</x:v>
      </x:c>
      <x:c r="I2232">
        <x:f t="shared" si="37"/>
        <x:v>2710</x:v>
      </x:c>
    </x:row>
    <x:row r="2233" spans="1:9" x14ac:dyDescent="0.15">
      <x:c r="A2233">
        <x:v>54103</x:v>
      </x:c>
      <x:c r="B2233">
        <x:v>2</x:v>
      </x:c>
      <x:c r="C2233">
        <x:v>12</x:v>
      </x:c>
      <x:c r="D2233">
        <x:f>ROUND($C2233*10*VLOOKUP($B2233,Sheet2!$J$5:$K$7,2,FALSE)*VLOOKUP(Sheet1!$A2233,Sheet2!$B$5:$H$29,3,FALSE),0)</x:f>
        <x:v>0</x:v>
      </x:c>
      <x:c r="E2233">
        <x:f>ROUND($C2233*10*VLOOKUP($B2233,Sheet2!$J$5:$K$7,2,FALSE)*VLOOKUP(Sheet1!$A2233,Sheet2!$B$5:$H$29,4,FALSE),0)</x:f>
        <x:v>0</x:v>
      </x:c>
      <x:c r="F2233">
        <x:f>ROUND($C2233*10*VLOOKUP($B2233,Sheet2!$J$5:$K$7,2,FALSE)*VLOOKUP(Sheet1!$A2233,Sheet2!$B$5:$H$29,5,FALSE),0)</x:f>
        <x:v>115</x:v>
      </x:c>
      <x:c r="G2233">
        <x:f>ROUND($C2233*10*VLOOKUP($B2233,Sheet2!$J$5:$K$7,2,FALSE)*VLOOKUP(Sheet1!$A2233,Sheet2!$B$5:$H$29,6,FALSE),0)</x:f>
        <x:v>0</x:v>
      </x:c>
      <x:c r="H2233">
        <x:f>ROUND($C2233*10*VLOOKUP($B2233,Sheet2!$J$5:$K$7,2,FALSE)*VLOOKUP(Sheet1!$A2233,Sheet2!$B$5:$H$29,7,FALSE),0)</x:f>
        <x:v>0</x:v>
      </x:c>
      <x:c r="I2233">
        <x:f t="shared" si="37"/>
        <x:v>3210</x:v>
      </x:c>
    </x:row>
    <x:row r="2234" spans="1:9" x14ac:dyDescent="0.15">
      <x:c r="A2234">
        <x:v>54103</x:v>
      </x:c>
      <x:c r="B2234">
        <x:v>2</x:v>
      </x:c>
      <x:c r="C2234">
        <x:v>13</x:v>
      </x:c>
      <x:c r="D2234">
        <x:f>ROUND($C2234*10*VLOOKUP($B2234,Sheet2!$J$5:$K$7,2,FALSE)*VLOOKUP(Sheet1!$A2234,Sheet2!$B$5:$H$29,3,FALSE),0)</x:f>
        <x:v>0</x:v>
      </x:c>
      <x:c r="E2234">
        <x:f>ROUND($C2234*10*VLOOKUP($B2234,Sheet2!$J$5:$K$7,2,FALSE)*VLOOKUP(Sheet1!$A2234,Sheet2!$B$5:$H$29,4,FALSE),0)</x:f>
        <x:v>0</x:v>
      </x:c>
      <x:c r="F2234">
        <x:f>ROUND($C2234*10*VLOOKUP($B2234,Sheet2!$J$5:$K$7,2,FALSE)*VLOOKUP(Sheet1!$A2234,Sheet2!$B$5:$H$29,5,FALSE),0)</x:f>
        <x:v>125</x:v>
      </x:c>
      <x:c r="G2234">
        <x:f>ROUND($C2234*10*VLOOKUP($B2234,Sheet2!$J$5:$K$7,2,FALSE)*VLOOKUP(Sheet1!$A2234,Sheet2!$B$5:$H$29,6,FALSE),0)</x:f>
        <x:v>0</x:v>
      </x:c>
      <x:c r="H2234">
        <x:f>ROUND($C2234*10*VLOOKUP($B2234,Sheet2!$J$5:$K$7,2,FALSE)*VLOOKUP(Sheet1!$A2234,Sheet2!$B$5:$H$29,7,FALSE),0)</x:f>
        <x:v>0</x:v>
      </x:c>
      <x:c r="I2234">
        <x:f t="shared" si="37"/>
        <x:v>3740</x:v>
      </x:c>
    </x:row>
    <x:row r="2235" spans="1:9" x14ac:dyDescent="0.15">
      <x:c r="A2235">
        <x:v>54103</x:v>
      </x:c>
      <x:c r="B2235">
        <x:v>2</x:v>
      </x:c>
      <x:c r="C2235">
        <x:v>14</x:v>
      </x:c>
      <x:c r="D2235">
        <x:f>ROUND($C2235*10*VLOOKUP($B2235,Sheet2!$J$5:$K$7,2,FALSE)*VLOOKUP(Sheet1!$A2235,Sheet2!$B$5:$H$29,3,FALSE),0)</x:f>
        <x:v>0</x:v>
      </x:c>
      <x:c r="E2235">
        <x:f>ROUND($C2235*10*VLOOKUP($B2235,Sheet2!$J$5:$K$7,2,FALSE)*VLOOKUP(Sheet1!$A2235,Sheet2!$B$5:$H$29,4,FALSE),0)</x:f>
        <x:v>0</x:v>
      </x:c>
      <x:c r="F2235">
        <x:f>ROUND($C2235*10*VLOOKUP($B2235,Sheet2!$J$5:$K$7,2,FALSE)*VLOOKUP(Sheet1!$A2235,Sheet2!$B$5:$H$29,5,FALSE),0)</x:f>
        <x:v>134</x:v>
      </x:c>
      <x:c r="G2235">
        <x:f>ROUND($C2235*10*VLOOKUP($B2235,Sheet2!$J$5:$K$7,2,FALSE)*VLOOKUP(Sheet1!$A2235,Sheet2!$B$5:$H$29,6,FALSE),0)</x:f>
        <x:v>0</x:v>
      </x:c>
      <x:c r="H2235">
        <x:f>ROUND($C2235*10*VLOOKUP($B2235,Sheet2!$J$5:$K$7,2,FALSE)*VLOOKUP(Sheet1!$A2235,Sheet2!$B$5:$H$29,7,FALSE),0)</x:f>
        <x:v>0</x:v>
      </x:c>
      <x:c r="I2235">
        <x:f t="shared" si="37"/>
        <x:v>4310</x:v>
      </x:c>
    </x:row>
    <x:row r="2236" spans="1:9" x14ac:dyDescent="0.15">
      <x:c r="A2236">
        <x:v>54103</x:v>
      </x:c>
      <x:c r="B2236">
        <x:v>2</x:v>
      </x:c>
      <x:c r="C2236">
        <x:v>15</x:v>
      </x:c>
      <x:c r="D2236">
        <x:f>ROUND($C2236*10*VLOOKUP($B2236,Sheet2!$J$5:$K$7,2,FALSE)*VLOOKUP(Sheet1!$A2236,Sheet2!$B$5:$H$29,3,FALSE),0)</x:f>
        <x:v>0</x:v>
      </x:c>
      <x:c r="E2236">
        <x:f>ROUND($C2236*10*VLOOKUP($B2236,Sheet2!$J$5:$K$7,2,FALSE)*VLOOKUP(Sheet1!$A2236,Sheet2!$B$5:$H$29,4,FALSE),0)</x:f>
        <x:v>0</x:v>
      </x:c>
      <x:c r="F2236">
        <x:f>ROUND($C2236*10*VLOOKUP($B2236,Sheet2!$J$5:$K$7,2,FALSE)*VLOOKUP(Sheet1!$A2236,Sheet2!$B$5:$H$29,5,FALSE),0)</x:f>
        <x:v>144</x:v>
      </x:c>
      <x:c r="G2236">
        <x:f>ROUND($C2236*10*VLOOKUP($B2236,Sheet2!$J$5:$K$7,2,FALSE)*VLOOKUP(Sheet1!$A2236,Sheet2!$B$5:$H$29,6,FALSE),0)</x:f>
        <x:v>0</x:v>
      </x:c>
      <x:c r="H2236">
        <x:f>ROUND($C2236*10*VLOOKUP($B2236,Sheet2!$J$5:$K$7,2,FALSE)*VLOOKUP(Sheet1!$A2236,Sheet2!$B$5:$H$29,7,FALSE),0)</x:f>
        <x:v>0</x:v>
      </x:c>
      <x:c r="I2236">
        <x:f t="shared" si="37"/>
        <x:v>4920</x:v>
      </x:c>
    </x:row>
    <x:row r="2237" spans="1:9" x14ac:dyDescent="0.15">
      <x:c r="A2237">
        <x:v>54103</x:v>
      </x:c>
      <x:c r="B2237">
        <x:v>2</x:v>
      </x:c>
      <x:c r="C2237">
        <x:v>16</x:v>
      </x:c>
      <x:c r="D2237">
        <x:f>ROUND($C2237*10*VLOOKUP($B2237,Sheet2!$J$5:$K$7,2,FALSE)*VLOOKUP(Sheet1!$A2237,Sheet2!$B$5:$H$29,3,FALSE),0)</x:f>
        <x:v>0</x:v>
      </x:c>
      <x:c r="E2237">
        <x:f>ROUND($C2237*10*VLOOKUP($B2237,Sheet2!$J$5:$K$7,2,FALSE)*VLOOKUP(Sheet1!$A2237,Sheet2!$B$5:$H$29,4,FALSE),0)</x:f>
        <x:v>0</x:v>
      </x:c>
      <x:c r="F2237">
        <x:f>ROUND($C2237*10*VLOOKUP($B2237,Sheet2!$J$5:$K$7,2,FALSE)*VLOOKUP(Sheet1!$A2237,Sheet2!$B$5:$H$29,5,FALSE),0)</x:f>
        <x:v>154</x:v>
      </x:c>
      <x:c r="G2237">
        <x:f>ROUND($C2237*10*VLOOKUP($B2237,Sheet2!$J$5:$K$7,2,FALSE)*VLOOKUP(Sheet1!$A2237,Sheet2!$B$5:$H$29,6,FALSE),0)</x:f>
        <x:v>0</x:v>
      </x:c>
      <x:c r="H2237">
        <x:f>ROUND($C2237*10*VLOOKUP($B2237,Sheet2!$J$5:$K$7,2,FALSE)*VLOOKUP(Sheet1!$A2237,Sheet2!$B$5:$H$29,7,FALSE),0)</x:f>
        <x:v>0</x:v>
      </x:c>
      <x:c r="I2237">
        <x:f t="shared" si="37"/>
        <x:v>5560</x:v>
      </x:c>
    </x:row>
    <x:row r="2238" spans="1:9" x14ac:dyDescent="0.15">
      <x:c r="A2238">
        <x:v>54103</x:v>
      </x:c>
      <x:c r="B2238">
        <x:v>2</x:v>
      </x:c>
      <x:c r="C2238">
        <x:v>17</x:v>
      </x:c>
      <x:c r="D2238">
        <x:f>ROUND($C2238*10*VLOOKUP($B2238,Sheet2!$J$5:$K$7,2,FALSE)*VLOOKUP(Sheet1!$A2238,Sheet2!$B$5:$H$29,3,FALSE),0)</x:f>
        <x:v>0</x:v>
      </x:c>
      <x:c r="E2238">
        <x:f>ROUND($C2238*10*VLOOKUP($B2238,Sheet2!$J$5:$K$7,2,FALSE)*VLOOKUP(Sheet1!$A2238,Sheet2!$B$5:$H$29,4,FALSE),0)</x:f>
        <x:v>0</x:v>
      </x:c>
      <x:c r="F2238">
        <x:f>ROUND($C2238*10*VLOOKUP($B2238,Sheet2!$J$5:$K$7,2,FALSE)*VLOOKUP(Sheet1!$A2238,Sheet2!$B$5:$H$29,5,FALSE),0)</x:f>
        <x:v>163</x:v>
      </x:c>
      <x:c r="G2238">
        <x:f>ROUND($C2238*10*VLOOKUP($B2238,Sheet2!$J$5:$K$7,2,FALSE)*VLOOKUP(Sheet1!$A2238,Sheet2!$B$5:$H$29,6,FALSE),0)</x:f>
        <x:v>0</x:v>
      </x:c>
      <x:c r="H2238">
        <x:f>ROUND($C2238*10*VLOOKUP($B2238,Sheet2!$J$5:$K$7,2,FALSE)*VLOOKUP(Sheet1!$A2238,Sheet2!$B$5:$H$29,7,FALSE),0)</x:f>
        <x:v>0</x:v>
      </x:c>
      <x:c r="I2238">
        <x:f t="shared" si="37"/>
        <x:v>6240</x:v>
      </x:c>
    </x:row>
    <x:row r="2239" spans="1:9" x14ac:dyDescent="0.15">
      <x:c r="A2239">
        <x:v>54103</x:v>
      </x:c>
      <x:c r="B2239">
        <x:v>2</x:v>
      </x:c>
      <x:c r="C2239">
        <x:v>18</x:v>
      </x:c>
      <x:c r="D2239">
        <x:f>ROUND($C2239*10*VLOOKUP($B2239,Sheet2!$J$5:$K$7,2,FALSE)*VLOOKUP(Sheet1!$A2239,Sheet2!$B$5:$H$29,3,FALSE),0)</x:f>
        <x:v>0</x:v>
      </x:c>
      <x:c r="E2239">
        <x:f>ROUND($C2239*10*VLOOKUP($B2239,Sheet2!$J$5:$K$7,2,FALSE)*VLOOKUP(Sheet1!$A2239,Sheet2!$B$5:$H$29,4,FALSE),0)</x:f>
        <x:v>0</x:v>
      </x:c>
      <x:c r="F2239">
        <x:f>ROUND($C2239*10*VLOOKUP($B2239,Sheet2!$J$5:$K$7,2,FALSE)*VLOOKUP(Sheet1!$A2239,Sheet2!$B$5:$H$29,5,FALSE),0)</x:f>
        <x:v>173</x:v>
      </x:c>
      <x:c r="G2239">
        <x:f>ROUND($C2239*10*VLOOKUP($B2239,Sheet2!$J$5:$K$7,2,FALSE)*VLOOKUP(Sheet1!$A2239,Sheet2!$B$5:$H$29,6,FALSE),0)</x:f>
        <x:v>0</x:v>
      </x:c>
      <x:c r="H2239">
        <x:f>ROUND($C2239*10*VLOOKUP($B2239,Sheet2!$J$5:$K$7,2,FALSE)*VLOOKUP(Sheet1!$A2239,Sheet2!$B$5:$H$29,7,FALSE),0)</x:f>
        <x:v>0</x:v>
      </x:c>
      <x:c r="I2239">
        <x:f t="shared" si="37"/>
        <x:v>6950</x:v>
      </x:c>
    </x:row>
    <x:row r="2240" spans="1:9" x14ac:dyDescent="0.15">
      <x:c r="A2240">
        <x:v>54103</x:v>
      </x:c>
      <x:c r="B2240">
        <x:v>2</x:v>
      </x:c>
      <x:c r="C2240">
        <x:v>19</x:v>
      </x:c>
      <x:c r="D2240">
        <x:f>ROUND($C2240*10*VLOOKUP($B2240,Sheet2!$J$5:$K$7,2,FALSE)*VLOOKUP(Sheet1!$A2240,Sheet2!$B$5:$H$29,3,FALSE),0)</x:f>
        <x:v>0</x:v>
      </x:c>
      <x:c r="E2240">
        <x:f>ROUND($C2240*10*VLOOKUP($B2240,Sheet2!$J$5:$K$7,2,FALSE)*VLOOKUP(Sheet1!$A2240,Sheet2!$B$5:$H$29,4,FALSE),0)</x:f>
        <x:v>0</x:v>
      </x:c>
      <x:c r="F2240">
        <x:f>ROUND($C2240*10*VLOOKUP($B2240,Sheet2!$J$5:$K$7,2,FALSE)*VLOOKUP(Sheet1!$A2240,Sheet2!$B$5:$H$29,5,FALSE),0)</x:f>
        <x:v>182</x:v>
      </x:c>
      <x:c r="G2240">
        <x:f>ROUND($C2240*10*VLOOKUP($B2240,Sheet2!$J$5:$K$7,2,FALSE)*VLOOKUP(Sheet1!$A2240,Sheet2!$B$5:$H$29,6,FALSE),0)</x:f>
        <x:v>0</x:v>
      </x:c>
      <x:c r="H2240">
        <x:f>ROUND($C2240*10*VLOOKUP($B2240,Sheet2!$J$5:$K$7,2,FALSE)*VLOOKUP(Sheet1!$A2240,Sheet2!$B$5:$H$29,7,FALSE),0)</x:f>
        <x:v>0</x:v>
      </x:c>
      <x:c r="I2240">
        <x:f t="shared" si="37"/>
        <x:v>7690</x:v>
      </x:c>
    </x:row>
    <x:row r="2241" spans="1:9" x14ac:dyDescent="0.15">
      <x:c r="A2241">
        <x:v>54103</x:v>
      </x:c>
      <x:c r="B2241">
        <x:v>2</x:v>
      </x:c>
      <x:c r="C2241">
        <x:v>20</x:v>
      </x:c>
      <x:c r="D2241">
        <x:f>ROUND($C2241*10*VLOOKUP($B2241,Sheet2!$J$5:$K$7,2,FALSE)*VLOOKUP(Sheet1!$A2241,Sheet2!$B$5:$H$29,3,FALSE),0)</x:f>
        <x:v>0</x:v>
      </x:c>
      <x:c r="E2241">
        <x:f>ROUND($C2241*10*VLOOKUP($B2241,Sheet2!$J$5:$K$7,2,FALSE)*VLOOKUP(Sheet1!$A2241,Sheet2!$B$5:$H$29,4,FALSE),0)</x:f>
        <x:v>0</x:v>
      </x:c>
      <x:c r="F2241">
        <x:f>ROUND($C2241*10*VLOOKUP($B2241,Sheet2!$J$5:$K$7,2,FALSE)*VLOOKUP(Sheet1!$A2241,Sheet2!$B$5:$H$29,5,FALSE),0)</x:f>
        <x:v>192</x:v>
      </x:c>
      <x:c r="G2241">
        <x:f>ROUND($C2241*10*VLOOKUP($B2241,Sheet2!$J$5:$K$7,2,FALSE)*VLOOKUP(Sheet1!$A2241,Sheet2!$B$5:$H$29,6,FALSE),0)</x:f>
        <x:v>0</x:v>
      </x:c>
      <x:c r="H2241">
        <x:f>ROUND($C2241*10*VLOOKUP($B2241,Sheet2!$J$5:$K$7,2,FALSE)*VLOOKUP(Sheet1!$A2241,Sheet2!$B$5:$H$29,7,FALSE),0)</x:f>
        <x:v>0</x:v>
      </x:c>
      <x:c r="I2241">
        <x:f t="shared" si="37"/>
        <x:v>8470</x:v>
      </x:c>
    </x:row>
    <x:row r="2242" spans="1:9" x14ac:dyDescent="0.15">
      <x:c r="A2242">
        <x:v>54103</x:v>
      </x:c>
      <x:c r="B2242">
        <x:v>2</x:v>
      </x:c>
      <x:c r="C2242">
        <x:v>21</x:v>
      </x:c>
      <x:c r="D2242">
        <x:f>ROUND($C2242*10*VLOOKUP($B2242,Sheet2!$J$5:$K$7,2,FALSE)*VLOOKUP(Sheet1!$A2242,Sheet2!$B$5:$H$29,3,FALSE),0)</x:f>
        <x:v>0</x:v>
      </x:c>
      <x:c r="E2242">
        <x:f>ROUND($C2242*10*VLOOKUP($B2242,Sheet2!$J$5:$K$7,2,FALSE)*VLOOKUP(Sheet1!$A2242,Sheet2!$B$5:$H$29,4,FALSE),0)</x:f>
        <x:v>0</x:v>
      </x:c>
      <x:c r="F2242">
        <x:f>ROUND($C2242*10*VLOOKUP($B2242,Sheet2!$J$5:$K$7,2,FALSE)*VLOOKUP(Sheet1!$A2242,Sheet2!$B$5:$H$29,5,FALSE),0)</x:f>
        <x:v>202</x:v>
      </x:c>
      <x:c r="G2242">
        <x:f>ROUND($C2242*10*VLOOKUP($B2242,Sheet2!$J$5:$K$7,2,FALSE)*VLOOKUP(Sheet1!$A2242,Sheet2!$B$5:$H$29,6,FALSE),0)</x:f>
        <x:v>0</x:v>
      </x:c>
      <x:c r="H2242">
        <x:f>ROUND($C2242*10*VLOOKUP($B2242,Sheet2!$J$5:$K$7,2,FALSE)*VLOOKUP(Sheet1!$A2242,Sheet2!$B$5:$H$29,7,FALSE),0)</x:f>
        <x:v>0</x:v>
      </x:c>
      <x:c r="I2242">
        <x:f t="shared" si="37"/>
        <x:v>9290</x:v>
      </x:c>
    </x:row>
    <x:row r="2243" spans="1:9" x14ac:dyDescent="0.15">
      <x:c r="A2243">
        <x:v>54103</x:v>
      </x:c>
      <x:c r="B2243">
        <x:v>2</x:v>
      </x:c>
      <x:c r="C2243">
        <x:v>22</x:v>
      </x:c>
      <x:c r="D2243">
        <x:f>ROUND($C2243*10*VLOOKUP($B2243,Sheet2!$J$5:$K$7,2,FALSE)*VLOOKUP(Sheet1!$A2243,Sheet2!$B$5:$H$29,3,FALSE),0)</x:f>
        <x:v>0</x:v>
      </x:c>
      <x:c r="E2243">
        <x:f>ROUND($C2243*10*VLOOKUP($B2243,Sheet2!$J$5:$K$7,2,FALSE)*VLOOKUP(Sheet1!$A2243,Sheet2!$B$5:$H$29,4,FALSE),0)</x:f>
        <x:v>0</x:v>
      </x:c>
      <x:c r="F2243">
        <x:f>ROUND($C2243*10*VLOOKUP($B2243,Sheet2!$J$5:$K$7,2,FALSE)*VLOOKUP(Sheet1!$A2243,Sheet2!$B$5:$H$29,5,FALSE),0)</x:f>
        <x:v>211</x:v>
      </x:c>
      <x:c r="G2243">
        <x:f>ROUND($C2243*10*VLOOKUP($B2243,Sheet2!$J$5:$K$7,2,FALSE)*VLOOKUP(Sheet1!$A2243,Sheet2!$B$5:$H$29,6,FALSE),0)</x:f>
        <x:v>0</x:v>
      </x:c>
      <x:c r="H2243">
        <x:f>ROUND($C2243*10*VLOOKUP($B2243,Sheet2!$J$5:$K$7,2,FALSE)*VLOOKUP(Sheet1!$A2243,Sheet2!$B$5:$H$29,7,FALSE),0)</x:f>
        <x:v>0</x:v>
      </x:c>
      <x:c r="I2243">
        <x:f t="shared" si="37"/>
        <x:v>10130</x:v>
      </x:c>
    </x:row>
    <x:row r="2244" spans="1:9" x14ac:dyDescent="0.15">
      <x:c r="A2244">
        <x:v>54103</x:v>
      </x:c>
      <x:c r="B2244">
        <x:v>2</x:v>
      </x:c>
      <x:c r="C2244">
        <x:v>23</x:v>
      </x:c>
      <x:c r="D2244">
        <x:f>ROUND($C2244*10*VLOOKUP($B2244,Sheet2!$J$5:$K$7,2,FALSE)*VLOOKUP(Sheet1!$A2244,Sheet2!$B$5:$H$29,3,FALSE),0)</x:f>
        <x:v>0</x:v>
      </x:c>
      <x:c r="E2244">
        <x:f>ROUND($C2244*10*VLOOKUP($B2244,Sheet2!$J$5:$K$7,2,FALSE)*VLOOKUP(Sheet1!$A2244,Sheet2!$B$5:$H$29,4,FALSE),0)</x:f>
        <x:v>0</x:v>
      </x:c>
      <x:c r="F2244">
        <x:f>ROUND($C2244*10*VLOOKUP($B2244,Sheet2!$J$5:$K$7,2,FALSE)*VLOOKUP(Sheet1!$A2244,Sheet2!$B$5:$H$29,5,FALSE),0)</x:f>
        <x:v>221</x:v>
      </x:c>
      <x:c r="G2244">
        <x:f>ROUND($C2244*10*VLOOKUP($B2244,Sheet2!$J$5:$K$7,2,FALSE)*VLOOKUP(Sheet1!$A2244,Sheet2!$B$5:$H$29,6,FALSE),0)</x:f>
        <x:v>0</x:v>
      </x:c>
      <x:c r="H2244">
        <x:f>ROUND($C2244*10*VLOOKUP($B2244,Sheet2!$J$5:$K$7,2,FALSE)*VLOOKUP(Sheet1!$A2244,Sheet2!$B$5:$H$29,7,FALSE),0)</x:f>
        <x:v>0</x:v>
      </x:c>
      <x:c r="I2244">
        <x:f t="shared" si="37"/>
        <x:v>11010</x:v>
      </x:c>
    </x:row>
    <x:row r="2245" spans="1:9" x14ac:dyDescent="0.15">
      <x:c r="A2245">
        <x:v>54103</x:v>
      </x:c>
      <x:c r="B2245">
        <x:v>2</x:v>
      </x:c>
      <x:c r="C2245">
        <x:v>24</x:v>
      </x:c>
      <x:c r="D2245">
        <x:f>ROUND($C2245*10*VLOOKUP($B2245,Sheet2!$J$5:$K$7,2,FALSE)*VLOOKUP(Sheet1!$A2245,Sheet2!$B$5:$H$29,3,FALSE),0)</x:f>
        <x:v>0</x:v>
      </x:c>
      <x:c r="E2245">
        <x:f>ROUND($C2245*10*VLOOKUP($B2245,Sheet2!$J$5:$K$7,2,FALSE)*VLOOKUP(Sheet1!$A2245,Sheet2!$B$5:$H$29,4,FALSE),0)</x:f>
        <x:v>0</x:v>
      </x:c>
      <x:c r="F2245">
        <x:f>ROUND($C2245*10*VLOOKUP($B2245,Sheet2!$J$5:$K$7,2,FALSE)*VLOOKUP(Sheet1!$A2245,Sheet2!$B$5:$H$29,5,FALSE),0)</x:f>
        <x:v>230</x:v>
      </x:c>
      <x:c r="G2245">
        <x:f>ROUND($C2245*10*VLOOKUP($B2245,Sheet2!$J$5:$K$7,2,FALSE)*VLOOKUP(Sheet1!$A2245,Sheet2!$B$5:$H$29,6,FALSE),0)</x:f>
        <x:v>0</x:v>
      </x:c>
      <x:c r="H2245">
        <x:f>ROUND($C2245*10*VLOOKUP($B2245,Sheet2!$J$5:$K$7,2,FALSE)*VLOOKUP(Sheet1!$A2245,Sheet2!$B$5:$H$29,7,FALSE),0)</x:f>
        <x:v>0</x:v>
      </x:c>
      <x:c r="I2245">
        <x:f t="shared" si="37"/>
        <x:v>11930</x:v>
      </x:c>
    </x:row>
    <x:row r="2246" spans="1:9" x14ac:dyDescent="0.15">
      <x:c r="A2246">
        <x:v>54103</x:v>
      </x:c>
      <x:c r="B2246">
        <x:v>2</x:v>
      </x:c>
      <x:c r="C2246">
        <x:v>25</x:v>
      </x:c>
      <x:c r="D2246">
        <x:f>ROUND($C2246*10*VLOOKUP($B2246,Sheet2!$J$5:$K$7,2,FALSE)*VLOOKUP(Sheet1!$A2246,Sheet2!$B$5:$H$29,3,FALSE),0)</x:f>
        <x:v>0</x:v>
      </x:c>
      <x:c r="E2246">
        <x:f>ROUND($C2246*10*VLOOKUP($B2246,Sheet2!$J$5:$K$7,2,FALSE)*VLOOKUP(Sheet1!$A2246,Sheet2!$B$5:$H$29,4,FALSE),0)</x:f>
        <x:v>0</x:v>
      </x:c>
      <x:c r="F2246">
        <x:f>ROUND($C2246*10*VLOOKUP($B2246,Sheet2!$J$5:$K$7,2,FALSE)*VLOOKUP(Sheet1!$A2246,Sheet2!$B$5:$H$29,5,FALSE),0)</x:f>
        <x:v>240</x:v>
      </x:c>
      <x:c r="G2246">
        <x:f>ROUND($C2246*10*VLOOKUP($B2246,Sheet2!$J$5:$K$7,2,FALSE)*VLOOKUP(Sheet1!$A2246,Sheet2!$B$5:$H$29,6,FALSE),0)</x:f>
        <x:v>0</x:v>
      </x:c>
      <x:c r="H2246">
        <x:f>ROUND($C2246*10*VLOOKUP($B2246,Sheet2!$J$5:$K$7,2,FALSE)*VLOOKUP(Sheet1!$A2246,Sheet2!$B$5:$H$29,7,FALSE),0)</x:f>
        <x:v>0</x:v>
      </x:c>
      <x:c r="I2246">
        <x:f t="shared" si="37"/>
        <x:v>12870</x:v>
      </x:c>
    </x:row>
    <x:row r="2247" spans="1:9" x14ac:dyDescent="0.15">
      <x:c r="A2247">
        <x:v>54103</x:v>
      </x:c>
      <x:c r="B2247">
        <x:v>2</x:v>
      </x:c>
      <x:c r="C2247">
        <x:v>26</x:v>
      </x:c>
      <x:c r="D2247">
        <x:f>ROUND($C2247*10*VLOOKUP($B2247,Sheet2!$J$5:$K$7,2,FALSE)*VLOOKUP(Sheet1!$A2247,Sheet2!$B$5:$H$29,3,FALSE),0)</x:f>
        <x:v>0</x:v>
      </x:c>
      <x:c r="E2247">
        <x:f>ROUND($C2247*10*VLOOKUP($B2247,Sheet2!$J$5:$K$7,2,FALSE)*VLOOKUP(Sheet1!$A2247,Sheet2!$B$5:$H$29,4,FALSE),0)</x:f>
        <x:v>0</x:v>
      </x:c>
      <x:c r="F2247">
        <x:f>ROUND($C2247*10*VLOOKUP($B2247,Sheet2!$J$5:$K$7,2,FALSE)*VLOOKUP(Sheet1!$A2247,Sheet2!$B$5:$H$29,5,FALSE),0)</x:f>
        <x:v>250</x:v>
      </x:c>
      <x:c r="G2247">
        <x:f>ROUND($C2247*10*VLOOKUP($B2247,Sheet2!$J$5:$K$7,2,FALSE)*VLOOKUP(Sheet1!$A2247,Sheet2!$B$5:$H$29,6,FALSE),0)</x:f>
        <x:v>0</x:v>
      </x:c>
      <x:c r="H2247">
        <x:f>ROUND($C2247*10*VLOOKUP($B2247,Sheet2!$J$5:$K$7,2,FALSE)*VLOOKUP(Sheet1!$A2247,Sheet2!$B$5:$H$29,7,FALSE),0)</x:f>
        <x:v>0</x:v>
      </x:c>
      <x:c r="I2247">
        <x:f t="shared" si="37"/>
        <x:v>13850</x:v>
      </x:c>
    </x:row>
    <x:row r="2248" spans="1:9" x14ac:dyDescent="0.15">
      <x:c r="A2248">
        <x:v>54103</x:v>
      </x:c>
      <x:c r="B2248">
        <x:v>2</x:v>
      </x:c>
      <x:c r="C2248">
        <x:v>27</x:v>
      </x:c>
      <x:c r="D2248">
        <x:f>ROUND($C2248*10*VLOOKUP($B2248,Sheet2!$J$5:$K$7,2,FALSE)*VLOOKUP(Sheet1!$A2248,Sheet2!$B$5:$H$29,3,FALSE),0)</x:f>
        <x:v>0</x:v>
      </x:c>
      <x:c r="E2248">
        <x:f>ROUND($C2248*10*VLOOKUP($B2248,Sheet2!$J$5:$K$7,2,FALSE)*VLOOKUP(Sheet1!$A2248,Sheet2!$B$5:$H$29,4,FALSE),0)</x:f>
        <x:v>0</x:v>
      </x:c>
      <x:c r="F2248">
        <x:f>ROUND($C2248*10*VLOOKUP($B2248,Sheet2!$J$5:$K$7,2,FALSE)*VLOOKUP(Sheet1!$A2248,Sheet2!$B$5:$H$29,5,FALSE),0)</x:f>
        <x:v>259</x:v>
      </x:c>
      <x:c r="G2248">
        <x:f>ROUND($C2248*10*VLOOKUP($B2248,Sheet2!$J$5:$K$7,2,FALSE)*VLOOKUP(Sheet1!$A2248,Sheet2!$B$5:$H$29,6,FALSE),0)</x:f>
        <x:v>0</x:v>
      </x:c>
      <x:c r="H2248">
        <x:f>ROUND($C2248*10*VLOOKUP($B2248,Sheet2!$J$5:$K$7,2,FALSE)*VLOOKUP(Sheet1!$A2248,Sheet2!$B$5:$H$29,7,FALSE),0)</x:f>
        <x:v>0</x:v>
      </x:c>
      <x:c r="I2248">
        <x:f t="shared" si="37"/>
        <x:v>14860</x:v>
      </x:c>
    </x:row>
    <x:row r="2249" spans="1:9" x14ac:dyDescent="0.15">
      <x:c r="A2249">
        <x:v>54103</x:v>
      </x:c>
      <x:c r="B2249">
        <x:v>2</x:v>
      </x:c>
      <x:c r="C2249">
        <x:v>28</x:v>
      </x:c>
      <x:c r="D2249">
        <x:f>ROUND($C2249*10*VLOOKUP($B2249,Sheet2!$J$5:$K$7,2,FALSE)*VLOOKUP(Sheet1!$A2249,Sheet2!$B$5:$H$29,3,FALSE),0)</x:f>
        <x:v>0</x:v>
      </x:c>
      <x:c r="E2249">
        <x:f>ROUND($C2249*10*VLOOKUP($B2249,Sheet2!$J$5:$K$7,2,FALSE)*VLOOKUP(Sheet1!$A2249,Sheet2!$B$5:$H$29,4,FALSE),0)</x:f>
        <x:v>0</x:v>
      </x:c>
      <x:c r="F2249">
        <x:f>ROUND($C2249*10*VLOOKUP($B2249,Sheet2!$J$5:$K$7,2,FALSE)*VLOOKUP(Sheet1!$A2249,Sheet2!$B$5:$H$29,5,FALSE),0)</x:f>
        <x:v>269</x:v>
      </x:c>
      <x:c r="G2249">
        <x:f>ROUND($C2249*10*VLOOKUP($B2249,Sheet2!$J$5:$K$7,2,FALSE)*VLOOKUP(Sheet1!$A2249,Sheet2!$B$5:$H$29,6,FALSE),0)</x:f>
        <x:v>0</x:v>
      </x:c>
      <x:c r="H2249">
        <x:f>ROUND($C2249*10*VLOOKUP($B2249,Sheet2!$J$5:$K$7,2,FALSE)*VLOOKUP(Sheet1!$A2249,Sheet2!$B$5:$H$29,7,FALSE),0)</x:f>
        <x:v>0</x:v>
      </x:c>
      <x:c r="I2249">
        <x:f t="shared" si="37"/>
        <x:v>15900</x:v>
      </x:c>
    </x:row>
    <x:row r="2250" spans="1:9" x14ac:dyDescent="0.15">
      <x:c r="A2250">
        <x:v>54103</x:v>
      </x:c>
      <x:c r="B2250">
        <x:v>2</x:v>
      </x:c>
      <x:c r="C2250">
        <x:v>29</x:v>
      </x:c>
      <x:c r="D2250">
        <x:f>ROUND($C2250*10*VLOOKUP($B2250,Sheet2!$J$5:$K$7,2,FALSE)*VLOOKUP(Sheet1!$A2250,Sheet2!$B$5:$H$29,3,FALSE),0)</x:f>
        <x:v>0</x:v>
      </x:c>
      <x:c r="E2250">
        <x:f>ROUND($C2250*10*VLOOKUP($B2250,Sheet2!$J$5:$K$7,2,FALSE)*VLOOKUP(Sheet1!$A2250,Sheet2!$B$5:$H$29,4,FALSE),0)</x:f>
        <x:v>0</x:v>
      </x:c>
      <x:c r="F2250">
        <x:f>ROUND($C2250*10*VLOOKUP($B2250,Sheet2!$J$5:$K$7,2,FALSE)*VLOOKUP(Sheet1!$A2250,Sheet2!$B$5:$H$29,5,FALSE),0)</x:f>
        <x:v>278</x:v>
      </x:c>
      <x:c r="G2250">
        <x:f>ROUND($C2250*10*VLOOKUP($B2250,Sheet2!$J$5:$K$7,2,FALSE)*VLOOKUP(Sheet1!$A2250,Sheet2!$B$5:$H$29,6,FALSE),0)</x:f>
        <x:v>0</x:v>
      </x:c>
      <x:c r="H2250">
        <x:f>ROUND($C2250*10*VLOOKUP($B2250,Sheet2!$J$5:$K$7,2,FALSE)*VLOOKUP(Sheet1!$A2250,Sheet2!$B$5:$H$29,7,FALSE),0)</x:f>
        <x:v>0</x:v>
      </x:c>
      <x:c r="I2250">
        <x:f t="shared" si="37"/>
        <x:v>16970</x:v>
      </x:c>
    </x:row>
    <x:row r="2251" spans="1:9" x14ac:dyDescent="0.15">
      <x:c r="A2251">
        <x:v>54103</x:v>
      </x:c>
      <x:c r="B2251">
        <x:v>2</x:v>
      </x:c>
      <x:c r="C2251">
        <x:v>30</x:v>
      </x:c>
      <x:c r="D2251">
        <x:f>ROUND($C2251*10*VLOOKUP($B2251,Sheet2!$J$5:$K$7,2,FALSE)*VLOOKUP(Sheet1!$A2251,Sheet2!$B$5:$H$29,3,FALSE),0)</x:f>
        <x:v>0</x:v>
      </x:c>
      <x:c r="E2251">
        <x:f>ROUND($C2251*10*VLOOKUP($B2251,Sheet2!$J$5:$K$7,2,FALSE)*VLOOKUP(Sheet1!$A2251,Sheet2!$B$5:$H$29,4,FALSE),0)</x:f>
        <x:v>0</x:v>
      </x:c>
      <x:c r="F2251">
        <x:f>ROUND($C2251*10*VLOOKUP($B2251,Sheet2!$J$5:$K$7,2,FALSE)*VLOOKUP(Sheet1!$A2251,Sheet2!$B$5:$H$29,5,FALSE),0)</x:f>
        <x:v>288</x:v>
      </x:c>
      <x:c r="G2251">
        <x:f>ROUND($C2251*10*VLOOKUP($B2251,Sheet2!$J$5:$K$7,2,FALSE)*VLOOKUP(Sheet1!$A2251,Sheet2!$B$5:$H$29,6,FALSE),0)</x:f>
        <x:v>0</x:v>
      </x:c>
      <x:c r="H2251">
        <x:f>ROUND($C2251*10*VLOOKUP($B2251,Sheet2!$J$5:$K$7,2,FALSE)*VLOOKUP(Sheet1!$A2251,Sheet2!$B$5:$H$29,7,FALSE),0)</x:f>
        <x:v>0</x:v>
      </x:c>
      <x:c r="I2251">
        <x:f t="shared" si="37"/>
        <x:v>18070</x:v>
      </x:c>
    </x:row>
    <x:row r="2252" spans="1:9" x14ac:dyDescent="0.15">
      <x:c r="A2252">
        <x:v>54103</x:v>
      </x:c>
      <x:c r="B2252">
        <x:v>2</x:v>
      </x:c>
      <x:c r="C2252">
        <x:v>31</x:v>
      </x:c>
      <x:c r="D2252">
        <x:f>ROUND($C2252*10*VLOOKUP($B2252,Sheet2!$J$5:$K$7,2,FALSE)*VLOOKUP(Sheet1!$A2252,Sheet2!$B$5:$H$29,3,FALSE),0)</x:f>
        <x:v>0</x:v>
      </x:c>
      <x:c r="E2252">
        <x:f>ROUND($C2252*10*VLOOKUP($B2252,Sheet2!$J$5:$K$7,2,FALSE)*VLOOKUP(Sheet1!$A2252,Sheet2!$B$5:$H$29,4,FALSE),0)</x:f>
        <x:v>0</x:v>
      </x:c>
      <x:c r="F2252">
        <x:f>ROUND($C2252*10*VLOOKUP($B2252,Sheet2!$J$5:$K$7,2,FALSE)*VLOOKUP(Sheet1!$A2252,Sheet2!$B$5:$H$29,5,FALSE),0)</x:f>
        <x:v>298</x:v>
      </x:c>
      <x:c r="G2252">
        <x:f>ROUND($C2252*10*VLOOKUP($B2252,Sheet2!$J$5:$K$7,2,FALSE)*VLOOKUP(Sheet1!$A2252,Sheet2!$B$5:$H$29,6,FALSE),0)</x:f>
        <x:v>0</x:v>
      </x:c>
      <x:c r="H2252">
        <x:f>ROUND($C2252*10*VLOOKUP($B2252,Sheet2!$J$5:$K$7,2,FALSE)*VLOOKUP(Sheet1!$A2252,Sheet2!$B$5:$H$29,7,FALSE),0)</x:f>
        <x:v>0</x:v>
      </x:c>
      <x:c r="I2252">
        <x:f t="shared" si="37"/>
        <x:v>19210</x:v>
      </x:c>
    </x:row>
    <x:row r="2253" spans="1:9" x14ac:dyDescent="0.15">
      <x:c r="A2253">
        <x:v>54103</x:v>
      </x:c>
      <x:c r="B2253">
        <x:v>2</x:v>
      </x:c>
      <x:c r="C2253">
        <x:v>32</x:v>
      </x:c>
      <x:c r="D2253">
        <x:f>ROUND($C2253*10*VLOOKUP($B2253,Sheet2!$J$5:$K$7,2,FALSE)*VLOOKUP(Sheet1!$A2253,Sheet2!$B$5:$H$29,3,FALSE),0)</x:f>
        <x:v>0</x:v>
      </x:c>
      <x:c r="E2253">
        <x:f>ROUND($C2253*10*VLOOKUP($B2253,Sheet2!$J$5:$K$7,2,FALSE)*VLOOKUP(Sheet1!$A2253,Sheet2!$B$5:$H$29,4,FALSE),0)</x:f>
        <x:v>0</x:v>
      </x:c>
      <x:c r="F2253">
        <x:f>ROUND($C2253*10*VLOOKUP($B2253,Sheet2!$J$5:$K$7,2,FALSE)*VLOOKUP(Sheet1!$A2253,Sheet2!$B$5:$H$29,5,FALSE),0)</x:f>
        <x:v>307</x:v>
      </x:c>
      <x:c r="G2253">
        <x:f>ROUND($C2253*10*VLOOKUP($B2253,Sheet2!$J$5:$K$7,2,FALSE)*VLOOKUP(Sheet1!$A2253,Sheet2!$B$5:$H$29,6,FALSE),0)</x:f>
        <x:v>0</x:v>
      </x:c>
      <x:c r="H2253">
        <x:f>ROUND($C2253*10*VLOOKUP($B2253,Sheet2!$J$5:$K$7,2,FALSE)*VLOOKUP(Sheet1!$A2253,Sheet2!$B$5:$H$29,7,FALSE),0)</x:f>
        <x:v>0</x:v>
      </x:c>
      <x:c r="I2253">
        <x:f t="shared" si="37"/>
        <x:v>20370</x:v>
      </x:c>
    </x:row>
    <x:row r="2254" spans="1:9" x14ac:dyDescent="0.15">
      <x:c r="A2254">
        <x:v>54103</x:v>
      </x:c>
      <x:c r="B2254">
        <x:v>2</x:v>
      </x:c>
      <x:c r="C2254">
        <x:v>33</x:v>
      </x:c>
      <x:c r="D2254">
        <x:f>ROUND($C2254*10*VLOOKUP($B2254,Sheet2!$J$5:$K$7,2,FALSE)*VLOOKUP(Sheet1!$A2254,Sheet2!$B$5:$H$29,3,FALSE),0)</x:f>
        <x:v>0</x:v>
      </x:c>
      <x:c r="E2254">
        <x:f>ROUND($C2254*10*VLOOKUP($B2254,Sheet2!$J$5:$K$7,2,FALSE)*VLOOKUP(Sheet1!$A2254,Sheet2!$B$5:$H$29,4,FALSE),0)</x:f>
        <x:v>0</x:v>
      </x:c>
      <x:c r="F2254">
        <x:f>ROUND($C2254*10*VLOOKUP($B2254,Sheet2!$J$5:$K$7,2,FALSE)*VLOOKUP(Sheet1!$A2254,Sheet2!$B$5:$H$29,5,FALSE),0)</x:f>
        <x:v>317</x:v>
      </x:c>
      <x:c r="G2254">
        <x:f>ROUND($C2254*10*VLOOKUP($B2254,Sheet2!$J$5:$K$7,2,FALSE)*VLOOKUP(Sheet1!$A2254,Sheet2!$B$5:$H$29,6,FALSE),0)</x:f>
        <x:v>0</x:v>
      </x:c>
      <x:c r="H2254">
        <x:f>ROUND($C2254*10*VLOOKUP($B2254,Sheet2!$J$5:$K$7,2,FALSE)*VLOOKUP(Sheet1!$A2254,Sheet2!$B$5:$H$29,7,FALSE),0)</x:f>
        <x:v>0</x:v>
      </x:c>
      <x:c r="I2254">
        <x:f t="shared" si="37"/>
        <x:v>21560</x:v>
      </x:c>
    </x:row>
    <x:row r="2255" spans="1:9" x14ac:dyDescent="0.15">
      <x:c r="A2255">
        <x:v>54103</x:v>
      </x:c>
      <x:c r="B2255">
        <x:v>2</x:v>
      </x:c>
      <x:c r="C2255">
        <x:v>34</x:v>
      </x:c>
      <x:c r="D2255">
        <x:f>ROUND($C2255*10*VLOOKUP($B2255,Sheet2!$J$5:$K$7,2,FALSE)*VLOOKUP(Sheet1!$A2255,Sheet2!$B$5:$H$29,3,FALSE),0)</x:f>
        <x:v>0</x:v>
      </x:c>
      <x:c r="E2255">
        <x:f>ROUND($C2255*10*VLOOKUP($B2255,Sheet2!$J$5:$K$7,2,FALSE)*VLOOKUP(Sheet1!$A2255,Sheet2!$B$5:$H$29,4,FALSE),0)</x:f>
        <x:v>0</x:v>
      </x:c>
      <x:c r="F2255">
        <x:f>ROUND($C2255*10*VLOOKUP($B2255,Sheet2!$J$5:$K$7,2,FALSE)*VLOOKUP(Sheet1!$A2255,Sheet2!$B$5:$H$29,5,FALSE),0)</x:f>
        <x:v>326</x:v>
      </x:c>
      <x:c r="G2255">
        <x:f>ROUND($C2255*10*VLOOKUP($B2255,Sheet2!$J$5:$K$7,2,FALSE)*VLOOKUP(Sheet1!$A2255,Sheet2!$B$5:$H$29,6,FALSE),0)</x:f>
        <x:v>0</x:v>
      </x:c>
      <x:c r="H2255">
        <x:f>ROUND($C2255*10*VLOOKUP($B2255,Sheet2!$J$5:$K$7,2,FALSE)*VLOOKUP(Sheet1!$A2255,Sheet2!$B$5:$H$29,7,FALSE),0)</x:f>
        <x:v>0</x:v>
      </x:c>
      <x:c r="I2255">
        <x:f t="shared" si="37"/>
        <x:v>22790</x:v>
      </x:c>
    </x:row>
    <x:row r="2256" spans="1:9" x14ac:dyDescent="0.15">
      <x:c r="A2256">
        <x:v>54103</x:v>
      </x:c>
      <x:c r="B2256">
        <x:v>2</x:v>
      </x:c>
      <x:c r="C2256">
        <x:v>35</x:v>
      </x:c>
      <x:c r="D2256">
        <x:f>ROUND($C2256*10*VLOOKUP($B2256,Sheet2!$J$5:$K$7,2,FALSE)*VLOOKUP(Sheet1!$A2256,Sheet2!$B$5:$H$29,3,FALSE),0)</x:f>
        <x:v>0</x:v>
      </x:c>
      <x:c r="E2256">
        <x:f>ROUND($C2256*10*VLOOKUP($B2256,Sheet2!$J$5:$K$7,2,FALSE)*VLOOKUP(Sheet1!$A2256,Sheet2!$B$5:$H$29,4,FALSE),0)</x:f>
        <x:v>0</x:v>
      </x:c>
      <x:c r="F2256">
        <x:f>ROUND($C2256*10*VLOOKUP($B2256,Sheet2!$J$5:$K$7,2,FALSE)*VLOOKUP(Sheet1!$A2256,Sheet2!$B$5:$H$29,5,FALSE),0)</x:f>
        <x:v>336</x:v>
      </x:c>
      <x:c r="G2256">
        <x:f>ROUND($C2256*10*VLOOKUP($B2256,Sheet2!$J$5:$K$7,2,FALSE)*VLOOKUP(Sheet1!$A2256,Sheet2!$B$5:$H$29,6,FALSE),0)</x:f>
        <x:v>0</x:v>
      </x:c>
      <x:c r="H2256">
        <x:f>ROUND($C2256*10*VLOOKUP($B2256,Sheet2!$J$5:$K$7,2,FALSE)*VLOOKUP(Sheet1!$A2256,Sheet2!$B$5:$H$29,7,FALSE),0)</x:f>
        <x:v>0</x:v>
      </x:c>
      <x:c r="I2256">
        <x:f t="shared" si="37"/>
        <x:v>24040</x:v>
      </x:c>
    </x:row>
    <x:row r="2257" spans="1:9" x14ac:dyDescent="0.15">
      <x:c r="A2257">
        <x:v>54103</x:v>
      </x:c>
      <x:c r="B2257">
        <x:v>2</x:v>
      </x:c>
      <x:c r="C2257">
        <x:v>36</x:v>
      </x:c>
      <x:c r="D2257">
        <x:f>ROUND($C2257*10*VLOOKUP($B2257,Sheet2!$J$5:$K$7,2,FALSE)*VLOOKUP(Sheet1!$A2257,Sheet2!$B$5:$H$29,3,FALSE),0)</x:f>
        <x:v>0</x:v>
      </x:c>
      <x:c r="E2257">
        <x:f>ROUND($C2257*10*VLOOKUP($B2257,Sheet2!$J$5:$K$7,2,FALSE)*VLOOKUP(Sheet1!$A2257,Sheet2!$B$5:$H$29,4,FALSE),0)</x:f>
        <x:v>0</x:v>
      </x:c>
      <x:c r="F2257">
        <x:f>ROUND($C2257*10*VLOOKUP($B2257,Sheet2!$J$5:$K$7,2,FALSE)*VLOOKUP(Sheet1!$A2257,Sheet2!$B$5:$H$29,5,FALSE),0)</x:f>
        <x:v>346</x:v>
      </x:c>
      <x:c r="G2257">
        <x:f>ROUND($C2257*10*VLOOKUP($B2257,Sheet2!$J$5:$K$7,2,FALSE)*VLOOKUP(Sheet1!$A2257,Sheet2!$B$5:$H$29,6,FALSE),0)</x:f>
        <x:v>0</x:v>
      </x:c>
      <x:c r="H2257">
        <x:f>ROUND($C2257*10*VLOOKUP($B2257,Sheet2!$J$5:$K$7,2,FALSE)*VLOOKUP(Sheet1!$A2257,Sheet2!$B$5:$H$29,7,FALSE),0)</x:f>
        <x:v>0</x:v>
      </x:c>
      <x:c r="I2257">
        <x:f t="shared" si="37"/>
        <x:v>25330</x:v>
      </x:c>
    </x:row>
    <x:row r="2258" spans="1:9" x14ac:dyDescent="0.15">
      <x:c r="A2258">
        <x:v>54103</x:v>
      </x:c>
      <x:c r="B2258">
        <x:v>2</x:v>
      </x:c>
      <x:c r="C2258">
        <x:v>37</x:v>
      </x:c>
      <x:c r="D2258">
        <x:f>ROUND($C2258*10*VLOOKUP($B2258,Sheet2!$J$5:$K$7,2,FALSE)*VLOOKUP(Sheet1!$A2258,Sheet2!$B$5:$H$29,3,FALSE),0)</x:f>
        <x:v>0</x:v>
      </x:c>
      <x:c r="E2258">
        <x:f>ROUND($C2258*10*VLOOKUP($B2258,Sheet2!$J$5:$K$7,2,FALSE)*VLOOKUP(Sheet1!$A2258,Sheet2!$B$5:$H$29,4,FALSE),0)</x:f>
        <x:v>0</x:v>
      </x:c>
      <x:c r="F2258">
        <x:f>ROUND($C2258*10*VLOOKUP($B2258,Sheet2!$J$5:$K$7,2,FALSE)*VLOOKUP(Sheet1!$A2258,Sheet2!$B$5:$H$29,5,FALSE),0)</x:f>
        <x:v>355</x:v>
      </x:c>
      <x:c r="G2258">
        <x:f>ROUND($C2258*10*VLOOKUP($B2258,Sheet2!$J$5:$K$7,2,FALSE)*VLOOKUP(Sheet1!$A2258,Sheet2!$B$5:$H$29,6,FALSE),0)</x:f>
        <x:v>0</x:v>
      </x:c>
      <x:c r="H2258">
        <x:f>ROUND($C2258*10*VLOOKUP($B2258,Sheet2!$J$5:$K$7,2,FALSE)*VLOOKUP(Sheet1!$A2258,Sheet2!$B$5:$H$29,7,FALSE),0)</x:f>
        <x:v>0</x:v>
      </x:c>
      <x:c r="I2258">
        <x:f t="shared" si="37"/>
        <x:v>26640</x:v>
      </x:c>
    </x:row>
    <x:row r="2259" spans="1:9" x14ac:dyDescent="0.15">
      <x:c r="A2259">
        <x:v>54103</x:v>
      </x:c>
      <x:c r="B2259">
        <x:v>2</x:v>
      </x:c>
      <x:c r="C2259">
        <x:v>38</x:v>
      </x:c>
      <x:c r="D2259">
        <x:f>ROUND($C2259*10*VLOOKUP($B2259,Sheet2!$J$5:$K$7,2,FALSE)*VLOOKUP(Sheet1!$A2259,Sheet2!$B$5:$H$29,3,FALSE),0)</x:f>
        <x:v>0</x:v>
      </x:c>
      <x:c r="E2259">
        <x:f>ROUND($C2259*10*VLOOKUP($B2259,Sheet2!$J$5:$K$7,2,FALSE)*VLOOKUP(Sheet1!$A2259,Sheet2!$B$5:$H$29,4,FALSE),0)</x:f>
        <x:v>0</x:v>
      </x:c>
      <x:c r="F2259">
        <x:f>ROUND($C2259*10*VLOOKUP($B2259,Sheet2!$J$5:$K$7,2,FALSE)*VLOOKUP(Sheet1!$A2259,Sheet2!$B$5:$H$29,5,FALSE),0)</x:f>
        <x:v>365</x:v>
      </x:c>
      <x:c r="G2259">
        <x:f>ROUND($C2259*10*VLOOKUP($B2259,Sheet2!$J$5:$K$7,2,FALSE)*VLOOKUP(Sheet1!$A2259,Sheet2!$B$5:$H$29,6,FALSE),0)</x:f>
        <x:v>0</x:v>
      </x:c>
      <x:c r="H2259">
        <x:f>ROUND($C2259*10*VLOOKUP($B2259,Sheet2!$J$5:$K$7,2,FALSE)*VLOOKUP(Sheet1!$A2259,Sheet2!$B$5:$H$29,7,FALSE),0)</x:f>
        <x:v>0</x:v>
      </x:c>
      <x:c r="I2259">
        <x:f t="shared" si="37"/>
        <x:v>27990</x:v>
      </x:c>
    </x:row>
    <x:row r="2260" spans="1:9" x14ac:dyDescent="0.15">
      <x:c r="A2260">
        <x:v>54103</x:v>
      </x:c>
      <x:c r="B2260">
        <x:v>2</x:v>
      </x:c>
      <x:c r="C2260">
        <x:v>39</x:v>
      </x:c>
      <x:c r="D2260">
        <x:f>ROUND($C2260*10*VLOOKUP($B2260,Sheet2!$J$5:$K$7,2,FALSE)*VLOOKUP(Sheet1!$A2260,Sheet2!$B$5:$H$29,3,FALSE),0)</x:f>
        <x:v>0</x:v>
      </x:c>
      <x:c r="E2260">
        <x:f>ROUND($C2260*10*VLOOKUP($B2260,Sheet2!$J$5:$K$7,2,FALSE)*VLOOKUP(Sheet1!$A2260,Sheet2!$B$5:$H$29,4,FALSE),0)</x:f>
        <x:v>0</x:v>
      </x:c>
      <x:c r="F2260">
        <x:f>ROUND($C2260*10*VLOOKUP($B2260,Sheet2!$J$5:$K$7,2,FALSE)*VLOOKUP(Sheet1!$A2260,Sheet2!$B$5:$H$29,5,FALSE),0)</x:f>
        <x:v>374</x:v>
      </x:c>
      <x:c r="G2260">
        <x:f>ROUND($C2260*10*VLOOKUP($B2260,Sheet2!$J$5:$K$7,2,FALSE)*VLOOKUP(Sheet1!$A2260,Sheet2!$B$5:$H$29,6,FALSE),0)</x:f>
        <x:v>0</x:v>
      </x:c>
      <x:c r="H2260">
        <x:f>ROUND($C2260*10*VLOOKUP($B2260,Sheet2!$J$5:$K$7,2,FALSE)*VLOOKUP(Sheet1!$A2260,Sheet2!$B$5:$H$29,7,FALSE),0)</x:f>
        <x:v>0</x:v>
      </x:c>
      <x:c r="I2260">
        <x:f t="shared" si="37"/>
        <x:v>29360</x:v>
      </x:c>
    </x:row>
    <x:row r="2261" spans="1:9" x14ac:dyDescent="0.15">
      <x:c r="A2261">
        <x:v>54103</x:v>
      </x:c>
      <x:c r="B2261">
        <x:v>2</x:v>
      </x:c>
      <x:c r="C2261">
        <x:v>40</x:v>
      </x:c>
      <x:c r="D2261">
        <x:f>ROUND($C2261*10*VLOOKUP($B2261,Sheet2!$J$5:$K$7,2,FALSE)*VLOOKUP(Sheet1!$A2261,Sheet2!$B$5:$H$29,3,FALSE),0)</x:f>
        <x:v>0</x:v>
      </x:c>
      <x:c r="E2261">
        <x:f>ROUND($C2261*10*VLOOKUP($B2261,Sheet2!$J$5:$K$7,2,FALSE)*VLOOKUP(Sheet1!$A2261,Sheet2!$B$5:$H$29,4,FALSE),0)</x:f>
        <x:v>0</x:v>
      </x:c>
      <x:c r="F2261">
        <x:f>ROUND($C2261*10*VLOOKUP($B2261,Sheet2!$J$5:$K$7,2,FALSE)*VLOOKUP(Sheet1!$A2261,Sheet2!$B$5:$H$29,5,FALSE),0)</x:f>
        <x:v>384</x:v>
      </x:c>
      <x:c r="G2261">
        <x:f>ROUND($C2261*10*VLOOKUP($B2261,Sheet2!$J$5:$K$7,2,FALSE)*VLOOKUP(Sheet1!$A2261,Sheet2!$B$5:$H$29,6,FALSE),0)</x:f>
        <x:v>0</x:v>
      </x:c>
      <x:c r="H2261">
        <x:f>ROUND($C2261*10*VLOOKUP($B2261,Sheet2!$J$5:$K$7,2,FALSE)*VLOOKUP(Sheet1!$A2261,Sheet2!$B$5:$H$29,7,FALSE),0)</x:f>
        <x:v>0</x:v>
      </x:c>
      <x:c r="I2261">
        <x:f t="shared" si="37"/>
        <x:v>30760</x:v>
      </x:c>
    </x:row>
    <x:row r="2262" spans="1:9" x14ac:dyDescent="0.15">
      <x:c r="A2262">
        <x:v>54103</x:v>
      </x:c>
      <x:c r="B2262">
        <x:v>2</x:v>
      </x:c>
      <x:c r="C2262">
        <x:v>41</x:v>
      </x:c>
      <x:c r="D2262">
        <x:f>ROUND($C2262*10*VLOOKUP($B2262,Sheet2!$J$5:$K$7,2,FALSE)*VLOOKUP(Sheet1!$A2262,Sheet2!$B$5:$H$29,3,FALSE),0)</x:f>
        <x:v>0</x:v>
      </x:c>
      <x:c r="E2262">
        <x:f>ROUND($C2262*10*VLOOKUP($B2262,Sheet2!$J$5:$K$7,2,FALSE)*VLOOKUP(Sheet1!$A2262,Sheet2!$B$5:$H$29,4,FALSE),0)</x:f>
        <x:v>0</x:v>
      </x:c>
      <x:c r="F2262">
        <x:f>ROUND($C2262*10*VLOOKUP($B2262,Sheet2!$J$5:$K$7,2,FALSE)*VLOOKUP(Sheet1!$A2262,Sheet2!$B$5:$H$29,5,FALSE),0)</x:f>
        <x:v>394</x:v>
      </x:c>
      <x:c r="G2262">
        <x:f>ROUND($C2262*10*VLOOKUP($B2262,Sheet2!$J$5:$K$7,2,FALSE)*VLOOKUP(Sheet1!$A2262,Sheet2!$B$5:$H$29,6,FALSE),0)</x:f>
        <x:v>0</x:v>
      </x:c>
      <x:c r="H2262">
        <x:f>ROUND($C2262*10*VLOOKUP($B2262,Sheet2!$J$5:$K$7,2,FALSE)*VLOOKUP(Sheet1!$A2262,Sheet2!$B$5:$H$29,7,FALSE),0)</x:f>
        <x:v>0</x:v>
      </x:c>
      <x:c r="I2262">
        <x:f t="shared" si="37"/>
        <x:v>32190</x:v>
      </x:c>
    </x:row>
    <x:row r="2263" spans="1:9" x14ac:dyDescent="0.15">
      <x:c r="A2263">
        <x:v>54103</x:v>
      </x:c>
      <x:c r="B2263">
        <x:v>2</x:v>
      </x:c>
      <x:c r="C2263">
        <x:v>42</x:v>
      </x:c>
      <x:c r="D2263">
        <x:f>ROUND($C2263*10*VLOOKUP($B2263,Sheet2!$J$5:$K$7,2,FALSE)*VLOOKUP(Sheet1!$A2263,Sheet2!$B$5:$H$29,3,FALSE),0)</x:f>
        <x:v>0</x:v>
      </x:c>
      <x:c r="E2263">
        <x:f>ROUND($C2263*10*VLOOKUP($B2263,Sheet2!$J$5:$K$7,2,FALSE)*VLOOKUP(Sheet1!$A2263,Sheet2!$B$5:$H$29,4,FALSE),0)</x:f>
        <x:v>0</x:v>
      </x:c>
      <x:c r="F2263">
        <x:f>ROUND($C2263*10*VLOOKUP($B2263,Sheet2!$J$5:$K$7,2,FALSE)*VLOOKUP(Sheet1!$A2263,Sheet2!$B$5:$H$29,5,FALSE),0)</x:f>
        <x:v>403</x:v>
      </x:c>
      <x:c r="G2263">
        <x:f>ROUND($C2263*10*VLOOKUP($B2263,Sheet2!$J$5:$K$7,2,FALSE)*VLOOKUP(Sheet1!$A2263,Sheet2!$B$5:$H$29,6,FALSE),0)</x:f>
        <x:v>0</x:v>
      </x:c>
      <x:c r="H2263">
        <x:f>ROUND($C2263*10*VLOOKUP($B2263,Sheet2!$J$5:$K$7,2,FALSE)*VLOOKUP(Sheet1!$A2263,Sheet2!$B$5:$H$29,7,FALSE),0)</x:f>
        <x:v>0</x:v>
      </x:c>
      <x:c r="I2263">
        <x:f t="shared" si="37"/>
        <x:v>33650</x:v>
      </x:c>
    </x:row>
    <x:row r="2264" spans="1:9" x14ac:dyDescent="0.15">
      <x:c r="A2264">
        <x:v>54103</x:v>
      </x:c>
      <x:c r="B2264">
        <x:v>2</x:v>
      </x:c>
      <x:c r="C2264">
        <x:v>43</x:v>
      </x:c>
      <x:c r="D2264">
        <x:f>ROUND($C2264*10*VLOOKUP($B2264,Sheet2!$J$5:$K$7,2,FALSE)*VLOOKUP(Sheet1!$A2264,Sheet2!$B$5:$H$29,3,FALSE),0)</x:f>
        <x:v>0</x:v>
      </x:c>
      <x:c r="E2264">
        <x:f>ROUND($C2264*10*VLOOKUP($B2264,Sheet2!$J$5:$K$7,2,FALSE)*VLOOKUP(Sheet1!$A2264,Sheet2!$B$5:$H$29,4,FALSE),0)</x:f>
        <x:v>0</x:v>
      </x:c>
      <x:c r="F2264">
        <x:f>ROUND($C2264*10*VLOOKUP($B2264,Sheet2!$J$5:$K$7,2,FALSE)*VLOOKUP(Sheet1!$A2264,Sheet2!$B$5:$H$29,5,FALSE),0)</x:f>
        <x:v>413</x:v>
      </x:c>
      <x:c r="G2264">
        <x:f>ROUND($C2264*10*VLOOKUP($B2264,Sheet2!$J$5:$K$7,2,FALSE)*VLOOKUP(Sheet1!$A2264,Sheet2!$B$5:$H$29,6,FALSE),0)</x:f>
        <x:v>0</x:v>
      </x:c>
      <x:c r="H2264">
        <x:f>ROUND($C2264*10*VLOOKUP($B2264,Sheet2!$J$5:$K$7,2,FALSE)*VLOOKUP(Sheet1!$A2264,Sheet2!$B$5:$H$29,7,FALSE),0)</x:f>
        <x:v>0</x:v>
      </x:c>
      <x:c r="I2264">
        <x:f t="shared" si="37"/>
        <x:v>35140</x:v>
      </x:c>
    </x:row>
    <x:row r="2265" spans="1:9" x14ac:dyDescent="0.15">
      <x:c r="A2265">
        <x:v>54103</x:v>
      </x:c>
      <x:c r="B2265">
        <x:v>2</x:v>
      </x:c>
      <x:c r="C2265">
        <x:v>44</x:v>
      </x:c>
      <x:c r="D2265">
        <x:f>ROUND($C2265*10*VLOOKUP($B2265,Sheet2!$J$5:$K$7,2,FALSE)*VLOOKUP(Sheet1!$A2265,Sheet2!$B$5:$H$29,3,FALSE),0)</x:f>
        <x:v>0</x:v>
      </x:c>
      <x:c r="E2265">
        <x:f>ROUND($C2265*10*VLOOKUP($B2265,Sheet2!$J$5:$K$7,2,FALSE)*VLOOKUP(Sheet1!$A2265,Sheet2!$B$5:$H$29,4,FALSE),0)</x:f>
        <x:v>0</x:v>
      </x:c>
      <x:c r="F2265">
        <x:f>ROUND($C2265*10*VLOOKUP($B2265,Sheet2!$J$5:$K$7,2,FALSE)*VLOOKUP(Sheet1!$A2265,Sheet2!$B$5:$H$29,5,FALSE),0)</x:f>
        <x:v>422</x:v>
      </x:c>
      <x:c r="G2265">
        <x:f>ROUND($C2265*10*VLOOKUP($B2265,Sheet2!$J$5:$K$7,2,FALSE)*VLOOKUP(Sheet1!$A2265,Sheet2!$B$5:$H$29,6,FALSE),0)</x:f>
        <x:v>0</x:v>
      </x:c>
      <x:c r="H2265">
        <x:f>ROUND($C2265*10*VLOOKUP($B2265,Sheet2!$J$5:$K$7,2,FALSE)*VLOOKUP(Sheet1!$A2265,Sheet2!$B$5:$H$29,7,FALSE),0)</x:f>
        <x:v>0</x:v>
      </x:c>
      <x:c r="I2265">
        <x:f t="shared" si="37"/>
        <x:v>36660</x:v>
      </x:c>
    </x:row>
    <x:row r="2266" spans="1:9" x14ac:dyDescent="0.15">
      <x:c r="A2266">
        <x:v>54103</x:v>
      </x:c>
      <x:c r="B2266">
        <x:v>2</x:v>
      </x:c>
      <x:c r="C2266">
        <x:v>45</x:v>
      </x:c>
      <x:c r="D2266">
        <x:f>ROUND($C2266*10*VLOOKUP($B2266,Sheet2!$J$5:$K$7,2,FALSE)*VLOOKUP(Sheet1!$A2266,Sheet2!$B$5:$H$29,3,FALSE),0)</x:f>
        <x:v>0</x:v>
      </x:c>
      <x:c r="E2266">
        <x:f>ROUND($C2266*10*VLOOKUP($B2266,Sheet2!$J$5:$K$7,2,FALSE)*VLOOKUP(Sheet1!$A2266,Sheet2!$B$5:$H$29,4,FALSE),0)</x:f>
        <x:v>0</x:v>
      </x:c>
      <x:c r="F2266">
        <x:f>ROUND($C2266*10*VLOOKUP($B2266,Sheet2!$J$5:$K$7,2,FALSE)*VLOOKUP(Sheet1!$A2266,Sheet2!$B$5:$H$29,5,FALSE),0)</x:f>
        <x:v>432</x:v>
      </x:c>
      <x:c r="G2266">
        <x:f>ROUND($C2266*10*VLOOKUP($B2266,Sheet2!$J$5:$K$7,2,FALSE)*VLOOKUP(Sheet1!$A2266,Sheet2!$B$5:$H$29,6,FALSE),0)</x:f>
        <x:v>0</x:v>
      </x:c>
      <x:c r="H2266">
        <x:f>ROUND($C2266*10*VLOOKUP($B2266,Sheet2!$J$5:$K$7,2,FALSE)*VLOOKUP(Sheet1!$A2266,Sheet2!$B$5:$H$29,7,FALSE),0)</x:f>
        <x:v>0</x:v>
      </x:c>
      <x:c r="I2266">
        <x:f t="shared" si="37"/>
        <x:v>38210</x:v>
      </x:c>
    </x:row>
    <x:row r="2267" spans="1:9" x14ac:dyDescent="0.15">
      <x:c r="A2267">
        <x:v>54103</x:v>
      </x:c>
      <x:c r="B2267">
        <x:v>2</x:v>
      </x:c>
      <x:c r="C2267">
        <x:v>46</x:v>
      </x:c>
      <x:c r="D2267">
        <x:f>ROUND($C2267*10*VLOOKUP($B2267,Sheet2!$J$5:$K$7,2,FALSE)*VLOOKUP(Sheet1!$A2267,Sheet2!$B$5:$H$29,3,FALSE),0)</x:f>
        <x:v>0</x:v>
      </x:c>
      <x:c r="E2267">
        <x:f>ROUND($C2267*10*VLOOKUP($B2267,Sheet2!$J$5:$K$7,2,FALSE)*VLOOKUP(Sheet1!$A2267,Sheet2!$B$5:$H$29,4,FALSE),0)</x:f>
        <x:v>0</x:v>
      </x:c>
      <x:c r="F2267">
        <x:f>ROUND($C2267*10*VLOOKUP($B2267,Sheet2!$J$5:$K$7,2,FALSE)*VLOOKUP(Sheet1!$A2267,Sheet2!$B$5:$H$29,5,FALSE),0)</x:f>
        <x:v>442</x:v>
      </x:c>
      <x:c r="G2267">
        <x:f>ROUND($C2267*10*VLOOKUP($B2267,Sheet2!$J$5:$K$7,2,FALSE)*VLOOKUP(Sheet1!$A2267,Sheet2!$B$5:$H$29,6,FALSE),0)</x:f>
        <x:v>0</x:v>
      </x:c>
      <x:c r="H2267">
        <x:f>ROUND($C2267*10*VLOOKUP($B2267,Sheet2!$J$5:$K$7,2,FALSE)*VLOOKUP(Sheet1!$A2267,Sheet2!$B$5:$H$29,7,FALSE),0)</x:f>
        <x:v>0</x:v>
      </x:c>
      <x:c r="I2267">
        <x:f t="shared" si="37"/>
        <x:v>39780</x:v>
      </x:c>
    </x:row>
    <x:row r="2268" spans="1:9" x14ac:dyDescent="0.15">
      <x:c r="A2268">
        <x:v>54103</x:v>
      </x:c>
      <x:c r="B2268">
        <x:v>2</x:v>
      </x:c>
      <x:c r="C2268">
        <x:v>47</x:v>
      </x:c>
      <x:c r="D2268">
        <x:f>ROUND($C2268*10*VLOOKUP($B2268,Sheet2!$J$5:$K$7,2,FALSE)*VLOOKUP(Sheet1!$A2268,Sheet2!$B$5:$H$29,3,FALSE),0)</x:f>
        <x:v>0</x:v>
      </x:c>
      <x:c r="E2268">
        <x:f>ROUND($C2268*10*VLOOKUP($B2268,Sheet2!$J$5:$K$7,2,FALSE)*VLOOKUP(Sheet1!$A2268,Sheet2!$B$5:$H$29,4,FALSE),0)</x:f>
        <x:v>0</x:v>
      </x:c>
      <x:c r="F2268">
        <x:f>ROUND($C2268*10*VLOOKUP($B2268,Sheet2!$J$5:$K$7,2,FALSE)*VLOOKUP(Sheet1!$A2268,Sheet2!$B$5:$H$29,5,FALSE),0)</x:f>
        <x:v>451</x:v>
      </x:c>
      <x:c r="G2268">
        <x:f>ROUND($C2268*10*VLOOKUP($B2268,Sheet2!$J$5:$K$7,2,FALSE)*VLOOKUP(Sheet1!$A2268,Sheet2!$B$5:$H$29,6,FALSE),0)</x:f>
        <x:v>0</x:v>
      </x:c>
      <x:c r="H2268">
        <x:f>ROUND($C2268*10*VLOOKUP($B2268,Sheet2!$J$5:$K$7,2,FALSE)*VLOOKUP(Sheet1!$A2268,Sheet2!$B$5:$H$29,7,FALSE),0)</x:f>
        <x:v>0</x:v>
      </x:c>
      <x:c r="I2268">
        <x:f t="shared" si="37"/>
        <x:v>41390</x:v>
      </x:c>
    </x:row>
    <x:row r="2269" spans="1:9" x14ac:dyDescent="0.15">
      <x:c r="A2269">
        <x:v>54103</x:v>
      </x:c>
      <x:c r="B2269">
        <x:v>2</x:v>
      </x:c>
      <x:c r="C2269">
        <x:v>48</x:v>
      </x:c>
      <x:c r="D2269">
        <x:f>ROUND($C2269*10*VLOOKUP($B2269,Sheet2!$J$5:$K$7,2,FALSE)*VLOOKUP(Sheet1!$A2269,Sheet2!$B$5:$H$29,3,FALSE),0)</x:f>
        <x:v>0</x:v>
      </x:c>
      <x:c r="E2269">
        <x:f>ROUND($C2269*10*VLOOKUP($B2269,Sheet2!$J$5:$K$7,2,FALSE)*VLOOKUP(Sheet1!$A2269,Sheet2!$B$5:$H$29,4,FALSE),0)</x:f>
        <x:v>0</x:v>
      </x:c>
      <x:c r="F2269">
        <x:f>ROUND($C2269*10*VLOOKUP($B2269,Sheet2!$J$5:$K$7,2,FALSE)*VLOOKUP(Sheet1!$A2269,Sheet2!$B$5:$H$29,5,FALSE),0)</x:f>
        <x:v>461</x:v>
      </x:c>
      <x:c r="G2269">
        <x:f>ROUND($C2269*10*VLOOKUP($B2269,Sheet2!$J$5:$K$7,2,FALSE)*VLOOKUP(Sheet1!$A2269,Sheet2!$B$5:$H$29,6,FALSE),0)</x:f>
        <x:v>0</x:v>
      </x:c>
      <x:c r="H2269">
        <x:f>ROUND($C2269*10*VLOOKUP($B2269,Sheet2!$J$5:$K$7,2,FALSE)*VLOOKUP(Sheet1!$A2269,Sheet2!$B$5:$H$29,7,FALSE),0)</x:f>
        <x:v>0</x:v>
      </x:c>
      <x:c r="I2269">
        <x:f t="shared" si="37"/>
        <x:v>43020</x:v>
      </x:c>
    </x:row>
    <x:row r="2270" spans="1:9" x14ac:dyDescent="0.15">
      <x:c r="A2270">
        <x:v>54103</x:v>
      </x:c>
      <x:c r="B2270">
        <x:v>2</x:v>
      </x:c>
      <x:c r="C2270">
        <x:v>49</x:v>
      </x:c>
      <x:c r="D2270">
        <x:f>ROUND($C2270*10*VLOOKUP($B2270,Sheet2!$J$5:$K$7,2,FALSE)*VLOOKUP(Sheet1!$A2270,Sheet2!$B$5:$H$29,3,FALSE),0)</x:f>
        <x:v>0</x:v>
      </x:c>
      <x:c r="E2270">
        <x:f>ROUND($C2270*10*VLOOKUP($B2270,Sheet2!$J$5:$K$7,2,FALSE)*VLOOKUP(Sheet1!$A2270,Sheet2!$B$5:$H$29,4,FALSE),0)</x:f>
        <x:v>0</x:v>
      </x:c>
      <x:c r="F2270">
        <x:f>ROUND($C2270*10*VLOOKUP($B2270,Sheet2!$J$5:$K$7,2,FALSE)*VLOOKUP(Sheet1!$A2270,Sheet2!$B$5:$H$29,5,FALSE),0)</x:f>
        <x:v>470</x:v>
      </x:c>
      <x:c r="G2270">
        <x:f>ROUND($C2270*10*VLOOKUP($B2270,Sheet2!$J$5:$K$7,2,FALSE)*VLOOKUP(Sheet1!$A2270,Sheet2!$B$5:$H$29,6,FALSE),0)</x:f>
        <x:v>0</x:v>
      </x:c>
      <x:c r="H2270">
        <x:f>ROUND($C2270*10*VLOOKUP($B2270,Sheet2!$J$5:$K$7,2,FALSE)*VLOOKUP(Sheet1!$A2270,Sheet2!$B$5:$H$29,7,FALSE),0)</x:f>
        <x:v>0</x:v>
      </x:c>
      <x:c r="I2270">
        <x:f t="shared" si="37"/>
        <x:v>44680</x:v>
      </x:c>
    </x:row>
    <x:row r="2271" spans="1:9" x14ac:dyDescent="0.15">
      <x:c r="A2271">
        <x:v>54103</x:v>
      </x:c>
      <x:c r="B2271">
        <x:v>2</x:v>
      </x:c>
      <x:c r="C2271">
        <x:v>50</x:v>
      </x:c>
      <x:c r="D2271">
        <x:f>ROUND($C2271*10*VLOOKUP($B2271,Sheet2!$J$5:$K$7,2,FALSE)*VLOOKUP(Sheet1!$A2271,Sheet2!$B$5:$H$29,3,FALSE),0)</x:f>
        <x:v>0</x:v>
      </x:c>
      <x:c r="E2271">
        <x:f>ROUND($C2271*10*VLOOKUP($B2271,Sheet2!$J$5:$K$7,2,FALSE)*VLOOKUP(Sheet1!$A2271,Sheet2!$B$5:$H$29,4,FALSE),0)</x:f>
        <x:v>0</x:v>
      </x:c>
      <x:c r="F2271">
        <x:f>ROUND($C2271*10*VLOOKUP($B2271,Sheet2!$J$5:$K$7,2,FALSE)*VLOOKUP(Sheet1!$A2271,Sheet2!$B$5:$H$29,5,FALSE),0)</x:f>
        <x:v>480</x:v>
      </x:c>
      <x:c r="G2271">
        <x:f>ROUND($C2271*10*VLOOKUP($B2271,Sheet2!$J$5:$K$7,2,FALSE)*VLOOKUP(Sheet1!$A2271,Sheet2!$B$5:$H$29,6,FALSE),0)</x:f>
        <x:v>0</x:v>
      </x:c>
      <x:c r="H2271">
        <x:f>ROUND($C2271*10*VLOOKUP($B2271,Sheet2!$J$5:$K$7,2,FALSE)*VLOOKUP(Sheet1!$A2271,Sheet2!$B$5:$H$29,7,FALSE),0)</x:f>
        <x:v>0</x:v>
      </x:c>
      <x:c r="I2271">
        <x:f t="shared" si="37"/>
        <x:v>46360</x:v>
      </x:c>
    </x:row>
    <x:row r="2272" spans="1:9" x14ac:dyDescent="0.15">
      <x:c r="A2272">
        <x:v>54103</x:v>
      </x:c>
      <x:c r="B2272">
        <x:v>2</x:v>
      </x:c>
      <x:c r="C2272">
        <x:v>51</x:v>
      </x:c>
      <x:c r="D2272">
        <x:f>ROUND($C2272*10*VLOOKUP($B2272,Sheet2!$J$5:$K$7,2,FALSE)*VLOOKUP(Sheet1!$A2272,Sheet2!$B$5:$H$29,3,FALSE),0)</x:f>
        <x:v>0</x:v>
      </x:c>
      <x:c r="E2272">
        <x:f>ROUND($C2272*10*VLOOKUP($B2272,Sheet2!$J$5:$K$7,2,FALSE)*VLOOKUP(Sheet1!$A2272,Sheet2!$B$5:$H$29,4,FALSE),0)</x:f>
        <x:v>0</x:v>
      </x:c>
      <x:c r="F2272">
        <x:f>ROUND($C2272*10*VLOOKUP($B2272,Sheet2!$J$5:$K$7,2,FALSE)*VLOOKUP(Sheet1!$A2272,Sheet2!$B$5:$H$29,5,FALSE),0)</x:f>
        <x:v>490</x:v>
      </x:c>
      <x:c r="G2272">
        <x:f>ROUND($C2272*10*VLOOKUP($B2272,Sheet2!$J$5:$K$7,2,FALSE)*VLOOKUP(Sheet1!$A2272,Sheet2!$B$5:$H$29,6,FALSE),0)</x:f>
        <x:v>0</x:v>
      </x:c>
      <x:c r="H2272">
        <x:f>ROUND($C2272*10*VLOOKUP($B2272,Sheet2!$J$5:$K$7,2,FALSE)*VLOOKUP(Sheet1!$A2272,Sheet2!$B$5:$H$29,7,FALSE),0)</x:f>
        <x:v>0</x:v>
      </x:c>
      <x:c r="I2272">
        <x:f t="shared" si="37"/>
        <x:v>48080</x:v>
      </x:c>
    </x:row>
    <x:row r="2273" spans="1:9" x14ac:dyDescent="0.15">
      <x:c r="A2273">
        <x:v>54103</x:v>
      </x:c>
      <x:c r="B2273">
        <x:v>2</x:v>
      </x:c>
      <x:c r="C2273">
        <x:v>52</x:v>
      </x:c>
      <x:c r="D2273">
        <x:f>ROUND($C2273*10*VLOOKUP($B2273,Sheet2!$J$5:$K$7,2,FALSE)*VLOOKUP(Sheet1!$A2273,Sheet2!$B$5:$H$29,3,FALSE),0)</x:f>
        <x:v>0</x:v>
      </x:c>
      <x:c r="E2273">
        <x:f>ROUND($C2273*10*VLOOKUP($B2273,Sheet2!$J$5:$K$7,2,FALSE)*VLOOKUP(Sheet1!$A2273,Sheet2!$B$5:$H$29,4,FALSE),0)</x:f>
        <x:v>0</x:v>
      </x:c>
      <x:c r="F2273">
        <x:f>ROUND($C2273*10*VLOOKUP($B2273,Sheet2!$J$5:$K$7,2,FALSE)*VLOOKUP(Sheet1!$A2273,Sheet2!$B$5:$H$29,5,FALSE),0)</x:f>
        <x:v>499</x:v>
      </x:c>
      <x:c r="G2273">
        <x:f>ROUND($C2273*10*VLOOKUP($B2273,Sheet2!$J$5:$K$7,2,FALSE)*VLOOKUP(Sheet1!$A2273,Sheet2!$B$5:$H$29,6,FALSE),0)</x:f>
        <x:v>0</x:v>
      </x:c>
      <x:c r="H2273">
        <x:f>ROUND($C2273*10*VLOOKUP($B2273,Sheet2!$J$5:$K$7,2,FALSE)*VLOOKUP(Sheet1!$A2273,Sheet2!$B$5:$H$29,7,FALSE),0)</x:f>
        <x:v>0</x:v>
      </x:c>
      <x:c r="I2273">
        <x:f t="shared" si="37"/>
        <x:v>49820</x:v>
      </x:c>
    </x:row>
    <x:row r="2274" spans="1:9" x14ac:dyDescent="0.15">
      <x:c r="A2274">
        <x:v>54103</x:v>
      </x:c>
      <x:c r="B2274">
        <x:v>2</x:v>
      </x:c>
      <x:c r="C2274">
        <x:v>53</x:v>
      </x:c>
      <x:c r="D2274">
        <x:f>ROUND($C2274*10*VLOOKUP($B2274,Sheet2!$J$5:$K$7,2,FALSE)*VLOOKUP(Sheet1!$A2274,Sheet2!$B$5:$H$29,3,FALSE),0)</x:f>
        <x:v>0</x:v>
      </x:c>
      <x:c r="E2274">
        <x:f>ROUND($C2274*10*VLOOKUP($B2274,Sheet2!$J$5:$K$7,2,FALSE)*VLOOKUP(Sheet1!$A2274,Sheet2!$B$5:$H$29,4,FALSE),0)</x:f>
        <x:v>0</x:v>
      </x:c>
      <x:c r="F2274">
        <x:f>ROUND($C2274*10*VLOOKUP($B2274,Sheet2!$J$5:$K$7,2,FALSE)*VLOOKUP(Sheet1!$A2274,Sheet2!$B$5:$H$29,5,FALSE),0)</x:f>
        <x:v>509</x:v>
      </x:c>
      <x:c r="G2274">
        <x:f>ROUND($C2274*10*VLOOKUP($B2274,Sheet2!$J$5:$K$7,2,FALSE)*VLOOKUP(Sheet1!$A2274,Sheet2!$B$5:$H$29,6,FALSE),0)</x:f>
        <x:v>0</x:v>
      </x:c>
      <x:c r="H2274">
        <x:f>ROUND($C2274*10*VLOOKUP($B2274,Sheet2!$J$5:$K$7,2,FALSE)*VLOOKUP(Sheet1!$A2274,Sheet2!$B$5:$H$29,7,FALSE),0)</x:f>
        <x:v>0</x:v>
      </x:c>
      <x:c r="I2274">
        <x:f t="shared" si="37"/>
        <x:v>51590</x:v>
      </x:c>
    </x:row>
    <x:row r="2275" spans="1:9" x14ac:dyDescent="0.15">
      <x:c r="A2275">
        <x:v>54103</x:v>
      </x:c>
      <x:c r="B2275">
        <x:v>2</x:v>
      </x:c>
      <x:c r="C2275">
        <x:v>54</x:v>
      </x:c>
      <x:c r="D2275">
        <x:f>ROUND($C2275*10*VLOOKUP($B2275,Sheet2!$J$5:$K$7,2,FALSE)*VLOOKUP(Sheet1!$A2275,Sheet2!$B$5:$H$29,3,FALSE),0)</x:f>
        <x:v>0</x:v>
      </x:c>
      <x:c r="E2275">
        <x:f>ROUND($C2275*10*VLOOKUP($B2275,Sheet2!$J$5:$K$7,2,FALSE)*VLOOKUP(Sheet1!$A2275,Sheet2!$B$5:$H$29,4,FALSE),0)</x:f>
        <x:v>0</x:v>
      </x:c>
      <x:c r="F2275">
        <x:f>ROUND($C2275*10*VLOOKUP($B2275,Sheet2!$J$5:$K$7,2,FALSE)*VLOOKUP(Sheet1!$A2275,Sheet2!$B$5:$H$29,5,FALSE),0)</x:f>
        <x:v>518</x:v>
      </x:c>
      <x:c r="G2275">
        <x:f>ROUND($C2275*10*VLOOKUP($B2275,Sheet2!$J$5:$K$7,2,FALSE)*VLOOKUP(Sheet1!$A2275,Sheet2!$B$5:$H$29,6,FALSE),0)</x:f>
        <x:v>0</x:v>
      </x:c>
      <x:c r="H2275">
        <x:f>ROUND($C2275*10*VLOOKUP($B2275,Sheet2!$J$5:$K$7,2,FALSE)*VLOOKUP(Sheet1!$A2275,Sheet2!$B$5:$H$29,7,FALSE),0)</x:f>
        <x:v>0</x:v>
      </x:c>
      <x:c r="I2275">
        <x:f t="shared" si="37"/>
        <x:v>53390</x:v>
      </x:c>
    </x:row>
    <x:row r="2276" spans="1:9" x14ac:dyDescent="0.15">
      <x:c r="A2276">
        <x:v>54103</x:v>
      </x:c>
      <x:c r="B2276">
        <x:v>2</x:v>
      </x:c>
      <x:c r="C2276">
        <x:v>55</x:v>
      </x:c>
      <x:c r="D2276">
        <x:f>ROUND($C2276*10*VLOOKUP($B2276,Sheet2!$J$5:$K$7,2,FALSE)*VLOOKUP(Sheet1!$A2276,Sheet2!$B$5:$H$29,3,FALSE),0)</x:f>
        <x:v>0</x:v>
      </x:c>
      <x:c r="E2276">
        <x:f>ROUND($C2276*10*VLOOKUP($B2276,Sheet2!$J$5:$K$7,2,FALSE)*VLOOKUP(Sheet1!$A2276,Sheet2!$B$5:$H$29,4,FALSE),0)</x:f>
        <x:v>0</x:v>
      </x:c>
      <x:c r="F2276">
        <x:f>ROUND($C2276*10*VLOOKUP($B2276,Sheet2!$J$5:$K$7,2,FALSE)*VLOOKUP(Sheet1!$A2276,Sheet2!$B$5:$H$29,5,FALSE),0)</x:f>
        <x:v>528</x:v>
      </x:c>
      <x:c r="G2276">
        <x:f>ROUND($C2276*10*VLOOKUP($B2276,Sheet2!$J$5:$K$7,2,FALSE)*VLOOKUP(Sheet1!$A2276,Sheet2!$B$5:$H$29,6,FALSE),0)</x:f>
        <x:v>0</x:v>
      </x:c>
      <x:c r="H2276">
        <x:f>ROUND($C2276*10*VLOOKUP($B2276,Sheet2!$J$5:$K$7,2,FALSE)*VLOOKUP(Sheet1!$A2276,Sheet2!$B$5:$H$29,7,FALSE),0)</x:f>
        <x:v>0</x:v>
      </x:c>
      <x:c r="I2276">
        <x:f t="shared" si="37"/>
        <x:v>55210</x:v>
      </x:c>
    </x:row>
    <x:row r="2277" spans="1:9" x14ac:dyDescent="0.15">
      <x:c r="A2277">
        <x:v>54103</x:v>
      </x:c>
      <x:c r="B2277">
        <x:v>2</x:v>
      </x:c>
      <x:c r="C2277">
        <x:v>56</x:v>
      </x:c>
      <x:c r="D2277">
        <x:f>ROUND($C2277*10*VLOOKUP($B2277,Sheet2!$J$5:$K$7,2,FALSE)*VLOOKUP(Sheet1!$A2277,Sheet2!$B$5:$H$29,3,FALSE),0)</x:f>
        <x:v>0</x:v>
      </x:c>
      <x:c r="E2277">
        <x:f>ROUND($C2277*10*VLOOKUP($B2277,Sheet2!$J$5:$K$7,2,FALSE)*VLOOKUP(Sheet1!$A2277,Sheet2!$B$5:$H$29,4,FALSE),0)</x:f>
        <x:v>0</x:v>
      </x:c>
      <x:c r="F2277">
        <x:f>ROUND($C2277*10*VLOOKUP($B2277,Sheet2!$J$5:$K$7,2,FALSE)*VLOOKUP(Sheet1!$A2277,Sheet2!$B$5:$H$29,5,FALSE),0)</x:f>
        <x:v>538</x:v>
      </x:c>
      <x:c r="G2277">
        <x:f>ROUND($C2277*10*VLOOKUP($B2277,Sheet2!$J$5:$K$7,2,FALSE)*VLOOKUP(Sheet1!$A2277,Sheet2!$B$5:$H$29,6,FALSE),0)</x:f>
        <x:v>0</x:v>
      </x:c>
      <x:c r="H2277">
        <x:f>ROUND($C2277*10*VLOOKUP($B2277,Sheet2!$J$5:$K$7,2,FALSE)*VLOOKUP(Sheet1!$A2277,Sheet2!$B$5:$H$29,7,FALSE),0)</x:f>
        <x:v>0</x:v>
      </x:c>
      <x:c r="I2277">
        <x:f t="shared" si="37"/>
        <x:v>57060</x:v>
      </x:c>
    </x:row>
    <x:row r="2278" spans="1:9" x14ac:dyDescent="0.15">
      <x:c r="A2278">
        <x:v>54103</x:v>
      </x:c>
      <x:c r="B2278">
        <x:v>2</x:v>
      </x:c>
      <x:c r="C2278">
        <x:v>57</x:v>
      </x:c>
      <x:c r="D2278">
        <x:f>ROUND($C2278*10*VLOOKUP($B2278,Sheet2!$J$5:$K$7,2,FALSE)*VLOOKUP(Sheet1!$A2278,Sheet2!$B$5:$H$29,3,FALSE),0)</x:f>
        <x:v>0</x:v>
      </x:c>
      <x:c r="E2278">
        <x:f>ROUND($C2278*10*VLOOKUP($B2278,Sheet2!$J$5:$K$7,2,FALSE)*VLOOKUP(Sheet1!$A2278,Sheet2!$B$5:$H$29,4,FALSE),0)</x:f>
        <x:v>0</x:v>
      </x:c>
      <x:c r="F2278">
        <x:f>ROUND($C2278*10*VLOOKUP($B2278,Sheet2!$J$5:$K$7,2,FALSE)*VLOOKUP(Sheet1!$A2278,Sheet2!$B$5:$H$29,5,FALSE),0)</x:f>
        <x:v>547</x:v>
      </x:c>
      <x:c r="G2278">
        <x:f>ROUND($C2278*10*VLOOKUP($B2278,Sheet2!$J$5:$K$7,2,FALSE)*VLOOKUP(Sheet1!$A2278,Sheet2!$B$5:$H$29,6,FALSE),0)</x:f>
        <x:v>0</x:v>
      </x:c>
      <x:c r="H2278">
        <x:f>ROUND($C2278*10*VLOOKUP($B2278,Sheet2!$J$5:$K$7,2,FALSE)*VLOOKUP(Sheet1!$A2278,Sheet2!$B$5:$H$29,7,FALSE),0)</x:f>
        <x:v>0</x:v>
      </x:c>
      <x:c r="I2278">
        <x:f t="shared" si="37"/>
        <x:v>58940</x:v>
      </x:c>
    </x:row>
    <x:row r="2279" spans="1:9" x14ac:dyDescent="0.15">
      <x:c r="A2279">
        <x:v>54103</x:v>
      </x:c>
      <x:c r="B2279">
        <x:v>2</x:v>
      </x:c>
      <x:c r="C2279">
        <x:v>58</x:v>
      </x:c>
      <x:c r="D2279">
        <x:f>ROUND($C2279*10*VLOOKUP($B2279,Sheet2!$J$5:$K$7,2,FALSE)*VLOOKUP(Sheet1!$A2279,Sheet2!$B$5:$H$29,3,FALSE),0)</x:f>
        <x:v>0</x:v>
      </x:c>
      <x:c r="E2279">
        <x:f>ROUND($C2279*10*VLOOKUP($B2279,Sheet2!$J$5:$K$7,2,FALSE)*VLOOKUP(Sheet1!$A2279,Sheet2!$B$5:$H$29,4,FALSE),0)</x:f>
        <x:v>0</x:v>
      </x:c>
      <x:c r="F2279">
        <x:f>ROUND($C2279*10*VLOOKUP($B2279,Sheet2!$J$5:$K$7,2,FALSE)*VLOOKUP(Sheet1!$A2279,Sheet2!$B$5:$H$29,5,FALSE),0)</x:f>
        <x:v>557</x:v>
      </x:c>
      <x:c r="G2279">
        <x:f>ROUND($C2279*10*VLOOKUP($B2279,Sheet2!$J$5:$K$7,2,FALSE)*VLOOKUP(Sheet1!$A2279,Sheet2!$B$5:$H$29,6,FALSE),0)</x:f>
        <x:v>0</x:v>
      </x:c>
      <x:c r="H2279">
        <x:f>ROUND($C2279*10*VLOOKUP($B2279,Sheet2!$J$5:$K$7,2,FALSE)*VLOOKUP(Sheet1!$A2279,Sheet2!$B$5:$H$29,7,FALSE),0)</x:f>
        <x:v>0</x:v>
      </x:c>
      <x:c r="I2279">
        <x:f t="shared" si="37"/>
        <x:v>60850</x:v>
      </x:c>
    </x:row>
    <x:row r="2280" spans="1:9" x14ac:dyDescent="0.15">
      <x:c r="A2280">
        <x:v>54103</x:v>
      </x:c>
      <x:c r="B2280">
        <x:v>2</x:v>
      </x:c>
      <x:c r="C2280">
        <x:v>59</x:v>
      </x:c>
      <x:c r="D2280">
        <x:f>ROUND($C2280*10*VLOOKUP($B2280,Sheet2!$J$5:$K$7,2,FALSE)*VLOOKUP(Sheet1!$A2280,Sheet2!$B$5:$H$29,3,FALSE),0)</x:f>
        <x:v>0</x:v>
      </x:c>
      <x:c r="E2280">
        <x:f>ROUND($C2280*10*VLOOKUP($B2280,Sheet2!$J$5:$K$7,2,FALSE)*VLOOKUP(Sheet1!$A2280,Sheet2!$B$5:$H$29,4,FALSE),0)</x:f>
        <x:v>0</x:v>
      </x:c>
      <x:c r="F2280">
        <x:f>ROUND($C2280*10*VLOOKUP($B2280,Sheet2!$J$5:$K$7,2,FALSE)*VLOOKUP(Sheet1!$A2280,Sheet2!$B$5:$H$29,5,FALSE),0)</x:f>
        <x:v>566</x:v>
      </x:c>
      <x:c r="G2280">
        <x:f>ROUND($C2280*10*VLOOKUP($B2280,Sheet2!$J$5:$K$7,2,FALSE)*VLOOKUP(Sheet1!$A2280,Sheet2!$B$5:$H$29,6,FALSE),0)</x:f>
        <x:v>0</x:v>
      </x:c>
      <x:c r="H2280">
        <x:f>ROUND($C2280*10*VLOOKUP($B2280,Sheet2!$J$5:$K$7,2,FALSE)*VLOOKUP(Sheet1!$A2280,Sheet2!$B$5:$H$29,7,FALSE),0)</x:f>
        <x:v>0</x:v>
      </x:c>
      <x:c r="I2280">
        <x:f t="shared" si="37"/>
        <x:v>62780</x:v>
      </x:c>
    </x:row>
    <x:row r="2281" spans="1:9" x14ac:dyDescent="0.15">
      <x:c r="A2281">
        <x:v>54103</x:v>
      </x:c>
      <x:c r="B2281">
        <x:v>2</x:v>
      </x:c>
      <x:c r="C2281">
        <x:v>60</x:v>
      </x:c>
      <x:c r="D2281">
        <x:f>ROUND($C2281*10*VLOOKUP($B2281,Sheet2!$J$5:$K$7,2,FALSE)*VLOOKUP(Sheet1!$A2281,Sheet2!$B$5:$H$29,3,FALSE),0)</x:f>
        <x:v>0</x:v>
      </x:c>
      <x:c r="E2281">
        <x:f>ROUND($C2281*10*VLOOKUP($B2281,Sheet2!$J$5:$K$7,2,FALSE)*VLOOKUP(Sheet1!$A2281,Sheet2!$B$5:$H$29,4,FALSE),0)</x:f>
        <x:v>0</x:v>
      </x:c>
      <x:c r="F2281">
        <x:f>ROUND($C2281*10*VLOOKUP($B2281,Sheet2!$J$5:$K$7,2,FALSE)*VLOOKUP(Sheet1!$A2281,Sheet2!$B$5:$H$29,5,FALSE),0)</x:f>
        <x:v>576</x:v>
      </x:c>
      <x:c r="G2281">
        <x:f>ROUND($C2281*10*VLOOKUP($B2281,Sheet2!$J$5:$K$7,2,FALSE)*VLOOKUP(Sheet1!$A2281,Sheet2!$B$5:$H$29,6,FALSE),0)</x:f>
        <x:v>0</x:v>
      </x:c>
      <x:c r="H2281">
        <x:f>ROUND($C2281*10*VLOOKUP($B2281,Sheet2!$J$5:$K$7,2,FALSE)*VLOOKUP(Sheet1!$A2281,Sheet2!$B$5:$H$29,7,FALSE),0)</x:f>
        <x:v>0</x:v>
      </x:c>
      <x:c r="I2281">
        <x:f t="shared" si="37"/>
        <x:v>64740</x:v>
      </x:c>
    </x:row>
    <x:row r="2282" spans="1:9" x14ac:dyDescent="0.15">
      <x:c r="A2282">
        <x:v>54103</x:v>
      </x:c>
      <x:c r="B2282">
        <x:v>3</x:v>
      </x:c>
      <x:c r="C2282">
        <x:v>1</x:v>
      </x:c>
      <x:c r="D2282">
        <x:f>ROUND($C2282*10*VLOOKUP($B2282,Sheet2!$J$5:$K$7,2,FALSE)*VLOOKUP(Sheet1!$A2282,Sheet2!$B$5:$H$29,3,FALSE),0)</x:f>
        <x:v>0</x:v>
      </x:c>
      <x:c r="E2282">
        <x:f>ROUND($C2282*10*VLOOKUP($B2282,Sheet2!$J$5:$K$7,2,FALSE)*VLOOKUP(Sheet1!$A2282,Sheet2!$B$5:$H$29,4,FALSE),0)</x:f>
        <x:v>0</x:v>
      </x:c>
      <x:c r="F2282">
        <x:f>ROUND($C2282*10*VLOOKUP($B2282,Sheet2!$J$5:$K$7,2,FALSE)*VLOOKUP(Sheet1!$A2282,Sheet2!$B$5:$H$29,5,FALSE),0)</x:f>
        <x:v>16</x:v>
      </x:c>
      <x:c r="G2282">
        <x:f>ROUND($C2282*10*VLOOKUP($B2282,Sheet2!$J$5:$K$7,2,FALSE)*VLOOKUP(Sheet1!$A2282,Sheet2!$B$5:$H$29,6,FALSE),0)</x:f>
        <x:v>0</x:v>
      </x:c>
      <x:c r="H2282">
        <x:f>ROUND($C2282*10*VLOOKUP($B2282,Sheet2!$J$5:$K$7,2,FALSE)*VLOOKUP(Sheet1!$A2282,Sheet2!$B$5:$H$29,7,FALSE),0)</x:f>
        <x:v>0</x:v>
      </x:c>
      <x:c r="I2282">
        <x:f t="shared" ref="I2282:I2341" si="38">ROUND(1.2*10*10.5*(C2282-1)^1.8+90,-1)</x:f>
        <x:v>90</x:v>
      </x:c>
    </x:row>
    <x:row r="2283" spans="1:9" x14ac:dyDescent="0.15">
      <x:c r="A2283">
        <x:v>54103</x:v>
      </x:c>
      <x:c r="B2283">
        <x:v>3</x:v>
      </x:c>
      <x:c r="C2283">
        <x:v>2</x:v>
      </x:c>
      <x:c r="D2283">
        <x:f>ROUND($C2283*10*VLOOKUP($B2283,Sheet2!$J$5:$K$7,2,FALSE)*VLOOKUP(Sheet1!$A2283,Sheet2!$B$5:$H$29,3,FALSE),0)</x:f>
        <x:v>0</x:v>
      </x:c>
      <x:c r="E2283">
        <x:f>ROUND($C2283*10*VLOOKUP($B2283,Sheet2!$J$5:$K$7,2,FALSE)*VLOOKUP(Sheet1!$A2283,Sheet2!$B$5:$H$29,4,FALSE),0)</x:f>
        <x:v>0</x:v>
      </x:c>
      <x:c r="F2283">
        <x:f>ROUND($C2283*10*VLOOKUP($B2283,Sheet2!$J$5:$K$7,2,FALSE)*VLOOKUP(Sheet1!$A2283,Sheet2!$B$5:$H$29,5,FALSE),0)</x:f>
        <x:v>32</x:v>
      </x:c>
      <x:c r="G2283">
        <x:f>ROUND($C2283*10*VLOOKUP($B2283,Sheet2!$J$5:$K$7,2,FALSE)*VLOOKUP(Sheet1!$A2283,Sheet2!$B$5:$H$29,6,FALSE),0)</x:f>
        <x:v>0</x:v>
      </x:c>
      <x:c r="H2283">
        <x:f>ROUND($C2283*10*VLOOKUP($B2283,Sheet2!$J$5:$K$7,2,FALSE)*VLOOKUP(Sheet1!$A2283,Sheet2!$B$5:$H$29,7,FALSE),0)</x:f>
        <x:v>0</x:v>
      </x:c>
      <x:c r="I2283">
        <x:f t="shared" si="38"/>
        <x:v>220</x:v>
      </x:c>
    </x:row>
    <x:row r="2284" spans="1:9" x14ac:dyDescent="0.15">
      <x:c r="A2284">
        <x:v>54103</x:v>
      </x:c>
      <x:c r="B2284">
        <x:v>3</x:v>
      </x:c>
      <x:c r="C2284">
        <x:v>3</x:v>
      </x:c>
      <x:c r="D2284">
        <x:f>ROUND($C2284*10*VLOOKUP($B2284,Sheet2!$J$5:$K$7,2,FALSE)*VLOOKUP(Sheet1!$A2284,Sheet2!$B$5:$H$29,3,FALSE),0)</x:f>
        <x:v>0</x:v>
      </x:c>
      <x:c r="E2284">
        <x:f>ROUND($C2284*10*VLOOKUP($B2284,Sheet2!$J$5:$K$7,2,FALSE)*VLOOKUP(Sheet1!$A2284,Sheet2!$B$5:$H$29,4,FALSE),0)</x:f>
        <x:v>0</x:v>
      </x:c>
      <x:c r="F2284">
        <x:f>ROUND($C2284*10*VLOOKUP($B2284,Sheet2!$J$5:$K$7,2,FALSE)*VLOOKUP(Sheet1!$A2284,Sheet2!$B$5:$H$29,5,FALSE),0)</x:f>
        <x:v>48</x:v>
      </x:c>
      <x:c r="G2284">
        <x:f>ROUND($C2284*10*VLOOKUP($B2284,Sheet2!$J$5:$K$7,2,FALSE)*VLOOKUP(Sheet1!$A2284,Sheet2!$B$5:$H$29,6,FALSE),0)</x:f>
        <x:v>0</x:v>
      </x:c>
      <x:c r="H2284">
        <x:f>ROUND($C2284*10*VLOOKUP($B2284,Sheet2!$J$5:$K$7,2,FALSE)*VLOOKUP(Sheet1!$A2284,Sheet2!$B$5:$H$29,7,FALSE),0)</x:f>
        <x:v>0</x:v>
      </x:c>
      <x:c r="I2284">
        <x:f t="shared" si="38"/>
        <x:v>530</x:v>
      </x:c>
    </x:row>
    <x:row r="2285" spans="1:9" x14ac:dyDescent="0.15">
      <x:c r="A2285">
        <x:v>54103</x:v>
      </x:c>
      <x:c r="B2285">
        <x:v>3</x:v>
      </x:c>
      <x:c r="C2285">
        <x:v>4</x:v>
      </x:c>
      <x:c r="D2285">
        <x:f>ROUND($C2285*10*VLOOKUP($B2285,Sheet2!$J$5:$K$7,2,FALSE)*VLOOKUP(Sheet1!$A2285,Sheet2!$B$5:$H$29,3,FALSE),0)</x:f>
        <x:v>0</x:v>
      </x:c>
      <x:c r="E2285">
        <x:f>ROUND($C2285*10*VLOOKUP($B2285,Sheet2!$J$5:$K$7,2,FALSE)*VLOOKUP(Sheet1!$A2285,Sheet2!$B$5:$H$29,4,FALSE),0)</x:f>
        <x:v>0</x:v>
      </x:c>
      <x:c r="F2285">
        <x:f>ROUND($C2285*10*VLOOKUP($B2285,Sheet2!$J$5:$K$7,2,FALSE)*VLOOKUP(Sheet1!$A2285,Sheet2!$B$5:$H$29,5,FALSE),0)</x:f>
        <x:v>64</x:v>
      </x:c>
      <x:c r="G2285">
        <x:f>ROUND($C2285*10*VLOOKUP($B2285,Sheet2!$J$5:$K$7,2,FALSE)*VLOOKUP(Sheet1!$A2285,Sheet2!$B$5:$H$29,6,FALSE),0)</x:f>
        <x:v>0</x:v>
      </x:c>
      <x:c r="H2285">
        <x:f>ROUND($C2285*10*VLOOKUP($B2285,Sheet2!$J$5:$K$7,2,FALSE)*VLOOKUP(Sheet1!$A2285,Sheet2!$B$5:$H$29,7,FALSE),0)</x:f>
        <x:v>0</x:v>
      </x:c>
      <x:c r="I2285">
        <x:f t="shared" si="38"/>
        <x:v>1000</x:v>
      </x:c>
    </x:row>
    <x:row r="2286" spans="1:9" x14ac:dyDescent="0.15">
      <x:c r="A2286">
        <x:v>54103</x:v>
      </x:c>
      <x:c r="B2286">
        <x:v>3</x:v>
      </x:c>
      <x:c r="C2286">
        <x:v>5</x:v>
      </x:c>
      <x:c r="D2286">
        <x:f>ROUND($C2286*10*VLOOKUP($B2286,Sheet2!$J$5:$K$7,2,FALSE)*VLOOKUP(Sheet1!$A2286,Sheet2!$B$5:$H$29,3,FALSE),0)</x:f>
        <x:v>0</x:v>
      </x:c>
      <x:c r="E2286">
        <x:f>ROUND($C2286*10*VLOOKUP($B2286,Sheet2!$J$5:$K$7,2,FALSE)*VLOOKUP(Sheet1!$A2286,Sheet2!$B$5:$H$29,4,FALSE),0)</x:f>
        <x:v>0</x:v>
      </x:c>
      <x:c r="F2286">
        <x:f>ROUND($C2286*10*VLOOKUP($B2286,Sheet2!$J$5:$K$7,2,FALSE)*VLOOKUP(Sheet1!$A2286,Sheet2!$B$5:$H$29,5,FALSE),0)</x:f>
        <x:v>80</x:v>
      </x:c>
      <x:c r="G2286">
        <x:f>ROUND($C2286*10*VLOOKUP($B2286,Sheet2!$J$5:$K$7,2,FALSE)*VLOOKUP(Sheet1!$A2286,Sheet2!$B$5:$H$29,6,FALSE),0)</x:f>
        <x:v>0</x:v>
      </x:c>
      <x:c r="H2286">
        <x:f>ROUND($C2286*10*VLOOKUP($B2286,Sheet2!$J$5:$K$7,2,FALSE)*VLOOKUP(Sheet1!$A2286,Sheet2!$B$5:$H$29,7,FALSE),0)</x:f>
        <x:v>0</x:v>
      </x:c>
      <x:c r="I2286">
        <x:f t="shared" si="38"/>
        <x:v>1620</x:v>
      </x:c>
    </x:row>
    <x:row r="2287" spans="1:9" x14ac:dyDescent="0.15">
      <x:c r="A2287">
        <x:v>54103</x:v>
      </x:c>
      <x:c r="B2287">
        <x:v>3</x:v>
      </x:c>
      <x:c r="C2287">
        <x:v>6</x:v>
      </x:c>
      <x:c r="D2287">
        <x:f>ROUND($C2287*10*VLOOKUP($B2287,Sheet2!$J$5:$K$7,2,FALSE)*VLOOKUP(Sheet1!$A2287,Sheet2!$B$5:$H$29,3,FALSE),0)</x:f>
        <x:v>0</x:v>
      </x:c>
      <x:c r="E2287">
        <x:f>ROUND($C2287*10*VLOOKUP($B2287,Sheet2!$J$5:$K$7,2,FALSE)*VLOOKUP(Sheet1!$A2287,Sheet2!$B$5:$H$29,4,FALSE),0)</x:f>
        <x:v>0</x:v>
      </x:c>
      <x:c r="F2287">
        <x:f>ROUND($C2287*10*VLOOKUP($B2287,Sheet2!$J$5:$K$7,2,FALSE)*VLOOKUP(Sheet1!$A2287,Sheet2!$B$5:$H$29,5,FALSE),0)</x:f>
        <x:v>96</x:v>
      </x:c>
      <x:c r="G2287">
        <x:f>ROUND($C2287*10*VLOOKUP($B2287,Sheet2!$J$5:$K$7,2,FALSE)*VLOOKUP(Sheet1!$A2287,Sheet2!$B$5:$H$29,6,FALSE),0)</x:f>
        <x:v>0</x:v>
      </x:c>
      <x:c r="H2287">
        <x:f>ROUND($C2287*10*VLOOKUP($B2287,Sheet2!$J$5:$K$7,2,FALSE)*VLOOKUP(Sheet1!$A2287,Sheet2!$B$5:$H$29,7,FALSE),0)</x:f>
        <x:v>0</x:v>
      </x:c>
      <x:c r="I2287">
        <x:f t="shared" si="38"/>
        <x:v>2370</x:v>
      </x:c>
    </x:row>
    <x:row r="2288" spans="1:9" x14ac:dyDescent="0.15">
      <x:c r="A2288">
        <x:v>54103</x:v>
      </x:c>
      <x:c r="B2288">
        <x:v>3</x:v>
      </x:c>
      <x:c r="C2288">
        <x:v>7</x:v>
      </x:c>
      <x:c r="D2288">
        <x:f>ROUND($C2288*10*VLOOKUP($B2288,Sheet2!$J$5:$K$7,2,FALSE)*VLOOKUP(Sheet1!$A2288,Sheet2!$B$5:$H$29,3,FALSE),0)</x:f>
        <x:v>0</x:v>
      </x:c>
      <x:c r="E2288">
        <x:f>ROUND($C2288*10*VLOOKUP($B2288,Sheet2!$J$5:$K$7,2,FALSE)*VLOOKUP(Sheet1!$A2288,Sheet2!$B$5:$H$29,4,FALSE),0)</x:f>
        <x:v>0</x:v>
      </x:c>
      <x:c r="F2288">
        <x:f>ROUND($C2288*10*VLOOKUP($B2288,Sheet2!$J$5:$K$7,2,FALSE)*VLOOKUP(Sheet1!$A2288,Sheet2!$B$5:$H$29,5,FALSE),0)</x:f>
        <x:v>112</x:v>
      </x:c>
      <x:c r="G2288">
        <x:f>ROUND($C2288*10*VLOOKUP($B2288,Sheet2!$J$5:$K$7,2,FALSE)*VLOOKUP(Sheet1!$A2288,Sheet2!$B$5:$H$29,6,FALSE),0)</x:f>
        <x:v>0</x:v>
      </x:c>
      <x:c r="H2288">
        <x:f>ROUND($C2288*10*VLOOKUP($B2288,Sheet2!$J$5:$K$7,2,FALSE)*VLOOKUP(Sheet1!$A2288,Sheet2!$B$5:$H$29,7,FALSE),0)</x:f>
        <x:v>0</x:v>
      </x:c>
      <x:c r="I2288">
        <x:f t="shared" si="38"/>
        <x:v>3260</x:v>
      </x:c>
    </x:row>
    <x:row r="2289" spans="1:9" x14ac:dyDescent="0.15">
      <x:c r="A2289">
        <x:v>54103</x:v>
      </x:c>
      <x:c r="B2289">
        <x:v>3</x:v>
      </x:c>
      <x:c r="C2289">
        <x:v>8</x:v>
      </x:c>
      <x:c r="D2289">
        <x:f>ROUND($C2289*10*VLOOKUP($B2289,Sheet2!$J$5:$K$7,2,FALSE)*VLOOKUP(Sheet1!$A2289,Sheet2!$B$5:$H$29,3,FALSE),0)</x:f>
        <x:v>0</x:v>
      </x:c>
      <x:c r="E2289">
        <x:f>ROUND($C2289*10*VLOOKUP($B2289,Sheet2!$J$5:$K$7,2,FALSE)*VLOOKUP(Sheet1!$A2289,Sheet2!$B$5:$H$29,4,FALSE),0)</x:f>
        <x:v>0</x:v>
      </x:c>
      <x:c r="F2289">
        <x:f>ROUND($C2289*10*VLOOKUP($B2289,Sheet2!$J$5:$K$7,2,FALSE)*VLOOKUP(Sheet1!$A2289,Sheet2!$B$5:$H$29,5,FALSE),0)</x:f>
        <x:v>128</x:v>
      </x:c>
      <x:c r="G2289">
        <x:f>ROUND($C2289*10*VLOOKUP($B2289,Sheet2!$J$5:$K$7,2,FALSE)*VLOOKUP(Sheet1!$A2289,Sheet2!$B$5:$H$29,6,FALSE),0)</x:f>
        <x:v>0</x:v>
      </x:c>
      <x:c r="H2289">
        <x:f>ROUND($C2289*10*VLOOKUP($B2289,Sheet2!$J$5:$K$7,2,FALSE)*VLOOKUP(Sheet1!$A2289,Sheet2!$B$5:$H$29,7,FALSE),0)</x:f>
        <x:v>0</x:v>
      </x:c>
      <x:c r="I2289">
        <x:f t="shared" si="38"/>
        <x:v>4270</x:v>
      </x:c>
    </x:row>
    <x:row r="2290" spans="1:9" x14ac:dyDescent="0.15">
      <x:c r="A2290">
        <x:v>54103</x:v>
      </x:c>
      <x:c r="B2290">
        <x:v>3</x:v>
      </x:c>
      <x:c r="C2290">
        <x:v>9</x:v>
      </x:c>
      <x:c r="D2290">
        <x:f>ROUND($C2290*10*VLOOKUP($B2290,Sheet2!$J$5:$K$7,2,FALSE)*VLOOKUP(Sheet1!$A2290,Sheet2!$B$5:$H$29,3,FALSE),0)</x:f>
        <x:v>0</x:v>
      </x:c>
      <x:c r="E2290">
        <x:f>ROUND($C2290*10*VLOOKUP($B2290,Sheet2!$J$5:$K$7,2,FALSE)*VLOOKUP(Sheet1!$A2290,Sheet2!$B$5:$H$29,4,FALSE),0)</x:f>
        <x:v>0</x:v>
      </x:c>
      <x:c r="F2290">
        <x:f>ROUND($C2290*10*VLOOKUP($B2290,Sheet2!$J$5:$K$7,2,FALSE)*VLOOKUP(Sheet1!$A2290,Sheet2!$B$5:$H$29,5,FALSE),0)</x:f>
        <x:v>144</x:v>
      </x:c>
      <x:c r="G2290">
        <x:f>ROUND($C2290*10*VLOOKUP($B2290,Sheet2!$J$5:$K$7,2,FALSE)*VLOOKUP(Sheet1!$A2290,Sheet2!$B$5:$H$29,6,FALSE),0)</x:f>
        <x:v>0</x:v>
      </x:c>
      <x:c r="H2290">
        <x:f>ROUND($C2290*10*VLOOKUP($B2290,Sheet2!$J$5:$K$7,2,FALSE)*VLOOKUP(Sheet1!$A2290,Sheet2!$B$5:$H$29,7,FALSE),0)</x:f>
        <x:v>0</x:v>
      </x:c>
      <x:c r="I2290">
        <x:f t="shared" si="38"/>
        <x:v>5410</x:v>
      </x:c>
    </x:row>
    <x:row r="2291" spans="1:9" x14ac:dyDescent="0.15">
      <x:c r="A2291">
        <x:v>54103</x:v>
      </x:c>
      <x:c r="B2291">
        <x:v>3</x:v>
      </x:c>
      <x:c r="C2291">
        <x:v>10</x:v>
      </x:c>
      <x:c r="D2291">
        <x:f>ROUND($C2291*10*VLOOKUP($B2291,Sheet2!$J$5:$K$7,2,FALSE)*VLOOKUP(Sheet1!$A2291,Sheet2!$B$5:$H$29,3,FALSE),0)</x:f>
        <x:v>0</x:v>
      </x:c>
      <x:c r="E2291">
        <x:f>ROUND($C2291*10*VLOOKUP($B2291,Sheet2!$J$5:$K$7,2,FALSE)*VLOOKUP(Sheet1!$A2291,Sheet2!$B$5:$H$29,4,FALSE),0)</x:f>
        <x:v>0</x:v>
      </x:c>
      <x:c r="F2291">
        <x:f>ROUND($C2291*10*VLOOKUP($B2291,Sheet2!$J$5:$K$7,2,FALSE)*VLOOKUP(Sheet1!$A2291,Sheet2!$B$5:$H$29,5,FALSE),0)</x:f>
        <x:v>160</x:v>
      </x:c>
      <x:c r="G2291">
        <x:f>ROUND($C2291*10*VLOOKUP($B2291,Sheet2!$J$5:$K$7,2,FALSE)*VLOOKUP(Sheet1!$A2291,Sheet2!$B$5:$H$29,6,FALSE),0)</x:f>
        <x:v>0</x:v>
      </x:c>
      <x:c r="H2291">
        <x:f>ROUND($C2291*10*VLOOKUP($B2291,Sheet2!$J$5:$K$7,2,FALSE)*VLOOKUP(Sheet1!$A2291,Sheet2!$B$5:$H$29,7,FALSE),0)</x:f>
        <x:v>0</x:v>
      </x:c>
      <x:c r="I2291">
        <x:f t="shared" si="38"/>
        <x:v>6670</x:v>
      </x:c>
    </x:row>
    <x:row r="2292" spans="1:9" x14ac:dyDescent="0.15">
      <x:c r="A2292">
        <x:v>54103</x:v>
      </x:c>
      <x:c r="B2292">
        <x:v>3</x:v>
      </x:c>
      <x:c r="C2292">
        <x:v>11</x:v>
      </x:c>
      <x:c r="D2292">
        <x:f>ROUND($C2292*10*VLOOKUP($B2292,Sheet2!$J$5:$K$7,2,FALSE)*VLOOKUP(Sheet1!$A2292,Sheet2!$B$5:$H$29,3,FALSE),0)</x:f>
        <x:v>0</x:v>
      </x:c>
      <x:c r="E2292">
        <x:f>ROUND($C2292*10*VLOOKUP($B2292,Sheet2!$J$5:$K$7,2,FALSE)*VLOOKUP(Sheet1!$A2292,Sheet2!$B$5:$H$29,4,FALSE),0)</x:f>
        <x:v>0</x:v>
      </x:c>
      <x:c r="F2292">
        <x:f>ROUND($C2292*10*VLOOKUP($B2292,Sheet2!$J$5:$K$7,2,FALSE)*VLOOKUP(Sheet1!$A2292,Sheet2!$B$5:$H$29,5,FALSE),0)</x:f>
        <x:v>176</x:v>
      </x:c>
      <x:c r="G2292">
        <x:f>ROUND($C2292*10*VLOOKUP($B2292,Sheet2!$J$5:$K$7,2,FALSE)*VLOOKUP(Sheet1!$A2292,Sheet2!$B$5:$H$29,6,FALSE),0)</x:f>
        <x:v>0</x:v>
      </x:c>
      <x:c r="H2292">
        <x:f>ROUND($C2292*10*VLOOKUP($B2292,Sheet2!$J$5:$K$7,2,FALSE)*VLOOKUP(Sheet1!$A2292,Sheet2!$B$5:$H$29,7,FALSE),0)</x:f>
        <x:v>0</x:v>
      </x:c>
      <x:c r="I2292">
        <x:f t="shared" si="38"/>
        <x:v>8040</x:v>
      </x:c>
    </x:row>
    <x:row r="2293" spans="1:9" x14ac:dyDescent="0.15">
      <x:c r="A2293">
        <x:v>54103</x:v>
      </x:c>
      <x:c r="B2293">
        <x:v>3</x:v>
      </x:c>
      <x:c r="C2293">
        <x:v>12</x:v>
      </x:c>
      <x:c r="D2293">
        <x:f>ROUND($C2293*10*VLOOKUP($B2293,Sheet2!$J$5:$K$7,2,FALSE)*VLOOKUP(Sheet1!$A2293,Sheet2!$B$5:$H$29,3,FALSE),0)</x:f>
        <x:v>0</x:v>
      </x:c>
      <x:c r="E2293">
        <x:f>ROUND($C2293*10*VLOOKUP($B2293,Sheet2!$J$5:$K$7,2,FALSE)*VLOOKUP(Sheet1!$A2293,Sheet2!$B$5:$H$29,4,FALSE),0)</x:f>
        <x:v>0</x:v>
      </x:c>
      <x:c r="F2293">
        <x:f>ROUND($C2293*10*VLOOKUP($B2293,Sheet2!$J$5:$K$7,2,FALSE)*VLOOKUP(Sheet1!$A2293,Sheet2!$B$5:$H$29,5,FALSE),0)</x:f>
        <x:v>192</x:v>
      </x:c>
      <x:c r="G2293">
        <x:f>ROUND($C2293*10*VLOOKUP($B2293,Sheet2!$J$5:$K$7,2,FALSE)*VLOOKUP(Sheet1!$A2293,Sheet2!$B$5:$H$29,6,FALSE),0)</x:f>
        <x:v>0</x:v>
      </x:c>
      <x:c r="H2293">
        <x:f>ROUND($C2293*10*VLOOKUP($B2293,Sheet2!$J$5:$K$7,2,FALSE)*VLOOKUP(Sheet1!$A2293,Sheet2!$B$5:$H$29,7,FALSE),0)</x:f>
        <x:v>0</x:v>
      </x:c>
      <x:c r="I2293">
        <x:f t="shared" si="38"/>
        <x:v>9530</x:v>
      </x:c>
    </x:row>
    <x:row r="2294" spans="1:9" x14ac:dyDescent="0.15">
      <x:c r="A2294">
        <x:v>54103</x:v>
      </x:c>
      <x:c r="B2294">
        <x:v>3</x:v>
      </x:c>
      <x:c r="C2294">
        <x:v>13</x:v>
      </x:c>
      <x:c r="D2294">
        <x:f>ROUND($C2294*10*VLOOKUP($B2294,Sheet2!$J$5:$K$7,2,FALSE)*VLOOKUP(Sheet1!$A2294,Sheet2!$B$5:$H$29,3,FALSE),0)</x:f>
        <x:v>0</x:v>
      </x:c>
      <x:c r="E2294">
        <x:f>ROUND($C2294*10*VLOOKUP($B2294,Sheet2!$J$5:$K$7,2,FALSE)*VLOOKUP(Sheet1!$A2294,Sheet2!$B$5:$H$29,4,FALSE),0)</x:f>
        <x:v>0</x:v>
      </x:c>
      <x:c r="F2294">
        <x:f>ROUND($C2294*10*VLOOKUP($B2294,Sheet2!$J$5:$K$7,2,FALSE)*VLOOKUP(Sheet1!$A2294,Sheet2!$B$5:$H$29,5,FALSE),0)</x:f>
        <x:v>208</x:v>
      </x:c>
      <x:c r="G2294">
        <x:f>ROUND($C2294*10*VLOOKUP($B2294,Sheet2!$J$5:$K$7,2,FALSE)*VLOOKUP(Sheet1!$A2294,Sheet2!$B$5:$H$29,6,FALSE),0)</x:f>
        <x:v>0</x:v>
      </x:c>
      <x:c r="H2294">
        <x:f>ROUND($C2294*10*VLOOKUP($B2294,Sheet2!$J$5:$K$7,2,FALSE)*VLOOKUP(Sheet1!$A2294,Sheet2!$B$5:$H$29,7,FALSE),0)</x:f>
        <x:v>0</x:v>
      </x:c>
      <x:c r="I2294">
        <x:f t="shared" si="38"/>
        <x:v>11130</x:v>
      </x:c>
    </x:row>
    <x:row r="2295" spans="1:9" x14ac:dyDescent="0.15">
      <x:c r="A2295">
        <x:v>54103</x:v>
      </x:c>
      <x:c r="B2295">
        <x:v>3</x:v>
      </x:c>
      <x:c r="C2295">
        <x:v>14</x:v>
      </x:c>
      <x:c r="D2295">
        <x:f>ROUND($C2295*10*VLOOKUP($B2295,Sheet2!$J$5:$K$7,2,FALSE)*VLOOKUP(Sheet1!$A2295,Sheet2!$B$5:$H$29,3,FALSE),0)</x:f>
        <x:v>0</x:v>
      </x:c>
      <x:c r="E2295">
        <x:f>ROUND($C2295*10*VLOOKUP($B2295,Sheet2!$J$5:$K$7,2,FALSE)*VLOOKUP(Sheet1!$A2295,Sheet2!$B$5:$H$29,4,FALSE),0)</x:f>
        <x:v>0</x:v>
      </x:c>
      <x:c r="F2295">
        <x:f>ROUND($C2295*10*VLOOKUP($B2295,Sheet2!$J$5:$K$7,2,FALSE)*VLOOKUP(Sheet1!$A2295,Sheet2!$B$5:$H$29,5,FALSE),0)</x:f>
        <x:v>224</x:v>
      </x:c>
      <x:c r="G2295">
        <x:f>ROUND($C2295*10*VLOOKUP($B2295,Sheet2!$J$5:$K$7,2,FALSE)*VLOOKUP(Sheet1!$A2295,Sheet2!$B$5:$H$29,6,FALSE),0)</x:f>
        <x:v>0</x:v>
      </x:c>
      <x:c r="H2295">
        <x:f>ROUND($C2295*10*VLOOKUP($B2295,Sheet2!$J$5:$K$7,2,FALSE)*VLOOKUP(Sheet1!$A2295,Sheet2!$B$5:$H$29,7,FALSE),0)</x:f>
        <x:v>0</x:v>
      </x:c>
      <x:c r="I2295">
        <x:f t="shared" si="38"/>
        <x:v>12840</x:v>
      </x:c>
    </x:row>
    <x:row r="2296" spans="1:9" x14ac:dyDescent="0.15">
      <x:c r="A2296">
        <x:v>54103</x:v>
      </x:c>
      <x:c r="B2296">
        <x:v>3</x:v>
      </x:c>
      <x:c r="C2296">
        <x:v>15</x:v>
      </x:c>
      <x:c r="D2296">
        <x:f>ROUND($C2296*10*VLOOKUP($B2296,Sheet2!$J$5:$K$7,2,FALSE)*VLOOKUP(Sheet1!$A2296,Sheet2!$B$5:$H$29,3,FALSE),0)</x:f>
        <x:v>0</x:v>
      </x:c>
      <x:c r="E2296">
        <x:f>ROUND($C2296*10*VLOOKUP($B2296,Sheet2!$J$5:$K$7,2,FALSE)*VLOOKUP(Sheet1!$A2296,Sheet2!$B$5:$H$29,4,FALSE),0)</x:f>
        <x:v>0</x:v>
      </x:c>
      <x:c r="F2296">
        <x:f>ROUND($C2296*10*VLOOKUP($B2296,Sheet2!$J$5:$K$7,2,FALSE)*VLOOKUP(Sheet1!$A2296,Sheet2!$B$5:$H$29,5,FALSE),0)</x:f>
        <x:v>240</x:v>
      </x:c>
      <x:c r="G2296">
        <x:f>ROUND($C2296*10*VLOOKUP($B2296,Sheet2!$J$5:$K$7,2,FALSE)*VLOOKUP(Sheet1!$A2296,Sheet2!$B$5:$H$29,6,FALSE),0)</x:f>
        <x:v>0</x:v>
      </x:c>
      <x:c r="H2296">
        <x:f>ROUND($C2296*10*VLOOKUP($B2296,Sheet2!$J$5:$K$7,2,FALSE)*VLOOKUP(Sheet1!$A2296,Sheet2!$B$5:$H$29,7,FALSE),0)</x:f>
        <x:v>0</x:v>
      </x:c>
      <x:c r="I2296">
        <x:f t="shared" si="38"/>
        <x:v>14660</x:v>
      </x:c>
    </x:row>
    <x:row r="2297" spans="1:9" x14ac:dyDescent="0.15">
      <x:c r="A2297">
        <x:v>54103</x:v>
      </x:c>
      <x:c r="B2297">
        <x:v>3</x:v>
      </x:c>
      <x:c r="C2297">
        <x:v>16</x:v>
      </x:c>
      <x:c r="D2297">
        <x:f>ROUND($C2297*10*VLOOKUP($B2297,Sheet2!$J$5:$K$7,2,FALSE)*VLOOKUP(Sheet1!$A2297,Sheet2!$B$5:$H$29,3,FALSE),0)</x:f>
        <x:v>0</x:v>
      </x:c>
      <x:c r="E2297">
        <x:f>ROUND($C2297*10*VLOOKUP($B2297,Sheet2!$J$5:$K$7,2,FALSE)*VLOOKUP(Sheet1!$A2297,Sheet2!$B$5:$H$29,4,FALSE),0)</x:f>
        <x:v>0</x:v>
      </x:c>
      <x:c r="F2297">
        <x:f>ROUND($C2297*10*VLOOKUP($B2297,Sheet2!$J$5:$K$7,2,FALSE)*VLOOKUP(Sheet1!$A2297,Sheet2!$B$5:$H$29,5,FALSE),0)</x:f>
        <x:v>256</x:v>
      </x:c>
      <x:c r="G2297">
        <x:f>ROUND($C2297*10*VLOOKUP($B2297,Sheet2!$J$5:$K$7,2,FALSE)*VLOOKUP(Sheet1!$A2297,Sheet2!$B$5:$H$29,6,FALSE),0)</x:f>
        <x:v>0</x:v>
      </x:c>
      <x:c r="H2297">
        <x:f>ROUND($C2297*10*VLOOKUP($B2297,Sheet2!$J$5:$K$7,2,FALSE)*VLOOKUP(Sheet1!$A2297,Sheet2!$B$5:$H$29,7,FALSE),0)</x:f>
        <x:v>0</x:v>
      </x:c>
      <x:c r="I2297">
        <x:f t="shared" si="38"/>
        <x:v>16580</x:v>
      </x:c>
    </x:row>
    <x:row r="2298" spans="1:9" x14ac:dyDescent="0.15">
      <x:c r="A2298">
        <x:v>54103</x:v>
      </x:c>
      <x:c r="B2298">
        <x:v>3</x:v>
      </x:c>
      <x:c r="C2298">
        <x:v>17</x:v>
      </x:c>
      <x:c r="D2298">
        <x:f>ROUND($C2298*10*VLOOKUP($B2298,Sheet2!$J$5:$K$7,2,FALSE)*VLOOKUP(Sheet1!$A2298,Sheet2!$B$5:$H$29,3,FALSE),0)</x:f>
        <x:v>0</x:v>
      </x:c>
      <x:c r="E2298">
        <x:f>ROUND($C2298*10*VLOOKUP($B2298,Sheet2!$J$5:$K$7,2,FALSE)*VLOOKUP(Sheet1!$A2298,Sheet2!$B$5:$H$29,4,FALSE),0)</x:f>
        <x:v>0</x:v>
      </x:c>
      <x:c r="F2298">
        <x:f>ROUND($C2298*10*VLOOKUP($B2298,Sheet2!$J$5:$K$7,2,FALSE)*VLOOKUP(Sheet1!$A2298,Sheet2!$B$5:$H$29,5,FALSE),0)</x:f>
        <x:v>272</x:v>
      </x:c>
      <x:c r="G2298">
        <x:f>ROUND($C2298*10*VLOOKUP($B2298,Sheet2!$J$5:$K$7,2,FALSE)*VLOOKUP(Sheet1!$A2298,Sheet2!$B$5:$H$29,6,FALSE),0)</x:f>
        <x:v>0</x:v>
      </x:c>
      <x:c r="H2298">
        <x:f>ROUND($C2298*10*VLOOKUP($B2298,Sheet2!$J$5:$K$7,2,FALSE)*VLOOKUP(Sheet1!$A2298,Sheet2!$B$5:$H$29,7,FALSE),0)</x:f>
        <x:v>0</x:v>
      </x:c>
      <x:c r="I2298">
        <x:f t="shared" si="38"/>
        <x:v>18620</x:v>
      </x:c>
    </x:row>
    <x:row r="2299" spans="1:9" x14ac:dyDescent="0.15">
      <x:c r="A2299">
        <x:v>54103</x:v>
      </x:c>
      <x:c r="B2299">
        <x:v>3</x:v>
      </x:c>
      <x:c r="C2299">
        <x:v>18</x:v>
      </x:c>
      <x:c r="D2299">
        <x:f>ROUND($C2299*10*VLOOKUP($B2299,Sheet2!$J$5:$K$7,2,FALSE)*VLOOKUP(Sheet1!$A2299,Sheet2!$B$5:$H$29,3,FALSE),0)</x:f>
        <x:v>0</x:v>
      </x:c>
      <x:c r="E2299">
        <x:f>ROUND($C2299*10*VLOOKUP($B2299,Sheet2!$J$5:$K$7,2,FALSE)*VLOOKUP(Sheet1!$A2299,Sheet2!$B$5:$H$29,4,FALSE),0)</x:f>
        <x:v>0</x:v>
      </x:c>
      <x:c r="F2299">
        <x:f>ROUND($C2299*10*VLOOKUP($B2299,Sheet2!$J$5:$K$7,2,FALSE)*VLOOKUP(Sheet1!$A2299,Sheet2!$B$5:$H$29,5,FALSE),0)</x:f>
        <x:v>288</x:v>
      </x:c>
      <x:c r="G2299">
        <x:f>ROUND($C2299*10*VLOOKUP($B2299,Sheet2!$J$5:$K$7,2,FALSE)*VLOOKUP(Sheet1!$A2299,Sheet2!$B$5:$H$29,6,FALSE),0)</x:f>
        <x:v>0</x:v>
      </x:c>
      <x:c r="H2299">
        <x:f>ROUND($C2299*10*VLOOKUP($B2299,Sheet2!$J$5:$K$7,2,FALSE)*VLOOKUP(Sheet1!$A2299,Sheet2!$B$5:$H$29,7,FALSE),0)</x:f>
        <x:v>0</x:v>
      </x:c>
      <x:c r="I2299">
        <x:f t="shared" si="38"/>
        <x:v>20750</x:v>
      </x:c>
    </x:row>
    <x:row r="2300" spans="1:9" x14ac:dyDescent="0.15">
      <x:c r="A2300">
        <x:v>54103</x:v>
      </x:c>
      <x:c r="B2300">
        <x:v>3</x:v>
      </x:c>
      <x:c r="C2300">
        <x:v>19</x:v>
      </x:c>
      <x:c r="D2300">
        <x:f>ROUND($C2300*10*VLOOKUP($B2300,Sheet2!$J$5:$K$7,2,FALSE)*VLOOKUP(Sheet1!$A2300,Sheet2!$B$5:$H$29,3,FALSE),0)</x:f>
        <x:v>0</x:v>
      </x:c>
      <x:c r="E2300">
        <x:f>ROUND($C2300*10*VLOOKUP($B2300,Sheet2!$J$5:$K$7,2,FALSE)*VLOOKUP(Sheet1!$A2300,Sheet2!$B$5:$H$29,4,FALSE),0)</x:f>
        <x:v>0</x:v>
      </x:c>
      <x:c r="F2300">
        <x:f>ROUND($C2300*10*VLOOKUP($B2300,Sheet2!$J$5:$K$7,2,FALSE)*VLOOKUP(Sheet1!$A2300,Sheet2!$B$5:$H$29,5,FALSE),0)</x:f>
        <x:v>304</x:v>
      </x:c>
      <x:c r="G2300">
        <x:f>ROUND($C2300*10*VLOOKUP($B2300,Sheet2!$J$5:$K$7,2,FALSE)*VLOOKUP(Sheet1!$A2300,Sheet2!$B$5:$H$29,6,FALSE),0)</x:f>
        <x:v>0</x:v>
      </x:c>
      <x:c r="H2300">
        <x:f>ROUND($C2300*10*VLOOKUP($B2300,Sheet2!$J$5:$K$7,2,FALSE)*VLOOKUP(Sheet1!$A2300,Sheet2!$B$5:$H$29,7,FALSE),0)</x:f>
        <x:v>0</x:v>
      </x:c>
      <x:c r="I2300">
        <x:f t="shared" si="38"/>
        <x:v>22990</x:v>
      </x:c>
    </x:row>
    <x:row r="2301" spans="1:9" x14ac:dyDescent="0.15">
      <x:c r="A2301">
        <x:v>54103</x:v>
      </x:c>
      <x:c r="B2301">
        <x:v>3</x:v>
      </x:c>
      <x:c r="C2301">
        <x:v>20</x:v>
      </x:c>
      <x:c r="D2301">
        <x:f>ROUND($C2301*10*VLOOKUP($B2301,Sheet2!$J$5:$K$7,2,FALSE)*VLOOKUP(Sheet1!$A2301,Sheet2!$B$5:$H$29,3,FALSE),0)</x:f>
        <x:v>0</x:v>
      </x:c>
      <x:c r="E2301">
        <x:f>ROUND($C2301*10*VLOOKUP($B2301,Sheet2!$J$5:$K$7,2,FALSE)*VLOOKUP(Sheet1!$A2301,Sheet2!$B$5:$H$29,4,FALSE),0)</x:f>
        <x:v>0</x:v>
      </x:c>
      <x:c r="F2301">
        <x:f>ROUND($C2301*10*VLOOKUP($B2301,Sheet2!$J$5:$K$7,2,FALSE)*VLOOKUP(Sheet1!$A2301,Sheet2!$B$5:$H$29,5,FALSE),0)</x:f>
        <x:v>320</x:v>
      </x:c>
      <x:c r="G2301">
        <x:f>ROUND($C2301*10*VLOOKUP($B2301,Sheet2!$J$5:$K$7,2,FALSE)*VLOOKUP(Sheet1!$A2301,Sheet2!$B$5:$H$29,6,FALSE),0)</x:f>
        <x:v>0</x:v>
      </x:c>
      <x:c r="H2301">
        <x:f>ROUND($C2301*10*VLOOKUP($B2301,Sheet2!$J$5:$K$7,2,FALSE)*VLOOKUP(Sheet1!$A2301,Sheet2!$B$5:$H$29,7,FALSE),0)</x:f>
        <x:v>0</x:v>
      </x:c>
      <x:c r="I2301">
        <x:f t="shared" si="38"/>
        <x:v>25330</x:v>
      </x:c>
    </x:row>
    <x:row r="2302" spans="1:9" x14ac:dyDescent="0.15">
      <x:c r="A2302">
        <x:v>54103</x:v>
      </x:c>
      <x:c r="B2302">
        <x:v>3</x:v>
      </x:c>
      <x:c r="C2302">
        <x:v>21</x:v>
      </x:c>
      <x:c r="D2302">
        <x:f>ROUND($C2302*10*VLOOKUP($B2302,Sheet2!$J$5:$K$7,2,FALSE)*VLOOKUP(Sheet1!$A2302,Sheet2!$B$5:$H$29,3,FALSE),0)</x:f>
        <x:v>0</x:v>
      </x:c>
      <x:c r="E2302">
        <x:f>ROUND($C2302*10*VLOOKUP($B2302,Sheet2!$J$5:$K$7,2,FALSE)*VLOOKUP(Sheet1!$A2302,Sheet2!$B$5:$H$29,4,FALSE),0)</x:f>
        <x:v>0</x:v>
      </x:c>
      <x:c r="F2302">
        <x:f>ROUND($C2302*10*VLOOKUP($B2302,Sheet2!$J$5:$K$7,2,FALSE)*VLOOKUP(Sheet1!$A2302,Sheet2!$B$5:$H$29,5,FALSE),0)</x:f>
        <x:v>336</x:v>
      </x:c>
      <x:c r="G2302">
        <x:f>ROUND($C2302*10*VLOOKUP($B2302,Sheet2!$J$5:$K$7,2,FALSE)*VLOOKUP(Sheet1!$A2302,Sheet2!$B$5:$H$29,6,FALSE),0)</x:f>
        <x:v>0</x:v>
      </x:c>
      <x:c r="H2302">
        <x:f>ROUND($C2302*10*VLOOKUP($B2302,Sheet2!$J$5:$K$7,2,FALSE)*VLOOKUP(Sheet1!$A2302,Sheet2!$B$5:$H$29,7,FALSE),0)</x:f>
        <x:v>0</x:v>
      </x:c>
      <x:c r="I2302">
        <x:f t="shared" si="38"/>
        <x:v>27770</x:v>
      </x:c>
    </x:row>
    <x:row r="2303" spans="1:9" x14ac:dyDescent="0.15">
      <x:c r="A2303">
        <x:v>54103</x:v>
      </x:c>
      <x:c r="B2303">
        <x:v>3</x:v>
      </x:c>
      <x:c r="C2303">
        <x:v>22</x:v>
      </x:c>
      <x:c r="D2303">
        <x:f>ROUND($C2303*10*VLOOKUP($B2303,Sheet2!$J$5:$K$7,2,FALSE)*VLOOKUP(Sheet1!$A2303,Sheet2!$B$5:$H$29,3,FALSE),0)</x:f>
        <x:v>0</x:v>
      </x:c>
      <x:c r="E2303">
        <x:f>ROUND($C2303*10*VLOOKUP($B2303,Sheet2!$J$5:$K$7,2,FALSE)*VLOOKUP(Sheet1!$A2303,Sheet2!$B$5:$H$29,4,FALSE),0)</x:f>
        <x:v>0</x:v>
      </x:c>
      <x:c r="F2303">
        <x:f>ROUND($C2303*10*VLOOKUP($B2303,Sheet2!$J$5:$K$7,2,FALSE)*VLOOKUP(Sheet1!$A2303,Sheet2!$B$5:$H$29,5,FALSE),0)</x:f>
        <x:v>352</x:v>
      </x:c>
      <x:c r="G2303">
        <x:f>ROUND($C2303*10*VLOOKUP($B2303,Sheet2!$J$5:$K$7,2,FALSE)*VLOOKUP(Sheet1!$A2303,Sheet2!$B$5:$H$29,6,FALSE),0)</x:f>
        <x:v>0</x:v>
      </x:c>
      <x:c r="H2303">
        <x:f>ROUND($C2303*10*VLOOKUP($B2303,Sheet2!$J$5:$K$7,2,FALSE)*VLOOKUP(Sheet1!$A2303,Sheet2!$B$5:$H$29,7,FALSE),0)</x:f>
        <x:v>0</x:v>
      </x:c>
      <x:c r="I2303">
        <x:f t="shared" si="38"/>
        <x:v>30310</x:v>
      </x:c>
    </x:row>
    <x:row r="2304" spans="1:9" x14ac:dyDescent="0.15">
      <x:c r="A2304">
        <x:v>54103</x:v>
      </x:c>
      <x:c r="B2304">
        <x:v>3</x:v>
      </x:c>
      <x:c r="C2304">
        <x:v>23</x:v>
      </x:c>
      <x:c r="D2304">
        <x:f>ROUND($C2304*10*VLOOKUP($B2304,Sheet2!$J$5:$K$7,2,FALSE)*VLOOKUP(Sheet1!$A2304,Sheet2!$B$5:$H$29,3,FALSE),0)</x:f>
        <x:v>0</x:v>
      </x:c>
      <x:c r="E2304">
        <x:f>ROUND($C2304*10*VLOOKUP($B2304,Sheet2!$J$5:$K$7,2,FALSE)*VLOOKUP(Sheet1!$A2304,Sheet2!$B$5:$H$29,4,FALSE),0)</x:f>
        <x:v>0</x:v>
      </x:c>
      <x:c r="F2304">
        <x:f>ROUND($C2304*10*VLOOKUP($B2304,Sheet2!$J$5:$K$7,2,FALSE)*VLOOKUP(Sheet1!$A2304,Sheet2!$B$5:$H$29,5,FALSE),0)</x:f>
        <x:v>368</x:v>
      </x:c>
      <x:c r="G2304">
        <x:f>ROUND($C2304*10*VLOOKUP($B2304,Sheet2!$J$5:$K$7,2,FALSE)*VLOOKUP(Sheet1!$A2304,Sheet2!$B$5:$H$29,6,FALSE),0)</x:f>
        <x:v>0</x:v>
      </x:c>
      <x:c r="H2304">
        <x:f>ROUND($C2304*10*VLOOKUP($B2304,Sheet2!$J$5:$K$7,2,FALSE)*VLOOKUP(Sheet1!$A2304,Sheet2!$B$5:$H$29,7,FALSE),0)</x:f>
        <x:v>0</x:v>
      </x:c>
      <x:c r="I2304">
        <x:f t="shared" si="38"/>
        <x:v>32950</x:v>
      </x:c>
    </x:row>
    <x:row r="2305" spans="1:9" x14ac:dyDescent="0.15">
      <x:c r="A2305">
        <x:v>54103</x:v>
      </x:c>
      <x:c r="B2305">
        <x:v>3</x:v>
      </x:c>
      <x:c r="C2305">
        <x:v>24</x:v>
      </x:c>
      <x:c r="D2305">
        <x:f>ROUND($C2305*10*VLOOKUP($B2305,Sheet2!$J$5:$K$7,2,FALSE)*VLOOKUP(Sheet1!$A2305,Sheet2!$B$5:$H$29,3,FALSE),0)</x:f>
        <x:v>0</x:v>
      </x:c>
      <x:c r="E2305">
        <x:f>ROUND($C2305*10*VLOOKUP($B2305,Sheet2!$J$5:$K$7,2,FALSE)*VLOOKUP(Sheet1!$A2305,Sheet2!$B$5:$H$29,4,FALSE),0)</x:f>
        <x:v>0</x:v>
      </x:c>
      <x:c r="F2305">
        <x:f>ROUND($C2305*10*VLOOKUP($B2305,Sheet2!$J$5:$K$7,2,FALSE)*VLOOKUP(Sheet1!$A2305,Sheet2!$B$5:$H$29,5,FALSE),0)</x:f>
        <x:v>384</x:v>
      </x:c>
      <x:c r="G2305">
        <x:f>ROUND($C2305*10*VLOOKUP($B2305,Sheet2!$J$5:$K$7,2,FALSE)*VLOOKUP(Sheet1!$A2305,Sheet2!$B$5:$H$29,6,FALSE),0)</x:f>
        <x:v>0</x:v>
      </x:c>
      <x:c r="H2305">
        <x:f>ROUND($C2305*10*VLOOKUP($B2305,Sheet2!$J$5:$K$7,2,FALSE)*VLOOKUP(Sheet1!$A2305,Sheet2!$B$5:$H$29,7,FALSE),0)</x:f>
        <x:v>0</x:v>
      </x:c>
      <x:c r="I2305">
        <x:f t="shared" si="38"/>
        <x:v>35690</x:v>
      </x:c>
    </x:row>
    <x:row r="2306" spans="1:9" x14ac:dyDescent="0.15">
      <x:c r="A2306">
        <x:v>54103</x:v>
      </x:c>
      <x:c r="B2306">
        <x:v>3</x:v>
      </x:c>
      <x:c r="C2306">
        <x:v>25</x:v>
      </x:c>
      <x:c r="D2306">
        <x:f>ROUND($C2306*10*VLOOKUP($B2306,Sheet2!$J$5:$K$7,2,FALSE)*VLOOKUP(Sheet1!$A2306,Sheet2!$B$5:$H$29,3,FALSE),0)</x:f>
        <x:v>0</x:v>
      </x:c>
      <x:c r="E2306">
        <x:f>ROUND($C2306*10*VLOOKUP($B2306,Sheet2!$J$5:$K$7,2,FALSE)*VLOOKUP(Sheet1!$A2306,Sheet2!$B$5:$H$29,4,FALSE),0)</x:f>
        <x:v>0</x:v>
      </x:c>
      <x:c r="F2306">
        <x:f>ROUND($C2306*10*VLOOKUP($B2306,Sheet2!$J$5:$K$7,2,FALSE)*VLOOKUP(Sheet1!$A2306,Sheet2!$B$5:$H$29,5,FALSE),0)</x:f>
        <x:v>400</x:v>
      </x:c>
      <x:c r="G2306">
        <x:f>ROUND($C2306*10*VLOOKUP($B2306,Sheet2!$J$5:$K$7,2,FALSE)*VLOOKUP(Sheet1!$A2306,Sheet2!$B$5:$H$29,6,FALSE),0)</x:f>
        <x:v>0</x:v>
      </x:c>
      <x:c r="H2306">
        <x:f>ROUND($C2306*10*VLOOKUP($B2306,Sheet2!$J$5:$K$7,2,FALSE)*VLOOKUP(Sheet1!$A2306,Sheet2!$B$5:$H$29,7,FALSE),0)</x:f>
        <x:v>0</x:v>
      </x:c>
      <x:c r="I2306">
        <x:f t="shared" si="38"/>
        <x:v>38530</x:v>
      </x:c>
    </x:row>
    <x:row r="2307" spans="1:9" x14ac:dyDescent="0.15">
      <x:c r="A2307">
        <x:v>54103</x:v>
      </x:c>
      <x:c r="B2307">
        <x:v>3</x:v>
      </x:c>
      <x:c r="C2307">
        <x:v>26</x:v>
      </x:c>
      <x:c r="D2307">
        <x:f>ROUND($C2307*10*VLOOKUP($B2307,Sheet2!$J$5:$K$7,2,FALSE)*VLOOKUP(Sheet1!$A2307,Sheet2!$B$5:$H$29,3,FALSE),0)</x:f>
        <x:v>0</x:v>
      </x:c>
      <x:c r="E2307">
        <x:f>ROUND($C2307*10*VLOOKUP($B2307,Sheet2!$J$5:$K$7,2,FALSE)*VLOOKUP(Sheet1!$A2307,Sheet2!$B$5:$H$29,4,FALSE),0)</x:f>
        <x:v>0</x:v>
      </x:c>
      <x:c r="F2307">
        <x:f>ROUND($C2307*10*VLOOKUP($B2307,Sheet2!$J$5:$K$7,2,FALSE)*VLOOKUP(Sheet1!$A2307,Sheet2!$B$5:$H$29,5,FALSE),0)</x:f>
        <x:v>416</x:v>
      </x:c>
      <x:c r="G2307">
        <x:f>ROUND($C2307*10*VLOOKUP($B2307,Sheet2!$J$5:$K$7,2,FALSE)*VLOOKUP(Sheet1!$A2307,Sheet2!$B$5:$H$29,6,FALSE),0)</x:f>
        <x:v>0</x:v>
      </x:c>
      <x:c r="H2307">
        <x:f>ROUND($C2307*10*VLOOKUP($B2307,Sheet2!$J$5:$K$7,2,FALSE)*VLOOKUP(Sheet1!$A2307,Sheet2!$B$5:$H$29,7,FALSE),0)</x:f>
        <x:v>0</x:v>
      </x:c>
      <x:c r="I2307">
        <x:f t="shared" si="38"/>
        <x:v>41460</x:v>
      </x:c>
    </x:row>
    <x:row r="2308" spans="1:9" x14ac:dyDescent="0.15">
      <x:c r="A2308">
        <x:v>54103</x:v>
      </x:c>
      <x:c r="B2308">
        <x:v>3</x:v>
      </x:c>
      <x:c r="C2308">
        <x:v>27</x:v>
      </x:c>
      <x:c r="D2308">
        <x:f>ROUND($C2308*10*VLOOKUP($B2308,Sheet2!$J$5:$K$7,2,FALSE)*VLOOKUP(Sheet1!$A2308,Sheet2!$B$5:$H$29,3,FALSE),0)</x:f>
        <x:v>0</x:v>
      </x:c>
      <x:c r="E2308">
        <x:f>ROUND($C2308*10*VLOOKUP($B2308,Sheet2!$J$5:$K$7,2,FALSE)*VLOOKUP(Sheet1!$A2308,Sheet2!$B$5:$H$29,4,FALSE),0)</x:f>
        <x:v>0</x:v>
      </x:c>
      <x:c r="F2308">
        <x:f>ROUND($C2308*10*VLOOKUP($B2308,Sheet2!$J$5:$K$7,2,FALSE)*VLOOKUP(Sheet1!$A2308,Sheet2!$B$5:$H$29,5,FALSE),0)</x:f>
        <x:v>432</x:v>
      </x:c>
      <x:c r="G2308">
        <x:f>ROUND($C2308*10*VLOOKUP($B2308,Sheet2!$J$5:$K$7,2,FALSE)*VLOOKUP(Sheet1!$A2308,Sheet2!$B$5:$H$29,6,FALSE),0)</x:f>
        <x:v>0</x:v>
      </x:c>
      <x:c r="H2308">
        <x:f>ROUND($C2308*10*VLOOKUP($B2308,Sheet2!$J$5:$K$7,2,FALSE)*VLOOKUP(Sheet1!$A2308,Sheet2!$B$5:$H$29,7,FALSE),0)</x:f>
        <x:v>0</x:v>
      </x:c>
      <x:c r="I2308">
        <x:f t="shared" si="38"/>
        <x:v>44480</x:v>
      </x:c>
    </x:row>
    <x:row r="2309" spans="1:9" x14ac:dyDescent="0.15">
      <x:c r="A2309">
        <x:v>54103</x:v>
      </x:c>
      <x:c r="B2309">
        <x:v>3</x:v>
      </x:c>
      <x:c r="C2309">
        <x:v>28</x:v>
      </x:c>
      <x:c r="D2309">
        <x:f>ROUND($C2309*10*VLOOKUP($B2309,Sheet2!$J$5:$K$7,2,FALSE)*VLOOKUP(Sheet1!$A2309,Sheet2!$B$5:$H$29,3,FALSE),0)</x:f>
        <x:v>0</x:v>
      </x:c>
      <x:c r="E2309">
        <x:f>ROUND($C2309*10*VLOOKUP($B2309,Sheet2!$J$5:$K$7,2,FALSE)*VLOOKUP(Sheet1!$A2309,Sheet2!$B$5:$H$29,4,FALSE),0)</x:f>
        <x:v>0</x:v>
      </x:c>
      <x:c r="F2309">
        <x:f>ROUND($C2309*10*VLOOKUP($B2309,Sheet2!$J$5:$K$7,2,FALSE)*VLOOKUP(Sheet1!$A2309,Sheet2!$B$5:$H$29,5,FALSE),0)</x:f>
        <x:v>448</x:v>
      </x:c>
      <x:c r="G2309">
        <x:f>ROUND($C2309*10*VLOOKUP($B2309,Sheet2!$J$5:$K$7,2,FALSE)*VLOOKUP(Sheet1!$A2309,Sheet2!$B$5:$H$29,6,FALSE),0)</x:f>
        <x:v>0</x:v>
      </x:c>
      <x:c r="H2309">
        <x:f>ROUND($C2309*10*VLOOKUP($B2309,Sheet2!$J$5:$K$7,2,FALSE)*VLOOKUP(Sheet1!$A2309,Sheet2!$B$5:$H$29,7,FALSE),0)</x:f>
        <x:v>0</x:v>
      </x:c>
      <x:c r="I2309">
        <x:f t="shared" si="38"/>
        <x:v>47600</x:v>
      </x:c>
    </x:row>
    <x:row r="2310" spans="1:9" x14ac:dyDescent="0.15">
      <x:c r="A2310">
        <x:v>54103</x:v>
      </x:c>
      <x:c r="B2310">
        <x:v>3</x:v>
      </x:c>
      <x:c r="C2310">
        <x:v>29</x:v>
      </x:c>
      <x:c r="D2310">
        <x:f>ROUND($C2310*10*VLOOKUP($B2310,Sheet2!$J$5:$K$7,2,FALSE)*VLOOKUP(Sheet1!$A2310,Sheet2!$B$5:$H$29,3,FALSE),0)</x:f>
        <x:v>0</x:v>
      </x:c>
      <x:c r="E2310">
        <x:f>ROUND($C2310*10*VLOOKUP($B2310,Sheet2!$J$5:$K$7,2,FALSE)*VLOOKUP(Sheet1!$A2310,Sheet2!$B$5:$H$29,4,FALSE),0)</x:f>
        <x:v>0</x:v>
      </x:c>
      <x:c r="F2310">
        <x:f>ROUND($C2310*10*VLOOKUP($B2310,Sheet2!$J$5:$K$7,2,FALSE)*VLOOKUP(Sheet1!$A2310,Sheet2!$B$5:$H$29,5,FALSE),0)</x:f>
        <x:v>464</x:v>
      </x:c>
      <x:c r="G2310">
        <x:f>ROUND($C2310*10*VLOOKUP($B2310,Sheet2!$J$5:$K$7,2,FALSE)*VLOOKUP(Sheet1!$A2310,Sheet2!$B$5:$H$29,6,FALSE),0)</x:f>
        <x:v>0</x:v>
      </x:c>
      <x:c r="H2310">
        <x:f>ROUND($C2310*10*VLOOKUP($B2310,Sheet2!$J$5:$K$7,2,FALSE)*VLOOKUP(Sheet1!$A2310,Sheet2!$B$5:$H$29,7,FALSE),0)</x:f>
        <x:v>0</x:v>
      </x:c>
      <x:c r="I2310">
        <x:f t="shared" si="38"/>
        <x:v>50820</x:v>
      </x:c>
    </x:row>
    <x:row r="2311" spans="1:9" x14ac:dyDescent="0.15">
      <x:c r="A2311">
        <x:v>54103</x:v>
      </x:c>
      <x:c r="B2311">
        <x:v>3</x:v>
      </x:c>
      <x:c r="C2311">
        <x:v>30</x:v>
      </x:c>
      <x:c r="D2311">
        <x:f>ROUND($C2311*10*VLOOKUP($B2311,Sheet2!$J$5:$K$7,2,FALSE)*VLOOKUP(Sheet1!$A2311,Sheet2!$B$5:$H$29,3,FALSE),0)</x:f>
        <x:v>0</x:v>
      </x:c>
      <x:c r="E2311">
        <x:f>ROUND($C2311*10*VLOOKUP($B2311,Sheet2!$J$5:$K$7,2,FALSE)*VLOOKUP(Sheet1!$A2311,Sheet2!$B$5:$H$29,4,FALSE),0)</x:f>
        <x:v>0</x:v>
      </x:c>
      <x:c r="F2311">
        <x:f>ROUND($C2311*10*VLOOKUP($B2311,Sheet2!$J$5:$K$7,2,FALSE)*VLOOKUP(Sheet1!$A2311,Sheet2!$B$5:$H$29,5,FALSE),0)</x:f>
        <x:v>480</x:v>
      </x:c>
      <x:c r="G2311">
        <x:f>ROUND($C2311*10*VLOOKUP($B2311,Sheet2!$J$5:$K$7,2,FALSE)*VLOOKUP(Sheet1!$A2311,Sheet2!$B$5:$H$29,6,FALSE),0)</x:f>
        <x:v>0</x:v>
      </x:c>
      <x:c r="H2311">
        <x:f>ROUND($C2311*10*VLOOKUP($B2311,Sheet2!$J$5:$K$7,2,FALSE)*VLOOKUP(Sheet1!$A2311,Sheet2!$B$5:$H$29,7,FALSE),0)</x:f>
        <x:v>0</x:v>
      </x:c>
      <x:c r="I2311">
        <x:f t="shared" si="38"/>
        <x:v>54130</x:v>
      </x:c>
    </x:row>
    <x:row r="2312" spans="1:9" x14ac:dyDescent="0.15">
      <x:c r="A2312">
        <x:v>54103</x:v>
      </x:c>
      <x:c r="B2312">
        <x:v>3</x:v>
      </x:c>
      <x:c r="C2312">
        <x:v>31</x:v>
      </x:c>
      <x:c r="D2312">
        <x:f>ROUND($C2312*10*VLOOKUP($B2312,Sheet2!$J$5:$K$7,2,FALSE)*VLOOKUP(Sheet1!$A2312,Sheet2!$B$5:$H$29,3,FALSE),0)</x:f>
        <x:v>0</x:v>
      </x:c>
      <x:c r="E2312">
        <x:f>ROUND($C2312*10*VLOOKUP($B2312,Sheet2!$J$5:$K$7,2,FALSE)*VLOOKUP(Sheet1!$A2312,Sheet2!$B$5:$H$29,4,FALSE),0)</x:f>
        <x:v>0</x:v>
      </x:c>
      <x:c r="F2312">
        <x:f>ROUND($C2312*10*VLOOKUP($B2312,Sheet2!$J$5:$K$7,2,FALSE)*VLOOKUP(Sheet1!$A2312,Sheet2!$B$5:$H$29,5,FALSE),0)</x:f>
        <x:v>496</x:v>
      </x:c>
      <x:c r="G2312">
        <x:f>ROUND($C2312*10*VLOOKUP($B2312,Sheet2!$J$5:$K$7,2,FALSE)*VLOOKUP(Sheet1!$A2312,Sheet2!$B$5:$H$29,6,FALSE),0)</x:f>
        <x:v>0</x:v>
      </x:c>
      <x:c r="H2312">
        <x:f>ROUND($C2312*10*VLOOKUP($B2312,Sheet2!$J$5:$K$7,2,FALSE)*VLOOKUP(Sheet1!$A2312,Sheet2!$B$5:$H$29,7,FALSE),0)</x:f>
        <x:v>0</x:v>
      </x:c>
      <x:c r="I2312">
        <x:f t="shared" si="38"/>
        <x:v>57530</x:v>
      </x:c>
    </x:row>
    <x:row r="2313" spans="1:9" x14ac:dyDescent="0.15">
      <x:c r="A2313">
        <x:v>54103</x:v>
      </x:c>
      <x:c r="B2313">
        <x:v>3</x:v>
      </x:c>
      <x:c r="C2313">
        <x:v>32</x:v>
      </x:c>
      <x:c r="D2313">
        <x:f>ROUND($C2313*10*VLOOKUP($B2313,Sheet2!$J$5:$K$7,2,FALSE)*VLOOKUP(Sheet1!$A2313,Sheet2!$B$5:$H$29,3,FALSE),0)</x:f>
        <x:v>0</x:v>
      </x:c>
      <x:c r="E2313">
        <x:f>ROUND($C2313*10*VLOOKUP($B2313,Sheet2!$J$5:$K$7,2,FALSE)*VLOOKUP(Sheet1!$A2313,Sheet2!$B$5:$H$29,4,FALSE),0)</x:f>
        <x:v>0</x:v>
      </x:c>
      <x:c r="F2313">
        <x:f>ROUND($C2313*10*VLOOKUP($B2313,Sheet2!$J$5:$K$7,2,FALSE)*VLOOKUP(Sheet1!$A2313,Sheet2!$B$5:$H$29,5,FALSE),0)</x:f>
        <x:v>512</x:v>
      </x:c>
      <x:c r="G2313">
        <x:f>ROUND($C2313*10*VLOOKUP($B2313,Sheet2!$J$5:$K$7,2,FALSE)*VLOOKUP(Sheet1!$A2313,Sheet2!$B$5:$H$29,6,FALSE),0)</x:f>
        <x:v>0</x:v>
      </x:c>
      <x:c r="H2313">
        <x:f>ROUND($C2313*10*VLOOKUP($B2313,Sheet2!$J$5:$K$7,2,FALSE)*VLOOKUP(Sheet1!$A2313,Sheet2!$B$5:$H$29,7,FALSE),0)</x:f>
        <x:v>0</x:v>
      </x:c>
      <x:c r="I2313">
        <x:f t="shared" si="38"/>
        <x:v>61020</x:v>
      </x:c>
    </x:row>
    <x:row r="2314" spans="1:9" x14ac:dyDescent="0.15">
      <x:c r="A2314">
        <x:v>54103</x:v>
      </x:c>
      <x:c r="B2314">
        <x:v>3</x:v>
      </x:c>
      <x:c r="C2314">
        <x:v>33</x:v>
      </x:c>
      <x:c r="D2314">
        <x:f>ROUND($C2314*10*VLOOKUP($B2314,Sheet2!$J$5:$K$7,2,FALSE)*VLOOKUP(Sheet1!$A2314,Sheet2!$B$5:$H$29,3,FALSE),0)</x:f>
        <x:v>0</x:v>
      </x:c>
      <x:c r="E2314">
        <x:f>ROUND($C2314*10*VLOOKUP($B2314,Sheet2!$J$5:$K$7,2,FALSE)*VLOOKUP(Sheet1!$A2314,Sheet2!$B$5:$H$29,4,FALSE),0)</x:f>
        <x:v>0</x:v>
      </x:c>
      <x:c r="F2314">
        <x:f>ROUND($C2314*10*VLOOKUP($B2314,Sheet2!$J$5:$K$7,2,FALSE)*VLOOKUP(Sheet1!$A2314,Sheet2!$B$5:$H$29,5,FALSE),0)</x:f>
        <x:v>528</x:v>
      </x:c>
      <x:c r="G2314">
        <x:f>ROUND($C2314*10*VLOOKUP($B2314,Sheet2!$J$5:$K$7,2,FALSE)*VLOOKUP(Sheet1!$A2314,Sheet2!$B$5:$H$29,6,FALSE),0)</x:f>
        <x:v>0</x:v>
      </x:c>
      <x:c r="H2314">
        <x:f>ROUND($C2314*10*VLOOKUP($B2314,Sheet2!$J$5:$K$7,2,FALSE)*VLOOKUP(Sheet1!$A2314,Sheet2!$B$5:$H$29,7,FALSE),0)</x:f>
        <x:v>0</x:v>
      </x:c>
      <x:c r="I2314">
        <x:f t="shared" si="38"/>
        <x:v>64600</x:v>
      </x:c>
    </x:row>
    <x:row r="2315" spans="1:9" x14ac:dyDescent="0.15">
      <x:c r="A2315">
        <x:v>54103</x:v>
      </x:c>
      <x:c r="B2315">
        <x:v>3</x:v>
      </x:c>
      <x:c r="C2315">
        <x:v>34</x:v>
      </x:c>
      <x:c r="D2315">
        <x:f>ROUND($C2315*10*VLOOKUP($B2315,Sheet2!$J$5:$K$7,2,FALSE)*VLOOKUP(Sheet1!$A2315,Sheet2!$B$5:$H$29,3,FALSE),0)</x:f>
        <x:v>0</x:v>
      </x:c>
      <x:c r="E2315">
        <x:f>ROUND($C2315*10*VLOOKUP($B2315,Sheet2!$J$5:$K$7,2,FALSE)*VLOOKUP(Sheet1!$A2315,Sheet2!$B$5:$H$29,4,FALSE),0)</x:f>
        <x:v>0</x:v>
      </x:c>
      <x:c r="F2315">
        <x:f>ROUND($C2315*10*VLOOKUP($B2315,Sheet2!$J$5:$K$7,2,FALSE)*VLOOKUP(Sheet1!$A2315,Sheet2!$B$5:$H$29,5,FALSE),0)</x:f>
        <x:v>544</x:v>
      </x:c>
      <x:c r="G2315">
        <x:f>ROUND($C2315*10*VLOOKUP($B2315,Sheet2!$J$5:$K$7,2,FALSE)*VLOOKUP(Sheet1!$A2315,Sheet2!$B$5:$H$29,6,FALSE),0)</x:f>
        <x:v>0</x:v>
      </x:c>
      <x:c r="H2315">
        <x:f>ROUND($C2315*10*VLOOKUP($B2315,Sheet2!$J$5:$K$7,2,FALSE)*VLOOKUP(Sheet1!$A2315,Sheet2!$B$5:$H$29,7,FALSE),0)</x:f>
        <x:v>0</x:v>
      </x:c>
      <x:c r="I2315">
        <x:f t="shared" si="38"/>
        <x:v>68280</x:v>
      </x:c>
    </x:row>
    <x:row r="2316" spans="1:9" x14ac:dyDescent="0.15">
      <x:c r="A2316">
        <x:v>54103</x:v>
      </x:c>
      <x:c r="B2316">
        <x:v>3</x:v>
      </x:c>
      <x:c r="C2316">
        <x:v>35</x:v>
      </x:c>
      <x:c r="D2316">
        <x:f>ROUND($C2316*10*VLOOKUP($B2316,Sheet2!$J$5:$K$7,2,FALSE)*VLOOKUP(Sheet1!$A2316,Sheet2!$B$5:$H$29,3,FALSE),0)</x:f>
        <x:v>0</x:v>
      </x:c>
      <x:c r="E2316">
        <x:f>ROUND($C2316*10*VLOOKUP($B2316,Sheet2!$J$5:$K$7,2,FALSE)*VLOOKUP(Sheet1!$A2316,Sheet2!$B$5:$H$29,4,FALSE),0)</x:f>
        <x:v>0</x:v>
      </x:c>
      <x:c r="F2316">
        <x:f>ROUND($C2316*10*VLOOKUP($B2316,Sheet2!$J$5:$K$7,2,FALSE)*VLOOKUP(Sheet1!$A2316,Sheet2!$B$5:$H$29,5,FALSE),0)</x:f>
        <x:v>560</x:v>
      </x:c>
      <x:c r="G2316">
        <x:f>ROUND($C2316*10*VLOOKUP($B2316,Sheet2!$J$5:$K$7,2,FALSE)*VLOOKUP(Sheet1!$A2316,Sheet2!$B$5:$H$29,6,FALSE),0)</x:f>
        <x:v>0</x:v>
      </x:c>
      <x:c r="H2316">
        <x:f>ROUND($C2316*10*VLOOKUP($B2316,Sheet2!$J$5:$K$7,2,FALSE)*VLOOKUP(Sheet1!$A2316,Sheet2!$B$5:$H$29,7,FALSE),0)</x:f>
        <x:v>0</x:v>
      </x:c>
      <x:c r="I2316">
        <x:f t="shared" si="38"/>
        <x:v>72040</x:v>
      </x:c>
    </x:row>
    <x:row r="2317" spans="1:9" x14ac:dyDescent="0.15">
      <x:c r="A2317">
        <x:v>54103</x:v>
      </x:c>
      <x:c r="B2317">
        <x:v>3</x:v>
      </x:c>
      <x:c r="C2317">
        <x:v>36</x:v>
      </x:c>
      <x:c r="D2317">
        <x:f>ROUND($C2317*10*VLOOKUP($B2317,Sheet2!$J$5:$K$7,2,FALSE)*VLOOKUP(Sheet1!$A2317,Sheet2!$B$5:$H$29,3,FALSE),0)</x:f>
        <x:v>0</x:v>
      </x:c>
      <x:c r="E2317">
        <x:f>ROUND($C2317*10*VLOOKUP($B2317,Sheet2!$J$5:$K$7,2,FALSE)*VLOOKUP(Sheet1!$A2317,Sheet2!$B$5:$H$29,4,FALSE),0)</x:f>
        <x:v>0</x:v>
      </x:c>
      <x:c r="F2317">
        <x:f>ROUND($C2317*10*VLOOKUP($B2317,Sheet2!$J$5:$K$7,2,FALSE)*VLOOKUP(Sheet1!$A2317,Sheet2!$B$5:$H$29,5,FALSE),0)</x:f>
        <x:v>576</x:v>
      </x:c>
      <x:c r="G2317">
        <x:f>ROUND($C2317*10*VLOOKUP($B2317,Sheet2!$J$5:$K$7,2,FALSE)*VLOOKUP(Sheet1!$A2317,Sheet2!$B$5:$H$29,6,FALSE),0)</x:f>
        <x:v>0</x:v>
      </x:c>
      <x:c r="H2317">
        <x:f>ROUND($C2317*10*VLOOKUP($B2317,Sheet2!$J$5:$K$7,2,FALSE)*VLOOKUP(Sheet1!$A2317,Sheet2!$B$5:$H$29,7,FALSE),0)</x:f>
        <x:v>0</x:v>
      </x:c>
      <x:c r="I2317">
        <x:f t="shared" si="38"/>
        <x:v>75890</x:v>
      </x:c>
    </x:row>
    <x:row r="2318" spans="1:9" x14ac:dyDescent="0.15">
      <x:c r="A2318">
        <x:v>54103</x:v>
      </x:c>
      <x:c r="B2318">
        <x:v>3</x:v>
      </x:c>
      <x:c r="C2318">
        <x:v>37</x:v>
      </x:c>
      <x:c r="D2318">
        <x:f>ROUND($C2318*10*VLOOKUP($B2318,Sheet2!$J$5:$K$7,2,FALSE)*VLOOKUP(Sheet1!$A2318,Sheet2!$B$5:$H$29,3,FALSE),0)</x:f>
        <x:v>0</x:v>
      </x:c>
      <x:c r="E2318">
        <x:f>ROUND($C2318*10*VLOOKUP($B2318,Sheet2!$J$5:$K$7,2,FALSE)*VLOOKUP(Sheet1!$A2318,Sheet2!$B$5:$H$29,4,FALSE),0)</x:f>
        <x:v>0</x:v>
      </x:c>
      <x:c r="F2318">
        <x:f>ROUND($C2318*10*VLOOKUP($B2318,Sheet2!$J$5:$K$7,2,FALSE)*VLOOKUP(Sheet1!$A2318,Sheet2!$B$5:$H$29,5,FALSE),0)</x:f>
        <x:v>592</x:v>
      </x:c>
      <x:c r="G2318">
        <x:f>ROUND($C2318*10*VLOOKUP($B2318,Sheet2!$J$5:$K$7,2,FALSE)*VLOOKUP(Sheet1!$A2318,Sheet2!$B$5:$H$29,6,FALSE),0)</x:f>
        <x:v>0</x:v>
      </x:c>
      <x:c r="H2318">
        <x:f>ROUND($C2318*10*VLOOKUP($B2318,Sheet2!$J$5:$K$7,2,FALSE)*VLOOKUP(Sheet1!$A2318,Sheet2!$B$5:$H$29,7,FALSE),0)</x:f>
        <x:v>0</x:v>
      </x:c>
      <x:c r="I2318">
        <x:f t="shared" si="38"/>
        <x:v>79840</x:v>
      </x:c>
    </x:row>
    <x:row r="2319" spans="1:9" x14ac:dyDescent="0.15">
      <x:c r="A2319">
        <x:v>54103</x:v>
      </x:c>
      <x:c r="B2319">
        <x:v>3</x:v>
      </x:c>
      <x:c r="C2319">
        <x:v>38</x:v>
      </x:c>
      <x:c r="D2319">
        <x:f>ROUND($C2319*10*VLOOKUP($B2319,Sheet2!$J$5:$K$7,2,FALSE)*VLOOKUP(Sheet1!$A2319,Sheet2!$B$5:$H$29,3,FALSE),0)</x:f>
        <x:v>0</x:v>
      </x:c>
      <x:c r="E2319">
        <x:f>ROUND($C2319*10*VLOOKUP($B2319,Sheet2!$J$5:$K$7,2,FALSE)*VLOOKUP(Sheet1!$A2319,Sheet2!$B$5:$H$29,4,FALSE),0)</x:f>
        <x:v>0</x:v>
      </x:c>
      <x:c r="F2319">
        <x:f>ROUND($C2319*10*VLOOKUP($B2319,Sheet2!$J$5:$K$7,2,FALSE)*VLOOKUP(Sheet1!$A2319,Sheet2!$B$5:$H$29,5,FALSE),0)</x:f>
        <x:v>608</x:v>
      </x:c>
      <x:c r="G2319">
        <x:f>ROUND($C2319*10*VLOOKUP($B2319,Sheet2!$J$5:$K$7,2,FALSE)*VLOOKUP(Sheet1!$A2319,Sheet2!$B$5:$H$29,6,FALSE),0)</x:f>
        <x:v>0</x:v>
      </x:c>
      <x:c r="H2319">
        <x:f>ROUND($C2319*10*VLOOKUP($B2319,Sheet2!$J$5:$K$7,2,FALSE)*VLOOKUP(Sheet1!$A2319,Sheet2!$B$5:$H$29,7,FALSE),0)</x:f>
        <x:v>0</x:v>
      </x:c>
      <x:c r="I2319">
        <x:f t="shared" si="38"/>
        <x:v>83870</x:v>
      </x:c>
    </x:row>
    <x:row r="2320" spans="1:9" x14ac:dyDescent="0.15">
      <x:c r="A2320">
        <x:v>54103</x:v>
      </x:c>
      <x:c r="B2320">
        <x:v>3</x:v>
      </x:c>
      <x:c r="C2320">
        <x:v>39</x:v>
      </x:c>
      <x:c r="D2320">
        <x:f>ROUND($C2320*10*VLOOKUP($B2320,Sheet2!$J$5:$K$7,2,FALSE)*VLOOKUP(Sheet1!$A2320,Sheet2!$B$5:$H$29,3,FALSE),0)</x:f>
        <x:v>0</x:v>
      </x:c>
      <x:c r="E2320">
        <x:f>ROUND($C2320*10*VLOOKUP($B2320,Sheet2!$J$5:$K$7,2,FALSE)*VLOOKUP(Sheet1!$A2320,Sheet2!$B$5:$H$29,4,FALSE),0)</x:f>
        <x:v>0</x:v>
      </x:c>
      <x:c r="F2320">
        <x:f>ROUND($C2320*10*VLOOKUP($B2320,Sheet2!$J$5:$K$7,2,FALSE)*VLOOKUP(Sheet1!$A2320,Sheet2!$B$5:$H$29,5,FALSE),0)</x:f>
        <x:v>624</x:v>
      </x:c>
      <x:c r="G2320">
        <x:f>ROUND($C2320*10*VLOOKUP($B2320,Sheet2!$J$5:$K$7,2,FALSE)*VLOOKUP(Sheet1!$A2320,Sheet2!$B$5:$H$29,6,FALSE),0)</x:f>
        <x:v>0</x:v>
      </x:c>
      <x:c r="H2320">
        <x:f>ROUND($C2320*10*VLOOKUP($B2320,Sheet2!$J$5:$K$7,2,FALSE)*VLOOKUP(Sheet1!$A2320,Sheet2!$B$5:$H$29,7,FALSE),0)</x:f>
        <x:v>0</x:v>
      </x:c>
      <x:c r="I2320">
        <x:f t="shared" si="38"/>
        <x:v>87990</x:v>
      </x:c>
    </x:row>
    <x:row r="2321" spans="1:9" x14ac:dyDescent="0.15">
      <x:c r="A2321">
        <x:v>54103</x:v>
      </x:c>
      <x:c r="B2321">
        <x:v>3</x:v>
      </x:c>
      <x:c r="C2321">
        <x:v>40</x:v>
      </x:c>
      <x:c r="D2321">
        <x:f>ROUND($C2321*10*VLOOKUP($B2321,Sheet2!$J$5:$K$7,2,FALSE)*VLOOKUP(Sheet1!$A2321,Sheet2!$B$5:$H$29,3,FALSE),0)</x:f>
        <x:v>0</x:v>
      </x:c>
      <x:c r="E2321">
        <x:f>ROUND($C2321*10*VLOOKUP($B2321,Sheet2!$J$5:$K$7,2,FALSE)*VLOOKUP(Sheet1!$A2321,Sheet2!$B$5:$H$29,4,FALSE),0)</x:f>
        <x:v>0</x:v>
      </x:c>
      <x:c r="F2321">
        <x:f>ROUND($C2321*10*VLOOKUP($B2321,Sheet2!$J$5:$K$7,2,FALSE)*VLOOKUP(Sheet1!$A2321,Sheet2!$B$5:$H$29,5,FALSE),0)</x:f>
        <x:v>640</x:v>
      </x:c>
      <x:c r="G2321">
        <x:f>ROUND($C2321*10*VLOOKUP($B2321,Sheet2!$J$5:$K$7,2,FALSE)*VLOOKUP(Sheet1!$A2321,Sheet2!$B$5:$H$29,6,FALSE),0)</x:f>
        <x:v>0</x:v>
      </x:c>
      <x:c r="H2321">
        <x:f>ROUND($C2321*10*VLOOKUP($B2321,Sheet2!$J$5:$K$7,2,FALSE)*VLOOKUP(Sheet1!$A2321,Sheet2!$B$5:$H$29,7,FALSE),0)</x:f>
        <x:v>0</x:v>
      </x:c>
      <x:c r="I2321">
        <x:f t="shared" si="38"/>
        <x:v>92200</x:v>
      </x:c>
    </x:row>
    <x:row r="2322" spans="1:9" x14ac:dyDescent="0.15">
      <x:c r="A2322">
        <x:v>54103</x:v>
      </x:c>
      <x:c r="B2322">
        <x:v>3</x:v>
      </x:c>
      <x:c r="C2322">
        <x:v>41</x:v>
      </x:c>
      <x:c r="D2322">
        <x:f>ROUND($C2322*10*VLOOKUP($B2322,Sheet2!$J$5:$K$7,2,FALSE)*VLOOKUP(Sheet1!$A2322,Sheet2!$B$5:$H$29,3,FALSE),0)</x:f>
        <x:v>0</x:v>
      </x:c>
      <x:c r="E2322">
        <x:f>ROUND($C2322*10*VLOOKUP($B2322,Sheet2!$J$5:$K$7,2,FALSE)*VLOOKUP(Sheet1!$A2322,Sheet2!$B$5:$H$29,4,FALSE),0)</x:f>
        <x:v>0</x:v>
      </x:c>
      <x:c r="F2322">
        <x:f>ROUND($C2322*10*VLOOKUP($B2322,Sheet2!$J$5:$K$7,2,FALSE)*VLOOKUP(Sheet1!$A2322,Sheet2!$B$5:$H$29,5,FALSE),0)</x:f>
        <x:v>656</x:v>
      </x:c>
      <x:c r="G2322">
        <x:f>ROUND($C2322*10*VLOOKUP($B2322,Sheet2!$J$5:$K$7,2,FALSE)*VLOOKUP(Sheet1!$A2322,Sheet2!$B$5:$H$29,6,FALSE),0)</x:f>
        <x:v>0</x:v>
      </x:c>
      <x:c r="H2322">
        <x:f>ROUND($C2322*10*VLOOKUP($B2322,Sheet2!$J$5:$K$7,2,FALSE)*VLOOKUP(Sheet1!$A2322,Sheet2!$B$5:$H$29,7,FALSE),0)</x:f>
        <x:v>0</x:v>
      </x:c>
      <x:c r="I2322">
        <x:f t="shared" si="38"/>
        <x:v>96490</x:v>
      </x:c>
    </x:row>
    <x:row r="2323" spans="1:9" x14ac:dyDescent="0.15">
      <x:c r="A2323">
        <x:v>54103</x:v>
      </x:c>
      <x:c r="B2323">
        <x:v>3</x:v>
      </x:c>
      <x:c r="C2323">
        <x:v>42</x:v>
      </x:c>
      <x:c r="D2323">
        <x:f>ROUND($C2323*10*VLOOKUP($B2323,Sheet2!$J$5:$K$7,2,FALSE)*VLOOKUP(Sheet1!$A2323,Sheet2!$B$5:$H$29,3,FALSE),0)</x:f>
        <x:v>0</x:v>
      </x:c>
      <x:c r="E2323">
        <x:f>ROUND($C2323*10*VLOOKUP($B2323,Sheet2!$J$5:$K$7,2,FALSE)*VLOOKUP(Sheet1!$A2323,Sheet2!$B$5:$H$29,4,FALSE),0)</x:f>
        <x:v>0</x:v>
      </x:c>
      <x:c r="F2323">
        <x:f>ROUND($C2323*10*VLOOKUP($B2323,Sheet2!$J$5:$K$7,2,FALSE)*VLOOKUP(Sheet1!$A2323,Sheet2!$B$5:$H$29,5,FALSE),0)</x:f>
        <x:v>672</x:v>
      </x:c>
      <x:c r="G2323">
        <x:f>ROUND($C2323*10*VLOOKUP($B2323,Sheet2!$J$5:$K$7,2,FALSE)*VLOOKUP(Sheet1!$A2323,Sheet2!$B$5:$H$29,6,FALSE),0)</x:f>
        <x:v>0</x:v>
      </x:c>
      <x:c r="H2323">
        <x:f>ROUND($C2323*10*VLOOKUP($B2323,Sheet2!$J$5:$K$7,2,FALSE)*VLOOKUP(Sheet1!$A2323,Sheet2!$B$5:$H$29,7,FALSE),0)</x:f>
        <x:v>0</x:v>
      </x:c>
      <x:c r="I2323">
        <x:f t="shared" si="38"/>
        <x:v>100870</x:v>
      </x:c>
    </x:row>
    <x:row r="2324" spans="1:9" x14ac:dyDescent="0.15">
      <x:c r="A2324">
        <x:v>54103</x:v>
      </x:c>
      <x:c r="B2324">
        <x:v>3</x:v>
      </x:c>
      <x:c r="C2324">
        <x:v>43</x:v>
      </x:c>
      <x:c r="D2324">
        <x:f>ROUND($C2324*10*VLOOKUP($B2324,Sheet2!$J$5:$K$7,2,FALSE)*VLOOKUP(Sheet1!$A2324,Sheet2!$B$5:$H$29,3,FALSE),0)</x:f>
        <x:v>0</x:v>
      </x:c>
      <x:c r="E2324">
        <x:f>ROUND($C2324*10*VLOOKUP($B2324,Sheet2!$J$5:$K$7,2,FALSE)*VLOOKUP(Sheet1!$A2324,Sheet2!$B$5:$H$29,4,FALSE),0)</x:f>
        <x:v>0</x:v>
      </x:c>
      <x:c r="F2324">
        <x:f>ROUND($C2324*10*VLOOKUP($B2324,Sheet2!$J$5:$K$7,2,FALSE)*VLOOKUP(Sheet1!$A2324,Sheet2!$B$5:$H$29,5,FALSE),0)</x:f>
        <x:v>688</x:v>
      </x:c>
      <x:c r="G2324">
        <x:f>ROUND($C2324*10*VLOOKUP($B2324,Sheet2!$J$5:$K$7,2,FALSE)*VLOOKUP(Sheet1!$A2324,Sheet2!$B$5:$H$29,6,FALSE),0)</x:f>
        <x:v>0</x:v>
      </x:c>
      <x:c r="H2324">
        <x:f>ROUND($C2324*10*VLOOKUP($B2324,Sheet2!$J$5:$K$7,2,FALSE)*VLOOKUP(Sheet1!$A2324,Sheet2!$B$5:$H$29,7,FALSE),0)</x:f>
        <x:v>0</x:v>
      </x:c>
      <x:c r="I2324">
        <x:f t="shared" si="38"/>
        <x:v>105340</x:v>
      </x:c>
    </x:row>
    <x:row r="2325" spans="1:9" x14ac:dyDescent="0.15">
      <x:c r="A2325">
        <x:v>54103</x:v>
      </x:c>
      <x:c r="B2325">
        <x:v>3</x:v>
      </x:c>
      <x:c r="C2325">
        <x:v>44</x:v>
      </x:c>
      <x:c r="D2325">
        <x:f>ROUND($C2325*10*VLOOKUP($B2325,Sheet2!$J$5:$K$7,2,FALSE)*VLOOKUP(Sheet1!$A2325,Sheet2!$B$5:$H$29,3,FALSE),0)</x:f>
        <x:v>0</x:v>
      </x:c>
      <x:c r="E2325">
        <x:f>ROUND($C2325*10*VLOOKUP($B2325,Sheet2!$J$5:$K$7,2,FALSE)*VLOOKUP(Sheet1!$A2325,Sheet2!$B$5:$H$29,4,FALSE),0)</x:f>
        <x:v>0</x:v>
      </x:c>
      <x:c r="F2325">
        <x:f>ROUND($C2325*10*VLOOKUP($B2325,Sheet2!$J$5:$K$7,2,FALSE)*VLOOKUP(Sheet1!$A2325,Sheet2!$B$5:$H$29,5,FALSE),0)</x:f>
        <x:v>704</x:v>
      </x:c>
      <x:c r="G2325">
        <x:f>ROUND($C2325*10*VLOOKUP($B2325,Sheet2!$J$5:$K$7,2,FALSE)*VLOOKUP(Sheet1!$A2325,Sheet2!$B$5:$H$29,6,FALSE),0)</x:f>
        <x:v>0</x:v>
      </x:c>
      <x:c r="H2325">
        <x:f>ROUND($C2325*10*VLOOKUP($B2325,Sheet2!$J$5:$K$7,2,FALSE)*VLOOKUP(Sheet1!$A2325,Sheet2!$B$5:$H$29,7,FALSE),0)</x:f>
        <x:v>0</x:v>
      </x:c>
      <x:c r="I2325">
        <x:f t="shared" si="38"/>
        <x:v>109890</x:v>
      </x:c>
    </x:row>
    <x:row r="2326" spans="1:9" x14ac:dyDescent="0.15">
      <x:c r="A2326">
        <x:v>54103</x:v>
      </x:c>
      <x:c r="B2326">
        <x:v>3</x:v>
      </x:c>
      <x:c r="C2326">
        <x:v>45</x:v>
      </x:c>
      <x:c r="D2326">
        <x:f>ROUND($C2326*10*VLOOKUP($B2326,Sheet2!$J$5:$K$7,2,FALSE)*VLOOKUP(Sheet1!$A2326,Sheet2!$B$5:$H$29,3,FALSE),0)</x:f>
        <x:v>0</x:v>
      </x:c>
      <x:c r="E2326">
        <x:f>ROUND($C2326*10*VLOOKUP($B2326,Sheet2!$J$5:$K$7,2,FALSE)*VLOOKUP(Sheet1!$A2326,Sheet2!$B$5:$H$29,4,FALSE),0)</x:f>
        <x:v>0</x:v>
      </x:c>
      <x:c r="F2326">
        <x:f>ROUND($C2326*10*VLOOKUP($B2326,Sheet2!$J$5:$K$7,2,FALSE)*VLOOKUP(Sheet1!$A2326,Sheet2!$B$5:$H$29,5,FALSE),0)</x:f>
        <x:v>720</x:v>
      </x:c>
      <x:c r="G2326">
        <x:f>ROUND($C2326*10*VLOOKUP($B2326,Sheet2!$J$5:$K$7,2,FALSE)*VLOOKUP(Sheet1!$A2326,Sheet2!$B$5:$H$29,6,FALSE),0)</x:f>
        <x:v>0</x:v>
      </x:c>
      <x:c r="H2326">
        <x:f>ROUND($C2326*10*VLOOKUP($B2326,Sheet2!$J$5:$K$7,2,FALSE)*VLOOKUP(Sheet1!$A2326,Sheet2!$B$5:$H$29,7,FALSE),0)</x:f>
        <x:v>0</x:v>
      </x:c>
      <x:c r="I2326">
        <x:f t="shared" si="38"/>
        <x:v>114530</x:v>
      </x:c>
    </x:row>
    <x:row r="2327" spans="1:9" x14ac:dyDescent="0.15">
      <x:c r="A2327">
        <x:v>54103</x:v>
      </x:c>
      <x:c r="B2327">
        <x:v>3</x:v>
      </x:c>
      <x:c r="C2327">
        <x:v>46</x:v>
      </x:c>
      <x:c r="D2327">
        <x:f>ROUND($C2327*10*VLOOKUP($B2327,Sheet2!$J$5:$K$7,2,FALSE)*VLOOKUP(Sheet1!$A2327,Sheet2!$B$5:$H$29,3,FALSE),0)</x:f>
        <x:v>0</x:v>
      </x:c>
      <x:c r="E2327">
        <x:f>ROUND($C2327*10*VLOOKUP($B2327,Sheet2!$J$5:$K$7,2,FALSE)*VLOOKUP(Sheet1!$A2327,Sheet2!$B$5:$H$29,4,FALSE),0)</x:f>
        <x:v>0</x:v>
      </x:c>
      <x:c r="F2327">
        <x:f>ROUND($C2327*10*VLOOKUP($B2327,Sheet2!$J$5:$K$7,2,FALSE)*VLOOKUP(Sheet1!$A2327,Sheet2!$B$5:$H$29,5,FALSE),0)</x:f>
        <x:v>736</x:v>
      </x:c>
      <x:c r="G2327">
        <x:f>ROUND($C2327*10*VLOOKUP($B2327,Sheet2!$J$5:$K$7,2,FALSE)*VLOOKUP(Sheet1!$A2327,Sheet2!$B$5:$H$29,6,FALSE),0)</x:f>
        <x:v>0</x:v>
      </x:c>
      <x:c r="H2327">
        <x:f>ROUND($C2327*10*VLOOKUP($B2327,Sheet2!$J$5:$K$7,2,FALSE)*VLOOKUP(Sheet1!$A2327,Sheet2!$B$5:$H$29,7,FALSE),0)</x:f>
        <x:v>0</x:v>
      </x:c>
      <x:c r="I2327">
        <x:f t="shared" si="38"/>
        <x:v>119260</x:v>
      </x:c>
    </x:row>
    <x:row r="2328" spans="1:9" x14ac:dyDescent="0.15">
      <x:c r="A2328">
        <x:v>54103</x:v>
      </x:c>
      <x:c r="B2328">
        <x:v>3</x:v>
      </x:c>
      <x:c r="C2328">
        <x:v>47</x:v>
      </x:c>
      <x:c r="D2328">
        <x:f>ROUND($C2328*10*VLOOKUP($B2328,Sheet2!$J$5:$K$7,2,FALSE)*VLOOKUP(Sheet1!$A2328,Sheet2!$B$5:$H$29,3,FALSE),0)</x:f>
        <x:v>0</x:v>
      </x:c>
      <x:c r="E2328">
        <x:f>ROUND($C2328*10*VLOOKUP($B2328,Sheet2!$J$5:$K$7,2,FALSE)*VLOOKUP(Sheet1!$A2328,Sheet2!$B$5:$H$29,4,FALSE),0)</x:f>
        <x:v>0</x:v>
      </x:c>
      <x:c r="F2328">
        <x:f>ROUND($C2328*10*VLOOKUP($B2328,Sheet2!$J$5:$K$7,2,FALSE)*VLOOKUP(Sheet1!$A2328,Sheet2!$B$5:$H$29,5,FALSE),0)</x:f>
        <x:v>752</x:v>
      </x:c>
      <x:c r="G2328">
        <x:f>ROUND($C2328*10*VLOOKUP($B2328,Sheet2!$J$5:$K$7,2,FALSE)*VLOOKUP(Sheet1!$A2328,Sheet2!$B$5:$H$29,6,FALSE),0)</x:f>
        <x:v>0</x:v>
      </x:c>
      <x:c r="H2328">
        <x:f>ROUND($C2328*10*VLOOKUP($B2328,Sheet2!$J$5:$K$7,2,FALSE)*VLOOKUP(Sheet1!$A2328,Sheet2!$B$5:$H$29,7,FALSE),0)</x:f>
        <x:v>0</x:v>
      </x:c>
      <x:c r="I2328">
        <x:f t="shared" si="38"/>
        <x:v>124070</x:v>
      </x:c>
    </x:row>
    <x:row r="2329" spans="1:9" x14ac:dyDescent="0.15">
      <x:c r="A2329">
        <x:v>54103</x:v>
      </x:c>
      <x:c r="B2329">
        <x:v>3</x:v>
      </x:c>
      <x:c r="C2329">
        <x:v>48</x:v>
      </x:c>
      <x:c r="D2329">
        <x:f>ROUND($C2329*10*VLOOKUP($B2329,Sheet2!$J$5:$K$7,2,FALSE)*VLOOKUP(Sheet1!$A2329,Sheet2!$B$5:$H$29,3,FALSE),0)</x:f>
        <x:v>0</x:v>
      </x:c>
      <x:c r="E2329">
        <x:f>ROUND($C2329*10*VLOOKUP($B2329,Sheet2!$J$5:$K$7,2,FALSE)*VLOOKUP(Sheet1!$A2329,Sheet2!$B$5:$H$29,4,FALSE),0)</x:f>
        <x:v>0</x:v>
      </x:c>
      <x:c r="F2329">
        <x:f>ROUND($C2329*10*VLOOKUP($B2329,Sheet2!$J$5:$K$7,2,FALSE)*VLOOKUP(Sheet1!$A2329,Sheet2!$B$5:$H$29,5,FALSE),0)</x:f>
        <x:v>768</x:v>
      </x:c>
      <x:c r="G2329">
        <x:f>ROUND($C2329*10*VLOOKUP($B2329,Sheet2!$J$5:$K$7,2,FALSE)*VLOOKUP(Sheet1!$A2329,Sheet2!$B$5:$H$29,6,FALSE),0)</x:f>
        <x:v>0</x:v>
      </x:c>
      <x:c r="H2329">
        <x:f>ROUND($C2329*10*VLOOKUP($B2329,Sheet2!$J$5:$K$7,2,FALSE)*VLOOKUP(Sheet1!$A2329,Sheet2!$B$5:$H$29,7,FALSE),0)</x:f>
        <x:v>0</x:v>
      </x:c>
      <x:c r="I2329">
        <x:f t="shared" si="38"/>
        <x:v>128960</x:v>
      </x:c>
    </x:row>
    <x:row r="2330" spans="1:9" x14ac:dyDescent="0.15">
      <x:c r="A2330">
        <x:v>54103</x:v>
      </x:c>
      <x:c r="B2330">
        <x:v>3</x:v>
      </x:c>
      <x:c r="C2330">
        <x:v>49</x:v>
      </x:c>
      <x:c r="D2330">
        <x:f>ROUND($C2330*10*VLOOKUP($B2330,Sheet2!$J$5:$K$7,2,FALSE)*VLOOKUP(Sheet1!$A2330,Sheet2!$B$5:$H$29,3,FALSE),0)</x:f>
        <x:v>0</x:v>
      </x:c>
      <x:c r="E2330">
        <x:f>ROUND($C2330*10*VLOOKUP($B2330,Sheet2!$J$5:$K$7,2,FALSE)*VLOOKUP(Sheet1!$A2330,Sheet2!$B$5:$H$29,4,FALSE),0)</x:f>
        <x:v>0</x:v>
      </x:c>
      <x:c r="F2330">
        <x:f>ROUND($C2330*10*VLOOKUP($B2330,Sheet2!$J$5:$K$7,2,FALSE)*VLOOKUP(Sheet1!$A2330,Sheet2!$B$5:$H$29,5,FALSE),0)</x:f>
        <x:v>784</x:v>
      </x:c>
      <x:c r="G2330">
        <x:f>ROUND($C2330*10*VLOOKUP($B2330,Sheet2!$J$5:$K$7,2,FALSE)*VLOOKUP(Sheet1!$A2330,Sheet2!$B$5:$H$29,6,FALSE),0)</x:f>
        <x:v>0</x:v>
      </x:c>
      <x:c r="H2330">
        <x:f>ROUND($C2330*10*VLOOKUP($B2330,Sheet2!$J$5:$K$7,2,FALSE)*VLOOKUP(Sheet1!$A2330,Sheet2!$B$5:$H$29,7,FALSE),0)</x:f>
        <x:v>0</x:v>
      </x:c>
      <x:c r="I2330">
        <x:f t="shared" si="38"/>
        <x:v>133940</x:v>
      </x:c>
    </x:row>
    <x:row r="2331" spans="1:9" x14ac:dyDescent="0.15">
      <x:c r="A2331">
        <x:v>54103</x:v>
      </x:c>
      <x:c r="B2331">
        <x:v>3</x:v>
      </x:c>
      <x:c r="C2331">
        <x:v>50</x:v>
      </x:c>
      <x:c r="D2331">
        <x:f>ROUND($C2331*10*VLOOKUP($B2331,Sheet2!$J$5:$K$7,2,FALSE)*VLOOKUP(Sheet1!$A2331,Sheet2!$B$5:$H$29,3,FALSE),0)</x:f>
        <x:v>0</x:v>
      </x:c>
      <x:c r="E2331">
        <x:f>ROUND($C2331*10*VLOOKUP($B2331,Sheet2!$J$5:$K$7,2,FALSE)*VLOOKUP(Sheet1!$A2331,Sheet2!$B$5:$H$29,4,FALSE),0)</x:f>
        <x:v>0</x:v>
      </x:c>
      <x:c r="F2331">
        <x:f>ROUND($C2331*10*VLOOKUP($B2331,Sheet2!$J$5:$K$7,2,FALSE)*VLOOKUP(Sheet1!$A2331,Sheet2!$B$5:$H$29,5,FALSE),0)</x:f>
        <x:v>800</x:v>
      </x:c>
      <x:c r="G2331">
        <x:f>ROUND($C2331*10*VLOOKUP($B2331,Sheet2!$J$5:$K$7,2,FALSE)*VLOOKUP(Sheet1!$A2331,Sheet2!$B$5:$H$29,6,FALSE),0)</x:f>
        <x:v>0</x:v>
      </x:c>
      <x:c r="H2331">
        <x:f>ROUND($C2331*10*VLOOKUP($B2331,Sheet2!$J$5:$K$7,2,FALSE)*VLOOKUP(Sheet1!$A2331,Sheet2!$B$5:$H$29,7,FALSE),0)</x:f>
        <x:v>0</x:v>
      </x:c>
      <x:c r="I2331">
        <x:f t="shared" si="38"/>
        <x:v>139000</x:v>
      </x:c>
    </x:row>
    <x:row r="2332" spans="1:9" x14ac:dyDescent="0.15">
      <x:c r="A2332">
        <x:v>54103</x:v>
      </x:c>
      <x:c r="B2332">
        <x:v>3</x:v>
      </x:c>
      <x:c r="C2332">
        <x:v>51</x:v>
      </x:c>
      <x:c r="D2332">
        <x:f>ROUND($C2332*10*VLOOKUP($B2332,Sheet2!$J$5:$K$7,2,FALSE)*VLOOKUP(Sheet1!$A2332,Sheet2!$B$5:$H$29,3,FALSE),0)</x:f>
        <x:v>0</x:v>
      </x:c>
      <x:c r="E2332">
        <x:f>ROUND($C2332*10*VLOOKUP($B2332,Sheet2!$J$5:$K$7,2,FALSE)*VLOOKUP(Sheet1!$A2332,Sheet2!$B$5:$H$29,4,FALSE),0)</x:f>
        <x:v>0</x:v>
      </x:c>
      <x:c r="F2332">
        <x:f>ROUND($C2332*10*VLOOKUP($B2332,Sheet2!$J$5:$K$7,2,FALSE)*VLOOKUP(Sheet1!$A2332,Sheet2!$B$5:$H$29,5,FALSE),0)</x:f>
        <x:v>816</x:v>
      </x:c>
      <x:c r="G2332">
        <x:f>ROUND($C2332*10*VLOOKUP($B2332,Sheet2!$J$5:$K$7,2,FALSE)*VLOOKUP(Sheet1!$A2332,Sheet2!$B$5:$H$29,6,FALSE),0)</x:f>
        <x:v>0</x:v>
      </x:c>
      <x:c r="H2332">
        <x:f>ROUND($C2332*10*VLOOKUP($B2332,Sheet2!$J$5:$K$7,2,FALSE)*VLOOKUP(Sheet1!$A2332,Sheet2!$B$5:$H$29,7,FALSE),0)</x:f>
        <x:v>0</x:v>
      </x:c>
      <x:c r="I2332">
        <x:f t="shared" si="38"/>
        <x:v>144140</x:v>
      </x:c>
    </x:row>
    <x:row r="2333" spans="1:9" x14ac:dyDescent="0.15">
      <x:c r="A2333">
        <x:v>54103</x:v>
      </x:c>
      <x:c r="B2333">
        <x:v>3</x:v>
      </x:c>
      <x:c r="C2333">
        <x:v>52</x:v>
      </x:c>
      <x:c r="D2333">
        <x:f>ROUND($C2333*10*VLOOKUP($B2333,Sheet2!$J$5:$K$7,2,FALSE)*VLOOKUP(Sheet1!$A2333,Sheet2!$B$5:$H$29,3,FALSE),0)</x:f>
        <x:v>0</x:v>
      </x:c>
      <x:c r="E2333">
        <x:f>ROUND($C2333*10*VLOOKUP($B2333,Sheet2!$J$5:$K$7,2,FALSE)*VLOOKUP(Sheet1!$A2333,Sheet2!$B$5:$H$29,4,FALSE),0)</x:f>
        <x:v>0</x:v>
      </x:c>
      <x:c r="F2333">
        <x:f>ROUND($C2333*10*VLOOKUP($B2333,Sheet2!$J$5:$K$7,2,FALSE)*VLOOKUP(Sheet1!$A2333,Sheet2!$B$5:$H$29,5,FALSE),0)</x:f>
        <x:v>832</x:v>
      </x:c>
      <x:c r="G2333">
        <x:f>ROUND($C2333*10*VLOOKUP($B2333,Sheet2!$J$5:$K$7,2,FALSE)*VLOOKUP(Sheet1!$A2333,Sheet2!$B$5:$H$29,6,FALSE),0)</x:f>
        <x:v>0</x:v>
      </x:c>
      <x:c r="H2333">
        <x:f>ROUND($C2333*10*VLOOKUP($B2333,Sheet2!$J$5:$K$7,2,FALSE)*VLOOKUP(Sheet1!$A2333,Sheet2!$B$5:$H$29,7,FALSE),0)</x:f>
        <x:v>0</x:v>
      </x:c>
      <x:c r="I2333">
        <x:f t="shared" si="38"/>
        <x:v>149370</x:v>
      </x:c>
    </x:row>
    <x:row r="2334" spans="1:9" x14ac:dyDescent="0.15">
      <x:c r="A2334">
        <x:v>54103</x:v>
      </x:c>
      <x:c r="B2334">
        <x:v>3</x:v>
      </x:c>
      <x:c r="C2334">
        <x:v>53</x:v>
      </x:c>
      <x:c r="D2334">
        <x:f>ROUND($C2334*10*VLOOKUP($B2334,Sheet2!$J$5:$K$7,2,FALSE)*VLOOKUP(Sheet1!$A2334,Sheet2!$B$5:$H$29,3,FALSE),0)</x:f>
        <x:v>0</x:v>
      </x:c>
      <x:c r="E2334">
        <x:f>ROUND($C2334*10*VLOOKUP($B2334,Sheet2!$J$5:$K$7,2,FALSE)*VLOOKUP(Sheet1!$A2334,Sheet2!$B$5:$H$29,4,FALSE),0)</x:f>
        <x:v>0</x:v>
      </x:c>
      <x:c r="F2334">
        <x:f>ROUND($C2334*10*VLOOKUP($B2334,Sheet2!$J$5:$K$7,2,FALSE)*VLOOKUP(Sheet1!$A2334,Sheet2!$B$5:$H$29,5,FALSE),0)</x:f>
        <x:v>848</x:v>
      </x:c>
      <x:c r="G2334">
        <x:f>ROUND($C2334*10*VLOOKUP($B2334,Sheet2!$J$5:$K$7,2,FALSE)*VLOOKUP(Sheet1!$A2334,Sheet2!$B$5:$H$29,6,FALSE),0)</x:f>
        <x:v>0</x:v>
      </x:c>
      <x:c r="H2334">
        <x:f>ROUND($C2334*10*VLOOKUP($B2334,Sheet2!$J$5:$K$7,2,FALSE)*VLOOKUP(Sheet1!$A2334,Sheet2!$B$5:$H$29,7,FALSE),0)</x:f>
        <x:v>0</x:v>
      </x:c>
      <x:c r="I2334">
        <x:f t="shared" si="38"/>
        <x:v>154680</x:v>
      </x:c>
    </x:row>
    <x:row r="2335" spans="1:9" x14ac:dyDescent="0.15">
      <x:c r="A2335">
        <x:v>54103</x:v>
      </x:c>
      <x:c r="B2335">
        <x:v>3</x:v>
      </x:c>
      <x:c r="C2335">
        <x:v>54</x:v>
      </x:c>
      <x:c r="D2335">
        <x:f>ROUND($C2335*10*VLOOKUP($B2335,Sheet2!$J$5:$K$7,2,FALSE)*VLOOKUP(Sheet1!$A2335,Sheet2!$B$5:$H$29,3,FALSE),0)</x:f>
        <x:v>0</x:v>
      </x:c>
      <x:c r="E2335">
        <x:f>ROUND($C2335*10*VLOOKUP($B2335,Sheet2!$J$5:$K$7,2,FALSE)*VLOOKUP(Sheet1!$A2335,Sheet2!$B$5:$H$29,4,FALSE),0)</x:f>
        <x:v>0</x:v>
      </x:c>
      <x:c r="F2335">
        <x:f>ROUND($C2335*10*VLOOKUP($B2335,Sheet2!$J$5:$K$7,2,FALSE)*VLOOKUP(Sheet1!$A2335,Sheet2!$B$5:$H$29,5,FALSE),0)</x:f>
        <x:v>864</x:v>
      </x:c>
      <x:c r="G2335">
        <x:f>ROUND($C2335*10*VLOOKUP($B2335,Sheet2!$J$5:$K$7,2,FALSE)*VLOOKUP(Sheet1!$A2335,Sheet2!$B$5:$H$29,6,FALSE),0)</x:f>
        <x:v>0</x:v>
      </x:c>
      <x:c r="H2335">
        <x:f>ROUND($C2335*10*VLOOKUP($B2335,Sheet2!$J$5:$K$7,2,FALSE)*VLOOKUP(Sheet1!$A2335,Sheet2!$B$5:$H$29,7,FALSE),0)</x:f>
        <x:v>0</x:v>
      </x:c>
      <x:c r="I2335">
        <x:f t="shared" si="38"/>
        <x:v>160070</x:v>
      </x:c>
    </x:row>
    <x:row r="2336" spans="1:9" x14ac:dyDescent="0.15">
      <x:c r="A2336">
        <x:v>54103</x:v>
      </x:c>
      <x:c r="B2336">
        <x:v>3</x:v>
      </x:c>
      <x:c r="C2336">
        <x:v>55</x:v>
      </x:c>
      <x:c r="D2336">
        <x:f>ROUND($C2336*10*VLOOKUP($B2336,Sheet2!$J$5:$K$7,2,FALSE)*VLOOKUP(Sheet1!$A2336,Sheet2!$B$5:$H$29,3,FALSE),0)</x:f>
        <x:v>0</x:v>
      </x:c>
      <x:c r="E2336">
        <x:f>ROUND($C2336*10*VLOOKUP($B2336,Sheet2!$J$5:$K$7,2,FALSE)*VLOOKUP(Sheet1!$A2336,Sheet2!$B$5:$H$29,4,FALSE),0)</x:f>
        <x:v>0</x:v>
      </x:c>
      <x:c r="F2336">
        <x:f>ROUND($C2336*10*VLOOKUP($B2336,Sheet2!$J$5:$K$7,2,FALSE)*VLOOKUP(Sheet1!$A2336,Sheet2!$B$5:$H$29,5,FALSE),0)</x:f>
        <x:v>880</x:v>
      </x:c>
      <x:c r="G2336">
        <x:f>ROUND($C2336*10*VLOOKUP($B2336,Sheet2!$J$5:$K$7,2,FALSE)*VLOOKUP(Sheet1!$A2336,Sheet2!$B$5:$H$29,6,FALSE),0)</x:f>
        <x:v>0</x:v>
      </x:c>
      <x:c r="H2336">
        <x:f>ROUND($C2336*10*VLOOKUP($B2336,Sheet2!$J$5:$K$7,2,FALSE)*VLOOKUP(Sheet1!$A2336,Sheet2!$B$5:$H$29,7,FALSE),0)</x:f>
        <x:v>0</x:v>
      </x:c>
      <x:c r="I2336">
        <x:f t="shared" si="38"/>
        <x:v>165540</x:v>
      </x:c>
    </x:row>
    <x:row r="2337" spans="1:9" x14ac:dyDescent="0.15">
      <x:c r="A2337">
        <x:v>54103</x:v>
      </x:c>
      <x:c r="B2337">
        <x:v>3</x:v>
      </x:c>
      <x:c r="C2337">
        <x:v>56</x:v>
      </x:c>
      <x:c r="D2337">
        <x:f>ROUND($C2337*10*VLOOKUP($B2337,Sheet2!$J$5:$K$7,2,FALSE)*VLOOKUP(Sheet1!$A2337,Sheet2!$B$5:$H$29,3,FALSE),0)</x:f>
        <x:v>0</x:v>
      </x:c>
      <x:c r="E2337">
        <x:f>ROUND($C2337*10*VLOOKUP($B2337,Sheet2!$J$5:$K$7,2,FALSE)*VLOOKUP(Sheet1!$A2337,Sheet2!$B$5:$H$29,4,FALSE),0)</x:f>
        <x:v>0</x:v>
      </x:c>
      <x:c r="F2337">
        <x:f>ROUND($C2337*10*VLOOKUP($B2337,Sheet2!$J$5:$K$7,2,FALSE)*VLOOKUP(Sheet1!$A2337,Sheet2!$B$5:$H$29,5,FALSE),0)</x:f>
        <x:v>896</x:v>
      </x:c>
      <x:c r="G2337">
        <x:f>ROUND($C2337*10*VLOOKUP($B2337,Sheet2!$J$5:$K$7,2,FALSE)*VLOOKUP(Sheet1!$A2337,Sheet2!$B$5:$H$29,6,FALSE),0)</x:f>
        <x:v>0</x:v>
      </x:c>
      <x:c r="H2337">
        <x:f>ROUND($C2337*10*VLOOKUP($B2337,Sheet2!$J$5:$K$7,2,FALSE)*VLOOKUP(Sheet1!$A2337,Sheet2!$B$5:$H$29,7,FALSE),0)</x:f>
        <x:v>0</x:v>
      </x:c>
      <x:c r="I2337">
        <x:f t="shared" si="38"/>
        <x:v>171100</x:v>
      </x:c>
    </x:row>
    <x:row r="2338" spans="1:9" x14ac:dyDescent="0.15">
      <x:c r="A2338">
        <x:v>54103</x:v>
      </x:c>
      <x:c r="B2338">
        <x:v>3</x:v>
      </x:c>
      <x:c r="C2338">
        <x:v>57</x:v>
      </x:c>
      <x:c r="D2338">
        <x:f>ROUND($C2338*10*VLOOKUP($B2338,Sheet2!$J$5:$K$7,2,FALSE)*VLOOKUP(Sheet1!$A2338,Sheet2!$B$5:$H$29,3,FALSE),0)</x:f>
        <x:v>0</x:v>
      </x:c>
      <x:c r="E2338">
        <x:f>ROUND($C2338*10*VLOOKUP($B2338,Sheet2!$J$5:$K$7,2,FALSE)*VLOOKUP(Sheet1!$A2338,Sheet2!$B$5:$H$29,4,FALSE),0)</x:f>
        <x:v>0</x:v>
      </x:c>
      <x:c r="F2338">
        <x:f>ROUND($C2338*10*VLOOKUP($B2338,Sheet2!$J$5:$K$7,2,FALSE)*VLOOKUP(Sheet1!$A2338,Sheet2!$B$5:$H$29,5,FALSE),0)</x:f>
        <x:v>912</x:v>
      </x:c>
      <x:c r="G2338">
        <x:f>ROUND($C2338*10*VLOOKUP($B2338,Sheet2!$J$5:$K$7,2,FALSE)*VLOOKUP(Sheet1!$A2338,Sheet2!$B$5:$H$29,6,FALSE),0)</x:f>
        <x:v>0</x:v>
      </x:c>
      <x:c r="H2338">
        <x:f>ROUND($C2338*10*VLOOKUP($B2338,Sheet2!$J$5:$K$7,2,FALSE)*VLOOKUP(Sheet1!$A2338,Sheet2!$B$5:$H$29,7,FALSE),0)</x:f>
        <x:v>0</x:v>
      </x:c>
      <x:c r="I2338">
        <x:f t="shared" si="38"/>
        <x:v>176740</x:v>
      </x:c>
    </x:row>
    <x:row r="2339" spans="1:9" x14ac:dyDescent="0.15">
      <x:c r="A2339">
        <x:v>54103</x:v>
      </x:c>
      <x:c r="B2339">
        <x:v>3</x:v>
      </x:c>
      <x:c r="C2339">
        <x:v>58</x:v>
      </x:c>
      <x:c r="D2339">
        <x:f>ROUND($C2339*10*VLOOKUP($B2339,Sheet2!$J$5:$K$7,2,FALSE)*VLOOKUP(Sheet1!$A2339,Sheet2!$B$5:$H$29,3,FALSE),0)</x:f>
        <x:v>0</x:v>
      </x:c>
      <x:c r="E2339">
        <x:f>ROUND($C2339*10*VLOOKUP($B2339,Sheet2!$J$5:$K$7,2,FALSE)*VLOOKUP(Sheet1!$A2339,Sheet2!$B$5:$H$29,4,FALSE),0)</x:f>
        <x:v>0</x:v>
      </x:c>
      <x:c r="F2339">
        <x:f>ROUND($C2339*10*VLOOKUP($B2339,Sheet2!$J$5:$K$7,2,FALSE)*VLOOKUP(Sheet1!$A2339,Sheet2!$B$5:$H$29,5,FALSE),0)</x:f>
        <x:v>928</x:v>
      </x:c>
      <x:c r="G2339">
        <x:f>ROUND($C2339*10*VLOOKUP($B2339,Sheet2!$J$5:$K$7,2,FALSE)*VLOOKUP(Sheet1!$A2339,Sheet2!$B$5:$H$29,6,FALSE),0)</x:f>
        <x:v>0</x:v>
      </x:c>
      <x:c r="H2339">
        <x:f>ROUND($C2339*10*VLOOKUP($B2339,Sheet2!$J$5:$K$7,2,FALSE)*VLOOKUP(Sheet1!$A2339,Sheet2!$B$5:$H$29,7,FALSE),0)</x:f>
        <x:v>0</x:v>
      </x:c>
      <x:c r="I2339">
        <x:f t="shared" si="38"/>
        <x:v>182460</x:v>
      </x:c>
    </x:row>
    <x:row r="2340" spans="1:9" x14ac:dyDescent="0.15">
      <x:c r="A2340">
        <x:v>54103</x:v>
      </x:c>
      <x:c r="B2340">
        <x:v>3</x:v>
      </x:c>
      <x:c r="C2340">
        <x:v>59</x:v>
      </x:c>
      <x:c r="D2340">
        <x:f>ROUND($C2340*10*VLOOKUP($B2340,Sheet2!$J$5:$K$7,2,FALSE)*VLOOKUP(Sheet1!$A2340,Sheet2!$B$5:$H$29,3,FALSE),0)</x:f>
        <x:v>0</x:v>
      </x:c>
      <x:c r="E2340">
        <x:f>ROUND($C2340*10*VLOOKUP($B2340,Sheet2!$J$5:$K$7,2,FALSE)*VLOOKUP(Sheet1!$A2340,Sheet2!$B$5:$H$29,4,FALSE),0)</x:f>
        <x:v>0</x:v>
      </x:c>
      <x:c r="F2340">
        <x:f>ROUND($C2340*10*VLOOKUP($B2340,Sheet2!$J$5:$K$7,2,FALSE)*VLOOKUP(Sheet1!$A2340,Sheet2!$B$5:$H$29,5,FALSE),0)</x:f>
        <x:v>944</x:v>
      </x:c>
      <x:c r="G2340">
        <x:f>ROUND($C2340*10*VLOOKUP($B2340,Sheet2!$J$5:$K$7,2,FALSE)*VLOOKUP(Sheet1!$A2340,Sheet2!$B$5:$H$29,6,FALSE),0)</x:f>
        <x:v>0</x:v>
      </x:c>
      <x:c r="H2340">
        <x:f>ROUND($C2340*10*VLOOKUP($B2340,Sheet2!$J$5:$K$7,2,FALSE)*VLOOKUP(Sheet1!$A2340,Sheet2!$B$5:$H$29,7,FALSE),0)</x:f>
        <x:v>0</x:v>
      </x:c>
      <x:c r="I2340">
        <x:f t="shared" si="38"/>
        <x:v>188260</x:v>
      </x:c>
    </x:row>
    <x:row r="2341" spans="1:9" x14ac:dyDescent="0.15">
      <x:c r="A2341">
        <x:v>54103</x:v>
      </x:c>
      <x:c r="B2341">
        <x:v>3</x:v>
      </x:c>
      <x:c r="C2341">
        <x:v>60</x:v>
      </x:c>
      <x:c r="D2341">
        <x:f>ROUND($C2341*10*VLOOKUP($B2341,Sheet2!$J$5:$K$7,2,FALSE)*VLOOKUP(Sheet1!$A2341,Sheet2!$B$5:$H$29,3,FALSE),0)</x:f>
        <x:v>0</x:v>
      </x:c>
      <x:c r="E2341">
        <x:f>ROUND($C2341*10*VLOOKUP($B2341,Sheet2!$J$5:$K$7,2,FALSE)*VLOOKUP(Sheet1!$A2341,Sheet2!$B$5:$H$29,4,FALSE),0)</x:f>
        <x:v>0</x:v>
      </x:c>
      <x:c r="F2341">
        <x:f>ROUND($C2341*10*VLOOKUP($B2341,Sheet2!$J$5:$K$7,2,FALSE)*VLOOKUP(Sheet1!$A2341,Sheet2!$B$5:$H$29,5,FALSE),0)</x:f>
        <x:v>960</x:v>
      </x:c>
      <x:c r="G2341">
        <x:f>ROUND($C2341*10*VLOOKUP($B2341,Sheet2!$J$5:$K$7,2,FALSE)*VLOOKUP(Sheet1!$A2341,Sheet2!$B$5:$H$29,6,FALSE),0)</x:f>
        <x:v>0</x:v>
      </x:c>
      <x:c r="H2341">
        <x:f>ROUND($C2341*10*VLOOKUP($B2341,Sheet2!$J$5:$K$7,2,FALSE)*VLOOKUP(Sheet1!$A2341,Sheet2!$B$5:$H$29,7,FALSE),0)</x:f>
        <x:v>0</x:v>
      </x:c>
      <x:c r="I2341">
        <x:f t="shared" si="38"/>
        <x:v>194140</x:v>
      </x:c>
    </x:row>
    <x:row r="2342" spans="1:9" x14ac:dyDescent="0.15">
      <x:c r="A2342">
        <x:v>54104</x:v>
      </x:c>
      <x:c r="B2342">
        <x:v>1</x:v>
      </x:c>
      <x:c r="C2342">
        <x:v>1</x:v>
      </x:c>
      <x:c r="D2342">
        <x:f>ROUND($C2342*10*VLOOKUP($B2342,Sheet2!$J$5:$K$7,2,FALSE)*VLOOKUP(Sheet1!$A2342,Sheet2!$B$5:$H$29,3,FALSE),0)</x:f>
        <x:v>0</x:v>
      </x:c>
      <x:c r="E2342">
        <x:f>ROUND($C2342*10*VLOOKUP($B2342,Sheet2!$J$5:$K$7,2,FALSE)*VLOOKUP(Sheet1!$A2342,Sheet2!$B$5:$H$29,4,FALSE),0)</x:f>
        <x:v>0</x:v>
      </x:c>
      <x:c r="F2342">
        <x:f>ROUND($C2342*10*VLOOKUP($B2342,Sheet2!$J$5:$K$7,2,FALSE)*VLOOKUP(Sheet1!$A2342,Sheet2!$B$5:$H$29,5,FALSE),0)</x:f>
        <x:v>5</x:v>
      </x:c>
      <x:c r="G2342">
        <x:f>ROUND($C2342*10*VLOOKUP($B2342,Sheet2!$J$5:$K$7,2,FALSE)*VLOOKUP(Sheet1!$A2342,Sheet2!$B$5:$H$29,6,FALSE),0)</x:f>
        <x:v>2</x:v>
      </x:c>
      <x:c r="H2342">
        <x:f>ROUND($C2342*10*VLOOKUP($B2342,Sheet2!$J$5:$K$7,2,FALSE)*VLOOKUP(Sheet1!$A2342,Sheet2!$B$5:$H$29,7,FALSE),0)</x:f>
        <x:v>0</x:v>
      </x:c>
      <x:c r="I2342">
        <x:f t="shared" ref="I2342:I2401" si="39">ROUND(1.2*10*1.8*(C2342-1)^1.8+30,-1)</x:f>
        <x:v>30</x:v>
      </x:c>
    </x:row>
    <x:row r="2343" spans="1:9" x14ac:dyDescent="0.15">
      <x:c r="A2343">
        <x:v>54104</x:v>
      </x:c>
      <x:c r="B2343">
        <x:v>1</x:v>
      </x:c>
      <x:c r="C2343">
        <x:v>2</x:v>
      </x:c>
      <x:c r="D2343">
        <x:f>ROUND($C2343*10*VLOOKUP($B2343,Sheet2!$J$5:$K$7,2,FALSE)*VLOOKUP(Sheet1!$A2343,Sheet2!$B$5:$H$29,3,FALSE),0)</x:f>
        <x:v>0</x:v>
      </x:c>
      <x:c r="E2343">
        <x:f>ROUND($C2343*10*VLOOKUP($B2343,Sheet2!$J$5:$K$7,2,FALSE)*VLOOKUP(Sheet1!$A2343,Sheet2!$B$5:$H$29,4,FALSE),0)</x:f>
        <x:v>0</x:v>
      </x:c>
      <x:c r="F2343">
        <x:f>ROUND($C2343*10*VLOOKUP($B2343,Sheet2!$J$5:$K$7,2,FALSE)*VLOOKUP(Sheet1!$A2343,Sheet2!$B$5:$H$29,5,FALSE),0)</x:f>
        <x:v>10</x:v>
      </x:c>
      <x:c r="G2343">
        <x:f>ROUND($C2343*10*VLOOKUP($B2343,Sheet2!$J$5:$K$7,2,FALSE)*VLOOKUP(Sheet1!$A2343,Sheet2!$B$5:$H$29,6,FALSE),0)</x:f>
        <x:v>3</x:v>
      </x:c>
      <x:c r="H2343">
        <x:f>ROUND($C2343*10*VLOOKUP($B2343,Sheet2!$J$5:$K$7,2,FALSE)*VLOOKUP(Sheet1!$A2343,Sheet2!$B$5:$H$29,7,FALSE),0)</x:f>
        <x:v>0</x:v>
      </x:c>
      <x:c r="I2343">
        <x:f t="shared" si="39"/>
        <x:v>50</x:v>
      </x:c>
    </x:row>
    <x:row r="2344" spans="1:9" x14ac:dyDescent="0.15">
      <x:c r="A2344">
        <x:v>54104</x:v>
      </x:c>
      <x:c r="B2344">
        <x:v>1</x:v>
      </x:c>
      <x:c r="C2344">
        <x:v>3</x:v>
      </x:c>
      <x:c r="D2344">
        <x:f>ROUND($C2344*10*VLOOKUP($B2344,Sheet2!$J$5:$K$7,2,FALSE)*VLOOKUP(Sheet1!$A2344,Sheet2!$B$5:$H$29,3,FALSE),0)</x:f>
        <x:v>0</x:v>
      </x:c>
      <x:c r="E2344">
        <x:f>ROUND($C2344*10*VLOOKUP($B2344,Sheet2!$J$5:$K$7,2,FALSE)*VLOOKUP(Sheet1!$A2344,Sheet2!$B$5:$H$29,4,FALSE),0)</x:f>
        <x:v>0</x:v>
      </x:c>
      <x:c r="F2344">
        <x:f>ROUND($C2344*10*VLOOKUP($B2344,Sheet2!$J$5:$K$7,2,FALSE)*VLOOKUP(Sheet1!$A2344,Sheet2!$B$5:$H$29,5,FALSE),0)</x:f>
        <x:v>14</x:v>
      </x:c>
      <x:c r="G2344">
        <x:f>ROUND($C2344*10*VLOOKUP($B2344,Sheet2!$J$5:$K$7,2,FALSE)*VLOOKUP(Sheet1!$A2344,Sheet2!$B$5:$H$29,6,FALSE),0)</x:f>
        <x:v>5</x:v>
      </x:c>
      <x:c r="H2344">
        <x:f>ROUND($C2344*10*VLOOKUP($B2344,Sheet2!$J$5:$K$7,2,FALSE)*VLOOKUP(Sheet1!$A2344,Sheet2!$B$5:$H$29,7,FALSE),0)</x:f>
        <x:v>0</x:v>
      </x:c>
      <x:c r="I2344">
        <x:f t="shared" si="39"/>
        <x:v>110</x:v>
      </x:c>
    </x:row>
    <x:row r="2345" spans="1:9" x14ac:dyDescent="0.15">
      <x:c r="A2345">
        <x:v>54104</x:v>
      </x:c>
      <x:c r="B2345">
        <x:v>1</x:v>
      </x:c>
      <x:c r="C2345">
        <x:v>4</x:v>
      </x:c>
      <x:c r="D2345">
        <x:f>ROUND($C2345*10*VLOOKUP($B2345,Sheet2!$J$5:$K$7,2,FALSE)*VLOOKUP(Sheet1!$A2345,Sheet2!$B$5:$H$29,3,FALSE),0)</x:f>
        <x:v>0</x:v>
      </x:c>
      <x:c r="E2345">
        <x:f>ROUND($C2345*10*VLOOKUP($B2345,Sheet2!$J$5:$K$7,2,FALSE)*VLOOKUP(Sheet1!$A2345,Sheet2!$B$5:$H$29,4,FALSE),0)</x:f>
        <x:v>0</x:v>
      </x:c>
      <x:c r="F2345">
        <x:f>ROUND($C2345*10*VLOOKUP($B2345,Sheet2!$J$5:$K$7,2,FALSE)*VLOOKUP(Sheet1!$A2345,Sheet2!$B$5:$H$29,5,FALSE),0)</x:f>
        <x:v>19</x:v>
      </x:c>
      <x:c r="G2345">
        <x:f>ROUND($C2345*10*VLOOKUP($B2345,Sheet2!$J$5:$K$7,2,FALSE)*VLOOKUP(Sheet1!$A2345,Sheet2!$B$5:$H$29,6,FALSE),0)</x:f>
        <x:v>6</x:v>
      </x:c>
      <x:c r="H2345">
        <x:f>ROUND($C2345*10*VLOOKUP($B2345,Sheet2!$J$5:$K$7,2,FALSE)*VLOOKUP(Sheet1!$A2345,Sheet2!$B$5:$H$29,7,FALSE),0)</x:f>
        <x:v>0</x:v>
      </x:c>
      <x:c r="I2345">
        <x:f t="shared" si="39"/>
        <x:v>190</x:v>
      </x:c>
    </x:row>
    <x:row r="2346" spans="1:9" x14ac:dyDescent="0.15">
      <x:c r="A2346">
        <x:v>54104</x:v>
      </x:c>
      <x:c r="B2346">
        <x:v>1</x:v>
      </x:c>
      <x:c r="C2346">
        <x:v>5</x:v>
      </x:c>
      <x:c r="D2346">
        <x:f>ROUND($C2346*10*VLOOKUP($B2346,Sheet2!$J$5:$K$7,2,FALSE)*VLOOKUP(Sheet1!$A2346,Sheet2!$B$5:$H$29,3,FALSE),0)</x:f>
        <x:v>0</x:v>
      </x:c>
      <x:c r="E2346">
        <x:f>ROUND($C2346*10*VLOOKUP($B2346,Sheet2!$J$5:$K$7,2,FALSE)*VLOOKUP(Sheet1!$A2346,Sheet2!$B$5:$H$29,4,FALSE),0)</x:f>
        <x:v>0</x:v>
      </x:c>
      <x:c r="F2346">
        <x:f>ROUND($C2346*10*VLOOKUP($B2346,Sheet2!$J$5:$K$7,2,FALSE)*VLOOKUP(Sheet1!$A2346,Sheet2!$B$5:$H$29,5,FALSE),0)</x:f>
        <x:v>24</x:v>
      </x:c>
      <x:c r="G2346">
        <x:f>ROUND($C2346*10*VLOOKUP($B2346,Sheet2!$J$5:$K$7,2,FALSE)*VLOOKUP(Sheet1!$A2346,Sheet2!$B$5:$H$29,6,FALSE),0)</x:f>
        <x:v>8</x:v>
      </x:c>
      <x:c r="H2346">
        <x:f>ROUND($C2346*10*VLOOKUP($B2346,Sheet2!$J$5:$K$7,2,FALSE)*VLOOKUP(Sheet1!$A2346,Sheet2!$B$5:$H$29,7,FALSE),0)</x:f>
        <x:v>0</x:v>
      </x:c>
      <x:c r="I2346">
        <x:f t="shared" si="39"/>
        <x:v>290</x:v>
      </x:c>
    </x:row>
    <x:row r="2347" spans="1:9" x14ac:dyDescent="0.15">
      <x:c r="A2347">
        <x:v>54104</x:v>
      </x:c>
      <x:c r="B2347">
        <x:v>1</x:v>
      </x:c>
      <x:c r="C2347">
        <x:v>6</x:v>
      </x:c>
      <x:c r="D2347">
        <x:f>ROUND($C2347*10*VLOOKUP($B2347,Sheet2!$J$5:$K$7,2,FALSE)*VLOOKUP(Sheet1!$A2347,Sheet2!$B$5:$H$29,3,FALSE),0)</x:f>
        <x:v>0</x:v>
      </x:c>
      <x:c r="E2347">
        <x:f>ROUND($C2347*10*VLOOKUP($B2347,Sheet2!$J$5:$K$7,2,FALSE)*VLOOKUP(Sheet1!$A2347,Sheet2!$B$5:$H$29,4,FALSE),0)</x:f>
        <x:v>0</x:v>
      </x:c>
      <x:c r="F2347">
        <x:f>ROUND($C2347*10*VLOOKUP($B2347,Sheet2!$J$5:$K$7,2,FALSE)*VLOOKUP(Sheet1!$A2347,Sheet2!$B$5:$H$29,5,FALSE),0)</x:f>
        <x:v>29</x:v>
      </x:c>
      <x:c r="G2347">
        <x:f>ROUND($C2347*10*VLOOKUP($B2347,Sheet2!$J$5:$K$7,2,FALSE)*VLOOKUP(Sheet1!$A2347,Sheet2!$B$5:$H$29,6,FALSE),0)</x:f>
        <x:v>10</x:v>
      </x:c>
      <x:c r="H2347">
        <x:f>ROUND($C2347*10*VLOOKUP($B2347,Sheet2!$J$5:$K$7,2,FALSE)*VLOOKUP(Sheet1!$A2347,Sheet2!$B$5:$H$29,7,FALSE),0)</x:f>
        <x:v>0</x:v>
      </x:c>
      <x:c r="I2347">
        <x:f t="shared" si="39"/>
        <x:v>420</x:v>
      </x:c>
    </x:row>
    <x:row r="2348" spans="1:9" x14ac:dyDescent="0.15">
      <x:c r="A2348">
        <x:v>54104</x:v>
      </x:c>
      <x:c r="B2348">
        <x:v>1</x:v>
      </x:c>
      <x:c r="C2348">
        <x:v>7</x:v>
      </x:c>
      <x:c r="D2348">
        <x:f>ROUND($C2348*10*VLOOKUP($B2348,Sheet2!$J$5:$K$7,2,FALSE)*VLOOKUP(Sheet1!$A2348,Sheet2!$B$5:$H$29,3,FALSE),0)</x:f>
        <x:v>0</x:v>
      </x:c>
      <x:c r="E2348">
        <x:f>ROUND($C2348*10*VLOOKUP($B2348,Sheet2!$J$5:$K$7,2,FALSE)*VLOOKUP(Sheet1!$A2348,Sheet2!$B$5:$H$29,4,FALSE),0)</x:f>
        <x:v>0</x:v>
      </x:c>
      <x:c r="F2348">
        <x:f>ROUND($C2348*10*VLOOKUP($B2348,Sheet2!$J$5:$K$7,2,FALSE)*VLOOKUP(Sheet1!$A2348,Sheet2!$B$5:$H$29,5,FALSE),0)</x:f>
        <x:v>34</x:v>
      </x:c>
      <x:c r="G2348">
        <x:f>ROUND($C2348*10*VLOOKUP($B2348,Sheet2!$J$5:$K$7,2,FALSE)*VLOOKUP(Sheet1!$A2348,Sheet2!$B$5:$H$29,6,FALSE),0)</x:f>
        <x:v>11</x:v>
      </x:c>
      <x:c r="H2348">
        <x:f>ROUND($C2348*10*VLOOKUP($B2348,Sheet2!$J$5:$K$7,2,FALSE)*VLOOKUP(Sheet1!$A2348,Sheet2!$B$5:$H$29,7,FALSE),0)</x:f>
        <x:v>0</x:v>
      </x:c>
      <x:c r="I2348">
        <x:f t="shared" si="39"/>
        <x:v>570</x:v>
      </x:c>
    </x:row>
    <x:row r="2349" spans="1:9" x14ac:dyDescent="0.15">
      <x:c r="A2349">
        <x:v>54104</x:v>
      </x:c>
      <x:c r="B2349">
        <x:v>1</x:v>
      </x:c>
      <x:c r="C2349">
        <x:v>8</x:v>
      </x:c>
      <x:c r="D2349">
        <x:f>ROUND($C2349*10*VLOOKUP($B2349,Sheet2!$J$5:$K$7,2,FALSE)*VLOOKUP(Sheet1!$A2349,Sheet2!$B$5:$H$29,3,FALSE),0)</x:f>
        <x:v>0</x:v>
      </x:c>
      <x:c r="E2349">
        <x:f>ROUND($C2349*10*VLOOKUP($B2349,Sheet2!$J$5:$K$7,2,FALSE)*VLOOKUP(Sheet1!$A2349,Sheet2!$B$5:$H$29,4,FALSE),0)</x:f>
        <x:v>0</x:v>
      </x:c>
      <x:c r="F2349">
        <x:f>ROUND($C2349*10*VLOOKUP($B2349,Sheet2!$J$5:$K$7,2,FALSE)*VLOOKUP(Sheet1!$A2349,Sheet2!$B$5:$H$29,5,FALSE),0)</x:f>
        <x:v>38</x:v>
      </x:c>
      <x:c r="G2349">
        <x:f>ROUND($C2349*10*VLOOKUP($B2349,Sheet2!$J$5:$K$7,2,FALSE)*VLOOKUP(Sheet1!$A2349,Sheet2!$B$5:$H$29,6,FALSE),0)</x:f>
        <x:v>13</x:v>
      </x:c>
      <x:c r="H2349">
        <x:f>ROUND($C2349*10*VLOOKUP($B2349,Sheet2!$J$5:$K$7,2,FALSE)*VLOOKUP(Sheet1!$A2349,Sheet2!$B$5:$H$29,7,FALSE),0)</x:f>
        <x:v>0</x:v>
      </x:c>
      <x:c r="I2349">
        <x:f t="shared" si="39"/>
        <x:v>750</x:v>
      </x:c>
    </x:row>
    <x:row r="2350" spans="1:9" x14ac:dyDescent="0.15">
      <x:c r="A2350">
        <x:v>54104</x:v>
      </x:c>
      <x:c r="B2350">
        <x:v>1</x:v>
      </x:c>
      <x:c r="C2350">
        <x:v>9</x:v>
      </x:c>
      <x:c r="D2350">
        <x:f>ROUND($C2350*10*VLOOKUP($B2350,Sheet2!$J$5:$K$7,2,FALSE)*VLOOKUP(Sheet1!$A2350,Sheet2!$B$5:$H$29,3,FALSE),0)</x:f>
        <x:v>0</x:v>
      </x:c>
      <x:c r="E2350">
        <x:f>ROUND($C2350*10*VLOOKUP($B2350,Sheet2!$J$5:$K$7,2,FALSE)*VLOOKUP(Sheet1!$A2350,Sheet2!$B$5:$H$29,4,FALSE),0)</x:f>
        <x:v>0</x:v>
      </x:c>
      <x:c r="F2350">
        <x:f>ROUND($C2350*10*VLOOKUP($B2350,Sheet2!$J$5:$K$7,2,FALSE)*VLOOKUP(Sheet1!$A2350,Sheet2!$B$5:$H$29,5,FALSE),0)</x:f>
        <x:v>43</x:v>
      </x:c>
      <x:c r="G2350">
        <x:f>ROUND($C2350*10*VLOOKUP($B2350,Sheet2!$J$5:$K$7,2,FALSE)*VLOOKUP(Sheet1!$A2350,Sheet2!$B$5:$H$29,6,FALSE),0)</x:f>
        <x:v>14</x:v>
      </x:c>
      <x:c r="H2350">
        <x:f>ROUND($C2350*10*VLOOKUP($B2350,Sheet2!$J$5:$K$7,2,FALSE)*VLOOKUP(Sheet1!$A2350,Sheet2!$B$5:$H$29,7,FALSE),0)</x:f>
        <x:v>0</x:v>
      </x:c>
      <x:c r="I2350">
        <x:f t="shared" si="39"/>
        <x:v>940</x:v>
      </x:c>
    </x:row>
    <x:row r="2351" spans="1:9" x14ac:dyDescent="0.15">
      <x:c r="A2351">
        <x:v>54104</x:v>
      </x:c>
      <x:c r="B2351">
        <x:v>1</x:v>
      </x:c>
      <x:c r="C2351">
        <x:v>10</x:v>
      </x:c>
      <x:c r="D2351">
        <x:f>ROUND($C2351*10*VLOOKUP($B2351,Sheet2!$J$5:$K$7,2,FALSE)*VLOOKUP(Sheet1!$A2351,Sheet2!$B$5:$H$29,3,FALSE),0)</x:f>
        <x:v>0</x:v>
      </x:c>
      <x:c r="E2351">
        <x:f>ROUND($C2351*10*VLOOKUP($B2351,Sheet2!$J$5:$K$7,2,FALSE)*VLOOKUP(Sheet1!$A2351,Sheet2!$B$5:$H$29,4,FALSE),0)</x:f>
        <x:v>0</x:v>
      </x:c>
      <x:c r="F2351">
        <x:f>ROUND($C2351*10*VLOOKUP($B2351,Sheet2!$J$5:$K$7,2,FALSE)*VLOOKUP(Sheet1!$A2351,Sheet2!$B$5:$H$29,5,FALSE),0)</x:f>
        <x:v>48</x:v>
      </x:c>
      <x:c r="G2351">
        <x:f>ROUND($C2351*10*VLOOKUP($B2351,Sheet2!$J$5:$K$7,2,FALSE)*VLOOKUP(Sheet1!$A2351,Sheet2!$B$5:$H$29,6,FALSE),0)</x:f>
        <x:v>16</x:v>
      </x:c>
      <x:c r="H2351">
        <x:f>ROUND($C2351*10*VLOOKUP($B2351,Sheet2!$J$5:$K$7,2,FALSE)*VLOOKUP(Sheet1!$A2351,Sheet2!$B$5:$H$29,7,FALSE),0)</x:f>
        <x:v>0</x:v>
      </x:c>
      <x:c r="I2351">
        <x:f t="shared" si="39"/>
        <x:v>1160</x:v>
      </x:c>
    </x:row>
    <x:row r="2352" spans="1:9" x14ac:dyDescent="0.15">
      <x:c r="A2352">
        <x:v>54104</x:v>
      </x:c>
      <x:c r="B2352">
        <x:v>1</x:v>
      </x:c>
      <x:c r="C2352">
        <x:v>11</x:v>
      </x:c>
      <x:c r="D2352">
        <x:f>ROUND($C2352*10*VLOOKUP($B2352,Sheet2!$J$5:$K$7,2,FALSE)*VLOOKUP(Sheet1!$A2352,Sheet2!$B$5:$H$29,3,FALSE),0)</x:f>
        <x:v>0</x:v>
      </x:c>
      <x:c r="E2352">
        <x:f>ROUND($C2352*10*VLOOKUP($B2352,Sheet2!$J$5:$K$7,2,FALSE)*VLOOKUP(Sheet1!$A2352,Sheet2!$B$5:$H$29,4,FALSE),0)</x:f>
        <x:v>0</x:v>
      </x:c>
      <x:c r="F2352">
        <x:f>ROUND($C2352*10*VLOOKUP($B2352,Sheet2!$J$5:$K$7,2,FALSE)*VLOOKUP(Sheet1!$A2352,Sheet2!$B$5:$H$29,5,FALSE),0)</x:f>
        <x:v>53</x:v>
      </x:c>
      <x:c r="G2352">
        <x:f>ROUND($C2352*10*VLOOKUP($B2352,Sheet2!$J$5:$K$7,2,FALSE)*VLOOKUP(Sheet1!$A2352,Sheet2!$B$5:$H$29,6,FALSE),0)</x:f>
        <x:v>18</x:v>
      </x:c>
      <x:c r="H2352">
        <x:f>ROUND($C2352*10*VLOOKUP($B2352,Sheet2!$J$5:$K$7,2,FALSE)*VLOOKUP(Sheet1!$A2352,Sheet2!$B$5:$H$29,7,FALSE),0)</x:f>
        <x:v>0</x:v>
      </x:c>
      <x:c r="I2352">
        <x:f t="shared" si="39"/>
        <x:v>1390</x:v>
      </x:c>
    </x:row>
    <x:row r="2353" spans="1:9" x14ac:dyDescent="0.15">
      <x:c r="A2353">
        <x:v>54104</x:v>
      </x:c>
      <x:c r="B2353">
        <x:v>1</x:v>
      </x:c>
      <x:c r="C2353">
        <x:v>12</x:v>
      </x:c>
      <x:c r="D2353">
        <x:f>ROUND($C2353*10*VLOOKUP($B2353,Sheet2!$J$5:$K$7,2,FALSE)*VLOOKUP(Sheet1!$A2353,Sheet2!$B$5:$H$29,3,FALSE),0)</x:f>
        <x:v>0</x:v>
      </x:c>
      <x:c r="E2353">
        <x:f>ROUND($C2353*10*VLOOKUP($B2353,Sheet2!$J$5:$K$7,2,FALSE)*VLOOKUP(Sheet1!$A2353,Sheet2!$B$5:$H$29,4,FALSE),0)</x:f>
        <x:v>0</x:v>
      </x:c>
      <x:c r="F2353">
        <x:f>ROUND($C2353*10*VLOOKUP($B2353,Sheet2!$J$5:$K$7,2,FALSE)*VLOOKUP(Sheet1!$A2353,Sheet2!$B$5:$H$29,5,FALSE),0)</x:f>
        <x:v>58</x:v>
      </x:c>
      <x:c r="G2353">
        <x:f>ROUND($C2353*10*VLOOKUP($B2353,Sheet2!$J$5:$K$7,2,FALSE)*VLOOKUP(Sheet1!$A2353,Sheet2!$B$5:$H$29,6,FALSE),0)</x:f>
        <x:v>19</x:v>
      </x:c>
      <x:c r="H2353">
        <x:f>ROUND($C2353*10*VLOOKUP($B2353,Sheet2!$J$5:$K$7,2,FALSE)*VLOOKUP(Sheet1!$A2353,Sheet2!$B$5:$H$29,7,FALSE),0)</x:f>
        <x:v>0</x:v>
      </x:c>
      <x:c r="I2353">
        <x:f t="shared" si="39"/>
        <x:v>1650</x:v>
      </x:c>
    </x:row>
    <x:row r="2354" spans="1:9" x14ac:dyDescent="0.15">
      <x:c r="A2354">
        <x:v>54104</x:v>
      </x:c>
      <x:c r="B2354">
        <x:v>1</x:v>
      </x:c>
      <x:c r="C2354">
        <x:v>13</x:v>
      </x:c>
      <x:c r="D2354">
        <x:f>ROUND($C2354*10*VLOOKUP($B2354,Sheet2!$J$5:$K$7,2,FALSE)*VLOOKUP(Sheet1!$A2354,Sheet2!$B$5:$H$29,3,FALSE),0)</x:f>
        <x:v>0</x:v>
      </x:c>
      <x:c r="E2354">
        <x:f>ROUND($C2354*10*VLOOKUP($B2354,Sheet2!$J$5:$K$7,2,FALSE)*VLOOKUP(Sheet1!$A2354,Sheet2!$B$5:$H$29,4,FALSE),0)</x:f>
        <x:v>0</x:v>
      </x:c>
      <x:c r="F2354">
        <x:f>ROUND($C2354*10*VLOOKUP($B2354,Sheet2!$J$5:$K$7,2,FALSE)*VLOOKUP(Sheet1!$A2354,Sheet2!$B$5:$H$29,5,FALSE),0)</x:f>
        <x:v>62</x:v>
      </x:c>
      <x:c r="G2354">
        <x:f>ROUND($C2354*10*VLOOKUP($B2354,Sheet2!$J$5:$K$7,2,FALSE)*VLOOKUP(Sheet1!$A2354,Sheet2!$B$5:$H$29,6,FALSE),0)</x:f>
        <x:v>21</x:v>
      </x:c>
      <x:c r="H2354">
        <x:f>ROUND($C2354*10*VLOOKUP($B2354,Sheet2!$J$5:$K$7,2,FALSE)*VLOOKUP(Sheet1!$A2354,Sheet2!$B$5:$H$29,7,FALSE),0)</x:f>
        <x:v>0</x:v>
      </x:c>
      <x:c r="I2354">
        <x:f t="shared" si="39"/>
        <x:v>1920</x:v>
      </x:c>
    </x:row>
    <x:row r="2355" spans="1:9" x14ac:dyDescent="0.15">
      <x:c r="A2355">
        <x:v>54104</x:v>
      </x:c>
      <x:c r="B2355">
        <x:v>1</x:v>
      </x:c>
      <x:c r="C2355">
        <x:v>14</x:v>
      </x:c>
      <x:c r="D2355">
        <x:f>ROUND($C2355*10*VLOOKUP($B2355,Sheet2!$J$5:$K$7,2,FALSE)*VLOOKUP(Sheet1!$A2355,Sheet2!$B$5:$H$29,3,FALSE),0)</x:f>
        <x:v>0</x:v>
      </x:c>
      <x:c r="E2355">
        <x:f>ROUND($C2355*10*VLOOKUP($B2355,Sheet2!$J$5:$K$7,2,FALSE)*VLOOKUP(Sheet1!$A2355,Sheet2!$B$5:$H$29,4,FALSE),0)</x:f>
        <x:v>0</x:v>
      </x:c>
      <x:c r="F2355">
        <x:f>ROUND($C2355*10*VLOOKUP($B2355,Sheet2!$J$5:$K$7,2,FALSE)*VLOOKUP(Sheet1!$A2355,Sheet2!$B$5:$H$29,5,FALSE),0)</x:f>
        <x:v>67</x:v>
      </x:c>
      <x:c r="G2355">
        <x:f>ROUND($C2355*10*VLOOKUP($B2355,Sheet2!$J$5:$K$7,2,FALSE)*VLOOKUP(Sheet1!$A2355,Sheet2!$B$5:$H$29,6,FALSE),0)</x:f>
        <x:v>22</x:v>
      </x:c>
      <x:c r="H2355">
        <x:f>ROUND($C2355*10*VLOOKUP($B2355,Sheet2!$J$5:$K$7,2,FALSE)*VLOOKUP(Sheet1!$A2355,Sheet2!$B$5:$H$29,7,FALSE),0)</x:f>
        <x:v>0</x:v>
      </x:c>
      <x:c r="I2355">
        <x:f t="shared" si="39"/>
        <x:v>2220</x:v>
      </x:c>
    </x:row>
    <x:row r="2356" spans="1:9" x14ac:dyDescent="0.15">
      <x:c r="A2356">
        <x:v>54104</x:v>
      </x:c>
      <x:c r="B2356">
        <x:v>1</x:v>
      </x:c>
      <x:c r="C2356">
        <x:v>15</x:v>
      </x:c>
      <x:c r="D2356">
        <x:f>ROUND($C2356*10*VLOOKUP($B2356,Sheet2!$J$5:$K$7,2,FALSE)*VLOOKUP(Sheet1!$A2356,Sheet2!$B$5:$H$29,3,FALSE),0)</x:f>
        <x:v>0</x:v>
      </x:c>
      <x:c r="E2356">
        <x:f>ROUND($C2356*10*VLOOKUP($B2356,Sheet2!$J$5:$K$7,2,FALSE)*VLOOKUP(Sheet1!$A2356,Sheet2!$B$5:$H$29,4,FALSE),0)</x:f>
        <x:v>0</x:v>
      </x:c>
      <x:c r="F2356">
        <x:f>ROUND($C2356*10*VLOOKUP($B2356,Sheet2!$J$5:$K$7,2,FALSE)*VLOOKUP(Sheet1!$A2356,Sheet2!$B$5:$H$29,5,FALSE),0)</x:f>
        <x:v>72</x:v>
      </x:c>
      <x:c r="G2356">
        <x:f>ROUND($C2356*10*VLOOKUP($B2356,Sheet2!$J$5:$K$7,2,FALSE)*VLOOKUP(Sheet1!$A2356,Sheet2!$B$5:$H$29,6,FALSE),0)</x:f>
        <x:v>24</x:v>
      </x:c>
      <x:c r="H2356">
        <x:f>ROUND($C2356*10*VLOOKUP($B2356,Sheet2!$J$5:$K$7,2,FALSE)*VLOOKUP(Sheet1!$A2356,Sheet2!$B$5:$H$29,7,FALSE),0)</x:f>
        <x:v>0</x:v>
      </x:c>
      <x:c r="I2356">
        <x:f t="shared" si="39"/>
        <x:v>2530</x:v>
      </x:c>
    </x:row>
    <x:row r="2357" spans="1:9" x14ac:dyDescent="0.15">
      <x:c r="A2357">
        <x:v>54104</x:v>
      </x:c>
      <x:c r="B2357">
        <x:v>1</x:v>
      </x:c>
      <x:c r="C2357">
        <x:v>16</x:v>
      </x:c>
      <x:c r="D2357">
        <x:f>ROUND($C2357*10*VLOOKUP($B2357,Sheet2!$J$5:$K$7,2,FALSE)*VLOOKUP(Sheet1!$A2357,Sheet2!$B$5:$H$29,3,FALSE),0)</x:f>
        <x:v>0</x:v>
      </x:c>
      <x:c r="E2357">
        <x:f>ROUND($C2357*10*VLOOKUP($B2357,Sheet2!$J$5:$K$7,2,FALSE)*VLOOKUP(Sheet1!$A2357,Sheet2!$B$5:$H$29,4,FALSE),0)</x:f>
        <x:v>0</x:v>
      </x:c>
      <x:c r="F2357">
        <x:f>ROUND($C2357*10*VLOOKUP($B2357,Sheet2!$J$5:$K$7,2,FALSE)*VLOOKUP(Sheet1!$A2357,Sheet2!$B$5:$H$29,5,FALSE),0)</x:f>
        <x:v>77</x:v>
      </x:c>
      <x:c r="G2357">
        <x:f>ROUND($C2357*10*VLOOKUP($B2357,Sheet2!$J$5:$K$7,2,FALSE)*VLOOKUP(Sheet1!$A2357,Sheet2!$B$5:$H$29,6,FALSE),0)</x:f>
        <x:v>26</x:v>
      </x:c>
      <x:c r="H2357">
        <x:f>ROUND($C2357*10*VLOOKUP($B2357,Sheet2!$J$5:$K$7,2,FALSE)*VLOOKUP(Sheet1!$A2357,Sheet2!$B$5:$H$29,7,FALSE),0)</x:f>
        <x:v>0</x:v>
      </x:c>
      <x:c r="I2357">
        <x:f t="shared" si="39"/>
        <x:v>2860</x:v>
      </x:c>
    </x:row>
    <x:row r="2358" spans="1:9" x14ac:dyDescent="0.15">
      <x:c r="A2358">
        <x:v>54104</x:v>
      </x:c>
      <x:c r="B2358">
        <x:v>1</x:v>
      </x:c>
      <x:c r="C2358">
        <x:v>17</x:v>
      </x:c>
      <x:c r="D2358">
        <x:f>ROUND($C2358*10*VLOOKUP($B2358,Sheet2!$J$5:$K$7,2,FALSE)*VLOOKUP(Sheet1!$A2358,Sheet2!$B$5:$H$29,3,FALSE),0)</x:f>
        <x:v>0</x:v>
      </x:c>
      <x:c r="E2358">
        <x:f>ROUND($C2358*10*VLOOKUP($B2358,Sheet2!$J$5:$K$7,2,FALSE)*VLOOKUP(Sheet1!$A2358,Sheet2!$B$5:$H$29,4,FALSE),0)</x:f>
        <x:v>0</x:v>
      </x:c>
      <x:c r="F2358">
        <x:f>ROUND($C2358*10*VLOOKUP($B2358,Sheet2!$J$5:$K$7,2,FALSE)*VLOOKUP(Sheet1!$A2358,Sheet2!$B$5:$H$29,5,FALSE),0)</x:f>
        <x:v>82</x:v>
      </x:c>
      <x:c r="G2358">
        <x:f>ROUND($C2358*10*VLOOKUP($B2358,Sheet2!$J$5:$K$7,2,FALSE)*VLOOKUP(Sheet1!$A2358,Sheet2!$B$5:$H$29,6,FALSE),0)</x:f>
        <x:v>27</x:v>
      </x:c>
      <x:c r="H2358">
        <x:f>ROUND($C2358*10*VLOOKUP($B2358,Sheet2!$J$5:$K$7,2,FALSE)*VLOOKUP(Sheet1!$A2358,Sheet2!$B$5:$H$29,7,FALSE),0)</x:f>
        <x:v>0</x:v>
      </x:c>
      <x:c r="I2358">
        <x:f t="shared" si="39"/>
        <x:v>3210</x:v>
      </x:c>
    </x:row>
    <x:row r="2359" spans="1:9" x14ac:dyDescent="0.15">
      <x:c r="A2359">
        <x:v>54104</x:v>
      </x:c>
      <x:c r="B2359">
        <x:v>1</x:v>
      </x:c>
      <x:c r="C2359">
        <x:v>18</x:v>
      </x:c>
      <x:c r="D2359">
        <x:f>ROUND($C2359*10*VLOOKUP($B2359,Sheet2!$J$5:$K$7,2,FALSE)*VLOOKUP(Sheet1!$A2359,Sheet2!$B$5:$H$29,3,FALSE),0)</x:f>
        <x:v>0</x:v>
      </x:c>
      <x:c r="E2359">
        <x:f>ROUND($C2359*10*VLOOKUP($B2359,Sheet2!$J$5:$K$7,2,FALSE)*VLOOKUP(Sheet1!$A2359,Sheet2!$B$5:$H$29,4,FALSE),0)</x:f>
        <x:v>0</x:v>
      </x:c>
      <x:c r="F2359">
        <x:f>ROUND($C2359*10*VLOOKUP($B2359,Sheet2!$J$5:$K$7,2,FALSE)*VLOOKUP(Sheet1!$A2359,Sheet2!$B$5:$H$29,5,FALSE),0)</x:f>
        <x:v>86</x:v>
      </x:c>
      <x:c r="G2359">
        <x:f>ROUND($C2359*10*VLOOKUP($B2359,Sheet2!$J$5:$K$7,2,FALSE)*VLOOKUP(Sheet1!$A2359,Sheet2!$B$5:$H$29,6,FALSE),0)</x:f>
        <x:v>29</x:v>
      </x:c>
      <x:c r="H2359">
        <x:f>ROUND($C2359*10*VLOOKUP($B2359,Sheet2!$J$5:$K$7,2,FALSE)*VLOOKUP(Sheet1!$A2359,Sheet2!$B$5:$H$29,7,FALSE),0)</x:f>
        <x:v>0</x:v>
      </x:c>
      <x:c r="I2359">
        <x:f t="shared" si="39"/>
        <x:v>3570</x:v>
      </x:c>
    </x:row>
    <x:row r="2360" spans="1:9" x14ac:dyDescent="0.15">
      <x:c r="A2360">
        <x:v>54104</x:v>
      </x:c>
      <x:c r="B2360">
        <x:v>1</x:v>
      </x:c>
      <x:c r="C2360">
        <x:v>19</x:v>
      </x:c>
      <x:c r="D2360">
        <x:f>ROUND($C2360*10*VLOOKUP($B2360,Sheet2!$J$5:$K$7,2,FALSE)*VLOOKUP(Sheet1!$A2360,Sheet2!$B$5:$H$29,3,FALSE),0)</x:f>
        <x:v>0</x:v>
      </x:c>
      <x:c r="E2360">
        <x:f>ROUND($C2360*10*VLOOKUP($B2360,Sheet2!$J$5:$K$7,2,FALSE)*VLOOKUP(Sheet1!$A2360,Sheet2!$B$5:$H$29,4,FALSE),0)</x:f>
        <x:v>0</x:v>
      </x:c>
      <x:c r="F2360">
        <x:f>ROUND($C2360*10*VLOOKUP($B2360,Sheet2!$J$5:$K$7,2,FALSE)*VLOOKUP(Sheet1!$A2360,Sheet2!$B$5:$H$29,5,FALSE),0)</x:f>
        <x:v>91</x:v>
      </x:c>
      <x:c r="G2360">
        <x:f>ROUND($C2360*10*VLOOKUP($B2360,Sheet2!$J$5:$K$7,2,FALSE)*VLOOKUP(Sheet1!$A2360,Sheet2!$B$5:$H$29,6,FALSE),0)</x:f>
        <x:v>30</x:v>
      </x:c>
      <x:c r="H2360">
        <x:f>ROUND($C2360*10*VLOOKUP($B2360,Sheet2!$J$5:$K$7,2,FALSE)*VLOOKUP(Sheet1!$A2360,Sheet2!$B$5:$H$29,7,FALSE),0)</x:f>
        <x:v>0</x:v>
      </x:c>
      <x:c r="I2360">
        <x:f t="shared" si="39"/>
        <x:v>3960</x:v>
      </x:c>
    </x:row>
    <x:row r="2361" spans="1:9" x14ac:dyDescent="0.15">
      <x:c r="A2361">
        <x:v>54104</x:v>
      </x:c>
      <x:c r="B2361">
        <x:v>1</x:v>
      </x:c>
      <x:c r="C2361">
        <x:v>20</x:v>
      </x:c>
      <x:c r="D2361">
        <x:f>ROUND($C2361*10*VLOOKUP($B2361,Sheet2!$J$5:$K$7,2,FALSE)*VLOOKUP(Sheet1!$A2361,Sheet2!$B$5:$H$29,3,FALSE),0)</x:f>
        <x:v>0</x:v>
      </x:c>
      <x:c r="E2361">
        <x:f>ROUND($C2361*10*VLOOKUP($B2361,Sheet2!$J$5:$K$7,2,FALSE)*VLOOKUP(Sheet1!$A2361,Sheet2!$B$5:$H$29,4,FALSE),0)</x:f>
        <x:v>0</x:v>
      </x:c>
      <x:c r="F2361">
        <x:f>ROUND($C2361*10*VLOOKUP($B2361,Sheet2!$J$5:$K$7,2,FALSE)*VLOOKUP(Sheet1!$A2361,Sheet2!$B$5:$H$29,5,FALSE),0)</x:f>
        <x:v>96</x:v>
      </x:c>
      <x:c r="G2361">
        <x:f>ROUND($C2361*10*VLOOKUP($B2361,Sheet2!$J$5:$K$7,2,FALSE)*VLOOKUP(Sheet1!$A2361,Sheet2!$B$5:$H$29,6,FALSE),0)</x:f>
        <x:v>32</x:v>
      </x:c>
      <x:c r="H2361">
        <x:f>ROUND($C2361*10*VLOOKUP($B2361,Sheet2!$J$5:$K$7,2,FALSE)*VLOOKUP(Sheet1!$A2361,Sheet2!$B$5:$H$29,7,FALSE),0)</x:f>
        <x:v>0</x:v>
      </x:c>
      <x:c r="I2361">
        <x:f t="shared" si="39"/>
        <x:v>4360</x:v>
      </x:c>
    </x:row>
    <x:row r="2362" spans="1:9" x14ac:dyDescent="0.15">
      <x:c r="A2362">
        <x:v>54104</x:v>
      </x:c>
      <x:c r="B2362">
        <x:v>1</x:v>
      </x:c>
      <x:c r="C2362">
        <x:v>21</x:v>
      </x:c>
      <x:c r="D2362">
        <x:f>ROUND($C2362*10*VLOOKUP($B2362,Sheet2!$J$5:$K$7,2,FALSE)*VLOOKUP(Sheet1!$A2362,Sheet2!$B$5:$H$29,3,FALSE),0)</x:f>
        <x:v>0</x:v>
      </x:c>
      <x:c r="E2362">
        <x:f>ROUND($C2362*10*VLOOKUP($B2362,Sheet2!$J$5:$K$7,2,FALSE)*VLOOKUP(Sheet1!$A2362,Sheet2!$B$5:$H$29,4,FALSE),0)</x:f>
        <x:v>0</x:v>
      </x:c>
      <x:c r="F2362">
        <x:f>ROUND($C2362*10*VLOOKUP($B2362,Sheet2!$J$5:$K$7,2,FALSE)*VLOOKUP(Sheet1!$A2362,Sheet2!$B$5:$H$29,5,FALSE),0)</x:f>
        <x:v>101</x:v>
      </x:c>
      <x:c r="G2362">
        <x:f>ROUND($C2362*10*VLOOKUP($B2362,Sheet2!$J$5:$K$7,2,FALSE)*VLOOKUP(Sheet1!$A2362,Sheet2!$B$5:$H$29,6,FALSE),0)</x:f>
        <x:v>34</x:v>
      </x:c>
      <x:c r="H2362">
        <x:f>ROUND($C2362*10*VLOOKUP($B2362,Sheet2!$J$5:$K$7,2,FALSE)*VLOOKUP(Sheet1!$A2362,Sheet2!$B$5:$H$29,7,FALSE),0)</x:f>
        <x:v>0</x:v>
      </x:c>
      <x:c r="I2362">
        <x:f t="shared" si="39"/>
        <x:v>4780</x:v>
      </x:c>
    </x:row>
    <x:row r="2363" spans="1:9" x14ac:dyDescent="0.15">
      <x:c r="A2363">
        <x:v>54104</x:v>
      </x:c>
      <x:c r="B2363">
        <x:v>1</x:v>
      </x:c>
      <x:c r="C2363">
        <x:v>22</x:v>
      </x:c>
      <x:c r="D2363">
        <x:f>ROUND($C2363*10*VLOOKUP($B2363,Sheet2!$J$5:$K$7,2,FALSE)*VLOOKUP(Sheet1!$A2363,Sheet2!$B$5:$H$29,3,FALSE),0)</x:f>
        <x:v>0</x:v>
      </x:c>
      <x:c r="E2363">
        <x:f>ROUND($C2363*10*VLOOKUP($B2363,Sheet2!$J$5:$K$7,2,FALSE)*VLOOKUP(Sheet1!$A2363,Sheet2!$B$5:$H$29,4,FALSE),0)</x:f>
        <x:v>0</x:v>
      </x:c>
      <x:c r="F2363">
        <x:f>ROUND($C2363*10*VLOOKUP($B2363,Sheet2!$J$5:$K$7,2,FALSE)*VLOOKUP(Sheet1!$A2363,Sheet2!$B$5:$H$29,5,FALSE),0)</x:f>
        <x:v>106</x:v>
      </x:c>
      <x:c r="G2363">
        <x:f>ROUND($C2363*10*VLOOKUP($B2363,Sheet2!$J$5:$K$7,2,FALSE)*VLOOKUP(Sheet1!$A2363,Sheet2!$B$5:$H$29,6,FALSE),0)</x:f>
        <x:v>35</x:v>
      </x:c>
      <x:c r="H2363">
        <x:f>ROUND($C2363*10*VLOOKUP($B2363,Sheet2!$J$5:$K$7,2,FALSE)*VLOOKUP(Sheet1!$A2363,Sheet2!$B$5:$H$29,7,FALSE),0)</x:f>
        <x:v>0</x:v>
      </x:c>
      <x:c r="I2363">
        <x:f t="shared" si="39"/>
        <x:v>5210</x:v>
      </x:c>
    </x:row>
    <x:row r="2364" spans="1:9" x14ac:dyDescent="0.15">
      <x:c r="A2364">
        <x:v>54104</x:v>
      </x:c>
      <x:c r="B2364">
        <x:v>1</x:v>
      </x:c>
      <x:c r="C2364">
        <x:v>23</x:v>
      </x:c>
      <x:c r="D2364">
        <x:f>ROUND($C2364*10*VLOOKUP($B2364,Sheet2!$J$5:$K$7,2,FALSE)*VLOOKUP(Sheet1!$A2364,Sheet2!$B$5:$H$29,3,FALSE),0)</x:f>
        <x:v>0</x:v>
      </x:c>
      <x:c r="E2364">
        <x:f>ROUND($C2364*10*VLOOKUP($B2364,Sheet2!$J$5:$K$7,2,FALSE)*VLOOKUP(Sheet1!$A2364,Sheet2!$B$5:$H$29,4,FALSE),0)</x:f>
        <x:v>0</x:v>
      </x:c>
      <x:c r="F2364">
        <x:f>ROUND($C2364*10*VLOOKUP($B2364,Sheet2!$J$5:$K$7,2,FALSE)*VLOOKUP(Sheet1!$A2364,Sheet2!$B$5:$H$29,5,FALSE),0)</x:f>
        <x:v>110</x:v>
      </x:c>
      <x:c r="G2364">
        <x:f>ROUND($C2364*10*VLOOKUP($B2364,Sheet2!$J$5:$K$7,2,FALSE)*VLOOKUP(Sheet1!$A2364,Sheet2!$B$5:$H$29,6,FALSE),0)</x:f>
        <x:v>37</x:v>
      </x:c>
      <x:c r="H2364">
        <x:f>ROUND($C2364*10*VLOOKUP($B2364,Sheet2!$J$5:$K$7,2,FALSE)*VLOOKUP(Sheet1!$A2364,Sheet2!$B$5:$H$29,7,FALSE),0)</x:f>
        <x:v>0</x:v>
      </x:c>
      <x:c r="I2364">
        <x:f t="shared" si="39"/>
        <x:v>5660</x:v>
      </x:c>
    </x:row>
    <x:row r="2365" spans="1:9" x14ac:dyDescent="0.15">
      <x:c r="A2365">
        <x:v>54104</x:v>
      </x:c>
      <x:c r="B2365">
        <x:v>1</x:v>
      </x:c>
      <x:c r="C2365">
        <x:v>24</x:v>
      </x:c>
      <x:c r="D2365">
        <x:f>ROUND($C2365*10*VLOOKUP($B2365,Sheet2!$J$5:$K$7,2,FALSE)*VLOOKUP(Sheet1!$A2365,Sheet2!$B$5:$H$29,3,FALSE),0)</x:f>
        <x:v>0</x:v>
      </x:c>
      <x:c r="E2365">
        <x:f>ROUND($C2365*10*VLOOKUP($B2365,Sheet2!$J$5:$K$7,2,FALSE)*VLOOKUP(Sheet1!$A2365,Sheet2!$B$5:$H$29,4,FALSE),0)</x:f>
        <x:v>0</x:v>
      </x:c>
      <x:c r="F2365">
        <x:f>ROUND($C2365*10*VLOOKUP($B2365,Sheet2!$J$5:$K$7,2,FALSE)*VLOOKUP(Sheet1!$A2365,Sheet2!$B$5:$H$29,5,FALSE),0)</x:f>
        <x:v>115</x:v>
      </x:c>
      <x:c r="G2365">
        <x:f>ROUND($C2365*10*VLOOKUP($B2365,Sheet2!$J$5:$K$7,2,FALSE)*VLOOKUP(Sheet1!$A2365,Sheet2!$B$5:$H$29,6,FALSE),0)</x:f>
        <x:v>38</x:v>
      </x:c>
      <x:c r="H2365">
        <x:f>ROUND($C2365*10*VLOOKUP($B2365,Sheet2!$J$5:$K$7,2,FALSE)*VLOOKUP(Sheet1!$A2365,Sheet2!$B$5:$H$29,7,FALSE),0)</x:f>
        <x:v>0</x:v>
      </x:c>
      <x:c r="I2365">
        <x:f t="shared" si="39"/>
        <x:v>6130</x:v>
      </x:c>
    </x:row>
    <x:row r="2366" spans="1:9" x14ac:dyDescent="0.15">
      <x:c r="A2366">
        <x:v>54104</x:v>
      </x:c>
      <x:c r="B2366">
        <x:v>1</x:v>
      </x:c>
      <x:c r="C2366">
        <x:v>25</x:v>
      </x:c>
      <x:c r="D2366">
        <x:f>ROUND($C2366*10*VLOOKUP($B2366,Sheet2!$J$5:$K$7,2,FALSE)*VLOOKUP(Sheet1!$A2366,Sheet2!$B$5:$H$29,3,FALSE),0)</x:f>
        <x:v>0</x:v>
      </x:c>
      <x:c r="E2366">
        <x:f>ROUND($C2366*10*VLOOKUP($B2366,Sheet2!$J$5:$K$7,2,FALSE)*VLOOKUP(Sheet1!$A2366,Sheet2!$B$5:$H$29,4,FALSE),0)</x:f>
        <x:v>0</x:v>
      </x:c>
      <x:c r="F2366">
        <x:f>ROUND($C2366*10*VLOOKUP($B2366,Sheet2!$J$5:$K$7,2,FALSE)*VLOOKUP(Sheet1!$A2366,Sheet2!$B$5:$H$29,5,FALSE),0)</x:f>
        <x:v>120</x:v>
      </x:c>
      <x:c r="G2366">
        <x:f>ROUND($C2366*10*VLOOKUP($B2366,Sheet2!$J$5:$K$7,2,FALSE)*VLOOKUP(Sheet1!$A2366,Sheet2!$B$5:$H$29,6,FALSE),0)</x:f>
        <x:v>40</x:v>
      </x:c>
      <x:c r="H2366">
        <x:f>ROUND($C2366*10*VLOOKUP($B2366,Sheet2!$J$5:$K$7,2,FALSE)*VLOOKUP(Sheet1!$A2366,Sheet2!$B$5:$H$29,7,FALSE),0)</x:f>
        <x:v>0</x:v>
      </x:c>
      <x:c r="I2366">
        <x:f t="shared" si="39"/>
        <x:v>6620</x:v>
      </x:c>
    </x:row>
    <x:row r="2367" spans="1:9" x14ac:dyDescent="0.15">
      <x:c r="A2367">
        <x:v>54104</x:v>
      </x:c>
      <x:c r="B2367">
        <x:v>1</x:v>
      </x:c>
      <x:c r="C2367">
        <x:v>26</x:v>
      </x:c>
      <x:c r="D2367">
        <x:f>ROUND($C2367*10*VLOOKUP($B2367,Sheet2!$J$5:$K$7,2,FALSE)*VLOOKUP(Sheet1!$A2367,Sheet2!$B$5:$H$29,3,FALSE),0)</x:f>
        <x:v>0</x:v>
      </x:c>
      <x:c r="E2367">
        <x:f>ROUND($C2367*10*VLOOKUP($B2367,Sheet2!$J$5:$K$7,2,FALSE)*VLOOKUP(Sheet1!$A2367,Sheet2!$B$5:$H$29,4,FALSE),0)</x:f>
        <x:v>0</x:v>
      </x:c>
      <x:c r="F2367">
        <x:f>ROUND($C2367*10*VLOOKUP($B2367,Sheet2!$J$5:$K$7,2,FALSE)*VLOOKUP(Sheet1!$A2367,Sheet2!$B$5:$H$29,5,FALSE),0)</x:f>
        <x:v>125</x:v>
      </x:c>
      <x:c r="G2367">
        <x:f>ROUND($C2367*10*VLOOKUP($B2367,Sheet2!$J$5:$K$7,2,FALSE)*VLOOKUP(Sheet1!$A2367,Sheet2!$B$5:$H$29,6,FALSE),0)</x:f>
        <x:v>42</x:v>
      </x:c>
      <x:c r="H2367">
        <x:f>ROUND($C2367*10*VLOOKUP($B2367,Sheet2!$J$5:$K$7,2,FALSE)*VLOOKUP(Sheet1!$A2367,Sheet2!$B$5:$H$29,7,FALSE),0)</x:f>
        <x:v>0</x:v>
      </x:c>
      <x:c r="I2367">
        <x:f t="shared" si="39"/>
        <x:v>7120</x:v>
      </x:c>
    </x:row>
    <x:row r="2368" spans="1:9" x14ac:dyDescent="0.15">
      <x:c r="A2368">
        <x:v>54104</x:v>
      </x:c>
      <x:c r="B2368">
        <x:v>1</x:v>
      </x:c>
      <x:c r="C2368">
        <x:v>27</x:v>
      </x:c>
      <x:c r="D2368">
        <x:f>ROUND($C2368*10*VLOOKUP($B2368,Sheet2!$J$5:$K$7,2,FALSE)*VLOOKUP(Sheet1!$A2368,Sheet2!$B$5:$H$29,3,FALSE),0)</x:f>
        <x:v>0</x:v>
      </x:c>
      <x:c r="E2368">
        <x:f>ROUND($C2368*10*VLOOKUP($B2368,Sheet2!$J$5:$K$7,2,FALSE)*VLOOKUP(Sheet1!$A2368,Sheet2!$B$5:$H$29,4,FALSE),0)</x:f>
        <x:v>0</x:v>
      </x:c>
      <x:c r="F2368">
        <x:f>ROUND($C2368*10*VLOOKUP($B2368,Sheet2!$J$5:$K$7,2,FALSE)*VLOOKUP(Sheet1!$A2368,Sheet2!$B$5:$H$29,5,FALSE),0)</x:f>
        <x:v>130</x:v>
      </x:c>
      <x:c r="G2368">
        <x:f>ROUND($C2368*10*VLOOKUP($B2368,Sheet2!$J$5:$K$7,2,FALSE)*VLOOKUP(Sheet1!$A2368,Sheet2!$B$5:$H$29,6,FALSE),0)</x:f>
        <x:v>43</x:v>
      </x:c>
      <x:c r="H2368">
        <x:f>ROUND($C2368*10*VLOOKUP($B2368,Sheet2!$J$5:$K$7,2,FALSE)*VLOOKUP(Sheet1!$A2368,Sheet2!$B$5:$H$29,7,FALSE),0)</x:f>
        <x:v>0</x:v>
      </x:c>
      <x:c r="I2368">
        <x:f t="shared" si="39"/>
        <x:v>7640</x:v>
      </x:c>
    </x:row>
    <x:row r="2369" spans="1:9" x14ac:dyDescent="0.15">
      <x:c r="A2369">
        <x:v>54104</x:v>
      </x:c>
      <x:c r="B2369">
        <x:v>1</x:v>
      </x:c>
      <x:c r="C2369">
        <x:v>28</x:v>
      </x:c>
      <x:c r="D2369">
        <x:f>ROUND($C2369*10*VLOOKUP($B2369,Sheet2!$J$5:$K$7,2,FALSE)*VLOOKUP(Sheet1!$A2369,Sheet2!$B$5:$H$29,3,FALSE),0)</x:f>
        <x:v>0</x:v>
      </x:c>
      <x:c r="E2369">
        <x:f>ROUND($C2369*10*VLOOKUP($B2369,Sheet2!$J$5:$K$7,2,FALSE)*VLOOKUP(Sheet1!$A2369,Sheet2!$B$5:$H$29,4,FALSE),0)</x:f>
        <x:v>0</x:v>
      </x:c>
      <x:c r="F2369">
        <x:f>ROUND($C2369*10*VLOOKUP($B2369,Sheet2!$J$5:$K$7,2,FALSE)*VLOOKUP(Sheet1!$A2369,Sheet2!$B$5:$H$29,5,FALSE),0)</x:f>
        <x:v>134</x:v>
      </x:c>
      <x:c r="G2369">
        <x:f>ROUND($C2369*10*VLOOKUP($B2369,Sheet2!$J$5:$K$7,2,FALSE)*VLOOKUP(Sheet1!$A2369,Sheet2!$B$5:$H$29,6,FALSE),0)</x:f>
        <x:v>45</x:v>
      </x:c>
      <x:c r="H2369">
        <x:f>ROUND($C2369*10*VLOOKUP($B2369,Sheet2!$J$5:$K$7,2,FALSE)*VLOOKUP(Sheet1!$A2369,Sheet2!$B$5:$H$29,7,FALSE),0)</x:f>
        <x:v>0</x:v>
      </x:c>
      <x:c r="I2369">
        <x:f t="shared" si="39"/>
        <x:v>8180</x:v>
      </x:c>
    </x:row>
    <x:row r="2370" spans="1:9" x14ac:dyDescent="0.15">
      <x:c r="A2370">
        <x:v>54104</x:v>
      </x:c>
      <x:c r="B2370">
        <x:v>1</x:v>
      </x:c>
      <x:c r="C2370">
        <x:v>29</x:v>
      </x:c>
      <x:c r="D2370">
        <x:f>ROUND($C2370*10*VLOOKUP($B2370,Sheet2!$J$5:$K$7,2,FALSE)*VLOOKUP(Sheet1!$A2370,Sheet2!$B$5:$H$29,3,FALSE),0)</x:f>
        <x:v>0</x:v>
      </x:c>
      <x:c r="E2370">
        <x:f>ROUND($C2370*10*VLOOKUP($B2370,Sheet2!$J$5:$K$7,2,FALSE)*VLOOKUP(Sheet1!$A2370,Sheet2!$B$5:$H$29,4,FALSE),0)</x:f>
        <x:v>0</x:v>
      </x:c>
      <x:c r="F2370">
        <x:f>ROUND($C2370*10*VLOOKUP($B2370,Sheet2!$J$5:$K$7,2,FALSE)*VLOOKUP(Sheet1!$A2370,Sheet2!$B$5:$H$29,5,FALSE),0)</x:f>
        <x:v>139</x:v>
      </x:c>
      <x:c r="G2370">
        <x:f>ROUND($C2370*10*VLOOKUP($B2370,Sheet2!$J$5:$K$7,2,FALSE)*VLOOKUP(Sheet1!$A2370,Sheet2!$B$5:$H$29,6,FALSE),0)</x:f>
        <x:v>46</x:v>
      </x:c>
      <x:c r="H2370">
        <x:f>ROUND($C2370*10*VLOOKUP($B2370,Sheet2!$J$5:$K$7,2,FALSE)*VLOOKUP(Sheet1!$A2370,Sheet2!$B$5:$H$29,7,FALSE),0)</x:f>
        <x:v>0</x:v>
      </x:c>
      <x:c r="I2370">
        <x:f t="shared" si="39"/>
        <x:v>8730</x:v>
      </x:c>
    </x:row>
    <x:row r="2371" spans="1:9" x14ac:dyDescent="0.15">
      <x:c r="A2371">
        <x:v>54104</x:v>
      </x:c>
      <x:c r="B2371">
        <x:v>1</x:v>
      </x:c>
      <x:c r="C2371">
        <x:v>30</x:v>
      </x:c>
      <x:c r="D2371">
        <x:f>ROUND($C2371*10*VLOOKUP($B2371,Sheet2!$J$5:$K$7,2,FALSE)*VLOOKUP(Sheet1!$A2371,Sheet2!$B$5:$H$29,3,FALSE),0)</x:f>
        <x:v>0</x:v>
      </x:c>
      <x:c r="E2371">
        <x:f>ROUND($C2371*10*VLOOKUP($B2371,Sheet2!$J$5:$K$7,2,FALSE)*VLOOKUP(Sheet1!$A2371,Sheet2!$B$5:$H$29,4,FALSE),0)</x:f>
        <x:v>0</x:v>
      </x:c>
      <x:c r="F2371">
        <x:f>ROUND($C2371*10*VLOOKUP($B2371,Sheet2!$J$5:$K$7,2,FALSE)*VLOOKUP(Sheet1!$A2371,Sheet2!$B$5:$H$29,5,FALSE),0)</x:f>
        <x:v>144</x:v>
      </x:c>
      <x:c r="G2371">
        <x:f>ROUND($C2371*10*VLOOKUP($B2371,Sheet2!$J$5:$K$7,2,FALSE)*VLOOKUP(Sheet1!$A2371,Sheet2!$B$5:$H$29,6,FALSE),0)</x:f>
        <x:v>48</x:v>
      </x:c>
      <x:c r="H2371">
        <x:f>ROUND($C2371*10*VLOOKUP($B2371,Sheet2!$J$5:$K$7,2,FALSE)*VLOOKUP(Sheet1!$A2371,Sheet2!$B$5:$H$29,7,FALSE),0)</x:f>
        <x:v>0</x:v>
      </x:c>
      <x:c r="I2371">
        <x:f t="shared" si="39"/>
        <x:v>9290</x:v>
      </x:c>
    </x:row>
    <x:row r="2372" spans="1:9" x14ac:dyDescent="0.15">
      <x:c r="A2372">
        <x:v>54104</x:v>
      </x:c>
      <x:c r="B2372">
        <x:v>1</x:v>
      </x:c>
      <x:c r="C2372">
        <x:v>31</x:v>
      </x:c>
      <x:c r="D2372">
        <x:f>ROUND($C2372*10*VLOOKUP($B2372,Sheet2!$J$5:$K$7,2,FALSE)*VLOOKUP(Sheet1!$A2372,Sheet2!$B$5:$H$29,3,FALSE),0)</x:f>
        <x:v>0</x:v>
      </x:c>
      <x:c r="E2372">
        <x:f>ROUND($C2372*10*VLOOKUP($B2372,Sheet2!$J$5:$K$7,2,FALSE)*VLOOKUP(Sheet1!$A2372,Sheet2!$B$5:$H$29,4,FALSE),0)</x:f>
        <x:v>0</x:v>
      </x:c>
      <x:c r="F2372">
        <x:f>ROUND($C2372*10*VLOOKUP($B2372,Sheet2!$J$5:$K$7,2,FALSE)*VLOOKUP(Sheet1!$A2372,Sheet2!$B$5:$H$29,5,FALSE),0)</x:f>
        <x:v>149</x:v>
      </x:c>
      <x:c r="G2372">
        <x:f>ROUND($C2372*10*VLOOKUP($B2372,Sheet2!$J$5:$K$7,2,FALSE)*VLOOKUP(Sheet1!$A2372,Sheet2!$B$5:$H$29,6,FALSE),0)</x:f>
        <x:v>50</x:v>
      </x:c>
      <x:c r="H2372">
        <x:f>ROUND($C2372*10*VLOOKUP($B2372,Sheet2!$J$5:$K$7,2,FALSE)*VLOOKUP(Sheet1!$A2372,Sheet2!$B$5:$H$29,7,FALSE),0)</x:f>
        <x:v>0</x:v>
      </x:c>
      <x:c r="I2372">
        <x:f t="shared" si="39"/>
        <x:v>9880</x:v>
      </x:c>
    </x:row>
    <x:row r="2373" spans="1:9" x14ac:dyDescent="0.15">
      <x:c r="A2373">
        <x:v>54104</x:v>
      </x:c>
      <x:c r="B2373">
        <x:v>1</x:v>
      </x:c>
      <x:c r="C2373">
        <x:v>32</x:v>
      </x:c>
      <x:c r="D2373">
        <x:f>ROUND($C2373*10*VLOOKUP($B2373,Sheet2!$J$5:$K$7,2,FALSE)*VLOOKUP(Sheet1!$A2373,Sheet2!$B$5:$H$29,3,FALSE),0)</x:f>
        <x:v>0</x:v>
      </x:c>
      <x:c r="E2373">
        <x:f>ROUND($C2373*10*VLOOKUP($B2373,Sheet2!$J$5:$K$7,2,FALSE)*VLOOKUP(Sheet1!$A2373,Sheet2!$B$5:$H$29,4,FALSE),0)</x:f>
        <x:v>0</x:v>
      </x:c>
      <x:c r="F2373">
        <x:f>ROUND($C2373*10*VLOOKUP($B2373,Sheet2!$J$5:$K$7,2,FALSE)*VLOOKUP(Sheet1!$A2373,Sheet2!$B$5:$H$29,5,FALSE),0)</x:f>
        <x:v>154</x:v>
      </x:c>
      <x:c r="G2373">
        <x:f>ROUND($C2373*10*VLOOKUP($B2373,Sheet2!$J$5:$K$7,2,FALSE)*VLOOKUP(Sheet1!$A2373,Sheet2!$B$5:$H$29,6,FALSE),0)</x:f>
        <x:v>51</x:v>
      </x:c>
      <x:c r="H2373">
        <x:f>ROUND($C2373*10*VLOOKUP($B2373,Sheet2!$J$5:$K$7,2,FALSE)*VLOOKUP(Sheet1!$A2373,Sheet2!$B$5:$H$29,7,FALSE),0)</x:f>
        <x:v>0</x:v>
      </x:c>
      <x:c r="I2373">
        <x:f t="shared" si="39"/>
        <x:v>10470</x:v>
      </x:c>
    </x:row>
    <x:row r="2374" spans="1:9" x14ac:dyDescent="0.15">
      <x:c r="A2374">
        <x:v>54104</x:v>
      </x:c>
      <x:c r="B2374">
        <x:v>1</x:v>
      </x:c>
      <x:c r="C2374">
        <x:v>33</x:v>
      </x:c>
      <x:c r="D2374">
        <x:f>ROUND($C2374*10*VLOOKUP($B2374,Sheet2!$J$5:$K$7,2,FALSE)*VLOOKUP(Sheet1!$A2374,Sheet2!$B$5:$H$29,3,FALSE),0)</x:f>
        <x:v>0</x:v>
      </x:c>
      <x:c r="E2374">
        <x:f>ROUND($C2374*10*VLOOKUP($B2374,Sheet2!$J$5:$K$7,2,FALSE)*VLOOKUP(Sheet1!$A2374,Sheet2!$B$5:$H$29,4,FALSE),0)</x:f>
        <x:v>0</x:v>
      </x:c>
      <x:c r="F2374">
        <x:f>ROUND($C2374*10*VLOOKUP($B2374,Sheet2!$J$5:$K$7,2,FALSE)*VLOOKUP(Sheet1!$A2374,Sheet2!$B$5:$H$29,5,FALSE),0)</x:f>
        <x:v>158</x:v>
      </x:c>
      <x:c r="G2374">
        <x:f>ROUND($C2374*10*VLOOKUP($B2374,Sheet2!$J$5:$K$7,2,FALSE)*VLOOKUP(Sheet1!$A2374,Sheet2!$B$5:$H$29,6,FALSE),0)</x:f>
        <x:v>53</x:v>
      </x:c>
      <x:c r="H2374">
        <x:f>ROUND($C2374*10*VLOOKUP($B2374,Sheet2!$J$5:$K$7,2,FALSE)*VLOOKUP(Sheet1!$A2374,Sheet2!$B$5:$H$29,7,FALSE),0)</x:f>
        <x:v>0</x:v>
      </x:c>
      <x:c r="I2374">
        <x:f t="shared" si="39"/>
        <x:v>11090</x:v>
      </x:c>
    </x:row>
    <x:row r="2375" spans="1:9" x14ac:dyDescent="0.15">
      <x:c r="A2375">
        <x:v>54104</x:v>
      </x:c>
      <x:c r="B2375">
        <x:v>1</x:v>
      </x:c>
      <x:c r="C2375">
        <x:v>34</x:v>
      </x:c>
      <x:c r="D2375">
        <x:f>ROUND($C2375*10*VLOOKUP($B2375,Sheet2!$J$5:$K$7,2,FALSE)*VLOOKUP(Sheet1!$A2375,Sheet2!$B$5:$H$29,3,FALSE),0)</x:f>
        <x:v>0</x:v>
      </x:c>
      <x:c r="E2375">
        <x:f>ROUND($C2375*10*VLOOKUP($B2375,Sheet2!$J$5:$K$7,2,FALSE)*VLOOKUP(Sheet1!$A2375,Sheet2!$B$5:$H$29,4,FALSE),0)</x:f>
        <x:v>0</x:v>
      </x:c>
      <x:c r="F2375">
        <x:f>ROUND($C2375*10*VLOOKUP($B2375,Sheet2!$J$5:$K$7,2,FALSE)*VLOOKUP(Sheet1!$A2375,Sheet2!$B$5:$H$29,5,FALSE),0)</x:f>
        <x:v>163</x:v>
      </x:c>
      <x:c r="G2375">
        <x:f>ROUND($C2375*10*VLOOKUP($B2375,Sheet2!$J$5:$K$7,2,FALSE)*VLOOKUP(Sheet1!$A2375,Sheet2!$B$5:$H$29,6,FALSE),0)</x:f>
        <x:v>54</x:v>
      </x:c>
      <x:c r="H2375">
        <x:f>ROUND($C2375*10*VLOOKUP($B2375,Sheet2!$J$5:$K$7,2,FALSE)*VLOOKUP(Sheet1!$A2375,Sheet2!$B$5:$H$29,7,FALSE),0)</x:f>
        <x:v>0</x:v>
      </x:c>
      <x:c r="I2375">
        <x:f t="shared" si="39"/>
        <x:v>11720</x:v>
      </x:c>
    </x:row>
    <x:row r="2376" spans="1:9" x14ac:dyDescent="0.15">
      <x:c r="A2376">
        <x:v>54104</x:v>
      </x:c>
      <x:c r="B2376">
        <x:v>1</x:v>
      </x:c>
      <x:c r="C2376">
        <x:v>35</x:v>
      </x:c>
      <x:c r="D2376">
        <x:f>ROUND($C2376*10*VLOOKUP($B2376,Sheet2!$J$5:$K$7,2,FALSE)*VLOOKUP(Sheet1!$A2376,Sheet2!$B$5:$H$29,3,FALSE),0)</x:f>
        <x:v>0</x:v>
      </x:c>
      <x:c r="E2376">
        <x:f>ROUND($C2376*10*VLOOKUP($B2376,Sheet2!$J$5:$K$7,2,FALSE)*VLOOKUP(Sheet1!$A2376,Sheet2!$B$5:$H$29,4,FALSE),0)</x:f>
        <x:v>0</x:v>
      </x:c>
      <x:c r="F2376">
        <x:f>ROUND($C2376*10*VLOOKUP($B2376,Sheet2!$J$5:$K$7,2,FALSE)*VLOOKUP(Sheet1!$A2376,Sheet2!$B$5:$H$29,5,FALSE),0)</x:f>
        <x:v>168</x:v>
      </x:c>
      <x:c r="G2376">
        <x:f>ROUND($C2376*10*VLOOKUP($B2376,Sheet2!$J$5:$K$7,2,FALSE)*VLOOKUP(Sheet1!$A2376,Sheet2!$B$5:$H$29,6,FALSE),0)</x:f>
        <x:v>56</x:v>
      </x:c>
      <x:c r="H2376">
        <x:f>ROUND($C2376*10*VLOOKUP($B2376,Sheet2!$J$5:$K$7,2,FALSE)*VLOOKUP(Sheet1!$A2376,Sheet2!$B$5:$H$29,7,FALSE),0)</x:f>
        <x:v>0</x:v>
      </x:c>
      <x:c r="I2376">
        <x:f t="shared" si="39"/>
        <x:v>12360</x:v>
      </x:c>
    </x:row>
    <x:row r="2377" spans="1:9" x14ac:dyDescent="0.15">
      <x:c r="A2377">
        <x:v>54104</x:v>
      </x:c>
      <x:c r="B2377">
        <x:v>1</x:v>
      </x:c>
      <x:c r="C2377">
        <x:v>36</x:v>
      </x:c>
      <x:c r="D2377">
        <x:f>ROUND($C2377*10*VLOOKUP($B2377,Sheet2!$J$5:$K$7,2,FALSE)*VLOOKUP(Sheet1!$A2377,Sheet2!$B$5:$H$29,3,FALSE),0)</x:f>
        <x:v>0</x:v>
      </x:c>
      <x:c r="E2377">
        <x:f>ROUND($C2377*10*VLOOKUP($B2377,Sheet2!$J$5:$K$7,2,FALSE)*VLOOKUP(Sheet1!$A2377,Sheet2!$B$5:$H$29,4,FALSE),0)</x:f>
        <x:v>0</x:v>
      </x:c>
      <x:c r="F2377">
        <x:f>ROUND($C2377*10*VLOOKUP($B2377,Sheet2!$J$5:$K$7,2,FALSE)*VLOOKUP(Sheet1!$A2377,Sheet2!$B$5:$H$29,5,FALSE),0)</x:f>
        <x:v>173</x:v>
      </x:c>
      <x:c r="G2377">
        <x:f>ROUND($C2377*10*VLOOKUP($B2377,Sheet2!$J$5:$K$7,2,FALSE)*VLOOKUP(Sheet1!$A2377,Sheet2!$B$5:$H$29,6,FALSE),0)</x:f>
        <x:v>58</x:v>
      </x:c>
      <x:c r="H2377">
        <x:f>ROUND($C2377*10*VLOOKUP($B2377,Sheet2!$J$5:$K$7,2,FALSE)*VLOOKUP(Sheet1!$A2377,Sheet2!$B$5:$H$29,7,FALSE),0)</x:f>
        <x:v>0</x:v>
      </x:c>
      <x:c r="I2377">
        <x:f t="shared" si="39"/>
        <x:v>13020</x:v>
      </x:c>
    </x:row>
    <x:row r="2378" spans="1:9" x14ac:dyDescent="0.15">
      <x:c r="A2378">
        <x:v>54104</x:v>
      </x:c>
      <x:c r="B2378">
        <x:v>1</x:v>
      </x:c>
      <x:c r="C2378">
        <x:v>37</x:v>
      </x:c>
      <x:c r="D2378">
        <x:f>ROUND($C2378*10*VLOOKUP($B2378,Sheet2!$J$5:$K$7,2,FALSE)*VLOOKUP(Sheet1!$A2378,Sheet2!$B$5:$H$29,3,FALSE),0)</x:f>
        <x:v>0</x:v>
      </x:c>
      <x:c r="E2378">
        <x:f>ROUND($C2378*10*VLOOKUP($B2378,Sheet2!$J$5:$K$7,2,FALSE)*VLOOKUP(Sheet1!$A2378,Sheet2!$B$5:$H$29,4,FALSE),0)</x:f>
        <x:v>0</x:v>
      </x:c>
      <x:c r="F2378">
        <x:f>ROUND($C2378*10*VLOOKUP($B2378,Sheet2!$J$5:$K$7,2,FALSE)*VLOOKUP(Sheet1!$A2378,Sheet2!$B$5:$H$29,5,FALSE),0)</x:f>
        <x:v>178</x:v>
      </x:c>
      <x:c r="G2378">
        <x:f>ROUND($C2378*10*VLOOKUP($B2378,Sheet2!$J$5:$K$7,2,FALSE)*VLOOKUP(Sheet1!$A2378,Sheet2!$B$5:$H$29,6,FALSE),0)</x:f>
        <x:v>59</x:v>
      </x:c>
      <x:c r="H2378">
        <x:f>ROUND($C2378*10*VLOOKUP($B2378,Sheet2!$J$5:$K$7,2,FALSE)*VLOOKUP(Sheet1!$A2378,Sheet2!$B$5:$H$29,7,FALSE),0)</x:f>
        <x:v>0</x:v>
      </x:c>
      <x:c r="I2378">
        <x:f t="shared" si="39"/>
        <x:v>13700</x:v>
      </x:c>
    </x:row>
    <x:row r="2379" spans="1:9" x14ac:dyDescent="0.15">
      <x:c r="A2379">
        <x:v>54104</x:v>
      </x:c>
      <x:c r="B2379">
        <x:v>1</x:v>
      </x:c>
      <x:c r="C2379">
        <x:v>38</x:v>
      </x:c>
      <x:c r="D2379">
        <x:f>ROUND($C2379*10*VLOOKUP($B2379,Sheet2!$J$5:$K$7,2,FALSE)*VLOOKUP(Sheet1!$A2379,Sheet2!$B$5:$H$29,3,FALSE),0)</x:f>
        <x:v>0</x:v>
      </x:c>
      <x:c r="E2379">
        <x:f>ROUND($C2379*10*VLOOKUP($B2379,Sheet2!$J$5:$K$7,2,FALSE)*VLOOKUP(Sheet1!$A2379,Sheet2!$B$5:$H$29,4,FALSE),0)</x:f>
        <x:v>0</x:v>
      </x:c>
      <x:c r="F2379">
        <x:f>ROUND($C2379*10*VLOOKUP($B2379,Sheet2!$J$5:$K$7,2,FALSE)*VLOOKUP(Sheet1!$A2379,Sheet2!$B$5:$H$29,5,FALSE),0)</x:f>
        <x:v>182</x:v>
      </x:c>
      <x:c r="G2379">
        <x:f>ROUND($C2379*10*VLOOKUP($B2379,Sheet2!$J$5:$K$7,2,FALSE)*VLOOKUP(Sheet1!$A2379,Sheet2!$B$5:$H$29,6,FALSE),0)</x:f>
        <x:v>61</x:v>
      </x:c>
      <x:c r="H2379">
        <x:f>ROUND($C2379*10*VLOOKUP($B2379,Sheet2!$J$5:$K$7,2,FALSE)*VLOOKUP(Sheet1!$A2379,Sheet2!$B$5:$H$29,7,FALSE),0)</x:f>
        <x:v>0</x:v>
      </x:c>
      <x:c r="I2379">
        <x:f t="shared" si="39"/>
        <x:v>14390</x:v>
      </x:c>
    </x:row>
    <x:row r="2380" spans="1:9" x14ac:dyDescent="0.15">
      <x:c r="A2380">
        <x:v>54104</x:v>
      </x:c>
      <x:c r="B2380">
        <x:v>1</x:v>
      </x:c>
      <x:c r="C2380">
        <x:v>39</x:v>
      </x:c>
      <x:c r="D2380">
        <x:f>ROUND($C2380*10*VLOOKUP($B2380,Sheet2!$J$5:$K$7,2,FALSE)*VLOOKUP(Sheet1!$A2380,Sheet2!$B$5:$H$29,3,FALSE),0)</x:f>
        <x:v>0</x:v>
      </x:c>
      <x:c r="E2380">
        <x:f>ROUND($C2380*10*VLOOKUP($B2380,Sheet2!$J$5:$K$7,2,FALSE)*VLOOKUP(Sheet1!$A2380,Sheet2!$B$5:$H$29,4,FALSE),0)</x:f>
        <x:v>0</x:v>
      </x:c>
      <x:c r="F2380">
        <x:f>ROUND($C2380*10*VLOOKUP($B2380,Sheet2!$J$5:$K$7,2,FALSE)*VLOOKUP(Sheet1!$A2380,Sheet2!$B$5:$H$29,5,FALSE),0)</x:f>
        <x:v>187</x:v>
      </x:c>
      <x:c r="G2380">
        <x:f>ROUND($C2380*10*VLOOKUP($B2380,Sheet2!$J$5:$K$7,2,FALSE)*VLOOKUP(Sheet1!$A2380,Sheet2!$B$5:$H$29,6,FALSE),0)</x:f>
        <x:v>62</x:v>
      </x:c>
      <x:c r="H2380">
        <x:f>ROUND($C2380*10*VLOOKUP($B2380,Sheet2!$J$5:$K$7,2,FALSE)*VLOOKUP(Sheet1!$A2380,Sheet2!$B$5:$H$29,7,FALSE),0)</x:f>
        <x:v>0</x:v>
      </x:c>
      <x:c r="I2380">
        <x:f t="shared" si="39"/>
        <x:v>15100</x:v>
      </x:c>
    </x:row>
    <x:row r="2381" spans="1:9" x14ac:dyDescent="0.15">
      <x:c r="A2381">
        <x:v>54104</x:v>
      </x:c>
      <x:c r="B2381">
        <x:v>1</x:v>
      </x:c>
      <x:c r="C2381">
        <x:v>40</x:v>
      </x:c>
      <x:c r="D2381">
        <x:f>ROUND($C2381*10*VLOOKUP($B2381,Sheet2!$J$5:$K$7,2,FALSE)*VLOOKUP(Sheet1!$A2381,Sheet2!$B$5:$H$29,3,FALSE),0)</x:f>
        <x:v>0</x:v>
      </x:c>
      <x:c r="E2381">
        <x:f>ROUND($C2381*10*VLOOKUP($B2381,Sheet2!$J$5:$K$7,2,FALSE)*VLOOKUP(Sheet1!$A2381,Sheet2!$B$5:$H$29,4,FALSE),0)</x:f>
        <x:v>0</x:v>
      </x:c>
      <x:c r="F2381">
        <x:f>ROUND($C2381*10*VLOOKUP($B2381,Sheet2!$J$5:$K$7,2,FALSE)*VLOOKUP(Sheet1!$A2381,Sheet2!$B$5:$H$29,5,FALSE),0)</x:f>
        <x:v>192</x:v>
      </x:c>
      <x:c r="G2381">
        <x:f>ROUND($C2381*10*VLOOKUP($B2381,Sheet2!$J$5:$K$7,2,FALSE)*VLOOKUP(Sheet1!$A2381,Sheet2!$B$5:$H$29,6,FALSE),0)</x:f>
        <x:v>64</x:v>
      </x:c>
      <x:c r="H2381">
        <x:f>ROUND($C2381*10*VLOOKUP($B2381,Sheet2!$J$5:$K$7,2,FALSE)*VLOOKUP(Sheet1!$A2381,Sheet2!$B$5:$H$29,7,FALSE),0)</x:f>
        <x:v>0</x:v>
      </x:c>
      <x:c r="I2381">
        <x:f t="shared" si="39"/>
        <x:v>15820</x:v>
      </x:c>
    </x:row>
    <x:row r="2382" spans="1:9" x14ac:dyDescent="0.15">
      <x:c r="A2382">
        <x:v>54104</x:v>
      </x:c>
      <x:c r="B2382">
        <x:v>1</x:v>
      </x:c>
      <x:c r="C2382">
        <x:v>41</x:v>
      </x:c>
      <x:c r="D2382">
        <x:f>ROUND($C2382*10*VLOOKUP($B2382,Sheet2!$J$5:$K$7,2,FALSE)*VLOOKUP(Sheet1!$A2382,Sheet2!$B$5:$H$29,3,FALSE),0)</x:f>
        <x:v>0</x:v>
      </x:c>
      <x:c r="E2382">
        <x:f>ROUND($C2382*10*VLOOKUP($B2382,Sheet2!$J$5:$K$7,2,FALSE)*VLOOKUP(Sheet1!$A2382,Sheet2!$B$5:$H$29,4,FALSE),0)</x:f>
        <x:v>0</x:v>
      </x:c>
      <x:c r="F2382">
        <x:f>ROUND($C2382*10*VLOOKUP($B2382,Sheet2!$J$5:$K$7,2,FALSE)*VLOOKUP(Sheet1!$A2382,Sheet2!$B$5:$H$29,5,FALSE),0)</x:f>
        <x:v>197</x:v>
      </x:c>
      <x:c r="G2382">
        <x:f>ROUND($C2382*10*VLOOKUP($B2382,Sheet2!$J$5:$K$7,2,FALSE)*VLOOKUP(Sheet1!$A2382,Sheet2!$B$5:$H$29,6,FALSE),0)</x:f>
        <x:v>66</x:v>
      </x:c>
      <x:c r="H2382">
        <x:f>ROUND($C2382*10*VLOOKUP($B2382,Sheet2!$J$5:$K$7,2,FALSE)*VLOOKUP(Sheet1!$A2382,Sheet2!$B$5:$H$29,7,FALSE),0)</x:f>
        <x:v>0</x:v>
      </x:c>
      <x:c r="I2382">
        <x:f t="shared" si="39"/>
        <x:v>16560</x:v>
      </x:c>
    </x:row>
    <x:row r="2383" spans="1:9" x14ac:dyDescent="0.15">
      <x:c r="A2383">
        <x:v>54104</x:v>
      </x:c>
      <x:c r="B2383">
        <x:v>1</x:v>
      </x:c>
      <x:c r="C2383">
        <x:v>42</x:v>
      </x:c>
      <x:c r="D2383">
        <x:f>ROUND($C2383*10*VLOOKUP($B2383,Sheet2!$J$5:$K$7,2,FALSE)*VLOOKUP(Sheet1!$A2383,Sheet2!$B$5:$H$29,3,FALSE),0)</x:f>
        <x:v>0</x:v>
      </x:c>
      <x:c r="E2383">
        <x:f>ROUND($C2383*10*VLOOKUP($B2383,Sheet2!$J$5:$K$7,2,FALSE)*VLOOKUP(Sheet1!$A2383,Sheet2!$B$5:$H$29,4,FALSE),0)</x:f>
        <x:v>0</x:v>
      </x:c>
      <x:c r="F2383">
        <x:f>ROUND($C2383*10*VLOOKUP($B2383,Sheet2!$J$5:$K$7,2,FALSE)*VLOOKUP(Sheet1!$A2383,Sheet2!$B$5:$H$29,5,FALSE),0)</x:f>
        <x:v>202</x:v>
      </x:c>
      <x:c r="G2383">
        <x:f>ROUND($C2383*10*VLOOKUP($B2383,Sheet2!$J$5:$K$7,2,FALSE)*VLOOKUP(Sheet1!$A2383,Sheet2!$B$5:$H$29,6,FALSE),0)</x:f>
        <x:v>67</x:v>
      </x:c>
      <x:c r="H2383">
        <x:f>ROUND($C2383*10*VLOOKUP($B2383,Sheet2!$J$5:$K$7,2,FALSE)*VLOOKUP(Sheet1!$A2383,Sheet2!$B$5:$H$29,7,FALSE),0)</x:f>
        <x:v>0</x:v>
      </x:c>
      <x:c r="I2383">
        <x:f t="shared" si="39"/>
        <x:v>17310</x:v>
      </x:c>
    </x:row>
    <x:row r="2384" spans="1:9" x14ac:dyDescent="0.15">
      <x:c r="A2384">
        <x:v>54104</x:v>
      </x:c>
      <x:c r="B2384">
        <x:v>1</x:v>
      </x:c>
      <x:c r="C2384">
        <x:v>43</x:v>
      </x:c>
      <x:c r="D2384">
        <x:f>ROUND($C2384*10*VLOOKUP($B2384,Sheet2!$J$5:$K$7,2,FALSE)*VLOOKUP(Sheet1!$A2384,Sheet2!$B$5:$H$29,3,FALSE),0)</x:f>
        <x:v>0</x:v>
      </x:c>
      <x:c r="E2384">
        <x:f>ROUND($C2384*10*VLOOKUP($B2384,Sheet2!$J$5:$K$7,2,FALSE)*VLOOKUP(Sheet1!$A2384,Sheet2!$B$5:$H$29,4,FALSE),0)</x:f>
        <x:v>0</x:v>
      </x:c>
      <x:c r="F2384">
        <x:f>ROUND($C2384*10*VLOOKUP($B2384,Sheet2!$J$5:$K$7,2,FALSE)*VLOOKUP(Sheet1!$A2384,Sheet2!$B$5:$H$29,5,FALSE),0)</x:f>
        <x:v>206</x:v>
      </x:c>
      <x:c r="G2384">
        <x:f>ROUND($C2384*10*VLOOKUP($B2384,Sheet2!$J$5:$K$7,2,FALSE)*VLOOKUP(Sheet1!$A2384,Sheet2!$B$5:$H$29,6,FALSE),0)</x:f>
        <x:v>69</x:v>
      </x:c>
      <x:c r="H2384">
        <x:f>ROUND($C2384*10*VLOOKUP($B2384,Sheet2!$J$5:$K$7,2,FALSE)*VLOOKUP(Sheet1!$A2384,Sheet2!$B$5:$H$29,7,FALSE),0)</x:f>
        <x:v>0</x:v>
      </x:c>
      <x:c r="I2384">
        <x:f t="shared" si="39"/>
        <x:v>18070</x:v>
      </x:c>
    </x:row>
    <x:row r="2385" spans="1:9" x14ac:dyDescent="0.15">
      <x:c r="A2385">
        <x:v>54104</x:v>
      </x:c>
      <x:c r="B2385">
        <x:v>1</x:v>
      </x:c>
      <x:c r="C2385">
        <x:v>44</x:v>
      </x:c>
      <x:c r="D2385">
        <x:f>ROUND($C2385*10*VLOOKUP($B2385,Sheet2!$J$5:$K$7,2,FALSE)*VLOOKUP(Sheet1!$A2385,Sheet2!$B$5:$H$29,3,FALSE),0)</x:f>
        <x:v>0</x:v>
      </x:c>
      <x:c r="E2385">
        <x:f>ROUND($C2385*10*VLOOKUP($B2385,Sheet2!$J$5:$K$7,2,FALSE)*VLOOKUP(Sheet1!$A2385,Sheet2!$B$5:$H$29,4,FALSE),0)</x:f>
        <x:v>0</x:v>
      </x:c>
      <x:c r="F2385">
        <x:f>ROUND($C2385*10*VLOOKUP($B2385,Sheet2!$J$5:$K$7,2,FALSE)*VLOOKUP(Sheet1!$A2385,Sheet2!$B$5:$H$29,5,FALSE),0)</x:f>
        <x:v>211</x:v>
      </x:c>
      <x:c r="G2385">
        <x:f>ROUND($C2385*10*VLOOKUP($B2385,Sheet2!$J$5:$K$7,2,FALSE)*VLOOKUP(Sheet1!$A2385,Sheet2!$B$5:$H$29,6,FALSE),0)</x:f>
        <x:v>70</x:v>
      </x:c>
      <x:c r="H2385">
        <x:f>ROUND($C2385*10*VLOOKUP($B2385,Sheet2!$J$5:$K$7,2,FALSE)*VLOOKUP(Sheet1!$A2385,Sheet2!$B$5:$H$29,7,FALSE),0)</x:f>
        <x:v>0</x:v>
      </x:c>
      <x:c r="I2385">
        <x:f t="shared" si="39"/>
        <x:v>18850</x:v>
      </x:c>
    </x:row>
    <x:row r="2386" spans="1:9" x14ac:dyDescent="0.15">
      <x:c r="A2386">
        <x:v>54104</x:v>
      </x:c>
      <x:c r="B2386">
        <x:v>1</x:v>
      </x:c>
      <x:c r="C2386">
        <x:v>45</x:v>
      </x:c>
      <x:c r="D2386">
        <x:f>ROUND($C2386*10*VLOOKUP($B2386,Sheet2!$J$5:$K$7,2,FALSE)*VLOOKUP(Sheet1!$A2386,Sheet2!$B$5:$H$29,3,FALSE),0)</x:f>
        <x:v>0</x:v>
      </x:c>
      <x:c r="E2386">
        <x:f>ROUND($C2386*10*VLOOKUP($B2386,Sheet2!$J$5:$K$7,2,FALSE)*VLOOKUP(Sheet1!$A2386,Sheet2!$B$5:$H$29,4,FALSE),0)</x:f>
        <x:v>0</x:v>
      </x:c>
      <x:c r="F2386">
        <x:f>ROUND($C2386*10*VLOOKUP($B2386,Sheet2!$J$5:$K$7,2,FALSE)*VLOOKUP(Sheet1!$A2386,Sheet2!$B$5:$H$29,5,FALSE),0)</x:f>
        <x:v>216</x:v>
      </x:c>
      <x:c r="G2386">
        <x:f>ROUND($C2386*10*VLOOKUP($B2386,Sheet2!$J$5:$K$7,2,FALSE)*VLOOKUP(Sheet1!$A2386,Sheet2!$B$5:$H$29,6,FALSE),0)</x:f>
        <x:v>72</x:v>
      </x:c>
      <x:c r="H2386">
        <x:f>ROUND($C2386*10*VLOOKUP($B2386,Sheet2!$J$5:$K$7,2,FALSE)*VLOOKUP(Sheet1!$A2386,Sheet2!$B$5:$H$29,7,FALSE),0)</x:f>
        <x:v>0</x:v>
      </x:c>
      <x:c r="I2386">
        <x:f t="shared" si="39"/>
        <x:v>19650</x:v>
      </x:c>
    </x:row>
    <x:row r="2387" spans="1:9" x14ac:dyDescent="0.15">
      <x:c r="A2387">
        <x:v>54104</x:v>
      </x:c>
      <x:c r="B2387">
        <x:v>1</x:v>
      </x:c>
      <x:c r="C2387">
        <x:v>46</x:v>
      </x:c>
      <x:c r="D2387">
        <x:f>ROUND($C2387*10*VLOOKUP($B2387,Sheet2!$J$5:$K$7,2,FALSE)*VLOOKUP(Sheet1!$A2387,Sheet2!$B$5:$H$29,3,FALSE),0)</x:f>
        <x:v>0</x:v>
      </x:c>
      <x:c r="E2387">
        <x:f>ROUND($C2387*10*VLOOKUP($B2387,Sheet2!$J$5:$K$7,2,FALSE)*VLOOKUP(Sheet1!$A2387,Sheet2!$B$5:$H$29,4,FALSE),0)</x:f>
        <x:v>0</x:v>
      </x:c>
      <x:c r="F2387">
        <x:f>ROUND($C2387*10*VLOOKUP($B2387,Sheet2!$J$5:$K$7,2,FALSE)*VLOOKUP(Sheet1!$A2387,Sheet2!$B$5:$H$29,5,FALSE),0)</x:f>
        <x:v>221</x:v>
      </x:c>
      <x:c r="G2387">
        <x:f>ROUND($C2387*10*VLOOKUP($B2387,Sheet2!$J$5:$K$7,2,FALSE)*VLOOKUP(Sheet1!$A2387,Sheet2!$B$5:$H$29,6,FALSE),0)</x:f>
        <x:v>74</x:v>
      </x:c>
      <x:c r="H2387">
        <x:f>ROUND($C2387*10*VLOOKUP($B2387,Sheet2!$J$5:$K$7,2,FALSE)*VLOOKUP(Sheet1!$A2387,Sheet2!$B$5:$H$29,7,FALSE),0)</x:f>
        <x:v>0</x:v>
      </x:c>
      <x:c r="I2387">
        <x:f t="shared" si="39"/>
        <x:v>20460</x:v>
      </x:c>
    </x:row>
    <x:row r="2388" spans="1:9" x14ac:dyDescent="0.15">
      <x:c r="A2388">
        <x:v>54104</x:v>
      </x:c>
      <x:c r="B2388">
        <x:v>1</x:v>
      </x:c>
      <x:c r="C2388">
        <x:v>47</x:v>
      </x:c>
      <x:c r="D2388">
        <x:f>ROUND($C2388*10*VLOOKUP($B2388,Sheet2!$J$5:$K$7,2,FALSE)*VLOOKUP(Sheet1!$A2388,Sheet2!$B$5:$H$29,3,FALSE),0)</x:f>
        <x:v>0</x:v>
      </x:c>
      <x:c r="E2388">
        <x:f>ROUND($C2388*10*VLOOKUP($B2388,Sheet2!$J$5:$K$7,2,FALSE)*VLOOKUP(Sheet1!$A2388,Sheet2!$B$5:$H$29,4,FALSE),0)</x:f>
        <x:v>0</x:v>
      </x:c>
      <x:c r="F2388">
        <x:f>ROUND($C2388*10*VLOOKUP($B2388,Sheet2!$J$5:$K$7,2,FALSE)*VLOOKUP(Sheet1!$A2388,Sheet2!$B$5:$H$29,5,FALSE),0)</x:f>
        <x:v>226</x:v>
      </x:c>
      <x:c r="G2388">
        <x:f>ROUND($C2388*10*VLOOKUP($B2388,Sheet2!$J$5:$K$7,2,FALSE)*VLOOKUP(Sheet1!$A2388,Sheet2!$B$5:$H$29,6,FALSE),0)</x:f>
        <x:v>75</x:v>
      </x:c>
      <x:c r="H2388">
        <x:f>ROUND($C2388*10*VLOOKUP($B2388,Sheet2!$J$5:$K$7,2,FALSE)*VLOOKUP(Sheet1!$A2388,Sheet2!$B$5:$H$29,7,FALSE),0)</x:f>
        <x:v>0</x:v>
      </x:c>
      <x:c r="I2388">
        <x:f t="shared" si="39"/>
        <x:v>21280</x:v>
      </x:c>
    </x:row>
    <x:row r="2389" spans="1:9" x14ac:dyDescent="0.15">
      <x:c r="A2389">
        <x:v>54104</x:v>
      </x:c>
      <x:c r="B2389">
        <x:v>1</x:v>
      </x:c>
      <x:c r="C2389">
        <x:v>48</x:v>
      </x:c>
      <x:c r="D2389">
        <x:f>ROUND($C2389*10*VLOOKUP($B2389,Sheet2!$J$5:$K$7,2,FALSE)*VLOOKUP(Sheet1!$A2389,Sheet2!$B$5:$H$29,3,FALSE),0)</x:f>
        <x:v>0</x:v>
      </x:c>
      <x:c r="E2389">
        <x:f>ROUND($C2389*10*VLOOKUP($B2389,Sheet2!$J$5:$K$7,2,FALSE)*VLOOKUP(Sheet1!$A2389,Sheet2!$B$5:$H$29,4,FALSE),0)</x:f>
        <x:v>0</x:v>
      </x:c>
      <x:c r="F2389">
        <x:f>ROUND($C2389*10*VLOOKUP($B2389,Sheet2!$J$5:$K$7,2,FALSE)*VLOOKUP(Sheet1!$A2389,Sheet2!$B$5:$H$29,5,FALSE),0)</x:f>
        <x:v>230</x:v>
      </x:c>
      <x:c r="G2389">
        <x:f>ROUND($C2389*10*VLOOKUP($B2389,Sheet2!$J$5:$K$7,2,FALSE)*VLOOKUP(Sheet1!$A2389,Sheet2!$B$5:$H$29,6,FALSE),0)</x:f>
        <x:v>77</x:v>
      </x:c>
      <x:c r="H2389">
        <x:f>ROUND($C2389*10*VLOOKUP($B2389,Sheet2!$J$5:$K$7,2,FALSE)*VLOOKUP(Sheet1!$A2389,Sheet2!$B$5:$H$29,7,FALSE),0)</x:f>
        <x:v>0</x:v>
      </x:c>
      <x:c r="I2389">
        <x:f t="shared" si="39"/>
        <x:v>22120</x:v>
      </x:c>
    </x:row>
    <x:row r="2390" spans="1:9" x14ac:dyDescent="0.15">
      <x:c r="A2390">
        <x:v>54104</x:v>
      </x:c>
      <x:c r="B2390">
        <x:v>1</x:v>
      </x:c>
      <x:c r="C2390">
        <x:v>49</x:v>
      </x:c>
      <x:c r="D2390">
        <x:f>ROUND($C2390*10*VLOOKUP($B2390,Sheet2!$J$5:$K$7,2,FALSE)*VLOOKUP(Sheet1!$A2390,Sheet2!$B$5:$H$29,3,FALSE),0)</x:f>
        <x:v>0</x:v>
      </x:c>
      <x:c r="E2390">
        <x:f>ROUND($C2390*10*VLOOKUP($B2390,Sheet2!$J$5:$K$7,2,FALSE)*VLOOKUP(Sheet1!$A2390,Sheet2!$B$5:$H$29,4,FALSE),0)</x:f>
        <x:v>0</x:v>
      </x:c>
      <x:c r="F2390">
        <x:f>ROUND($C2390*10*VLOOKUP($B2390,Sheet2!$J$5:$K$7,2,FALSE)*VLOOKUP(Sheet1!$A2390,Sheet2!$B$5:$H$29,5,FALSE),0)</x:f>
        <x:v>235</x:v>
      </x:c>
      <x:c r="G2390">
        <x:f>ROUND($C2390*10*VLOOKUP($B2390,Sheet2!$J$5:$K$7,2,FALSE)*VLOOKUP(Sheet1!$A2390,Sheet2!$B$5:$H$29,6,FALSE),0)</x:f>
        <x:v>78</x:v>
      </x:c>
      <x:c r="H2390">
        <x:f>ROUND($C2390*10*VLOOKUP($B2390,Sheet2!$J$5:$K$7,2,FALSE)*VLOOKUP(Sheet1!$A2390,Sheet2!$B$5:$H$29,7,FALSE),0)</x:f>
        <x:v>0</x:v>
      </x:c>
      <x:c r="I2390">
        <x:f t="shared" si="39"/>
        <x:v>22970</x:v>
      </x:c>
    </x:row>
    <x:row r="2391" spans="1:9" x14ac:dyDescent="0.15">
      <x:c r="A2391">
        <x:v>54104</x:v>
      </x:c>
      <x:c r="B2391">
        <x:v>1</x:v>
      </x:c>
      <x:c r="C2391">
        <x:v>50</x:v>
      </x:c>
      <x:c r="D2391">
        <x:f>ROUND($C2391*10*VLOOKUP($B2391,Sheet2!$J$5:$K$7,2,FALSE)*VLOOKUP(Sheet1!$A2391,Sheet2!$B$5:$H$29,3,FALSE),0)</x:f>
        <x:v>0</x:v>
      </x:c>
      <x:c r="E2391">
        <x:f>ROUND($C2391*10*VLOOKUP($B2391,Sheet2!$J$5:$K$7,2,FALSE)*VLOOKUP(Sheet1!$A2391,Sheet2!$B$5:$H$29,4,FALSE),0)</x:f>
        <x:v>0</x:v>
      </x:c>
      <x:c r="F2391">
        <x:f>ROUND($C2391*10*VLOOKUP($B2391,Sheet2!$J$5:$K$7,2,FALSE)*VLOOKUP(Sheet1!$A2391,Sheet2!$B$5:$H$29,5,FALSE),0)</x:f>
        <x:v>240</x:v>
      </x:c>
      <x:c r="G2391">
        <x:f>ROUND($C2391*10*VLOOKUP($B2391,Sheet2!$J$5:$K$7,2,FALSE)*VLOOKUP(Sheet1!$A2391,Sheet2!$B$5:$H$29,6,FALSE),0)</x:f>
        <x:v>80</x:v>
      </x:c>
      <x:c r="H2391">
        <x:f>ROUND($C2391*10*VLOOKUP($B2391,Sheet2!$J$5:$K$7,2,FALSE)*VLOOKUP(Sheet1!$A2391,Sheet2!$B$5:$H$29,7,FALSE),0)</x:f>
        <x:v>0</x:v>
      </x:c>
      <x:c r="I2391">
        <x:f t="shared" si="39"/>
        <x:v>23840</x:v>
      </x:c>
    </x:row>
    <x:row r="2392" spans="1:9" x14ac:dyDescent="0.15">
      <x:c r="A2392">
        <x:v>54104</x:v>
      </x:c>
      <x:c r="B2392">
        <x:v>1</x:v>
      </x:c>
      <x:c r="C2392">
        <x:v>51</x:v>
      </x:c>
      <x:c r="D2392">
        <x:f>ROUND($C2392*10*VLOOKUP($B2392,Sheet2!$J$5:$K$7,2,FALSE)*VLOOKUP(Sheet1!$A2392,Sheet2!$B$5:$H$29,3,FALSE),0)</x:f>
        <x:v>0</x:v>
      </x:c>
      <x:c r="E2392">
        <x:f>ROUND($C2392*10*VLOOKUP($B2392,Sheet2!$J$5:$K$7,2,FALSE)*VLOOKUP(Sheet1!$A2392,Sheet2!$B$5:$H$29,4,FALSE),0)</x:f>
        <x:v>0</x:v>
      </x:c>
      <x:c r="F2392">
        <x:f>ROUND($C2392*10*VLOOKUP($B2392,Sheet2!$J$5:$K$7,2,FALSE)*VLOOKUP(Sheet1!$A2392,Sheet2!$B$5:$H$29,5,FALSE),0)</x:f>
        <x:v>245</x:v>
      </x:c>
      <x:c r="G2392">
        <x:f>ROUND($C2392*10*VLOOKUP($B2392,Sheet2!$J$5:$K$7,2,FALSE)*VLOOKUP(Sheet1!$A2392,Sheet2!$B$5:$H$29,6,FALSE),0)</x:f>
        <x:v>82</x:v>
      </x:c>
      <x:c r="H2392">
        <x:f>ROUND($C2392*10*VLOOKUP($B2392,Sheet2!$J$5:$K$7,2,FALSE)*VLOOKUP(Sheet1!$A2392,Sheet2!$B$5:$H$29,7,FALSE),0)</x:f>
        <x:v>0</x:v>
      </x:c>
      <x:c r="I2392">
        <x:f t="shared" si="39"/>
        <x:v>24720</x:v>
      </x:c>
    </x:row>
    <x:row r="2393" spans="1:9" x14ac:dyDescent="0.15">
      <x:c r="A2393">
        <x:v>54104</x:v>
      </x:c>
      <x:c r="B2393">
        <x:v>1</x:v>
      </x:c>
      <x:c r="C2393">
        <x:v>52</x:v>
      </x:c>
      <x:c r="D2393">
        <x:f>ROUND($C2393*10*VLOOKUP($B2393,Sheet2!$J$5:$K$7,2,FALSE)*VLOOKUP(Sheet1!$A2393,Sheet2!$B$5:$H$29,3,FALSE),0)</x:f>
        <x:v>0</x:v>
      </x:c>
      <x:c r="E2393">
        <x:f>ROUND($C2393*10*VLOOKUP($B2393,Sheet2!$J$5:$K$7,2,FALSE)*VLOOKUP(Sheet1!$A2393,Sheet2!$B$5:$H$29,4,FALSE),0)</x:f>
        <x:v>0</x:v>
      </x:c>
      <x:c r="F2393">
        <x:f>ROUND($C2393*10*VLOOKUP($B2393,Sheet2!$J$5:$K$7,2,FALSE)*VLOOKUP(Sheet1!$A2393,Sheet2!$B$5:$H$29,5,FALSE),0)</x:f>
        <x:v>250</x:v>
      </x:c>
      <x:c r="G2393">
        <x:f>ROUND($C2393*10*VLOOKUP($B2393,Sheet2!$J$5:$K$7,2,FALSE)*VLOOKUP(Sheet1!$A2393,Sheet2!$B$5:$H$29,6,FALSE),0)</x:f>
        <x:v>83</x:v>
      </x:c>
      <x:c r="H2393">
        <x:f>ROUND($C2393*10*VLOOKUP($B2393,Sheet2!$J$5:$K$7,2,FALSE)*VLOOKUP(Sheet1!$A2393,Sheet2!$B$5:$H$29,7,FALSE),0)</x:f>
        <x:v>0</x:v>
      </x:c>
      <x:c r="I2393">
        <x:f t="shared" si="39"/>
        <x:v>25620</x:v>
      </x:c>
    </x:row>
    <x:row r="2394" spans="1:9" x14ac:dyDescent="0.15">
      <x:c r="A2394">
        <x:v>54104</x:v>
      </x:c>
      <x:c r="B2394">
        <x:v>1</x:v>
      </x:c>
      <x:c r="C2394">
        <x:v>53</x:v>
      </x:c>
      <x:c r="D2394">
        <x:f>ROUND($C2394*10*VLOOKUP($B2394,Sheet2!$J$5:$K$7,2,FALSE)*VLOOKUP(Sheet1!$A2394,Sheet2!$B$5:$H$29,3,FALSE),0)</x:f>
        <x:v>0</x:v>
      </x:c>
      <x:c r="E2394">
        <x:f>ROUND($C2394*10*VLOOKUP($B2394,Sheet2!$J$5:$K$7,2,FALSE)*VLOOKUP(Sheet1!$A2394,Sheet2!$B$5:$H$29,4,FALSE),0)</x:f>
        <x:v>0</x:v>
      </x:c>
      <x:c r="F2394">
        <x:f>ROUND($C2394*10*VLOOKUP($B2394,Sheet2!$J$5:$K$7,2,FALSE)*VLOOKUP(Sheet1!$A2394,Sheet2!$B$5:$H$29,5,FALSE),0)</x:f>
        <x:v>254</x:v>
      </x:c>
      <x:c r="G2394">
        <x:f>ROUND($C2394*10*VLOOKUP($B2394,Sheet2!$J$5:$K$7,2,FALSE)*VLOOKUP(Sheet1!$A2394,Sheet2!$B$5:$H$29,6,FALSE),0)</x:f>
        <x:v>85</x:v>
      </x:c>
      <x:c r="H2394">
        <x:f>ROUND($C2394*10*VLOOKUP($B2394,Sheet2!$J$5:$K$7,2,FALSE)*VLOOKUP(Sheet1!$A2394,Sheet2!$B$5:$H$29,7,FALSE),0)</x:f>
        <x:v>0</x:v>
      </x:c>
      <x:c r="I2394">
        <x:f t="shared" si="39"/>
        <x:v>26530</x:v>
      </x:c>
    </x:row>
    <x:row r="2395" spans="1:9" x14ac:dyDescent="0.15">
      <x:c r="A2395">
        <x:v>54104</x:v>
      </x:c>
      <x:c r="B2395">
        <x:v>1</x:v>
      </x:c>
      <x:c r="C2395">
        <x:v>54</x:v>
      </x:c>
      <x:c r="D2395">
        <x:f>ROUND($C2395*10*VLOOKUP($B2395,Sheet2!$J$5:$K$7,2,FALSE)*VLOOKUP(Sheet1!$A2395,Sheet2!$B$5:$H$29,3,FALSE),0)</x:f>
        <x:v>0</x:v>
      </x:c>
      <x:c r="E2395">
        <x:f>ROUND($C2395*10*VLOOKUP($B2395,Sheet2!$J$5:$K$7,2,FALSE)*VLOOKUP(Sheet1!$A2395,Sheet2!$B$5:$H$29,4,FALSE),0)</x:f>
        <x:v>0</x:v>
      </x:c>
      <x:c r="F2395">
        <x:f>ROUND($C2395*10*VLOOKUP($B2395,Sheet2!$J$5:$K$7,2,FALSE)*VLOOKUP(Sheet1!$A2395,Sheet2!$B$5:$H$29,5,FALSE),0)</x:f>
        <x:v>259</x:v>
      </x:c>
      <x:c r="G2395">
        <x:f>ROUND($C2395*10*VLOOKUP($B2395,Sheet2!$J$5:$K$7,2,FALSE)*VLOOKUP(Sheet1!$A2395,Sheet2!$B$5:$H$29,6,FALSE),0)</x:f>
        <x:v>86</x:v>
      </x:c>
      <x:c r="H2395">
        <x:f>ROUND($C2395*10*VLOOKUP($B2395,Sheet2!$J$5:$K$7,2,FALSE)*VLOOKUP(Sheet1!$A2395,Sheet2!$B$5:$H$29,7,FALSE),0)</x:f>
        <x:v>0</x:v>
      </x:c>
      <x:c r="I2395">
        <x:f t="shared" si="39"/>
        <x:v>27460</x:v>
      </x:c>
    </x:row>
    <x:row r="2396" spans="1:9" x14ac:dyDescent="0.15">
      <x:c r="A2396">
        <x:v>54104</x:v>
      </x:c>
      <x:c r="B2396">
        <x:v>1</x:v>
      </x:c>
      <x:c r="C2396">
        <x:v>55</x:v>
      </x:c>
      <x:c r="D2396">
        <x:f>ROUND($C2396*10*VLOOKUP($B2396,Sheet2!$J$5:$K$7,2,FALSE)*VLOOKUP(Sheet1!$A2396,Sheet2!$B$5:$H$29,3,FALSE),0)</x:f>
        <x:v>0</x:v>
      </x:c>
      <x:c r="E2396">
        <x:f>ROUND($C2396*10*VLOOKUP($B2396,Sheet2!$J$5:$K$7,2,FALSE)*VLOOKUP(Sheet1!$A2396,Sheet2!$B$5:$H$29,4,FALSE),0)</x:f>
        <x:v>0</x:v>
      </x:c>
      <x:c r="F2396">
        <x:f>ROUND($C2396*10*VLOOKUP($B2396,Sheet2!$J$5:$K$7,2,FALSE)*VLOOKUP(Sheet1!$A2396,Sheet2!$B$5:$H$29,5,FALSE),0)</x:f>
        <x:v>264</x:v>
      </x:c>
      <x:c r="G2396">
        <x:f>ROUND($C2396*10*VLOOKUP($B2396,Sheet2!$J$5:$K$7,2,FALSE)*VLOOKUP(Sheet1!$A2396,Sheet2!$B$5:$H$29,6,FALSE),0)</x:f>
        <x:v>88</x:v>
      </x:c>
      <x:c r="H2396">
        <x:f>ROUND($C2396*10*VLOOKUP($B2396,Sheet2!$J$5:$K$7,2,FALSE)*VLOOKUP(Sheet1!$A2396,Sheet2!$B$5:$H$29,7,FALSE),0)</x:f>
        <x:v>0</x:v>
      </x:c>
      <x:c r="I2396">
        <x:f t="shared" si="39"/>
        <x:v>28390</x:v>
      </x:c>
    </x:row>
    <x:row r="2397" spans="1:9" x14ac:dyDescent="0.15">
      <x:c r="A2397">
        <x:v>54104</x:v>
      </x:c>
      <x:c r="B2397">
        <x:v>1</x:v>
      </x:c>
      <x:c r="C2397">
        <x:v>56</x:v>
      </x:c>
      <x:c r="D2397">
        <x:f>ROUND($C2397*10*VLOOKUP($B2397,Sheet2!$J$5:$K$7,2,FALSE)*VLOOKUP(Sheet1!$A2397,Sheet2!$B$5:$H$29,3,FALSE),0)</x:f>
        <x:v>0</x:v>
      </x:c>
      <x:c r="E2397">
        <x:f>ROUND($C2397*10*VLOOKUP($B2397,Sheet2!$J$5:$K$7,2,FALSE)*VLOOKUP(Sheet1!$A2397,Sheet2!$B$5:$H$29,4,FALSE),0)</x:f>
        <x:v>0</x:v>
      </x:c>
      <x:c r="F2397">
        <x:f>ROUND($C2397*10*VLOOKUP($B2397,Sheet2!$J$5:$K$7,2,FALSE)*VLOOKUP(Sheet1!$A2397,Sheet2!$B$5:$H$29,5,FALSE),0)</x:f>
        <x:v>269</x:v>
      </x:c>
      <x:c r="G2397">
        <x:f>ROUND($C2397*10*VLOOKUP($B2397,Sheet2!$J$5:$K$7,2,FALSE)*VLOOKUP(Sheet1!$A2397,Sheet2!$B$5:$H$29,6,FALSE),0)</x:f>
        <x:v>90</x:v>
      </x:c>
      <x:c r="H2397">
        <x:f>ROUND($C2397*10*VLOOKUP($B2397,Sheet2!$J$5:$K$7,2,FALSE)*VLOOKUP(Sheet1!$A2397,Sheet2!$B$5:$H$29,7,FALSE),0)</x:f>
        <x:v>0</x:v>
      </x:c>
      <x:c r="I2397">
        <x:f t="shared" si="39"/>
        <x:v>29350</x:v>
      </x:c>
    </x:row>
    <x:row r="2398" spans="1:9" x14ac:dyDescent="0.15">
      <x:c r="A2398">
        <x:v>54104</x:v>
      </x:c>
      <x:c r="B2398">
        <x:v>1</x:v>
      </x:c>
      <x:c r="C2398">
        <x:v>57</x:v>
      </x:c>
      <x:c r="D2398">
        <x:f>ROUND($C2398*10*VLOOKUP($B2398,Sheet2!$J$5:$K$7,2,FALSE)*VLOOKUP(Sheet1!$A2398,Sheet2!$B$5:$H$29,3,FALSE),0)</x:f>
        <x:v>0</x:v>
      </x:c>
      <x:c r="E2398">
        <x:f>ROUND($C2398*10*VLOOKUP($B2398,Sheet2!$J$5:$K$7,2,FALSE)*VLOOKUP(Sheet1!$A2398,Sheet2!$B$5:$H$29,4,FALSE),0)</x:f>
        <x:v>0</x:v>
      </x:c>
      <x:c r="F2398">
        <x:f>ROUND($C2398*10*VLOOKUP($B2398,Sheet2!$J$5:$K$7,2,FALSE)*VLOOKUP(Sheet1!$A2398,Sheet2!$B$5:$H$29,5,FALSE),0)</x:f>
        <x:v>274</x:v>
      </x:c>
      <x:c r="G2398">
        <x:f>ROUND($C2398*10*VLOOKUP($B2398,Sheet2!$J$5:$K$7,2,FALSE)*VLOOKUP(Sheet1!$A2398,Sheet2!$B$5:$H$29,6,FALSE),0)</x:f>
        <x:v>91</x:v>
      </x:c>
      <x:c r="H2398">
        <x:f>ROUND($C2398*10*VLOOKUP($B2398,Sheet2!$J$5:$K$7,2,FALSE)*VLOOKUP(Sheet1!$A2398,Sheet2!$B$5:$H$29,7,FALSE),0)</x:f>
        <x:v>0</x:v>
      </x:c>
      <x:c r="I2398">
        <x:f t="shared" si="39"/>
        <x:v>30310</x:v>
      </x:c>
    </x:row>
    <x:row r="2399" spans="1:9" x14ac:dyDescent="0.15">
      <x:c r="A2399">
        <x:v>54104</x:v>
      </x:c>
      <x:c r="B2399">
        <x:v>1</x:v>
      </x:c>
      <x:c r="C2399">
        <x:v>58</x:v>
      </x:c>
      <x:c r="D2399">
        <x:f>ROUND($C2399*10*VLOOKUP($B2399,Sheet2!$J$5:$K$7,2,FALSE)*VLOOKUP(Sheet1!$A2399,Sheet2!$B$5:$H$29,3,FALSE),0)</x:f>
        <x:v>0</x:v>
      </x:c>
      <x:c r="E2399">
        <x:f>ROUND($C2399*10*VLOOKUP($B2399,Sheet2!$J$5:$K$7,2,FALSE)*VLOOKUP(Sheet1!$A2399,Sheet2!$B$5:$H$29,4,FALSE),0)</x:f>
        <x:v>0</x:v>
      </x:c>
      <x:c r="F2399">
        <x:f>ROUND($C2399*10*VLOOKUP($B2399,Sheet2!$J$5:$K$7,2,FALSE)*VLOOKUP(Sheet1!$A2399,Sheet2!$B$5:$H$29,5,FALSE),0)</x:f>
        <x:v>278</x:v>
      </x:c>
      <x:c r="G2399">
        <x:f>ROUND($C2399*10*VLOOKUP($B2399,Sheet2!$J$5:$K$7,2,FALSE)*VLOOKUP(Sheet1!$A2399,Sheet2!$B$5:$H$29,6,FALSE),0)</x:f>
        <x:v>93</x:v>
      </x:c>
      <x:c r="H2399">
        <x:f>ROUND($C2399*10*VLOOKUP($B2399,Sheet2!$J$5:$K$7,2,FALSE)*VLOOKUP(Sheet1!$A2399,Sheet2!$B$5:$H$29,7,FALSE),0)</x:f>
        <x:v>0</x:v>
      </x:c>
      <x:c r="I2399">
        <x:f t="shared" si="39"/>
        <x:v>31290</x:v>
      </x:c>
    </x:row>
    <x:row r="2400" spans="1:9" x14ac:dyDescent="0.15">
      <x:c r="A2400">
        <x:v>54104</x:v>
      </x:c>
      <x:c r="B2400">
        <x:v>1</x:v>
      </x:c>
      <x:c r="C2400">
        <x:v>59</x:v>
      </x:c>
      <x:c r="D2400">
        <x:f>ROUND($C2400*10*VLOOKUP($B2400,Sheet2!$J$5:$K$7,2,FALSE)*VLOOKUP(Sheet1!$A2400,Sheet2!$B$5:$H$29,3,FALSE),0)</x:f>
        <x:v>0</x:v>
      </x:c>
      <x:c r="E2400">
        <x:f>ROUND($C2400*10*VLOOKUP($B2400,Sheet2!$J$5:$K$7,2,FALSE)*VLOOKUP(Sheet1!$A2400,Sheet2!$B$5:$H$29,4,FALSE),0)</x:f>
        <x:v>0</x:v>
      </x:c>
      <x:c r="F2400">
        <x:f>ROUND($C2400*10*VLOOKUP($B2400,Sheet2!$J$5:$K$7,2,FALSE)*VLOOKUP(Sheet1!$A2400,Sheet2!$B$5:$H$29,5,FALSE),0)</x:f>
        <x:v>283</x:v>
      </x:c>
      <x:c r="G2400">
        <x:f>ROUND($C2400*10*VLOOKUP($B2400,Sheet2!$J$5:$K$7,2,FALSE)*VLOOKUP(Sheet1!$A2400,Sheet2!$B$5:$H$29,6,FALSE),0)</x:f>
        <x:v>94</x:v>
      </x:c>
      <x:c r="H2400">
        <x:f>ROUND($C2400*10*VLOOKUP($B2400,Sheet2!$J$5:$K$7,2,FALSE)*VLOOKUP(Sheet1!$A2400,Sheet2!$B$5:$H$29,7,FALSE),0)</x:f>
        <x:v>0</x:v>
      </x:c>
      <x:c r="I2400">
        <x:f t="shared" si="39"/>
        <x:v>32290</x:v>
      </x:c>
    </x:row>
    <x:row r="2401" spans="1:9" x14ac:dyDescent="0.15">
      <x:c r="A2401">
        <x:v>54104</x:v>
      </x:c>
      <x:c r="B2401">
        <x:v>1</x:v>
      </x:c>
      <x:c r="C2401">
        <x:v>60</x:v>
      </x:c>
      <x:c r="D2401">
        <x:f>ROUND($C2401*10*VLOOKUP($B2401,Sheet2!$J$5:$K$7,2,FALSE)*VLOOKUP(Sheet1!$A2401,Sheet2!$B$5:$H$29,3,FALSE),0)</x:f>
        <x:v>0</x:v>
      </x:c>
      <x:c r="E2401">
        <x:f>ROUND($C2401*10*VLOOKUP($B2401,Sheet2!$J$5:$K$7,2,FALSE)*VLOOKUP(Sheet1!$A2401,Sheet2!$B$5:$H$29,4,FALSE),0)</x:f>
        <x:v>0</x:v>
      </x:c>
      <x:c r="F2401">
        <x:f>ROUND($C2401*10*VLOOKUP($B2401,Sheet2!$J$5:$K$7,2,FALSE)*VLOOKUP(Sheet1!$A2401,Sheet2!$B$5:$H$29,5,FALSE),0)</x:f>
        <x:v>288</x:v>
      </x:c>
      <x:c r="G2401">
        <x:f>ROUND($C2401*10*VLOOKUP($B2401,Sheet2!$J$5:$K$7,2,FALSE)*VLOOKUP(Sheet1!$A2401,Sheet2!$B$5:$H$29,6,FALSE),0)</x:f>
        <x:v>96</x:v>
      </x:c>
      <x:c r="H2401">
        <x:f>ROUND($C2401*10*VLOOKUP($B2401,Sheet2!$J$5:$K$7,2,FALSE)*VLOOKUP(Sheet1!$A2401,Sheet2!$B$5:$H$29,7,FALSE),0)</x:f>
        <x:v>0</x:v>
      </x:c>
      <x:c r="I2401">
        <x:f t="shared" si="39"/>
        <x:v>33290</x:v>
      </x:c>
    </x:row>
    <x:row r="2402" spans="1:9" x14ac:dyDescent="0.15">
      <x:c r="A2402">
        <x:v>54104</x:v>
      </x:c>
      <x:c r="B2402">
        <x:v>2</x:v>
      </x:c>
      <x:c r="C2402">
        <x:v>1</x:v>
      </x:c>
      <x:c r="D2402">
        <x:f>ROUND($C2402*10*VLOOKUP($B2402,Sheet2!$J$5:$K$7,2,FALSE)*VLOOKUP(Sheet1!$A2402,Sheet2!$B$5:$H$29,3,FALSE),0)</x:f>
        <x:v>0</x:v>
      </x:c>
      <x:c r="E2402">
        <x:f>ROUND($C2402*10*VLOOKUP($B2402,Sheet2!$J$5:$K$7,2,FALSE)*VLOOKUP(Sheet1!$A2402,Sheet2!$B$5:$H$29,4,FALSE),0)</x:f>
        <x:v>0</x:v>
      </x:c>
      <x:c r="F2402">
        <x:f>ROUND($C2402*10*VLOOKUP($B2402,Sheet2!$J$5:$K$7,2,FALSE)*VLOOKUP(Sheet1!$A2402,Sheet2!$B$5:$H$29,5,FALSE),0)</x:f>
        <x:v>6</x:v>
      </x:c>
      <x:c r="G2402">
        <x:f>ROUND($C2402*10*VLOOKUP($B2402,Sheet2!$J$5:$K$7,2,FALSE)*VLOOKUP(Sheet1!$A2402,Sheet2!$B$5:$H$29,6,FALSE),0)</x:f>
        <x:v>2</x:v>
      </x:c>
      <x:c r="H2402">
        <x:f>ROUND($C2402*10*VLOOKUP($B2402,Sheet2!$J$5:$K$7,2,FALSE)*VLOOKUP(Sheet1!$A2402,Sheet2!$B$5:$H$29,7,FALSE),0)</x:f>
        <x:v>0</x:v>
      </x:c>
      <x:c r="I2402">
        <x:f t="shared" ref="I2402:I2461" si="40">ROUND(1.2*10*3.5*(C2402-1)^1.8+60,-1)</x:f>
        <x:v>60</x:v>
      </x:c>
    </x:row>
    <x:row r="2403" spans="1:9" x14ac:dyDescent="0.15">
      <x:c r="A2403">
        <x:v>54104</x:v>
      </x:c>
      <x:c r="B2403">
        <x:v>2</x:v>
      </x:c>
      <x:c r="C2403">
        <x:v>2</x:v>
      </x:c>
      <x:c r="D2403">
        <x:f>ROUND($C2403*10*VLOOKUP($B2403,Sheet2!$J$5:$K$7,2,FALSE)*VLOOKUP(Sheet1!$A2403,Sheet2!$B$5:$H$29,3,FALSE),0)</x:f>
        <x:v>0</x:v>
      </x:c>
      <x:c r="E2403">
        <x:f>ROUND($C2403*10*VLOOKUP($B2403,Sheet2!$J$5:$K$7,2,FALSE)*VLOOKUP(Sheet1!$A2403,Sheet2!$B$5:$H$29,4,FALSE),0)</x:f>
        <x:v>0</x:v>
      </x:c>
      <x:c r="F2403">
        <x:f>ROUND($C2403*10*VLOOKUP($B2403,Sheet2!$J$5:$K$7,2,FALSE)*VLOOKUP(Sheet1!$A2403,Sheet2!$B$5:$H$29,5,FALSE),0)</x:f>
        <x:v>12</x:v>
      </x:c>
      <x:c r="G2403">
        <x:f>ROUND($C2403*10*VLOOKUP($B2403,Sheet2!$J$5:$K$7,2,FALSE)*VLOOKUP(Sheet1!$A2403,Sheet2!$B$5:$H$29,6,FALSE),0)</x:f>
        <x:v>4</x:v>
      </x:c>
      <x:c r="H2403">
        <x:f>ROUND($C2403*10*VLOOKUP($B2403,Sheet2!$J$5:$K$7,2,FALSE)*VLOOKUP(Sheet1!$A2403,Sheet2!$B$5:$H$29,7,FALSE),0)</x:f>
        <x:v>0</x:v>
      </x:c>
      <x:c r="I2403">
        <x:f t="shared" si="40"/>
        <x:v>100</x:v>
      </x:c>
    </x:row>
    <x:row r="2404" spans="1:9" x14ac:dyDescent="0.15">
      <x:c r="A2404">
        <x:v>54104</x:v>
      </x:c>
      <x:c r="B2404">
        <x:v>2</x:v>
      </x:c>
      <x:c r="C2404">
        <x:v>3</x:v>
      </x:c>
      <x:c r="D2404">
        <x:f>ROUND($C2404*10*VLOOKUP($B2404,Sheet2!$J$5:$K$7,2,FALSE)*VLOOKUP(Sheet1!$A2404,Sheet2!$B$5:$H$29,3,FALSE),0)</x:f>
        <x:v>0</x:v>
      </x:c>
      <x:c r="E2404">
        <x:f>ROUND($C2404*10*VLOOKUP($B2404,Sheet2!$J$5:$K$7,2,FALSE)*VLOOKUP(Sheet1!$A2404,Sheet2!$B$5:$H$29,4,FALSE),0)</x:f>
        <x:v>0</x:v>
      </x:c>
      <x:c r="F2404">
        <x:f>ROUND($C2404*10*VLOOKUP($B2404,Sheet2!$J$5:$K$7,2,FALSE)*VLOOKUP(Sheet1!$A2404,Sheet2!$B$5:$H$29,5,FALSE),0)</x:f>
        <x:v>17</x:v>
      </x:c>
      <x:c r="G2404">
        <x:f>ROUND($C2404*10*VLOOKUP($B2404,Sheet2!$J$5:$K$7,2,FALSE)*VLOOKUP(Sheet1!$A2404,Sheet2!$B$5:$H$29,6,FALSE),0)</x:f>
        <x:v>6</x:v>
      </x:c>
      <x:c r="H2404">
        <x:f>ROUND($C2404*10*VLOOKUP($B2404,Sheet2!$J$5:$K$7,2,FALSE)*VLOOKUP(Sheet1!$A2404,Sheet2!$B$5:$H$29,7,FALSE),0)</x:f>
        <x:v>0</x:v>
      </x:c>
      <x:c r="I2404">
        <x:f t="shared" si="40"/>
        <x:v>210</x:v>
      </x:c>
    </x:row>
    <x:row r="2405" spans="1:9" x14ac:dyDescent="0.15">
      <x:c r="A2405">
        <x:v>54104</x:v>
      </x:c>
      <x:c r="B2405">
        <x:v>2</x:v>
      </x:c>
      <x:c r="C2405">
        <x:v>4</x:v>
      </x:c>
      <x:c r="D2405">
        <x:f>ROUND($C2405*10*VLOOKUP($B2405,Sheet2!$J$5:$K$7,2,FALSE)*VLOOKUP(Sheet1!$A2405,Sheet2!$B$5:$H$29,3,FALSE),0)</x:f>
        <x:v>0</x:v>
      </x:c>
      <x:c r="E2405">
        <x:f>ROUND($C2405*10*VLOOKUP($B2405,Sheet2!$J$5:$K$7,2,FALSE)*VLOOKUP(Sheet1!$A2405,Sheet2!$B$5:$H$29,4,FALSE),0)</x:f>
        <x:v>0</x:v>
      </x:c>
      <x:c r="F2405">
        <x:f>ROUND($C2405*10*VLOOKUP($B2405,Sheet2!$J$5:$K$7,2,FALSE)*VLOOKUP(Sheet1!$A2405,Sheet2!$B$5:$H$29,5,FALSE),0)</x:f>
        <x:v>23</x:v>
      </x:c>
      <x:c r="G2405">
        <x:f>ROUND($C2405*10*VLOOKUP($B2405,Sheet2!$J$5:$K$7,2,FALSE)*VLOOKUP(Sheet1!$A2405,Sheet2!$B$5:$H$29,6,FALSE),0)</x:f>
        <x:v>8</x:v>
      </x:c>
      <x:c r="H2405">
        <x:f>ROUND($C2405*10*VLOOKUP($B2405,Sheet2!$J$5:$K$7,2,FALSE)*VLOOKUP(Sheet1!$A2405,Sheet2!$B$5:$H$29,7,FALSE),0)</x:f>
        <x:v>0</x:v>
      </x:c>
      <x:c r="I2405">
        <x:f t="shared" si="40"/>
        <x:v>360</x:v>
      </x:c>
    </x:row>
    <x:row r="2406" spans="1:9" x14ac:dyDescent="0.15">
      <x:c r="A2406">
        <x:v>54104</x:v>
      </x:c>
      <x:c r="B2406">
        <x:v>2</x:v>
      </x:c>
      <x:c r="C2406">
        <x:v>5</x:v>
      </x:c>
      <x:c r="D2406">
        <x:f>ROUND($C2406*10*VLOOKUP($B2406,Sheet2!$J$5:$K$7,2,FALSE)*VLOOKUP(Sheet1!$A2406,Sheet2!$B$5:$H$29,3,FALSE),0)</x:f>
        <x:v>0</x:v>
      </x:c>
      <x:c r="E2406">
        <x:f>ROUND($C2406*10*VLOOKUP($B2406,Sheet2!$J$5:$K$7,2,FALSE)*VLOOKUP(Sheet1!$A2406,Sheet2!$B$5:$H$29,4,FALSE),0)</x:f>
        <x:v>0</x:v>
      </x:c>
      <x:c r="F2406">
        <x:f>ROUND($C2406*10*VLOOKUP($B2406,Sheet2!$J$5:$K$7,2,FALSE)*VLOOKUP(Sheet1!$A2406,Sheet2!$B$5:$H$29,5,FALSE),0)</x:f>
        <x:v>29</x:v>
      </x:c>
      <x:c r="G2406">
        <x:f>ROUND($C2406*10*VLOOKUP($B2406,Sheet2!$J$5:$K$7,2,FALSE)*VLOOKUP(Sheet1!$A2406,Sheet2!$B$5:$H$29,6,FALSE),0)</x:f>
        <x:v>10</x:v>
      </x:c>
      <x:c r="H2406">
        <x:f>ROUND($C2406*10*VLOOKUP($B2406,Sheet2!$J$5:$K$7,2,FALSE)*VLOOKUP(Sheet1!$A2406,Sheet2!$B$5:$H$29,7,FALSE),0)</x:f>
        <x:v>0</x:v>
      </x:c>
      <x:c r="I2406">
        <x:f t="shared" si="40"/>
        <x:v>570</x:v>
      </x:c>
    </x:row>
    <x:row r="2407" spans="1:9" x14ac:dyDescent="0.15">
      <x:c r="A2407">
        <x:v>54104</x:v>
      </x:c>
      <x:c r="B2407">
        <x:v>2</x:v>
      </x:c>
      <x:c r="C2407">
        <x:v>6</x:v>
      </x:c>
      <x:c r="D2407">
        <x:f>ROUND($C2407*10*VLOOKUP($B2407,Sheet2!$J$5:$K$7,2,FALSE)*VLOOKUP(Sheet1!$A2407,Sheet2!$B$5:$H$29,3,FALSE),0)</x:f>
        <x:v>0</x:v>
      </x:c>
      <x:c r="E2407">
        <x:f>ROUND($C2407*10*VLOOKUP($B2407,Sheet2!$J$5:$K$7,2,FALSE)*VLOOKUP(Sheet1!$A2407,Sheet2!$B$5:$H$29,4,FALSE),0)</x:f>
        <x:v>0</x:v>
      </x:c>
      <x:c r="F2407">
        <x:f>ROUND($C2407*10*VLOOKUP($B2407,Sheet2!$J$5:$K$7,2,FALSE)*VLOOKUP(Sheet1!$A2407,Sheet2!$B$5:$H$29,5,FALSE),0)</x:f>
        <x:v>35</x:v>
      </x:c>
      <x:c r="G2407">
        <x:f>ROUND($C2407*10*VLOOKUP($B2407,Sheet2!$J$5:$K$7,2,FALSE)*VLOOKUP(Sheet1!$A2407,Sheet2!$B$5:$H$29,6,FALSE),0)</x:f>
        <x:v>12</x:v>
      </x:c>
      <x:c r="H2407">
        <x:f>ROUND($C2407*10*VLOOKUP($B2407,Sheet2!$J$5:$K$7,2,FALSE)*VLOOKUP(Sheet1!$A2407,Sheet2!$B$5:$H$29,7,FALSE),0)</x:f>
        <x:v>0</x:v>
      </x:c>
      <x:c r="I2407">
        <x:f t="shared" si="40"/>
        <x:v>820</x:v>
      </x:c>
    </x:row>
    <x:row r="2408" spans="1:9" x14ac:dyDescent="0.15">
      <x:c r="A2408">
        <x:v>54104</x:v>
      </x:c>
      <x:c r="B2408">
        <x:v>2</x:v>
      </x:c>
      <x:c r="C2408">
        <x:v>7</x:v>
      </x:c>
      <x:c r="D2408">
        <x:f>ROUND($C2408*10*VLOOKUP($B2408,Sheet2!$J$5:$K$7,2,FALSE)*VLOOKUP(Sheet1!$A2408,Sheet2!$B$5:$H$29,3,FALSE),0)</x:f>
        <x:v>0</x:v>
      </x:c>
      <x:c r="E2408">
        <x:f>ROUND($C2408*10*VLOOKUP($B2408,Sheet2!$J$5:$K$7,2,FALSE)*VLOOKUP(Sheet1!$A2408,Sheet2!$B$5:$H$29,4,FALSE),0)</x:f>
        <x:v>0</x:v>
      </x:c>
      <x:c r="F2408">
        <x:f>ROUND($C2408*10*VLOOKUP($B2408,Sheet2!$J$5:$K$7,2,FALSE)*VLOOKUP(Sheet1!$A2408,Sheet2!$B$5:$H$29,5,FALSE),0)</x:f>
        <x:v>40</x:v>
      </x:c>
      <x:c r="G2408">
        <x:f>ROUND($C2408*10*VLOOKUP($B2408,Sheet2!$J$5:$K$7,2,FALSE)*VLOOKUP(Sheet1!$A2408,Sheet2!$B$5:$H$29,6,FALSE),0)</x:f>
        <x:v>13</x:v>
      </x:c>
      <x:c r="H2408">
        <x:f>ROUND($C2408*10*VLOOKUP($B2408,Sheet2!$J$5:$K$7,2,FALSE)*VLOOKUP(Sheet1!$A2408,Sheet2!$B$5:$H$29,7,FALSE),0)</x:f>
        <x:v>0</x:v>
      </x:c>
      <x:c r="I2408">
        <x:f t="shared" si="40"/>
        <x:v>1120</x:v>
      </x:c>
    </x:row>
    <x:row r="2409" spans="1:9" x14ac:dyDescent="0.15">
      <x:c r="A2409">
        <x:v>54104</x:v>
      </x:c>
      <x:c r="B2409">
        <x:v>2</x:v>
      </x:c>
      <x:c r="C2409">
        <x:v>8</x:v>
      </x:c>
      <x:c r="D2409">
        <x:f>ROUND($C2409*10*VLOOKUP($B2409,Sheet2!$J$5:$K$7,2,FALSE)*VLOOKUP(Sheet1!$A2409,Sheet2!$B$5:$H$29,3,FALSE),0)</x:f>
        <x:v>0</x:v>
      </x:c>
      <x:c r="E2409">
        <x:f>ROUND($C2409*10*VLOOKUP($B2409,Sheet2!$J$5:$K$7,2,FALSE)*VLOOKUP(Sheet1!$A2409,Sheet2!$B$5:$H$29,4,FALSE),0)</x:f>
        <x:v>0</x:v>
      </x:c>
      <x:c r="F2409">
        <x:f>ROUND($C2409*10*VLOOKUP($B2409,Sheet2!$J$5:$K$7,2,FALSE)*VLOOKUP(Sheet1!$A2409,Sheet2!$B$5:$H$29,5,FALSE),0)</x:f>
        <x:v>46</x:v>
      </x:c>
      <x:c r="G2409">
        <x:f>ROUND($C2409*10*VLOOKUP($B2409,Sheet2!$J$5:$K$7,2,FALSE)*VLOOKUP(Sheet1!$A2409,Sheet2!$B$5:$H$29,6,FALSE),0)</x:f>
        <x:v>15</x:v>
      </x:c>
      <x:c r="H2409">
        <x:f>ROUND($C2409*10*VLOOKUP($B2409,Sheet2!$J$5:$K$7,2,FALSE)*VLOOKUP(Sheet1!$A2409,Sheet2!$B$5:$H$29,7,FALSE),0)</x:f>
        <x:v>0</x:v>
      </x:c>
      <x:c r="I2409">
        <x:f t="shared" si="40"/>
        <x:v>1450</x:v>
      </x:c>
    </x:row>
    <x:row r="2410" spans="1:9" x14ac:dyDescent="0.15">
      <x:c r="A2410">
        <x:v>54104</x:v>
      </x:c>
      <x:c r="B2410">
        <x:v>2</x:v>
      </x:c>
      <x:c r="C2410">
        <x:v>9</x:v>
      </x:c>
      <x:c r="D2410">
        <x:f>ROUND($C2410*10*VLOOKUP($B2410,Sheet2!$J$5:$K$7,2,FALSE)*VLOOKUP(Sheet1!$A2410,Sheet2!$B$5:$H$29,3,FALSE),0)</x:f>
        <x:v>0</x:v>
      </x:c>
      <x:c r="E2410">
        <x:f>ROUND($C2410*10*VLOOKUP($B2410,Sheet2!$J$5:$K$7,2,FALSE)*VLOOKUP(Sheet1!$A2410,Sheet2!$B$5:$H$29,4,FALSE),0)</x:f>
        <x:v>0</x:v>
      </x:c>
      <x:c r="F2410">
        <x:f>ROUND($C2410*10*VLOOKUP($B2410,Sheet2!$J$5:$K$7,2,FALSE)*VLOOKUP(Sheet1!$A2410,Sheet2!$B$5:$H$29,5,FALSE),0)</x:f>
        <x:v>52</x:v>
      </x:c>
      <x:c r="G2410">
        <x:f>ROUND($C2410*10*VLOOKUP($B2410,Sheet2!$J$5:$K$7,2,FALSE)*VLOOKUP(Sheet1!$A2410,Sheet2!$B$5:$H$29,6,FALSE),0)</x:f>
        <x:v>17</x:v>
      </x:c>
      <x:c r="H2410">
        <x:f>ROUND($C2410*10*VLOOKUP($B2410,Sheet2!$J$5:$K$7,2,FALSE)*VLOOKUP(Sheet1!$A2410,Sheet2!$B$5:$H$29,7,FALSE),0)</x:f>
        <x:v>0</x:v>
      </x:c>
      <x:c r="I2410">
        <x:f t="shared" si="40"/>
        <x:v>1830</x:v>
      </x:c>
    </x:row>
    <x:row r="2411" spans="1:9" x14ac:dyDescent="0.15">
      <x:c r="A2411">
        <x:v>54104</x:v>
      </x:c>
      <x:c r="B2411">
        <x:v>2</x:v>
      </x:c>
      <x:c r="C2411">
        <x:v>10</x:v>
      </x:c>
      <x:c r="D2411">
        <x:f>ROUND($C2411*10*VLOOKUP($B2411,Sheet2!$J$5:$K$7,2,FALSE)*VLOOKUP(Sheet1!$A2411,Sheet2!$B$5:$H$29,3,FALSE),0)</x:f>
        <x:v>0</x:v>
      </x:c>
      <x:c r="E2411">
        <x:f>ROUND($C2411*10*VLOOKUP($B2411,Sheet2!$J$5:$K$7,2,FALSE)*VLOOKUP(Sheet1!$A2411,Sheet2!$B$5:$H$29,4,FALSE),0)</x:f>
        <x:v>0</x:v>
      </x:c>
      <x:c r="F2411">
        <x:f>ROUND($C2411*10*VLOOKUP($B2411,Sheet2!$J$5:$K$7,2,FALSE)*VLOOKUP(Sheet1!$A2411,Sheet2!$B$5:$H$29,5,FALSE),0)</x:f>
        <x:v>58</x:v>
      </x:c>
      <x:c r="G2411">
        <x:f>ROUND($C2411*10*VLOOKUP($B2411,Sheet2!$J$5:$K$7,2,FALSE)*VLOOKUP(Sheet1!$A2411,Sheet2!$B$5:$H$29,6,FALSE),0)</x:f>
        <x:v>19</x:v>
      </x:c>
      <x:c r="H2411">
        <x:f>ROUND($C2411*10*VLOOKUP($B2411,Sheet2!$J$5:$K$7,2,FALSE)*VLOOKUP(Sheet1!$A2411,Sheet2!$B$5:$H$29,7,FALSE),0)</x:f>
        <x:v>0</x:v>
      </x:c>
      <x:c r="I2411">
        <x:f t="shared" si="40"/>
        <x:v>2250</x:v>
      </x:c>
    </x:row>
    <x:row r="2412" spans="1:9" x14ac:dyDescent="0.15">
      <x:c r="A2412">
        <x:v>54104</x:v>
      </x:c>
      <x:c r="B2412">
        <x:v>2</x:v>
      </x:c>
      <x:c r="C2412">
        <x:v>11</x:v>
      </x:c>
      <x:c r="D2412">
        <x:f>ROUND($C2412*10*VLOOKUP($B2412,Sheet2!$J$5:$K$7,2,FALSE)*VLOOKUP(Sheet1!$A2412,Sheet2!$B$5:$H$29,3,FALSE),0)</x:f>
        <x:v>0</x:v>
      </x:c>
      <x:c r="E2412">
        <x:f>ROUND($C2412*10*VLOOKUP($B2412,Sheet2!$J$5:$K$7,2,FALSE)*VLOOKUP(Sheet1!$A2412,Sheet2!$B$5:$H$29,4,FALSE),0)</x:f>
        <x:v>0</x:v>
      </x:c>
      <x:c r="F2412">
        <x:f>ROUND($C2412*10*VLOOKUP($B2412,Sheet2!$J$5:$K$7,2,FALSE)*VLOOKUP(Sheet1!$A2412,Sheet2!$B$5:$H$29,5,FALSE),0)</x:f>
        <x:v>63</x:v>
      </x:c>
      <x:c r="G2412">
        <x:f>ROUND($C2412*10*VLOOKUP($B2412,Sheet2!$J$5:$K$7,2,FALSE)*VLOOKUP(Sheet1!$A2412,Sheet2!$B$5:$H$29,6,FALSE),0)</x:f>
        <x:v>21</x:v>
      </x:c>
      <x:c r="H2412">
        <x:f>ROUND($C2412*10*VLOOKUP($B2412,Sheet2!$J$5:$K$7,2,FALSE)*VLOOKUP(Sheet1!$A2412,Sheet2!$B$5:$H$29,7,FALSE),0)</x:f>
        <x:v>0</x:v>
      </x:c>
      <x:c r="I2412">
        <x:f t="shared" si="40"/>
        <x:v>2710</x:v>
      </x:c>
    </x:row>
    <x:row r="2413" spans="1:9" x14ac:dyDescent="0.15">
      <x:c r="A2413">
        <x:v>54104</x:v>
      </x:c>
      <x:c r="B2413">
        <x:v>2</x:v>
      </x:c>
      <x:c r="C2413">
        <x:v>12</x:v>
      </x:c>
      <x:c r="D2413">
        <x:f>ROUND($C2413*10*VLOOKUP($B2413,Sheet2!$J$5:$K$7,2,FALSE)*VLOOKUP(Sheet1!$A2413,Sheet2!$B$5:$H$29,3,FALSE),0)</x:f>
        <x:v>0</x:v>
      </x:c>
      <x:c r="E2413">
        <x:f>ROUND($C2413*10*VLOOKUP($B2413,Sheet2!$J$5:$K$7,2,FALSE)*VLOOKUP(Sheet1!$A2413,Sheet2!$B$5:$H$29,4,FALSE),0)</x:f>
        <x:v>0</x:v>
      </x:c>
      <x:c r="F2413">
        <x:f>ROUND($C2413*10*VLOOKUP($B2413,Sheet2!$J$5:$K$7,2,FALSE)*VLOOKUP(Sheet1!$A2413,Sheet2!$B$5:$H$29,5,FALSE),0)</x:f>
        <x:v>69</x:v>
      </x:c>
      <x:c r="G2413">
        <x:f>ROUND($C2413*10*VLOOKUP($B2413,Sheet2!$J$5:$K$7,2,FALSE)*VLOOKUP(Sheet1!$A2413,Sheet2!$B$5:$H$29,6,FALSE),0)</x:f>
        <x:v>23</x:v>
      </x:c>
      <x:c r="H2413">
        <x:f>ROUND($C2413*10*VLOOKUP($B2413,Sheet2!$J$5:$K$7,2,FALSE)*VLOOKUP(Sheet1!$A2413,Sheet2!$B$5:$H$29,7,FALSE),0)</x:f>
        <x:v>0</x:v>
      </x:c>
      <x:c r="I2413">
        <x:f t="shared" si="40"/>
        <x:v>3210</x:v>
      </x:c>
    </x:row>
    <x:row r="2414" spans="1:9" x14ac:dyDescent="0.15">
      <x:c r="A2414">
        <x:v>54104</x:v>
      </x:c>
      <x:c r="B2414">
        <x:v>2</x:v>
      </x:c>
      <x:c r="C2414">
        <x:v>13</x:v>
      </x:c>
      <x:c r="D2414">
        <x:f>ROUND($C2414*10*VLOOKUP($B2414,Sheet2!$J$5:$K$7,2,FALSE)*VLOOKUP(Sheet1!$A2414,Sheet2!$B$5:$H$29,3,FALSE),0)</x:f>
        <x:v>0</x:v>
      </x:c>
      <x:c r="E2414">
        <x:f>ROUND($C2414*10*VLOOKUP($B2414,Sheet2!$J$5:$K$7,2,FALSE)*VLOOKUP(Sheet1!$A2414,Sheet2!$B$5:$H$29,4,FALSE),0)</x:f>
        <x:v>0</x:v>
      </x:c>
      <x:c r="F2414">
        <x:f>ROUND($C2414*10*VLOOKUP($B2414,Sheet2!$J$5:$K$7,2,FALSE)*VLOOKUP(Sheet1!$A2414,Sheet2!$B$5:$H$29,5,FALSE),0)</x:f>
        <x:v>75</x:v>
      </x:c>
      <x:c r="G2414">
        <x:f>ROUND($C2414*10*VLOOKUP($B2414,Sheet2!$J$5:$K$7,2,FALSE)*VLOOKUP(Sheet1!$A2414,Sheet2!$B$5:$H$29,6,FALSE),0)</x:f>
        <x:v>25</x:v>
      </x:c>
      <x:c r="H2414">
        <x:f>ROUND($C2414*10*VLOOKUP($B2414,Sheet2!$J$5:$K$7,2,FALSE)*VLOOKUP(Sheet1!$A2414,Sheet2!$B$5:$H$29,7,FALSE),0)</x:f>
        <x:v>0</x:v>
      </x:c>
      <x:c r="I2414">
        <x:f t="shared" si="40"/>
        <x:v>3740</x:v>
      </x:c>
    </x:row>
    <x:row r="2415" spans="1:9" x14ac:dyDescent="0.15">
      <x:c r="A2415">
        <x:v>54104</x:v>
      </x:c>
      <x:c r="B2415">
        <x:v>2</x:v>
      </x:c>
      <x:c r="C2415">
        <x:v>14</x:v>
      </x:c>
      <x:c r="D2415">
        <x:f>ROUND($C2415*10*VLOOKUP($B2415,Sheet2!$J$5:$K$7,2,FALSE)*VLOOKUP(Sheet1!$A2415,Sheet2!$B$5:$H$29,3,FALSE),0)</x:f>
        <x:v>0</x:v>
      </x:c>
      <x:c r="E2415">
        <x:f>ROUND($C2415*10*VLOOKUP($B2415,Sheet2!$J$5:$K$7,2,FALSE)*VLOOKUP(Sheet1!$A2415,Sheet2!$B$5:$H$29,4,FALSE),0)</x:f>
        <x:v>0</x:v>
      </x:c>
      <x:c r="F2415">
        <x:f>ROUND($C2415*10*VLOOKUP($B2415,Sheet2!$J$5:$K$7,2,FALSE)*VLOOKUP(Sheet1!$A2415,Sheet2!$B$5:$H$29,5,FALSE),0)</x:f>
        <x:v>81</x:v>
      </x:c>
      <x:c r="G2415">
        <x:f>ROUND($C2415*10*VLOOKUP($B2415,Sheet2!$J$5:$K$7,2,FALSE)*VLOOKUP(Sheet1!$A2415,Sheet2!$B$5:$H$29,6,FALSE),0)</x:f>
        <x:v>27</x:v>
      </x:c>
      <x:c r="H2415">
        <x:f>ROUND($C2415*10*VLOOKUP($B2415,Sheet2!$J$5:$K$7,2,FALSE)*VLOOKUP(Sheet1!$A2415,Sheet2!$B$5:$H$29,7,FALSE),0)</x:f>
        <x:v>0</x:v>
      </x:c>
      <x:c r="I2415">
        <x:f t="shared" si="40"/>
        <x:v>4310</x:v>
      </x:c>
    </x:row>
    <x:row r="2416" spans="1:9" x14ac:dyDescent="0.15">
      <x:c r="A2416">
        <x:v>54104</x:v>
      </x:c>
      <x:c r="B2416">
        <x:v>2</x:v>
      </x:c>
      <x:c r="C2416">
        <x:v>15</x:v>
      </x:c>
      <x:c r="D2416">
        <x:f>ROUND($C2416*10*VLOOKUP($B2416,Sheet2!$J$5:$K$7,2,FALSE)*VLOOKUP(Sheet1!$A2416,Sheet2!$B$5:$H$29,3,FALSE),0)</x:f>
        <x:v>0</x:v>
      </x:c>
      <x:c r="E2416">
        <x:f>ROUND($C2416*10*VLOOKUP($B2416,Sheet2!$J$5:$K$7,2,FALSE)*VLOOKUP(Sheet1!$A2416,Sheet2!$B$5:$H$29,4,FALSE),0)</x:f>
        <x:v>0</x:v>
      </x:c>
      <x:c r="F2416">
        <x:f>ROUND($C2416*10*VLOOKUP($B2416,Sheet2!$J$5:$K$7,2,FALSE)*VLOOKUP(Sheet1!$A2416,Sheet2!$B$5:$H$29,5,FALSE),0)</x:f>
        <x:v>86</x:v>
      </x:c>
      <x:c r="G2416">
        <x:f>ROUND($C2416*10*VLOOKUP($B2416,Sheet2!$J$5:$K$7,2,FALSE)*VLOOKUP(Sheet1!$A2416,Sheet2!$B$5:$H$29,6,FALSE),0)</x:f>
        <x:v>29</x:v>
      </x:c>
      <x:c r="H2416">
        <x:f>ROUND($C2416*10*VLOOKUP($B2416,Sheet2!$J$5:$K$7,2,FALSE)*VLOOKUP(Sheet1!$A2416,Sheet2!$B$5:$H$29,7,FALSE),0)</x:f>
        <x:v>0</x:v>
      </x:c>
      <x:c r="I2416">
        <x:f t="shared" si="40"/>
        <x:v>4920</x:v>
      </x:c>
    </x:row>
    <x:row r="2417" spans="1:9" x14ac:dyDescent="0.15">
      <x:c r="A2417">
        <x:v>54104</x:v>
      </x:c>
      <x:c r="B2417">
        <x:v>2</x:v>
      </x:c>
      <x:c r="C2417">
        <x:v>16</x:v>
      </x:c>
      <x:c r="D2417">
        <x:f>ROUND($C2417*10*VLOOKUP($B2417,Sheet2!$J$5:$K$7,2,FALSE)*VLOOKUP(Sheet1!$A2417,Sheet2!$B$5:$H$29,3,FALSE),0)</x:f>
        <x:v>0</x:v>
      </x:c>
      <x:c r="E2417">
        <x:f>ROUND($C2417*10*VLOOKUP($B2417,Sheet2!$J$5:$K$7,2,FALSE)*VLOOKUP(Sheet1!$A2417,Sheet2!$B$5:$H$29,4,FALSE),0)</x:f>
        <x:v>0</x:v>
      </x:c>
      <x:c r="F2417">
        <x:f>ROUND($C2417*10*VLOOKUP($B2417,Sheet2!$J$5:$K$7,2,FALSE)*VLOOKUP(Sheet1!$A2417,Sheet2!$B$5:$H$29,5,FALSE),0)</x:f>
        <x:v>92</x:v>
      </x:c>
      <x:c r="G2417">
        <x:f>ROUND($C2417*10*VLOOKUP($B2417,Sheet2!$J$5:$K$7,2,FALSE)*VLOOKUP(Sheet1!$A2417,Sheet2!$B$5:$H$29,6,FALSE),0)</x:f>
        <x:v>31</x:v>
      </x:c>
      <x:c r="H2417">
        <x:f>ROUND($C2417*10*VLOOKUP($B2417,Sheet2!$J$5:$K$7,2,FALSE)*VLOOKUP(Sheet1!$A2417,Sheet2!$B$5:$H$29,7,FALSE),0)</x:f>
        <x:v>0</x:v>
      </x:c>
      <x:c r="I2417">
        <x:f t="shared" si="40"/>
        <x:v>5560</x:v>
      </x:c>
    </x:row>
    <x:row r="2418" spans="1:9" x14ac:dyDescent="0.15">
      <x:c r="A2418">
        <x:v>54104</x:v>
      </x:c>
      <x:c r="B2418">
        <x:v>2</x:v>
      </x:c>
      <x:c r="C2418">
        <x:v>17</x:v>
      </x:c>
      <x:c r="D2418">
        <x:f>ROUND($C2418*10*VLOOKUP($B2418,Sheet2!$J$5:$K$7,2,FALSE)*VLOOKUP(Sheet1!$A2418,Sheet2!$B$5:$H$29,3,FALSE),0)</x:f>
        <x:v>0</x:v>
      </x:c>
      <x:c r="E2418">
        <x:f>ROUND($C2418*10*VLOOKUP($B2418,Sheet2!$J$5:$K$7,2,FALSE)*VLOOKUP(Sheet1!$A2418,Sheet2!$B$5:$H$29,4,FALSE),0)</x:f>
        <x:v>0</x:v>
      </x:c>
      <x:c r="F2418">
        <x:f>ROUND($C2418*10*VLOOKUP($B2418,Sheet2!$J$5:$K$7,2,FALSE)*VLOOKUP(Sheet1!$A2418,Sheet2!$B$5:$H$29,5,FALSE),0)</x:f>
        <x:v>98</x:v>
      </x:c>
      <x:c r="G2418">
        <x:f>ROUND($C2418*10*VLOOKUP($B2418,Sheet2!$J$5:$K$7,2,FALSE)*VLOOKUP(Sheet1!$A2418,Sheet2!$B$5:$H$29,6,FALSE),0)</x:f>
        <x:v>33</x:v>
      </x:c>
      <x:c r="H2418">
        <x:f>ROUND($C2418*10*VLOOKUP($B2418,Sheet2!$J$5:$K$7,2,FALSE)*VLOOKUP(Sheet1!$A2418,Sheet2!$B$5:$H$29,7,FALSE),0)</x:f>
        <x:v>0</x:v>
      </x:c>
      <x:c r="I2418">
        <x:f t="shared" si="40"/>
        <x:v>6240</x:v>
      </x:c>
    </x:row>
    <x:row r="2419" spans="1:9" x14ac:dyDescent="0.15">
      <x:c r="A2419">
        <x:v>54104</x:v>
      </x:c>
      <x:c r="B2419">
        <x:v>2</x:v>
      </x:c>
      <x:c r="C2419">
        <x:v>18</x:v>
      </x:c>
      <x:c r="D2419">
        <x:f>ROUND($C2419*10*VLOOKUP($B2419,Sheet2!$J$5:$K$7,2,FALSE)*VLOOKUP(Sheet1!$A2419,Sheet2!$B$5:$H$29,3,FALSE),0)</x:f>
        <x:v>0</x:v>
      </x:c>
      <x:c r="E2419">
        <x:f>ROUND($C2419*10*VLOOKUP($B2419,Sheet2!$J$5:$K$7,2,FALSE)*VLOOKUP(Sheet1!$A2419,Sheet2!$B$5:$H$29,4,FALSE),0)</x:f>
        <x:v>0</x:v>
      </x:c>
      <x:c r="F2419">
        <x:f>ROUND($C2419*10*VLOOKUP($B2419,Sheet2!$J$5:$K$7,2,FALSE)*VLOOKUP(Sheet1!$A2419,Sheet2!$B$5:$H$29,5,FALSE),0)</x:f>
        <x:v>104</x:v>
      </x:c>
      <x:c r="G2419">
        <x:f>ROUND($C2419*10*VLOOKUP($B2419,Sheet2!$J$5:$K$7,2,FALSE)*VLOOKUP(Sheet1!$A2419,Sheet2!$B$5:$H$29,6,FALSE),0)</x:f>
        <x:v>35</x:v>
      </x:c>
      <x:c r="H2419">
        <x:f>ROUND($C2419*10*VLOOKUP($B2419,Sheet2!$J$5:$K$7,2,FALSE)*VLOOKUP(Sheet1!$A2419,Sheet2!$B$5:$H$29,7,FALSE),0)</x:f>
        <x:v>0</x:v>
      </x:c>
      <x:c r="I2419">
        <x:f t="shared" si="40"/>
        <x:v>6950</x:v>
      </x:c>
    </x:row>
    <x:row r="2420" spans="1:9" x14ac:dyDescent="0.15">
      <x:c r="A2420">
        <x:v>54104</x:v>
      </x:c>
      <x:c r="B2420">
        <x:v>2</x:v>
      </x:c>
      <x:c r="C2420">
        <x:v>19</x:v>
      </x:c>
      <x:c r="D2420">
        <x:f>ROUND($C2420*10*VLOOKUP($B2420,Sheet2!$J$5:$K$7,2,FALSE)*VLOOKUP(Sheet1!$A2420,Sheet2!$B$5:$H$29,3,FALSE),0)</x:f>
        <x:v>0</x:v>
      </x:c>
      <x:c r="E2420">
        <x:f>ROUND($C2420*10*VLOOKUP($B2420,Sheet2!$J$5:$K$7,2,FALSE)*VLOOKUP(Sheet1!$A2420,Sheet2!$B$5:$H$29,4,FALSE),0)</x:f>
        <x:v>0</x:v>
      </x:c>
      <x:c r="F2420">
        <x:f>ROUND($C2420*10*VLOOKUP($B2420,Sheet2!$J$5:$K$7,2,FALSE)*VLOOKUP(Sheet1!$A2420,Sheet2!$B$5:$H$29,5,FALSE),0)</x:f>
        <x:v>109</x:v>
      </x:c>
      <x:c r="G2420">
        <x:f>ROUND($C2420*10*VLOOKUP($B2420,Sheet2!$J$5:$K$7,2,FALSE)*VLOOKUP(Sheet1!$A2420,Sheet2!$B$5:$H$29,6,FALSE),0)</x:f>
        <x:v>36</x:v>
      </x:c>
      <x:c r="H2420">
        <x:f>ROUND($C2420*10*VLOOKUP($B2420,Sheet2!$J$5:$K$7,2,FALSE)*VLOOKUP(Sheet1!$A2420,Sheet2!$B$5:$H$29,7,FALSE),0)</x:f>
        <x:v>0</x:v>
      </x:c>
      <x:c r="I2420">
        <x:f t="shared" si="40"/>
        <x:v>7690</x:v>
      </x:c>
    </x:row>
    <x:row r="2421" spans="1:9" x14ac:dyDescent="0.15">
      <x:c r="A2421">
        <x:v>54104</x:v>
      </x:c>
      <x:c r="B2421">
        <x:v>2</x:v>
      </x:c>
      <x:c r="C2421">
        <x:v>20</x:v>
      </x:c>
      <x:c r="D2421">
        <x:f>ROUND($C2421*10*VLOOKUP($B2421,Sheet2!$J$5:$K$7,2,FALSE)*VLOOKUP(Sheet1!$A2421,Sheet2!$B$5:$H$29,3,FALSE),0)</x:f>
        <x:v>0</x:v>
      </x:c>
      <x:c r="E2421">
        <x:f>ROUND($C2421*10*VLOOKUP($B2421,Sheet2!$J$5:$K$7,2,FALSE)*VLOOKUP(Sheet1!$A2421,Sheet2!$B$5:$H$29,4,FALSE),0)</x:f>
        <x:v>0</x:v>
      </x:c>
      <x:c r="F2421">
        <x:f>ROUND($C2421*10*VLOOKUP($B2421,Sheet2!$J$5:$K$7,2,FALSE)*VLOOKUP(Sheet1!$A2421,Sheet2!$B$5:$H$29,5,FALSE),0)</x:f>
        <x:v>115</x:v>
      </x:c>
      <x:c r="G2421">
        <x:f>ROUND($C2421*10*VLOOKUP($B2421,Sheet2!$J$5:$K$7,2,FALSE)*VLOOKUP(Sheet1!$A2421,Sheet2!$B$5:$H$29,6,FALSE),0)</x:f>
        <x:v>38</x:v>
      </x:c>
      <x:c r="H2421">
        <x:f>ROUND($C2421*10*VLOOKUP($B2421,Sheet2!$J$5:$K$7,2,FALSE)*VLOOKUP(Sheet1!$A2421,Sheet2!$B$5:$H$29,7,FALSE),0)</x:f>
        <x:v>0</x:v>
      </x:c>
      <x:c r="I2421">
        <x:f t="shared" si="40"/>
        <x:v>8470</x:v>
      </x:c>
    </x:row>
    <x:row r="2422" spans="1:9" x14ac:dyDescent="0.15">
      <x:c r="A2422">
        <x:v>54104</x:v>
      </x:c>
      <x:c r="B2422">
        <x:v>2</x:v>
      </x:c>
      <x:c r="C2422">
        <x:v>21</x:v>
      </x:c>
      <x:c r="D2422">
        <x:f>ROUND($C2422*10*VLOOKUP($B2422,Sheet2!$J$5:$K$7,2,FALSE)*VLOOKUP(Sheet1!$A2422,Sheet2!$B$5:$H$29,3,FALSE),0)</x:f>
        <x:v>0</x:v>
      </x:c>
      <x:c r="E2422">
        <x:f>ROUND($C2422*10*VLOOKUP($B2422,Sheet2!$J$5:$K$7,2,FALSE)*VLOOKUP(Sheet1!$A2422,Sheet2!$B$5:$H$29,4,FALSE),0)</x:f>
        <x:v>0</x:v>
      </x:c>
      <x:c r="F2422">
        <x:f>ROUND($C2422*10*VLOOKUP($B2422,Sheet2!$J$5:$K$7,2,FALSE)*VLOOKUP(Sheet1!$A2422,Sheet2!$B$5:$H$29,5,FALSE),0)</x:f>
        <x:v>121</x:v>
      </x:c>
      <x:c r="G2422">
        <x:f>ROUND($C2422*10*VLOOKUP($B2422,Sheet2!$J$5:$K$7,2,FALSE)*VLOOKUP(Sheet1!$A2422,Sheet2!$B$5:$H$29,6,FALSE),0)</x:f>
        <x:v>40</x:v>
      </x:c>
      <x:c r="H2422">
        <x:f>ROUND($C2422*10*VLOOKUP($B2422,Sheet2!$J$5:$K$7,2,FALSE)*VLOOKUP(Sheet1!$A2422,Sheet2!$B$5:$H$29,7,FALSE),0)</x:f>
        <x:v>0</x:v>
      </x:c>
      <x:c r="I2422">
        <x:f t="shared" si="40"/>
        <x:v>9290</x:v>
      </x:c>
    </x:row>
    <x:row r="2423" spans="1:9" x14ac:dyDescent="0.15">
      <x:c r="A2423">
        <x:v>54104</x:v>
      </x:c>
      <x:c r="B2423">
        <x:v>2</x:v>
      </x:c>
      <x:c r="C2423">
        <x:v>22</x:v>
      </x:c>
      <x:c r="D2423">
        <x:f>ROUND($C2423*10*VLOOKUP($B2423,Sheet2!$J$5:$K$7,2,FALSE)*VLOOKUP(Sheet1!$A2423,Sheet2!$B$5:$H$29,3,FALSE),0)</x:f>
        <x:v>0</x:v>
      </x:c>
      <x:c r="E2423">
        <x:f>ROUND($C2423*10*VLOOKUP($B2423,Sheet2!$J$5:$K$7,2,FALSE)*VLOOKUP(Sheet1!$A2423,Sheet2!$B$5:$H$29,4,FALSE),0)</x:f>
        <x:v>0</x:v>
      </x:c>
      <x:c r="F2423">
        <x:f>ROUND($C2423*10*VLOOKUP($B2423,Sheet2!$J$5:$K$7,2,FALSE)*VLOOKUP(Sheet1!$A2423,Sheet2!$B$5:$H$29,5,FALSE),0)</x:f>
        <x:v>127</x:v>
      </x:c>
      <x:c r="G2423">
        <x:f>ROUND($C2423*10*VLOOKUP($B2423,Sheet2!$J$5:$K$7,2,FALSE)*VLOOKUP(Sheet1!$A2423,Sheet2!$B$5:$H$29,6,FALSE),0)</x:f>
        <x:v>42</x:v>
      </x:c>
      <x:c r="H2423">
        <x:f>ROUND($C2423*10*VLOOKUP($B2423,Sheet2!$J$5:$K$7,2,FALSE)*VLOOKUP(Sheet1!$A2423,Sheet2!$B$5:$H$29,7,FALSE),0)</x:f>
        <x:v>0</x:v>
      </x:c>
      <x:c r="I2423">
        <x:f t="shared" si="40"/>
        <x:v>10130</x:v>
      </x:c>
    </x:row>
    <x:row r="2424" spans="1:9" x14ac:dyDescent="0.15">
      <x:c r="A2424">
        <x:v>54104</x:v>
      </x:c>
      <x:c r="B2424">
        <x:v>2</x:v>
      </x:c>
      <x:c r="C2424">
        <x:v>23</x:v>
      </x:c>
      <x:c r="D2424">
        <x:f>ROUND($C2424*10*VLOOKUP($B2424,Sheet2!$J$5:$K$7,2,FALSE)*VLOOKUP(Sheet1!$A2424,Sheet2!$B$5:$H$29,3,FALSE),0)</x:f>
        <x:v>0</x:v>
      </x:c>
      <x:c r="E2424">
        <x:f>ROUND($C2424*10*VLOOKUP($B2424,Sheet2!$J$5:$K$7,2,FALSE)*VLOOKUP(Sheet1!$A2424,Sheet2!$B$5:$H$29,4,FALSE),0)</x:f>
        <x:v>0</x:v>
      </x:c>
      <x:c r="F2424">
        <x:f>ROUND($C2424*10*VLOOKUP($B2424,Sheet2!$J$5:$K$7,2,FALSE)*VLOOKUP(Sheet1!$A2424,Sheet2!$B$5:$H$29,5,FALSE),0)</x:f>
        <x:v>132</x:v>
      </x:c>
      <x:c r="G2424">
        <x:f>ROUND($C2424*10*VLOOKUP($B2424,Sheet2!$J$5:$K$7,2,FALSE)*VLOOKUP(Sheet1!$A2424,Sheet2!$B$5:$H$29,6,FALSE),0)</x:f>
        <x:v>44</x:v>
      </x:c>
      <x:c r="H2424">
        <x:f>ROUND($C2424*10*VLOOKUP($B2424,Sheet2!$J$5:$K$7,2,FALSE)*VLOOKUP(Sheet1!$A2424,Sheet2!$B$5:$H$29,7,FALSE),0)</x:f>
        <x:v>0</x:v>
      </x:c>
      <x:c r="I2424">
        <x:f t="shared" si="40"/>
        <x:v>11010</x:v>
      </x:c>
    </x:row>
    <x:row r="2425" spans="1:9" x14ac:dyDescent="0.15">
      <x:c r="A2425">
        <x:v>54104</x:v>
      </x:c>
      <x:c r="B2425">
        <x:v>2</x:v>
      </x:c>
      <x:c r="C2425">
        <x:v>24</x:v>
      </x:c>
      <x:c r="D2425">
        <x:f>ROUND($C2425*10*VLOOKUP($B2425,Sheet2!$J$5:$K$7,2,FALSE)*VLOOKUP(Sheet1!$A2425,Sheet2!$B$5:$H$29,3,FALSE),0)</x:f>
        <x:v>0</x:v>
      </x:c>
      <x:c r="E2425">
        <x:f>ROUND($C2425*10*VLOOKUP($B2425,Sheet2!$J$5:$K$7,2,FALSE)*VLOOKUP(Sheet1!$A2425,Sheet2!$B$5:$H$29,4,FALSE),0)</x:f>
        <x:v>0</x:v>
      </x:c>
      <x:c r="F2425">
        <x:f>ROUND($C2425*10*VLOOKUP($B2425,Sheet2!$J$5:$K$7,2,FALSE)*VLOOKUP(Sheet1!$A2425,Sheet2!$B$5:$H$29,5,FALSE),0)</x:f>
        <x:v>138</x:v>
      </x:c>
      <x:c r="G2425">
        <x:f>ROUND($C2425*10*VLOOKUP($B2425,Sheet2!$J$5:$K$7,2,FALSE)*VLOOKUP(Sheet1!$A2425,Sheet2!$B$5:$H$29,6,FALSE),0)</x:f>
        <x:v>46</x:v>
      </x:c>
      <x:c r="H2425">
        <x:f>ROUND($C2425*10*VLOOKUP($B2425,Sheet2!$J$5:$K$7,2,FALSE)*VLOOKUP(Sheet1!$A2425,Sheet2!$B$5:$H$29,7,FALSE),0)</x:f>
        <x:v>0</x:v>
      </x:c>
      <x:c r="I2425">
        <x:f t="shared" si="40"/>
        <x:v>11930</x:v>
      </x:c>
    </x:row>
    <x:row r="2426" spans="1:9" x14ac:dyDescent="0.15">
      <x:c r="A2426">
        <x:v>54104</x:v>
      </x:c>
      <x:c r="B2426">
        <x:v>2</x:v>
      </x:c>
      <x:c r="C2426">
        <x:v>25</x:v>
      </x:c>
      <x:c r="D2426">
        <x:f>ROUND($C2426*10*VLOOKUP($B2426,Sheet2!$J$5:$K$7,2,FALSE)*VLOOKUP(Sheet1!$A2426,Sheet2!$B$5:$H$29,3,FALSE),0)</x:f>
        <x:v>0</x:v>
      </x:c>
      <x:c r="E2426">
        <x:f>ROUND($C2426*10*VLOOKUP($B2426,Sheet2!$J$5:$K$7,2,FALSE)*VLOOKUP(Sheet1!$A2426,Sheet2!$B$5:$H$29,4,FALSE),0)</x:f>
        <x:v>0</x:v>
      </x:c>
      <x:c r="F2426">
        <x:f>ROUND($C2426*10*VLOOKUP($B2426,Sheet2!$J$5:$K$7,2,FALSE)*VLOOKUP(Sheet1!$A2426,Sheet2!$B$5:$H$29,5,FALSE),0)</x:f>
        <x:v>144</x:v>
      </x:c>
      <x:c r="G2426">
        <x:f>ROUND($C2426*10*VLOOKUP($B2426,Sheet2!$J$5:$K$7,2,FALSE)*VLOOKUP(Sheet1!$A2426,Sheet2!$B$5:$H$29,6,FALSE),0)</x:f>
        <x:v>48</x:v>
      </x:c>
      <x:c r="H2426">
        <x:f>ROUND($C2426*10*VLOOKUP($B2426,Sheet2!$J$5:$K$7,2,FALSE)*VLOOKUP(Sheet1!$A2426,Sheet2!$B$5:$H$29,7,FALSE),0)</x:f>
        <x:v>0</x:v>
      </x:c>
      <x:c r="I2426">
        <x:f t="shared" si="40"/>
        <x:v>12870</x:v>
      </x:c>
    </x:row>
    <x:row r="2427" spans="1:9" x14ac:dyDescent="0.15">
      <x:c r="A2427">
        <x:v>54104</x:v>
      </x:c>
      <x:c r="B2427">
        <x:v>2</x:v>
      </x:c>
      <x:c r="C2427">
        <x:v>26</x:v>
      </x:c>
      <x:c r="D2427">
        <x:f>ROUND($C2427*10*VLOOKUP($B2427,Sheet2!$J$5:$K$7,2,FALSE)*VLOOKUP(Sheet1!$A2427,Sheet2!$B$5:$H$29,3,FALSE),0)</x:f>
        <x:v>0</x:v>
      </x:c>
      <x:c r="E2427">
        <x:f>ROUND($C2427*10*VLOOKUP($B2427,Sheet2!$J$5:$K$7,2,FALSE)*VLOOKUP(Sheet1!$A2427,Sheet2!$B$5:$H$29,4,FALSE),0)</x:f>
        <x:v>0</x:v>
      </x:c>
      <x:c r="F2427">
        <x:f>ROUND($C2427*10*VLOOKUP($B2427,Sheet2!$J$5:$K$7,2,FALSE)*VLOOKUP(Sheet1!$A2427,Sheet2!$B$5:$H$29,5,FALSE),0)</x:f>
        <x:v>150</x:v>
      </x:c>
      <x:c r="G2427">
        <x:f>ROUND($C2427*10*VLOOKUP($B2427,Sheet2!$J$5:$K$7,2,FALSE)*VLOOKUP(Sheet1!$A2427,Sheet2!$B$5:$H$29,6,FALSE),0)</x:f>
        <x:v>50</x:v>
      </x:c>
      <x:c r="H2427">
        <x:f>ROUND($C2427*10*VLOOKUP($B2427,Sheet2!$J$5:$K$7,2,FALSE)*VLOOKUP(Sheet1!$A2427,Sheet2!$B$5:$H$29,7,FALSE),0)</x:f>
        <x:v>0</x:v>
      </x:c>
      <x:c r="I2427">
        <x:f t="shared" si="40"/>
        <x:v>13850</x:v>
      </x:c>
    </x:row>
    <x:row r="2428" spans="1:9" x14ac:dyDescent="0.15">
      <x:c r="A2428">
        <x:v>54104</x:v>
      </x:c>
      <x:c r="B2428">
        <x:v>2</x:v>
      </x:c>
      <x:c r="C2428">
        <x:v>27</x:v>
      </x:c>
      <x:c r="D2428">
        <x:f>ROUND($C2428*10*VLOOKUP($B2428,Sheet2!$J$5:$K$7,2,FALSE)*VLOOKUP(Sheet1!$A2428,Sheet2!$B$5:$H$29,3,FALSE),0)</x:f>
        <x:v>0</x:v>
      </x:c>
      <x:c r="E2428">
        <x:f>ROUND($C2428*10*VLOOKUP($B2428,Sheet2!$J$5:$K$7,2,FALSE)*VLOOKUP(Sheet1!$A2428,Sheet2!$B$5:$H$29,4,FALSE),0)</x:f>
        <x:v>0</x:v>
      </x:c>
      <x:c r="F2428">
        <x:f>ROUND($C2428*10*VLOOKUP($B2428,Sheet2!$J$5:$K$7,2,FALSE)*VLOOKUP(Sheet1!$A2428,Sheet2!$B$5:$H$29,5,FALSE),0)</x:f>
        <x:v>156</x:v>
      </x:c>
      <x:c r="G2428">
        <x:f>ROUND($C2428*10*VLOOKUP($B2428,Sheet2!$J$5:$K$7,2,FALSE)*VLOOKUP(Sheet1!$A2428,Sheet2!$B$5:$H$29,6,FALSE),0)</x:f>
        <x:v>52</x:v>
      </x:c>
      <x:c r="H2428">
        <x:f>ROUND($C2428*10*VLOOKUP($B2428,Sheet2!$J$5:$K$7,2,FALSE)*VLOOKUP(Sheet1!$A2428,Sheet2!$B$5:$H$29,7,FALSE),0)</x:f>
        <x:v>0</x:v>
      </x:c>
      <x:c r="I2428">
        <x:f t="shared" si="40"/>
        <x:v>14860</x:v>
      </x:c>
    </x:row>
    <x:row r="2429" spans="1:9" x14ac:dyDescent="0.15">
      <x:c r="A2429">
        <x:v>54104</x:v>
      </x:c>
      <x:c r="B2429">
        <x:v>2</x:v>
      </x:c>
      <x:c r="C2429">
        <x:v>28</x:v>
      </x:c>
      <x:c r="D2429">
        <x:f>ROUND($C2429*10*VLOOKUP($B2429,Sheet2!$J$5:$K$7,2,FALSE)*VLOOKUP(Sheet1!$A2429,Sheet2!$B$5:$H$29,3,FALSE),0)</x:f>
        <x:v>0</x:v>
      </x:c>
      <x:c r="E2429">
        <x:f>ROUND($C2429*10*VLOOKUP($B2429,Sheet2!$J$5:$K$7,2,FALSE)*VLOOKUP(Sheet1!$A2429,Sheet2!$B$5:$H$29,4,FALSE),0)</x:f>
        <x:v>0</x:v>
      </x:c>
      <x:c r="F2429">
        <x:f>ROUND($C2429*10*VLOOKUP($B2429,Sheet2!$J$5:$K$7,2,FALSE)*VLOOKUP(Sheet1!$A2429,Sheet2!$B$5:$H$29,5,FALSE),0)</x:f>
        <x:v>161</x:v>
      </x:c>
      <x:c r="G2429">
        <x:f>ROUND($C2429*10*VLOOKUP($B2429,Sheet2!$J$5:$K$7,2,FALSE)*VLOOKUP(Sheet1!$A2429,Sheet2!$B$5:$H$29,6,FALSE),0)</x:f>
        <x:v>54</x:v>
      </x:c>
      <x:c r="H2429">
        <x:f>ROUND($C2429*10*VLOOKUP($B2429,Sheet2!$J$5:$K$7,2,FALSE)*VLOOKUP(Sheet1!$A2429,Sheet2!$B$5:$H$29,7,FALSE),0)</x:f>
        <x:v>0</x:v>
      </x:c>
      <x:c r="I2429">
        <x:f t="shared" si="40"/>
        <x:v>15900</x:v>
      </x:c>
    </x:row>
    <x:row r="2430" spans="1:9" x14ac:dyDescent="0.15">
      <x:c r="A2430">
        <x:v>54104</x:v>
      </x:c>
      <x:c r="B2430">
        <x:v>2</x:v>
      </x:c>
      <x:c r="C2430">
        <x:v>29</x:v>
      </x:c>
      <x:c r="D2430">
        <x:f>ROUND($C2430*10*VLOOKUP($B2430,Sheet2!$J$5:$K$7,2,FALSE)*VLOOKUP(Sheet1!$A2430,Sheet2!$B$5:$H$29,3,FALSE),0)</x:f>
        <x:v>0</x:v>
      </x:c>
      <x:c r="E2430">
        <x:f>ROUND($C2430*10*VLOOKUP($B2430,Sheet2!$J$5:$K$7,2,FALSE)*VLOOKUP(Sheet1!$A2430,Sheet2!$B$5:$H$29,4,FALSE),0)</x:f>
        <x:v>0</x:v>
      </x:c>
      <x:c r="F2430">
        <x:f>ROUND($C2430*10*VLOOKUP($B2430,Sheet2!$J$5:$K$7,2,FALSE)*VLOOKUP(Sheet1!$A2430,Sheet2!$B$5:$H$29,5,FALSE),0)</x:f>
        <x:v>167</x:v>
      </x:c>
      <x:c r="G2430">
        <x:f>ROUND($C2430*10*VLOOKUP($B2430,Sheet2!$J$5:$K$7,2,FALSE)*VLOOKUP(Sheet1!$A2430,Sheet2!$B$5:$H$29,6,FALSE),0)</x:f>
        <x:v>56</x:v>
      </x:c>
      <x:c r="H2430">
        <x:f>ROUND($C2430*10*VLOOKUP($B2430,Sheet2!$J$5:$K$7,2,FALSE)*VLOOKUP(Sheet1!$A2430,Sheet2!$B$5:$H$29,7,FALSE),0)</x:f>
        <x:v>0</x:v>
      </x:c>
      <x:c r="I2430">
        <x:f t="shared" si="40"/>
        <x:v>16970</x:v>
      </x:c>
    </x:row>
    <x:row r="2431" spans="1:9" x14ac:dyDescent="0.15">
      <x:c r="A2431">
        <x:v>54104</x:v>
      </x:c>
      <x:c r="B2431">
        <x:v>2</x:v>
      </x:c>
      <x:c r="C2431">
        <x:v>30</x:v>
      </x:c>
      <x:c r="D2431">
        <x:f>ROUND($C2431*10*VLOOKUP($B2431,Sheet2!$J$5:$K$7,2,FALSE)*VLOOKUP(Sheet1!$A2431,Sheet2!$B$5:$H$29,3,FALSE),0)</x:f>
        <x:v>0</x:v>
      </x:c>
      <x:c r="E2431">
        <x:f>ROUND($C2431*10*VLOOKUP($B2431,Sheet2!$J$5:$K$7,2,FALSE)*VLOOKUP(Sheet1!$A2431,Sheet2!$B$5:$H$29,4,FALSE),0)</x:f>
        <x:v>0</x:v>
      </x:c>
      <x:c r="F2431">
        <x:f>ROUND($C2431*10*VLOOKUP($B2431,Sheet2!$J$5:$K$7,2,FALSE)*VLOOKUP(Sheet1!$A2431,Sheet2!$B$5:$H$29,5,FALSE),0)</x:f>
        <x:v>173</x:v>
      </x:c>
      <x:c r="G2431">
        <x:f>ROUND($C2431*10*VLOOKUP($B2431,Sheet2!$J$5:$K$7,2,FALSE)*VLOOKUP(Sheet1!$A2431,Sheet2!$B$5:$H$29,6,FALSE),0)</x:f>
        <x:v>58</x:v>
      </x:c>
      <x:c r="H2431">
        <x:f>ROUND($C2431*10*VLOOKUP($B2431,Sheet2!$J$5:$K$7,2,FALSE)*VLOOKUP(Sheet1!$A2431,Sheet2!$B$5:$H$29,7,FALSE),0)</x:f>
        <x:v>0</x:v>
      </x:c>
      <x:c r="I2431">
        <x:f t="shared" si="40"/>
        <x:v>18070</x:v>
      </x:c>
    </x:row>
    <x:row r="2432" spans="1:9" x14ac:dyDescent="0.15">
      <x:c r="A2432">
        <x:v>54104</x:v>
      </x:c>
      <x:c r="B2432">
        <x:v>2</x:v>
      </x:c>
      <x:c r="C2432">
        <x:v>31</x:v>
      </x:c>
      <x:c r="D2432">
        <x:f>ROUND($C2432*10*VLOOKUP($B2432,Sheet2!$J$5:$K$7,2,FALSE)*VLOOKUP(Sheet1!$A2432,Sheet2!$B$5:$H$29,3,FALSE),0)</x:f>
        <x:v>0</x:v>
      </x:c>
      <x:c r="E2432">
        <x:f>ROUND($C2432*10*VLOOKUP($B2432,Sheet2!$J$5:$K$7,2,FALSE)*VLOOKUP(Sheet1!$A2432,Sheet2!$B$5:$H$29,4,FALSE),0)</x:f>
        <x:v>0</x:v>
      </x:c>
      <x:c r="F2432">
        <x:f>ROUND($C2432*10*VLOOKUP($B2432,Sheet2!$J$5:$K$7,2,FALSE)*VLOOKUP(Sheet1!$A2432,Sheet2!$B$5:$H$29,5,FALSE),0)</x:f>
        <x:v>179</x:v>
      </x:c>
      <x:c r="G2432">
        <x:f>ROUND($C2432*10*VLOOKUP($B2432,Sheet2!$J$5:$K$7,2,FALSE)*VLOOKUP(Sheet1!$A2432,Sheet2!$B$5:$H$29,6,FALSE),0)</x:f>
        <x:v>60</x:v>
      </x:c>
      <x:c r="H2432">
        <x:f>ROUND($C2432*10*VLOOKUP($B2432,Sheet2!$J$5:$K$7,2,FALSE)*VLOOKUP(Sheet1!$A2432,Sheet2!$B$5:$H$29,7,FALSE),0)</x:f>
        <x:v>0</x:v>
      </x:c>
      <x:c r="I2432">
        <x:f t="shared" si="40"/>
        <x:v>19210</x:v>
      </x:c>
    </x:row>
    <x:row r="2433" spans="1:9" x14ac:dyDescent="0.15">
      <x:c r="A2433">
        <x:v>54104</x:v>
      </x:c>
      <x:c r="B2433">
        <x:v>2</x:v>
      </x:c>
      <x:c r="C2433">
        <x:v>32</x:v>
      </x:c>
      <x:c r="D2433">
        <x:f>ROUND($C2433*10*VLOOKUP($B2433,Sheet2!$J$5:$K$7,2,FALSE)*VLOOKUP(Sheet1!$A2433,Sheet2!$B$5:$H$29,3,FALSE),0)</x:f>
        <x:v>0</x:v>
      </x:c>
      <x:c r="E2433">
        <x:f>ROUND($C2433*10*VLOOKUP($B2433,Sheet2!$J$5:$K$7,2,FALSE)*VLOOKUP(Sheet1!$A2433,Sheet2!$B$5:$H$29,4,FALSE),0)</x:f>
        <x:v>0</x:v>
      </x:c>
      <x:c r="F2433">
        <x:f>ROUND($C2433*10*VLOOKUP($B2433,Sheet2!$J$5:$K$7,2,FALSE)*VLOOKUP(Sheet1!$A2433,Sheet2!$B$5:$H$29,5,FALSE),0)</x:f>
        <x:v>184</x:v>
      </x:c>
      <x:c r="G2433">
        <x:f>ROUND($C2433*10*VLOOKUP($B2433,Sheet2!$J$5:$K$7,2,FALSE)*VLOOKUP(Sheet1!$A2433,Sheet2!$B$5:$H$29,6,FALSE),0)</x:f>
        <x:v>61</x:v>
      </x:c>
      <x:c r="H2433">
        <x:f>ROUND($C2433*10*VLOOKUP($B2433,Sheet2!$J$5:$K$7,2,FALSE)*VLOOKUP(Sheet1!$A2433,Sheet2!$B$5:$H$29,7,FALSE),0)</x:f>
        <x:v>0</x:v>
      </x:c>
      <x:c r="I2433">
        <x:f t="shared" si="40"/>
        <x:v>20370</x:v>
      </x:c>
    </x:row>
    <x:row r="2434" spans="1:9" x14ac:dyDescent="0.15">
      <x:c r="A2434">
        <x:v>54104</x:v>
      </x:c>
      <x:c r="B2434">
        <x:v>2</x:v>
      </x:c>
      <x:c r="C2434">
        <x:v>33</x:v>
      </x:c>
      <x:c r="D2434">
        <x:f>ROUND($C2434*10*VLOOKUP($B2434,Sheet2!$J$5:$K$7,2,FALSE)*VLOOKUP(Sheet1!$A2434,Sheet2!$B$5:$H$29,3,FALSE),0)</x:f>
        <x:v>0</x:v>
      </x:c>
      <x:c r="E2434">
        <x:f>ROUND($C2434*10*VLOOKUP($B2434,Sheet2!$J$5:$K$7,2,FALSE)*VLOOKUP(Sheet1!$A2434,Sheet2!$B$5:$H$29,4,FALSE),0)</x:f>
        <x:v>0</x:v>
      </x:c>
      <x:c r="F2434">
        <x:f>ROUND($C2434*10*VLOOKUP($B2434,Sheet2!$J$5:$K$7,2,FALSE)*VLOOKUP(Sheet1!$A2434,Sheet2!$B$5:$H$29,5,FALSE),0)</x:f>
        <x:v>190</x:v>
      </x:c>
      <x:c r="G2434">
        <x:f>ROUND($C2434*10*VLOOKUP($B2434,Sheet2!$J$5:$K$7,2,FALSE)*VLOOKUP(Sheet1!$A2434,Sheet2!$B$5:$H$29,6,FALSE),0)</x:f>
        <x:v>63</x:v>
      </x:c>
      <x:c r="H2434">
        <x:f>ROUND($C2434*10*VLOOKUP($B2434,Sheet2!$J$5:$K$7,2,FALSE)*VLOOKUP(Sheet1!$A2434,Sheet2!$B$5:$H$29,7,FALSE),0)</x:f>
        <x:v>0</x:v>
      </x:c>
      <x:c r="I2434">
        <x:f t="shared" si="40"/>
        <x:v>21560</x:v>
      </x:c>
    </x:row>
    <x:row r="2435" spans="1:9" x14ac:dyDescent="0.15">
      <x:c r="A2435">
        <x:v>54104</x:v>
      </x:c>
      <x:c r="B2435">
        <x:v>2</x:v>
      </x:c>
      <x:c r="C2435">
        <x:v>34</x:v>
      </x:c>
      <x:c r="D2435">
        <x:f>ROUND($C2435*10*VLOOKUP($B2435,Sheet2!$J$5:$K$7,2,FALSE)*VLOOKUP(Sheet1!$A2435,Sheet2!$B$5:$H$29,3,FALSE),0)</x:f>
        <x:v>0</x:v>
      </x:c>
      <x:c r="E2435">
        <x:f>ROUND($C2435*10*VLOOKUP($B2435,Sheet2!$J$5:$K$7,2,FALSE)*VLOOKUP(Sheet1!$A2435,Sheet2!$B$5:$H$29,4,FALSE),0)</x:f>
        <x:v>0</x:v>
      </x:c>
      <x:c r="F2435">
        <x:f>ROUND($C2435*10*VLOOKUP($B2435,Sheet2!$J$5:$K$7,2,FALSE)*VLOOKUP(Sheet1!$A2435,Sheet2!$B$5:$H$29,5,FALSE),0)</x:f>
        <x:v>196</x:v>
      </x:c>
      <x:c r="G2435">
        <x:f>ROUND($C2435*10*VLOOKUP($B2435,Sheet2!$J$5:$K$7,2,FALSE)*VLOOKUP(Sheet1!$A2435,Sheet2!$B$5:$H$29,6,FALSE),0)</x:f>
        <x:v>65</x:v>
      </x:c>
      <x:c r="H2435">
        <x:f>ROUND($C2435*10*VLOOKUP($B2435,Sheet2!$J$5:$K$7,2,FALSE)*VLOOKUP(Sheet1!$A2435,Sheet2!$B$5:$H$29,7,FALSE),0)</x:f>
        <x:v>0</x:v>
      </x:c>
      <x:c r="I2435">
        <x:f t="shared" si="40"/>
        <x:v>22790</x:v>
      </x:c>
    </x:row>
    <x:row r="2436" spans="1:9" x14ac:dyDescent="0.15">
      <x:c r="A2436">
        <x:v>54104</x:v>
      </x:c>
      <x:c r="B2436">
        <x:v>2</x:v>
      </x:c>
      <x:c r="C2436">
        <x:v>35</x:v>
      </x:c>
      <x:c r="D2436">
        <x:f>ROUND($C2436*10*VLOOKUP($B2436,Sheet2!$J$5:$K$7,2,FALSE)*VLOOKUP(Sheet1!$A2436,Sheet2!$B$5:$H$29,3,FALSE),0)</x:f>
        <x:v>0</x:v>
      </x:c>
      <x:c r="E2436">
        <x:f>ROUND($C2436*10*VLOOKUP($B2436,Sheet2!$J$5:$K$7,2,FALSE)*VLOOKUP(Sheet1!$A2436,Sheet2!$B$5:$H$29,4,FALSE),0)</x:f>
        <x:v>0</x:v>
      </x:c>
      <x:c r="F2436">
        <x:f>ROUND($C2436*10*VLOOKUP($B2436,Sheet2!$J$5:$K$7,2,FALSE)*VLOOKUP(Sheet1!$A2436,Sheet2!$B$5:$H$29,5,FALSE),0)</x:f>
        <x:v>202</x:v>
      </x:c>
      <x:c r="G2436">
        <x:f>ROUND($C2436*10*VLOOKUP($B2436,Sheet2!$J$5:$K$7,2,FALSE)*VLOOKUP(Sheet1!$A2436,Sheet2!$B$5:$H$29,6,FALSE),0)</x:f>
        <x:v>67</x:v>
      </x:c>
      <x:c r="H2436">
        <x:f>ROUND($C2436*10*VLOOKUP($B2436,Sheet2!$J$5:$K$7,2,FALSE)*VLOOKUP(Sheet1!$A2436,Sheet2!$B$5:$H$29,7,FALSE),0)</x:f>
        <x:v>0</x:v>
      </x:c>
      <x:c r="I2436">
        <x:f t="shared" si="40"/>
        <x:v>24040</x:v>
      </x:c>
    </x:row>
    <x:row r="2437" spans="1:9" x14ac:dyDescent="0.15">
      <x:c r="A2437">
        <x:v>54104</x:v>
      </x:c>
      <x:c r="B2437">
        <x:v>2</x:v>
      </x:c>
      <x:c r="C2437">
        <x:v>36</x:v>
      </x:c>
      <x:c r="D2437">
        <x:f>ROUND($C2437*10*VLOOKUP($B2437,Sheet2!$J$5:$K$7,2,FALSE)*VLOOKUP(Sheet1!$A2437,Sheet2!$B$5:$H$29,3,FALSE),0)</x:f>
        <x:v>0</x:v>
      </x:c>
      <x:c r="E2437">
        <x:f>ROUND($C2437*10*VLOOKUP($B2437,Sheet2!$J$5:$K$7,2,FALSE)*VLOOKUP(Sheet1!$A2437,Sheet2!$B$5:$H$29,4,FALSE),0)</x:f>
        <x:v>0</x:v>
      </x:c>
      <x:c r="F2437">
        <x:f>ROUND($C2437*10*VLOOKUP($B2437,Sheet2!$J$5:$K$7,2,FALSE)*VLOOKUP(Sheet1!$A2437,Sheet2!$B$5:$H$29,5,FALSE),0)</x:f>
        <x:v>207</x:v>
      </x:c>
      <x:c r="G2437">
        <x:f>ROUND($C2437*10*VLOOKUP($B2437,Sheet2!$J$5:$K$7,2,FALSE)*VLOOKUP(Sheet1!$A2437,Sheet2!$B$5:$H$29,6,FALSE),0)</x:f>
        <x:v>69</x:v>
      </x:c>
      <x:c r="H2437">
        <x:f>ROUND($C2437*10*VLOOKUP($B2437,Sheet2!$J$5:$K$7,2,FALSE)*VLOOKUP(Sheet1!$A2437,Sheet2!$B$5:$H$29,7,FALSE),0)</x:f>
        <x:v>0</x:v>
      </x:c>
      <x:c r="I2437">
        <x:f t="shared" si="40"/>
        <x:v>25330</x:v>
      </x:c>
    </x:row>
    <x:row r="2438" spans="1:9" x14ac:dyDescent="0.15">
      <x:c r="A2438">
        <x:v>54104</x:v>
      </x:c>
      <x:c r="B2438">
        <x:v>2</x:v>
      </x:c>
      <x:c r="C2438">
        <x:v>37</x:v>
      </x:c>
      <x:c r="D2438">
        <x:f>ROUND($C2438*10*VLOOKUP($B2438,Sheet2!$J$5:$K$7,2,FALSE)*VLOOKUP(Sheet1!$A2438,Sheet2!$B$5:$H$29,3,FALSE),0)</x:f>
        <x:v>0</x:v>
      </x:c>
      <x:c r="E2438">
        <x:f>ROUND($C2438*10*VLOOKUP($B2438,Sheet2!$J$5:$K$7,2,FALSE)*VLOOKUP(Sheet1!$A2438,Sheet2!$B$5:$H$29,4,FALSE),0)</x:f>
        <x:v>0</x:v>
      </x:c>
      <x:c r="F2438">
        <x:f>ROUND($C2438*10*VLOOKUP($B2438,Sheet2!$J$5:$K$7,2,FALSE)*VLOOKUP(Sheet1!$A2438,Sheet2!$B$5:$H$29,5,FALSE),0)</x:f>
        <x:v>213</x:v>
      </x:c>
      <x:c r="G2438">
        <x:f>ROUND($C2438*10*VLOOKUP($B2438,Sheet2!$J$5:$K$7,2,FALSE)*VLOOKUP(Sheet1!$A2438,Sheet2!$B$5:$H$29,6,FALSE),0)</x:f>
        <x:v>71</x:v>
      </x:c>
      <x:c r="H2438">
        <x:f>ROUND($C2438*10*VLOOKUP($B2438,Sheet2!$J$5:$K$7,2,FALSE)*VLOOKUP(Sheet1!$A2438,Sheet2!$B$5:$H$29,7,FALSE),0)</x:f>
        <x:v>0</x:v>
      </x:c>
      <x:c r="I2438">
        <x:f t="shared" si="40"/>
        <x:v>26640</x:v>
      </x:c>
    </x:row>
    <x:row r="2439" spans="1:9" x14ac:dyDescent="0.15">
      <x:c r="A2439">
        <x:v>54104</x:v>
      </x:c>
      <x:c r="B2439">
        <x:v>2</x:v>
      </x:c>
      <x:c r="C2439">
        <x:v>38</x:v>
      </x:c>
      <x:c r="D2439">
        <x:f>ROUND($C2439*10*VLOOKUP($B2439,Sheet2!$J$5:$K$7,2,FALSE)*VLOOKUP(Sheet1!$A2439,Sheet2!$B$5:$H$29,3,FALSE),0)</x:f>
        <x:v>0</x:v>
      </x:c>
      <x:c r="E2439">
        <x:f>ROUND($C2439*10*VLOOKUP($B2439,Sheet2!$J$5:$K$7,2,FALSE)*VLOOKUP(Sheet1!$A2439,Sheet2!$B$5:$H$29,4,FALSE),0)</x:f>
        <x:v>0</x:v>
      </x:c>
      <x:c r="F2439">
        <x:f>ROUND($C2439*10*VLOOKUP($B2439,Sheet2!$J$5:$K$7,2,FALSE)*VLOOKUP(Sheet1!$A2439,Sheet2!$B$5:$H$29,5,FALSE),0)</x:f>
        <x:v>219</x:v>
      </x:c>
      <x:c r="G2439">
        <x:f>ROUND($C2439*10*VLOOKUP($B2439,Sheet2!$J$5:$K$7,2,FALSE)*VLOOKUP(Sheet1!$A2439,Sheet2!$B$5:$H$29,6,FALSE),0)</x:f>
        <x:v>73</x:v>
      </x:c>
      <x:c r="H2439">
        <x:f>ROUND($C2439*10*VLOOKUP($B2439,Sheet2!$J$5:$K$7,2,FALSE)*VLOOKUP(Sheet1!$A2439,Sheet2!$B$5:$H$29,7,FALSE),0)</x:f>
        <x:v>0</x:v>
      </x:c>
      <x:c r="I2439">
        <x:f t="shared" si="40"/>
        <x:v>27990</x:v>
      </x:c>
    </x:row>
    <x:row r="2440" spans="1:9" x14ac:dyDescent="0.15">
      <x:c r="A2440">
        <x:v>54104</x:v>
      </x:c>
      <x:c r="B2440">
        <x:v>2</x:v>
      </x:c>
      <x:c r="C2440">
        <x:v>39</x:v>
      </x:c>
      <x:c r="D2440">
        <x:f>ROUND($C2440*10*VLOOKUP($B2440,Sheet2!$J$5:$K$7,2,FALSE)*VLOOKUP(Sheet1!$A2440,Sheet2!$B$5:$H$29,3,FALSE),0)</x:f>
        <x:v>0</x:v>
      </x:c>
      <x:c r="E2440">
        <x:f>ROUND($C2440*10*VLOOKUP($B2440,Sheet2!$J$5:$K$7,2,FALSE)*VLOOKUP(Sheet1!$A2440,Sheet2!$B$5:$H$29,4,FALSE),0)</x:f>
        <x:v>0</x:v>
      </x:c>
      <x:c r="F2440">
        <x:f>ROUND($C2440*10*VLOOKUP($B2440,Sheet2!$J$5:$K$7,2,FALSE)*VLOOKUP(Sheet1!$A2440,Sheet2!$B$5:$H$29,5,FALSE),0)</x:f>
        <x:v>225</x:v>
      </x:c>
      <x:c r="G2440">
        <x:f>ROUND($C2440*10*VLOOKUP($B2440,Sheet2!$J$5:$K$7,2,FALSE)*VLOOKUP(Sheet1!$A2440,Sheet2!$B$5:$H$29,6,FALSE),0)</x:f>
        <x:v>75</x:v>
      </x:c>
      <x:c r="H2440">
        <x:f>ROUND($C2440*10*VLOOKUP($B2440,Sheet2!$J$5:$K$7,2,FALSE)*VLOOKUP(Sheet1!$A2440,Sheet2!$B$5:$H$29,7,FALSE),0)</x:f>
        <x:v>0</x:v>
      </x:c>
      <x:c r="I2440">
        <x:f t="shared" si="40"/>
        <x:v>29360</x:v>
      </x:c>
    </x:row>
    <x:row r="2441" spans="1:9" x14ac:dyDescent="0.15">
      <x:c r="A2441">
        <x:v>54104</x:v>
      </x:c>
      <x:c r="B2441">
        <x:v>2</x:v>
      </x:c>
      <x:c r="C2441">
        <x:v>40</x:v>
      </x:c>
      <x:c r="D2441">
        <x:f>ROUND($C2441*10*VLOOKUP($B2441,Sheet2!$J$5:$K$7,2,FALSE)*VLOOKUP(Sheet1!$A2441,Sheet2!$B$5:$H$29,3,FALSE),0)</x:f>
        <x:v>0</x:v>
      </x:c>
      <x:c r="E2441">
        <x:f>ROUND($C2441*10*VLOOKUP($B2441,Sheet2!$J$5:$K$7,2,FALSE)*VLOOKUP(Sheet1!$A2441,Sheet2!$B$5:$H$29,4,FALSE),0)</x:f>
        <x:v>0</x:v>
      </x:c>
      <x:c r="F2441">
        <x:f>ROUND($C2441*10*VLOOKUP($B2441,Sheet2!$J$5:$K$7,2,FALSE)*VLOOKUP(Sheet1!$A2441,Sheet2!$B$5:$H$29,5,FALSE),0)</x:f>
        <x:v>230</x:v>
      </x:c>
      <x:c r="G2441">
        <x:f>ROUND($C2441*10*VLOOKUP($B2441,Sheet2!$J$5:$K$7,2,FALSE)*VLOOKUP(Sheet1!$A2441,Sheet2!$B$5:$H$29,6,FALSE),0)</x:f>
        <x:v>77</x:v>
      </x:c>
      <x:c r="H2441">
        <x:f>ROUND($C2441*10*VLOOKUP($B2441,Sheet2!$J$5:$K$7,2,FALSE)*VLOOKUP(Sheet1!$A2441,Sheet2!$B$5:$H$29,7,FALSE),0)</x:f>
        <x:v>0</x:v>
      </x:c>
      <x:c r="I2441">
        <x:f t="shared" si="40"/>
        <x:v>30760</x:v>
      </x:c>
    </x:row>
    <x:row r="2442" spans="1:9" x14ac:dyDescent="0.15">
      <x:c r="A2442">
        <x:v>54104</x:v>
      </x:c>
      <x:c r="B2442">
        <x:v>2</x:v>
      </x:c>
      <x:c r="C2442">
        <x:v>41</x:v>
      </x:c>
      <x:c r="D2442">
        <x:f>ROUND($C2442*10*VLOOKUP($B2442,Sheet2!$J$5:$K$7,2,FALSE)*VLOOKUP(Sheet1!$A2442,Sheet2!$B$5:$H$29,3,FALSE),0)</x:f>
        <x:v>0</x:v>
      </x:c>
      <x:c r="E2442">
        <x:f>ROUND($C2442*10*VLOOKUP($B2442,Sheet2!$J$5:$K$7,2,FALSE)*VLOOKUP(Sheet1!$A2442,Sheet2!$B$5:$H$29,4,FALSE),0)</x:f>
        <x:v>0</x:v>
      </x:c>
      <x:c r="F2442">
        <x:f>ROUND($C2442*10*VLOOKUP($B2442,Sheet2!$J$5:$K$7,2,FALSE)*VLOOKUP(Sheet1!$A2442,Sheet2!$B$5:$H$29,5,FALSE),0)</x:f>
        <x:v>236</x:v>
      </x:c>
      <x:c r="G2442">
        <x:f>ROUND($C2442*10*VLOOKUP($B2442,Sheet2!$J$5:$K$7,2,FALSE)*VLOOKUP(Sheet1!$A2442,Sheet2!$B$5:$H$29,6,FALSE),0)</x:f>
        <x:v>79</x:v>
      </x:c>
      <x:c r="H2442">
        <x:f>ROUND($C2442*10*VLOOKUP($B2442,Sheet2!$J$5:$K$7,2,FALSE)*VLOOKUP(Sheet1!$A2442,Sheet2!$B$5:$H$29,7,FALSE),0)</x:f>
        <x:v>0</x:v>
      </x:c>
      <x:c r="I2442">
        <x:f t="shared" si="40"/>
        <x:v>32190</x:v>
      </x:c>
    </x:row>
    <x:row r="2443" spans="1:9" x14ac:dyDescent="0.15">
      <x:c r="A2443">
        <x:v>54104</x:v>
      </x:c>
      <x:c r="B2443">
        <x:v>2</x:v>
      </x:c>
      <x:c r="C2443">
        <x:v>42</x:v>
      </x:c>
      <x:c r="D2443">
        <x:f>ROUND($C2443*10*VLOOKUP($B2443,Sheet2!$J$5:$K$7,2,FALSE)*VLOOKUP(Sheet1!$A2443,Sheet2!$B$5:$H$29,3,FALSE),0)</x:f>
        <x:v>0</x:v>
      </x:c>
      <x:c r="E2443">
        <x:f>ROUND($C2443*10*VLOOKUP($B2443,Sheet2!$J$5:$K$7,2,FALSE)*VLOOKUP(Sheet1!$A2443,Sheet2!$B$5:$H$29,4,FALSE),0)</x:f>
        <x:v>0</x:v>
      </x:c>
      <x:c r="F2443">
        <x:f>ROUND($C2443*10*VLOOKUP($B2443,Sheet2!$J$5:$K$7,2,FALSE)*VLOOKUP(Sheet1!$A2443,Sheet2!$B$5:$H$29,5,FALSE),0)</x:f>
        <x:v>242</x:v>
      </x:c>
      <x:c r="G2443">
        <x:f>ROUND($C2443*10*VLOOKUP($B2443,Sheet2!$J$5:$K$7,2,FALSE)*VLOOKUP(Sheet1!$A2443,Sheet2!$B$5:$H$29,6,FALSE),0)</x:f>
        <x:v>81</x:v>
      </x:c>
      <x:c r="H2443">
        <x:f>ROUND($C2443*10*VLOOKUP($B2443,Sheet2!$J$5:$K$7,2,FALSE)*VLOOKUP(Sheet1!$A2443,Sheet2!$B$5:$H$29,7,FALSE),0)</x:f>
        <x:v>0</x:v>
      </x:c>
      <x:c r="I2443">
        <x:f t="shared" si="40"/>
        <x:v>33650</x:v>
      </x:c>
    </x:row>
    <x:row r="2444" spans="1:9" x14ac:dyDescent="0.15">
      <x:c r="A2444">
        <x:v>54104</x:v>
      </x:c>
      <x:c r="B2444">
        <x:v>2</x:v>
      </x:c>
      <x:c r="C2444">
        <x:v>43</x:v>
      </x:c>
      <x:c r="D2444">
        <x:f>ROUND($C2444*10*VLOOKUP($B2444,Sheet2!$J$5:$K$7,2,FALSE)*VLOOKUP(Sheet1!$A2444,Sheet2!$B$5:$H$29,3,FALSE),0)</x:f>
        <x:v>0</x:v>
      </x:c>
      <x:c r="E2444">
        <x:f>ROUND($C2444*10*VLOOKUP($B2444,Sheet2!$J$5:$K$7,2,FALSE)*VLOOKUP(Sheet1!$A2444,Sheet2!$B$5:$H$29,4,FALSE),0)</x:f>
        <x:v>0</x:v>
      </x:c>
      <x:c r="F2444">
        <x:f>ROUND($C2444*10*VLOOKUP($B2444,Sheet2!$J$5:$K$7,2,FALSE)*VLOOKUP(Sheet1!$A2444,Sheet2!$B$5:$H$29,5,FALSE),0)</x:f>
        <x:v>248</x:v>
      </x:c>
      <x:c r="G2444">
        <x:f>ROUND($C2444*10*VLOOKUP($B2444,Sheet2!$J$5:$K$7,2,FALSE)*VLOOKUP(Sheet1!$A2444,Sheet2!$B$5:$H$29,6,FALSE),0)</x:f>
        <x:v>83</x:v>
      </x:c>
      <x:c r="H2444">
        <x:f>ROUND($C2444*10*VLOOKUP($B2444,Sheet2!$J$5:$K$7,2,FALSE)*VLOOKUP(Sheet1!$A2444,Sheet2!$B$5:$H$29,7,FALSE),0)</x:f>
        <x:v>0</x:v>
      </x:c>
      <x:c r="I2444">
        <x:f t="shared" si="40"/>
        <x:v>35140</x:v>
      </x:c>
    </x:row>
    <x:row r="2445" spans="1:9" x14ac:dyDescent="0.15">
      <x:c r="A2445">
        <x:v>54104</x:v>
      </x:c>
      <x:c r="B2445">
        <x:v>2</x:v>
      </x:c>
      <x:c r="C2445">
        <x:v>44</x:v>
      </x:c>
      <x:c r="D2445">
        <x:f>ROUND($C2445*10*VLOOKUP($B2445,Sheet2!$J$5:$K$7,2,FALSE)*VLOOKUP(Sheet1!$A2445,Sheet2!$B$5:$H$29,3,FALSE),0)</x:f>
        <x:v>0</x:v>
      </x:c>
      <x:c r="E2445">
        <x:f>ROUND($C2445*10*VLOOKUP($B2445,Sheet2!$J$5:$K$7,2,FALSE)*VLOOKUP(Sheet1!$A2445,Sheet2!$B$5:$H$29,4,FALSE),0)</x:f>
        <x:v>0</x:v>
      </x:c>
      <x:c r="F2445">
        <x:f>ROUND($C2445*10*VLOOKUP($B2445,Sheet2!$J$5:$K$7,2,FALSE)*VLOOKUP(Sheet1!$A2445,Sheet2!$B$5:$H$29,5,FALSE),0)</x:f>
        <x:v>253</x:v>
      </x:c>
      <x:c r="G2445">
        <x:f>ROUND($C2445*10*VLOOKUP($B2445,Sheet2!$J$5:$K$7,2,FALSE)*VLOOKUP(Sheet1!$A2445,Sheet2!$B$5:$H$29,6,FALSE),0)</x:f>
        <x:v>84</x:v>
      </x:c>
      <x:c r="H2445">
        <x:f>ROUND($C2445*10*VLOOKUP($B2445,Sheet2!$J$5:$K$7,2,FALSE)*VLOOKUP(Sheet1!$A2445,Sheet2!$B$5:$H$29,7,FALSE),0)</x:f>
        <x:v>0</x:v>
      </x:c>
      <x:c r="I2445">
        <x:f t="shared" si="40"/>
        <x:v>36660</x:v>
      </x:c>
    </x:row>
    <x:row r="2446" spans="1:9" x14ac:dyDescent="0.15">
      <x:c r="A2446">
        <x:v>54104</x:v>
      </x:c>
      <x:c r="B2446">
        <x:v>2</x:v>
      </x:c>
      <x:c r="C2446">
        <x:v>45</x:v>
      </x:c>
      <x:c r="D2446">
        <x:f>ROUND($C2446*10*VLOOKUP($B2446,Sheet2!$J$5:$K$7,2,FALSE)*VLOOKUP(Sheet1!$A2446,Sheet2!$B$5:$H$29,3,FALSE),0)</x:f>
        <x:v>0</x:v>
      </x:c>
      <x:c r="E2446">
        <x:f>ROUND($C2446*10*VLOOKUP($B2446,Sheet2!$J$5:$K$7,2,FALSE)*VLOOKUP(Sheet1!$A2446,Sheet2!$B$5:$H$29,4,FALSE),0)</x:f>
        <x:v>0</x:v>
      </x:c>
      <x:c r="F2446">
        <x:f>ROUND($C2446*10*VLOOKUP($B2446,Sheet2!$J$5:$K$7,2,FALSE)*VLOOKUP(Sheet1!$A2446,Sheet2!$B$5:$H$29,5,FALSE),0)</x:f>
        <x:v>259</x:v>
      </x:c>
      <x:c r="G2446">
        <x:f>ROUND($C2446*10*VLOOKUP($B2446,Sheet2!$J$5:$K$7,2,FALSE)*VLOOKUP(Sheet1!$A2446,Sheet2!$B$5:$H$29,6,FALSE),0)</x:f>
        <x:v>86</x:v>
      </x:c>
      <x:c r="H2446">
        <x:f>ROUND($C2446*10*VLOOKUP($B2446,Sheet2!$J$5:$K$7,2,FALSE)*VLOOKUP(Sheet1!$A2446,Sheet2!$B$5:$H$29,7,FALSE),0)</x:f>
        <x:v>0</x:v>
      </x:c>
      <x:c r="I2446">
        <x:f t="shared" si="40"/>
        <x:v>38210</x:v>
      </x:c>
    </x:row>
    <x:row r="2447" spans="1:9" x14ac:dyDescent="0.15">
      <x:c r="A2447">
        <x:v>54104</x:v>
      </x:c>
      <x:c r="B2447">
        <x:v>2</x:v>
      </x:c>
      <x:c r="C2447">
        <x:v>46</x:v>
      </x:c>
      <x:c r="D2447">
        <x:f>ROUND($C2447*10*VLOOKUP($B2447,Sheet2!$J$5:$K$7,2,FALSE)*VLOOKUP(Sheet1!$A2447,Sheet2!$B$5:$H$29,3,FALSE),0)</x:f>
        <x:v>0</x:v>
      </x:c>
      <x:c r="E2447">
        <x:f>ROUND($C2447*10*VLOOKUP($B2447,Sheet2!$J$5:$K$7,2,FALSE)*VLOOKUP(Sheet1!$A2447,Sheet2!$B$5:$H$29,4,FALSE),0)</x:f>
        <x:v>0</x:v>
      </x:c>
      <x:c r="F2447">
        <x:f>ROUND($C2447*10*VLOOKUP($B2447,Sheet2!$J$5:$K$7,2,FALSE)*VLOOKUP(Sheet1!$A2447,Sheet2!$B$5:$H$29,5,FALSE),0)</x:f>
        <x:v>265</x:v>
      </x:c>
      <x:c r="G2447">
        <x:f>ROUND($C2447*10*VLOOKUP($B2447,Sheet2!$J$5:$K$7,2,FALSE)*VLOOKUP(Sheet1!$A2447,Sheet2!$B$5:$H$29,6,FALSE),0)</x:f>
        <x:v>88</x:v>
      </x:c>
      <x:c r="H2447">
        <x:f>ROUND($C2447*10*VLOOKUP($B2447,Sheet2!$J$5:$K$7,2,FALSE)*VLOOKUP(Sheet1!$A2447,Sheet2!$B$5:$H$29,7,FALSE),0)</x:f>
        <x:v>0</x:v>
      </x:c>
      <x:c r="I2447">
        <x:f t="shared" si="40"/>
        <x:v>39780</x:v>
      </x:c>
    </x:row>
    <x:row r="2448" spans="1:9" x14ac:dyDescent="0.15">
      <x:c r="A2448">
        <x:v>54104</x:v>
      </x:c>
      <x:c r="B2448">
        <x:v>2</x:v>
      </x:c>
      <x:c r="C2448">
        <x:v>47</x:v>
      </x:c>
      <x:c r="D2448">
        <x:f>ROUND($C2448*10*VLOOKUP($B2448,Sheet2!$J$5:$K$7,2,FALSE)*VLOOKUP(Sheet1!$A2448,Sheet2!$B$5:$H$29,3,FALSE),0)</x:f>
        <x:v>0</x:v>
      </x:c>
      <x:c r="E2448">
        <x:f>ROUND($C2448*10*VLOOKUP($B2448,Sheet2!$J$5:$K$7,2,FALSE)*VLOOKUP(Sheet1!$A2448,Sheet2!$B$5:$H$29,4,FALSE),0)</x:f>
        <x:v>0</x:v>
      </x:c>
      <x:c r="F2448">
        <x:f>ROUND($C2448*10*VLOOKUP($B2448,Sheet2!$J$5:$K$7,2,FALSE)*VLOOKUP(Sheet1!$A2448,Sheet2!$B$5:$H$29,5,FALSE),0)</x:f>
        <x:v>271</x:v>
      </x:c>
      <x:c r="G2448">
        <x:f>ROUND($C2448*10*VLOOKUP($B2448,Sheet2!$J$5:$K$7,2,FALSE)*VLOOKUP(Sheet1!$A2448,Sheet2!$B$5:$H$29,6,FALSE),0)</x:f>
        <x:v>90</x:v>
      </x:c>
      <x:c r="H2448">
        <x:f>ROUND($C2448*10*VLOOKUP($B2448,Sheet2!$J$5:$K$7,2,FALSE)*VLOOKUP(Sheet1!$A2448,Sheet2!$B$5:$H$29,7,FALSE),0)</x:f>
        <x:v>0</x:v>
      </x:c>
      <x:c r="I2448">
        <x:f t="shared" si="40"/>
        <x:v>41390</x:v>
      </x:c>
    </x:row>
    <x:row r="2449" spans="1:9" x14ac:dyDescent="0.15">
      <x:c r="A2449">
        <x:v>54104</x:v>
      </x:c>
      <x:c r="B2449">
        <x:v>2</x:v>
      </x:c>
      <x:c r="C2449">
        <x:v>48</x:v>
      </x:c>
      <x:c r="D2449">
        <x:f>ROUND($C2449*10*VLOOKUP($B2449,Sheet2!$J$5:$K$7,2,FALSE)*VLOOKUP(Sheet1!$A2449,Sheet2!$B$5:$H$29,3,FALSE),0)</x:f>
        <x:v>0</x:v>
      </x:c>
      <x:c r="E2449">
        <x:f>ROUND($C2449*10*VLOOKUP($B2449,Sheet2!$J$5:$K$7,2,FALSE)*VLOOKUP(Sheet1!$A2449,Sheet2!$B$5:$H$29,4,FALSE),0)</x:f>
        <x:v>0</x:v>
      </x:c>
      <x:c r="F2449">
        <x:f>ROUND($C2449*10*VLOOKUP($B2449,Sheet2!$J$5:$K$7,2,FALSE)*VLOOKUP(Sheet1!$A2449,Sheet2!$B$5:$H$29,5,FALSE),0)</x:f>
        <x:v>276</x:v>
      </x:c>
      <x:c r="G2449">
        <x:f>ROUND($C2449*10*VLOOKUP($B2449,Sheet2!$J$5:$K$7,2,FALSE)*VLOOKUP(Sheet1!$A2449,Sheet2!$B$5:$H$29,6,FALSE),0)</x:f>
        <x:v>92</x:v>
      </x:c>
      <x:c r="H2449">
        <x:f>ROUND($C2449*10*VLOOKUP($B2449,Sheet2!$J$5:$K$7,2,FALSE)*VLOOKUP(Sheet1!$A2449,Sheet2!$B$5:$H$29,7,FALSE),0)</x:f>
        <x:v>0</x:v>
      </x:c>
      <x:c r="I2449">
        <x:f t="shared" si="40"/>
        <x:v>43020</x:v>
      </x:c>
    </x:row>
    <x:row r="2450" spans="1:9" x14ac:dyDescent="0.15">
      <x:c r="A2450">
        <x:v>54104</x:v>
      </x:c>
      <x:c r="B2450">
        <x:v>2</x:v>
      </x:c>
      <x:c r="C2450">
        <x:v>49</x:v>
      </x:c>
      <x:c r="D2450">
        <x:f>ROUND($C2450*10*VLOOKUP($B2450,Sheet2!$J$5:$K$7,2,FALSE)*VLOOKUP(Sheet1!$A2450,Sheet2!$B$5:$H$29,3,FALSE),0)</x:f>
        <x:v>0</x:v>
      </x:c>
      <x:c r="E2450">
        <x:f>ROUND($C2450*10*VLOOKUP($B2450,Sheet2!$J$5:$K$7,2,FALSE)*VLOOKUP(Sheet1!$A2450,Sheet2!$B$5:$H$29,4,FALSE),0)</x:f>
        <x:v>0</x:v>
      </x:c>
      <x:c r="F2450">
        <x:f>ROUND($C2450*10*VLOOKUP($B2450,Sheet2!$J$5:$K$7,2,FALSE)*VLOOKUP(Sheet1!$A2450,Sheet2!$B$5:$H$29,5,FALSE),0)</x:f>
        <x:v>282</x:v>
      </x:c>
      <x:c r="G2450">
        <x:f>ROUND($C2450*10*VLOOKUP($B2450,Sheet2!$J$5:$K$7,2,FALSE)*VLOOKUP(Sheet1!$A2450,Sheet2!$B$5:$H$29,6,FALSE),0)</x:f>
        <x:v>94</x:v>
      </x:c>
      <x:c r="H2450">
        <x:f>ROUND($C2450*10*VLOOKUP($B2450,Sheet2!$J$5:$K$7,2,FALSE)*VLOOKUP(Sheet1!$A2450,Sheet2!$B$5:$H$29,7,FALSE),0)</x:f>
        <x:v>0</x:v>
      </x:c>
      <x:c r="I2450">
        <x:f t="shared" si="40"/>
        <x:v>44680</x:v>
      </x:c>
    </x:row>
    <x:row r="2451" spans="1:9" x14ac:dyDescent="0.15">
      <x:c r="A2451">
        <x:v>54104</x:v>
      </x:c>
      <x:c r="B2451">
        <x:v>2</x:v>
      </x:c>
      <x:c r="C2451">
        <x:v>50</x:v>
      </x:c>
      <x:c r="D2451">
        <x:f>ROUND($C2451*10*VLOOKUP($B2451,Sheet2!$J$5:$K$7,2,FALSE)*VLOOKUP(Sheet1!$A2451,Sheet2!$B$5:$H$29,3,FALSE),0)</x:f>
        <x:v>0</x:v>
      </x:c>
      <x:c r="E2451">
        <x:f>ROUND($C2451*10*VLOOKUP($B2451,Sheet2!$J$5:$K$7,2,FALSE)*VLOOKUP(Sheet1!$A2451,Sheet2!$B$5:$H$29,4,FALSE),0)</x:f>
        <x:v>0</x:v>
      </x:c>
      <x:c r="F2451">
        <x:f>ROUND($C2451*10*VLOOKUP($B2451,Sheet2!$J$5:$K$7,2,FALSE)*VLOOKUP(Sheet1!$A2451,Sheet2!$B$5:$H$29,5,FALSE),0)</x:f>
        <x:v>288</x:v>
      </x:c>
      <x:c r="G2451">
        <x:f>ROUND($C2451*10*VLOOKUP($B2451,Sheet2!$J$5:$K$7,2,FALSE)*VLOOKUP(Sheet1!$A2451,Sheet2!$B$5:$H$29,6,FALSE),0)</x:f>
        <x:v>96</x:v>
      </x:c>
      <x:c r="H2451">
        <x:f>ROUND($C2451*10*VLOOKUP($B2451,Sheet2!$J$5:$K$7,2,FALSE)*VLOOKUP(Sheet1!$A2451,Sheet2!$B$5:$H$29,7,FALSE),0)</x:f>
        <x:v>0</x:v>
      </x:c>
      <x:c r="I2451">
        <x:f t="shared" si="40"/>
        <x:v>46360</x:v>
      </x:c>
    </x:row>
    <x:row r="2452" spans="1:9" x14ac:dyDescent="0.15">
      <x:c r="A2452">
        <x:v>54104</x:v>
      </x:c>
      <x:c r="B2452">
        <x:v>2</x:v>
      </x:c>
      <x:c r="C2452">
        <x:v>51</x:v>
      </x:c>
      <x:c r="D2452">
        <x:f>ROUND($C2452*10*VLOOKUP($B2452,Sheet2!$J$5:$K$7,2,FALSE)*VLOOKUP(Sheet1!$A2452,Sheet2!$B$5:$H$29,3,FALSE),0)</x:f>
        <x:v>0</x:v>
      </x:c>
      <x:c r="E2452">
        <x:f>ROUND($C2452*10*VLOOKUP($B2452,Sheet2!$J$5:$K$7,2,FALSE)*VLOOKUP(Sheet1!$A2452,Sheet2!$B$5:$H$29,4,FALSE),0)</x:f>
        <x:v>0</x:v>
      </x:c>
      <x:c r="F2452">
        <x:f>ROUND($C2452*10*VLOOKUP($B2452,Sheet2!$J$5:$K$7,2,FALSE)*VLOOKUP(Sheet1!$A2452,Sheet2!$B$5:$H$29,5,FALSE),0)</x:f>
        <x:v>294</x:v>
      </x:c>
      <x:c r="G2452">
        <x:f>ROUND($C2452*10*VLOOKUP($B2452,Sheet2!$J$5:$K$7,2,FALSE)*VLOOKUP(Sheet1!$A2452,Sheet2!$B$5:$H$29,6,FALSE),0)</x:f>
        <x:v>98</x:v>
      </x:c>
      <x:c r="H2452">
        <x:f>ROUND($C2452*10*VLOOKUP($B2452,Sheet2!$J$5:$K$7,2,FALSE)*VLOOKUP(Sheet1!$A2452,Sheet2!$B$5:$H$29,7,FALSE),0)</x:f>
        <x:v>0</x:v>
      </x:c>
      <x:c r="I2452">
        <x:f t="shared" si="40"/>
        <x:v>48080</x:v>
      </x:c>
    </x:row>
    <x:row r="2453" spans="1:9" x14ac:dyDescent="0.15">
      <x:c r="A2453">
        <x:v>54104</x:v>
      </x:c>
      <x:c r="B2453">
        <x:v>2</x:v>
      </x:c>
      <x:c r="C2453">
        <x:v>52</x:v>
      </x:c>
      <x:c r="D2453">
        <x:f>ROUND($C2453*10*VLOOKUP($B2453,Sheet2!$J$5:$K$7,2,FALSE)*VLOOKUP(Sheet1!$A2453,Sheet2!$B$5:$H$29,3,FALSE),0)</x:f>
        <x:v>0</x:v>
      </x:c>
      <x:c r="E2453">
        <x:f>ROUND($C2453*10*VLOOKUP($B2453,Sheet2!$J$5:$K$7,2,FALSE)*VLOOKUP(Sheet1!$A2453,Sheet2!$B$5:$H$29,4,FALSE),0)</x:f>
        <x:v>0</x:v>
      </x:c>
      <x:c r="F2453">
        <x:f>ROUND($C2453*10*VLOOKUP($B2453,Sheet2!$J$5:$K$7,2,FALSE)*VLOOKUP(Sheet1!$A2453,Sheet2!$B$5:$H$29,5,FALSE),0)</x:f>
        <x:v>300</x:v>
      </x:c>
      <x:c r="G2453">
        <x:f>ROUND($C2453*10*VLOOKUP($B2453,Sheet2!$J$5:$K$7,2,FALSE)*VLOOKUP(Sheet1!$A2453,Sheet2!$B$5:$H$29,6,FALSE),0)</x:f>
        <x:v>100</x:v>
      </x:c>
      <x:c r="H2453">
        <x:f>ROUND($C2453*10*VLOOKUP($B2453,Sheet2!$J$5:$K$7,2,FALSE)*VLOOKUP(Sheet1!$A2453,Sheet2!$B$5:$H$29,7,FALSE),0)</x:f>
        <x:v>0</x:v>
      </x:c>
      <x:c r="I2453">
        <x:f t="shared" si="40"/>
        <x:v>49820</x:v>
      </x:c>
    </x:row>
    <x:row r="2454" spans="1:9" x14ac:dyDescent="0.15">
      <x:c r="A2454">
        <x:v>54104</x:v>
      </x:c>
      <x:c r="B2454">
        <x:v>2</x:v>
      </x:c>
      <x:c r="C2454">
        <x:v>53</x:v>
      </x:c>
      <x:c r="D2454">
        <x:f>ROUND($C2454*10*VLOOKUP($B2454,Sheet2!$J$5:$K$7,2,FALSE)*VLOOKUP(Sheet1!$A2454,Sheet2!$B$5:$H$29,3,FALSE),0)</x:f>
        <x:v>0</x:v>
      </x:c>
      <x:c r="E2454">
        <x:f>ROUND($C2454*10*VLOOKUP($B2454,Sheet2!$J$5:$K$7,2,FALSE)*VLOOKUP(Sheet1!$A2454,Sheet2!$B$5:$H$29,4,FALSE),0)</x:f>
        <x:v>0</x:v>
      </x:c>
      <x:c r="F2454">
        <x:f>ROUND($C2454*10*VLOOKUP($B2454,Sheet2!$J$5:$K$7,2,FALSE)*VLOOKUP(Sheet1!$A2454,Sheet2!$B$5:$H$29,5,FALSE),0)</x:f>
        <x:v>305</x:v>
      </x:c>
      <x:c r="G2454">
        <x:f>ROUND($C2454*10*VLOOKUP($B2454,Sheet2!$J$5:$K$7,2,FALSE)*VLOOKUP(Sheet1!$A2454,Sheet2!$B$5:$H$29,6,FALSE),0)</x:f>
        <x:v>102</x:v>
      </x:c>
      <x:c r="H2454">
        <x:f>ROUND($C2454*10*VLOOKUP($B2454,Sheet2!$J$5:$K$7,2,FALSE)*VLOOKUP(Sheet1!$A2454,Sheet2!$B$5:$H$29,7,FALSE),0)</x:f>
        <x:v>0</x:v>
      </x:c>
      <x:c r="I2454">
        <x:f t="shared" si="40"/>
        <x:v>51590</x:v>
      </x:c>
    </x:row>
    <x:row r="2455" spans="1:9" x14ac:dyDescent="0.15">
      <x:c r="A2455">
        <x:v>54104</x:v>
      </x:c>
      <x:c r="B2455">
        <x:v>2</x:v>
      </x:c>
      <x:c r="C2455">
        <x:v>54</x:v>
      </x:c>
      <x:c r="D2455">
        <x:f>ROUND($C2455*10*VLOOKUP($B2455,Sheet2!$J$5:$K$7,2,FALSE)*VLOOKUP(Sheet1!$A2455,Sheet2!$B$5:$H$29,3,FALSE),0)</x:f>
        <x:v>0</x:v>
      </x:c>
      <x:c r="E2455">
        <x:f>ROUND($C2455*10*VLOOKUP($B2455,Sheet2!$J$5:$K$7,2,FALSE)*VLOOKUP(Sheet1!$A2455,Sheet2!$B$5:$H$29,4,FALSE),0)</x:f>
        <x:v>0</x:v>
      </x:c>
      <x:c r="F2455">
        <x:f>ROUND($C2455*10*VLOOKUP($B2455,Sheet2!$J$5:$K$7,2,FALSE)*VLOOKUP(Sheet1!$A2455,Sheet2!$B$5:$H$29,5,FALSE),0)</x:f>
        <x:v>311</x:v>
      </x:c>
      <x:c r="G2455">
        <x:f>ROUND($C2455*10*VLOOKUP($B2455,Sheet2!$J$5:$K$7,2,FALSE)*VLOOKUP(Sheet1!$A2455,Sheet2!$B$5:$H$29,6,FALSE),0)</x:f>
        <x:v>104</x:v>
      </x:c>
      <x:c r="H2455">
        <x:f>ROUND($C2455*10*VLOOKUP($B2455,Sheet2!$J$5:$K$7,2,FALSE)*VLOOKUP(Sheet1!$A2455,Sheet2!$B$5:$H$29,7,FALSE),0)</x:f>
        <x:v>0</x:v>
      </x:c>
      <x:c r="I2455">
        <x:f t="shared" si="40"/>
        <x:v>53390</x:v>
      </x:c>
    </x:row>
    <x:row r="2456" spans="1:9" x14ac:dyDescent="0.15">
      <x:c r="A2456">
        <x:v>54104</x:v>
      </x:c>
      <x:c r="B2456">
        <x:v>2</x:v>
      </x:c>
      <x:c r="C2456">
        <x:v>55</x:v>
      </x:c>
      <x:c r="D2456">
        <x:f>ROUND($C2456*10*VLOOKUP($B2456,Sheet2!$J$5:$K$7,2,FALSE)*VLOOKUP(Sheet1!$A2456,Sheet2!$B$5:$H$29,3,FALSE),0)</x:f>
        <x:v>0</x:v>
      </x:c>
      <x:c r="E2456">
        <x:f>ROUND($C2456*10*VLOOKUP($B2456,Sheet2!$J$5:$K$7,2,FALSE)*VLOOKUP(Sheet1!$A2456,Sheet2!$B$5:$H$29,4,FALSE),0)</x:f>
        <x:v>0</x:v>
      </x:c>
      <x:c r="F2456">
        <x:f>ROUND($C2456*10*VLOOKUP($B2456,Sheet2!$J$5:$K$7,2,FALSE)*VLOOKUP(Sheet1!$A2456,Sheet2!$B$5:$H$29,5,FALSE),0)</x:f>
        <x:v>317</x:v>
      </x:c>
      <x:c r="G2456">
        <x:f>ROUND($C2456*10*VLOOKUP($B2456,Sheet2!$J$5:$K$7,2,FALSE)*VLOOKUP(Sheet1!$A2456,Sheet2!$B$5:$H$29,6,FALSE),0)</x:f>
        <x:v>106</x:v>
      </x:c>
      <x:c r="H2456">
        <x:f>ROUND($C2456*10*VLOOKUP($B2456,Sheet2!$J$5:$K$7,2,FALSE)*VLOOKUP(Sheet1!$A2456,Sheet2!$B$5:$H$29,7,FALSE),0)</x:f>
        <x:v>0</x:v>
      </x:c>
      <x:c r="I2456">
        <x:f t="shared" si="40"/>
        <x:v>55210</x:v>
      </x:c>
    </x:row>
    <x:row r="2457" spans="1:9" x14ac:dyDescent="0.15">
      <x:c r="A2457">
        <x:v>54104</x:v>
      </x:c>
      <x:c r="B2457">
        <x:v>2</x:v>
      </x:c>
      <x:c r="C2457">
        <x:v>56</x:v>
      </x:c>
      <x:c r="D2457">
        <x:f>ROUND($C2457*10*VLOOKUP($B2457,Sheet2!$J$5:$K$7,2,FALSE)*VLOOKUP(Sheet1!$A2457,Sheet2!$B$5:$H$29,3,FALSE),0)</x:f>
        <x:v>0</x:v>
      </x:c>
      <x:c r="E2457">
        <x:f>ROUND($C2457*10*VLOOKUP($B2457,Sheet2!$J$5:$K$7,2,FALSE)*VLOOKUP(Sheet1!$A2457,Sheet2!$B$5:$H$29,4,FALSE),0)</x:f>
        <x:v>0</x:v>
      </x:c>
      <x:c r="F2457">
        <x:f>ROUND($C2457*10*VLOOKUP($B2457,Sheet2!$J$5:$K$7,2,FALSE)*VLOOKUP(Sheet1!$A2457,Sheet2!$B$5:$H$29,5,FALSE),0)</x:f>
        <x:v>323</x:v>
      </x:c>
      <x:c r="G2457">
        <x:f>ROUND($C2457*10*VLOOKUP($B2457,Sheet2!$J$5:$K$7,2,FALSE)*VLOOKUP(Sheet1!$A2457,Sheet2!$B$5:$H$29,6,FALSE),0)</x:f>
        <x:v>108</x:v>
      </x:c>
      <x:c r="H2457">
        <x:f>ROUND($C2457*10*VLOOKUP($B2457,Sheet2!$J$5:$K$7,2,FALSE)*VLOOKUP(Sheet1!$A2457,Sheet2!$B$5:$H$29,7,FALSE),0)</x:f>
        <x:v>0</x:v>
      </x:c>
      <x:c r="I2457">
        <x:f t="shared" si="40"/>
        <x:v>57060</x:v>
      </x:c>
    </x:row>
    <x:row r="2458" spans="1:9" x14ac:dyDescent="0.15">
      <x:c r="A2458">
        <x:v>54104</x:v>
      </x:c>
      <x:c r="B2458">
        <x:v>2</x:v>
      </x:c>
      <x:c r="C2458">
        <x:v>57</x:v>
      </x:c>
      <x:c r="D2458">
        <x:f>ROUND($C2458*10*VLOOKUP($B2458,Sheet2!$J$5:$K$7,2,FALSE)*VLOOKUP(Sheet1!$A2458,Sheet2!$B$5:$H$29,3,FALSE),0)</x:f>
        <x:v>0</x:v>
      </x:c>
      <x:c r="E2458">
        <x:f>ROUND($C2458*10*VLOOKUP($B2458,Sheet2!$J$5:$K$7,2,FALSE)*VLOOKUP(Sheet1!$A2458,Sheet2!$B$5:$H$29,4,FALSE),0)</x:f>
        <x:v>0</x:v>
      </x:c>
      <x:c r="F2458">
        <x:f>ROUND($C2458*10*VLOOKUP($B2458,Sheet2!$J$5:$K$7,2,FALSE)*VLOOKUP(Sheet1!$A2458,Sheet2!$B$5:$H$29,5,FALSE),0)</x:f>
        <x:v>328</x:v>
      </x:c>
      <x:c r="G2458">
        <x:f>ROUND($C2458*10*VLOOKUP($B2458,Sheet2!$J$5:$K$7,2,FALSE)*VLOOKUP(Sheet1!$A2458,Sheet2!$B$5:$H$29,6,FALSE),0)</x:f>
        <x:v>109</x:v>
      </x:c>
      <x:c r="H2458">
        <x:f>ROUND($C2458*10*VLOOKUP($B2458,Sheet2!$J$5:$K$7,2,FALSE)*VLOOKUP(Sheet1!$A2458,Sheet2!$B$5:$H$29,7,FALSE),0)</x:f>
        <x:v>0</x:v>
      </x:c>
      <x:c r="I2458">
        <x:f t="shared" si="40"/>
        <x:v>58940</x:v>
      </x:c>
    </x:row>
    <x:row r="2459" spans="1:9" x14ac:dyDescent="0.15">
      <x:c r="A2459">
        <x:v>54104</x:v>
      </x:c>
      <x:c r="B2459">
        <x:v>2</x:v>
      </x:c>
      <x:c r="C2459">
        <x:v>58</x:v>
      </x:c>
      <x:c r="D2459">
        <x:f>ROUND($C2459*10*VLOOKUP($B2459,Sheet2!$J$5:$K$7,2,FALSE)*VLOOKUP(Sheet1!$A2459,Sheet2!$B$5:$H$29,3,FALSE),0)</x:f>
        <x:v>0</x:v>
      </x:c>
      <x:c r="E2459">
        <x:f>ROUND($C2459*10*VLOOKUP($B2459,Sheet2!$J$5:$K$7,2,FALSE)*VLOOKUP(Sheet1!$A2459,Sheet2!$B$5:$H$29,4,FALSE),0)</x:f>
        <x:v>0</x:v>
      </x:c>
      <x:c r="F2459">
        <x:f>ROUND($C2459*10*VLOOKUP($B2459,Sheet2!$J$5:$K$7,2,FALSE)*VLOOKUP(Sheet1!$A2459,Sheet2!$B$5:$H$29,5,FALSE),0)</x:f>
        <x:v>334</x:v>
      </x:c>
      <x:c r="G2459">
        <x:f>ROUND($C2459*10*VLOOKUP($B2459,Sheet2!$J$5:$K$7,2,FALSE)*VLOOKUP(Sheet1!$A2459,Sheet2!$B$5:$H$29,6,FALSE),0)</x:f>
        <x:v>111</x:v>
      </x:c>
      <x:c r="H2459">
        <x:f>ROUND($C2459*10*VLOOKUP($B2459,Sheet2!$J$5:$K$7,2,FALSE)*VLOOKUP(Sheet1!$A2459,Sheet2!$B$5:$H$29,7,FALSE),0)</x:f>
        <x:v>0</x:v>
      </x:c>
      <x:c r="I2459">
        <x:f t="shared" si="40"/>
        <x:v>60850</x:v>
      </x:c>
    </x:row>
    <x:row r="2460" spans="1:9" x14ac:dyDescent="0.15">
      <x:c r="A2460">
        <x:v>54104</x:v>
      </x:c>
      <x:c r="B2460">
        <x:v>2</x:v>
      </x:c>
      <x:c r="C2460">
        <x:v>59</x:v>
      </x:c>
      <x:c r="D2460">
        <x:f>ROUND($C2460*10*VLOOKUP($B2460,Sheet2!$J$5:$K$7,2,FALSE)*VLOOKUP(Sheet1!$A2460,Sheet2!$B$5:$H$29,3,FALSE),0)</x:f>
        <x:v>0</x:v>
      </x:c>
      <x:c r="E2460">
        <x:f>ROUND($C2460*10*VLOOKUP($B2460,Sheet2!$J$5:$K$7,2,FALSE)*VLOOKUP(Sheet1!$A2460,Sheet2!$B$5:$H$29,4,FALSE),0)</x:f>
        <x:v>0</x:v>
      </x:c>
      <x:c r="F2460">
        <x:f>ROUND($C2460*10*VLOOKUP($B2460,Sheet2!$J$5:$K$7,2,FALSE)*VLOOKUP(Sheet1!$A2460,Sheet2!$B$5:$H$29,5,FALSE),0)</x:f>
        <x:v>340</x:v>
      </x:c>
      <x:c r="G2460">
        <x:f>ROUND($C2460*10*VLOOKUP($B2460,Sheet2!$J$5:$K$7,2,FALSE)*VLOOKUP(Sheet1!$A2460,Sheet2!$B$5:$H$29,6,FALSE),0)</x:f>
        <x:v>113</x:v>
      </x:c>
      <x:c r="H2460">
        <x:f>ROUND($C2460*10*VLOOKUP($B2460,Sheet2!$J$5:$K$7,2,FALSE)*VLOOKUP(Sheet1!$A2460,Sheet2!$B$5:$H$29,7,FALSE),0)</x:f>
        <x:v>0</x:v>
      </x:c>
      <x:c r="I2460">
        <x:f t="shared" si="40"/>
        <x:v>62780</x:v>
      </x:c>
    </x:row>
    <x:row r="2461" spans="1:9" x14ac:dyDescent="0.15">
      <x:c r="A2461">
        <x:v>54104</x:v>
      </x:c>
      <x:c r="B2461">
        <x:v>2</x:v>
      </x:c>
      <x:c r="C2461">
        <x:v>60</x:v>
      </x:c>
      <x:c r="D2461">
        <x:f>ROUND($C2461*10*VLOOKUP($B2461,Sheet2!$J$5:$K$7,2,FALSE)*VLOOKUP(Sheet1!$A2461,Sheet2!$B$5:$H$29,3,FALSE),0)</x:f>
        <x:v>0</x:v>
      </x:c>
      <x:c r="E2461">
        <x:f>ROUND($C2461*10*VLOOKUP($B2461,Sheet2!$J$5:$K$7,2,FALSE)*VLOOKUP(Sheet1!$A2461,Sheet2!$B$5:$H$29,4,FALSE),0)</x:f>
        <x:v>0</x:v>
      </x:c>
      <x:c r="F2461">
        <x:f>ROUND($C2461*10*VLOOKUP($B2461,Sheet2!$J$5:$K$7,2,FALSE)*VLOOKUP(Sheet1!$A2461,Sheet2!$B$5:$H$29,5,FALSE),0)</x:f>
        <x:v>346</x:v>
      </x:c>
      <x:c r="G2461">
        <x:f>ROUND($C2461*10*VLOOKUP($B2461,Sheet2!$J$5:$K$7,2,FALSE)*VLOOKUP(Sheet1!$A2461,Sheet2!$B$5:$H$29,6,FALSE),0)</x:f>
        <x:v>115</x:v>
      </x:c>
      <x:c r="H2461">
        <x:f>ROUND($C2461*10*VLOOKUP($B2461,Sheet2!$J$5:$K$7,2,FALSE)*VLOOKUP(Sheet1!$A2461,Sheet2!$B$5:$H$29,7,FALSE),0)</x:f>
        <x:v>0</x:v>
      </x:c>
      <x:c r="I2461">
        <x:f t="shared" si="40"/>
        <x:v>64740</x:v>
      </x:c>
    </x:row>
    <x:row r="2462" spans="1:9" x14ac:dyDescent="0.15">
      <x:c r="A2462">
        <x:v>54104</x:v>
      </x:c>
      <x:c r="B2462">
        <x:v>3</x:v>
      </x:c>
      <x:c r="C2462">
        <x:v>1</x:v>
      </x:c>
      <x:c r="D2462">
        <x:f>ROUND($C2462*10*VLOOKUP($B2462,Sheet2!$J$5:$K$7,2,FALSE)*VLOOKUP(Sheet1!$A2462,Sheet2!$B$5:$H$29,3,FALSE),0)</x:f>
        <x:v>0</x:v>
      </x:c>
      <x:c r="E2462">
        <x:f>ROUND($C2462*10*VLOOKUP($B2462,Sheet2!$J$5:$K$7,2,FALSE)*VLOOKUP(Sheet1!$A2462,Sheet2!$B$5:$H$29,4,FALSE),0)</x:f>
        <x:v>0</x:v>
      </x:c>
      <x:c r="F2462">
        <x:f>ROUND($C2462*10*VLOOKUP($B2462,Sheet2!$J$5:$K$7,2,FALSE)*VLOOKUP(Sheet1!$A2462,Sheet2!$B$5:$H$29,5,FALSE),0)</x:f>
        <x:v>10</x:v>
      </x:c>
      <x:c r="G2462">
        <x:f>ROUND($C2462*10*VLOOKUP($B2462,Sheet2!$J$5:$K$7,2,FALSE)*VLOOKUP(Sheet1!$A2462,Sheet2!$B$5:$H$29,6,FALSE),0)</x:f>
        <x:v>3</x:v>
      </x:c>
      <x:c r="H2462">
        <x:f>ROUND($C2462*10*VLOOKUP($B2462,Sheet2!$J$5:$K$7,2,FALSE)*VLOOKUP(Sheet1!$A2462,Sheet2!$B$5:$H$29,7,FALSE),0)</x:f>
        <x:v>0</x:v>
      </x:c>
      <x:c r="I2462">
        <x:f t="shared" ref="I2462:I2521" si="41">ROUND(1.2*10*10.5*(C2462-1)^1.8+90,-1)</x:f>
        <x:v>90</x:v>
      </x:c>
    </x:row>
    <x:row r="2463" spans="1:9" x14ac:dyDescent="0.15">
      <x:c r="A2463">
        <x:v>54104</x:v>
      </x:c>
      <x:c r="B2463">
        <x:v>3</x:v>
      </x:c>
      <x:c r="C2463">
        <x:v>2</x:v>
      </x:c>
      <x:c r="D2463">
        <x:f>ROUND($C2463*10*VLOOKUP($B2463,Sheet2!$J$5:$K$7,2,FALSE)*VLOOKUP(Sheet1!$A2463,Sheet2!$B$5:$H$29,3,FALSE),0)</x:f>
        <x:v>0</x:v>
      </x:c>
      <x:c r="E2463">
        <x:f>ROUND($C2463*10*VLOOKUP($B2463,Sheet2!$J$5:$K$7,2,FALSE)*VLOOKUP(Sheet1!$A2463,Sheet2!$B$5:$H$29,4,FALSE),0)</x:f>
        <x:v>0</x:v>
      </x:c>
      <x:c r="F2463">
        <x:f>ROUND($C2463*10*VLOOKUP($B2463,Sheet2!$J$5:$K$7,2,FALSE)*VLOOKUP(Sheet1!$A2463,Sheet2!$B$5:$H$29,5,FALSE),0)</x:f>
        <x:v>19</x:v>
      </x:c>
      <x:c r="G2463">
        <x:f>ROUND($C2463*10*VLOOKUP($B2463,Sheet2!$J$5:$K$7,2,FALSE)*VLOOKUP(Sheet1!$A2463,Sheet2!$B$5:$H$29,6,FALSE),0)</x:f>
        <x:v>6</x:v>
      </x:c>
      <x:c r="H2463">
        <x:f>ROUND($C2463*10*VLOOKUP($B2463,Sheet2!$J$5:$K$7,2,FALSE)*VLOOKUP(Sheet1!$A2463,Sheet2!$B$5:$H$29,7,FALSE),0)</x:f>
        <x:v>0</x:v>
      </x:c>
      <x:c r="I2463">
        <x:f t="shared" si="41"/>
        <x:v>220</x:v>
      </x:c>
    </x:row>
    <x:row r="2464" spans="1:9" x14ac:dyDescent="0.15">
      <x:c r="A2464">
        <x:v>54104</x:v>
      </x:c>
      <x:c r="B2464">
        <x:v>3</x:v>
      </x:c>
      <x:c r="C2464">
        <x:v>3</x:v>
      </x:c>
      <x:c r="D2464">
        <x:f>ROUND($C2464*10*VLOOKUP($B2464,Sheet2!$J$5:$K$7,2,FALSE)*VLOOKUP(Sheet1!$A2464,Sheet2!$B$5:$H$29,3,FALSE),0)</x:f>
        <x:v>0</x:v>
      </x:c>
      <x:c r="E2464">
        <x:f>ROUND($C2464*10*VLOOKUP($B2464,Sheet2!$J$5:$K$7,2,FALSE)*VLOOKUP(Sheet1!$A2464,Sheet2!$B$5:$H$29,4,FALSE),0)</x:f>
        <x:v>0</x:v>
      </x:c>
      <x:c r="F2464">
        <x:f>ROUND($C2464*10*VLOOKUP($B2464,Sheet2!$J$5:$K$7,2,FALSE)*VLOOKUP(Sheet1!$A2464,Sheet2!$B$5:$H$29,5,FALSE),0)</x:f>
        <x:v>29</x:v>
      </x:c>
      <x:c r="G2464">
        <x:f>ROUND($C2464*10*VLOOKUP($B2464,Sheet2!$J$5:$K$7,2,FALSE)*VLOOKUP(Sheet1!$A2464,Sheet2!$B$5:$H$29,6,FALSE),0)</x:f>
        <x:v>10</x:v>
      </x:c>
      <x:c r="H2464">
        <x:f>ROUND($C2464*10*VLOOKUP($B2464,Sheet2!$J$5:$K$7,2,FALSE)*VLOOKUP(Sheet1!$A2464,Sheet2!$B$5:$H$29,7,FALSE),0)</x:f>
        <x:v>0</x:v>
      </x:c>
      <x:c r="I2464">
        <x:f t="shared" si="41"/>
        <x:v>530</x:v>
      </x:c>
    </x:row>
    <x:row r="2465" spans="1:9" x14ac:dyDescent="0.15">
      <x:c r="A2465">
        <x:v>54104</x:v>
      </x:c>
      <x:c r="B2465">
        <x:v>3</x:v>
      </x:c>
      <x:c r="C2465">
        <x:v>4</x:v>
      </x:c>
      <x:c r="D2465">
        <x:f>ROUND($C2465*10*VLOOKUP($B2465,Sheet2!$J$5:$K$7,2,FALSE)*VLOOKUP(Sheet1!$A2465,Sheet2!$B$5:$H$29,3,FALSE),0)</x:f>
        <x:v>0</x:v>
      </x:c>
      <x:c r="E2465">
        <x:f>ROUND($C2465*10*VLOOKUP($B2465,Sheet2!$J$5:$K$7,2,FALSE)*VLOOKUP(Sheet1!$A2465,Sheet2!$B$5:$H$29,4,FALSE),0)</x:f>
        <x:v>0</x:v>
      </x:c>
      <x:c r="F2465">
        <x:f>ROUND($C2465*10*VLOOKUP($B2465,Sheet2!$J$5:$K$7,2,FALSE)*VLOOKUP(Sheet1!$A2465,Sheet2!$B$5:$H$29,5,FALSE),0)</x:f>
        <x:v>38</x:v>
      </x:c>
      <x:c r="G2465">
        <x:f>ROUND($C2465*10*VLOOKUP($B2465,Sheet2!$J$5:$K$7,2,FALSE)*VLOOKUP(Sheet1!$A2465,Sheet2!$B$5:$H$29,6,FALSE),0)</x:f>
        <x:v>13</x:v>
      </x:c>
      <x:c r="H2465">
        <x:f>ROUND($C2465*10*VLOOKUP($B2465,Sheet2!$J$5:$K$7,2,FALSE)*VLOOKUP(Sheet1!$A2465,Sheet2!$B$5:$H$29,7,FALSE),0)</x:f>
        <x:v>0</x:v>
      </x:c>
      <x:c r="I2465">
        <x:f t="shared" si="41"/>
        <x:v>1000</x:v>
      </x:c>
    </x:row>
    <x:row r="2466" spans="1:9" x14ac:dyDescent="0.15">
      <x:c r="A2466">
        <x:v>54104</x:v>
      </x:c>
      <x:c r="B2466">
        <x:v>3</x:v>
      </x:c>
      <x:c r="C2466">
        <x:v>5</x:v>
      </x:c>
      <x:c r="D2466">
        <x:f>ROUND($C2466*10*VLOOKUP($B2466,Sheet2!$J$5:$K$7,2,FALSE)*VLOOKUP(Sheet1!$A2466,Sheet2!$B$5:$H$29,3,FALSE),0)</x:f>
        <x:v>0</x:v>
      </x:c>
      <x:c r="E2466">
        <x:f>ROUND($C2466*10*VLOOKUP($B2466,Sheet2!$J$5:$K$7,2,FALSE)*VLOOKUP(Sheet1!$A2466,Sheet2!$B$5:$H$29,4,FALSE),0)</x:f>
        <x:v>0</x:v>
      </x:c>
      <x:c r="F2466">
        <x:f>ROUND($C2466*10*VLOOKUP($B2466,Sheet2!$J$5:$K$7,2,FALSE)*VLOOKUP(Sheet1!$A2466,Sheet2!$B$5:$H$29,5,FALSE),0)</x:f>
        <x:v>48</x:v>
      </x:c>
      <x:c r="G2466">
        <x:f>ROUND($C2466*10*VLOOKUP($B2466,Sheet2!$J$5:$K$7,2,FALSE)*VLOOKUP(Sheet1!$A2466,Sheet2!$B$5:$H$29,6,FALSE),0)</x:f>
        <x:v>16</x:v>
      </x:c>
      <x:c r="H2466">
        <x:f>ROUND($C2466*10*VLOOKUP($B2466,Sheet2!$J$5:$K$7,2,FALSE)*VLOOKUP(Sheet1!$A2466,Sheet2!$B$5:$H$29,7,FALSE),0)</x:f>
        <x:v>0</x:v>
      </x:c>
      <x:c r="I2466">
        <x:f t="shared" si="41"/>
        <x:v>1620</x:v>
      </x:c>
    </x:row>
    <x:row r="2467" spans="1:9" x14ac:dyDescent="0.15">
      <x:c r="A2467">
        <x:v>54104</x:v>
      </x:c>
      <x:c r="B2467">
        <x:v>3</x:v>
      </x:c>
      <x:c r="C2467">
        <x:v>6</x:v>
      </x:c>
      <x:c r="D2467">
        <x:f>ROUND($C2467*10*VLOOKUP($B2467,Sheet2!$J$5:$K$7,2,FALSE)*VLOOKUP(Sheet1!$A2467,Sheet2!$B$5:$H$29,3,FALSE),0)</x:f>
        <x:v>0</x:v>
      </x:c>
      <x:c r="E2467">
        <x:f>ROUND($C2467*10*VLOOKUP($B2467,Sheet2!$J$5:$K$7,2,FALSE)*VLOOKUP(Sheet1!$A2467,Sheet2!$B$5:$H$29,4,FALSE),0)</x:f>
        <x:v>0</x:v>
      </x:c>
      <x:c r="F2467">
        <x:f>ROUND($C2467*10*VLOOKUP($B2467,Sheet2!$J$5:$K$7,2,FALSE)*VLOOKUP(Sheet1!$A2467,Sheet2!$B$5:$H$29,5,FALSE),0)</x:f>
        <x:v>58</x:v>
      </x:c>
      <x:c r="G2467">
        <x:f>ROUND($C2467*10*VLOOKUP($B2467,Sheet2!$J$5:$K$7,2,FALSE)*VLOOKUP(Sheet1!$A2467,Sheet2!$B$5:$H$29,6,FALSE),0)</x:f>
        <x:v>19</x:v>
      </x:c>
      <x:c r="H2467">
        <x:f>ROUND($C2467*10*VLOOKUP($B2467,Sheet2!$J$5:$K$7,2,FALSE)*VLOOKUP(Sheet1!$A2467,Sheet2!$B$5:$H$29,7,FALSE),0)</x:f>
        <x:v>0</x:v>
      </x:c>
      <x:c r="I2467">
        <x:f t="shared" si="41"/>
        <x:v>2370</x:v>
      </x:c>
    </x:row>
    <x:row r="2468" spans="1:9" x14ac:dyDescent="0.15">
      <x:c r="A2468">
        <x:v>54104</x:v>
      </x:c>
      <x:c r="B2468">
        <x:v>3</x:v>
      </x:c>
      <x:c r="C2468">
        <x:v>7</x:v>
      </x:c>
      <x:c r="D2468">
        <x:f>ROUND($C2468*10*VLOOKUP($B2468,Sheet2!$J$5:$K$7,2,FALSE)*VLOOKUP(Sheet1!$A2468,Sheet2!$B$5:$H$29,3,FALSE),0)</x:f>
        <x:v>0</x:v>
      </x:c>
      <x:c r="E2468">
        <x:f>ROUND($C2468*10*VLOOKUP($B2468,Sheet2!$J$5:$K$7,2,FALSE)*VLOOKUP(Sheet1!$A2468,Sheet2!$B$5:$H$29,4,FALSE),0)</x:f>
        <x:v>0</x:v>
      </x:c>
      <x:c r="F2468">
        <x:f>ROUND($C2468*10*VLOOKUP($B2468,Sheet2!$J$5:$K$7,2,FALSE)*VLOOKUP(Sheet1!$A2468,Sheet2!$B$5:$H$29,5,FALSE),0)</x:f>
        <x:v>67</x:v>
      </x:c>
      <x:c r="G2468">
        <x:f>ROUND($C2468*10*VLOOKUP($B2468,Sheet2!$J$5:$K$7,2,FALSE)*VLOOKUP(Sheet1!$A2468,Sheet2!$B$5:$H$29,6,FALSE),0)</x:f>
        <x:v>22</x:v>
      </x:c>
      <x:c r="H2468">
        <x:f>ROUND($C2468*10*VLOOKUP($B2468,Sheet2!$J$5:$K$7,2,FALSE)*VLOOKUP(Sheet1!$A2468,Sheet2!$B$5:$H$29,7,FALSE),0)</x:f>
        <x:v>0</x:v>
      </x:c>
      <x:c r="I2468">
        <x:f t="shared" si="41"/>
        <x:v>3260</x:v>
      </x:c>
    </x:row>
    <x:row r="2469" spans="1:9" x14ac:dyDescent="0.15">
      <x:c r="A2469">
        <x:v>54104</x:v>
      </x:c>
      <x:c r="B2469">
        <x:v>3</x:v>
      </x:c>
      <x:c r="C2469">
        <x:v>8</x:v>
      </x:c>
      <x:c r="D2469">
        <x:f>ROUND($C2469*10*VLOOKUP($B2469,Sheet2!$J$5:$K$7,2,FALSE)*VLOOKUP(Sheet1!$A2469,Sheet2!$B$5:$H$29,3,FALSE),0)</x:f>
        <x:v>0</x:v>
      </x:c>
      <x:c r="E2469">
        <x:f>ROUND($C2469*10*VLOOKUP($B2469,Sheet2!$J$5:$K$7,2,FALSE)*VLOOKUP(Sheet1!$A2469,Sheet2!$B$5:$H$29,4,FALSE),0)</x:f>
        <x:v>0</x:v>
      </x:c>
      <x:c r="F2469">
        <x:f>ROUND($C2469*10*VLOOKUP($B2469,Sheet2!$J$5:$K$7,2,FALSE)*VLOOKUP(Sheet1!$A2469,Sheet2!$B$5:$H$29,5,FALSE),0)</x:f>
        <x:v>77</x:v>
      </x:c>
      <x:c r="G2469">
        <x:f>ROUND($C2469*10*VLOOKUP($B2469,Sheet2!$J$5:$K$7,2,FALSE)*VLOOKUP(Sheet1!$A2469,Sheet2!$B$5:$H$29,6,FALSE),0)</x:f>
        <x:v>26</x:v>
      </x:c>
      <x:c r="H2469">
        <x:f>ROUND($C2469*10*VLOOKUP($B2469,Sheet2!$J$5:$K$7,2,FALSE)*VLOOKUP(Sheet1!$A2469,Sheet2!$B$5:$H$29,7,FALSE),0)</x:f>
        <x:v>0</x:v>
      </x:c>
      <x:c r="I2469">
        <x:f t="shared" si="41"/>
        <x:v>4270</x:v>
      </x:c>
    </x:row>
    <x:row r="2470" spans="1:9" x14ac:dyDescent="0.15">
      <x:c r="A2470">
        <x:v>54104</x:v>
      </x:c>
      <x:c r="B2470">
        <x:v>3</x:v>
      </x:c>
      <x:c r="C2470">
        <x:v>9</x:v>
      </x:c>
      <x:c r="D2470">
        <x:f>ROUND($C2470*10*VLOOKUP($B2470,Sheet2!$J$5:$K$7,2,FALSE)*VLOOKUP(Sheet1!$A2470,Sheet2!$B$5:$H$29,3,FALSE),0)</x:f>
        <x:v>0</x:v>
      </x:c>
      <x:c r="E2470">
        <x:f>ROUND($C2470*10*VLOOKUP($B2470,Sheet2!$J$5:$K$7,2,FALSE)*VLOOKUP(Sheet1!$A2470,Sheet2!$B$5:$H$29,4,FALSE),0)</x:f>
        <x:v>0</x:v>
      </x:c>
      <x:c r="F2470">
        <x:f>ROUND($C2470*10*VLOOKUP($B2470,Sheet2!$J$5:$K$7,2,FALSE)*VLOOKUP(Sheet1!$A2470,Sheet2!$B$5:$H$29,5,FALSE),0)</x:f>
        <x:v>86</x:v>
      </x:c>
      <x:c r="G2470">
        <x:f>ROUND($C2470*10*VLOOKUP($B2470,Sheet2!$J$5:$K$7,2,FALSE)*VLOOKUP(Sheet1!$A2470,Sheet2!$B$5:$H$29,6,FALSE),0)</x:f>
        <x:v>29</x:v>
      </x:c>
      <x:c r="H2470">
        <x:f>ROUND($C2470*10*VLOOKUP($B2470,Sheet2!$J$5:$K$7,2,FALSE)*VLOOKUP(Sheet1!$A2470,Sheet2!$B$5:$H$29,7,FALSE),0)</x:f>
        <x:v>0</x:v>
      </x:c>
      <x:c r="I2470">
        <x:f t="shared" si="41"/>
        <x:v>5410</x:v>
      </x:c>
    </x:row>
    <x:row r="2471" spans="1:9" x14ac:dyDescent="0.15">
      <x:c r="A2471">
        <x:v>54104</x:v>
      </x:c>
      <x:c r="B2471">
        <x:v>3</x:v>
      </x:c>
      <x:c r="C2471">
        <x:v>10</x:v>
      </x:c>
      <x:c r="D2471">
        <x:f>ROUND($C2471*10*VLOOKUP($B2471,Sheet2!$J$5:$K$7,2,FALSE)*VLOOKUP(Sheet1!$A2471,Sheet2!$B$5:$H$29,3,FALSE),0)</x:f>
        <x:v>0</x:v>
      </x:c>
      <x:c r="E2471">
        <x:f>ROUND($C2471*10*VLOOKUP($B2471,Sheet2!$J$5:$K$7,2,FALSE)*VLOOKUP(Sheet1!$A2471,Sheet2!$B$5:$H$29,4,FALSE),0)</x:f>
        <x:v>0</x:v>
      </x:c>
      <x:c r="F2471">
        <x:f>ROUND($C2471*10*VLOOKUP($B2471,Sheet2!$J$5:$K$7,2,FALSE)*VLOOKUP(Sheet1!$A2471,Sheet2!$B$5:$H$29,5,FALSE),0)</x:f>
        <x:v>96</x:v>
      </x:c>
      <x:c r="G2471">
        <x:f>ROUND($C2471*10*VLOOKUP($B2471,Sheet2!$J$5:$K$7,2,FALSE)*VLOOKUP(Sheet1!$A2471,Sheet2!$B$5:$H$29,6,FALSE),0)</x:f>
        <x:v>32</x:v>
      </x:c>
      <x:c r="H2471">
        <x:f>ROUND($C2471*10*VLOOKUP($B2471,Sheet2!$J$5:$K$7,2,FALSE)*VLOOKUP(Sheet1!$A2471,Sheet2!$B$5:$H$29,7,FALSE),0)</x:f>
        <x:v>0</x:v>
      </x:c>
      <x:c r="I2471">
        <x:f t="shared" si="41"/>
        <x:v>6670</x:v>
      </x:c>
    </x:row>
    <x:row r="2472" spans="1:9" x14ac:dyDescent="0.15">
      <x:c r="A2472">
        <x:v>54104</x:v>
      </x:c>
      <x:c r="B2472">
        <x:v>3</x:v>
      </x:c>
      <x:c r="C2472">
        <x:v>11</x:v>
      </x:c>
      <x:c r="D2472">
        <x:f>ROUND($C2472*10*VLOOKUP($B2472,Sheet2!$J$5:$K$7,2,FALSE)*VLOOKUP(Sheet1!$A2472,Sheet2!$B$5:$H$29,3,FALSE),0)</x:f>
        <x:v>0</x:v>
      </x:c>
      <x:c r="E2472">
        <x:f>ROUND($C2472*10*VLOOKUP($B2472,Sheet2!$J$5:$K$7,2,FALSE)*VLOOKUP(Sheet1!$A2472,Sheet2!$B$5:$H$29,4,FALSE),0)</x:f>
        <x:v>0</x:v>
      </x:c>
      <x:c r="F2472">
        <x:f>ROUND($C2472*10*VLOOKUP($B2472,Sheet2!$J$5:$K$7,2,FALSE)*VLOOKUP(Sheet1!$A2472,Sheet2!$B$5:$H$29,5,FALSE),0)</x:f>
        <x:v>106</x:v>
      </x:c>
      <x:c r="G2472">
        <x:f>ROUND($C2472*10*VLOOKUP($B2472,Sheet2!$J$5:$K$7,2,FALSE)*VLOOKUP(Sheet1!$A2472,Sheet2!$B$5:$H$29,6,FALSE),0)</x:f>
        <x:v>35</x:v>
      </x:c>
      <x:c r="H2472">
        <x:f>ROUND($C2472*10*VLOOKUP($B2472,Sheet2!$J$5:$K$7,2,FALSE)*VLOOKUP(Sheet1!$A2472,Sheet2!$B$5:$H$29,7,FALSE),0)</x:f>
        <x:v>0</x:v>
      </x:c>
      <x:c r="I2472">
        <x:f t="shared" si="41"/>
        <x:v>8040</x:v>
      </x:c>
    </x:row>
    <x:row r="2473" spans="1:9" x14ac:dyDescent="0.15">
      <x:c r="A2473">
        <x:v>54104</x:v>
      </x:c>
      <x:c r="B2473">
        <x:v>3</x:v>
      </x:c>
      <x:c r="C2473">
        <x:v>12</x:v>
      </x:c>
      <x:c r="D2473">
        <x:f>ROUND($C2473*10*VLOOKUP($B2473,Sheet2!$J$5:$K$7,2,FALSE)*VLOOKUP(Sheet1!$A2473,Sheet2!$B$5:$H$29,3,FALSE),0)</x:f>
        <x:v>0</x:v>
      </x:c>
      <x:c r="E2473">
        <x:f>ROUND($C2473*10*VLOOKUP($B2473,Sheet2!$J$5:$K$7,2,FALSE)*VLOOKUP(Sheet1!$A2473,Sheet2!$B$5:$H$29,4,FALSE),0)</x:f>
        <x:v>0</x:v>
      </x:c>
      <x:c r="F2473">
        <x:f>ROUND($C2473*10*VLOOKUP($B2473,Sheet2!$J$5:$K$7,2,FALSE)*VLOOKUP(Sheet1!$A2473,Sheet2!$B$5:$H$29,5,FALSE),0)</x:f>
        <x:v>115</x:v>
      </x:c>
      <x:c r="G2473">
        <x:f>ROUND($C2473*10*VLOOKUP($B2473,Sheet2!$J$5:$K$7,2,FALSE)*VLOOKUP(Sheet1!$A2473,Sheet2!$B$5:$H$29,6,FALSE),0)</x:f>
        <x:v>38</x:v>
      </x:c>
      <x:c r="H2473">
        <x:f>ROUND($C2473*10*VLOOKUP($B2473,Sheet2!$J$5:$K$7,2,FALSE)*VLOOKUP(Sheet1!$A2473,Sheet2!$B$5:$H$29,7,FALSE),0)</x:f>
        <x:v>0</x:v>
      </x:c>
      <x:c r="I2473">
        <x:f t="shared" si="41"/>
        <x:v>9530</x:v>
      </x:c>
    </x:row>
    <x:row r="2474" spans="1:9" x14ac:dyDescent="0.15">
      <x:c r="A2474">
        <x:v>54104</x:v>
      </x:c>
      <x:c r="B2474">
        <x:v>3</x:v>
      </x:c>
      <x:c r="C2474">
        <x:v>13</x:v>
      </x:c>
      <x:c r="D2474">
        <x:f>ROUND($C2474*10*VLOOKUP($B2474,Sheet2!$J$5:$K$7,2,FALSE)*VLOOKUP(Sheet1!$A2474,Sheet2!$B$5:$H$29,3,FALSE),0)</x:f>
        <x:v>0</x:v>
      </x:c>
      <x:c r="E2474">
        <x:f>ROUND($C2474*10*VLOOKUP($B2474,Sheet2!$J$5:$K$7,2,FALSE)*VLOOKUP(Sheet1!$A2474,Sheet2!$B$5:$H$29,4,FALSE),0)</x:f>
        <x:v>0</x:v>
      </x:c>
      <x:c r="F2474">
        <x:f>ROUND($C2474*10*VLOOKUP($B2474,Sheet2!$J$5:$K$7,2,FALSE)*VLOOKUP(Sheet1!$A2474,Sheet2!$B$5:$H$29,5,FALSE),0)</x:f>
        <x:v>125</x:v>
      </x:c>
      <x:c r="G2474">
        <x:f>ROUND($C2474*10*VLOOKUP($B2474,Sheet2!$J$5:$K$7,2,FALSE)*VLOOKUP(Sheet1!$A2474,Sheet2!$B$5:$H$29,6,FALSE),0)</x:f>
        <x:v>42</x:v>
      </x:c>
      <x:c r="H2474">
        <x:f>ROUND($C2474*10*VLOOKUP($B2474,Sheet2!$J$5:$K$7,2,FALSE)*VLOOKUP(Sheet1!$A2474,Sheet2!$B$5:$H$29,7,FALSE),0)</x:f>
        <x:v>0</x:v>
      </x:c>
      <x:c r="I2474">
        <x:f t="shared" si="41"/>
        <x:v>11130</x:v>
      </x:c>
    </x:row>
    <x:row r="2475" spans="1:9" x14ac:dyDescent="0.15">
      <x:c r="A2475">
        <x:v>54104</x:v>
      </x:c>
      <x:c r="B2475">
        <x:v>3</x:v>
      </x:c>
      <x:c r="C2475">
        <x:v>14</x:v>
      </x:c>
      <x:c r="D2475">
        <x:f>ROUND($C2475*10*VLOOKUP($B2475,Sheet2!$J$5:$K$7,2,FALSE)*VLOOKUP(Sheet1!$A2475,Sheet2!$B$5:$H$29,3,FALSE),0)</x:f>
        <x:v>0</x:v>
      </x:c>
      <x:c r="E2475">
        <x:f>ROUND($C2475*10*VLOOKUP($B2475,Sheet2!$J$5:$K$7,2,FALSE)*VLOOKUP(Sheet1!$A2475,Sheet2!$B$5:$H$29,4,FALSE),0)</x:f>
        <x:v>0</x:v>
      </x:c>
      <x:c r="F2475">
        <x:f>ROUND($C2475*10*VLOOKUP($B2475,Sheet2!$J$5:$K$7,2,FALSE)*VLOOKUP(Sheet1!$A2475,Sheet2!$B$5:$H$29,5,FALSE),0)</x:f>
        <x:v>134</x:v>
      </x:c>
      <x:c r="G2475">
        <x:f>ROUND($C2475*10*VLOOKUP($B2475,Sheet2!$J$5:$K$7,2,FALSE)*VLOOKUP(Sheet1!$A2475,Sheet2!$B$5:$H$29,6,FALSE),0)</x:f>
        <x:v>45</x:v>
      </x:c>
      <x:c r="H2475">
        <x:f>ROUND($C2475*10*VLOOKUP($B2475,Sheet2!$J$5:$K$7,2,FALSE)*VLOOKUP(Sheet1!$A2475,Sheet2!$B$5:$H$29,7,FALSE),0)</x:f>
        <x:v>0</x:v>
      </x:c>
      <x:c r="I2475">
        <x:f t="shared" si="41"/>
        <x:v>12840</x:v>
      </x:c>
    </x:row>
    <x:row r="2476" spans="1:9" x14ac:dyDescent="0.15">
      <x:c r="A2476">
        <x:v>54104</x:v>
      </x:c>
      <x:c r="B2476">
        <x:v>3</x:v>
      </x:c>
      <x:c r="C2476">
        <x:v>15</x:v>
      </x:c>
      <x:c r="D2476">
        <x:f>ROUND($C2476*10*VLOOKUP($B2476,Sheet2!$J$5:$K$7,2,FALSE)*VLOOKUP(Sheet1!$A2476,Sheet2!$B$5:$H$29,3,FALSE),0)</x:f>
        <x:v>0</x:v>
      </x:c>
      <x:c r="E2476">
        <x:f>ROUND($C2476*10*VLOOKUP($B2476,Sheet2!$J$5:$K$7,2,FALSE)*VLOOKUP(Sheet1!$A2476,Sheet2!$B$5:$H$29,4,FALSE),0)</x:f>
        <x:v>0</x:v>
      </x:c>
      <x:c r="F2476">
        <x:f>ROUND($C2476*10*VLOOKUP($B2476,Sheet2!$J$5:$K$7,2,FALSE)*VLOOKUP(Sheet1!$A2476,Sheet2!$B$5:$H$29,5,FALSE),0)</x:f>
        <x:v>144</x:v>
      </x:c>
      <x:c r="G2476">
        <x:f>ROUND($C2476*10*VLOOKUP($B2476,Sheet2!$J$5:$K$7,2,FALSE)*VLOOKUP(Sheet1!$A2476,Sheet2!$B$5:$H$29,6,FALSE),0)</x:f>
        <x:v>48</x:v>
      </x:c>
      <x:c r="H2476">
        <x:f>ROUND($C2476*10*VLOOKUP($B2476,Sheet2!$J$5:$K$7,2,FALSE)*VLOOKUP(Sheet1!$A2476,Sheet2!$B$5:$H$29,7,FALSE),0)</x:f>
        <x:v>0</x:v>
      </x:c>
      <x:c r="I2476">
        <x:f t="shared" si="41"/>
        <x:v>14660</x:v>
      </x:c>
    </x:row>
    <x:row r="2477" spans="1:9" x14ac:dyDescent="0.15">
      <x:c r="A2477">
        <x:v>54104</x:v>
      </x:c>
      <x:c r="B2477">
        <x:v>3</x:v>
      </x:c>
      <x:c r="C2477">
        <x:v>16</x:v>
      </x:c>
      <x:c r="D2477">
        <x:f>ROUND($C2477*10*VLOOKUP($B2477,Sheet2!$J$5:$K$7,2,FALSE)*VLOOKUP(Sheet1!$A2477,Sheet2!$B$5:$H$29,3,FALSE),0)</x:f>
        <x:v>0</x:v>
      </x:c>
      <x:c r="E2477">
        <x:f>ROUND($C2477*10*VLOOKUP($B2477,Sheet2!$J$5:$K$7,2,FALSE)*VLOOKUP(Sheet1!$A2477,Sheet2!$B$5:$H$29,4,FALSE),0)</x:f>
        <x:v>0</x:v>
      </x:c>
      <x:c r="F2477">
        <x:f>ROUND($C2477*10*VLOOKUP($B2477,Sheet2!$J$5:$K$7,2,FALSE)*VLOOKUP(Sheet1!$A2477,Sheet2!$B$5:$H$29,5,FALSE),0)</x:f>
        <x:v>154</x:v>
      </x:c>
      <x:c r="G2477">
        <x:f>ROUND($C2477*10*VLOOKUP($B2477,Sheet2!$J$5:$K$7,2,FALSE)*VLOOKUP(Sheet1!$A2477,Sheet2!$B$5:$H$29,6,FALSE),0)</x:f>
        <x:v>51</x:v>
      </x:c>
      <x:c r="H2477">
        <x:f>ROUND($C2477*10*VLOOKUP($B2477,Sheet2!$J$5:$K$7,2,FALSE)*VLOOKUP(Sheet1!$A2477,Sheet2!$B$5:$H$29,7,FALSE),0)</x:f>
        <x:v>0</x:v>
      </x:c>
      <x:c r="I2477">
        <x:f t="shared" si="41"/>
        <x:v>16580</x:v>
      </x:c>
    </x:row>
    <x:row r="2478" spans="1:9" x14ac:dyDescent="0.15">
      <x:c r="A2478">
        <x:v>54104</x:v>
      </x:c>
      <x:c r="B2478">
        <x:v>3</x:v>
      </x:c>
      <x:c r="C2478">
        <x:v>17</x:v>
      </x:c>
      <x:c r="D2478">
        <x:f>ROUND($C2478*10*VLOOKUP($B2478,Sheet2!$J$5:$K$7,2,FALSE)*VLOOKUP(Sheet1!$A2478,Sheet2!$B$5:$H$29,3,FALSE),0)</x:f>
        <x:v>0</x:v>
      </x:c>
      <x:c r="E2478">
        <x:f>ROUND($C2478*10*VLOOKUP($B2478,Sheet2!$J$5:$K$7,2,FALSE)*VLOOKUP(Sheet1!$A2478,Sheet2!$B$5:$H$29,4,FALSE),0)</x:f>
        <x:v>0</x:v>
      </x:c>
      <x:c r="F2478">
        <x:f>ROUND($C2478*10*VLOOKUP($B2478,Sheet2!$J$5:$K$7,2,FALSE)*VLOOKUP(Sheet1!$A2478,Sheet2!$B$5:$H$29,5,FALSE),0)</x:f>
        <x:v>163</x:v>
      </x:c>
      <x:c r="G2478">
        <x:f>ROUND($C2478*10*VLOOKUP($B2478,Sheet2!$J$5:$K$7,2,FALSE)*VLOOKUP(Sheet1!$A2478,Sheet2!$B$5:$H$29,6,FALSE),0)</x:f>
        <x:v>54</x:v>
      </x:c>
      <x:c r="H2478">
        <x:f>ROUND($C2478*10*VLOOKUP($B2478,Sheet2!$J$5:$K$7,2,FALSE)*VLOOKUP(Sheet1!$A2478,Sheet2!$B$5:$H$29,7,FALSE),0)</x:f>
        <x:v>0</x:v>
      </x:c>
      <x:c r="I2478">
        <x:f t="shared" si="41"/>
        <x:v>18620</x:v>
      </x:c>
    </x:row>
    <x:row r="2479" spans="1:9" x14ac:dyDescent="0.15">
      <x:c r="A2479">
        <x:v>54104</x:v>
      </x:c>
      <x:c r="B2479">
        <x:v>3</x:v>
      </x:c>
      <x:c r="C2479">
        <x:v>18</x:v>
      </x:c>
      <x:c r="D2479">
        <x:f>ROUND($C2479*10*VLOOKUP($B2479,Sheet2!$J$5:$K$7,2,FALSE)*VLOOKUP(Sheet1!$A2479,Sheet2!$B$5:$H$29,3,FALSE),0)</x:f>
        <x:v>0</x:v>
      </x:c>
      <x:c r="E2479">
        <x:f>ROUND($C2479*10*VLOOKUP($B2479,Sheet2!$J$5:$K$7,2,FALSE)*VLOOKUP(Sheet1!$A2479,Sheet2!$B$5:$H$29,4,FALSE),0)</x:f>
        <x:v>0</x:v>
      </x:c>
      <x:c r="F2479">
        <x:f>ROUND($C2479*10*VLOOKUP($B2479,Sheet2!$J$5:$K$7,2,FALSE)*VLOOKUP(Sheet1!$A2479,Sheet2!$B$5:$H$29,5,FALSE),0)</x:f>
        <x:v>173</x:v>
      </x:c>
      <x:c r="G2479">
        <x:f>ROUND($C2479*10*VLOOKUP($B2479,Sheet2!$J$5:$K$7,2,FALSE)*VLOOKUP(Sheet1!$A2479,Sheet2!$B$5:$H$29,6,FALSE),0)</x:f>
        <x:v>58</x:v>
      </x:c>
      <x:c r="H2479">
        <x:f>ROUND($C2479*10*VLOOKUP($B2479,Sheet2!$J$5:$K$7,2,FALSE)*VLOOKUP(Sheet1!$A2479,Sheet2!$B$5:$H$29,7,FALSE),0)</x:f>
        <x:v>0</x:v>
      </x:c>
      <x:c r="I2479">
        <x:f t="shared" si="41"/>
        <x:v>20750</x:v>
      </x:c>
    </x:row>
    <x:row r="2480" spans="1:9" x14ac:dyDescent="0.15">
      <x:c r="A2480">
        <x:v>54104</x:v>
      </x:c>
      <x:c r="B2480">
        <x:v>3</x:v>
      </x:c>
      <x:c r="C2480">
        <x:v>19</x:v>
      </x:c>
      <x:c r="D2480">
        <x:f>ROUND($C2480*10*VLOOKUP($B2480,Sheet2!$J$5:$K$7,2,FALSE)*VLOOKUP(Sheet1!$A2480,Sheet2!$B$5:$H$29,3,FALSE),0)</x:f>
        <x:v>0</x:v>
      </x:c>
      <x:c r="E2480">
        <x:f>ROUND($C2480*10*VLOOKUP($B2480,Sheet2!$J$5:$K$7,2,FALSE)*VLOOKUP(Sheet1!$A2480,Sheet2!$B$5:$H$29,4,FALSE),0)</x:f>
        <x:v>0</x:v>
      </x:c>
      <x:c r="F2480">
        <x:f>ROUND($C2480*10*VLOOKUP($B2480,Sheet2!$J$5:$K$7,2,FALSE)*VLOOKUP(Sheet1!$A2480,Sheet2!$B$5:$H$29,5,FALSE),0)</x:f>
        <x:v>182</x:v>
      </x:c>
      <x:c r="G2480">
        <x:f>ROUND($C2480*10*VLOOKUP($B2480,Sheet2!$J$5:$K$7,2,FALSE)*VLOOKUP(Sheet1!$A2480,Sheet2!$B$5:$H$29,6,FALSE),0)</x:f>
        <x:v>61</x:v>
      </x:c>
      <x:c r="H2480">
        <x:f>ROUND($C2480*10*VLOOKUP($B2480,Sheet2!$J$5:$K$7,2,FALSE)*VLOOKUP(Sheet1!$A2480,Sheet2!$B$5:$H$29,7,FALSE),0)</x:f>
        <x:v>0</x:v>
      </x:c>
      <x:c r="I2480">
        <x:f t="shared" si="41"/>
        <x:v>22990</x:v>
      </x:c>
    </x:row>
    <x:row r="2481" spans="1:9" x14ac:dyDescent="0.15">
      <x:c r="A2481">
        <x:v>54104</x:v>
      </x:c>
      <x:c r="B2481">
        <x:v>3</x:v>
      </x:c>
      <x:c r="C2481">
        <x:v>20</x:v>
      </x:c>
      <x:c r="D2481">
        <x:f>ROUND($C2481*10*VLOOKUP($B2481,Sheet2!$J$5:$K$7,2,FALSE)*VLOOKUP(Sheet1!$A2481,Sheet2!$B$5:$H$29,3,FALSE),0)</x:f>
        <x:v>0</x:v>
      </x:c>
      <x:c r="E2481">
        <x:f>ROUND($C2481*10*VLOOKUP($B2481,Sheet2!$J$5:$K$7,2,FALSE)*VLOOKUP(Sheet1!$A2481,Sheet2!$B$5:$H$29,4,FALSE),0)</x:f>
        <x:v>0</x:v>
      </x:c>
      <x:c r="F2481">
        <x:f>ROUND($C2481*10*VLOOKUP($B2481,Sheet2!$J$5:$K$7,2,FALSE)*VLOOKUP(Sheet1!$A2481,Sheet2!$B$5:$H$29,5,FALSE),0)</x:f>
        <x:v>192</x:v>
      </x:c>
      <x:c r="G2481">
        <x:f>ROUND($C2481*10*VLOOKUP($B2481,Sheet2!$J$5:$K$7,2,FALSE)*VLOOKUP(Sheet1!$A2481,Sheet2!$B$5:$H$29,6,FALSE),0)</x:f>
        <x:v>64</x:v>
      </x:c>
      <x:c r="H2481">
        <x:f>ROUND($C2481*10*VLOOKUP($B2481,Sheet2!$J$5:$K$7,2,FALSE)*VLOOKUP(Sheet1!$A2481,Sheet2!$B$5:$H$29,7,FALSE),0)</x:f>
        <x:v>0</x:v>
      </x:c>
      <x:c r="I2481">
        <x:f t="shared" si="41"/>
        <x:v>25330</x:v>
      </x:c>
    </x:row>
    <x:row r="2482" spans="1:9" x14ac:dyDescent="0.15">
      <x:c r="A2482">
        <x:v>54104</x:v>
      </x:c>
      <x:c r="B2482">
        <x:v>3</x:v>
      </x:c>
      <x:c r="C2482">
        <x:v>21</x:v>
      </x:c>
      <x:c r="D2482">
        <x:f>ROUND($C2482*10*VLOOKUP($B2482,Sheet2!$J$5:$K$7,2,FALSE)*VLOOKUP(Sheet1!$A2482,Sheet2!$B$5:$H$29,3,FALSE),0)</x:f>
        <x:v>0</x:v>
      </x:c>
      <x:c r="E2482">
        <x:f>ROUND($C2482*10*VLOOKUP($B2482,Sheet2!$J$5:$K$7,2,FALSE)*VLOOKUP(Sheet1!$A2482,Sheet2!$B$5:$H$29,4,FALSE),0)</x:f>
        <x:v>0</x:v>
      </x:c>
      <x:c r="F2482">
        <x:f>ROUND($C2482*10*VLOOKUP($B2482,Sheet2!$J$5:$K$7,2,FALSE)*VLOOKUP(Sheet1!$A2482,Sheet2!$B$5:$H$29,5,FALSE),0)</x:f>
        <x:v>202</x:v>
      </x:c>
      <x:c r="G2482">
        <x:f>ROUND($C2482*10*VLOOKUP($B2482,Sheet2!$J$5:$K$7,2,FALSE)*VLOOKUP(Sheet1!$A2482,Sheet2!$B$5:$H$29,6,FALSE),0)</x:f>
        <x:v>67</x:v>
      </x:c>
      <x:c r="H2482">
        <x:f>ROUND($C2482*10*VLOOKUP($B2482,Sheet2!$J$5:$K$7,2,FALSE)*VLOOKUP(Sheet1!$A2482,Sheet2!$B$5:$H$29,7,FALSE),0)</x:f>
        <x:v>0</x:v>
      </x:c>
      <x:c r="I2482">
        <x:f t="shared" si="41"/>
        <x:v>27770</x:v>
      </x:c>
    </x:row>
    <x:row r="2483" spans="1:9" x14ac:dyDescent="0.15">
      <x:c r="A2483">
        <x:v>54104</x:v>
      </x:c>
      <x:c r="B2483">
        <x:v>3</x:v>
      </x:c>
      <x:c r="C2483">
        <x:v>22</x:v>
      </x:c>
      <x:c r="D2483">
        <x:f>ROUND($C2483*10*VLOOKUP($B2483,Sheet2!$J$5:$K$7,2,FALSE)*VLOOKUP(Sheet1!$A2483,Sheet2!$B$5:$H$29,3,FALSE),0)</x:f>
        <x:v>0</x:v>
      </x:c>
      <x:c r="E2483">
        <x:f>ROUND($C2483*10*VLOOKUP($B2483,Sheet2!$J$5:$K$7,2,FALSE)*VLOOKUP(Sheet1!$A2483,Sheet2!$B$5:$H$29,4,FALSE),0)</x:f>
        <x:v>0</x:v>
      </x:c>
      <x:c r="F2483">
        <x:f>ROUND($C2483*10*VLOOKUP($B2483,Sheet2!$J$5:$K$7,2,FALSE)*VLOOKUP(Sheet1!$A2483,Sheet2!$B$5:$H$29,5,FALSE),0)</x:f>
        <x:v>211</x:v>
      </x:c>
      <x:c r="G2483">
        <x:f>ROUND($C2483*10*VLOOKUP($B2483,Sheet2!$J$5:$K$7,2,FALSE)*VLOOKUP(Sheet1!$A2483,Sheet2!$B$5:$H$29,6,FALSE),0)</x:f>
        <x:v>70</x:v>
      </x:c>
      <x:c r="H2483">
        <x:f>ROUND($C2483*10*VLOOKUP($B2483,Sheet2!$J$5:$K$7,2,FALSE)*VLOOKUP(Sheet1!$A2483,Sheet2!$B$5:$H$29,7,FALSE),0)</x:f>
        <x:v>0</x:v>
      </x:c>
      <x:c r="I2483">
        <x:f t="shared" si="41"/>
        <x:v>30310</x:v>
      </x:c>
    </x:row>
    <x:row r="2484" spans="1:9" x14ac:dyDescent="0.15">
      <x:c r="A2484">
        <x:v>54104</x:v>
      </x:c>
      <x:c r="B2484">
        <x:v>3</x:v>
      </x:c>
      <x:c r="C2484">
        <x:v>23</x:v>
      </x:c>
      <x:c r="D2484">
        <x:f>ROUND($C2484*10*VLOOKUP($B2484,Sheet2!$J$5:$K$7,2,FALSE)*VLOOKUP(Sheet1!$A2484,Sheet2!$B$5:$H$29,3,FALSE),0)</x:f>
        <x:v>0</x:v>
      </x:c>
      <x:c r="E2484">
        <x:f>ROUND($C2484*10*VLOOKUP($B2484,Sheet2!$J$5:$K$7,2,FALSE)*VLOOKUP(Sheet1!$A2484,Sheet2!$B$5:$H$29,4,FALSE),0)</x:f>
        <x:v>0</x:v>
      </x:c>
      <x:c r="F2484">
        <x:f>ROUND($C2484*10*VLOOKUP($B2484,Sheet2!$J$5:$K$7,2,FALSE)*VLOOKUP(Sheet1!$A2484,Sheet2!$B$5:$H$29,5,FALSE),0)</x:f>
        <x:v>221</x:v>
      </x:c>
      <x:c r="G2484">
        <x:f>ROUND($C2484*10*VLOOKUP($B2484,Sheet2!$J$5:$K$7,2,FALSE)*VLOOKUP(Sheet1!$A2484,Sheet2!$B$5:$H$29,6,FALSE),0)</x:f>
        <x:v>74</x:v>
      </x:c>
      <x:c r="H2484">
        <x:f>ROUND($C2484*10*VLOOKUP($B2484,Sheet2!$J$5:$K$7,2,FALSE)*VLOOKUP(Sheet1!$A2484,Sheet2!$B$5:$H$29,7,FALSE),0)</x:f>
        <x:v>0</x:v>
      </x:c>
      <x:c r="I2484">
        <x:f t="shared" si="41"/>
        <x:v>32950</x:v>
      </x:c>
    </x:row>
    <x:row r="2485" spans="1:9" x14ac:dyDescent="0.15">
      <x:c r="A2485">
        <x:v>54104</x:v>
      </x:c>
      <x:c r="B2485">
        <x:v>3</x:v>
      </x:c>
      <x:c r="C2485">
        <x:v>24</x:v>
      </x:c>
      <x:c r="D2485">
        <x:f>ROUND($C2485*10*VLOOKUP($B2485,Sheet2!$J$5:$K$7,2,FALSE)*VLOOKUP(Sheet1!$A2485,Sheet2!$B$5:$H$29,3,FALSE),0)</x:f>
        <x:v>0</x:v>
      </x:c>
      <x:c r="E2485">
        <x:f>ROUND($C2485*10*VLOOKUP($B2485,Sheet2!$J$5:$K$7,2,FALSE)*VLOOKUP(Sheet1!$A2485,Sheet2!$B$5:$H$29,4,FALSE),0)</x:f>
        <x:v>0</x:v>
      </x:c>
      <x:c r="F2485">
        <x:f>ROUND($C2485*10*VLOOKUP($B2485,Sheet2!$J$5:$K$7,2,FALSE)*VLOOKUP(Sheet1!$A2485,Sheet2!$B$5:$H$29,5,FALSE),0)</x:f>
        <x:v>230</x:v>
      </x:c>
      <x:c r="G2485">
        <x:f>ROUND($C2485*10*VLOOKUP($B2485,Sheet2!$J$5:$K$7,2,FALSE)*VLOOKUP(Sheet1!$A2485,Sheet2!$B$5:$H$29,6,FALSE),0)</x:f>
        <x:v>77</x:v>
      </x:c>
      <x:c r="H2485">
        <x:f>ROUND($C2485*10*VLOOKUP($B2485,Sheet2!$J$5:$K$7,2,FALSE)*VLOOKUP(Sheet1!$A2485,Sheet2!$B$5:$H$29,7,FALSE),0)</x:f>
        <x:v>0</x:v>
      </x:c>
      <x:c r="I2485">
        <x:f t="shared" si="41"/>
        <x:v>35690</x:v>
      </x:c>
    </x:row>
    <x:row r="2486" spans="1:9" x14ac:dyDescent="0.15">
      <x:c r="A2486">
        <x:v>54104</x:v>
      </x:c>
      <x:c r="B2486">
        <x:v>3</x:v>
      </x:c>
      <x:c r="C2486">
        <x:v>25</x:v>
      </x:c>
      <x:c r="D2486">
        <x:f>ROUND($C2486*10*VLOOKUP($B2486,Sheet2!$J$5:$K$7,2,FALSE)*VLOOKUP(Sheet1!$A2486,Sheet2!$B$5:$H$29,3,FALSE),0)</x:f>
        <x:v>0</x:v>
      </x:c>
      <x:c r="E2486">
        <x:f>ROUND($C2486*10*VLOOKUP($B2486,Sheet2!$J$5:$K$7,2,FALSE)*VLOOKUP(Sheet1!$A2486,Sheet2!$B$5:$H$29,4,FALSE),0)</x:f>
        <x:v>0</x:v>
      </x:c>
      <x:c r="F2486">
        <x:f>ROUND($C2486*10*VLOOKUP($B2486,Sheet2!$J$5:$K$7,2,FALSE)*VLOOKUP(Sheet1!$A2486,Sheet2!$B$5:$H$29,5,FALSE),0)</x:f>
        <x:v>240</x:v>
      </x:c>
      <x:c r="G2486">
        <x:f>ROUND($C2486*10*VLOOKUP($B2486,Sheet2!$J$5:$K$7,2,FALSE)*VLOOKUP(Sheet1!$A2486,Sheet2!$B$5:$H$29,6,FALSE),0)</x:f>
        <x:v>80</x:v>
      </x:c>
      <x:c r="H2486">
        <x:f>ROUND($C2486*10*VLOOKUP($B2486,Sheet2!$J$5:$K$7,2,FALSE)*VLOOKUP(Sheet1!$A2486,Sheet2!$B$5:$H$29,7,FALSE),0)</x:f>
        <x:v>0</x:v>
      </x:c>
      <x:c r="I2486">
        <x:f t="shared" si="41"/>
        <x:v>38530</x:v>
      </x:c>
    </x:row>
    <x:row r="2487" spans="1:9" x14ac:dyDescent="0.15">
      <x:c r="A2487">
        <x:v>54104</x:v>
      </x:c>
      <x:c r="B2487">
        <x:v>3</x:v>
      </x:c>
      <x:c r="C2487">
        <x:v>26</x:v>
      </x:c>
      <x:c r="D2487">
        <x:f>ROUND($C2487*10*VLOOKUP($B2487,Sheet2!$J$5:$K$7,2,FALSE)*VLOOKUP(Sheet1!$A2487,Sheet2!$B$5:$H$29,3,FALSE),0)</x:f>
        <x:v>0</x:v>
      </x:c>
      <x:c r="E2487">
        <x:f>ROUND($C2487*10*VLOOKUP($B2487,Sheet2!$J$5:$K$7,2,FALSE)*VLOOKUP(Sheet1!$A2487,Sheet2!$B$5:$H$29,4,FALSE),0)</x:f>
        <x:v>0</x:v>
      </x:c>
      <x:c r="F2487">
        <x:f>ROUND($C2487*10*VLOOKUP($B2487,Sheet2!$J$5:$K$7,2,FALSE)*VLOOKUP(Sheet1!$A2487,Sheet2!$B$5:$H$29,5,FALSE),0)</x:f>
        <x:v>250</x:v>
      </x:c>
      <x:c r="G2487">
        <x:f>ROUND($C2487*10*VLOOKUP($B2487,Sheet2!$J$5:$K$7,2,FALSE)*VLOOKUP(Sheet1!$A2487,Sheet2!$B$5:$H$29,6,FALSE),0)</x:f>
        <x:v>83</x:v>
      </x:c>
      <x:c r="H2487">
        <x:f>ROUND($C2487*10*VLOOKUP($B2487,Sheet2!$J$5:$K$7,2,FALSE)*VLOOKUP(Sheet1!$A2487,Sheet2!$B$5:$H$29,7,FALSE),0)</x:f>
        <x:v>0</x:v>
      </x:c>
      <x:c r="I2487">
        <x:f t="shared" si="41"/>
        <x:v>41460</x:v>
      </x:c>
    </x:row>
    <x:row r="2488" spans="1:9" x14ac:dyDescent="0.15">
      <x:c r="A2488">
        <x:v>54104</x:v>
      </x:c>
      <x:c r="B2488">
        <x:v>3</x:v>
      </x:c>
      <x:c r="C2488">
        <x:v>27</x:v>
      </x:c>
      <x:c r="D2488">
        <x:f>ROUND($C2488*10*VLOOKUP($B2488,Sheet2!$J$5:$K$7,2,FALSE)*VLOOKUP(Sheet1!$A2488,Sheet2!$B$5:$H$29,3,FALSE),0)</x:f>
        <x:v>0</x:v>
      </x:c>
      <x:c r="E2488">
        <x:f>ROUND($C2488*10*VLOOKUP($B2488,Sheet2!$J$5:$K$7,2,FALSE)*VLOOKUP(Sheet1!$A2488,Sheet2!$B$5:$H$29,4,FALSE),0)</x:f>
        <x:v>0</x:v>
      </x:c>
      <x:c r="F2488">
        <x:f>ROUND($C2488*10*VLOOKUP($B2488,Sheet2!$J$5:$K$7,2,FALSE)*VLOOKUP(Sheet1!$A2488,Sheet2!$B$5:$H$29,5,FALSE),0)</x:f>
        <x:v>259</x:v>
      </x:c>
      <x:c r="G2488">
        <x:f>ROUND($C2488*10*VLOOKUP($B2488,Sheet2!$J$5:$K$7,2,FALSE)*VLOOKUP(Sheet1!$A2488,Sheet2!$B$5:$H$29,6,FALSE),0)</x:f>
        <x:v>86</x:v>
      </x:c>
      <x:c r="H2488">
        <x:f>ROUND($C2488*10*VLOOKUP($B2488,Sheet2!$J$5:$K$7,2,FALSE)*VLOOKUP(Sheet1!$A2488,Sheet2!$B$5:$H$29,7,FALSE),0)</x:f>
        <x:v>0</x:v>
      </x:c>
      <x:c r="I2488">
        <x:f t="shared" si="41"/>
        <x:v>44480</x:v>
      </x:c>
    </x:row>
    <x:row r="2489" spans="1:9" x14ac:dyDescent="0.15">
      <x:c r="A2489">
        <x:v>54104</x:v>
      </x:c>
      <x:c r="B2489">
        <x:v>3</x:v>
      </x:c>
      <x:c r="C2489">
        <x:v>28</x:v>
      </x:c>
      <x:c r="D2489">
        <x:f>ROUND($C2489*10*VLOOKUP($B2489,Sheet2!$J$5:$K$7,2,FALSE)*VLOOKUP(Sheet1!$A2489,Sheet2!$B$5:$H$29,3,FALSE),0)</x:f>
        <x:v>0</x:v>
      </x:c>
      <x:c r="E2489">
        <x:f>ROUND($C2489*10*VLOOKUP($B2489,Sheet2!$J$5:$K$7,2,FALSE)*VLOOKUP(Sheet1!$A2489,Sheet2!$B$5:$H$29,4,FALSE),0)</x:f>
        <x:v>0</x:v>
      </x:c>
      <x:c r="F2489">
        <x:f>ROUND($C2489*10*VLOOKUP($B2489,Sheet2!$J$5:$K$7,2,FALSE)*VLOOKUP(Sheet1!$A2489,Sheet2!$B$5:$H$29,5,FALSE),0)</x:f>
        <x:v>269</x:v>
      </x:c>
      <x:c r="G2489">
        <x:f>ROUND($C2489*10*VLOOKUP($B2489,Sheet2!$J$5:$K$7,2,FALSE)*VLOOKUP(Sheet1!$A2489,Sheet2!$B$5:$H$29,6,FALSE),0)</x:f>
        <x:v>90</x:v>
      </x:c>
      <x:c r="H2489">
        <x:f>ROUND($C2489*10*VLOOKUP($B2489,Sheet2!$J$5:$K$7,2,FALSE)*VLOOKUP(Sheet1!$A2489,Sheet2!$B$5:$H$29,7,FALSE),0)</x:f>
        <x:v>0</x:v>
      </x:c>
      <x:c r="I2489">
        <x:f t="shared" si="41"/>
        <x:v>47600</x:v>
      </x:c>
    </x:row>
    <x:row r="2490" spans="1:9" x14ac:dyDescent="0.15">
      <x:c r="A2490">
        <x:v>54104</x:v>
      </x:c>
      <x:c r="B2490">
        <x:v>3</x:v>
      </x:c>
      <x:c r="C2490">
        <x:v>29</x:v>
      </x:c>
      <x:c r="D2490">
        <x:f>ROUND($C2490*10*VLOOKUP($B2490,Sheet2!$J$5:$K$7,2,FALSE)*VLOOKUP(Sheet1!$A2490,Sheet2!$B$5:$H$29,3,FALSE),0)</x:f>
        <x:v>0</x:v>
      </x:c>
      <x:c r="E2490">
        <x:f>ROUND($C2490*10*VLOOKUP($B2490,Sheet2!$J$5:$K$7,2,FALSE)*VLOOKUP(Sheet1!$A2490,Sheet2!$B$5:$H$29,4,FALSE),0)</x:f>
        <x:v>0</x:v>
      </x:c>
      <x:c r="F2490">
        <x:f>ROUND($C2490*10*VLOOKUP($B2490,Sheet2!$J$5:$K$7,2,FALSE)*VLOOKUP(Sheet1!$A2490,Sheet2!$B$5:$H$29,5,FALSE),0)</x:f>
        <x:v>278</x:v>
      </x:c>
      <x:c r="G2490">
        <x:f>ROUND($C2490*10*VLOOKUP($B2490,Sheet2!$J$5:$K$7,2,FALSE)*VLOOKUP(Sheet1!$A2490,Sheet2!$B$5:$H$29,6,FALSE),0)</x:f>
        <x:v>93</x:v>
      </x:c>
      <x:c r="H2490">
        <x:f>ROUND($C2490*10*VLOOKUP($B2490,Sheet2!$J$5:$K$7,2,FALSE)*VLOOKUP(Sheet1!$A2490,Sheet2!$B$5:$H$29,7,FALSE),0)</x:f>
        <x:v>0</x:v>
      </x:c>
      <x:c r="I2490">
        <x:f t="shared" si="41"/>
        <x:v>50820</x:v>
      </x:c>
    </x:row>
    <x:row r="2491" spans="1:9" x14ac:dyDescent="0.15">
      <x:c r="A2491">
        <x:v>54104</x:v>
      </x:c>
      <x:c r="B2491">
        <x:v>3</x:v>
      </x:c>
      <x:c r="C2491">
        <x:v>30</x:v>
      </x:c>
      <x:c r="D2491">
        <x:f>ROUND($C2491*10*VLOOKUP($B2491,Sheet2!$J$5:$K$7,2,FALSE)*VLOOKUP(Sheet1!$A2491,Sheet2!$B$5:$H$29,3,FALSE),0)</x:f>
        <x:v>0</x:v>
      </x:c>
      <x:c r="E2491">
        <x:f>ROUND($C2491*10*VLOOKUP($B2491,Sheet2!$J$5:$K$7,2,FALSE)*VLOOKUP(Sheet1!$A2491,Sheet2!$B$5:$H$29,4,FALSE),0)</x:f>
        <x:v>0</x:v>
      </x:c>
      <x:c r="F2491">
        <x:f>ROUND($C2491*10*VLOOKUP($B2491,Sheet2!$J$5:$K$7,2,FALSE)*VLOOKUP(Sheet1!$A2491,Sheet2!$B$5:$H$29,5,FALSE),0)</x:f>
        <x:v>288</x:v>
      </x:c>
      <x:c r="G2491">
        <x:f>ROUND($C2491*10*VLOOKUP($B2491,Sheet2!$J$5:$K$7,2,FALSE)*VLOOKUP(Sheet1!$A2491,Sheet2!$B$5:$H$29,6,FALSE),0)</x:f>
        <x:v>96</x:v>
      </x:c>
      <x:c r="H2491">
        <x:f>ROUND($C2491*10*VLOOKUP($B2491,Sheet2!$J$5:$K$7,2,FALSE)*VLOOKUP(Sheet1!$A2491,Sheet2!$B$5:$H$29,7,FALSE),0)</x:f>
        <x:v>0</x:v>
      </x:c>
      <x:c r="I2491">
        <x:f t="shared" si="41"/>
        <x:v>54130</x:v>
      </x:c>
    </x:row>
    <x:row r="2492" spans="1:9" x14ac:dyDescent="0.15">
      <x:c r="A2492">
        <x:v>54104</x:v>
      </x:c>
      <x:c r="B2492">
        <x:v>3</x:v>
      </x:c>
      <x:c r="C2492">
        <x:v>31</x:v>
      </x:c>
      <x:c r="D2492">
        <x:f>ROUND($C2492*10*VLOOKUP($B2492,Sheet2!$J$5:$K$7,2,FALSE)*VLOOKUP(Sheet1!$A2492,Sheet2!$B$5:$H$29,3,FALSE),0)</x:f>
        <x:v>0</x:v>
      </x:c>
      <x:c r="E2492">
        <x:f>ROUND($C2492*10*VLOOKUP($B2492,Sheet2!$J$5:$K$7,2,FALSE)*VLOOKUP(Sheet1!$A2492,Sheet2!$B$5:$H$29,4,FALSE),0)</x:f>
        <x:v>0</x:v>
      </x:c>
      <x:c r="F2492">
        <x:f>ROUND($C2492*10*VLOOKUP($B2492,Sheet2!$J$5:$K$7,2,FALSE)*VLOOKUP(Sheet1!$A2492,Sheet2!$B$5:$H$29,5,FALSE),0)</x:f>
        <x:v>298</x:v>
      </x:c>
      <x:c r="G2492">
        <x:f>ROUND($C2492*10*VLOOKUP($B2492,Sheet2!$J$5:$K$7,2,FALSE)*VLOOKUP(Sheet1!$A2492,Sheet2!$B$5:$H$29,6,FALSE),0)</x:f>
        <x:v>99</x:v>
      </x:c>
      <x:c r="H2492">
        <x:f>ROUND($C2492*10*VLOOKUP($B2492,Sheet2!$J$5:$K$7,2,FALSE)*VLOOKUP(Sheet1!$A2492,Sheet2!$B$5:$H$29,7,FALSE),0)</x:f>
        <x:v>0</x:v>
      </x:c>
      <x:c r="I2492">
        <x:f t="shared" si="41"/>
        <x:v>57530</x:v>
      </x:c>
    </x:row>
    <x:row r="2493" spans="1:9" x14ac:dyDescent="0.15">
      <x:c r="A2493">
        <x:v>54104</x:v>
      </x:c>
      <x:c r="B2493">
        <x:v>3</x:v>
      </x:c>
      <x:c r="C2493">
        <x:v>32</x:v>
      </x:c>
      <x:c r="D2493">
        <x:f>ROUND($C2493*10*VLOOKUP($B2493,Sheet2!$J$5:$K$7,2,FALSE)*VLOOKUP(Sheet1!$A2493,Sheet2!$B$5:$H$29,3,FALSE),0)</x:f>
        <x:v>0</x:v>
      </x:c>
      <x:c r="E2493">
        <x:f>ROUND($C2493*10*VLOOKUP($B2493,Sheet2!$J$5:$K$7,2,FALSE)*VLOOKUP(Sheet1!$A2493,Sheet2!$B$5:$H$29,4,FALSE),0)</x:f>
        <x:v>0</x:v>
      </x:c>
      <x:c r="F2493">
        <x:f>ROUND($C2493*10*VLOOKUP($B2493,Sheet2!$J$5:$K$7,2,FALSE)*VLOOKUP(Sheet1!$A2493,Sheet2!$B$5:$H$29,5,FALSE),0)</x:f>
        <x:v>307</x:v>
      </x:c>
      <x:c r="G2493">
        <x:f>ROUND($C2493*10*VLOOKUP($B2493,Sheet2!$J$5:$K$7,2,FALSE)*VLOOKUP(Sheet1!$A2493,Sheet2!$B$5:$H$29,6,FALSE),0)</x:f>
        <x:v>102</x:v>
      </x:c>
      <x:c r="H2493">
        <x:f>ROUND($C2493*10*VLOOKUP($B2493,Sheet2!$J$5:$K$7,2,FALSE)*VLOOKUP(Sheet1!$A2493,Sheet2!$B$5:$H$29,7,FALSE),0)</x:f>
        <x:v>0</x:v>
      </x:c>
      <x:c r="I2493">
        <x:f t="shared" si="41"/>
        <x:v>61020</x:v>
      </x:c>
    </x:row>
    <x:row r="2494" spans="1:9" x14ac:dyDescent="0.15">
      <x:c r="A2494">
        <x:v>54104</x:v>
      </x:c>
      <x:c r="B2494">
        <x:v>3</x:v>
      </x:c>
      <x:c r="C2494">
        <x:v>33</x:v>
      </x:c>
      <x:c r="D2494">
        <x:f>ROUND($C2494*10*VLOOKUP($B2494,Sheet2!$J$5:$K$7,2,FALSE)*VLOOKUP(Sheet1!$A2494,Sheet2!$B$5:$H$29,3,FALSE),0)</x:f>
        <x:v>0</x:v>
      </x:c>
      <x:c r="E2494">
        <x:f>ROUND($C2494*10*VLOOKUP($B2494,Sheet2!$J$5:$K$7,2,FALSE)*VLOOKUP(Sheet1!$A2494,Sheet2!$B$5:$H$29,4,FALSE),0)</x:f>
        <x:v>0</x:v>
      </x:c>
      <x:c r="F2494">
        <x:f>ROUND($C2494*10*VLOOKUP($B2494,Sheet2!$J$5:$K$7,2,FALSE)*VLOOKUP(Sheet1!$A2494,Sheet2!$B$5:$H$29,5,FALSE),0)</x:f>
        <x:v>317</x:v>
      </x:c>
      <x:c r="G2494">
        <x:f>ROUND($C2494*10*VLOOKUP($B2494,Sheet2!$J$5:$K$7,2,FALSE)*VLOOKUP(Sheet1!$A2494,Sheet2!$B$5:$H$29,6,FALSE),0)</x:f>
        <x:v>106</x:v>
      </x:c>
      <x:c r="H2494">
        <x:f>ROUND($C2494*10*VLOOKUP($B2494,Sheet2!$J$5:$K$7,2,FALSE)*VLOOKUP(Sheet1!$A2494,Sheet2!$B$5:$H$29,7,FALSE),0)</x:f>
        <x:v>0</x:v>
      </x:c>
      <x:c r="I2494">
        <x:f t="shared" si="41"/>
        <x:v>64600</x:v>
      </x:c>
    </x:row>
    <x:row r="2495" spans="1:9" x14ac:dyDescent="0.15">
      <x:c r="A2495">
        <x:v>54104</x:v>
      </x:c>
      <x:c r="B2495">
        <x:v>3</x:v>
      </x:c>
      <x:c r="C2495">
        <x:v>34</x:v>
      </x:c>
      <x:c r="D2495">
        <x:f>ROUND($C2495*10*VLOOKUP($B2495,Sheet2!$J$5:$K$7,2,FALSE)*VLOOKUP(Sheet1!$A2495,Sheet2!$B$5:$H$29,3,FALSE),0)</x:f>
        <x:v>0</x:v>
      </x:c>
      <x:c r="E2495">
        <x:f>ROUND($C2495*10*VLOOKUP($B2495,Sheet2!$J$5:$K$7,2,FALSE)*VLOOKUP(Sheet1!$A2495,Sheet2!$B$5:$H$29,4,FALSE),0)</x:f>
        <x:v>0</x:v>
      </x:c>
      <x:c r="F2495">
        <x:f>ROUND($C2495*10*VLOOKUP($B2495,Sheet2!$J$5:$K$7,2,FALSE)*VLOOKUP(Sheet1!$A2495,Sheet2!$B$5:$H$29,5,FALSE),0)</x:f>
        <x:v>326</x:v>
      </x:c>
      <x:c r="G2495">
        <x:f>ROUND($C2495*10*VLOOKUP($B2495,Sheet2!$J$5:$K$7,2,FALSE)*VLOOKUP(Sheet1!$A2495,Sheet2!$B$5:$H$29,6,FALSE),0)</x:f>
        <x:v>109</x:v>
      </x:c>
      <x:c r="H2495">
        <x:f>ROUND($C2495*10*VLOOKUP($B2495,Sheet2!$J$5:$K$7,2,FALSE)*VLOOKUP(Sheet1!$A2495,Sheet2!$B$5:$H$29,7,FALSE),0)</x:f>
        <x:v>0</x:v>
      </x:c>
      <x:c r="I2495">
        <x:f t="shared" si="41"/>
        <x:v>68280</x:v>
      </x:c>
    </x:row>
    <x:row r="2496" spans="1:9" x14ac:dyDescent="0.15">
      <x:c r="A2496">
        <x:v>54104</x:v>
      </x:c>
      <x:c r="B2496">
        <x:v>3</x:v>
      </x:c>
      <x:c r="C2496">
        <x:v>35</x:v>
      </x:c>
      <x:c r="D2496">
        <x:f>ROUND($C2496*10*VLOOKUP($B2496,Sheet2!$J$5:$K$7,2,FALSE)*VLOOKUP(Sheet1!$A2496,Sheet2!$B$5:$H$29,3,FALSE),0)</x:f>
        <x:v>0</x:v>
      </x:c>
      <x:c r="E2496">
        <x:f>ROUND($C2496*10*VLOOKUP($B2496,Sheet2!$J$5:$K$7,2,FALSE)*VLOOKUP(Sheet1!$A2496,Sheet2!$B$5:$H$29,4,FALSE),0)</x:f>
        <x:v>0</x:v>
      </x:c>
      <x:c r="F2496">
        <x:f>ROUND($C2496*10*VLOOKUP($B2496,Sheet2!$J$5:$K$7,2,FALSE)*VLOOKUP(Sheet1!$A2496,Sheet2!$B$5:$H$29,5,FALSE),0)</x:f>
        <x:v>336</x:v>
      </x:c>
      <x:c r="G2496">
        <x:f>ROUND($C2496*10*VLOOKUP($B2496,Sheet2!$J$5:$K$7,2,FALSE)*VLOOKUP(Sheet1!$A2496,Sheet2!$B$5:$H$29,6,FALSE),0)</x:f>
        <x:v>112</x:v>
      </x:c>
      <x:c r="H2496">
        <x:f>ROUND($C2496*10*VLOOKUP($B2496,Sheet2!$J$5:$K$7,2,FALSE)*VLOOKUP(Sheet1!$A2496,Sheet2!$B$5:$H$29,7,FALSE),0)</x:f>
        <x:v>0</x:v>
      </x:c>
      <x:c r="I2496">
        <x:f t="shared" si="41"/>
        <x:v>72040</x:v>
      </x:c>
    </x:row>
    <x:row r="2497" spans="1:9" x14ac:dyDescent="0.15">
      <x:c r="A2497">
        <x:v>54104</x:v>
      </x:c>
      <x:c r="B2497">
        <x:v>3</x:v>
      </x:c>
      <x:c r="C2497">
        <x:v>36</x:v>
      </x:c>
      <x:c r="D2497">
        <x:f>ROUND($C2497*10*VLOOKUP($B2497,Sheet2!$J$5:$K$7,2,FALSE)*VLOOKUP(Sheet1!$A2497,Sheet2!$B$5:$H$29,3,FALSE),0)</x:f>
        <x:v>0</x:v>
      </x:c>
      <x:c r="E2497">
        <x:f>ROUND($C2497*10*VLOOKUP($B2497,Sheet2!$J$5:$K$7,2,FALSE)*VLOOKUP(Sheet1!$A2497,Sheet2!$B$5:$H$29,4,FALSE),0)</x:f>
        <x:v>0</x:v>
      </x:c>
      <x:c r="F2497">
        <x:f>ROUND($C2497*10*VLOOKUP($B2497,Sheet2!$J$5:$K$7,2,FALSE)*VLOOKUP(Sheet1!$A2497,Sheet2!$B$5:$H$29,5,FALSE),0)</x:f>
        <x:v>346</x:v>
      </x:c>
      <x:c r="G2497">
        <x:f>ROUND($C2497*10*VLOOKUP($B2497,Sheet2!$J$5:$K$7,2,FALSE)*VLOOKUP(Sheet1!$A2497,Sheet2!$B$5:$H$29,6,FALSE),0)</x:f>
        <x:v>115</x:v>
      </x:c>
      <x:c r="H2497">
        <x:f>ROUND($C2497*10*VLOOKUP($B2497,Sheet2!$J$5:$K$7,2,FALSE)*VLOOKUP(Sheet1!$A2497,Sheet2!$B$5:$H$29,7,FALSE),0)</x:f>
        <x:v>0</x:v>
      </x:c>
      <x:c r="I2497">
        <x:f t="shared" si="41"/>
        <x:v>75890</x:v>
      </x:c>
    </x:row>
    <x:row r="2498" spans="1:9" x14ac:dyDescent="0.15">
      <x:c r="A2498">
        <x:v>54104</x:v>
      </x:c>
      <x:c r="B2498">
        <x:v>3</x:v>
      </x:c>
      <x:c r="C2498">
        <x:v>37</x:v>
      </x:c>
      <x:c r="D2498">
        <x:f>ROUND($C2498*10*VLOOKUP($B2498,Sheet2!$J$5:$K$7,2,FALSE)*VLOOKUP(Sheet1!$A2498,Sheet2!$B$5:$H$29,3,FALSE),0)</x:f>
        <x:v>0</x:v>
      </x:c>
      <x:c r="E2498">
        <x:f>ROUND($C2498*10*VLOOKUP($B2498,Sheet2!$J$5:$K$7,2,FALSE)*VLOOKUP(Sheet1!$A2498,Sheet2!$B$5:$H$29,4,FALSE),0)</x:f>
        <x:v>0</x:v>
      </x:c>
      <x:c r="F2498">
        <x:f>ROUND($C2498*10*VLOOKUP($B2498,Sheet2!$J$5:$K$7,2,FALSE)*VLOOKUP(Sheet1!$A2498,Sheet2!$B$5:$H$29,5,FALSE),0)</x:f>
        <x:v>355</x:v>
      </x:c>
      <x:c r="G2498">
        <x:f>ROUND($C2498*10*VLOOKUP($B2498,Sheet2!$J$5:$K$7,2,FALSE)*VLOOKUP(Sheet1!$A2498,Sheet2!$B$5:$H$29,6,FALSE),0)</x:f>
        <x:v>118</x:v>
      </x:c>
      <x:c r="H2498">
        <x:f>ROUND($C2498*10*VLOOKUP($B2498,Sheet2!$J$5:$K$7,2,FALSE)*VLOOKUP(Sheet1!$A2498,Sheet2!$B$5:$H$29,7,FALSE),0)</x:f>
        <x:v>0</x:v>
      </x:c>
      <x:c r="I2498">
        <x:f t="shared" si="41"/>
        <x:v>79840</x:v>
      </x:c>
    </x:row>
    <x:row r="2499" spans="1:9" x14ac:dyDescent="0.15">
      <x:c r="A2499">
        <x:v>54104</x:v>
      </x:c>
      <x:c r="B2499">
        <x:v>3</x:v>
      </x:c>
      <x:c r="C2499">
        <x:v>38</x:v>
      </x:c>
      <x:c r="D2499">
        <x:f>ROUND($C2499*10*VLOOKUP($B2499,Sheet2!$J$5:$K$7,2,FALSE)*VLOOKUP(Sheet1!$A2499,Sheet2!$B$5:$H$29,3,FALSE),0)</x:f>
        <x:v>0</x:v>
      </x:c>
      <x:c r="E2499">
        <x:f>ROUND($C2499*10*VLOOKUP($B2499,Sheet2!$J$5:$K$7,2,FALSE)*VLOOKUP(Sheet1!$A2499,Sheet2!$B$5:$H$29,4,FALSE),0)</x:f>
        <x:v>0</x:v>
      </x:c>
      <x:c r="F2499">
        <x:f>ROUND($C2499*10*VLOOKUP($B2499,Sheet2!$J$5:$K$7,2,FALSE)*VLOOKUP(Sheet1!$A2499,Sheet2!$B$5:$H$29,5,FALSE),0)</x:f>
        <x:v>365</x:v>
      </x:c>
      <x:c r="G2499">
        <x:f>ROUND($C2499*10*VLOOKUP($B2499,Sheet2!$J$5:$K$7,2,FALSE)*VLOOKUP(Sheet1!$A2499,Sheet2!$B$5:$H$29,6,FALSE),0)</x:f>
        <x:v>122</x:v>
      </x:c>
      <x:c r="H2499">
        <x:f>ROUND($C2499*10*VLOOKUP($B2499,Sheet2!$J$5:$K$7,2,FALSE)*VLOOKUP(Sheet1!$A2499,Sheet2!$B$5:$H$29,7,FALSE),0)</x:f>
        <x:v>0</x:v>
      </x:c>
      <x:c r="I2499">
        <x:f t="shared" si="41"/>
        <x:v>83870</x:v>
      </x:c>
    </x:row>
    <x:row r="2500" spans="1:9" x14ac:dyDescent="0.15">
      <x:c r="A2500">
        <x:v>54104</x:v>
      </x:c>
      <x:c r="B2500">
        <x:v>3</x:v>
      </x:c>
      <x:c r="C2500">
        <x:v>39</x:v>
      </x:c>
      <x:c r="D2500">
        <x:f>ROUND($C2500*10*VLOOKUP($B2500,Sheet2!$J$5:$K$7,2,FALSE)*VLOOKUP(Sheet1!$A2500,Sheet2!$B$5:$H$29,3,FALSE),0)</x:f>
        <x:v>0</x:v>
      </x:c>
      <x:c r="E2500">
        <x:f>ROUND($C2500*10*VLOOKUP($B2500,Sheet2!$J$5:$K$7,2,FALSE)*VLOOKUP(Sheet1!$A2500,Sheet2!$B$5:$H$29,4,FALSE),0)</x:f>
        <x:v>0</x:v>
      </x:c>
      <x:c r="F2500">
        <x:f>ROUND($C2500*10*VLOOKUP($B2500,Sheet2!$J$5:$K$7,2,FALSE)*VLOOKUP(Sheet1!$A2500,Sheet2!$B$5:$H$29,5,FALSE),0)</x:f>
        <x:v>374</x:v>
      </x:c>
      <x:c r="G2500">
        <x:f>ROUND($C2500*10*VLOOKUP($B2500,Sheet2!$J$5:$K$7,2,FALSE)*VLOOKUP(Sheet1!$A2500,Sheet2!$B$5:$H$29,6,FALSE),0)</x:f>
        <x:v>125</x:v>
      </x:c>
      <x:c r="H2500">
        <x:f>ROUND($C2500*10*VLOOKUP($B2500,Sheet2!$J$5:$K$7,2,FALSE)*VLOOKUP(Sheet1!$A2500,Sheet2!$B$5:$H$29,7,FALSE),0)</x:f>
        <x:v>0</x:v>
      </x:c>
      <x:c r="I2500">
        <x:f t="shared" si="41"/>
        <x:v>87990</x:v>
      </x:c>
    </x:row>
    <x:row r="2501" spans="1:9" x14ac:dyDescent="0.15">
      <x:c r="A2501">
        <x:v>54104</x:v>
      </x:c>
      <x:c r="B2501">
        <x:v>3</x:v>
      </x:c>
      <x:c r="C2501">
        <x:v>40</x:v>
      </x:c>
      <x:c r="D2501">
        <x:f>ROUND($C2501*10*VLOOKUP($B2501,Sheet2!$J$5:$K$7,2,FALSE)*VLOOKUP(Sheet1!$A2501,Sheet2!$B$5:$H$29,3,FALSE),0)</x:f>
        <x:v>0</x:v>
      </x:c>
      <x:c r="E2501">
        <x:f>ROUND($C2501*10*VLOOKUP($B2501,Sheet2!$J$5:$K$7,2,FALSE)*VLOOKUP(Sheet1!$A2501,Sheet2!$B$5:$H$29,4,FALSE),0)</x:f>
        <x:v>0</x:v>
      </x:c>
      <x:c r="F2501">
        <x:f>ROUND($C2501*10*VLOOKUP($B2501,Sheet2!$J$5:$K$7,2,FALSE)*VLOOKUP(Sheet1!$A2501,Sheet2!$B$5:$H$29,5,FALSE),0)</x:f>
        <x:v>384</x:v>
      </x:c>
      <x:c r="G2501">
        <x:f>ROUND($C2501*10*VLOOKUP($B2501,Sheet2!$J$5:$K$7,2,FALSE)*VLOOKUP(Sheet1!$A2501,Sheet2!$B$5:$H$29,6,FALSE),0)</x:f>
        <x:v>128</x:v>
      </x:c>
      <x:c r="H2501">
        <x:f>ROUND($C2501*10*VLOOKUP($B2501,Sheet2!$J$5:$K$7,2,FALSE)*VLOOKUP(Sheet1!$A2501,Sheet2!$B$5:$H$29,7,FALSE),0)</x:f>
        <x:v>0</x:v>
      </x:c>
      <x:c r="I2501">
        <x:f t="shared" si="41"/>
        <x:v>92200</x:v>
      </x:c>
    </x:row>
    <x:row r="2502" spans="1:9" x14ac:dyDescent="0.15">
      <x:c r="A2502">
        <x:v>54104</x:v>
      </x:c>
      <x:c r="B2502">
        <x:v>3</x:v>
      </x:c>
      <x:c r="C2502">
        <x:v>41</x:v>
      </x:c>
      <x:c r="D2502">
        <x:f>ROUND($C2502*10*VLOOKUP($B2502,Sheet2!$J$5:$K$7,2,FALSE)*VLOOKUP(Sheet1!$A2502,Sheet2!$B$5:$H$29,3,FALSE),0)</x:f>
        <x:v>0</x:v>
      </x:c>
      <x:c r="E2502">
        <x:f>ROUND($C2502*10*VLOOKUP($B2502,Sheet2!$J$5:$K$7,2,FALSE)*VLOOKUP(Sheet1!$A2502,Sheet2!$B$5:$H$29,4,FALSE),0)</x:f>
        <x:v>0</x:v>
      </x:c>
      <x:c r="F2502">
        <x:f>ROUND($C2502*10*VLOOKUP($B2502,Sheet2!$J$5:$K$7,2,FALSE)*VLOOKUP(Sheet1!$A2502,Sheet2!$B$5:$H$29,5,FALSE),0)</x:f>
        <x:v>394</x:v>
      </x:c>
      <x:c r="G2502">
        <x:f>ROUND($C2502*10*VLOOKUP($B2502,Sheet2!$J$5:$K$7,2,FALSE)*VLOOKUP(Sheet1!$A2502,Sheet2!$B$5:$H$29,6,FALSE),0)</x:f>
        <x:v>131</x:v>
      </x:c>
      <x:c r="H2502">
        <x:f>ROUND($C2502*10*VLOOKUP($B2502,Sheet2!$J$5:$K$7,2,FALSE)*VLOOKUP(Sheet1!$A2502,Sheet2!$B$5:$H$29,7,FALSE),0)</x:f>
        <x:v>0</x:v>
      </x:c>
      <x:c r="I2502">
        <x:f t="shared" si="41"/>
        <x:v>96490</x:v>
      </x:c>
    </x:row>
    <x:row r="2503" spans="1:9" x14ac:dyDescent="0.15">
      <x:c r="A2503">
        <x:v>54104</x:v>
      </x:c>
      <x:c r="B2503">
        <x:v>3</x:v>
      </x:c>
      <x:c r="C2503">
        <x:v>42</x:v>
      </x:c>
      <x:c r="D2503">
        <x:f>ROUND($C2503*10*VLOOKUP($B2503,Sheet2!$J$5:$K$7,2,FALSE)*VLOOKUP(Sheet1!$A2503,Sheet2!$B$5:$H$29,3,FALSE),0)</x:f>
        <x:v>0</x:v>
      </x:c>
      <x:c r="E2503">
        <x:f>ROUND($C2503*10*VLOOKUP($B2503,Sheet2!$J$5:$K$7,2,FALSE)*VLOOKUP(Sheet1!$A2503,Sheet2!$B$5:$H$29,4,FALSE),0)</x:f>
        <x:v>0</x:v>
      </x:c>
      <x:c r="F2503">
        <x:f>ROUND($C2503*10*VLOOKUP($B2503,Sheet2!$J$5:$K$7,2,FALSE)*VLOOKUP(Sheet1!$A2503,Sheet2!$B$5:$H$29,5,FALSE),0)</x:f>
        <x:v>403</x:v>
      </x:c>
      <x:c r="G2503">
        <x:f>ROUND($C2503*10*VLOOKUP($B2503,Sheet2!$J$5:$K$7,2,FALSE)*VLOOKUP(Sheet1!$A2503,Sheet2!$B$5:$H$29,6,FALSE),0)</x:f>
        <x:v>134</x:v>
      </x:c>
      <x:c r="H2503">
        <x:f>ROUND($C2503*10*VLOOKUP($B2503,Sheet2!$J$5:$K$7,2,FALSE)*VLOOKUP(Sheet1!$A2503,Sheet2!$B$5:$H$29,7,FALSE),0)</x:f>
        <x:v>0</x:v>
      </x:c>
      <x:c r="I2503">
        <x:f t="shared" si="41"/>
        <x:v>100870</x:v>
      </x:c>
    </x:row>
    <x:row r="2504" spans="1:9" x14ac:dyDescent="0.15">
      <x:c r="A2504">
        <x:v>54104</x:v>
      </x:c>
      <x:c r="B2504">
        <x:v>3</x:v>
      </x:c>
      <x:c r="C2504">
        <x:v>43</x:v>
      </x:c>
      <x:c r="D2504">
        <x:f>ROUND($C2504*10*VLOOKUP($B2504,Sheet2!$J$5:$K$7,2,FALSE)*VLOOKUP(Sheet1!$A2504,Sheet2!$B$5:$H$29,3,FALSE),0)</x:f>
        <x:v>0</x:v>
      </x:c>
      <x:c r="E2504">
        <x:f>ROUND($C2504*10*VLOOKUP($B2504,Sheet2!$J$5:$K$7,2,FALSE)*VLOOKUP(Sheet1!$A2504,Sheet2!$B$5:$H$29,4,FALSE),0)</x:f>
        <x:v>0</x:v>
      </x:c>
      <x:c r="F2504">
        <x:f>ROUND($C2504*10*VLOOKUP($B2504,Sheet2!$J$5:$K$7,2,FALSE)*VLOOKUP(Sheet1!$A2504,Sheet2!$B$5:$H$29,5,FALSE),0)</x:f>
        <x:v>413</x:v>
      </x:c>
      <x:c r="G2504">
        <x:f>ROUND($C2504*10*VLOOKUP($B2504,Sheet2!$J$5:$K$7,2,FALSE)*VLOOKUP(Sheet1!$A2504,Sheet2!$B$5:$H$29,6,FALSE),0)</x:f>
        <x:v>138</x:v>
      </x:c>
      <x:c r="H2504">
        <x:f>ROUND($C2504*10*VLOOKUP($B2504,Sheet2!$J$5:$K$7,2,FALSE)*VLOOKUP(Sheet1!$A2504,Sheet2!$B$5:$H$29,7,FALSE),0)</x:f>
        <x:v>0</x:v>
      </x:c>
      <x:c r="I2504">
        <x:f t="shared" si="41"/>
        <x:v>105340</x:v>
      </x:c>
    </x:row>
    <x:row r="2505" spans="1:9" x14ac:dyDescent="0.15">
      <x:c r="A2505">
        <x:v>54104</x:v>
      </x:c>
      <x:c r="B2505">
        <x:v>3</x:v>
      </x:c>
      <x:c r="C2505">
        <x:v>44</x:v>
      </x:c>
      <x:c r="D2505">
        <x:f>ROUND($C2505*10*VLOOKUP($B2505,Sheet2!$J$5:$K$7,2,FALSE)*VLOOKUP(Sheet1!$A2505,Sheet2!$B$5:$H$29,3,FALSE),0)</x:f>
        <x:v>0</x:v>
      </x:c>
      <x:c r="E2505">
        <x:f>ROUND($C2505*10*VLOOKUP($B2505,Sheet2!$J$5:$K$7,2,FALSE)*VLOOKUP(Sheet1!$A2505,Sheet2!$B$5:$H$29,4,FALSE),0)</x:f>
        <x:v>0</x:v>
      </x:c>
      <x:c r="F2505">
        <x:f>ROUND($C2505*10*VLOOKUP($B2505,Sheet2!$J$5:$K$7,2,FALSE)*VLOOKUP(Sheet1!$A2505,Sheet2!$B$5:$H$29,5,FALSE),0)</x:f>
        <x:v>422</x:v>
      </x:c>
      <x:c r="G2505">
        <x:f>ROUND($C2505*10*VLOOKUP($B2505,Sheet2!$J$5:$K$7,2,FALSE)*VLOOKUP(Sheet1!$A2505,Sheet2!$B$5:$H$29,6,FALSE),0)</x:f>
        <x:v>141</x:v>
      </x:c>
      <x:c r="H2505">
        <x:f>ROUND($C2505*10*VLOOKUP($B2505,Sheet2!$J$5:$K$7,2,FALSE)*VLOOKUP(Sheet1!$A2505,Sheet2!$B$5:$H$29,7,FALSE),0)</x:f>
        <x:v>0</x:v>
      </x:c>
      <x:c r="I2505">
        <x:f t="shared" si="41"/>
        <x:v>109890</x:v>
      </x:c>
    </x:row>
    <x:row r="2506" spans="1:9" x14ac:dyDescent="0.15">
      <x:c r="A2506">
        <x:v>54104</x:v>
      </x:c>
      <x:c r="B2506">
        <x:v>3</x:v>
      </x:c>
      <x:c r="C2506">
        <x:v>45</x:v>
      </x:c>
      <x:c r="D2506">
        <x:f>ROUND($C2506*10*VLOOKUP($B2506,Sheet2!$J$5:$K$7,2,FALSE)*VLOOKUP(Sheet1!$A2506,Sheet2!$B$5:$H$29,3,FALSE),0)</x:f>
        <x:v>0</x:v>
      </x:c>
      <x:c r="E2506">
        <x:f>ROUND($C2506*10*VLOOKUP($B2506,Sheet2!$J$5:$K$7,2,FALSE)*VLOOKUP(Sheet1!$A2506,Sheet2!$B$5:$H$29,4,FALSE),0)</x:f>
        <x:v>0</x:v>
      </x:c>
      <x:c r="F2506">
        <x:f>ROUND($C2506*10*VLOOKUP($B2506,Sheet2!$J$5:$K$7,2,FALSE)*VLOOKUP(Sheet1!$A2506,Sheet2!$B$5:$H$29,5,FALSE),0)</x:f>
        <x:v>432</x:v>
      </x:c>
      <x:c r="G2506">
        <x:f>ROUND($C2506*10*VLOOKUP($B2506,Sheet2!$J$5:$K$7,2,FALSE)*VLOOKUP(Sheet1!$A2506,Sheet2!$B$5:$H$29,6,FALSE),0)</x:f>
        <x:v>144</x:v>
      </x:c>
      <x:c r="H2506">
        <x:f>ROUND($C2506*10*VLOOKUP($B2506,Sheet2!$J$5:$K$7,2,FALSE)*VLOOKUP(Sheet1!$A2506,Sheet2!$B$5:$H$29,7,FALSE),0)</x:f>
        <x:v>0</x:v>
      </x:c>
      <x:c r="I2506">
        <x:f t="shared" si="41"/>
        <x:v>114530</x:v>
      </x:c>
    </x:row>
    <x:row r="2507" spans="1:9" x14ac:dyDescent="0.15">
      <x:c r="A2507">
        <x:v>54104</x:v>
      </x:c>
      <x:c r="B2507">
        <x:v>3</x:v>
      </x:c>
      <x:c r="C2507">
        <x:v>46</x:v>
      </x:c>
      <x:c r="D2507">
        <x:f>ROUND($C2507*10*VLOOKUP($B2507,Sheet2!$J$5:$K$7,2,FALSE)*VLOOKUP(Sheet1!$A2507,Sheet2!$B$5:$H$29,3,FALSE),0)</x:f>
        <x:v>0</x:v>
      </x:c>
      <x:c r="E2507">
        <x:f>ROUND($C2507*10*VLOOKUP($B2507,Sheet2!$J$5:$K$7,2,FALSE)*VLOOKUP(Sheet1!$A2507,Sheet2!$B$5:$H$29,4,FALSE),0)</x:f>
        <x:v>0</x:v>
      </x:c>
      <x:c r="F2507">
        <x:f>ROUND($C2507*10*VLOOKUP($B2507,Sheet2!$J$5:$K$7,2,FALSE)*VLOOKUP(Sheet1!$A2507,Sheet2!$B$5:$H$29,5,FALSE),0)</x:f>
        <x:v>442</x:v>
      </x:c>
      <x:c r="G2507">
        <x:f>ROUND($C2507*10*VLOOKUP($B2507,Sheet2!$J$5:$K$7,2,FALSE)*VLOOKUP(Sheet1!$A2507,Sheet2!$B$5:$H$29,6,FALSE),0)</x:f>
        <x:v>147</x:v>
      </x:c>
      <x:c r="H2507">
        <x:f>ROUND($C2507*10*VLOOKUP($B2507,Sheet2!$J$5:$K$7,2,FALSE)*VLOOKUP(Sheet1!$A2507,Sheet2!$B$5:$H$29,7,FALSE),0)</x:f>
        <x:v>0</x:v>
      </x:c>
      <x:c r="I2507">
        <x:f t="shared" si="41"/>
        <x:v>119260</x:v>
      </x:c>
    </x:row>
    <x:row r="2508" spans="1:9" x14ac:dyDescent="0.15">
      <x:c r="A2508">
        <x:v>54104</x:v>
      </x:c>
      <x:c r="B2508">
        <x:v>3</x:v>
      </x:c>
      <x:c r="C2508">
        <x:v>47</x:v>
      </x:c>
      <x:c r="D2508">
        <x:f>ROUND($C2508*10*VLOOKUP($B2508,Sheet2!$J$5:$K$7,2,FALSE)*VLOOKUP(Sheet1!$A2508,Sheet2!$B$5:$H$29,3,FALSE),0)</x:f>
        <x:v>0</x:v>
      </x:c>
      <x:c r="E2508">
        <x:f>ROUND($C2508*10*VLOOKUP($B2508,Sheet2!$J$5:$K$7,2,FALSE)*VLOOKUP(Sheet1!$A2508,Sheet2!$B$5:$H$29,4,FALSE),0)</x:f>
        <x:v>0</x:v>
      </x:c>
      <x:c r="F2508">
        <x:f>ROUND($C2508*10*VLOOKUP($B2508,Sheet2!$J$5:$K$7,2,FALSE)*VLOOKUP(Sheet1!$A2508,Sheet2!$B$5:$H$29,5,FALSE),0)</x:f>
        <x:v>451</x:v>
      </x:c>
      <x:c r="G2508">
        <x:f>ROUND($C2508*10*VLOOKUP($B2508,Sheet2!$J$5:$K$7,2,FALSE)*VLOOKUP(Sheet1!$A2508,Sheet2!$B$5:$H$29,6,FALSE),0)</x:f>
        <x:v>150</x:v>
      </x:c>
      <x:c r="H2508">
        <x:f>ROUND($C2508*10*VLOOKUP($B2508,Sheet2!$J$5:$K$7,2,FALSE)*VLOOKUP(Sheet1!$A2508,Sheet2!$B$5:$H$29,7,FALSE),0)</x:f>
        <x:v>0</x:v>
      </x:c>
      <x:c r="I2508">
        <x:f t="shared" si="41"/>
        <x:v>124070</x:v>
      </x:c>
    </x:row>
    <x:row r="2509" spans="1:9" x14ac:dyDescent="0.15">
      <x:c r="A2509">
        <x:v>54104</x:v>
      </x:c>
      <x:c r="B2509">
        <x:v>3</x:v>
      </x:c>
      <x:c r="C2509">
        <x:v>48</x:v>
      </x:c>
      <x:c r="D2509">
        <x:f>ROUND($C2509*10*VLOOKUP($B2509,Sheet2!$J$5:$K$7,2,FALSE)*VLOOKUP(Sheet1!$A2509,Sheet2!$B$5:$H$29,3,FALSE),0)</x:f>
        <x:v>0</x:v>
      </x:c>
      <x:c r="E2509">
        <x:f>ROUND($C2509*10*VLOOKUP($B2509,Sheet2!$J$5:$K$7,2,FALSE)*VLOOKUP(Sheet1!$A2509,Sheet2!$B$5:$H$29,4,FALSE),0)</x:f>
        <x:v>0</x:v>
      </x:c>
      <x:c r="F2509">
        <x:f>ROUND($C2509*10*VLOOKUP($B2509,Sheet2!$J$5:$K$7,2,FALSE)*VLOOKUP(Sheet1!$A2509,Sheet2!$B$5:$H$29,5,FALSE),0)</x:f>
        <x:v>461</x:v>
      </x:c>
      <x:c r="G2509">
        <x:f>ROUND($C2509*10*VLOOKUP($B2509,Sheet2!$J$5:$K$7,2,FALSE)*VLOOKUP(Sheet1!$A2509,Sheet2!$B$5:$H$29,6,FALSE),0)</x:f>
        <x:v>154</x:v>
      </x:c>
      <x:c r="H2509">
        <x:f>ROUND($C2509*10*VLOOKUP($B2509,Sheet2!$J$5:$K$7,2,FALSE)*VLOOKUP(Sheet1!$A2509,Sheet2!$B$5:$H$29,7,FALSE),0)</x:f>
        <x:v>0</x:v>
      </x:c>
      <x:c r="I2509">
        <x:f t="shared" si="41"/>
        <x:v>128960</x:v>
      </x:c>
    </x:row>
    <x:row r="2510" spans="1:9" x14ac:dyDescent="0.15">
      <x:c r="A2510">
        <x:v>54104</x:v>
      </x:c>
      <x:c r="B2510">
        <x:v>3</x:v>
      </x:c>
      <x:c r="C2510">
        <x:v>49</x:v>
      </x:c>
      <x:c r="D2510">
        <x:f>ROUND($C2510*10*VLOOKUP($B2510,Sheet2!$J$5:$K$7,2,FALSE)*VLOOKUP(Sheet1!$A2510,Sheet2!$B$5:$H$29,3,FALSE),0)</x:f>
        <x:v>0</x:v>
      </x:c>
      <x:c r="E2510">
        <x:f>ROUND($C2510*10*VLOOKUP($B2510,Sheet2!$J$5:$K$7,2,FALSE)*VLOOKUP(Sheet1!$A2510,Sheet2!$B$5:$H$29,4,FALSE),0)</x:f>
        <x:v>0</x:v>
      </x:c>
      <x:c r="F2510">
        <x:f>ROUND($C2510*10*VLOOKUP($B2510,Sheet2!$J$5:$K$7,2,FALSE)*VLOOKUP(Sheet1!$A2510,Sheet2!$B$5:$H$29,5,FALSE),0)</x:f>
        <x:v>470</x:v>
      </x:c>
      <x:c r="G2510">
        <x:f>ROUND($C2510*10*VLOOKUP($B2510,Sheet2!$J$5:$K$7,2,FALSE)*VLOOKUP(Sheet1!$A2510,Sheet2!$B$5:$H$29,6,FALSE),0)</x:f>
        <x:v>157</x:v>
      </x:c>
      <x:c r="H2510">
        <x:f>ROUND($C2510*10*VLOOKUP($B2510,Sheet2!$J$5:$K$7,2,FALSE)*VLOOKUP(Sheet1!$A2510,Sheet2!$B$5:$H$29,7,FALSE),0)</x:f>
        <x:v>0</x:v>
      </x:c>
      <x:c r="I2510">
        <x:f t="shared" si="41"/>
        <x:v>133940</x:v>
      </x:c>
    </x:row>
    <x:row r="2511" spans="1:9" x14ac:dyDescent="0.15">
      <x:c r="A2511">
        <x:v>54104</x:v>
      </x:c>
      <x:c r="B2511">
        <x:v>3</x:v>
      </x:c>
      <x:c r="C2511">
        <x:v>50</x:v>
      </x:c>
      <x:c r="D2511">
        <x:f>ROUND($C2511*10*VLOOKUP($B2511,Sheet2!$J$5:$K$7,2,FALSE)*VLOOKUP(Sheet1!$A2511,Sheet2!$B$5:$H$29,3,FALSE),0)</x:f>
        <x:v>0</x:v>
      </x:c>
      <x:c r="E2511">
        <x:f>ROUND($C2511*10*VLOOKUP($B2511,Sheet2!$J$5:$K$7,2,FALSE)*VLOOKUP(Sheet1!$A2511,Sheet2!$B$5:$H$29,4,FALSE),0)</x:f>
        <x:v>0</x:v>
      </x:c>
      <x:c r="F2511">
        <x:f>ROUND($C2511*10*VLOOKUP($B2511,Sheet2!$J$5:$K$7,2,FALSE)*VLOOKUP(Sheet1!$A2511,Sheet2!$B$5:$H$29,5,FALSE),0)</x:f>
        <x:v>480</x:v>
      </x:c>
      <x:c r="G2511">
        <x:f>ROUND($C2511*10*VLOOKUP($B2511,Sheet2!$J$5:$K$7,2,FALSE)*VLOOKUP(Sheet1!$A2511,Sheet2!$B$5:$H$29,6,FALSE),0)</x:f>
        <x:v>160</x:v>
      </x:c>
      <x:c r="H2511">
        <x:f>ROUND($C2511*10*VLOOKUP($B2511,Sheet2!$J$5:$K$7,2,FALSE)*VLOOKUP(Sheet1!$A2511,Sheet2!$B$5:$H$29,7,FALSE),0)</x:f>
        <x:v>0</x:v>
      </x:c>
      <x:c r="I2511">
        <x:f t="shared" si="41"/>
        <x:v>139000</x:v>
      </x:c>
    </x:row>
    <x:row r="2512" spans="1:9" x14ac:dyDescent="0.15">
      <x:c r="A2512">
        <x:v>54104</x:v>
      </x:c>
      <x:c r="B2512">
        <x:v>3</x:v>
      </x:c>
      <x:c r="C2512">
        <x:v>51</x:v>
      </x:c>
      <x:c r="D2512">
        <x:f>ROUND($C2512*10*VLOOKUP($B2512,Sheet2!$J$5:$K$7,2,FALSE)*VLOOKUP(Sheet1!$A2512,Sheet2!$B$5:$H$29,3,FALSE),0)</x:f>
        <x:v>0</x:v>
      </x:c>
      <x:c r="E2512">
        <x:f>ROUND($C2512*10*VLOOKUP($B2512,Sheet2!$J$5:$K$7,2,FALSE)*VLOOKUP(Sheet1!$A2512,Sheet2!$B$5:$H$29,4,FALSE),0)</x:f>
        <x:v>0</x:v>
      </x:c>
      <x:c r="F2512">
        <x:f>ROUND($C2512*10*VLOOKUP($B2512,Sheet2!$J$5:$K$7,2,FALSE)*VLOOKUP(Sheet1!$A2512,Sheet2!$B$5:$H$29,5,FALSE),0)</x:f>
        <x:v>490</x:v>
      </x:c>
      <x:c r="G2512">
        <x:f>ROUND($C2512*10*VLOOKUP($B2512,Sheet2!$J$5:$K$7,2,FALSE)*VLOOKUP(Sheet1!$A2512,Sheet2!$B$5:$H$29,6,FALSE),0)</x:f>
        <x:v>163</x:v>
      </x:c>
      <x:c r="H2512">
        <x:f>ROUND($C2512*10*VLOOKUP($B2512,Sheet2!$J$5:$K$7,2,FALSE)*VLOOKUP(Sheet1!$A2512,Sheet2!$B$5:$H$29,7,FALSE),0)</x:f>
        <x:v>0</x:v>
      </x:c>
      <x:c r="I2512">
        <x:f t="shared" si="41"/>
        <x:v>144140</x:v>
      </x:c>
    </x:row>
    <x:row r="2513" spans="1:9" x14ac:dyDescent="0.15">
      <x:c r="A2513">
        <x:v>54104</x:v>
      </x:c>
      <x:c r="B2513">
        <x:v>3</x:v>
      </x:c>
      <x:c r="C2513">
        <x:v>52</x:v>
      </x:c>
      <x:c r="D2513">
        <x:f>ROUND($C2513*10*VLOOKUP($B2513,Sheet2!$J$5:$K$7,2,FALSE)*VLOOKUP(Sheet1!$A2513,Sheet2!$B$5:$H$29,3,FALSE),0)</x:f>
        <x:v>0</x:v>
      </x:c>
      <x:c r="E2513">
        <x:f>ROUND($C2513*10*VLOOKUP($B2513,Sheet2!$J$5:$K$7,2,FALSE)*VLOOKUP(Sheet1!$A2513,Sheet2!$B$5:$H$29,4,FALSE),0)</x:f>
        <x:v>0</x:v>
      </x:c>
      <x:c r="F2513">
        <x:f>ROUND($C2513*10*VLOOKUP($B2513,Sheet2!$J$5:$K$7,2,FALSE)*VLOOKUP(Sheet1!$A2513,Sheet2!$B$5:$H$29,5,FALSE),0)</x:f>
        <x:v>499</x:v>
      </x:c>
      <x:c r="G2513">
        <x:f>ROUND($C2513*10*VLOOKUP($B2513,Sheet2!$J$5:$K$7,2,FALSE)*VLOOKUP(Sheet1!$A2513,Sheet2!$B$5:$H$29,6,FALSE),0)</x:f>
        <x:v>166</x:v>
      </x:c>
      <x:c r="H2513">
        <x:f>ROUND($C2513*10*VLOOKUP($B2513,Sheet2!$J$5:$K$7,2,FALSE)*VLOOKUP(Sheet1!$A2513,Sheet2!$B$5:$H$29,7,FALSE),0)</x:f>
        <x:v>0</x:v>
      </x:c>
      <x:c r="I2513">
        <x:f t="shared" si="41"/>
        <x:v>149370</x:v>
      </x:c>
    </x:row>
    <x:row r="2514" spans="1:9" x14ac:dyDescent="0.15">
      <x:c r="A2514">
        <x:v>54104</x:v>
      </x:c>
      <x:c r="B2514">
        <x:v>3</x:v>
      </x:c>
      <x:c r="C2514">
        <x:v>53</x:v>
      </x:c>
      <x:c r="D2514">
        <x:f>ROUND($C2514*10*VLOOKUP($B2514,Sheet2!$J$5:$K$7,2,FALSE)*VLOOKUP(Sheet1!$A2514,Sheet2!$B$5:$H$29,3,FALSE),0)</x:f>
        <x:v>0</x:v>
      </x:c>
      <x:c r="E2514">
        <x:f>ROUND($C2514*10*VLOOKUP($B2514,Sheet2!$J$5:$K$7,2,FALSE)*VLOOKUP(Sheet1!$A2514,Sheet2!$B$5:$H$29,4,FALSE),0)</x:f>
        <x:v>0</x:v>
      </x:c>
      <x:c r="F2514">
        <x:f>ROUND($C2514*10*VLOOKUP($B2514,Sheet2!$J$5:$K$7,2,FALSE)*VLOOKUP(Sheet1!$A2514,Sheet2!$B$5:$H$29,5,FALSE),0)</x:f>
        <x:v>509</x:v>
      </x:c>
      <x:c r="G2514">
        <x:f>ROUND($C2514*10*VLOOKUP($B2514,Sheet2!$J$5:$K$7,2,FALSE)*VLOOKUP(Sheet1!$A2514,Sheet2!$B$5:$H$29,6,FALSE),0)</x:f>
        <x:v>170</x:v>
      </x:c>
      <x:c r="H2514">
        <x:f>ROUND($C2514*10*VLOOKUP($B2514,Sheet2!$J$5:$K$7,2,FALSE)*VLOOKUP(Sheet1!$A2514,Sheet2!$B$5:$H$29,7,FALSE),0)</x:f>
        <x:v>0</x:v>
      </x:c>
      <x:c r="I2514">
        <x:f t="shared" si="41"/>
        <x:v>154680</x:v>
      </x:c>
    </x:row>
    <x:row r="2515" spans="1:9" x14ac:dyDescent="0.15">
      <x:c r="A2515">
        <x:v>54104</x:v>
      </x:c>
      <x:c r="B2515">
        <x:v>3</x:v>
      </x:c>
      <x:c r="C2515">
        <x:v>54</x:v>
      </x:c>
      <x:c r="D2515">
        <x:f>ROUND($C2515*10*VLOOKUP($B2515,Sheet2!$J$5:$K$7,2,FALSE)*VLOOKUP(Sheet1!$A2515,Sheet2!$B$5:$H$29,3,FALSE),0)</x:f>
        <x:v>0</x:v>
      </x:c>
      <x:c r="E2515">
        <x:f>ROUND($C2515*10*VLOOKUP($B2515,Sheet2!$J$5:$K$7,2,FALSE)*VLOOKUP(Sheet1!$A2515,Sheet2!$B$5:$H$29,4,FALSE),0)</x:f>
        <x:v>0</x:v>
      </x:c>
      <x:c r="F2515">
        <x:f>ROUND($C2515*10*VLOOKUP($B2515,Sheet2!$J$5:$K$7,2,FALSE)*VLOOKUP(Sheet1!$A2515,Sheet2!$B$5:$H$29,5,FALSE),0)</x:f>
        <x:v>518</x:v>
      </x:c>
      <x:c r="G2515">
        <x:f>ROUND($C2515*10*VLOOKUP($B2515,Sheet2!$J$5:$K$7,2,FALSE)*VLOOKUP(Sheet1!$A2515,Sheet2!$B$5:$H$29,6,FALSE),0)</x:f>
        <x:v>173</x:v>
      </x:c>
      <x:c r="H2515">
        <x:f>ROUND($C2515*10*VLOOKUP($B2515,Sheet2!$J$5:$K$7,2,FALSE)*VLOOKUP(Sheet1!$A2515,Sheet2!$B$5:$H$29,7,FALSE),0)</x:f>
        <x:v>0</x:v>
      </x:c>
      <x:c r="I2515">
        <x:f t="shared" si="41"/>
        <x:v>160070</x:v>
      </x:c>
    </x:row>
    <x:row r="2516" spans="1:9" x14ac:dyDescent="0.15">
      <x:c r="A2516">
        <x:v>54104</x:v>
      </x:c>
      <x:c r="B2516">
        <x:v>3</x:v>
      </x:c>
      <x:c r="C2516">
        <x:v>55</x:v>
      </x:c>
      <x:c r="D2516">
        <x:f>ROUND($C2516*10*VLOOKUP($B2516,Sheet2!$J$5:$K$7,2,FALSE)*VLOOKUP(Sheet1!$A2516,Sheet2!$B$5:$H$29,3,FALSE),0)</x:f>
        <x:v>0</x:v>
      </x:c>
      <x:c r="E2516">
        <x:f>ROUND($C2516*10*VLOOKUP($B2516,Sheet2!$J$5:$K$7,2,FALSE)*VLOOKUP(Sheet1!$A2516,Sheet2!$B$5:$H$29,4,FALSE),0)</x:f>
        <x:v>0</x:v>
      </x:c>
      <x:c r="F2516">
        <x:f>ROUND($C2516*10*VLOOKUP($B2516,Sheet2!$J$5:$K$7,2,FALSE)*VLOOKUP(Sheet1!$A2516,Sheet2!$B$5:$H$29,5,FALSE),0)</x:f>
        <x:v>528</x:v>
      </x:c>
      <x:c r="G2516">
        <x:f>ROUND($C2516*10*VLOOKUP($B2516,Sheet2!$J$5:$K$7,2,FALSE)*VLOOKUP(Sheet1!$A2516,Sheet2!$B$5:$H$29,6,FALSE),0)</x:f>
        <x:v>176</x:v>
      </x:c>
      <x:c r="H2516">
        <x:f>ROUND($C2516*10*VLOOKUP($B2516,Sheet2!$J$5:$K$7,2,FALSE)*VLOOKUP(Sheet1!$A2516,Sheet2!$B$5:$H$29,7,FALSE),0)</x:f>
        <x:v>0</x:v>
      </x:c>
      <x:c r="I2516">
        <x:f t="shared" si="41"/>
        <x:v>165540</x:v>
      </x:c>
    </x:row>
    <x:row r="2517" spans="1:9" x14ac:dyDescent="0.15">
      <x:c r="A2517">
        <x:v>54104</x:v>
      </x:c>
      <x:c r="B2517">
        <x:v>3</x:v>
      </x:c>
      <x:c r="C2517">
        <x:v>56</x:v>
      </x:c>
      <x:c r="D2517">
        <x:f>ROUND($C2517*10*VLOOKUP($B2517,Sheet2!$J$5:$K$7,2,FALSE)*VLOOKUP(Sheet1!$A2517,Sheet2!$B$5:$H$29,3,FALSE),0)</x:f>
        <x:v>0</x:v>
      </x:c>
      <x:c r="E2517">
        <x:f>ROUND($C2517*10*VLOOKUP($B2517,Sheet2!$J$5:$K$7,2,FALSE)*VLOOKUP(Sheet1!$A2517,Sheet2!$B$5:$H$29,4,FALSE),0)</x:f>
        <x:v>0</x:v>
      </x:c>
      <x:c r="F2517">
        <x:f>ROUND($C2517*10*VLOOKUP($B2517,Sheet2!$J$5:$K$7,2,FALSE)*VLOOKUP(Sheet1!$A2517,Sheet2!$B$5:$H$29,5,FALSE),0)</x:f>
        <x:v>538</x:v>
      </x:c>
      <x:c r="G2517">
        <x:f>ROUND($C2517*10*VLOOKUP($B2517,Sheet2!$J$5:$K$7,2,FALSE)*VLOOKUP(Sheet1!$A2517,Sheet2!$B$5:$H$29,6,FALSE),0)</x:f>
        <x:v>179</x:v>
      </x:c>
      <x:c r="H2517">
        <x:f>ROUND($C2517*10*VLOOKUP($B2517,Sheet2!$J$5:$K$7,2,FALSE)*VLOOKUP(Sheet1!$A2517,Sheet2!$B$5:$H$29,7,FALSE),0)</x:f>
        <x:v>0</x:v>
      </x:c>
      <x:c r="I2517">
        <x:f t="shared" si="41"/>
        <x:v>171100</x:v>
      </x:c>
    </x:row>
    <x:row r="2518" spans="1:9" x14ac:dyDescent="0.15">
      <x:c r="A2518">
        <x:v>54104</x:v>
      </x:c>
      <x:c r="B2518">
        <x:v>3</x:v>
      </x:c>
      <x:c r="C2518">
        <x:v>57</x:v>
      </x:c>
      <x:c r="D2518">
        <x:f>ROUND($C2518*10*VLOOKUP($B2518,Sheet2!$J$5:$K$7,2,FALSE)*VLOOKUP(Sheet1!$A2518,Sheet2!$B$5:$H$29,3,FALSE),0)</x:f>
        <x:v>0</x:v>
      </x:c>
      <x:c r="E2518">
        <x:f>ROUND($C2518*10*VLOOKUP($B2518,Sheet2!$J$5:$K$7,2,FALSE)*VLOOKUP(Sheet1!$A2518,Sheet2!$B$5:$H$29,4,FALSE),0)</x:f>
        <x:v>0</x:v>
      </x:c>
      <x:c r="F2518">
        <x:f>ROUND($C2518*10*VLOOKUP($B2518,Sheet2!$J$5:$K$7,2,FALSE)*VLOOKUP(Sheet1!$A2518,Sheet2!$B$5:$H$29,5,FALSE),0)</x:f>
        <x:v>547</x:v>
      </x:c>
      <x:c r="G2518">
        <x:f>ROUND($C2518*10*VLOOKUP($B2518,Sheet2!$J$5:$K$7,2,FALSE)*VLOOKUP(Sheet1!$A2518,Sheet2!$B$5:$H$29,6,FALSE),0)</x:f>
        <x:v>182</x:v>
      </x:c>
      <x:c r="H2518">
        <x:f>ROUND($C2518*10*VLOOKUP($B2518,Sheet2!$J$5:$K$7,2,FALSE)*VLOOKUP(Sheet1!$A2518,Sheet2!$B$5:$H$29,7,FALSE),0)</x:f>
        <x:v>0</x:v>
      </x:c>
      <x:c r="I2518">
        <x:f t="shared" si="41"/>
        <x:v>176740</x:v>
      </x:c>
    </x:row>
    <x:row r="2519" spans="1:9" x14ac:dyDescent="0.15">
      <x:c r="A2519">
        <x:v>54104</x:v>
      </x:c>
      <x:c r="B2519">
        <x:v>3</x:v>
      </x:c>
      <x:c r="C2519">
        <x:v>58</x:v>
      </x:c>
      <x:c r="D2519">
        <x:f>ROUND($C2519*10*VLOOKUP($B2519,Sheet2!$J$5:$K$7,2,FALSE)*VLOOKUP(Sheet1!$A2519,Sheet2!$B$5:$H$29,3,FALSE),0)</x:f>
        <x:v>0</x:v>
      </x:c>
      <x:c r="E2519">
        <x:f>ROUND($C2519*10*VLOOKUP($B2519,Sheet2!$J$5:$K$7,2,FALSE)*VLOOKUP(Sheet1!$A2519,Sheet2!$B$5:$H$29,4,FALSE),0)</x:f>
        <x:v>0</x:v>
      </x:c>
      <x:c r="F2519">
        <x:f>ROUND($C2519*10*VLOOKUP($B2519,Sheet2!$J$5:$K$7,2,FALSE)*VLOOKUP(Sheet1!$A2519,Sheet2!$B$5:$H$29,5,FALSE),0)</x:f>
        <x:v>557</x:v>
      </x:c>
      <x:c r="G2519">
        <x:f>ROUND($C2519*10*VLOOKUP($B2519,Sheet2!$J$5:$K$7,2,FALSE)*VLOOKUP(Sheet1!$A2519,Sheet2!$B$5:$H$29,6,FALSE),0)</x:f>
        <x:v>186</x:v>
      </x:c>
      <x:c r="H2519">
        <x:f>ROUND($C2519*10*VLOOKUP($B2519,Sheet2!$J$5:$K$7,2,FALSE)*VLOOKUP(Sheet1!$A2519,Sheet2!$B$5:$H$29,7,FALSE),0)</x:f>
        <x:v>0</x:v>
      </x:c>
      <x:c r="I2519">
        <x:f t="shared" si="41"/>
        <x:v>182460</x:v>
      </x:c>
    </x:row>
    <x:row r="2520" spans="1:9" x14ac:dyDescent="0.15">
      <x:c r="A2520">
        <x:v>54104</x:v>
      </x:c>
      <x:c r="B2520">
        <x:v>3</x:v>
      </x:c>
      <x:c r="C2520">
        <x:v>59</x:v>
      </x:c>
      <x:c r="D2520">
        <x:f>ROUND($C2520*10*VLOOKUP($B2520,Sheet2!$J$5:$K$7,2,FALSE)*VLOOKUP(Sheet1!$A2520,Sheet2!$B$5:$H$29,3,FALSE),0)</x:f>
        <x:v>0</x:v>
      </x:c>
      <x:c r="E2520">
        <x:f>ROUND($C2520*10*VLOOKUP($B2520,Sheet2!$J$5:$K$7,2,FALSE)*VLOOKUP(Sheet1!$A2520,Sheet2!$B$5:$H$29,4,FALSE),0)</x:f>
        <x:v>0</x:v>
      </x:c>
      <x:c r="F2520">
        <x:f>ROUND($C2520*10*VLOOKUP($B2520,Sheet2!$J$5:$K$7,2,FALSE)*VLOOKUP(Sheet1!$A2520,Sheet2!$B$5:$H$29,5,FALSE),0)</x:f>
        <x:v>566</x:v>
      </x:c>
      <x:c r="G2520">
        <x:f>ROUND($C2520*10*VLOOKUP($B2520,Sheet2!$J$5:$K$7,2,FALSE)*VLOOKUP(Sheet1!$A2520,Sheet2!$B$5:$H$29,6,FALSE),0)</x:f>
        <x:v>189</x:v>
      </x:c>
      <x:c r="H2520">
        <x:f>ROUND($C2520*10*VLOOKUP($B2520,Sheet2!$J$5:$K$7,2,FALSE)*VLOOKUP(Sheet1!$A2520,Sheet2!$B$5:$H$29,7,FALSE),0)</x:f>
        <x:v>0</x:v>
      </x:c>
      <x:c r="I2520">
        <x:f t="shared" si="41"/>
        <x:v>188260</x:v>
      </x:c>
    </x:row>
    <x:row r="2521" spans="1:9" x14ac:dyDescent="0.15">
      <x:c r="A2521">
        <x:v>54104</x:v>
      </x:c>
      <x:c r="B2521">
        <x:v>3</x:v>
      </x:c>
      <x:c r="C2521">
        <x:v>60</x:v>
      </x:c>
      <x:c r="D2521">
        <x:f>ROUND($C2521*10*VLOOKUP($B2521,Sheet2!$J$5:$K$7,2,FALSE)*VLOOKUP(Sheet1!$A2521,Sheet2!$B$5:$H$29,3,FALSE),0)</x:f>
        <x:v>0</x:v>
      </x:c>
      <x:c r="E2521">
        <x:f>ROUND($C2521*10*VLOOKUP($B2521,Sheet2!$J$5:$K$7,2,FALSE)*VLOOKUP(Sheet1!$A2521,Sheet2!$B$5:$H$29,4,FALSE),0)</x:f>
        <x:v>0</x:v>
      </x:c>
      <x:c r="F2521">
        <x:f>ROUND($C2521*10*VLOOKUP($B2521,Sheet2!$J$5:$K$7,2,FALSE)*VLOOKUP(Sheet1!$A2521,Sheet2!$B$5:$H$29,5,FALSE),0)</x:f>
        <x:v>576</x:v>
      </x:c>
      <x:c r="G2521">
        <x:f>ROUND($C2521*10*VLOOKUP($B2521,Sheet2!$J$5:$K$7,2,FALSE)*VLOOKUP(Sheet1!$A2521,Sheet2!$B$5:$H$29,6,FALSE),0)</x:f>
        <x:v>192</x:v>
      </x:c>
      <x:c r="H2521">
        <x:f>ROUND($C2521*10*VLOOKUP($B2521,Sheet2!$J$5:$K$7,2,FALSE)*VLOOKUP(Sheet1!$A2521,Sheet2!$B$5:$H$29,7,FALSE),0)</x:f>
        <x:v>0</x:v>
      </x:c>
      <x:c r="I2521">
        <x:f t="shared" si="41"/>
        <x:v>194140</x:v>
      </x:c>
    </x:row>
    <x:row r="2522" spans="1:9" x14ac:dyDescent="0.15">
      <x:c r="A2522">
        <x:v>54105</x:v>
      </x:c>
      <x:c r="B2522">
        <x:v>1</x:v>
      </x:c>
      <x:c r="C2522">
        <x:v>1</x:v>
      </x:c>
      <x:c r="D2522">
        <x:f>ROUND($C2522*10*VLOOKUP($B2522,Sheet2!$J$5:$K$7,2,FALSE)*VLOOKUP(Sheet1!$A2522,Sheet2!$B$5:$H$29,3,FALSE),0)</x:f>
        <x:v>0</x:v>
      </x:c>
      <x:c r="E2522">
        <x:f>ROUND($C2522*10*VLOOKUP($B2522,Sheet2!$J$5:$K$7,2,FALSE)*VLOOKUP(Sheet1!$A2522,Sheet2!$B$5:$H$29,4,FALSE),0)</x:f>
        <x:v>0</x:v>
      </x:c>
      <x:c r="F2522">
        <x:f>ROUND($C2522*10*VLOOKUP($B2522,Sheet2!$J$5:$K$7,2,FALSE)*VLOOKUP(Sheet1!$A2522,Sheet2!$B$5:$H$29,5,FALSE),0)</x:f>
        <x:v>5</x:v>
      </x:c>
      <x:c r="G2522">
        <x:f>ROUND($C2522*10*VLOOKUP($B2522,Sheet2!$J$5:$K$7,2,FALSE)*VLOOKUP(Sheet1!$A2522,Sheet2!$B$5:$H$29,6,FALSE),0)</x:f>
        <x:v>0</x:v>
      </x:c>
      <x:c r="H2522">
        <x:f>ROUND($C2522*10*VLOOKUP($B2522,Sheet2!$J$5:$K$7,2,FALSE)*VLOOKUP(Sheet1!$A2522,Sheet2!$B$5:$H$29,7,FALSE),0)</x:f>
        <x:v>10</x:v>
      </x:c>
      <x:c r="I2522">
        <x:f t="shared" ref="I2522:I2581" si="42">ROUND(1.2*10*1.8*(C2522-1)^1.8+30,-1)</x:f>
        <x:v>30</x:v>
      </x:c>
    </x:row>
    <x:row r="2523" spans="1:9" x14ac:dyDescent="0.15">
      <x:c r="A2523">
        <x:v>54105</x:v>
      </x:c>
      <x:c r="B2523">
        <x:v>1</x:v>
      </x:c>
      <x:c r="C2523">
        <x:v>2</x:v>
      </x:c>
      <x:c r="D2523">
        <x:f>ROUND($C2523*10*VLOOKUP($B2523,Sheet2!$J$5:$K$7,2,FALSE)*VLOOKUP(Sheet1!$A2523,Sheet2!$B$5:$H$29,3,FALSE),0)</x:f>
        <x:v>0</x:v>
      </x:c>
      <x:c r="E2523">
        <x:f>ROUND($C2523*10*VLOOKUP($B2523,Sheet2!$J$5:$K$7,2,FALSE)*VLOOKUP(Sheet1!$A2523,Sheet2!$B$5:$H$29,4,FALSE),0)</x:f>
        <x:v>0</x:v>
      </x:c>
      <x:c r="F2523">
        <x:f>ROUND($C2523*10*VLOOKUP($B2523,Sheet2!$J$5:$K$7,2,FALSE)*VLOOKUP(Sheet1!$A2523,Sheet2!$B$5:$H$29,5,FALSE),0)</x:f>
        <x:v>10</x:v>
      </x:c>
      <x:c r="G2523">
        <x:f>ROUND($C2523*10*VLOOKUP($B2523,Sheet2!$J$5:$K$7,2,FALSE)*VLOOKUP(Sheet1!$A2523,Sheet2!$B$5:$H$29,6,FALSE),0)</x:f>
        <x:v>0</x:v>
      </x:c>
      <x:c r="H2523">
        <x:f>ROUND($C2523*10*VLOOKUP($B2523,Sheet2!$J$5:$K$7,2,FALSE)*VLOOKUP(Sheet1!$A2523,Sheet2!$B$5:$H$29,7,FALSE),0)</x:f>
        <x:v>20</x:v>
      </x:c>
      <x:c r="I2523">
        <x:f t="shared" si="42"/>
        <x:v>50</x:v>
      </x:c>
    </x:row>
    <x:row r="2524" spans="1:9" x14ac:dyDescent="0.15">
      <x:c r="A2524">
        <x:v>54105</x:v>
      </x:c>
      <x:c r="B2524">
        <x:v>1</x:v>
      </x:c>
      <x:c r="C2524">
        <x:v>3</x:v>
      </x:c>
      <x:c r="D2524">
        <x:f>ROUND($C2524*10*VLOOKUP($B2524,Sheet2!$J$5:$K$7,2,FALSE)*VLOOKUP(Sheet1!$A2524,Sheet2!$B$5:$H$29,3,FALSE),0)</x:f>
        <x:v>0</x:v>
      </x:c>
      <x:c r="E2524">
        <x:f>ROUND($C2524*10*VLOOKUP($B2524,Sheet2!$J$5:$K$7,2,FALSE)*VLOOKUP(Sheet1!$A2524,Sheet2!$B$5:$H$29,4,FALSE),0)</x:f>
        <x:v>0</x:v>
      </x:c>
      <x:c r="F2524">
        <x:f>ROUND($C2524*10*VLOOKUP($B2524,Sheet2!$J$5:$K$7,2,FALSE)*VLOOKUP(Sheet1!$A2524,Sheet2!$B$5:$H$29,5,FALSE),0)</x:f>
        <x:v>14</x:v>
      </x:c>
      <x:c r="G2524">
        <x:f>ROUND($C2524*10*VLOOKUP($B2524,Sheet2!$J$5:$K$7,2,FALSE)*VLOOKUP(Sheet1!$A2524,Sheet2!$B$5:$H$29,6,FALSE),0)</x:f>
        <x:v>0</x:v>
      </x:c>
      <x:c r="H2524">
        <x:f>ROUND($C2524*10*VLOOKUP($B2524,Sheet2!$J$5:$K$7,2,FALSE)*VLOOKUP(Sheet1!$A2524,Sheet2!$B$5:$H$29,7,FALSE),0)</x:f>
        <x:v>30</x:v>
      </x:c>
      <x:c r="I2524">
        <x:f t="shared" si="42"/>
        <x:v>110</x:v>
      </x:c>
    </x:row>
    <x:row r="2525" spans="1:9" x14ac:dyDescent="0.15">
      <x:c r="A2525">
        <x:v>54105</x:v>
      </x:c>
      <x:c r="B2525">
        <x:v>1</x:v>
      </x:c>
      <x:c r="C2525">
        <x:v>4</x:v>
      </x:c>
      <x:c r="D2525">
        <x:f>ROUND($C2525*10*VLOOKUP($B2525,Sheet2!$J$5:$K$7,2,FALSE)*VLOOKUP(Sheet1!$A2525,Sheet2!$B$5:$H$29,3,FALSE),0)</x:f>
        <x:v>0</x:v>
      </x:c>
      <x:c r="E2525">
        <x:f>ROUND($C2525*10*VLOOKUP($B2525,Sheet2!$J$5:$K$7,2,FALSE)*VLOOKUP(Sheet1!$A2525,Sheet2!$B$5:$H$29,4,FALSE),0)</x:f>
        <x:v>0</x:v>
      </x:c>
      <x:c r="F2525">
        <x:f>ROUND($C2525*10*VLOOKUP($B2525,Sheet2!$J$5:$K$7,2,FALSE)*VLOOKUP(Sheet1!$A2525,Sheet2!$B$5:$H$29,5,FALSE),0)</x:f>
        <x:v>19</x:v>
      </x:c>
      <x:c r="G2525">
        <x:f>ROUND($C2525*10*VLOOKUP($B2525,Sheet2!$J$5:$K$7,2,FALSE)*VLOOKUP(Sheet1!$A2525,Sheet2!$B$5:$H$29,6,FALSE),0)</x:f>
        <x:v>0</x:v>
      </x:c>
      <x:c r="H2525">
        <x:f>ROUND($C2525*10*VLOOKUP($B2525,Sheet2!$J$5:$K$7,2,FALSE)*VLOOKUP(Sheet1!$A2525,Sheet2!$B$5:$H$29,7,FALSE),0)</x:f>
        <x:v>40</x:v>
      </x:c>
      <x:c r="I2525">
        <x:f t="shared" si="42"/>
        <x:v>190</x:v>
      </x:c>
    </x:row>
    <x:row r="2526" spans="1:9" x14ac:dyDescent="0.15">
      <x:c r="A2526">
        <x:v>54105</x:v>
      </x:c>
      <x:c r="B2526">
        <x:v>1</x:v>
      </x:c>
      <x:c r="C2526">
        <x:v>5</x:v>
      </x:c>
      <x:c r="D2526">
        <x:f>ROUND($C2526*10*VLOOKUP($B2526,Sheet2!$J$5:$K$7,2,FALSE)*VLOOKUP(Sheet1!$A2526,Sheet2!$B$5:$H$29,3,FALSE),0)</x:f>
        <x:v>0</x:v>
      </x:c>
      <x:c r="E2526">
        <x:f>ROUND($C2526*10*VLOOKUP($B2526,Sheet2!$J$5:$K$7,2,FALSE)*VLOOKUP(Sheet1!$A2526,Sheet2!$B$5:$H$29,4,FALSE),0)</x:f>
        <x:v>0</x:v>
      </x:c>
      <x:c r="F2526">
        <x:f>ROUND($C2526*10*VLOOKUP($B2526,Sheet2!$J$5:$K$7,2,FALSE)*VLOOKUP(Sheet1!$A2526,Sheet2!$B$5:$H$29,5,FALSE),0)</x:f>
        <x:v>24</x:v>
      </x:c>
      <x:c r="G2526">
        <x:f>ROUND($C2526*10*VLOOKUP($B2526,Sheet2!$J$5:$K$7,2,FALSE)*VLOOKUP(Sheet1!$A2526,Sheet2!$B$5:$H$29,6,FALSE),0)</x:f>
        <x:v>0</x:v>
      </x:c>
      <x:c r="H2526">
        <x:f>ROUND($C2526*10*VLOOKUP($B2526,Sheet2!$J$5:$K$7,2,FALSE)*VLOOKUP(Sheet1!$A2526,Sheet2!$B$5:$H$29,7,FALSE),0)</x:f>
        <x:v>50</x:v>
      </x:c>
      <x:c r="I2526">
        <x:f t="shared" si="42"/>
        <x:v>290</x:v>
      </x:c>
    </x:row>
    <x:row r="2527" spans="1:9" x14ac:dyDescent="0.15">
      <x:c r="A2527">
        <x:v>54105</x:v>
      </x:c>
      <x:c r="B2527">
        <x:v>1</x:v>
      </x:c>
      <x:c r="C2527">
        <x:v>6</x:v>
      </x:c>
      <x:c r="D2527">
        <x:f>ROUND($C2527*10*VLOOKUP($B2527,Sheet2!$J$5:$K$7,2,FALSE)*VLOOKUP(Sheet1!$A2527,Sheet2!$B$5:$H$29,3,FALSE),0)</x:f>
        <x:v>0</x:v>
      </x:c>
      <x:c r="E2527">
        <x:f>ROUND($C2527*10*VLOOKUP($B2527,Sheet2!$J$5:$K$7,2,FALSE)*VLOOKUP(Sheet1!$A2527,Sheet2!$B$5:$H$29,4,FALSE),0)</x:f>
        <x:v>0</x:v>
      </x:c>
      <x:c r="F2527">
        <x:f>ROUND($C2527*10*VLOOKUP($B2527,Sheet2!$J$5:$K$7,2,FALSE)*VLOOKUP(Sheet1!$A2527,Sheet2!$B$5:$H$29,5,FALSE),0)</x:f>
        <x:v>29</x:v>
      </x:c>
      <x:c r="G2527">
        <x:f>ROUND($C2527*10*VLOOKUP($B2527,Sheet2!$J$5:$K$7,2,FALSE)*VLOOKUP(Sheet1!$A2527,Sheet2!$B$5:$H$29,6,FALSE),0)</x:f>
        <x:v>0</x:v>
      </x:c>
      <x:c r="H2527">
        <x:f>ROUND($C2527*10*VLOOKUP($B2527,Sheet2!$J$5:$K$7,2,FALSE)*VLOOKUP(Sheet1!$A2527,Sheet2!$B$5:$H$29,7,FALSE),0)</x:f>
        <x:v>60</x:v>
      </x:c>
      <x:c r="I2527">
        <x:f t="shared" si="42"/>
        <x:v>420</x:v>
      </x:c>
    </x:row>
    <x:row r="2528" spans="1:9" x14ac:dyDescent="0.15">
      <x:c r="A2528">
        <x:v>54105</x:v>
      </x:c>
      <x:c r="B2528">
        <x:v>1</x:v>
      </x:c>
      <x:c r="C2528">
        <x:v>7</x:v>
      </x:c>
      <x:c r="D2528">
        <x:f>ROUND($C2528*10*VLOOKUP($B2528,Sheet2!$J$5:$K$7,2,FALSE)*VLOOKUP(Sheet1!$A2528,Sheet2!$B$5:$H$29,3,FALSE),0)</x:f>
        <x:v>0</x:v>
      </x:c>
      <x:c r="E2528">
        <x:f>ROUND($C2528*10*VLOOKUP($B2528,Sheet2!$J$5:$K$7,2,FALSE)*VLOOKUP(Sheet1!$A2528,Sheet2!$B$5:$H$29,4,FALSE),0)</x:f>
        <x:v>0</x:v>
      </x:c>
      <x:c r="F2528">
        <x:f>ROUND($C2528*10*VLOOKUP($B2528,Sheet2!$J$5:$K$7,2,FALSE)*VLOOKUP(Sheet1!$A2528,Sheet2!$B$5:$H$29,5,FALSE),0)</x:f>
        <x:v>34</x:v>
      </x:c>
      <x:c r="G2528">
        <x:f>ROUND($C2528*10*VLOOKUP($B2528,Sheet2!$J$5:$K$7,2,FALSE)*VLOOKUP(Sheet1!$A2528,Sheet2!$B$5:$H$29,6,FALSE),0)</x:f>
        <x:v>0</x:v>
      </x:c>
      <x:c r="H2528">
        <x:f>ROUND($C2528*10*VLOOKUP($B2528,Sheet2!$J$5:$K$7,2,FALSE)*VLOOKUP(Sheet1!$A2528,Sheet2!$B$5:$H$29,7,FALSE),0)</x:f>
        <x:v>70</x:v>
      </x:c>
      <x:c r="I2528">
        <x:f t="shared" si="42"/>
        <x:v>570</x:v>
      </x:c>
    </x:row>
    <x:row r="2529" spans="1:9" x14ac:dyDescent="0.15">
      <x:c r="A2529">
        <x:v>54105</x:v>
      </x:c>
      <x:c r="B2529">
        <x:v>1</x:v>
      </x:c>
      <x:c r="C2529">
        <x:v>8</x:v>
      </x:c>
      <x:c r="D2529">
        <x:f>ROUND($C2529*10*VLOOKUP($B2529,Sheet2!$J$5:$K$7,2,FALSE)*VLOOKUP(Sheet1!$A2529,Sheet2!$B$5:$H$29,3,FALSE),0)</x:f>
        <x:v>0</x:v>
      </x:c>
      <x:c r="E2529">
        <x:f>ROUND($C2529*10*VLOOKUP($B2529,Sheet2!$J$5:$K$7,2,FALSE)*VLOOKUP(Sheet1!$A2529,Sheet2!$B$5:$H$29,4,FALSE),0)</x:f>
        <x:v>0</x:v>
      </x:c>
      <x:c r="F2529">
        <x:f>ROUND($C2529*10*VLOOKUP($B2529,Sheet2!$J$5:$K$7,2,FALSE)*VLOOKUP(Sheet1!$A2529,Sheet2!$B$5:$H$29,5,FALSE),0)</x:f>
        <x:v>38</x:v>
      </x:c>
      <x:c r="G2529">
        <x:f>ROUND($C2529*10*VLOOKUP($B2529,Sheet2!$J$5:$K$7,2,FALSE)*VLOOKUP(Sheet1!$A2529,Sheet2!$B$5:$H$29,6,FALSE),0)</x:f>
        <x:v>0</x:v>
      </x:c>
      <x:c r="H2529">
        <x:f>ROUND($C2529*10*VLOOKUP($B2529,Sheet2!$J$5:$K$7,2,FALSE)*VLOOKUP(Sheet1!$A2529,Sheet2!$B$5:$H$29,7,FALSE),0)</x:f>
        <x:v>80</x:v>
      </x:c>
      <x:c r="I2529">
        <x:f t="shared" si="42"/>
        <x:v>750</x:v>
      </x:c>
    </x:row>
    <x:row r="2530" spans="1:9" x14ac:dyDescent="0.15">
      <x:c r="A2530">
        <x:v>54105</x:v>
      </x:c>
      <x:c r="B2530">
        <x:v>1</x:v>
      </x:c>
      <x:c r="C2530">
        <x:v>9</x:v>
      </x:c>
      <x:c r="D2530">
        <x:f>ROUND($C2530*10*VLOOKUP($B2530,Sheet2!$J$5:$K$7,2,FALSE)*VLOOKUP(Sheet1!$A2530,Sheet2!$B$5:$H$29,3,FALSE),0)</x:f>
        <x:v>0</x:v>
      </x:c>
      <x:c r="E2530">
        <x:f>ROUND($C2530*10*VLOOKUP($B2530,Sheet2!$J$5:$K$7,2,FALSE)*VLOOKUP(Sheet1!$A2530,Sheet2!$B$5:$H$29,4,FALSE),0)</x:f>
        <x:v>0</x:v>
      </x:c>
      <x:c r="F2530">
        <x:f>ROUND($C2530*10*VLOOKUP($B2530,Sheet2!$J$5:$K$7,2,FALSE)*VLOOKUP(Sheet1!$A2530,Sheet2!$B$5:$H$29,5,FALSE),0)</x:f>
        <x:v>43</x:v>
      </x:c>
      <x:c r="G2530">
        <x:f>ROUND($C2530*10*VLOOKUP($B2530,Sheet2!$J$5:$K$7,2,FALSE)*VLOOKUP(Sheet1!$A2530,Sheet2!$B$5:$H$29,6,FALSE),0)</x:f>
        <x:v>0</x:v>
      </x:c>
      <x:c r="H2530">
        <x:f>ROUND($C2530*10*VLOOKUP($B2530,Sheet2!$J$5:$K$7,2,FALSE)*VLOOKUP(Sheet1!$A2530,Sheet2!$B$5:$H$29,7,FALSE),0)</x:f>
        <x:v>90</x:v>
      </x:c>
      <x:c r="I2530">
        <x:f t="shared" si="42"/>
        <x:v>940</x:v>
      </x:c>
    </x:row>
    <x:row r="2531" spans="1:9" x14ac:dyDescent="0.15">
      <x:c r="A2531">
        <x:v>54105</x:v>
      </x:c>
      <x:c r="B2531">
        <x:v>1</x:v>
      </x:c>
      <x:c r="C2531">
        <x:v>10</x:v>
      </x:c>
      <x:c r="D2531">
        <x:f>ROUND($C2531*10*VLOOKUP($B2531,Sheet2!$J$5:$K$7,2,FALSE)*VLOOKUP(Sheet1!$A2531,Sheet2!$B$5:$H$29,3,FALSE),0)</x:f>
        <x:v>0</x:v>
      </x:c>
      <x:c r="E2531">
        <x:f>ROUND($C2531*10*VLOOKUP($B2531,Sheet2!$J$5:$K$7,2,FALSE)*VLOOKUP(Sheet1!$A2531,Sheet2!$B$5:$H$29,4,FALSE),0)</x:f>
        <x:v>0</x:v>
      </x:c>
      <x:c r="F2531">
        <x:f>ROUND($C2531*10*VLOOKUP($B2531,Sheet2!$J$5:$K$7,2,FALSE)*VLOOKUP(Sheet1!$A2531,Sheet2!$B$5:$H$29,5,FALSE),0)</x:f>
        <x:v>48</x:v>
      </x:c>
      <x:c r="G2531">
        <x:f>ROUND($C2531*10*VLOOKUP($B2531,Sheet2!$J$5:$K$7,2,FALSE)*VLOOKUP(Sheet1!$A2531,Sheet2!$B$5:$H$29,6,FALSE),0)</x:f>
        <x:v>0</x:v>
      </x:c>
      <x:c r="H2531">
        <x:f>ROUND($C2531*10*VLOOKUP($B2531,Sheet2!$J$5:$K$7,2,FALSE)*VLOOKUP(Sheet1!$A2531,Sheet2!$B$5:$H$29,7,FALSE),0)</x:f>
        <x:v>100</x:v>
      </x:c>
      <x:c r="I2531">
        <x:f t="shared" si="42"/>
        <x:v>1160</x:v>
      </x:c>
    </x:row>
    <x:row r="2532" spans="1:9" x14ac:dyDescent="0.15">
      <x:c r="A2532">
        <x:v>54105</x:v>
      </x:c>
      <x:c r="B2532">
        <x:v>1</x:v>
      </x:c>
      <x:c r="C2532">
        <x:v>11</x:v>
      </x:c>
      <x:c r="D2532">
        <x:f>ROUND($C2532*10*VLOOKUP($B2532,Sheet2!$J$5:$K$7,2,FALSE)*VLOOKUP(Sheet1!$A2532,Sheet2!$B$5:$H$29,3,FALSE),0)</x:f>
        <x:v>0</x:v>
      </x:c>
      <x:c r="E2532">
        <x:f>ROUND($C2532*10*VLOOKUP($B2532,Sheet2!$J$5:$K$7,2,FALSE)*VLOOKUP(Sheet1!$A2532,Sheet2!$B$5:$H$29,4,FALSE),0)</x:f>
        <x:v>0</x:v>
      </x:c>
      <x:c r="F2532">
        <x:f>ROUND($C2532*10*VLOOKUP($B2532,Sheet2!$J$5:$K$7,2,FALSE)*VLOOKUP(Sheet1!$A2532,Sheet2!$B$5:$H$29,5,FALSE),0)</x:f>
        <x:v>53</x:v>
      </x:c>
      <x:c r="G2532">
        <x:f>ROUND($C2532*10*VLOOKUP($B2532,Sheet2!$J$5:$K$7,2,FALSE)*VLOOKUP(Sheet1!$A2532,Sheet2!$B$5:$H$29,6,FALSE),0)</x:f>
        <x:v>0</x:v>
      </x:c>
      <x:c r="H2532">
        <x:f>ROUND($C2532*10*VLOOKUP($B2532,Sheet2!$J$5:$K$7,2,FALSE)*VLOOKUP(Sheet1!$A2532,Sheet2!$B$5:$H$29,7,FALSE),0)</x:f>
        <x:v>110</x:v>
      </x:c>
      <x:c r="I2532">
        <x:f t="shared" si="42"/>
        <x:v>1390</x:v>
      </x:c>
    </x:row>
    <x:row r="2533" spans="1:9" x14ac:dyDescent="0.15">
      <x:c r="A2533">
        <x:v>54105</x:v>
      </x:c>
      <x:c r="B2533">
        <x:v>1</x:v>
      </x:c>
      <x:c r="C2533">
        <x:v>12</x:v>
      </x:c>
      <x:c r="D2533">
        <x:f>ROUND($C2533*10*VLOOKUP($B2533,Sheet2!$J$5:$K$7,2,FALSE)*VLOOKUP(Sheet1!$A2533,Sheet2!$B$5:$H$29,3,FALSE),0)</x:f>
        <x:v>0</x:v>
      </x:c>
      <x:c r="E2533">
        <x:f>ROUND($C2533*10*VLOOKUP($B2533,Sheet2!$J$5:$K$7,2,FALSE)*VLOOKUP(Sheet1!$A2533,Sheet2!$B$5:$H$29,4,FALSE),0)</x:f>
        <x:v>0</x:v>
      </x:c>
      <x:c r="F2533">
        <x:f>ROUND($C2533*10*VLOOKUP($B2533,Sheet2!$J$5:$K$7,2,FALSE)*VLOOKUP(Sheet1!$A2533,Sheet2!$B$5:$H$29,5,FALSE),0)</x:f>
        <x:v>58</x:v>
      </x:c>
      <x:c r="G2533">
        <x:f>ROUND($C2533*10*VLOOKUP($B2533,Sheet2!$J$5:$K$7,2,FALSE)*VLOOKUP(Sheet1!$A2533,Sheet2!$B$5:$H$29,6,FALSE),0)</x:f>
        <x:v>0</x:v>
      </x:c>
      <x:c r="H2533">
        <x:f>ROUND($C2533*10*VLOOKUP($B2533,Sheet2!$J$5:$K$7,2,FALSE)*VLOOKUP(Sheet1!$A2533,Sheet2!$B$5:$H$29,7,FALSE),0)</x:f>
        <x:v>120</x:v>
      </x:c>
      <x:c r="I2533">
        <x:f t="shared" si="42"/>
        <x:v>1650</x:v>
      </x:c>
    </x:row>
    <x:row r="2534" spans="1:9" x14ac:dyDescent="0.15">
      <x:c r="A2534">
        <x:v>54105</x:v>
      </x:c>
      <x:c r="B2534">
        <x:v>1</x:v>
      </x:c>
      <x:c r="C2534">
        <x:v>13</x:v>
      </x:c>
      <x:c r="D2534">
        <x:f>ROUND($C2534*10*VLOOKUP($B2534,Sheet2!$J$5:$K$7,2,FALSE)*VLOOKUP(Sheet1!$A2534,Sheet2!$B$5:$H$29,3,FALSE),0)</x:f>
        <x:v>0</x:v>
      </x:c>
      <x:c r="E2534">
        <x:f>ROUND($C2534*10*VLOOKUP($B2534,Sheet2!$J$5:$K$7,2,FALSE)*VLOOKUP(Sheet1!$A2534,Sheet2!$B$5:$H$29,4,FALSE),0)</x:f>
        <x:v>0</x:v>
      </x:c>
      <x:c r="F2534">
        <x:f>ROUND($C2534*10*VLOOKUP($B2534,Sheet2!$J$5:$K$7,2,FALSE)*VLOOKUP(Sheet1!$A2534,Sheet2!$B$5:$H$29,5,FALSE),0)</x:f>
        <x:v>62</x:v>
      </x:c>
      <x:c r="G2534">
        <x:f>ROUND($C2534*10*VLOOKUP($B2534,Sheet2!$J$5:$K$7,2,FALSE)*VLOOKUP(Sheet1!$A2534,Sheet2!$B$5:$H$29,6,FALSE),0)</x:f>
        <x:v>0</x:v>
      </x:c>
      <x:c r="H2534">
        <x:f>ROUND($C2534*10*VLOOKUP($B2534,Sheet2!$J$5:$K$7,2,FALSE)*VLOOKUP(Sheet1!$A2534,Sheet2!$B$5:$H$29,7,FALSE),0)</x:f>
        <x:v>130</x:v>
      </x:c>
      <x:c r="I2534">
        <x:f t="shared" si="42"/>
        <x:v>1920</x:v>
      </x:c>
    </x:row>
    <x:row r="2535" spans="1:9" x14ac:dyDescent="0.15">
      <x:c r="A2535">
        <x:v>54105</x:v>
      </x:c>
      <x:c r="B2535">
        <x:v>1</x:v>
      </x:c>
      <x:c r="C2535">
        <x:v>14</x:v>
      </x:c>
      <x:c r="D2535">
        <x:f>ROUND($C2535*10*VLOOKUP($B2535,Sheet2!$J$5:$K$7,2,FALSE)*VLOOKUP(Sheet1!$A2535,Sheet2!$B$5:$H$29,3,FALSE),0)</x:f>
        <x:v>0</x:v>
      </x:c>
      <x:c r="E2535">
        <x:f>ROUND($C2535*10*VLOOKUP($B2535,Sheet2!$J$5:$K$7,2,FALSE)*VLOOKUP(Sheet1!$A2535,Sheet2!$B$5:$H$29,4,FALSE),0)</x:f>
        <x:v>0</x:v>
      </x:c>
      <x:c r="F2535">
        <x:f>ROUND($C2535*10*VLOOKUP($B2535,Sheet2!$J$5:$K$7,2,FALSE)*VLOOKUP(Sheet1!$A2535,Sheet2!$B$5:$H$29,5,FALSE),0)</x:f>
        <x:v>67</x:v>
      </x:c>
      <x:c r="G2535">
        <x:f>ROUND($C2535*10*VLOOKUP($B2535,Sheet2!$J$5:$K$7,2,FALSE)*VLOOKUP(Sheet1!$A2535,Sheet2!$B$5:$H$29,6,FALSE),0)</x:f>
        <x:v>0</x:v>
      </x:c>
      <x:c r="H2535">
        <x:f>ROUND($C2535*10*VLOOKUP($B2535,Sheet2!$J$5:$K$7,2,FALSE)*VLOOKUP(Sheet1!$A2535,Sheet2!$B$5:$H$29,7,FALSE),0)</x:f>
        <x:v>140</x:v>
      </x:c>
      <x:c r="I2535">
        <x:f t="shared" si="42"/>
        <x:v>2220</x:v>
      </x:c>
    </x:row>
    <x:row r="2536" spans="1:9" x14ac:dyDescent="0.15">
      <x:c r="A2536">
        <x:v>54105</x:v>
      </x:c>
      <x:c r="B2536">
        <x:v>1</x:v>
      </x:c>
      <x:c r="C2536">
        <x:v>15</x:v>
      </x:c>
      <x:c r="D2536">
        <x:f>ROUND($C2536*10*VLOOKUP($B2536,Sheet2!$J$5:$K$7,2,FALSE)*VLOOKUP(Sheet1!$A2536,Sheet2!$B$5:$H$29,3,FALSE),0)</x:f>
        <x:v>0</x:v>
      </x:c>
      <x:c r="E2536">
        <x:f>ROUND($C2536*10*VLOOKUP($B2536,Sheet2!$J$5:$K$7,2,FALSE)*VLOOKUP(Sheet1!$A2536,Sheet2!$B$5:$H$29,4,FALSE),0)</x:f>
        <x:v>0</x:v>
      </x:c>
      <x:c r="F2536">
        <x:f>ROUND($C2536*10*VLOOKUP($B2536,Sheet2!$J$5:$K$7,2,FALSE)*VLOOKUP(Sheet1!$A2536,Sheet2!$B$5:$H$29,5,FALSE),0)</x:f>
        <x:v>72</x:v>
      </x:c>
      <x:c r="G2536">
        <x:f>ROUND($C2536*10*VLOOKUP($B2536,Sheet2!$J$5:$K$7,2,FALSE)*VLOOKUP(Sheet1!$A2536,Sheet2!$B$5:$H$29,6,FALSE),0)</x:f>
        <x:v>0</x:v>
      </x:c>
      <x:c r="H2536">
        <x:f>ROUND($C2536*10*VLOOKUP($B2536,Sheet2!$J$5:$K$7,2,FALSE)*VLOOKUP(Sheet1!$A2536,Sheet2!$B$5:$H$29,7,FALSE),0)</x:f>
        <x:v>150</x:v>
      </x:c>
      <x:c r="I2536">
        <x:f t="shared" si="42"/>
        <x:v>2530</x:v>
      </x:c>
    </x:row>
    <x:row r="2537" spans="1:9" x14ac:dyDescent="0.15">
      <x:c r="A2537">
        <x:v>54105</x:v>
      </x:c>
      <x:c r="B2537">
        <x:v>1</x:v>
      </x:c>
      <x:c r="C2537">
        <x:v>16</x:v>
      </x:c>
      <x:c r="D2537">
        <x:f>ROUND($C2537*10*VLOOKUP($B2537,Sheet2!$J$5:$K$7,2,FALSE)*VLOOKUP(Sheet1!$A2537,Sheet2!$B$5:$H$29,3,FALSE),0)</x:f>
        <x:v>0</x:v>
      </x:c>
      <x:c r="E2537">
        <x:f>ROUND($C2537*10*VLOOKUP($B2537,Sheet2!$J$5:$K$7,2,FALSE)*VLOOKUP(Sheet1!$A2537,Sheet2!$B$5:$H$29,4,FALSE),0)</x:f>
        <x:v>0</x:v>
      </x:c>
      <x:c r="F2537">
        <x:f>ROUND($C2537*10*VLOOKUP($B2537,Sheet2!$J$5:$K$7,2,FALSE)*VLOOKUP(Sheet1!$A2537,Sheet2!$B$5:$H$29,5,FALSE),0)</x:f>
        <x:v>77</x:v>
      </x:c>
      <x:c r="G2537">
        <x:f>ROUND($C2537*10*VLOOKUP($B2537,Sheet2!$J$5:$K$7,2,FALSE)*VLOOKUP(Sheet1!$A2537,Sheet2!$B$5:$H$29,6,FALSE),0)</x:f>
        <x:v>0</x:v>
      </x:c>
      <x:c r="H2537">
        <x:f>ROUND($C2537*10*VLOOKUP($B2537,Sheet2!$J$5:$K$7,2,FALSE)*VLOOKUP(Sheet1!$A2537,Sheet2!$B$5:$H$29,7,FALSE),0)</x:f>
        <x:v>160</x:v>
      </x:c>
      <x:c r="I2537">
        <x:f t="shared" si="42"/>
        <x:v>2860</x:v>
      </x:c>
    </x:row>
    <x:row r="2538" spans="1:9" x14ac:dyDescent="0.15">
      <x:c r="A2538">
        <x:v>54105</x:v>
      </x:c>
      <x:c r="B2538">
        <x:v>1</x:v>
      </x:c>
      <x:c r="C2538">
        <x:v>17</x:v>
      </x:c>
      <x:c r="D2538">
        <x:f>ROUND($C2538*10*VLOOKUP($B2538,Sheet2!$J$5:$K$7,2,FALSE)*VLOOKUP(Sheet1!$A2538,Sheet2!$B$5:$H$29,3,FALSE),0)</x:f>
        <x:v>0</x:v>
      </x:c>
      <x:c r="E2538">
        <x:f>ROUND($C2538*10*VLOOKUP($B2538,Sheet2!$J$5:$K$7,2,FALSE)*VLOOKUP(Sheet1!$A2538,Sheet2!$B$5:$H$29,4,FALSE),0)</x:f>
        <x:v>0</x:v>
      </x:c>
      <x:c r="F2538">
        <x:f>ROUND($C2538*10*VLOOKUP($B2538,Sheet2!$J$5:$K$7,2,FALSE)*VLOOKUP(Sheet1!$A2538,Sheet2!$B$5:$H$29,5,FALSE),0)</x:f>
        <x:v>82</x:v>
      </x:c>
      <x:c r="G2538">
        <x:f>ROUND($C2538*10*VLOOKUP($B2538,Sheet2!$J$5:$K$7,2,FALSE)*VLOOKUP(Sheet1!$A2538,Sheet2!$B$5:$H$29,6,FALSE),0)</x:f>
        <x:v>0</x:v>
      </x:c>
      <x:c r="H2538">
        <x:f>ROUND($C2538*10*VLOOKUP($B2538,Sheet2!$J$5:$K$7,2,FALSE)*VLOOKUP(Sheet1!$A2538,Sheet2!$B$5:$H$29,7,FALSE),0)</x:f>
        <x:v>170</x:v>
      </x:c>
      <x:c r="I2538">
        <x:f t="shared" si="42"/>
        <x:v>3210</x:v>
      </x:c>
    </x:row>
    <x:row r="2539" spans="1:9" x14ac:dyDescent="0.15">
      <x:c r="A2539">
        <x:v>54105</x:v>
      </x:c>
      <x:c r="B2539">
        <x:v>1</x:v>
      </x:c>
      <x:c r="C2539">
        <x:v>18</x:v>
      </x:c>
      <x:c r="D2539">
        <x:f>ROUND($C2539*10*VLOOKUP($B2539,Sheet2!$J$5:$K$7,2,FALSE)*VLOOKUP(Sheet1!$A2539,Sheet2!$B$5:$H$29,3,FALSE),0)</x:f>
        <x:v>0</x:v>
      </x:c>
      <x:c r="E2539">
        <x:f>ROUND($C2539*10*VLOOKUP($B2539,Sheet2!$J$5:$K$7,2,FALSE)*VLOOKUP(Sheet1!$A2539,Sheet2!$B$5:$H$29,4,FALSE),0)</x:f>
        <x:v>0</x:v>
      </x:c>
      <x:c r="F2539">
        <x:f>ROUND($C2539*10*VLOOKUP($B2539,Sheet2!$J$5:$K$7,2,FALSE)*VLOOKUP(Sheet1!$A2539,Sheet2!$B$5:$H$29,5,FALSE),0)</x:f>
        <x:v>86</x:v>
      </x:c>
      <x:c r="G2539">
        <x:f>ROUND($C2539*10*VLOOKUP($B2539,Sheet2!$J$5:$K$7,2,FALSE)*VLOOKUP(Sheet1!$A2539,Sheet2!$B$5:$H$29,6,FALSE),0)</x:f>
        <x:v>0</x:v>
      </x:c>
      <x:c r="H2539">
        <x:f>ROUND($C2539*10*VLOOKUP($B2539,Sheet2!$J$5:$K$7,2,FALSE)*VLOOKUP(Sheet1!$A2539,Sheet2!$B$5:$H$29,7,FALSE),0)</x:f>
        <x:v>180</x:v>
      </x:c>
      <x:c r="I2539">
        <x:f t="shared" si="42"/>
        <x:v>3570</x:v>
      </x:c>
    </x:row>
    <x:row r="2540" spans="1:9" x14ac:dyDescent="0.15">
      <x:c r="A2540">
        <x:v>54105</x:v>
      </x:c>
      <x:c r="B2540">
        <x:v>1</x:v>
      </x:c>
      <x:c r="C2540">
        <x:v>19</x:v>
      </x:c>
      <x:c r="D2540">
        <x:f>ROUND($C2540*10*VLOOKUP($B2540,Sheet2!$J$5:$K$7,2,FALSE)*VLOOKUP(Sheet1!$A2540,Sheet2!$B$5:$H$29,3,FALSE),0)</x:f>
        <x:v>0</x:v>
      </x:c>
      <x:c r="E2540">
        <x:f>ROUND($C2540*10*VLOOKUP($B2540,Sheet2!$J$5:$K$7,2,FALSE)*VLOOKUP(Sheet1!$A2540,Sheet2!$B$5:$H$29,4,FALSE),0)</x:f>
        <x:v>0</x:v>
      </x:c>
      <x:c r="F2540">
        <x:f>ROUND($C2540*10*VLOOKUP($B2540,Sheet2!$J$5:$K$7,2,FALSE)*VLOOKUP(Sheet1!$A2540,Sheet2!$B$5:$H$29,5,FALSE),0)</x:f>
        <x:v>91</x:v>
      </x:c>
      <x:c r="G2540">
        <x:f>ROUND($C2540*10*VLOOKUP($B2540,Sheet2!$J$5:$K$7,2,FALSE)*VLOOKUP(Sheet1!$A2540,Sheet2!$B$5:$H$29,6,FALSE),0)</x:f>
        <x:v>0</x:v>
      </x:c>
      <x:c r="H2540">
        <x:f>ROUND($C2540*10*VLOOKUP($B2540,Sheet2!$J$5:$K$7,2,FALSE)*VLOOKUP(Sheet1!$A2540,Sheet2!$B$5:$H$29,7,FALSE),0)</x:f>
        <x:v>190</x:v>
      </x:c>
      <x:c r="I2540">
        <x:f t="shared" si="42"/>
        <x:v>3960</x:v>
      </x:c>
    </x:row>
    <x:row r="2541" spans="1:9" x14ac:dyDescent="0.15">
      <x:c r="A2541">
        <x:v>54105</x:v>
      </x:c>
      <x:c r="B2541">
        <x:v>1</x:v>
      </x:c>
      <x:c r="C2541">
        <x:v>20</x:v>
      </x:c>
      <x:c r="D2541">
        <x:f>ROUND($C2541*10*VLOOKUP($B2541,Sheet2!$J$5:$K$7,2,FALSE)*VLOOKUP(Sheet1!$A2541,Sheet2!$B$5:$H$29,3,FALSE),0)</x:f>
        <x:v>0</x:v>
      </x:c>
      <x:c r="E2541">
        <x:f>ROUND($C2541*10*VLOOKUP($B2541,Sheet2!$J$5:$K$7,2,FALSE)*VLOOKUP(Sheet1!$A2541,Sheet2!$B$5:$H$29,4,FALSE),0)</x:f>
        <x:v>0</x:v>
      </x:c>
      <x:c r="F2541">
        <x:f>ROUND($C2541*10*VLOOKUP($B2541,Sheet2!$J$5:$K$7,2,FALSE)*VLOOKUP(Sheet1!$A2541,Sheet2!$B$5:$H$29,5,FALSE),0)</x:f>
        <x:v>96</x:v>
      </x:c>
      <x:c r="G2541">
        <x:f>ROUND($C2541*10*VLOOKUP($B2541,Sheet2!$J$5:$K$7,2,FALSE)*VLOOKUP(Sheet1!$A2541,Sheet2!$B$5:$H$29,6,FALSE),0)</x:f>
        <x:v>0</x:v>
      </x:c>
      <x:c r="H2541">
        <x:f>ROUND($C2541*10*VLOOKUP($B2541,Sheet2!$J$5:$K$7,2,FALSE)*VLOOKUP(Sheet1!$A2541,Sheet2!$B$5:$H$29,7,FALSE),0)</x:f>
        <x:v>200</x:v>
      </x:c>
      <x:c r="I2541">
        <x:f t="shared" si="42"/>
        <x:v>4360</x:v>
      </x:c>
    </x:row>
    <x:row r="2542" spans="1:9" x14ac:dyDescent="0.15">
      <x:c r="A2542">
        <x:v>54105</x:v>
      </x:c>
      <x:c r="B2542">
        <x:v>1</x:v>
      </x:c>
      <x:c r="C2542">
        <x:v>21</x:v>
      </x:c>
      <x:c r="D2542">
        <x:f>ROUND($C2542*10*VLOOKUP($B2542,Sheet2!$J$5:$K$7,2,FALSE)*VLOOKUP(Sheet1!$A2542,Sheet2!$B$5:$H$29,3,FALSE),0)</x:f>
        <x:v>0</x:v>
      </x:c>
      <x:c r="E2542">
        <x:f>ROUND($C2542*10*VLOOKUP($B2542,Sheet2!$J$5:$K$7,2,FALSE)*VLOOKUP(Sheet1!$A2542,Sheet2!$B$5:$H$29,4,FALSE),0)</x:f>
        <x:v>0</x:v>
      </x:c>
      <x:c r="F2542">
        <x:f>ROUND($C2542*10*VLOOKUP($B2542,Sheet2!$J$5:$K$7,2,FALSE)*VLOOKUP(Sheet1!$A2542,Sheet2!$B$5:$H$29,5,FALSE),0)</x:f>
        <x:v>101</x:v>
      </x:c>
      <x:c r="G2542">
        <x:f>ROUND($C2542*10*VLOOKUP($B2542,Sheet2!$J$5:$K$7,2,FALSE)*VLOOKUP(Sheet1!$A2542,Sheet2!$B$5:$H$29,6,FALSE),0)</x:f>
        <x:v>0</x:v>
      </x:c>
      <x:c r="H2542">
        <x:f>ROUND($C2542*10*VLOOKUP($B2542,Sheet2!$J$5:$K$7,2,FALSE)*VLOOKUP(Sheet1!$A2542,Sheet2!$B$5:$H$29,7,FALSE),0)</x:f>
        <x:v>210</x:v>
      </x:c>
      <x:c r="I2542">
        <x:f t="shared" si="42"/>
        <x:v>4780</x:v>
      </x:c>
    </x:row>
    <x:row r="2543" spans="1:9" x14ac:dyDescent="0.15">
      <x:c r="A2543">
        <x:v>54105</x:v>
      </x:c>
      <x:c r="B2543">
        <x:v>1</x:v>
      </x:c>
      <x:c r="C2543">
        <x:v>22</x:v>
      </x:c>
      <x:c r="D2543">
        <x:f>ROUND($C2543*10*VLOOKUP($B2543,Sheet2!$J$5:$K$7,2,FALSE)*VLOOKUP(Sheet1!$A2543,Sheet2!$B$5:$H$29,3,FALSE),0)</x:f>
        <x:v>0</x:v>
      </x:c>
      <x:c r="E2543">
        <x:f>ROUND($C2543*10*VLOOKUP($B2543,Sheet2!$J$5:$K$7,2,FALSE)*VLOOKUP(Sheet1!$A2543,Sheet2!$B$5:$H$29,4,FALSE),0)</x:f>
        <x:v>0</x:v>
      </x:c>
      <x:c r="F2543">
        <x:f>ROUND($C2543*10*VLOOKUP($B2543,Sheet2!$J$5:$K$7,2,FALSE)*VLOOKUP(Sheet1!$A2543,Sheet2!$B$5:$H$29,5,FALSE),0)</x:f>
        <x:v>106</x:v>
      </x:c>
      <x:c r="G2543">
        <x:f>ROUND($C2543*10*VLOOKUP($B2543,Sheet2!$J$5:$K$7,2,FALSE)*VLOOKUP(Sheet1!$A2543,Sheet2!$B$5:$H$29,6,FALSE),0)</x:f>
        <x:v>0</x:v>
      </x:c>
      <x:c r="H2543">
        <x:f>ROUND($C2543*10*VLOOKUP($B2543,Sheet2!$J$5:$K$7,2,FALSE)*VLOOKUP(Sheet1!$A2543,Sheet2!$B$5:$H$29,7,FALSE),0)</x:f>
        <x:v>220</x:v>
      </x:c>
      <x:c r="I2543">
        <x:f t="shared" si="42"/>
        <x:v>5210</x:v>
      </x:c>
    </x:row>
    <x:row r="2544" spans="1:9" x14ac:dyDescent="0.15">
      <x:c r="A2544">
        <x:v>54105</x:v>
      </x:c>
      <x:c r="B2544">
        <x:v>1</x:v>
      </x:c>
      <x:c r="C2544">
        <x:v>23</x:v>
      </x:c>
      <x:c r="D2544">
        <x:f>ROUND($C2544*10*VLOOKUP($B2544,Sheet2!$J$5:$K$7,2,FALSE)*VLOOKUP(Sheet1!$A2544,Sheet2!$B$5:$H$29,3,FALSE),0)</x:f>
        <x:v>0</x:v>
      </x:c>
      <x:c r="E2544">
        <x:f>ROUND($C2544*10*VLOOKUP($B2544,Sheet2!$J$5:$K$7,2,FALSE)*VLOOKUP(Sheet1!$A2544,Sheet2!$B$5:$H$29,4,FALSE),0)</x:f>
        <x:v>0</x:v>
      </x:c>
      <x:c r="F2544">
        <x:f>ROUND($C2544*10*VLOOKUP($B2544,Sheet2!$J$5:$K$7,2,FALSE)*VLOOKUP(Sheet1!$A2544,Sheet2!$B$5:$H$29,5,FALSE),0)</x:f>
        <x:v>110</x:v>
      </x:c>
      <x:c r="G2544">
        <x:f>ROUND($C2544*10*VLOOKUP($B2544,Sheet2!$J$5:$K$7,2,FALSE)*VLOOKUP(Sheet1!$A2544,Sheet2!$B$5:$H$29,6,FALSE),0)</x:f>
        <x:v>0</x:v>
      </x:c>
      <x:c r="H2544">
        <x:f>ROUND($C2544*10*VLOOKUP($B2544,Sheet2!$J$5:$K$7,2,FALSE)*VLOOKUP(Sheet1!$A2544,Sheet2!$B$5:$H$29,7,FALSE),0)</x:f>
        <x:v>230</x:v>
      </x:c>
      <x:c r="I2544">
        <x:f t="shared" si="42"/>
        <x:v>5660</x:v>
      </x:c>
    </x:row>
    <x:row r="2545" spans="1:9" x14ac:dyDescent="0.15">
      <x:c r="A2545">
        <x:v>54105</x:v>
      </x:c>
      <x:c r="B2545">
        <x:v>1</x:v>
      </x:c>
      <x:c r="C2545">
        <x:v>24</x:v>
      </x:c>
      <x:c r="D2545">
        <x:f>ROUND($C2545*10*VLOOKUP($B2545,Sheet2!$J$5:$K$7,2,FALSE)*VLOOKUP(Sheet1!$A2545,Sheet2!$B$5:$H$29,3,FALSE),0)</x:f>
        <x:v>0</x:v>
      </x:c>
      <x:c r="E2545">
        <x:f>ROUND($C2545*10*VLOOKUP($B2545,Sheet2!$J$5:$K$7,2,FALSE)*VLOOKUP(Sheet1!$A2545,Sheet2!$B$5:$H$29,4,FALSE),0)</x:f>
        <x:v>0</x:v>
      </x:c>
      <x:c r="F2545">
        <x:f>ROUND($C2545*10*VLOOKUP($B2545,Sheet2!$J$5:$K$7,2,FALSE)*VLOOKUP(Sheet1!$A2545,Sheet2!$B$5:$H$29,5,FALSE),0)</x:f>
        <x:v>115</x:v>
      </x:c>
      <x:c r="G2545">
        <x:f>ROUND($C2545*10*VLOOKUP($B2545,Sheet2!$J$5:$K$7,2,FALSE)*VLOOKUP(Sheet1!$A2545,Sheet2!$B$5:$H$29,6,FALSE),0)</x:f>
        <x:v>0</x:v>
      </x:c>
      <x:c r="H2545">
        <x:f>ROUND($C2545*10*VLOOKUP($B2545,Sheet2!$J$5:$K$7,2,FALSE)*VLOOKUP(Sheet1!$A2545,Sheet2!$B$5:$H$29,7,FALSE),0)</x:f>
        <x:v>240</x:v>
      </x:c>
      <x:c r="I2545">
        <x:f t="shared" si="42"/>
        <x:v>6130</x:v>
      </x:c>
    </x:row>
    <x:row r="2546" spans="1:9" x14ac:dyDescent="0.15">
      <x:c r="A2546">
        <x:v>54105</x:v>
      </x:c>
      <x:c r="B2546">
        <x:v>1</x:v>
      </x:c>
      <x:c r="C2546">
        <x:v>25</x:v>
      </x:c>
      <x:c r="D2546">
        <x:f>ROUND($C2546*10*VLOOKUP($B2546,Sheet2!$J$5:$K$7,2,FALSE)*VLOOKUP(Sheet1!$A2546,Sheet2!$B$5:$H$29,3,FALSE),0)</x:f>
        <x:v>0</x:v>
      </x:c>
      <x:c r="E2546">
        <x:f>ROUND($C2546*10*VLOOKUP($B2546,Sheet2!$J$5:$K$7,2,FALSE)*VLOOKUP(Sheet1!$A2546,Sheet2!$B$5:$H$29,4,FALSE),0)</x:f>
        <x:v>0</x:v>
      </x:c>
      <x:c r="F2546">
        <x:f>ROUND($C2546*10*VLOOKUP($B2546,Sheet2!$J$5:$K$7,2,FALSE)*VLOOKUP(Sheet1!$A2546,Sheet2!$B$5:$H$29,5,FALSE),0)</x:f>
        <x:v>120</x:v>
      </x:c>
      <x:c r="G2546">
        <x:f>ROUND($C2546*10*VLOOKUP($B2546,Sheet2!$J$5:$K$7,2,FALSE)*VLOOKUP(Sheet1!$A2546,Sheet2!$B$5:$H$29,6,FALSE),0)</x:f>
        <x:v>0</x:v>
      </x:c>
      <x:c r="H2546">
        <x:f>ROUND($C2546*10*VLOOKUP($B2546,Sheet2!$J$5:$K$7,2,FALSE)*VLOOKUP(Sheet1!$A2546,Sheet2!$B$5:$H$29,7,FALSE),0)</x:f>
        <x:v>250</x:v>
      </x:c>
      <x:c r="I2546">
        <x:f t="shared" si="42"/>
        <x:v>6620</x:v>
      </x:c>
    </x:row>
    <x:row r="2547" spans="1:9" x14ac:dyDescent="0.15">
      <x:c r="A2547">
        <x:v>54105</x:v>
      </x:c>
      <x:c r="B2547">
        <x:v>1</x:v>
      </x:c>
      <x:c r="C2547">
        <x:v>26</x:v>
      </x:c>
      <x:c r="D2547">
        <x:f>ROUND($C2547*10*VLOOKUP($B2547,Sheet2!$J$5:$K$7,2,FALSE)*VLOOKUP(Sheet1!$A2547,Sheet2!$B$5:$H$29,3,FALSE),0)</x:f>
        <x:v>0</x:v>
      </x:c>
      <x:c r="E2547">
        <x:f>ROUND($C2547*10*VLOOKUP($B2547,Sheet2!$J$5:$K$7,2,FALSE)*VLOOKUP(Sheet1!$A2547,Sheet2!$B$5:$H$29,4,FALSE),0)</x:f>
        <x:v>0</x:v>
      </x:c>
      <x:c r="F2547">
        <x:f>ROUND($C2547*10*VLOOKUP($B2547,Sheet2!$J$5:$K$7,2,FALSE)*VLOOKUP(Sheet1!$A2547,Sheet2!$B$5:$H$29,5,FALSE),0)</x:f>
        <x:v>125</x:v>
      </x:c>
      <x:c r="G2547">
        <x:f>ROUND($C2547*10*VLOOKUP($B2547,Sheet2!$J$5:$K$7,2,FALSE)*VLOOKUP(Sheet1!$A2547,Sheet2!$B$5:$H$29,6,FALSE),0)</x:f>
        <x:v>0</x:v>
      </x:c>
      <x:c r="H2547">
        <x:f>ROUND($C2547*10*VLOOKUP($B2547,Sheet2!$J$5:$K$7,2,FALSE)*VLOOKUP(Sheet1!$A2547,Sheet2!$B$5:$H$29,7,FALSE),0)</x:f>
        <x:v>260</x:v>
      </x:c>
      <x:c r="I2547">
        <x:f t="shared" si="42"/>
        <x:v>7120</x:v>
      </x:c>
    </x:row>
    <x:row r="2548" spans="1:9" x14ac:dyDescent="0.15">
      <x:c r="A2548">
        <x:v>54105</x:v>
      </x:c>
      <x:c r="B2548">
        <x:v>1</x:v>
      </x:c>
      <x:c r="C2548">
        <x:v>27</x:v>
      </x:c>
      <x:c r="D2548">
        <x:f>ROUND($C2548*10*VLOOKUP($B2548,Sheet2!$J$5:$K$7,2,FALSE)*VLOOKUP(Sheet1!$A2548,Sheet2!$B$5:$H$29,3,FALSE),0)</x:f>
        <x:v>0</x:v>
      </x:c>
      <x:c r="E2548">
        <x:f>ROUND($C2548*10*VLOOKUP($B2548,Sheet2!$J$5:$K$7,2,FALSE)*VLOOKUP(Sheet1!$A2548,Sheet2!$B$5:$H$29,4,FALSE),0)</x:f>
        <x:v>0</x:v>
      </x:c>
      <x:c r="F2548">
        <x:f>ROUND($C2548*10*VLOOKUP($B2548,Sheet2!$J$5:$K$7,2,FALSE)*VLOOKUP(Sheet1!$A2548,Sheet2!$B$5:$H$29,5,FALSE),0)</x:f>
        <x:v>130</x:v>
      </x:c>
      <x:c r="G2548">
        <x:f>ROUND($C2548*10*VLOOKUP($B2548,Sheet2!$J$5:$K$7,2,FALSE)*VLOOKUP(Sheet1!$A2548,Sheet2!$B$5:$H$29,6,FALSE),0)</x:f>
        <x:v>0</x:v>
      </x:c>
      <x:c r="H2548">
        <x:f>ROUND($C2548*10*VLOOKUP($B2548,Sheet2!$J$5:$K$7,2,FALSE)*VLOOKUP(Sheet1!$A2548,Sheet2!$B$5:$H$29,7,FALSE),0)</x:f>
        <x:v>270</x:v>
      </x:c>
      <x:c r="I2548">
        <x:f t="shared" si="42"/>
        <x:v>7640</x:v>
      </x:c>
    </x:row>
    <x:row r="2549" spans="1:9" x14ac:dyDescent="0.15">
      <x:c r="A2549">
        <x:v>54105</x:v>
      </x:c>
      <x:c r="B2549">
        <x:v>1</x:v>
      </x:c>
      <x:c r="C2549">
        <x:v>28</x:v>
      </x:c>
      <x:c r="D2549">
        <x:f>ROUND($C2549*10*VLOOKUP($B2549,Sheet2!$J$5:$K$7,2,FALSE)*VLOOKUP(Sheet1!$A2549,Sheet2!$B$5:$H$29,3,FALSE),0)</x:f>
        <x:v>0</x:v>
      </x:c>
      <x:c r="E2549">
        <x:f>ROUND($C2549*10*VLOOKUP($B2549,Sheet2!$J$5:$K$7,2,FALSE)*VLOOKUP(Sheet1!$A2549,Sheet2!$B$5:$H$29,4,FALSE),0)</x:f>
        <x:v>0</x:v>
      </x:c>
      <x:c r="F2549">
        <x:f>ROUND($C2549*10*VLOOKUP($B2549,Sheet2!$J$5:$K$7,2,FALSE)*VLOOKUP(Sheet1!$A2549,Sheet2!$B$5:$H$29,5,FALSE),0)</x:f>
        <x:v>134</x:v>
      </x:c>
      <x:c r="G2549">
        <x:f>ROUND($C2549*10*VLOOKUP($B2549,Sheet2!$J$5:$K$7,2,FALSE)*VLOOKUP(Sheet1!$A2549,Sheet2!$B$5:$H$29,6,FALSE),0)</x:f>
        <x:v>0</x:v>
      </x:c>
      <x:c r="H2549">
        <x:f>ROUND($C2549*10*VLOOKUP($B2549,Sheet2!$J$5:$K$7,2,FALSE)*VLOOKUP(Sheet1!$A2549,Sheet2!$B$5:$H$29,7,FALSE),0)</x:f>
        <x:v>280</x:v>
      </x:c>
      <x:c r="I2549">
        <x:f t="shared" si="42"/>
        <x:v>8180</x:v>
      </x:c>
    </x:row>
    <x:row r="2550" spans="1:9" x14ac:dyDescent="0.15">
      <x:c r="A2550">
        <x:v>54105</x:v>
      </x:c>
      <x:c r="B2550">
        <x:v>1</x:v>
      </x:c>
      <x:c r="C2550">
        <x:v>29</x:v>
      </x:c>
      <x:c r="D2550">
        <x:f>ROUND($C2550*10*VLOOKUP($B2550,Sheet2!$J$5:$K$7,2,FALSE)*VLOOKUP(Sheet1!$A2550,Sheet2!$B$5:$H$29,3,FALSE),0)</x:f>
        <x:v>0</x:v>
      </x:c>
      <x:c r="E2550">
        <x:f>ROUND($C2550*10*VLOOKUP($B2550,Sheet2!$J$5:$K$7,2,FALSE)*VLOOKUP(Sheet1!$A2550,Sheet2!$B$5:$H$29,4,FALSE),0)</x:f>
        <x:v>0</x:v>
      </x:c>
      <x:c r="F2550">
        <x:f>ROUND($C2550*10*VLOOKUP($B2550,Sheet2!$J$5:$K$7,2,FALSE)*VLOOKUP(Sheet1!$A2550,Sheet2!$B$5:$H$29,5,FALSE),0)</x:f>
        <x:v>139</x:v>
      </x:c>
      <x:c r="G2550">
        <x:f>ROUND($C2550*10*VLOOKUP($B2550,Sheet2!$J$5:$K$7,2,FALSE)*VLOOKUP(Sheet1!$A2550,Sheet2!$B$5:$H$29,6,FALSE),0)</x:f>
        <x:v>0</x:v>
      </x:c>
      <x:c r="H2550">
        <x:f>ROUND($C2550*10*VLOOKUP($B2550,Sheet2!$J$5:$K$7,2,FALSE)*VLOOKUP(Sheet1!$A2550,Sheet2!$B$5:$H$29,7,FALSE),0)</x:f>
        <x:v>290</x:v>
      </x:c>
      <x:c r="I2550">
        <x:f t="shared" si="42"/>
        <x:v>8730</x:v>
      </x:c>
    </x:row>
    <x:row r="2551" spans="1:9" x14ac:dyDescent="0.15">
      <x:c r="A2551">
        <x:v>54105</x:v>
      </x:c>
      <x:c r="B2551">
        <x:v>1</x:v>
      </x:c>
      <x:c r="C2551">
        <x:v>30</x:v>
      </x:c>
      <x:c r="D2551">
        <x:f>ROUND($C2551*10*VLOOKUP($B2551,Sheet2!$J$5:$K$7,2,FALSE)*VLOOKUP(Sheet1!$A2551,Sheet2!$B$5:$H$29,3,FALSE),0)</x:f>
        <x:v>0</x:v>
      </x:c>
      <x:c r="E2551">
        <x:f>ROUND($C2551*10*VLOOKUP($B2551,Sheet2!$J$5:$K$7,2,FALSE)*VLOOKUP(Sheet1!$A2551,Sheet2!$B$5:$H$29,4,FALSE),0)</x:f>
        <x:v>0</x:v>
      </x:c>
      <x:c r="F2551">
        <x:f>ROUND($C2551*10*VLOOKUP($B2551,Sheet2!$J$5:$K$7,2,FALSE)*VLOOKUP(Sheet1!$A2551,Sheet2!$B$5:$H$29,5,FALSE),0)</x:f>
        <x:v>144</x:v>
      </x:c>
      <x:c r="G2551">
        <x:f>ROUND($C2551*10*VLOOKUP($B2551,Sheet2!$J$5:$K$7,2,FALSE)*VLOOKUP(Sheet1!$A2551,Sheet2!$B$5:$H$29,6,FALSE),0)</x:f>
        <x:v>0</x:v>
      </x:c>
      <x:c r="H2551">
        <x:f>ROUND($C2551*10*VLOOKUP($B2551,Sheet2!$J$5:$K$7,2,FALSE)*VLOOKUP(Sheet1!$A2551,Sheet2!$B$5:$H$29,7,FALSE),0)</x:f>
        <x:v>300</x:v>
      </x:c>
      <x:c r="I2551">
        <x:f t="shared" si="42"/>
        <x:v>9290</x:v>
      </x:c>
    </x:row>
    <x:row r="2552" spans="1:9" x14ac:dyDescent="0.15">
      <x:c r="A2552">
        <x:v>54105</x:v>
      </x:c>
      <x:c r="B2552">
        <x:v>1</x:v>
      </x:c>
      <x:c r="C2552">
        <x:v>31</x:v>
      </x:c>
      <x:c r="D2552">
        <x:f>ROUND($C2552*10*VLOOKUP($B2552,Sheet2!$J$5:$K$7,2,FALSE)*VLOOKUP(Sheet1!$A2552,Sheet2!$B$5:$H$29,3,FALSE),0)</x:f>
        <x:v>0</x:v>
      </x:c>
      <x:c r="E2552">
        <x:f>ROUND($C2552*10*VLOOKUP($B2552,Sheet2!$J$5:$K$7,2,FALSE)*VLOOKUP(Sheet1!$A2552,Sheet2!$B$5:$H$29,4,FALSE),0)</x:f>
        <x:v>0</x:v>
      </x:c>
      <x:c r="F2552">
        <x:f>ROUND($C2552*10*VLOOKUP($B2552,Sheet2!$J$5:$K$7,2,FALSE)*VLOOKUP(Sheet1!$A2552,Sheet2!$B$5:$H$29,5,FALSE),0)</x:f>
        <x:v>149</x:v>
      </x:c>
      <x:c r="G2552">
        <x:f>ROUND($C2552*10*VLOOKUP($B2552,Sheet2!$J$5:$K$7,2,FALSE)*VLOOKUP(Sheet1!$A2552,Sheet2!$B$5:$H$29,6,FALSE),0)</x:f>
        <x:v>0</x:v>
      </x:c>
      <x:c r="H2552">
        <x:f>ROUND($C2552*10*VLOOKUP($B2552,Sheet2!$J$5:$K$7,2,FALSE)*VLOOKUP(Sheet1!$A2552,Sheet2!$B$5:$H$29,7,FALSE),0)</x:f>
        <x:v>310</x:v>
      </x:c>
      <x:c r="I2552">
        <x:f t="shared" si="42"/>
        <x:v>9880</x:v>
      </x:c>
    </x:row>
    <x:row r="2553" spans="1:9" x14ac:dyDescent="0.15">
      <x:c r="A2553">
        <x:v>54105</x:v>
      </x:c>
      <x:c r="B2553">
        <x:v>1</x:v>
      </x:c>
      <x:c r="C2553">
        <x:v>32</x:v>
      </x:c>
      <x:c r="D2553">
        <x:f>ROUND($C2553*10*VLOOKUP($B2553,Sheet2!$J$5:$K$7,2,FALSE)*VLOOKUP(Sheet1!$A2553,Sheet2!$B$5:$H$29,3,FALSE),0)</x:f>
        <x:v>0</x:v>
      </x:c>
      <x:c r="E2553">
        <x:f>ROUND($C2553*10*VLOOKUP($B2553,Sheet2!$J$5:$K$7,2,FALSE)*VLOOKUP(Sheet1!$A2553,Sheet2!$B$5:$H$29,4,FALSE),0)</x:f>
        <x:v>0</x:v>
      </x:c>
      <x:c r="F2553">
        <x:f>ROUND($C2553*10*VLOOKUP($B2553,Sheet2!$J$5:$K$7,2,FALSE)*VLOOKUP(Sheet1!$A2553,Sheet2!$B$5:$H$29,5,FALSE),0)</x:f>
        <x:v>154</x:v>
      </x:c>
      <x:c r="G2553">
        <x:f>ROUND($C2553*10*VLOOKUP($B2553,Sheet2!$J$5:$K$7,2,FALSE)*VLOOKUP(Sheet1!$A2553,Sheet2!$B$5:$H$29,6,FALSE),0)</x:f>
        <x:v>0</x:v>
      </x:c>
      <x:c r="H2553">
        <x:f>ROUND($C2553*10*VLOOKUP($B2553,Sheet2!$J$5:$K$7,2,FALSE)*VLOOKUP(Sheet1!$A2553,Sheet2!$B$5:$H$29,7,FALSE),0)</x:f>
        <x:v>320</x:v>
      </x:c>
      <x:c r="I2553">
        <x:f t="shared" si="42"/>
        <x:v>10470</x:v>
      </x:c>
    </x:row>
    <x:row r="2554" spans="1:9" x14ac:dyDescent="0.15">
      <x:c r="A2554">
        <x:v>54105</x:v>
      </x:c>
      <x:c r="B2554">
        <x:v>1</x:v>
      </x:c>
      <x:c r="C2554">
        <x:v>33</x:v>
      </x:c>
      <x:c r="D2554">
        <x:f>ROUND($C2554*10*VLOOKUP($B2554,Sheet2!$J$5:$K$7,2,FALSE)*VLOOKUP(Sheet1!$A2554,Sheet2!$B$5:$H$29,3,FALSE),0)</x:f>
        <x:v>0</x:v>
      </x:c>
      <x:c r="E2554">
        <x:f>ROUND($C2554*10*VLOOKUP($B2554,Sheet2!$J$5:$K$7,2,FALSE)*VLOOKUP(Sheet1!$A2554,Sheet2!$B$5:$H$29,4,FALSE),0)</x:f>
        <x:v>0</x:v>
      </x:c>
      <x:c r="F2554">
        <x:f>ROUND($C2554*10*VLOOKUP($B2554,Sheet2!$J$5:$K$7,2,FALSE)*VLOOKUP(Sheet1!$A2554,Sheet2!$B$5:$H$29,5,FALSE),0)</x:f>
        <x:v>158</x:v>
      </x:c>
      <x:c r="G2554">
        <x:f>ROUND($C2554*10*VLOOKUP($B2554,Sheet2!$J$5:$K$7,2,FALSE)*VLOOKUP(Sheet1!$A2554,Sheet2!$B$5:$H$29,6,FALSE),0)</x:f>
        <x:v>0</x:v>
      </x:c>
      <x:c r="H2554">
        <x:f>ROUND($C2554*10*VLOOKUP($B2554,Sheet2!$J$5:$K$7,2,FALSE)*VLOOKUP(Sheet1!$A2554,Sheet2!$B$5:$H$29,7,FALSE),0)</x:f>
        <x:v>330</x:v>
      </x:c>
      <x:c r="I2554">
        <x:f t="shared" si="42"/>
        <x:v>11090</x:v>
      </x:c>
    </x:row>
    <x:row r="2555" spans="1:9" x14ac:dyDescent="0.15">
      <x:c r="A2555">
        <x:v>54105</x:v>
      </x:c>
      <x:c r="B2555">
        <x:v>1</x:v>
      </x:c>
      <x:c r="C2555">
        <x:v>34</x:v>
      </x:c>
      <x:c r="D2555">
        <x:f>ROUND($C2555*10*VLOOKUP($B2555,Sheet2!$J$5:$K$7,2,FALSE)*VLOOKUP(Sheet1!$A2555,Sheet2!$B$5:$H$29,3,FALSE),0)</x:f>
        <x:v>0</x:v>
      </x:c>
      <x:c r="E2555">
        <x:f>ROUND($C2555*10*VLOOKUP($B2555,Sheet2!$J$5:$K$7,2,FALSE)*VLOOKUP(Sheet1!$A2555,Sheet2!$B$5:$H$29,4,FALSE),0)</x:f>
        <x:v>0</x:v>
      </x:c>
      <x:c r="F2555">
        <x:f>ROUND($C2555*10*VLOOKUP($B2555,Sheet2!$J$5:$K$7,2,FALSE)*VLOOKUP(Sheet1!$A2555,Sheet2!$B$5:$H$29,5,FALSE),0)</x:f>
        <x:v>163</x:v>
      </x:c>
      <x:c r="G2555">
        <x:f>ROUND($C2555*10*VLOOKUP($B2555,Sheet2!$J$5:$K$7,2,FALSE)*VLOOKUP(Sheet1!$A2555,Sheet2!$B$5:$H$29,6,FALSE),0)</x:f>
        <x:v>0</x:v>
      </x:c>
      <x:c r="H2555">
        <x:f>ROUND($C2555*10*VLOOKUP($B2555,Sheet2!$J$5:$K$7,2,FALSE)*VLOOKUP(Sheet1!$A2555,Sheet2!$B$5:$H$29,7,FALSE),0)</x:f>
        <x:v>340</x:v>
      </x:c>
      <x:c r="I2555">
        <x:f t="shared" si="42"/>
        <x:v>11720</x:v>
      </x:c>
    </x:row>
    <x:row r="2556" spans="1:9" x14ac:dyDescent="0.15">
      <x:c r="A2556">
        <x:v>54105</x:v>
      </x:c>
      <x:c r="B2556">
        <x:v>1</x:v>
      </x:c>
      <x:c r="C2556">
        <x:v>35</x:v>
      </x:c>
      <x:c r="D2556">
        <x:f>ROUND($C2556*10*VLOOKUP($B2556,Sheet2!$J$5:$K$7,2,FALSE)*VLOOKUP(Sheet1!$A2556,Sheet2!$B$5:$H$29,3,FALSE),0)</x:f>
        <x:v>0</x:v>
      </x:c>
      <x:c r="E2556">
        <x:f>ROUND($C2556*10*VLOOKUP($B2556,Sheet2!$J$5:$K$7,2,FALSE)*VLOOKUP(Sheet1!$A2556,Sheet2!$B$5:$H$29,4,FALSE),0)</x:f>
        <x:v>0</x:v>
      </x:c>
      <x:c r="F2556">
        <x:f>ROUND($C2556*10*VLOOKUP($B2556,Sheet2!$J$5:$K$7,2,FALSE)*VLOOKUP(Sheet1!$A2556,Sheet2!$B$5:$H$29,5,FALSE),0)</x:f>
        <x:v>168</x:v>
      </x:c>
      <x:c r="G2556">
        <x:f>ROUND($C2556*10*VLOOKUP($B2556,Sheet2!$J$5:$K$7,2,FALSE)*VLOOKUP(Sheet1!$A2556,Sheet2!$B$5:$H$29,6,FALSE),0)</x:f>
        <x:v>0</x:v>
      </x:c>
      <x:c r="H2556">
        <x:f>ROUND($C2556*10*VLOOKUP($B2556,Sheet2!$J$5:$K$7,2,FALSE)*VLOOKUP(Sheet1!$A2556,Sheet2!$B$5:$H$29,7,FALSE),0)</x:f>
        <x:v>350</x:v>
      </x:c>
      <x:c r="I2556">
        <x:f t="shared" si="42"/>
        <x:v>12360</x:v>
      </x:c>
    </x:row>
    <x:row r="2557" spans="1:9" x14ac:dyDescent="0.15">
      <x:c r="A2557">
        <x:v>54105</x:v>
      </x:c>
      <x:c r="B2557">
        <x:v>1</x:v>
      </x:c>
      <x:c r="C2557">
        <x:v>36</x:v>
      </x:c>
      <x:c r="D2557">
        <x:f>ROUND($C2557*10*VLOOKUP($B2557,Sheet2!$J$5:$K$7,2,FALSE)*VLOOKUP(Sheet1!$A2557,Sheet2!$B$5:$H$29,3,FALSE),0)</x:f>
        <x:v>0</x:v>
      </x:c>
      <x:c r="E2557">
        <x:f>ROUND($C2557*10*VLOOKUP($B2557,Sheet2!$J$5:$K$7,2,FALSE)*VLOOKUP(Sheet1!$A2557,Sheet2!$B$5:$H$29,4,FALSE),0)</x:f>
        <x:v>0</x:v>
      </x:c>
      <x:c r="F2557">
        <x:f>ROUND($C2557*10*VLOOKUP($B2557,Sheet2!$J$5:$K$7,2,FALSE)*VLOOKUP(Sheet1!$A2557,Sheet2!$B$5:$H$29,5,FALSE),0)</x:f>
        <x:v>173</x:v>
      </x:c>
      <x:c r="G2557">
        <x:f>ROUND($C2557*10*VLOOKUP($B2557,Sheet2!$J$5:$K$7,2,FALSE)*VLOOKUP(Sheet1!$A2557,Sheet2!$B$5:$H$29,6,FALSE),0)</x:f>
        <x:v>0</x:v>
      </x:c>
      <x:c r="H2557">
        <x:f>ROUND($C2557*10*VLOOKUP($B2557,Sheet2!$J$5:$K$7,2,FALSE)*VLOOKUP(Sheet1!$A2557,Sheet2!$B$5:$H$29,7,FALSE),0)</x:f>
        <x:v>360</x:v>
      </x:c>
      <x:c r="I2557">
        <x:f t="shared" si="42"/>
        <x:v>13020</x:v>
      </x:c>
    </x:row>
    <x:row r="2558" spans="1:9" x14ac:dyDescent="0.15">
      <x:c r="A2558">
        <x:v>54105</x:v>
      </x:c>
      <x:c r="B2558">
        <x:v>1</x:v>
      </x:c>
      <x:c r="C2558">
        <x:v>37</x:v>
      </x:c>
      <x:c r="D2558">
        <x:f>ROUND($C2558*10*VLOOKUP($B2558,Sheet2!$J$5:$K$7,2,FALSE)*VLOOKUP(Sheet1!$A2558,Sheet2!$B$5:$H$29,3,FALSE),0)</x:f>
        <x:v>0</x:v>
      </x:c>
      <x:c r="E2558">
        <x:f>ROUND($C2558*10*VLOOKUP($B2558,Sheet2!$J$5:$K$7,2,FALSE)*VLOOKUP(Sheet1!$A2558,Sheet2!$B$5:$H$29,4,FALSE),0)</x:f>
        <x:v>0</x:v>
      </x:c>
      <x:c r="F2558">
        <x:f>ROUND($C2558*10*VLOOKUP($B2558,Sheet2!$J$5:$K$7,2,FALSE)*VLOOKUP(Sheet1!$A2558,Sheet2!$B$5:$H$29,5,FALSE),0)</x:f>
        <x:v>178</x:v>
      </x:c>
      <x:c r="G2558">
        <x:f>ROUND($C2558*10*VLOOKUP($B2558,Sheet2!$J$5:$K$7,2,FALSE)*VLOOKUP(Sheet1!$A2558,Sheet2!$B$5:$H$29,6,FALSE),0)</x:f>
        <x:v>0</x:v>
      </x:c>
      <x:c r="H2558">
        <x:f>ROUND($C2558*10*VLOOKUP($B2558,Sheet2!$J$5:$K$7,2,FALSE)*VLOOKUP(Sheet1!$A2558,Sheet2!$B$5:$H$29,7,FALSE),0)</x:f>
        <x:v>370</x:v>
      </x:c>
      <x:c r="I2558">
        <x:f t="shared" si="42"/>
        <x:v>13700</x:v>
      </x:c>
    </x:row>
    <x:row r="2559" spans="1:9" x14ac:dyDescent="0.15">
      <x:c r="A2559">
        <x:v>54105</x:v>
      </x:c>
      <x:c r="B2559">
        <x:v>1</x:v>
      </x:c>
      <x:c r="C2559">
        <x:v>38</x:v>
      </x:c>
      <x:c r="D2559">
        <x:f>ROUND($C2559*10*VLOOKUP($B2559,Sheet2!$J$5:$K$7,2,FALSE)*VLOOKUP(Sheet1!$A2559,Sheet2!$B$5:$H$29,3,FALSE),0)</x:f>
        <x:v>0</x:v>
      </x:c>
      <x:c r="E2559">
        <x:f>ROUND($C2559*10*VLOOKUP($B2559,Sheet2!$J$5:$K$7,2,FALSE)*VLOOKUP(Sheet1!$A2559,Sheet2!$B$5:$H$29,4,FALSE),0)</x:f>
        <x:v>0</x:v>
      </x:c>
      <x:c r="F2559">
        <x:f>ROUND($C2559*10*VLOOKUP($B2559,Sheet2!$J$5:$K$7,2,FALSE)*VLOOKUP(Sheet1!$A2559,Sheet2!$B$5:$H$29,5,FALSE),0)</x:f>
        <x:v>182</x:v>
      </x:c>
      <x:c r="G2559">
        <x:f>ROUND($C2559*10*VLOOKUP($B2559,Sheet2!$J$5:$K$7,2,FALSE)*VLOOKUP(Sheet1!$A2559,Sheet2!$B$5:$H$29,6,FALSE),0)</x:f>
        <x:v>0</x:v>
      </x:c>
      <x:c r="H2559">
        <x:f>ROUND($C2559*10*VLOOKUP($B2559,Sheet2!$J$5:$K$7,2,FALSE)*VLOOKUP(Sheet1!$A2559,Sheet2!$B$5:$H$29,7,FALSE),0)</x:f>
        <x:v>380</x:v>
      </x:c>
      <x:c r="I2559">
        <x:f t="shared" si="42"/>
        <x:v>14390</x:v>
      </x:c>
    </x:row>
    <x:row r="2560" spans="1:9" x14ac:dyDescent="0.15">
      <x:c r="A2560">
        <x:v>54105</x:v>
      </x:c>
      <x:c r="B2560">
        <x:v>1</x:v>
      </x:c>
      <x:c r="C2560">
        <x:v>39</x:v>
      </x:c>
      <x:c r="D2560">
        <x:f>ROUND($C2560*10*VLOOKUP($B2560,Sheet2!$J$5:$K$7,2,FALSE)*VLOOKUP(Sheet1!$A2560,Sheet2!$B$5:$H$29,3,FALSE),0)</x:f>
        <x:v>0</x:v>
      </x:c>
      <x:c r="E2560">
        <x:f>ROUND($C2560*10*VLOOKUP($B2560,Sheet2!$J$5:$K$7,2,FALSE)*VLOOKUP(Sheet1!$A2560,Sheet2!$B$5:$H$29,4,FALSE),0)</x:f>
        <x:v>0</x:v>
      </x:c>
      <x:c r="F2560">
        <x:f>ROUND($C2560*10*VLOOKUP($B2560,Sheet2!$J$5:$K$7,2,FALSE)*VLOOKUP(Sheet1!$A2560,Sheet2!$B$5:$H$29,5,FALSE),0)</x:f>
        <x:v>187</x:v>
      </x:c>
      <x:c r="G2560">
        <x:f>ROUND($C2560*10*VLOOKUP($B2560,Sheet2!$J$5:$K$7,2,FALSE)*VLOOKUP(Sheet1!$A2560,Sheet2!$B$5:$H$29,6,FALSE),0)</x:f>
        <x:v>0</x:v>
      </x:c>
      <x:c r="H2560">
        <x:f>ROUND($C2560*10*VLOOKUP($B2560,Sheet2!$J$5:$K$7,2,FALSE)*VLOOKUP(Sheet1!$A2560,Sheet2!$B$5:$H$29,7,FALSE),0)</x:f>
        <x:v>390</x:v>
      </x:c>
      <x:c r="I2560">
        <x:f t="shared" si="42"/>
        <x:v>15100</x:v>
      </x:c>
    </x:row>
    <x:row r="2561" spans="1:9" x14ac:dyDescent="0.15">
      <x:c r="A2561">
        <x:v>54105</x:v>
      </x:c>
      <x:c r="B2561">
        <x:v>1</x:v>
      </x:c>
      <x:c r="C2561">
        <x:v>40</x:v>
      </x:c>
      <x:c r="D2561">
        <x:f>ROUND($C2561*10*VLOOKUP($B2561,Sheet2!$J$5:$K$7,2,FALSE)*VLOOKUP(Sheet1!$A2561,Sheet2!$B$5:$H$29,3,FALSE),0)</x:f>
        <x:v>0</x:v>
      </x:c>
      <x:c r="E2561">
        <x:f>ROUND($C2561*10*VLOOKUP($B2561,Sheet2!$J$5:$K$7,2,FALSE)*VLOOKUP(Sheet1!$A2561,Sheet2!$B$5:$H$29,4,FALSE),0)</x:f>
        <x:v>0</x:v>
      </x:c>
      <x:c r="F2561">
        <x:f>ROUND($C2561*10*VLOOKUP($B2561,Sheet2!$J$5:$K$7,2,FALSE)*VLOOKUP(Sheet1!$A2561,Sheet2!$B$5:$H$29,5,FALSE),0)</x:f>
        <x:v>192</x:v>
      </x:c>
      <x:c r="G2561">
        <x:f>ROUND($C2561*10*VLOOKUP($B2561,Sheet2!$J$5:$K$7,2,FALSE)*VLOOKUP(Sheet1!$A2561,Sheet2!$B$5:$H$29,6,FALSE),0)</x:f>
        <x:v>0</x:v>
      </x:c>
      <x:c r="H2561">
        <x:f>ROUND($C2561*10*VLOOKUP($B2561,Sheet2!$J$5:$K$7,2,FALSE)*VLOOKUP(Sheet1!$A2561,Sheet2!$B$5:$H$29,7,FALSE),0)</x:f>
        <x:v>400</x:v>
      </x:c>
      <x:c r="I2561">
        <x:f t="shared" si="42"/>
        <x:v>15820</x:v>
      </x:c>
    </x:row>
    <x:row r="2562" spans="1:9" x14ac:dyDescent="0.15">
      <x:c r="A2562">
        <x:v>54105</x:v>
      </x:c>
      <x:c r="B2562">
        <x:v>1</x:v>
      </x:c>
      <x:c r="C2562">
        <x:v>41</x:v>
      </x:c>
      <x:c r="D2562">
        <x:f>ROUND($C2562*10*VLOOKUP($B2562,Sheet2!$J$5:$K$7,2,FALSE)*VLOOKUP(Sheet1!$A2562,Sheet2!$B$5:$H$29,3,FALSE),0)</x:f>
        <x:v>0</x:v>
      </x:c>
      <x:c r="E2562">
        <x:f>ROUND($C2562*10*VLOOKUP($B2562,Sheet2!$J$5:$K$7,2,FALSE)*VLOOKUP(Sheet1!$A2562,Sheet2!$B$5:$H$29,4,FALSE),0)</x:f>
        <x:v>0</x:v>
      </x:c>
      <x:c r="F2562">
        <x:f>ROUND($C2562*10*VLOOKUP($B2562,Sheet2!$J$5:$K$7,2,FALSE)*VLOOKUP(Sheet1!$A2562,Sheet2!$B$5:$H$29,5,FALSE),0)</x:f>
        <x:v>197</x:v>
      </x:c>
      <x:c r="G2562">
        <x:f>ROUND($C2562*10*VLOOKUP($B2562,Sheet2!$J$5:$K$7,2,FALSE)*VLOOKUP(Sheet1!$A2562,Sheet2!$B$5:$H$29,6,FALSE),0)</x:f>
        <x:v>0</x:v>
      </x:c>
      <x:c r="H2562">
        <x:f>ROUND($C2562*10*VLOOKUP($B2562,Sheet2!$J$5:$K$7,2,FALSE)*VLOOKUP(Sheet1!$A2562,Sheet2!$B$5:$H$29,7,FALSE),0)</x:f>
        <x:v>410</x:v>
      </x:c>
      <x:c r="I2562">
        <x:f t="shared" si="42"/>
        <x:v>16560</x:v>
      </x:c>
    </x:row>
    <x:row r="2563" spans="1:9" x14ac:dyDescent="0.15">
      <x:c r="A2563">
        <x:v>54105</x:v>
      </x:c>
      <x:c r="B2563">
        <x:v>1</x:v>
      </x:c>
      <x:c r="C2563">
        <x:v>42</x:v>
      </x:c>
      <x:c r="D2563">
        <x:f>ROUND($C2563*10*VLOOKUP($B2563,Sheet2!$J$5:$K$7,2,FALSE)*VLOOKUP(Sheet1!$A2563,Sheet2!$B$5:$H$29,3,FALSE),0)</x:f>
        <x:v>0</x:v>
      </x:c>
      <x:c r="E2563">
        <x:f>ROUND($C2563*10*VLOOKUP($B2563,Sheet2!$J$5:$K$7,2,FALSE)*VLOOKUP(Sheet1!$A2563,Sheet2!$B$5:$H$29,4,FALSE),0)</x:f>
        <x:v>0</x:v>
      </x:c>
      <x:c r="F2563">
        <x:f>ROUND($C2563*10*VLOOKUP($B2563,Sheet2!$J$5:$K$7,2,FALSE)*VLOOKUP(Sheet1!$A2563,Sheet2!$B$5:$H$29,5,FALSE),0)</x:f>
        <x:v>202</x:v>
      </x:c>
      <x:c r="G2563">
        <x:f>ROUND($C2563*10*VLOOKUP($B2563,Sheet2!$J$5:$K$7,2,FALSE)*VLOOKUP(Sheet1!$A2563,Sheet2!$B$5:$H$29,6,FALSE),0)</x:f>
        <x:v>0</x:v>
      </x:c>
      <x:c r="H2563">
        <x:f>ROUND($C2563*10*VLOOKUP($B2563,Sheet2!$J$5:$K$7,2,FALSE)*VLOOKUP(Sheet1!$A2563,Sheet2!$B$5:$H$29,7,FALSE),0)</x:f>
        <x:v>420</x:v>
      </x:c>
      <x:c r="I2563">
        <x:f t="shared" si="42"/>
        <x:v>17310</x:v>
      </x:c>
    </x:row>
    <x:row r="2564" spans="1:9" x14ac:dyDescent="0.15">
      <x:c r="A2564">
        <x:v>54105</x:v>
      </x:c>
      <x:c r="B2564">
        <x:v>1</x:v>
      </x:c>
      <x:c r="C2564">
        <x:v>43</x:v>
      </x:c>
      <x:c r="D2564">
        <x:f>ROUND($C2564*10*VLOOKUP($B2564,Sheet2!$J$5:$K$7,2,FALSE)*VLOOKUP(Sheet1!$A2564,Sheet2!$B$5:$H$29,3,FALSE),0)</x:f>
        <x:v>0</x:v>
      </x:c>
      <x:c r="E2564">
        <x:f>ROUND($C2564*10*VLOOKUP($B2564,Sheet2!$J$5:$K$7,2,FALSE)*VLOOKUP(Sheet1!$A2564,Sheet2!$B$5:$H$29,4,FALSE),0)</x:f>
        <x:v>0</x:v>
      </x:c>
      <x:c r="F2564">
        <x:f>ROUND($C2564*10*VLOOKUP($B2564,Sheet2!$J$5:$K$7,2,FALSE)*VLOOKUP(Sheet1!$A2564,Sheet2!$B$5:$H$29,5,FALSE),0)</x:f>
        <x:v>206</x:v>
      </x:c>
      <x:c r="G2564">
        <x:f>ROUND($C2564*10*VLOOKUP($B2564,Sheet2!$J$5:$K$7,2,FALSE)*VLOOKUP(Sheet1!$A2564,Sheet2!$B$5:$H$29,6,FALSE),0)</x:f>
        <x:v>0</x:v>
      </x:c>
      <x:c r="H2564">
        <x:f>ROUND($C2564*10*VLOOKUP($B2564,Sheet2!$J$5:$K$7,2,FALSE)*VLOOKUP(Sheet1!$A2564,Sheet2!$B$5:$H$29,7,FALSE),0)</x:f>
        <x:v>430</x:v>
      </x:c>
      <x:c r="I2564">
        <x:f t="shared" si="42"/>
        <x:v>18070</x:v>
      </x:c>
    </x:row>
    <x:row r="2565" spans="1:9" x14ac:dyDescent="0.15">
      <x:c r="A2565">
        <x:v>54105</x:v>
      </x:c>
      <x:c r="B2565">
        <x:v>1</x:v>
      </x:c>
      <x:c r="C2565">
        <x:v>44</x:v>
      </x:c>
      <x:c r="D2565">
        <x:f>ROUND($C2565*10*VLOOKUP($B2565,Sheet2!$J$5:$K$7,2,FALSE)*VLOOKUP(Sheet1!$A2565,Sheet2!$B$5:$H$29,3,FALSE),0)</x:f>
        <x:v>0</x:v>
      </x:c>
      <x:c r="E2565">
        <x:f>ROUND($C2565*10*VLOOKUP($B2565,Sheet2!$J$5:$K$7,2,FALSE)*VLOOKUP(Sheet1!$A2565,Sheet2!$B$5:$H$29,4,FALSE),0)</x:f>
        <x:v>0</x:v>
      </x:c>
      <x:c r="F2565">
        <x:f>ROUND($C2565*10*VLOOKUP($B2565,Sheet2!$J$5:$K$7,2,FALSE)*VLOOKUP(Sheet1!$A2565,Sheet2!$B$5:$H$29,5,FALSE),0)</x:f>
        <x:v>211</x:v>
      </x:c>
      <x:c r="G2565">
        <x:f>ROUND($C2565*10*VLOOKUP($B2565,Sheet2!$J$5:$K$7,2,FALSE)*VLOOKUP(Sheet1!$A2565,Sheet2!$B$5:$H$29,6,FALSE),0)</x:f>
        <x:v>0</x:v>
      </x:c>
      <x:c r="H2565">
        <x:f>ROUND($C2565*10*VLOOKUP($B2565,Sheet2!$J$5:$K$7,2,FALSE)*VLOOKUP(Sheet1!$A2565,Sheet2!$B$5:$H$29,7,FALSE),0)</x:f>
        <x:v>440</x:v>
      </x:c>
      <x:c r="I2565">
        <x:f t="shared" si="42"/>
        <x:v>18850</x:v>
      </x:c>
    </x:row>
    <x:row r="2566" spans="1:9" x14ac:dyDescent="0.15">
      <x:c r="A2566">
        <x:v>54105</x:v>
      </x:c>
      <x:c r="B2566">
        <x:v>1</x:v>
      </x:c>
      <x:c r="C2566">
        <x:v>45</x:v>
      </x:c>
      <x:c r="D2566">
        <x:f>ROUND($C2566*10*VLOOKUP($B2566,Sheet2!$J$5:$K$7,2,FALSE)*VLOOKUP(Sheet1!$A2566,Sheet2!$B$5:$H$29,3,FALSE),0)</x:f>
        <x:v>0</x:v>
      </x:c>
      <x:c r="E2566">
        <x:f>ROUND($C2566*10*VLOOKUP($B2566,Sheet2!$J$5:$K$7,2,FALSE)*VLOOKUP(Sheet1!$A2566,Sheet2!$B$5:$H$29,4,FALSE),0)</x:f>
        <x:v>0</x:v>
      </x:c>
      <x:c r="F2566">
        <x:f>ROUND($C2566*10*VLOOKUP($B2566,Sheet2!$J$5:$K$7,2,FALSE)*VLOOKUP(Sheet1!$A2566,Sheet2!$B$5:$H$29,5,FALSE),0)</x:f>
        <x:v>216</x:v>
      </x:c>
      <x:c r="G2566">
        <x:f>ROUND($C2566*10*VLOOKUP($B2566,Sheet2!$J$5:$K$7,2,FALSE)*VLOOKUP(Sheet1!$A2566,Sheet2!$B$5:$H$29,6,FALSE),0)</x:f>
        <x:v>0</x:v>
      </x:c>
      <x:c r="H2566">
        <x:f>ROUND($C2566*10*VLOOKUP($B2566,Sheet2!$J$5:$K$7,2,FALSE)*VLOOKUP(Sheet1!$A2566,Sheet2!$B$5:$H$29,7,FALSE),0)</x:f>
        <x:v>450</x:v>
      </x:c>
      <x:c r="I2566">
        <x:f t="shared" si="42"/>
        <x:v>19650</x:v>
      </x:c>
    </x:row>
    <x:row r="2567" spans="1:9" x14ac:dyDescent="0.15">
      <x:c r="A2567">
        <x:v>54105</x:v>
      </x:c>
      <x:c r="B2567">
        <x:v>1</x:v>
      </x:c>
      <x:c r="C2567">
        <x:v>46</x:v>
      </x:c>
      <x:c r="D2567">
        <x:f>ROUND($C2567*10*VLOOKUP($B2567,Sheet2!$J$5:$K$7,2,FALSE)*VLOOKUP(Sheet1!$A2567,Sheet2!$B$5:$H$29,3,FALSE),0)</x:f>
        <x:v>0</x:v>
      </x:c>
      <x:c r="E2567">
        <x:f>ROUND($C2567*10*VLOOKUP($B2567,Sheet2!$J$5:$K$7,2,FALSE)*VLOOKUP(Sheet1!$A2567,Sheet2!$B$5:$H$29,4,FALSE),0)</x:f>
        <x:v>0</x:v>
      </x:c>
      <x:c r="F2567">
        <x:f>ROUND($C2567*10*VLOOKUP($B2567,Sheet2!$J$5:$K$7,2,FALSE)*VLOOKUP(Sheet1!$A2567,Sheet2!$B$5:$H$29,5,FALSE),0)</x:f>
        <x:v>221</x:v>
      </x:c>
      <x:c r="G2567">
        <x:f>ROUND($C2567*10*VLOOKUP($B2567,Sheet2!$J$5:$K$7,2,FALSE)*VLOOKUP(Sheet1!$A2567,Sheet2!$B$5:$H$29,6,FALSE),0)</x:f>
        <x:v>0</x:v>
      </x:c>
      <x:c r="H2567">
        <x:f>ROUND($C2567*10*VLOOKUP($B2567,Sheet2!$J$5:$K$7,2,FALSE)*VLOOKUP(Sheet1!$A2567,Sheet2!$B$5:$H$29,7,FALSE),0)</x:f>
        <x:v>460</x:v>
      </x:c>
      <x:c r="I2567">
        <x:f t="shared" si="42"/>
        <x:v>20460</x:v>
      </x:c>
    </x:row>
    <x:row r="2568" spans="1:9" x14ac:dyDescent="0.15">
      <x:c r="A2568">
        <x:v>54105</x:v>
      </x:c>
      <x:c r="B2568">
        <x:v>1</x:v>
      </x:c>
      <x:c r="C2568">
        <x:v>47</x:v>
      </x:c>
      <x:c r="D2568">
        <x:f>ROUND($C2568*10*VLOOKUP($B2568,Sheet2!$J$5:$K$7,2,FALSE)*VLOOKUP(Sheet1!$A2568,Sheet2!$B$5:$H$29,3,FALSE),0)</x:f>
        <x:v>0</x:v>
      </x:c>
      <x:c r="E2568">
        <x:f>ROUND($C2568*10*VLOOKUP($B2568,Sheet2!$J$5:$K$7,2,FALSE)*VLOOKUP(Sheet1!$A2568,Sheet2!$B$5:$H$29,4,FALSE),0)</x:f>
        <x:v>0</x:v>
      </x:c>
      <x:c r="F2568">
        <x:f>ROUND($C2568*10*VLOOKUP($B2568,Sheet2!$J$5:$K$7,2,FALSE)*VLOOKUP(Sheet1!$A2568,Sheet2!$B$5:$H$29,5,FALSE),0)</x:f>
        <x:v>226</x:v>
      </x:c>
      <x:c r="G2568">
        <x:f>ROUND($C2568*10*VLOOKUP($B2568,Sheet2!$J$5:$K$7,2,FALSE)*VLOOKUP(Sheet1!$A2568,Sheet2!$B$5:$H$29,6,FALSE),0)</x:f>
        <x:v>0</x:v>
      </x:c>
      <x:c r="H2568">
        <x:f>ROUND($C2568*10*VLOOKUP($B2568,Sheet2!$J$5:$K$7,2,FALSE)*VLOOKUP(Sheet1!$A2568,Sheet2!$B$5:$H$29,7,FALSE),0)</x:f>
        <x:v>470</x:v>
      </x:c>
      <x:c r="I2568">
        <x:f t="shared" si="42"/>
        <x:v>21280</x:v>
      </x:c>
    </x:row>
    <x:row r="2569" spans="1:9" x14ac:dyDescent="0.15">
      <x:c r="A2569">
        <x:v>54105</x:v>
      </x:c>
      <x:c r="B2569">
        <x:v>1</x:v>
      </x:c>
      <x:c r="C2569">
        <x:v>48</x:v>
      </x:c>
      <x:c r="D2569">
        <x:f>ROUND($C2569*10*VLOOKUP($B2569,Sheet2!$J$5:$K$7,2,FALSE)*VLOOKUP(Sheet1!$A2569,Sheet2!$B$5:$H$29,3,FALSE),0)</x:f>
        <x:v>0</x:v>
      </x:c>
      <x:c r="E2569">
        <x:f>ROUND($C2569*10*VLOOKUP($B2569,Sheet2!$J$5:$K$7,2,FALSE)*VLOOKUP(Sheet1!$A2569,Sheet2!$B$5:$H$29,4,FALSE),0)</x:f>
        <x:v>0</x:v>
      </x:c>
      <x:c r="F2569">
        <x:f>ROUND($C2569*10*VLOOKUP($B2569,Sheet2!$J$5:$K$7,2,FALSE)*VLOOKUP(Sheet1!$A2569,Sheet2!$B$5:$H$29,5,FALSE),0)</x:f>
        <x:v>230</x:v>
      </x:c>
      <x:c r="G2569">
        <x:f>ROUND($C2569*10*VLOOKUP($B2569,Sheet2!$J$5:$K$7,2,FALSE)*VLOOKUP(Sheet1!$A2569,Sheet2!$B$5:$H$29,6,FALSE),0)</x:f>
        <x:v>0</x:v>
      </x:c>
      <x:c r="H2569">
        <x:f>ROUND($C2569*10*VLOOKUP($B2569,Sheet2!$J$5:$K$7,2,FALSE)*VLOOKUP(Sheet1!$A2569,Sheet2!$B$5:$H$29,7,FALSE),0)</x:f>
        <x:v>480</x:v>
      </x:c>
      <x:c r="I2569">
        <x:f t="shared" si="42"/>
        <x:v>22120</x:v>
      </x:c>
    </x:row>
    <x:row r="2570" spans="1:9" x14ac:dyDescent="0.15">
      <x:c r="A2570">
        <x:v>54105</x:v>
      </x:c>
      <x:c r="B2570">
        <x:v>1</x:v>
      </x:c>
      <x:c r="C2570">
        <x:v>49</x:v>
      </x:c>
      <x:c r="D2570">
        <x:f>ROUND($C2570*10*VLOOKUP($B2570,Sheet2!$J$5:$K$7,2,FALSE)*VLOOKUP(Sheet1!$A2570,Sheet2!$B$5:$H$29,3,FALSE),0)</x:f>
        <x:v>0</x:v>
      </x:c>
      <x:c r="E2570">
        <x:f>ROUND($C2570*10*VLOOKUP($B2570,Sheet2!$J$5:$K$7,2,FALSE)*VLOOKUP(Sheet1!$A2570,Sheet2!$B$5:$H$29,4,FALSE),0)</x:f>
        <x:v>0</x:v>
      </x:c>
      <x:c r="F2570">
        <x:f>ROUND($C2570*10*VLOOKUP($B2570,Sheet2!$J$5:$K$7,2,FALSE)*VLOOKUP(Sheet1!$A2570,Sheet2!$B$5:$H$29,5,FALSE),0)</x:f>
        <x:v>235</x:v>
      </x:c>
      <x:c r="G2570">
        <x:f>ROUND($C2570*10*VLOOKUP($B2570,Sheet2!$J$5:$K$7,2,FALSE)*VLOOKUP(Sheet1!$A2570,Sheet2!$B$5:$H$29,6,FALSE),0)</x:f>
        <x:v>0</x:v>
      </x:c>
      <x:c r="H2570">
        <x:f>ROUND($C2570*10*VLOOKUP($B2570,Sheet2!$J$5:$K$7,2,FALSE)*VLOOKUP(Sheet1!$A2570,Sheet2!$B$5:$H$29,7,FALSE),0)</x:f>
        <x:v>490</x:v>
      </x:c>
      <x:c r="I2570">
        <x:f t="shared" si="42"/>
        <x:v>22970</x:v>
      </x:c>
    </x:row>
    <x:row r="2571" spans="1:9" x14ac:dyDescent="0.15">
      <x:c r="A2571">
        <x:v>54105</x:v>
      </x:c>
      <x:c r="B2571">
        <x:v>1</x:v>
      </x:c>
      <x:c r="C2571">
        <x:v>50</x:v>
      </x:c>
      <x:c r="D2571">
        <x:f>ROUND($C2571*10*VLOOKUP($B2571,Sheet2!$J$5:$K$7,2,FALSE)*VLOOKUP(Sheet1!$A2571,Sheet2!$B$5:$H$29,3,FALSE),0)</x:f>
        <x:v>0</x:v>
      </x:c>
      <x:c r="E2571">
        <x:f>ROUND($C2571*10*VLOOKUP($B2571,Sheet2!$J$5:$K$7,2,FALSE)*VLOOKUP(Sheet1!$A2571,Sheet2!$B$5:$H$29,4,FALSE),0)</x:f>
        <x:v>0</x:v>
      </x:c>
      <x:c r="F2571">
        <x:f>ROUND($C2571*10*VLOOKUP($B2571,Sheet2!$J$5:$K$7,2,FALSE)*VLOOKUP(Sheet1!$A2571,Sheet2!$B$5:$H$29,5,FALSE),0)</x:f>
        <x:v>240</x:v>
      </x:c>
      <x:c r="G2571">
        <x:f>ROUND($C2571*10*VLOOKUP($B2571,Sheet2!$J$5:$K$7,2,FALSE)*VLOOKUP(Sheet1!$A2571,Sheet2!$B$5:$H$29,6,FALSE),0)</x:f>
        <x:v>0</x:v>
      </x:c>
      <x:c r="H2571">
        <x:f>ROUND($C2571*10*VLOOKUP($B2571,Sheet2!$J$5:$K$7,2,FALSE)*VLOOKUP(Sheet1!$A2571,Sheet2!$B$5:$H$29,7,FALSE),0)</x:f>
        <x:v>500</x:v>
      </x:c>
      <x:c r="I2571">
        <x:f t="shared" si="42"/>
        <x:v>23840</x:v>
      </x:c>
    </x:row>
    <x:row r="2572" spans="1:9" x14ac:dyDescent="0.15">
      <x:c r="A2572">
        <x:v>54105</x:v>
      </x:c>
      <x:c r="B2572">
        <x:v>1</x:v>
      </x:c>
      <x:c r="C2572">
        <x:v>51</x:v>
      </x:c>
      <x:c r="D2572">
        <x:f>ROUND($C2572*10*VLOOKUP($B2572,Sheet2!$J$5:$K$7,2,FALSE)*VLOOKUP(Sheet1!$A2572,Sheet2!$B$5:$H$29,3,FALSE),0)</x:f>
        <x:v>0</x:v>
      </x:c>
      <x:c r="E2572">
        <x:f>ROUND($C2572*10*VLOOKUP($B2572,Sheet2!$J$5:$K$7,2,FALSE)*VLOOKUP(Sheet1!$A2572,Sheet2!$B$5:$H$29,4,FALSE),0)</x:f>
        <x:v>0</x:v>
      </x:c>
      <x:c r="F2572">
        <x:f>ROUND($C2572*10*VLOOKUP($B2572,Sheet2!$J$5:$K$7,2,FALSE)*VLOOKUP(Sheet1!$A2572,Sheet2!$B$5:$H$29,5,FALSE),0)</x:f>
        <x:v>245</x:v>
      </x:c>
      <x:c r="G2572">
        <x:f>ROUND($C2572*10*VLOOKUP($B2572,Sheet2!$J$5:$K$7,2,FALSE)*VLOOKUP(Sheet1!$A2572,Sheet2!$B$5:$H$29,6,FALSE),0)</x:f>
        <x:v>0</x:v>
      </x:c>
      <x:c r="H2572">
        <x:f>ROUND($C2572*10*VLOOKUP($B2572,Sheet2!$J$5:$K$7,2,FALSE)*VLOOKUP(Sheet1!$A2572,Sheet2!$B$5:$H$29,7,FALSE),0)</x:f>
        <x:v>510</x:v>
      </x:c>
      <x:c r="I2572">
        <x:f t="shared" si="42"/>
        <x:v>24720</x:v>
      </x:c>
    </x:row>
    <x:row r="2573" spans="1:9" x14ac:dyDescent="0.15">
      <x:c r="A2573">
        <x:v>54105</x:v>
      </x:c>
      <x:c r="B2573">
        <x:v>1</x:v>
      </x:c>
      <x:c r="C2573">
        <x:v>52</x:v>
      </x:c>
      <x:c r="D2573">
        <x:f>ROUND($C2573*10*VLOOKUP($B2573,Sheet2!$J$5:$K$7,2,FALSE)*VLOOKUP(Sheet1!$A2573,Sheet2!$B$5:$H$29,3,FALSE),0)</x:f>
        <x:v>0</x:v>
      </x:c>
      <x:c r="E2573">
        <x:f>ROUND($C2573*10*VLOOKUP($B2573,Sheet2!$J$5:$K$7,2,FALSE)*VLOOKUP(Sheet1!$A2573,Sheet2!$B$5:$H$29,4,FALSE),0)</x:f>
        <x:v>0</x:v>
      </x:c>
      <x:c r="F2573">
        <x:f>ROUND($C2573*10*VLOOKUP($B2573,Sheet2!$J$5:$K$7,2,FALSE)*VLOOKUP(Sheet1!$A2573,Sheet2!$B$5:$H$29,5,FALSE),0)</x:f>
        <x:v>250</x:v>
      </x:c>
      <x:c r="G2573">
        <x:f>ROUND($C2573*10*VLOOKUP($B2573,Sheet2!$J$5:$K$7,2,FALSE)*VLOOKUP(Sheet1!$A2573,Sheet2!$B$5:$H$29,6,FALSE),0)</x:f>
        <x:v>0</x:v>
      </x:c>
      <x:c r="H2573">
        <x:f>ROUND($C2573*10*VLOOKUP($B2573,Sheet2!$J$5:$K$7,2,FALSE)*VLOOKUP(Sheet1!$A2573,Sheet2!$B$5:$H$29,7,FALSE),0)</x:f>
        <x:v>520</x:v>
      </x:c>
      <x:c r="I2573">
        <x:f t="shared" si="42"/>
        <x:v>25620</x:v>
      </x:c>
    </x:row>
    <x:row r="2574" spans="1:9" x14ac:dyDescent="0.15">
      <x:c r="A2574">
        <x:v>54105</x:v>
      </x:c>
      <x:c r="B2574">
        <x:v>1</x:v>
      </x:c>
      <x:c r="C2574">
        <x:v>53</x:v>
      </x:c>
      <x:c r="D2574">
        <x:f>ROUND($C2574*10*VLOOKUP($B2574,Sheet2!$J$5:$K$7,2,FALSE)*VLOOKUP(Sheet1!$A2574,Sheet2!$B$5:$H$29,3,FALSE),0)</x:f>
        <x:v>0</x:v>
      </x:c>
      <x:c r="E2574">
        <x:f>ROUND($C2574*10*VLOOKUP($B2574,Sheet2!$J$5:$K$7,2,FALSE)*VLOOKUP(Sheet1!$A2574,Sheet2!$B$5:$H$29,4,FALSE),0)</x:f>
        <x:v>0</x:v>
      </x:c>
      <x:c r="F2574">
        <x:f>ROUND($C2574*10*VLOOKUP($B2574,Sheet2!$J$5:$K$7,2,FALSE)*VLOOKUP(Sheet1!$A2574,Sheet2!$B$5:$H$29,5,FALSE),0)</x:f>
        <x:v>254</x:v>
      </x:c>
      <x:c r="G2574">
        <x:f>ROUND($C2574*10*VLOOKUP($B2574,Sheet2!$J$5:$K$7,2,FALSE)*VLOOKUP(Sheet1!$A2574,Sheet2!$B$5:$H$29,6,FALSE),0)</x:f>
        <x:v>0</x:v>
      </x:c>
      <x:c r="H2574">
        <x:f>ROUND($C2574*10*VLOOKUP($B2574,Sheet2!$J$5:$K$7,2,FALSE)*VLOOKUP(Sheet1!$A2574,Sheet2!$B$5:$H$29,7,FALSE),0)</x:f>
        <x:v>530</x:v>
      </x:c>
      <x:c r="I2574">
        <x:f t="shared" si="42"/>
        <x:v>26530</x:v>
      </x:c>
    </x:row>
    <x:row r="2575" spans="1:9" x14ac:dyDescent="0.15">
      <x:c r="A2575">
        <x:v>54105</x:v>
      </x:c>
      <x:c r="B2575">
        <x:v>1</x:v>
      </x:c>
      <x:c r="C2575">
        <x:v>54</x:v>
      </x:c>
      <x:c r="D2575">
        <x:f>ROUND($C2575*10*VLOOKUP($B2575,Sheet2!$J$5:$K$7,2,FALSE)*VLOOKUP(Sheet1!$A2575,Sheet2!$B$5:$H$29,3,FALSE),0)</x:f>
        <x:v>0</x:v>
      </x:c>
      <x:c r="E2575">
        <x:f>ROUND($C2575*10*VLOOKUP($B2575,Sheet2!$J$5:$K$7,2,FALSE)*VLOOKUP(Sheet1!$A2575,Sheet2!$B$5:$H$29,4,FALSE),0)</x:f>
        <x:v>0</x:v>
      </x:c>
      <x:c r="F2575">
        <x:f>ROUND($C2575*10*VLOOKUP($B2575,Sheet2!$J$5:$K$7,2,FALSE)*VLOOKUP(Sheet1!$A2575,Sheet2!$B$5:$H$29,5,FALSE),0)</x:f>
        <x:v>259</x:v>
      </x:c>
      <x:c r="G2575">
        <x:f>ROUND($C2575*10*VLOOKUP($B2575,Sheet2!$J$5:$K$7,2,FALSE)*VLOOKUP(Sheet1!$A2575,Sheet2!$B$5:$H$29,6,FALSE),0)</x:f>
        <x:v>0</x:v>
      </x:c>
      <x:c r="H2575">
        <x:f>ROUND($C2575*10*VLOOKUP($B2575,Sheet2!$J$5:$K$7,2,FALSE)*VLOOKUP(Sheet1!$A2575,Sheet2!$B$5:$H$29,7,FALSE),0)</x:f>
        <x:v>540</x:v>
      </x:c>
      <x:c r="I2575">
        <x:f t="shared" si="42"/>
        <x:v>27460</x:v>
      </x:c>
    </x:row>
    <x:row r="2576" spans="1:9" x14ac:dyDescent="0.15">
      <x:c r="A2576">
        <x:v>54105</x:v>
      </x:c>
      <x:c r="B2576">
        <x:v>1</x:v>
      </x:c>
      <x:c r="C2576">
        <x:v>55</x:v>
      </x:c>
      <x:c r="D2576">
        <x:f>ROUND($C2576*10*VLOOKUP($B2576,Sheet2!$J$5:$K$7,2,FALSE)*VLOOKUP(Sheet1!$A2576,Sheet2!$B$5:$H$29,3,FALSE),0)</x:f>
        <x:v>0</x:v>
      </x:c>
      <x:c r="E2576">
        <x:f>ROUND($C2576*10*VLOOKUP($B2576,Sheet2!$J$5:$K$7,2,FALSE)*VLOOKUP(Sheet1!$A2576,Sheet2!$B$5:$H$29,4,FALSE),0)</x:f>
        <x:v>0</x:v>
      </x:c>
      <x:c r="F2576">
        <x:f>ROUND($C2576*10*VLOOKUP($B2576,Sheet2!$J$5:$K$7,2,FALSE)*VLOOKUP(Sheet1!$A2576,Sheet2!$B$5:$H$29,5,FALSE),0)</x:f>
        <x:v>264</x:v>
      </x:c>
      <x:c r="G2576">
        <x:f>ROUND($C2576*10*VLOOKUP($B2576,Sheet2!$J$5:$K$7,2,FALSE)*VLOOKUP(Sheet1!$A2576,Sheet2!$B$5:$H$29,6,FALSE),0)</x:f>
        <x:v>0</x:v>
      </x:c>
      <x:c r="H2576">
        <x:f>ROUND($C2576*10*VLOOKUP($B2576,Sheet2!$J$5:$K$7,2,FALSE)*VLOOKUP(Sheet1!$A2576,Sheet2!$B$5:$H$29,7,FALSE),0)</x:f>
        <x:v>550</x:v>
      </x:c>
      <x:c r="I2576">
        <x:f t="shared" si="42"/>
        <x:v>28390</x:v>
      </x:c>
    </x:row>
    <x:row r="2577" spans="1:9" x14ac:dyDescent="0.15">
      <x:c r="A2577">
        <x:v>54105</x:v>
      </x:c>
      <x:c r="B2577">
        <x:v>1</x:v>
      </x:c>
      <x:c r="C2577">
        <x:v>56</x:v>
      </x:c>
      <x:c r="D2577">
        <x:f>ROUND($C2577*10*VLOOKUP($B2577,Sheet2!$J$5:$K$7,2,FALSE)*VLOOKUP(Sheet1!$A2577,Sheet2!$B$5:$H$29,3,FALSE),0)</x:f>
        <x:v>0</x:v>
      </x:c>
      <x:c r="E2577">
        <x:f>ROUND($C2577*10*VLOOKUP($B2577,Sheet2!$J$5:$K$7,2,FALSE)*VLOOKUP(Sheet1!$A2577,Sheet2!$B$5:$H$29,4,FALSE),0)</x:f>
        <x:v>0</x:v>
      </x:c>
      <x:c r="F2577">
        <x:f>ROUND($C2577*10*VLOOKUP($B2577,Sheet2!$J$5:$K$7,2,FALSE)*VLOOKUP(Sheet1!$A2577,Sheet2!$B$5:$H$29,5,FALSE),0)</x:f>
        <x:v>269</x:v>
      </x:c>
      <x:c r="G2577">
        <x:f>ROUND($C2577*10*VLOOKUP($B2577,Sheet2!$J$5:$K$7,2,FALSE)*VLOOKUP(Sheet1!$A2577,Sheet2!$B$5:$H$29,6,FALSE),0)</x:f>
        <x:v>0</x:v>
      </x:c>
      <x:c r="H2577">
        <x:f>ROUND($C2577*10*VLOOKUP($B2577,Sheet2!$J$5:$K$7,2,FALSE)*VLOOKUP(Sheet1!$A2577,Sheet2!$B$5:$H$29,7,FALSE),0)</x:f>
        <x:v>560</x:v>
      </x:c>
      <x:c r="I2577">
        <x:f t="shared" si="42"/>
        <x:v>29350</x:v>
      </x:c>
    </x:row>
    <x:row r="2578" spans="1:9" x14ac:dyDescent="0.15">
      <x:c r="A2578">
        <x:v>54105</x:v>
      </x:c>
      <x:c r="B2578">
        <x:v>1</x:v>
      </x:c>
      <x:c r="C2578">
        <x:v>57</x:v>
      </x:c>
      <x:c r="D2578">
        <x:f>ROUND($C2578*10*VLOOKUP($B2578,Sheet2!$J$5:$K$7,2,FALSE)*VLOOKUP(Sheet1!$A2578,Sheet2!$B$5:$H$29,3,FALSE),0)</x:f>
        <x:v>0</x:v>
      </x:c>
      <x:c r="E2578">
        <x:f>ROUND($C2578*10*VLOOKUP($B2578,Sheet2!$J$5:$K$7,2,FALSE)*VLOOKUP(Sheet1!$A2578,Sheet2!$B$5:$H$29,4,FALSE),0)</x:f>
        <x:v>0</x:v>
      </x:c>
      <x:c r="F2578">
        <x:f>ROUND($C2578*10*VLOOKUP($B2578,Sheet2!$J$5:$K$7,2,FALSE)*VLOOKUP(Sheet1!$A2578,Sheet2!$B$5:$H$29,5,FALSE),0)</x:f>
        <x:v>274</x:v>
      </x:c>
      <x:c r="G2578">
        <x:f>ROUND($C2578*10*VLOOKUP($B2578,Sheet2!$J$5:$K$7,2,FALSE)*VLOOKUP(Sheet1!$A2578,Sheet2!$B$5:$H$29,6,FALSE),0)</x:f>
        <x:v>0</x:v>
      </x:c>
      <x:c r="H2578">
        <x:f>ROUND($C2578*10*VLOOKUP($B2578,Sheet2!$J$5:$K$7,2,FALSE)*VLOOKUP(Sheet1!$A2578,Sheet2!$B$5:$H$29,7,FALSE),0)</x:f>
        <x:v>570</x:v>
      </x:c>
      <x:c r="I2578">
        <x:f t="shared" si="42"/>
        <x:v>30310</x:v>
      </x:c>
    </x:row>
    <x:row r="2579" spans="1:9" x14ac:dyDescent="0.15">
      <x:c r="A2579">
        <x:v>54105</x:v>
      </x:c>
      <x:c r="B2579">
        <x:v>1</x:v>
      </x:c>
      <x:c r="C2579">
        <x:v>58</x:v>
      </x:c>
      <x:c r="D2579">
        <x:f>ROUND($C2579*10*VLOOKUP($B2579,Sheet2!$J$5:$K$7,2,FALSE)*VLOOKUP(Sheet1!$A2579,Sheet2!$B$5:$H$29,3,FALSE),0)</x:f>
        <x:v>0</x:v>
      </x:c>
      <x:c r="E2579">
        <x:f>ROUND($C2579*10*VLOOKUP($B2579,Sheet2!$J$5:$K$7,2,FALSE)*VLOOKUP(Sheet1!$A2579,Sheet2!$B$5:$H$29,4,FALSE),0)</x:f>
        <x:v>0</x:v>
      </x:c>
      <x:c r="F2579">
        <x:f>ROUND($C2579*10*VLOOKUP($B2579,Sheet2!$J$5:$K$7,2,FALSE)*VLOOKUP(Sheet1!$A2579,Sheet2!$B$5:$H$29,5,FALSE),0)</x:f>
        <x:v>278</x:v>
      </x:c>
      <x:c r="G2579">
        <x:f>ROUND($C2579*10*VLOOKUP($B2579,Sheet2!$J$5:$K$7,2,FALSE)*VLOOKUP(Sheet1!$A2579,Sheet2!$B$5:$H$29,6,FALSE),0)</x:f>
        <x:v>0</x:v>
      </x:c>
      <x:c r="H2579">
        <x:f>ROUND($C2579*10*VLOOKUP($B2579,Sheet2!$J$5:$K$7,2,FALSE)*VLOOKUP(Sheet1!$A2579,Sheet2!$B$5:$H$29,7,FALSE),0)</x:f>
        <x:v>580</x:v>
      </x:c>
      <x:c r="I2579">
        <x:f t="shared" si="42"/>
        <x:v>31290</x:v>
      </x:c>
    </x:row>
    <x:row r="2580" spans="1:9" x14ac:dyDescent="0.15">
      <x:c r="A2580">
        <x:v>54105</x:v>
      </x:c>
      <x:c r="B2580">
        <x:v>1</x:v>
      </x:c>
      <x:c r="C2580">
        <x:v>59</x:v>
      </x:c>
      <x:c r="D2580">
        <x:f>ROUND($C2580*10*VLOOKUP($B2580,Sheet2!$J$5:$K$7,2,FALSE)*VLOOKUP(Sheet1!$A2580,Sheet2!$B$5:$H$29,3,FALSE),0)</x:f>
        <x:v>0</x:v>
      </x:c>
      <x:c r="E2580">
        <x:f>ROUND($C2580*10*VLOOKUP($B2580,Sheet2!$J$5:$K$7,2,FALSE)*VLOOKUP(Sheet1!$A2580,Sheet2!$B$5:$H$29,4,FALSE),0)</x:f>
        <x:v>0</x:v>
      </x:c>
      <x:c r="F2580">
        <x:f>ROUND($C2580*10*VLOOKUP($B2580,Sheet2!$J$5:$K$7,2,FALSE)*VLOOKUP(Sheet1!$A2580,Sheet2!$B$5:$H$29,5,FALSE),0)</x:f>
        <x:v>283</x:v>
      </x:c>
      <x:c r="G2580">
        <x:f>ROUND($C2580*10*VLOOKUP($B2580,Sheet2!$J$5:$K$7,2,FALSE)*VLOOKUP(Sheet1!$A2580,Sheet2!$B$5:$H$29,6,FALSE),0)</x:f>
        <x:v>0</x:v>
      </x:c>
      <x:c r="H2580">
        <x:f>ROUND($C2580*10*VLOOKUP($B2580,Sheet2!$J$5:$K$7,2,FALSE)*VLOOKUP(Sheet1!$A2580,Sheet2!$B$5:$H$29,7,FALSE),0)</x:f>
        <x:v>590</x:v>
      </x:c>
      <x:c r="I2580">
        <x:f t="shared" si="42"/>
        <x:v>32290</x:v>
      </x:c>
    </x:row>
    <x:row r="2581" spans="1:9" x14ac:dyDescent="0.15">
      <x:c r="A2581">
        <x:v>54105</x:v>
      </x:c>
      <x:c r="B2581">
        <x:v>1</x:v>
      </x:c>
      <x:c r="C2581">
        <x:v>60</x:v>
      </x:c>
      <x:c r="D2581">
        <x:f>ROUND($C2581*10*VLOOKUP($B2581,Sheet2!$J$5:$K$7,2,FALSE)*VLOOKUP(Sheet1!$A2581,Sheet2!$B$5:$H$29,3,FALSE),0)</x:f>
        <x:v>0</x:v>
      </x:c>
      <x:c r="E2581">
        <x:f>ROUND($C2581*10*VLOOKUP($B2581,Sheet2!$J$5:$K$7,2,FALSE)*VLOOKUP(Sheet1!$A2581,Sheet2!$B$5:$H$29,4,FALSE),0)</x:f>
        <x:v>0</x:v>
      </x:c>
      <x:c r="F2581">
        <x:f>ROUND($C2581*10*VLOOKUP($B2581,Sheet2!$J$5:$K$7,2,FALSE)*VLOOKUP(Sheet1!$A2581,Sheet2!$B$5:$H$29,5,FALSE),0)</x:f>
        <x:v>288</x:v>
      </x:c>
      <x:c r="G2581">
        <x:f>ROUND($C2581*10*VLOOKUP($B2581,Sheet2!$J$5:$K$7,2,FALSE)*VLOOKUP(Sheet1!$A2581,Sheet2!$B$5:$H$29,6,FALSE),0)</x:f>
        <x:v>0</x:v>
      </x:c>
      <x:c r="H2581">
        <x:f>ROUND($C2581*10*VLOOKUP($B2581,Sheet2!$J$5:$K$7,2,FALSE)*VLOOKUP(Sheet1!$A2581,Sheet2!$B$5:$H$29,7,FALSE),0)</x:f>
        <x:v>600</x:v>
      </x:c>
      <x:c r="I2581">
        <x:f t="shared" si="42"/>
        <x:v>33290</x:v>
      </x:c>
    </x:row>
    <x:row r="2582" spans="1:9" x14ac:dyDescent="0.15">
      <x:c r="A2582">
        <x:v>54105</x:v>
      </x:c>
      <x:c r="B2582">
        <x:v>2</x:v>
      </x:c>
      <x:c r="C2582">
        <x:v>1</x:v>
      </x:c>
      <x:c r="D2582">
        <x:f>ROUND($C2582*10*VLOOKUP($B2582,Sheet2!$J$5:$K$7,2,FALSE)*VLOOKUP(Sheet1!$A2582,Sheet2!$B$5:$H$29,3,FALSE),0)</x:f>
        <x:v>0</x:v>
      </x:c>
      <x:c r="E2582">
        <x:f>ROUND($C2582*10*VLOOKUP($B2582,Sheet2!$J$5:$K$7,2,FALSE)*VLOOKUP(Sheet1!$A2582,Sheet2!$B$5:$H$29,4,FALSE),0)</x:f>
        <x:v>0</x:v>
      </x:c>
      <x:c r="F2582">
        <x:f>ROUND($C2582*10*VLOOKUP($B2582,Sheet2!$J$5:$K$7,2,FALSE)*VLOOKUP(Sheet1!$A2582,Sheet2!$B$5:$H$29,5,FALSE),0)</x:f>
        <x:v>6</x:v>
      </x:c>
      <x:c r="G2582">
        <x:f>ROUND($C2582*10*VLOOKUP($B2582,Sheet2!$J$5:$K$7,2,FALSE)*VLOOKUP(Sheet1!$A2582,Sheet2!$B$5:$H$29,6,FALSE),0)</x:f>
        <x:v>0</x:v>
      </x:c>
      <x:c r="H2582">
        <x:f>ROUND($C2582*10*VLOOKUP($B2582,Sheet2!$J$5:$K$7,2,FALSE)*VLOOKUP(Sheet1!$A2582,Sheet2!$B$5:$H$29,7,FALSE),0)</x:f>
        <x:v>12</x:v>
      </x:c>
      <x:c r="I2582">
        <x:f t="shared" ref="I2582:I2641" si="43">ROUND(1.2*10*3.5*(C2582-1)^1.8+60,-1)</x:f>
        <x:v>60</x:v>
      </x:c>
    </x:row>
    <x:row r="2583" spans="1:9" x14ac:dyDescent="0.15">
      <x:c r="A2583">
        <x:v>54105</x:v>
      </x:c>
      <x:c r="B2583">
        <x:v>2</x:v>
      </x:c>
      <x:c r="C2583">
        <x:v>2</x:v>
      </x:c>
      <x:c r="D2583">
        <x:f>ROUND($C2583*10*VLOOKUP($B2583,Sheet2!$J$5:$K$7,2,FALSE)*VLOOKUP(Sheet1!$A2583,Sheet2!$B$5:$H$29,3,FALSE),0)</x:f>
        <x:v>0</x:v>
      </x:c>
      <x:c r="E2583">
        <x:f>ROUND($C2583*10*VLOOKUP($B2583,Sheet2!$J$5:$K$7,2,FALSE)*VLOOKUP(Sheet1!$A2583,Sheet2!$B$5:$H$29,4,FALSE),0)</x:f>
        <x:v>0</x:v>
      </x:c>
      <x:c r="F2583">
        <x:f>ROUND($C2583*10*VLOOKUP($B2583,Sheet2!$J$5:$K$7,2,FALSE)*VLOOKUP(Sheet1!$A2583,Sheet2!$B$5:$H$29,5,FALSE),0)</x:f>
        <x:v>12</x:v>
      </x:c>
      <x:c r="G2583">
        <x:f>ROUND($C2583*10*VLOOKUP($B2583,Sheet2!$J$5:$K$7,2,FALSE)*VLOOKUP(Sheet1!$A2583,Sheet2!$B$5:$H$29,6,FALSE),0)</x:f>
        <x:v>0</x:v>
      </x:c>
      <x:c r="H2583">
        <x:f>ROUND($C2583*10*VLOOKUP($B2583,Sheet2!$J$5:$K$7,2,FALSE)*VLOOKUP(Sheet1!$A2583,Sheet2!$B$5:$H$29,7,FALSE),0)</x:f>
        <x:v>24</x:v>
      </x:c>
      <x:c r="I2583">
        <x:f t="shared" si="43"/>
        <x:v>100</x:v>
      </x:c>
    </x:row>
    <x:row r="2584" spans="1:9" x14ac:dyDescent="0.15">
      <x:c r="A2584">
        <x:v>54105</x:v>
      </x:c>
      <x:c r="B2584">
        <x:v>2</x:v>
      </x:c>
      <x:c r="C2584">
        <x:v>3</x:v>
      </x:c>
      <x:c r="D2584">
        <x:f>ROUND($C2584*10*VLOOKUP($B2584,Sheet2!$J$5:$K$7,2,FALSE)*VLOOKUP(Sheet1!$A2584,Sheet2!$B$5:$H$29,3,FALSE),0)</x:f>
        <x:v>0</x:v>
      </x:c>
      <x:c r="E2584">
        <x:f>ROUND($C2584*10*VLOOKUP($B2584,Sheet2!$J$5:$K$7,2,FALSE)*VLOOKUP(Sheet1!$A2584,Sheet2!$B$5:$H$29,4,FALSE),0)</x:f>
        <x:v>0</x:v>
      </x:c>
      <x:c r="F2584">
        <x:f>ROUND($C2584*10*VLOOKUP($B2584,Sheet2!$J$5:$K$7,2,FALSE)*VLOOKUP(Sheet1!$A2584,Sheet2!$B$5:$H$29,5,FALSE),0)</x:f>
        <x:v>17</x:v>
      </x:c>
      <x:c r="G2584">
        <x:f>ROUND($C2584*10*VLOOKUP($B2584,Sheet2!$J$5:$K$7,2,FALSE)*VLOOKUP(Sheet1!$A2584,Sheet2!$B$5:$H$29,6,FALSE),0)</x:f>
        <x:v>0</x:v>
      </x:c>
      <x:c r="H2584">
        <x:f>ROUND($C2584*10*VLOOKUP($B2584,Sheet2!$J$5:$K$7,2,FALSE)*VLOOKUP(Sheet1!$A2584,Sheet2!$B$5:$H$29,7,FALSE),0)</x:f>
        <x:v>36</x:v>
      </x:c>
      <x:c r="I2584">
        <x:f t="shared" si="43"/>
        <x:v>210</x:v>
      </x:c>
    </x:row>
    <x:row r="2585" spans="1:9" x14ac:dyDescent="0.15">
      <x:c r="A2585">
        <x:v>54105</x:v>
      </x:c>
      <x:c r="B2585">
        <x:v>2</x:v>
      </x:c>
      <x:c r="C2585">
        <x:v>4</x:v>
      </x:c>
      <x:c r="D2585">
        <x:f>ROUND($C2585*10*VLOOKUP($B2585,Sheet2!$J$5:$K$7,2,FALSE)*VLOOKUP(Sheet1!$A2585,Sheet2!$B$5:$H$29,3,FALSE),0)</x:f>
        <x:v>0</x:v>
      </x:c>
      <x:c r="E2585">
        <x:f>ROUND($C2585*10*VLOOKUP($B2585,Sheet2!$J$5:$K$7,2,FALSE)*VLOOKUP(Sheet1!$A2585,Sheet2!$B$5:$H$29,4,FALSE),0)</x:f>
        <x:v>0</x:v>
      </x:c>
      <x:c r="F2585">
        <x:f>ROUND($C2585*10*VLOOKUP($B2585,Sheet2!$J$5:$K$7,2,FALSE)*VLOOKUP(Sheet1!$A2585,Sheet2!$B$5:$H$29,5,FALSE),0)</x:f>
        <x:v>23</x:v>
      </x:c>
      <x:c r="G2585">
        <x:f>ROUND($C2585*10*VLOOKUP($B2585,Sheet2!$J$5:$K$7,2,FALSE)*VLOOKUP(Sheet1!$A2585,Sheet2!$B$5:$H$29,6,FALSE),0)</x:f>
        <x:v>0</x:v>
      </x:c>
      <x:c r="H2585">
        <x:f>ROUND($C2585*10*VLOOKUP($B2585,Sheet2!$J$5:$K$7,2,FALSE)*VLOOKUP(Sheet1!$A2585,Sheet2!$B$5:$H$29,7,FALSE),0)</x:f>
        <x:v>48</x:v>
      </x:c>
      <x:c r="I2585">
        <x:f t="shared" si="43"/>
        <x:v>360</x:v>
      </x:c>
    </x:row>
    <x:row r="2586" spans="1:9" x14ac:dyDescent="0.15">
      <x:c r="A2586">
        <x:v>54105</x:v>
      </x:c>
      <x:c r="B2586">
        <x:v>2</x:v>
      </x:c>
      <x:c r="C2586">
        <x:v>5</x:v>
      </x:c>
      <x:c r="D2586">
        <x:f>ROUND($C2586*10*VLOOKUP($B2586,Sheet2!$J$5:$K$7,2,FALSE)*VLOOKUP(Sheet1!$A2586,Sheet2!$B$5:$H$29,3,FALSE),0)</x:f>
        <x:v>0</x:v>
      </x:c>
      <x:c r="E2586">
        <x:f>ROUND($C2586*10*VLOOKUP($B2586,Sheet2!$J$5:$K$7,2,FALSE)*VLOOKUP(Sheet1!$A2586,Sheet2!$B$5:$H$29,4,FALSE),0)</x:f>
        <x:v>0</x:v>
      </x:c>
      <x:c r="F2586">
        <x:f>ROUND($C2586*10*VLOOKUP($B2586,Sheet2!$J$5:$K$7,2,FALSE)*VLOOKUP(Sheet1!$A2586,Sheet2!$B$5:$H$29,5,FALSE),0)</x:f>
        <x:v>29</x:v>
      </x:c>
      <x:c r="G2586">
        <x:f>ROUND($C2586*10*VLOOKUP($B2586,Sheet2!$J$5:$K$7,2,FALSE)*VLOOKUP(Sheet1!$A2586,Sheet2!$B$5:$H$29,6,FALSE),0)</x:f>
        <x:v>0</x:v>
      </x:c>
      <x:c r="H2586">
        <x:f>ROUND($C2586*10*VLOOKUP($B2586,Sheet2!$J$5:$K$7,2,FALSE)*VLOOKUP(Sheet1!$A2586,Sheet2!$B$5:$H$29,7,FALSE),0)</x:f>
        <x:v>60</x:v>
      </x:c>
      <x:c r="I2586">
        <x:f t="shared" si="43"/>
        <x:v>570</x:v>
      </x:c>
    </x:row>
    <x:row r="2587" spans="1:9" x14ac:dyDescent="0.15">
      <x:c r="A2587">
        <x:v>54105</x:v>
      </x:c>
      <x:c r="B2587">
        <x:v>2</x:v>
      </x:c>
      <x:c r="C2587">
        <x:v>6</x:v>
      </x:c>
      <x:c r="D2587">
        <x:f>ROUND($C2587*10*VLOOKUP($B2587,Sheet2!$J$5:$K$7,2,FALSE)*VLOOKUP(Sheet1!$A2587,Sheet2!$B$5:$H$29,3,FALSE),0)</x:f>
        <x:v>0</x:v>
      </x:c>
      <x:c r="E2587">
        <x:f>ROUND($C2587*10*VLOOKUP($B2587,Sheet2!$J$5:$K$7,2,FALSE)*VLOOKUP(Sheet1!$A2587,Sheet2!$B$5:$H$29,4,FALSE),0)</x:f>
        <x:v>0</x:v>
      </x:c>
      <x:c r="F2587">
        <x:f>ROUND($C2587*10*VLOOKUP($B2587,Sheet2!$J$5:$K$7,2,FALSE)*VLOOKUP(Sheet1!$A2587,Sheet2!$B$5:$H$29,5,FALSE),0)</x:f>
        <x:v>35</x:v>
      </x:c>
      <x:c r="G2587">
        <x:f>ROUND($C2587*10*VLOOKUP($B2587,Sheet2!$J$5:$K$7,2,FALSE)*VLOOKUP(Sheet1!$A2587,Sheet2!$B$5:$H$29,6,FALSE),0)</x:f>
        <x:v>0</x:v>
      </x:c>
      <x:c r="H2587">
        <x:f>ROUND($C2587*10*VLOOKUP($B2587,Sheet2!$J$5:$K$7,2,FALSE)*VLOOKUP(Sheet1!$A2587,Sheet2!$B$5:$H$29,7,FALSE),0)</x:f>
        <x:v>72</x:v>
      </x:c>
      <x:c r="I2587">
        <x:f t="shared" si="43"/>
        <x:v>820</x:v>
      </x:c>
    </x:row>
    <x:row r="2588" spans="1:9" x14ac:dyDescent="0.15">
      <x:c r="A2588">
        <x:v>54105</x:v>
      </x:c>
      <x:c r="B2588">
        <x:v>2</x:v>
      </x:c>
      <x:c r="C2588">
        <x:v>7</x:v>
      </x:c>
      <x:c r="D2588">
        <x:f>ROUND($C2588*10*VLOOKUP($B2588,Sheet2!$J$5:$K$7,2,FALSE)*VLOOKUP(Sheet1!$A2588,Sheet2!$B$5:$H$29,3,FALSE),0)</x:f>
        <x:v>0</x:v>
      </x:c>
      <x:c r="E2588">
        <x:f>ROUND($C2588*10*VLOOKUP($B2588,Sheet2!$J$5:$K$7,2,FALSE)*VLOOKUP(Sheet1!$A2588,Sheet2!$B$5:$H$29,4,FALSE),0)</x:f>
        <x:v>0</x:v>
      </x:c>
      <x:c r="F2588">
        <x:f>ROUND($C2588*10*VLOOKUP($B2588,Sheet2!$J$5:$K$7,2,FALSE)*VLOOKUP(Sheet1!$A2588,Sheet2!$B$5:$H$29,5,FALSE),0)</x:f>
        <x:v>40</x:v>
      </x:c>
      <x:c r="G2588">
        <x:f>ROUND($C2588*10*VLOOKUP($B2588,Sheet2!$J$5:$K$7,2,FALSE)*VLOOKUP(Sheet1!$A2588,Sheet2!$B$5:$H$29,6,FALSE),0)</x:f>
        <x:v>0</x:v>
      </x:c>
      <x:c r="H2588">
        <x:f>ROUND($C2588*10*VLOOKUP($B2588,Sheet2!$J$5:$K$7,2,FALSE)*VLOOKUP(Sheet1!$A2588,Sheet2!$B$5:$H$29,7,FALSE),0)</x:f>
        <x:v>84</x:v>
      </x:c>
      <x:c r="I2588">
        <x:f t="shared" si="43"/>
        <x:v>1120</x:v>
      </x:c>
    </x:row>
    <x:row r="2589" spans="1:9" x14ac:dyDescent="0.15">
      <x:c r="A2589">
        <x:v>54105</x:v>
      </x:c>
      <x:c r="B2589">
        <x:v>2</x:v>
      </x:c>
      <x:c r="C2589">
        <x:v>8</x:v>
      </x:c>
      <x:c r="D2589">
        <x:f>ROUND($C2589*10*VLOOKUP($B2589,Sheet2!$J$5:$K$7,2,FALSE)*VLOOKUP(Sheet1!$A2589,Sheet2!$B$5:$H$29,3,FALSE),0)</x:f>
        <x:v>0</x:v>
      </x:c>
      <x:c r="E2589">
        <x:f>ROUND($C2589*10*VLOOKUP($B2589,Sheet2!$J$5:$K$7,2,FALSE)*VLOOKUP(Sheet1!$A2589,Sheet2!$B$5:$H$29,4,FALSE),0)</x:f>
        <x:v>0</x:v>
      </x:c>
      <x:c r="F2589">
        <x:f>ROUND($C2589*10*VLOOKUP($B2589,Sheet2!$J$5:$K$7,2,FALSE)*VLOOKUP(Sheet1!$A2589,Sheet2!$B$5:$H$29,5,FALSE),0)</x:f>
        <x:v>46</x:v>
      </x:c>
      <x:c r="G2589">
        <x:f>ROUND($C2589*10*VLOOKUP($B2589,Sheet2!$J$5:$K$7,2,FALSE)*VLOOKUP(Sheet1!$A2589,Sheet2!$B$5:$H$29,6,FALSE),0)</x:f>
        <x:v>0</x:v>
      </x:c>
      <x:c r="H2589">
        <x:f>ROUND($C2589*10*VLOOKUP($B2589,Sheet2!$J$5:$K$7,2,FALSE)*VLOOKUP(Sheet1!$A2589,Sheet2!$B$5:$H$29,7,FALSE),0)</x:f>
        <x:v>96</x:v>
      </x:c>
      <x:c r="I2589">
        <x:f t="shared" si="43"/>
        <x:v>1450</x:v>
      </x:c>
    </x:row>
    <x:row r="2590" spans="1:9" x14ac:dyDescent="0.15">
      <x:c r="A2590">
        <x:v>54105</x:v>
      </x:c>
      <x:c r="B2590">
        <x:v>2</x:v>
      </x:c>
      <x:c r="C2590">
        <x:v>9</x:v>
      </x:c>
      <x:c r="D2590">
        <x:f>ROUND($C2590*10*VLOOKUP($B2590,Sheet2!$J$5:$K$7,2,FALSE)*VLOOKUP(Sheet1!$A2590,Sheet2!$B$5:$H$29,3,FALSE),0)</x:f>
        <x:v>0</x:v>
      </x:c>
      <x:c r="E2590">
        <x:f>ROUND($C2590*10*VLOOKUP($B2590,Sheet2!$J$5:$K$7,2,FALSE)*VLOOKUP(Sheet1!$A2590,Sheet2!$B$5:$H$29,4,FALSE),0)</x:f>
        <x:v>0</x:v>
      </x:c>
      <x:c r="F2590">
        <x:f>ROUND($C2590*10*VLOOKUP($B2590,Sheet2!$J$5:$K$7,2,FALSE)*VLOOKUP(Sheet1!$A2590,Sheet2!$B$5:$H$29,5,FALSE),0)</x:f>
        <x:v>52</x:v>
      </x:c>
      <x:c r="G2590">
        <x:f>ROUND($C2590*10*VLOOKUP($B2590,Sheet2!$J$5:$K$7,2,FALSE)*VLOOKUP(Sheet1!$A2590,Sheet2!$B$5:$H$29,6,FALSE),0)</x:f>
        <x:v>0</x:v>
      </x:c>
      <x:c r="H2590">
        <x:f>ROUND($C2590*10*VLOOKUP($B2590,Sheet2!$J$5:$K$7,2,FALSE)*VLOOKUP(Sheet1!$A2590,Sheet2!$B$5:$H$29,7,FALSE),0)</x:f>
        <x:v>108</x:v>
      </x:c>
      <x:c r="I2590">
        <x:f t="shared" si="43"/>
        <x:v>1830</x:v>
      </x:c>
    </x:row>
    <x:row r="2591" spans="1:9" x14ac:dyDescent="0.15">
      <x:c r="A2591">
        <x:v>54105</x:v>
      </x:c>
      <x:c r="B2591">
        <x:v>2</x:v>
      </x:c>
      <x:c r="C2591">
        <x:v>10</x:v>
      </x:c>
      <x:c r="D2591">
        <x:f>ROUND($C2591*10*VLOOKUP($B2591,Sheet2!$J$5:$K$7,2,FALSE)*VLOOKUP(Sheet1!$A2591,Sheet2!$B$5:$H$29,3,FALSE),0)</x:f>
        <x:v>0</x:v>
      </x:c>
      <x:c r="E2591">
        <x:f>ROUND($C2591*10*VLOOKUP($B2591,Sheet2!$J$5:$K$7,2,FALSE)*VLOOKUP(Sheet1!$A2591,Sheet2!$B$5:$H$29,4,FALSE),0)</x:f>
        <x:v>0</x:v>
      </x:c>
      <x:c r="F2591">
        <x:f>ROUND($C2591*10*VLOOKUP($B2591,Sheet2!$J$5:$K$7,2,FALSE)*VLOOKUP(Sheet1!$A2591,Sheet2!$B$5:$H$29,5,FALSE),0)</x:f>
        <x:v>58</x:v>
      </x:c>
      <x:c r="G2591">
        <x:f>ROUND($C2591*10*VLOOKUP($B2591,Sheet2!$J$5:$K$7,2,FALSE)*VLOOKUP(Sheet1!$A2591,Sheet2!$B$5:$H$29,6,FALSE),0)</x:f>
        <x:v>0</x:v>
      </x:c>
      <x:c r="H2591">
        <x:f>ROUND($C2591*10*VLOOKUP($B2591,Sheet2!$J$5:$K$7,2,FALSE)*VLOOKUP(Sheet1!$A2591,Sheet2!$B$5:$H$29,7,FALSE),0)</x:f>
        <x:v>120</x:v>
      </x:c>
      <x:c r="I2591">
        <x:f t="shared" si="43"/>
        <x:v>2250</x:v>
      </x:c>
    </x:row>
    <x:row r="2592" spans="1:9" x14ac:dyDescent="0.15">
      <x:c r="A2592">
        <x:v>54105</x:v>
      </x:c>
      <x:c r="B2592">
        <x:v>2</x:v>
      </x:c>
      <x:c r="C2592">
        <x:v>11</x:v>
      </x:c>
      <x:c r="D2592">
        <x:f>ROUND($C2592*10*VLOOKUP($B2592,Sheet2!$J$5:$K$7,2,FALSE)*VLOOKUP(Sheet1!$A2592,Sheet2!$B$5:$H$29,3,FALSE),0)</x:f>
        <x:v>0</x:v>
      </x:c>
      <x:c r="E2592">
        <x:f>ROUND($C2592*10*VLOOKUP($B2592,Sheet2!$J$5:$K$7,2,FALSE)*VLOOKUP(Sheet1!$A2592,Sheet2!$B$5:$H$29,4,FALSE),0)</x:f>
        <x:v>0</x:v>
      </x:c>
      <x:c r="F2592">
        <x:f>ROUND($C2592*10*VLOOKUP($B2592,Sheet2!$J$5:$K$7,2,FALSE)*VLOOKUP(Sheet1!$A2592,Sheet2!$B$5:$H$29,5,FALSE),0)</x:f>
        <x:v>63</x:v>
      </x:c>
      <x:c r="G2592">
        <x:f>ROUND($C2592*10*VLOOKUP($B2592,Sheet2!$J$5:$K$7,2,FALSE)*VLOOKUP(Sheet1!$A2592,Sheet2!$B$5:$H$29,6,FALSE),0)</x:f>
        <x:v>0</x:v>
      </x:c>
      <x:c r="H2592">
        <x:f>ROUND($C2592*10*VLOOKUP($B2592,Sheet2!$J$5:$K$7,2,FALSE)*VLOOKUP(Sheet1!$A2592,Sheet2!$B$5:$H$29,7,FALSE),0)</x:f>
        <x:v>132</x:v>
      </x:c>
      <x:c r="I2592">
        <x:f t="shared" si="43"/>
        <x:v>2710</x:v>
      </x:c>
    </x:row>
    <x:row r="2593" spans="1:9" x14ac:dyDescent="0.15">
      <x:c r="A2593">
        <x:v>54105</x:v>
      </x:c>
      <x:c r="B2593">
        <x:v>2</x:v>
      </x:c>
      <x:c r="C2593">
        <x:v>12</x:v>
      </x:c>
      <x:c r="D2593">
        <x:f>ROUND($C2593*10*VLOOKUP($B2593,Sheet2!$J$5:$K$7,2,FALSE)*VLOOKUP(Sheet1!$A2593,Sheet2!$B$5:$H$29,3,FALSE),0)</x:f>
        <x:v>0</x:v>
      </x:c>
      <x:c r="E2593">
        <x:f>ROUND($C2593*10*VLOOKUP($B2593,Sheet2!$J$5:$K$7,2,FALSE)*VLOOKUP(Sheet1!$A2593,Sheet2!$B$5:$H$29,4,FALSE),0)</x:f>
        <x:v>0</x:v>
      </x:c>
      <x:c r="F2593">
        <x:f>ROUND($C2593*10*VLOOKUP($B2593,Sheet2!$J$5:$K$7,2,FALSE)*VLOOKUP(Sheet1!$A2593,Sheet2!$B$5:$H$29,5,FALSE),0)</x:f>
        <x:v>69</x:v>
      </x:c>
      <x:c r="G2593">
        <x:f>ROUND($C2593*10*VLOOKUP($B2593,Sheet2!$J$5:$K$7,2,FALSE)*VLOOKUP(Sheet1!$A2593,Sheet2!$B$5:$H$29,6,FALSE),0)</x:f>
        <x:v>0</x:v>
      </x:c>
      <x:c r="H2593">
        <x:f>ROUND($C2593*10*VLOOKUP($B2593,Sheet2!$J$5:$K$7,2,FALSE)*VLOOKUP(Sheet1!$A2593,Sheet2!$B$5:$H$29,7,FALSE),0)</x:f>
        <x:v>144</x:v>
      </x:c>
      <x:c r="I2593">
        <x:f t="shared" si="43"/>
        <x:v>3210</x:v>
      </x:c>
    </x:row>
    <x:row r="2594" spans="1:9" x14ac:dyDescent="0.15">
      <x:c r="A2594">
        <x:v>54105</x:v>
      </x:c>
      <x:c r="B2594">
        <x:v>2</x:v>
      </x:c>
      <x:c r="C2594">
        <x:v>13</x:v>
      </x:c>
      <x:c r="D2594">
        <x:f>ROUND($C2594*10*VLOOKUP($B2594,Sheet2!$J$5:$K$7,2,FALSE)*VLOOKUP(Sheet1!$A2594,Sheet2!$B$5:$H$29,3,FALSE),0)</x:f>
        <x:v>0</x:v>
      </x:c>
      <x:c r="E2594">
        <x:f>ROUND($C2594*10*VLOOKUP($B2594,Sheet2!$J$5:$K$7,2,FALSE)*VLOOKUP(Sheet1!$A2594,Sheet2!$B$5:$H$29,4,FALSE),0)</x:f>
        <x:v>0</x:v>
      </x:c>
      <x:c r="F2594">
        <x:f>ROUND($C2594*10*VLOOKUP($B2594,Sheet2!$J$5:$K$7,2,FALSE)*VLOOKUP(Sheet1!$A2594,Sheet2!$B$5:$H$29,5,FALSE),0)</x:f>
        <x:v>75</x:v>
      </x:c>
      <x:c r="G2594">
        <x:f>ROUND($C2594*10*VLOOKUP($B2594,Sheet2!$J$5:$K$7,2,FALSE)*VLOOKUP(Sheet1!$A2594,Sheet2!$B$5:$H$29,6,FALSE),0)</x:f>
        <x:v>0</x:v>
      </x:c>
      <x:c r="H2594">
        <x:f>ROUND($C2594*10*VLOOKUP($B2594,Sheet2!$J$5:$K$7,2,FALSE)*VLOOKUP(Sheet1!$A2594,Sheet2!$B$5:$H$29,7,FALSE),0)</x:f>
        <x:v>156</x:v>
      </x:c>
      <x:c r="I2594">
        <x:f t="shared" si="43"/>
        <x:v>3740</x:v>
      </x:c>
    </x:row>
    <x:row r="2595" spans="1:9" x14ac:dyDescent="0.15">
      <x:c r="A2595">
        <x:v>54105</x:v>
      </x:c>
      <x:c r="B2595">
        <x:v>2</x:v>
      </x:c>
      <x:c r="C2595">
        <x:v>14</x:v>
      </x:c>
      <x:c r="D2595">
        <x:f>ROUND($C2595*10*VLOOKUP($B2595,Sheet2!$J$5:$K$7,2,FALSE)*VLOOKUP(Sheet1!$A2595,Sheet2!$B$5:$H$29,3,FALSE),0)</x:f>
        <x:v>0</x:v>
      </x:c>
      <x:c r="E2595">
        <x:f>ROUND($C2595*10*VLOOKUP($B2595,Sheet2!$J$5:$K$7,2,FALSE)*VLOOKUP(Sheet1!$A2595,Sheet2!$B$5:$H$29,4,FALSE),0)</x:f>
        <x:v>0</x:v>
      </x:c>
      <x:c r="F2595">
        <x:f>ROUND($C2595*10*VLOOKUP($B2595,Sheet2!$J$5:$K$7,2,FALSE)*VLOOKUP(Sheet1!$A2595,Sheet2!$B$5:$H$29,5,FALSE),0)</x:f>
        <x:v>81</x:v>
      </x:c>
      <x:c r="G2595">
        <x:f>ROUND($C2595*10*VLOOKUP($B2595,Sheet2!$J$5:$K$7,2,FALSE)*VLOOKUP(Sheet1!$A2595,Sheet2!$B$5:$H$29,6,FALSE),0)</x:f>
        <x:v>0</x:v>
      </x:c>
      <x:c r="H2595">
        <x:f>ROUND($C2595*10*VLOOKUP($B2595,Sheet2!$J$5:$K$7,2,FALSE)*VLOOKUP(Sheet1!$A2595,Sheet2!$B$5:$H$29,7,FALSE),0)</x:f>
        <x:v>168</x:v>
      </x:c>
      <x:c r="I2595">
        <x:f t="shared" si="43"/>
        <x:v>4310</x:v>
      </x:c>
    </x:row>
    <x:row r="2596" spans="1:9" x14ac:dyDescent="0.15">
      <x:c r="A2596">
        <x:v>54105</x:v>
      </x:c>
      <x:c r="B2596">
        <x:v>2</x:v>
      </x:c>
      <x:c r="C2596">
        <x:v>15</x:v>
      </x:c>
      <x:c r="D2596">
        <x:f>ROUND($C2596*10*VLOOKUP($B2596,Sheet2!$J$5:$K$7,2,FALSE)*VLOOKUP(Sheet1!$A2596,Sheet2!$B$5:$H$29,3,FALSE),0)</x:f>
        <x:v>0</x:v>
      </x:c>
      <x:c r="E2596">
        <x:f>ROUND($C2596*10*VLOOKUP($B2596,Sheet2!$J$5:$K$7,2,FALSE)*VLOOKUP(Sheet1!$A2596,Sheet2!$B$5:$H$29,4,FALSE),0)</x:f>
        <x:v>0</x:v>
      </x:c>
      <x:c r="F2596">
        <x:f>ROUND($C2596*10*VLOOKUP($B2596,Sheet2!$J$5:$K$7,2,FALSE)*VLOOKUP(Sheet1!$A2596,Sheet2!$B$5:$H$29,5,FALSE),0)</x:f>
        <x:v>86</x:v>
      </x:c>
      <x:c r="G2596">
        <x:f>ROUND($C2596*10*VLOOKUP($B2596,Sheet2!$J$5:$K$7,2,FALSE)*VLOOKUP(Sheet1!$A2596,Sheet2!$B$5:$H$29,6,FALSE),0)</x:f>
        <x:v>0</x:v>
      </x:c>
      <x:c r="H2596">
        <x:f>ROUND($C2596*10*VLOOKUP($B2596,Sheet2!$J$5:$K$7,2,FALSE)*VLOOKUP(Sheet1!$A2596,Sheet2!$B$5:$H$29,7,FALSE),0)</x:f>
        <x:v>180</x:v>
      </x:c>
      <x:c r="I2596">
        <x:f t="shared" si="43"/>
        <x:v>4920</x:v>
      </x:c>
    </x:row>
    <x:row r="2597" spans="1:9" x14ac:dyDescent="0.15">
      <x:c r="A2597">
        <x:v>54105</x:v>
      </x:c>
      <x:c r="B2597">
        <x:v>2</x:v>
      </x:c>
      <x:c r="C2597">
        <x:v>16</x:v>
      </x:c>
      <x:c r="D2597">
        <x:f>ROUND($C2597*10*VLOOKUP($B2597,Sheet2!$J$5:$K$7,2,FALSE)*VLOOKUP(Sheet1!$A2597,Sheet2!$B$5:$H$29,3,FALSE),0)</x:f>
        <x:v>0</x:v>
      </x:c>
      <x:c r="E2597">
        <x:f>ROUND($C2597*10*VLOOKUP($B2597,Sheet2!$J$5:$K$7,2,FALSE)*VLOOKUP(Sheet1!$A2597,Sheet2!$B$5:$H$29,4,FALSE),0)</x:f>
        <x:v>0</x:v>
      </x:c>
      <x:c r="F2597">
        <x:f>ROUND($C2597*10*VLOOKUP($B2597,Sheet2!$J$5:$K$7,2,FALSE)*VLOOKUP(Sheet1!$A2597,Sheet2!$B$5:$H$29,5,FALSE),0)</x:f>
        <x:v>92</x:v>
      </x:c>
      <x:c r="G2597">
        <x:f>ROUND($C2597*10*VLOOKUP($B2597,Sheet2!$J$5:$K$7,2,FALSE)*VLOOKUP(Sheet1!$A2597,Sheet2!$B$5:$H$29,6,FALSE),0)</x:f>
        <x:v>0</x:v>
      </x:c>
      <x:c r="H2597">
        <x:f>ROUND($C2597*10*VLOOKUP($B2597,Sheet2!$J$5:$K$7,2,FALSE)*VLOOKUP(Sheet1!$A2597,Sheet2!$B$5:$H$29,7,FALSE),0)</x:f>
        <x:v>192</x:v>
      </x:c>
      <x:c r="I2597">
        <x:f t="shared" si="43"/>
        <x:v>5560</x:v>
      </x:c>
    </x:row>
    <x:row r="2598" spans="1:9" x14ac:dyDescent="0.15">
      <x:c r="A2598">
        <x:v>54105</x:v>
      </x:c>
      <x:c r="B2598">
        <x:v>2</x:v>
      </x:c>
      <x:c r="C2598">
        <x:v>17</x:v>
      </x:c>
      <x:c r="D2598">
        <x:f>ROUND($C2598*10*VLOOKUP($B2598,Sheet2!$J$5:$K$7,2,FALSE)*VLOOKUP(Sheet1!$A2598,Sheet2!$B$5:$H$29,3,FALSE),0)</x:f>
        <x:v>0</x:v>
      </x:c>
      <x:c r="E2598">
        <x:f>ROUND($C2598*10*VLOOKUP($B2598,Sheet2!$J$5:$K$7,2,FALSE)*VLOOKUP(Sheet1!$A2598,Sheet2!$B$5:$H$29,4,FALSE),0)</x:f>
        <x:v>0</x:v>
      </x:c>
      <x:c r="F2598">
        <x:f>ROUND($C2598*10*VLOOKUP($B2598,Sheet2!$J$5:$K$7,2,FALSE)*VLOOKUP(Sheet1!$A2598,Sheet2!$B$5:$H$29,5,FALSE),0)</x:f>
        <x:v>98</x:v>
      </x:c>
      <x:c r="G2598">
        <x:f>ROUND($C2598*10*VLOOKUP($B2598,Sheet2!$J$5:$K$7,2,FALSE)*VLOOKUP(Sheet1!$A2598,Sheet2!$B$5:$H$29,6,FALSE),0)</x:f>
        <x:v>0</x:v>
      </x:c>
      <x:c r="H2598">
        <x:f>ROUND($C2598*10*VLOOKUP($B2598,Sheet2!$J$5:$K$7,2,FALSE)*VLOOKUP(Sheet1!$A2598,Sheet2!$B$5:$H$29,7,FALSE),0)</x:f>
        <x:v>204</x:v>
      </x:c>
      <x:c r="I2598">
        <x:f t="shared" si="43"/>
        <x:v>6240</x:v>
      </x:c>
    </x:row>
    <x:row r="2599" spans="1:9" x14ac:dyDescent="0.15">
      <x:c r="A2599">
        <x:v>54105</x:v>
      </x:c>
      <x:c r="B2599">
        <x:v>2</x:v>
      </x:c>
      <x:c r="C2599">
        <x:v>18</x:v>
      </x:c>
      <x:c r="D2599">
        <x:f>ROUND($C2599*10*VLOOKUP($B2599,Sheet2!$J$5:$K$7,2,FALSE)*VLOOKUP(Sheet1!$A2599,Sheet2!$B$5:$H$29,3,FALSE),0)</x:f>
        <x:v>0</x:v>
      </x:c>
      <x:c r="E2599">
        <x:f>ROUND($C2599*10*VLOOKUP($B2599,Sheet2!$J$5:$K$7,2,FALSE)*VLOOKUP(Sheet1!$A2599,Sheet2!$B$5:$H$29,4,FALSE),0)</x:f>
        <x:v>0</x:v>
      </x:c>
      <x:c r="F2599">
        <x:f>ROUND($C2599*10*VLOOKUP($B2599,Sheet2!$J$5:$K$7,2,FALSE)*VLOOKUP(Sheet1!$A2599,Sheet2!$B$5:$H$29,5,FALSE),0)</x:f>
        <x:v>104</x:v>
      </x:c>
      <x:c r="G2599">
        <x:f>ROUND($C2599*10*VLOOKUP($B2599,Sheet2!$J$5:$K$7,2,FALSE)*VLOOKUP(Sheet1!$A2599,Sheet2!$B$5:$H$29,6,FALSE),0)</x:f>
        <x:v>0</x:v>
      </x:c>
      <x:c r="H2599">
        <x:f>ROUND($C2599*10*VLOOKUP($B2599,Sheet2!$J$5:$K$7,2,FALSE)*VLOOKUP(Sheet1!$A2599,Sheet2!$B$5:$H$29,7,FALSE),0)</x:f>
        <x:v>216</x:v>
      </x:c>
      <x:c r="I2599">
        <x:f t="shared" si="43"/>
        <x:v>6950</x:v>
      </x:c>
    </x:row>
    <x:row r="2600" spans="1:9" x14ac:dyDescent="0.15">
      <x:c r="A2600">
        <x:v>54105</x:v>
      </x:c>
      <x:c r="B2600">
        <x:v>2</x:v>
      </x:c>
      <x:c r="C2600">
        <x:v>19</x:v>
      </x:c>
      <x:c r="D2600">
        <x:f>ROUND($C2600*10*VLOOKUP($B2600,Sheet2!$J$5:$K$7,2,FALSE)*VLOOKUP(Sheet1!$A2600,Sheet2!$B$5:$H$29,3,FALSE),0)</x:f>
        <x:v>0</x:v>
      </x:c>
      <x:c r="E2600">
        <x:f>ROUND($C2600*10*VLOOKUP($B2600,Sheet2!$J$5:$K$7,2,FALSE)*VLOOKUP(Sheet1!$A2600,Sheet2!$B$5:$H$29,4,FALSE),0)</x:f>
        <x:v>0</x:v>
      </x:c>
      <x:c r="F2600">
        <x:f>ROUND($C2600*10*VLOOKUP($B2600,Sheet2!$J$5:$K$7,2,FALSE)*VLOOKUP(Sheet1!$A2600,Sheet2!$B$5:$H$29,5,FALSE),0)</x:f>
        <x:v>109</x:v>
      </x:c>
      <x:c r="G2600">
        <x:f>ROUND($C2600*10*VLOOKUP($B2600,Sheet2!$J$5:$K$7,2,FALSE)*VLOOKUP(Sheet1!$A2600,Sheet2!$B$5:$H$29,6,FALSE),0)</x:f>
        <x:v>0</x:v>
      </x:c>
      <x:c r="H2600">
        <x:f>ROUND($C2600*10*VLOOKUP($B2600,Sheet2!$J$5:$K$7,2,FALSE)*VLOOKUP(Sheet1!$A2600,Sheet2!$B$5:$H$29,7,FALSE),0)</x:f>
        <x:v>228</x:v>
      </x:c>
      <x:c r="I2600">
        <x:f t="shared" si="43"/>
        <x:v>7690</x:v>
      </x:c>
    </x:row>
    <x:row r="2601" spans="1:9" x14ac:dyDescent="0.15">
      <x:c r="A2601">
        <x:v>54105</x:v>
      </x:c>
      <x:c r="B2601">
        <x:v>2</x:v>
      </x:c>
      <x:c r="C2601">
        <x:v>20</x:v>
      </x:c>
      <x:c r="D2601">
        <x:f>ROUND($C2601*10*VLOOKUP($B2601,Sheet2!$J$5:$K$7,2,FALSE)*VLOOKUP(Sheet1!$A2601,Sheet2!$B$5:$H$29,3,FALSE),0)</x:f>
        <x:v>0</x:v>
      </x:c>
      <x:c r="E2601">
        <x:f>ROUND($C2601*10*VLOOKUP($B2601,Sheet2!$J$5:$K$7,2,FALSE)*VLOOKUP(Sheet1!$A2601,Sheet2!$B$5:$H$29,4,FALSE),0)</x:f>
        <x:v>0</x:v>
      </x:c>
      <x:c r="F2601">
        <x:f>ROUND($C2601*10*VLOOKUP($B2601,Sheet2!$J$5:$K$7,2,FALSE)*VLOOKUP(Sheet1!$A2601,Sheet2!$B$5:$H$29,5,FALSE),0)</x:f>
        <x:v>115</x:v>
      </x:c>
      <x:c r="G2601">
        <x:f>ROUND($C2601*10*VLOOKUP($B2601,Sheet2!$J$5:$K$7,2,FALSE)*VLOOKUP(Sheet1!$A2601,Sheet2!$B$5:$H$29,6,FALSE),0)</x:f>
        <x:v>0</x:v>
      </x:c>
      <x:c r="H2601">
        <x:f>ROUND($C2601*10*VLOOKUP($B2601,Sheet2!$J$5:$K$7,2,FALSE)*VLOOKUP(Sheet1!$A2601,Sheet2!$B$5:$H$29,7,FALSE),0)</x:f>
        <x:v>240</x:v>
      </x:c>
      <x:c r="I2601">
        <x:f t="shared" si="43"/>
        <x:v>8470</x:v>
      </x:c>
    </x:row>
    <x:row r="2602" spans="1:9" x14ac:dyDescent="0.15">
      <x:c r="A2602">
        <x:v>54105</x:v>
      </x:c>
      <x:c r="B2602">
        <x:v>2</x:v>
      </x:c>
      <x:c r="C2602">
        <x:v>21</x:v>
      </x:c>
      <x:c r="D2602">
        <x:f>ROUND($C2602*10*VLOOKUP($B2602,Sheet2!$J$5:$K$7,2,FALSE)*VLOOKUP(Sheet1!$A2602,Sheet2!$B$5:$H$29,3,FALSE),0)</x:f>
        <x:v>0</x:v>
      </x:c>
      <x:c r="E2602">
        <x:f>ROUND($C2602*10*VLOOKUP($B2602,Sheet2!$J$5:$K$7,2,FALSE)*VLOOKUP(Sheet1!$A2602,Sheet2!$B$5:$H$29,4,FALSE),0)</x:f>
        <x:v>0</x:v>
      </x:c>
      <x:c r="F2602">
        <x:f>ROUND($C2602*10*VLOOKUP($B2602,Sheet2!$J$5:$K$7,2,FALSE)*VLOOKUP(Sheet1!$A2602,Sheet2!$B$5:$H$29,5,FALSE),0)</x:f>
        <x:v>121</x:v>
      </x:c>
      <x:c r="G2602">
        <x:f>ROUND($C2602*10*VLOOKUP($B2602,Sheet2!$J$5:$K$7,2,FALSE)*VLOOKUP(Sheet1!$A2602,Sheet2!$B$5:$H$29,6,FALSE),0)</x:f>
        <x:v>0</x:v>
      </x:c>
      <x:c r="H2602">
        <x:f>ROUND($C2602*10*VLOOKUP($B2602,Sheet2!$J$5:$K$7,2,FALSE)*VLOOKUP(Sheet1!$A2602,Sheet2!$B$5:$H$29,7,FALSE),0)</x:f>
        <x:v>252</x:v>
      </x:c>
      <x:c r="I2602">
        <x:f t="shared" si="43"/>
        <x:v>9290</x:v>
      </x:c>
    </x:row>
    <x:row r="2603" spans="1:9" x14ac:dyDescent="0.15">
      <x:c r="A2603">
        <x:v>54105</x:v>
      </x:c>
      <x:c r="B2603">
        <x:v>2</x:v>
      </x:c>
      <x:c r="C2603">
        <x:v>22</x:v>
      </x:c>
      <x:c r="D2603">
        <x:f>ROUND($C2603*10*VLOOKUP($B2603,Sheet2!$J$5:$K$7,2,FALSE)*VLOOKUP(Sheet1!$A2603,Sheet2!$B$5:$H$29,3,FALSE),0)</x:f>
        <x:v>0</x:v>
      </x:c>
      <x:c r="E2603">
        <x:f>ROUND($C2603*10*VLOOKUP($B2603,Sheet2!$J$5:$K$7,2,FALSE)*VLOOKUP(Sheet1!$A2603,Sheet2!$B$5:$H$29,4,FALSE),0)</x:f>
        <x:v>0</x:v>
      </x:c>
      <x:c r="F2603">
        <x:f>ROUND($C2603*10*VLOOKUP($B2603,Sheet2!$J$5:$K$7,2,FALSE)*VLOOKUP(Sheet1!$A2603,Sheet2!$B$5:$H$29,5,FALSE),0)</x:f>
        <x:v>127</x:v>
      </x:c>
      <x:c r="G2603">
        <x:f>ROUND($C2603*10*VLOOKUP($B2603,Sheet2!$J$5:$K$7,2,FALSE)*VLOOKUP(Sheet1!$A2603,Sheet2!$B$5:$H$29,6,FALSE),0)</x:f>
        <x:v>0</x:v>
      </x:c>
      <x:c r="H2603">
        <x:f>ROUND($C2603*10*VLOOKUP($B2603,Sheet2!$J$5:$K$7,2,FALSE)*VLOOKUP(Sheet1!$A2603,Sheet2!$B$5:$H$29,7,FALSE),0)</x:f>
        <x:v>264</x:v>
      </x:c>
      <x:c r="I2603">
        <x:f t="shared" si="43"/>
        <x:v>10130</x:v>
      </x:c>
    </x:row>
    <x:row r="2604" spans="1:9" x14ac:dyDescent="0.15">
      <x:c r="A2604">
        <x:v>54105</x:v>
      </x:c>
      <x:c r="B2604">
        <x:v>2</x:v>
      </x:c>
      <x:c r="C2604">
        <x:v>23</x:v>
      </x:c>
      <x:c r="D2604">
        <x:f>ROUND($C2604*10*VLOOKUP($B2604,Sheet2!$J$5:$K$7,2,FALSE)*VLOOKUP(Sheet1!$A2604,Sheet2!$B$5:$H$29,3,FALSE),0)</x:f>
        <x:v>0</x:v>
      </x:c>
      <x:c r="E2604">
        <x:f>ROUND($C2604*10*VLOOKUP($B2604,Sheet2!$J$5:$K$7,2,FALSE)*VLOOKUP(Sheet1!$A2604,Sheet2!$B$5:$H$29,4,FALSE),0)</x:f>
        <x:v>0</x:v>
      </x:c>
      <x:c r="F2604">
        <x:f>ROUND($C2604*10*VLOOKUP($B2604,Sheet2!$J$5:$K$7,2,FALSE)*VLOOKUP(Sheet1!$A2604,Sheet2!$B$5:$H$29,5,FALSE),0)</x:f>
        <x:v>132</x:v>
      </x:c>
      <x:c r="G2604">
        <x:f>ROUND($C2604*10*VLOOKUP($B2604,Sheet2!$J$5:$K$7,2,FALSE)*VLOOKUP(Sheet1!$A2604,Sheet2!$B$5:$H$29,6,FALSE),0)</x:f>
        <x:v>0</x:v>
      </x:c>
      <x:c r="H2604">
        <x:f>ROUND($C2604*10*VLOOKUP($B2604,Sheet2!$J$5:$K$7,2,FALSE)*VLOOKUP(Sheet1!$A2604,Sheet2!$B$5:$H$29,7,FALSE),0)</x:f>
        <x:v>276</x:v>
      </x:c>
      <x:c r="I2604">
        <x:f t="shared" si="43"/>
        <x:v>11010</x:v>
      </x:c>
    </x:row>
    <x:row r="2605" spans="1:9" x14ac:dyDescent="0.15">
      <x:c r="A2605">
        <x:v>54105</x:v>
      </x:c>
      <x:c r="B2605">
        <x:v>2</x:v>
      </x:c>
      <x:c r="C2605">
        <x:v>24</x:v>
      </x:c>
      <x:c r="D2605">
        <x:f>ROUND($C2605*10*VLOOKUP($B2605,Sheet2!$J$5:$K$7,2,FALSE)*VLOOKUP(Sheet1!$A2605,Sheet2!$B$5:$H$29,3,FALSE),0)</x:f>
        <x:v>0</x:v>
      </x:c>
      <x:c r="E2605">
        <x:f>ROUND($C2605*10*VLOOKUP($B2605,Sheet2!$J$5:$K$7,2,FALSE)*VLOOKUP(Sheet1!$A2605,Sheet2!$B$5:$H$29,4,FALSE),0)</x:f>
        <x:v>0</x:v>
      </x:c>
      <x:c r="F2605">
        <x:f>ROUND($C2605*10*VLOOKUP($B2605,Sheet2!$J$5:$K$7,2,FALSE)*VLOOKUP(Sheet1!$A2605,Sheet2!$B$5:$H$29,5,FALSE),0)</x:f>
        <x:v>138</x:v>
      </x:c>
      <x:c r="G2605">
        <x:f>ROUND($C2605*10*VLOOKUP($B2605,Sheet2!$J$5:$K$7,2,FALSE)*VLOOKUP(Sheet1!$A2605,Sheet2!$B$5:$H$29,6,FALSE),0)</x:f>
        <x:v>0</x:v>
      </x:c>
      <x:c r="H2605">
        <x:f>ROUND($C2605*10*VLOOKUP($B2605,Sheet2!$J$5:$K$7,2,FALSE)*VLOOKUP(Sheet1!$A2605,Sheet2!$B$5:$H$29,7,FALSE),0)</x:f>
        <x:v>288</x:v>
      </x:c>
      <x:c r="I2605">
        <x:f t="shared" si="43"/>
        <x:v>11930</x:v>
      </x:c>
    </x:row>
    <x:row r="2606" spans="1:9" x14ac:dyDescent="0.15">
      <x:c r="A2606">
        <x:v>54105</x:v>
      </x:c>
      <x:c r="B2606">
        <x:v>2</x:v>
      </x:c>
      <x:c r="C2606">
        <x:v>25</x:v>
      </x:c>
      <x:c r="D2606">
        <x:f>ROUND($C2606*10*VLOOKUP($B2606,Sheet2!$J$5:$K$7,2,FALSE)*VLOOKUP(Sheet1!$A2606,Sheet2!$B$5:$H$29,3,FALSE),0)</x:f>
        <x:v>0</x:v>
      </x:c>
      <x:c r="E2606">
        <x:f>ROUND($C2606*10*VLOOKUP($B2606,Sheet2!$J$5:$K$7,2,FALSE)*VLOOKUP(Sheet1!$A2606,Sheet2!$B$5:$H$29,4,FALSE),0)</x:f>
        <x:v>0</x:v>
      </x:c>
      <x:c r="F2606">
        <x:f>ROUND($C2606*10*VLOOKUP($B2606,Sheet2!$J$5:$K$7,2,FALSE)*VLOOKUP(Sheet1!$A2606,Sheet2!$B$5:$H$29,5,FALSE),0)</x:f>
        <x:v>144</x:v>
      </x:c>
      <x:c r="G2606">
        <x:f>ROUND($C2606*10*VLOOKUP($B2606,Sheet2!$J$5:$K$7,2,FALSE)*VLOOKUP(Sheet1!$A2606,Sheet2!$B$5:$H$29,6,FALSE),0)</x:f>
        <x:v>0</x:v>
      </x:c>
      <x:c r="H2606">
        <x:f>ROUND($C2606*10*VLOOKUP($B2606,Sheet2!$J$5:$K$7,2,FALSE)*VLOOKUP(Sheet1!$A2606,Sheet2!$B$5:$H$29,7,FALSE),0)</x:f>
        <x:v>300</x:v>
      </x:c>
      <x:c r="I2606">
        <x:f t="shared" si="43"/>
        <x:v>12870</x:v>
      </x:c>
    </x:row>
    <x:row r="2607" spans="1:9" x14ac:dyDescent="0.15">
      <x:c r="A2607">
        <x:v>54105</x:v>
      </x:c>
      <x:c r="B2607">
        <x:v>2</x:v>
      </x:c>
      <x:c r="C2607">
        <x:v>26</x:v>
      </x:c>
      <x:c r="D2607">
        <x:f>ROUND($C2607*10*VLOOKUP($B2607,Sheet2!$J$5:$K$7,2,FALSE)*VLOOKUP(Sheet1!$A2607,Sheet2!$B$5:$H$29,3,FALSE),0)</x:f>
        <x:v>0</x:v>
      </x:c>
      <x:c r="E2607">
        <x:f>ROUND($C2607*10*VLOOKUP($B2607,Sheet2!$J$5:$K$7,2,FALSE)*VLOOKUP(Sheet1!$A2607,Sheet2!$B$5:$H$29,4,FALSE),0)</x:f>
        <x:v>0</x:v>
      </x:c>
      <x:c r="F2607">
        <x:f>ROUND($C2607*10*VLOOKUP($B2607,Sheet2!$J$5:$K$7,2,FALSE)*VLOOKUP(Sheet1!$A2607,Sheet2!$B$5:$H$29,5,FALSE),0)</x:f>
        <x:v>150</x:v>
      </x:c>
      <x:c r="G2607">
        <x:f>ROUND($C2607*10*VLOOKUP($B2607,Sheet2!$J$5:$K$7,2,FALSE)*VLOOKUP(Sheet1!$A2607,Sheet2!$B$5:$H$29,6,FALSE),0)</x:f>
        <x:v>0</x:v>
      </x:c>
      <x:c r="H2607">
        <x:f>ROUND($C2607*10*VLOOKUP($B2607,Sheet2!$J$5:$K$7,2,FALSE)*VLOOKUP(Sheet1!$A2607,Sheet2!$B$5:$H$29,7,FALSE),0)</x:f>
        <x:v>312</x:v>
      </x:c>
      <x:c r="I2607">
        <x:f t="shared" si="43"/>
        <x:v>13850</x:v>
      </x:c>
    </x:row>
    <x:row r="2608" spans="1:9" x14ac:dyDescent="0.15">
      <x:c r="A2608">
        <x:v>54105</x:v>
      </x:c>
      <x:c r="B2608">
        <x:v>2</x:v>
      </x:c>
      <x:c r="C2608">
        <x:v>27</x:v>
      </x:c>
      <x:c r="D2608">
        <x:f>ROUND($C2608*10*VLOOKUP($B2608,Sheet2!$J$5:$K$7,2,FALSE)*VLOOKUP(Sheet1!$A2608,Sheet2!$B$5:$H$29,3,FALSE),0)</x:f>
        <x:v>0</x:v>
      </x:c>
      <x:c r="E2608">
        <x:f>ROUND($C2608*10*VLOOKUP($B2608,Sheet2!$J$5:$K$7,2,FALSE)*VLOOKUP(Sheet1!$A2608,Sheet2!$B$5:$H$29,4,FALSE),0)</x:f>
        <x:v>0</x:v>
      </x:c>
      <x:c r="F2608">
        <x:f>ROUND($C2608*10*VLOOKUP($B2608,Sheet2!$J$5:$K$7,2,FALSE)*VLOOKUP(Sheet1!$A2608,Sheet2!$B$5:$H$29,5,FALSE),0)</x:f>
        <x:v>156</x:v>
      </x:c>
      <x:c r="G2608">
        <x:f>ROUND($C2608*10*VLOOKUP($B2608,Sheet2!$J$5:$K$7,2,FALSE)*VLOOKUP(Sheet1!$A2608,Sheet2!$B$5:$H$29,6,FALSE),0)</x:f>
        <x:v>0</x:v>
      </x:c>
      <x:c r="H2608">
        <x:f>ROUND($C2608*10*VLOOKUP($B2608,Sheet2!$J$5:$K$7,2,FALSE)*VLOOKUP(Sheet1!$A2608,Sheet2!$B$5:$H$29,7,FALSE),0)</x:f>
        <x:v>324</x:v>
      </x:c>
      <x:c r="I2608">
        <x:f t="shared" si="43"/>
        <x:v>14860</x:v>
      </x:c>
    </x:row>
    <x:row r="2609" spans="1:9" x14ac:dyDescent="0.15">
      <x:c r="A2609">
        <x:v>54105</x:v>
      </x:c>
      <x:c r="B2609">
        <x:v>2</x:v>
      </x:c>
      <x:c r="C2609">
        <x:v>28</x:v>
      </x:c>
      <x:c r="D2609">
        <x:f>ROUND($C2609*10*VLOOKUP($B2609,Sheet2!$J$5:$K$7,2,FALSE)*VLOOKUP(Sheet1!$A2609,Sheet2!$B$5:$H$29,3,FALSE),0)</x:f>
        <x:v>0</x:v>
      </x:c>
      <x:c r="E2609">
        <x:f>ROUND($C2609*10*VLOOKUP($B2609,Sheet2!$J$5:$K$7,2,FALSE)*VLOOKUP(Sheet1!$A2609,Sheet2!$B$5:$H$29,4,FALSE),0)</x:f>
        <x:v>0</x:v>
      </x:c>
      <x:c r="F2609">
        <x:f>ROUND($C2609*10*VLOOKUP($B2609,Sheet2!$J$5:$K$7,2,FALSE)*VLOOKUP(Sheet1!$A2609,Sheet2!$B$5:$H$29,5,FALSE),0)</x:f>
        <x:v>161</x:v>
      </x:c>
      <x:c r="G2609">
        <x:f>ROUND($C2609*10*VLOOKUP($B2609,Sheet2!$J$5:$K$7,2,FALSE)*VLOOKUP(Sheet1!$A2609,Sheet2!$B$5:$H$29,6,FALSE),0)</x:f>
        <x:v>0</x:v>
      </x:c>
      <x:c r="H2609">
        <x:f>ROUND($C2609*10*VLOOKUP($B2609,Sheet2!$J$5:$K$7,2,FALSE)*VLOOKUP(Sheet1!$A2609,Sheet2!$B$5:$H$29,7,FALSE),0)</x:f>
        <x:v>336</x:v>
      </x:c>
      <x:c r="I2609">
        <x:f t="shared" si="43"/>
        <x:v>15900</x:v>
      </x:c>
    </x:row>
    <x:row r="2610" spans="1:9" x14ac:dyDescent="0.15">
      <x:c r="A2610">
        <x:v>54105</x:v>
      </x:c>
      <x:c r="B2610">
        <x:v>2</x:v>
      </x:c>
      <x:c r="C2610">
        <x:v>29</x:v>
      </x:c>
      <x:c r="D2610">
        <x:f>ROUND($C2610*10*VLOOKUP($B2610,Sheet2!$J$5:$K$7,2,FALSE)*VLOOKUP(Sheet1!$A2610,Sheet2!$B$5:$H$29,3,FALSE),0)</x:f>
        <x:v>0</x:v>
      </x:c>
      <x:c r="E2610">
        <x:f>ROUND($C2610*10*VLOOKUP($B2610,Sheet2!$J$5:$K$7,2,FALSE)*VLOOKUP(Sheet1!$A2610,Sheet2!$B$5:$H$29,4,FALSE),0)</x:f>
        <x:v>0</x:v>
      </x:c>
      <x:c r="F2610">
        <x:f>ROUND($C2610*10*VLOOKUP($B2610,Sheet2!$J$5:$K$7,2,FALSE)*VLOOKUP(Sheet1!$A2610,Sheet2!$B$5:$H$29,5,FALSE),0)</x:f>
        <x:v>167</x:v>
      </x:c>
      <x:c r="G2610">
        <x:f>ROUND($C2610*10*VLOOKUP($B2610,Sheet2!$J$5:$K$7,2,FALSE)*VLOOKUP(Sheet1!$A2610,Sheet2!$B$5:$H$29,6,FALSE),0)</x:f>
        <x:v>0</x:v>
      </x:c>
      <x:c r="H2610">
        <x:f>ROUND($C2610*10*VLOOKUP($B2610,Sheet2!$J$5:$K$7,2,FALSE)*VLOOKUP(Sheet1!$A2610,Sheet2!$B$5:$H$29,7,FALSE),0)</x:f>
        <x:v>348</x:v>
      </x:c>
      <x:c r="I2610">
        <x:f t="shared" si="43"/>
        <x:v>16970</x:v>
      </x:c>
    </x:row>
    <x:row r="2611" spans="1:9" x14ac:dyDescent="0.15">
      <x:c r="A2611">
        <x:v>54105</x:v>
      </x:c>
      <x:c r="B2611">
        <x:v>2</x:v>
      </x:c>
      <x:c r="C2611">
        <x:v>30</x:v>
      </x:c>
      <x:c r="D2611">
        <x:f>ROUND($C2611*10*VLOOKUP($B2611,Sheet2!$J$5:$K$7,2,FALSE)*VLOOKUP(Sheet1!$A2611,Sheet2!$B$5:$H$29,3,FALSE),0)</x:f>
        <x:v>0</x:v>
      </x:c>
      <x:c r="E2611">
        <x:f>ROUND($C2611*10*VLOOKUP($B2611,Sheet2!$J$5:$K$7,2,FALSE)*VLOOKUP(Sheet1!$A2611,Sheet2!$B$5:$H$29,4,FALSE),0)</x:f>
        <x:v>0</x:v>
      </x:c>
      <x:c r="F2611">
        <x:f>ROUND($C2611*10*VLOOKUP($B2611,Sheet2!$J$5:$K$7,2,FALSE)*VLOOKUP(Sheet1!$A2611,Sheet2!$B$5:$H$29,5,FALSE),0)</x:f>
        <x:v>173</x:v>
      </x:c>
      <x:c r="G2611">
        <x:f>ROUND($C2611*10*VLOOKUP($B2611,Sheet2!$J$5:$K$7,2,FALSE)*VLOOKUP(Sheet1!$A2611,Sheet2!$B$5:$H$29,6,FALSE),0)</x:f>
        <x:v>0</x:v>
      </x:c>
      <x:c r="H2611">
        <x:f>ROUND($C2611*10*VLOOKUP($B2611,Sheet2!$J$5:$K$7,2,FALSE)*VLOOKUP(Sheet1!$A2611,Sheet2!$B$5:$H$29,7,FALSE),0)</x:f>
        <x:v>360</x:v>
      </x:c>
      <x:c r="I2611">
        <x:f t="shared" si="43"/>
        <x:v>18070</x:v>
      </x:c>
    </x:row>
    <x:row r="2612" spans="1:9" x14ac:dyDescent="0.15">
      <x:c r="A2612">
        <x:v>54105</x:v>
      </x:c>
      <x:c r="B2612">
        <x:v>2</x:v>
      </x:c>
      <x:c r="C2612">
        <x:v>31</x:v>
      </x:c>
      <x:c r="D2612">
        <x:f>ROUND($C2612*10*VLOOKUP($B2612,Sheet2!$J$5:$K$7,2,FALSE)*VLOOKUP(Sheet1!$A2612,Sheet2!$B$5:$H$29,3,FALSE),0)</x:f>
        <x:v>0</x:v>
      </x:c>
      <x:c r="E2612">
        <x:f>ROUND($C2612*10*VLOOKUP($B2612,Sheet2!$J$5:$K$7,2,FALSE)*VLOOKUP(Sheet1!$A2612,Sheet2!$B$5:$H$29,4,FALSE),0)</x:f>
        <x:v>0</x:v>
      </x:c>
      <x:c r="F2612">
        <x:f>ROUND($C2612*10*VLOOKUP($B2612,Sheet2!$J$5:$K$7,2,FALSE)*VLOOKUP(Sheet1!$A2612,Sheet2!$B$5:$H$29,5,FALSE),0)</x:f>
        <x:v>179</x:v>
      </x:c>
      <x:c r="G2612">
        <x:f>ROUND($C2612*10*VLOOKUP($B2612,Sheet2!$J$5:$K$7,2,FALSE)*VLOOKUP(Sheet1!$A2612,Sheet2!$B$5:$H$29,6,FALSE),0)</x:f>
        <x:v>0</x:v>
      </x:c>
      <x:c r="H2612">
        <x:f>ROUND($C2612*10*VLOOKUP($B2612,Sheet2!$J$5:$K$7,2,FALSE)*VLOOKUP(Sheet1!$A2612,Sheet2!$B$5:$H$29,7,FALSE),0)</x:f>
        <x:v>372</x:v>
      </x:c>
      <x:c r="I2612">
        <x:f t="shared" si="43"/>
        <x:v>19210</x:v>
      </x:c>
    </x:row>
    <x:row r="2613" spans="1:9" x14ac:dyDescent="0.15">
      <x:c r="A2613">
        <x:v>54105</x:v>
      </x:c>
      <x:c r="B2613">
        <x:v>2</x:v>
      </x:c>
      <x:c r="C2613">
        <x:v>32</x:v>
      </x:c>
      <x:c r="D2613">
        <x:f>ROUND($C2613*10*VLOOKUP($B2613,Sheet2!$J$5:$K$7,2,FALSE)*VLOOKUP(Sheet1!$A2613,Sheet2!$B$5:$H$29,3,FALSE),0)</x:f>
        <x:v>0</x:v>
      </x:c>
      <x:c r="E2613">
        <x:f>ROUND($C2613*10*VLOOKUP($B2613,Sheet2!$J$5:$K$7,2,FALSE)*VLOOKUP(Sheet1!$A2613,Sheet2!$B$5:$H$29,4,FALSE),0)</x:f>
        <x:v>0</x:v>
      </x:c>
      <x:c r="F2613">
        <x:f>ROUND($C2613*10*VLOOKUP($B2613,Sheet2!$J$5:$K$7,2,FALSE)*VLOOKUP(Sheet1!$A2613,Sheet2!$B$5:$H$29,5,FALSE),0)</x:f>
        <x:v>184</x:v>
      </x:c>
      <x:c r="G2613">
        <x:f>ROUND($C2613*10*VLOOKUP($B2613,Sheet2!$J$5:$K$7,2,FALSE)*VLOOKUP(Sheet1!$A2613,Sheet2!$B$5:$H$29,6,FALSE),0)</x:f>
        <x:v>0</x:v>
      </x:c>
      <x:c r="H2613">
        <x:f>ROUND($C2613*10*VLOOKUP($B2613,Sheet2!$J$5:$K$7,2,FALSE)*VLOOKUP(Sheet1!$A2613,Sheet2!$B$5:$H$29,7,FALSE),0)</x:f>
        <x:v>384</x:v>
      </x:c>
      <x:c r="I2613">
        <x:f t="shared" si="43"/>
        <x:v>20370</x:v>
      </x:c>
    </x:row>
    <x:row r="2614" spans="1:9" x14ac:dyDescent="0.15">
      <x:c r="A2614">
        <x:v>54105</x:v>
      </x:c>
      <x:c r="B2614">
        <x:v>2</x:v>
      </x:c>
      <x:c r="C2614">
        <x:v>33</x:v>
      </x:c>
      <x:c r="D2614">
        <x:f>ROUND($C2614*10*VLOOKUP($B2614,Sheet2!$J$5:$K$7,2,FALSE)*VLOOKUP(Sheet1!$A2614,Sheet2!$B$5:$H$29,3,FALSE),0)</x:f>
        <x:v>0</x:v>
      </x:c>
      <x:c r="E2614">
        <x:f>ROUND($C2614*10*VLOOKUP($B2614,Sheet2!$J$5:$K$7,2,FALSE)*VLOOKUP(Sheet1!$A2614,Sheet2!$B$5:$H$29,4,FALSE),0)</x:f>
        <x:v>0</x:v>
      </x:c>
      <x:c r="F2614">
        <x:f>ROUND($C2614*10*VLOOKUP($B2614,Sheet2!$J$5:$K$7,2,FALSE)*VLOOKUP(Sheet1!$A2614,Sheet2!$B$5:$H$29,5,FALSE),0)</x:f>
        <x:v>190</x:v>
      </x:c>
      <x:c r="G2614">
        <x:f>ROUND($C2614*10*VLOOKUP($B2614,Sheet2!$J$5:$K$7,2,FALSE)*VLOOKUP(Sheet1!$A2614,Sheet2!$B$5:$H$29,6,FALSE),0)</x:f>
        <x:v>0</x:v>
      </x:c>
      <x:c r="H2614">
        <x:f>ROUND($C2614*10*VLOOKUP($B2614,Sheet2!$J$5:$K$7,2,FALSE)*VLOOKUP(Sheet1!$A2614,Sheet2!$B$5:$H$29,7,FALSE),0)</x:f>
        <x:v>396</x:v>
      </x:c>
      <x:c r="I2614">
        <x:f t="shared" si="43"/>
        <x:v>21560</x:v>
      </x:c>
    </x:row>
    <x:row r="2615" spans="1:9" x14ac:dyDescent="0.15">
      <x:c r="A2615">
        <x:v>54105</x:v>
      </x:c>
      <x:c r="B2615">
        <x:v>2</x:v>
      </x:c>
      <x:c r="C2615">
        <x:v>34</x:v>
      </x:c>
      <x:c r="D2615">
        <x:f>ROUND($C2615*10*VLOOKUP($B2615,Sheet2!$J$5:$K$7,2,FALSE)*VLOOKUP(Sheet1!$A2615,Sheet2!$B$5:$H$29,3,FALSE),0)</x:f>
        <x:v>0</x:v>
      </x:c>
      <x:c r="E2615">
        <x:f>ROUND($C2615*10*VLOOKUP($B2615,Sheet2!$J$5:$K$7,2,FALSE)*VLOOKUP(Sheet1!$A2615,Sheet2!$B$5:$H$29,4,FALSE),0)</x:f>
        <x:v>0</x:v>
      </x:c>
      <x:c r="F2615">
        <x:f>ROUND($C2615*10*VLOOKUP($B2615,Sheet2!$J$5:$K$7,2,FALSE)*VLOOKUP(Sheet1!$A2615,Sheet2!$B$5:$H$29,5,FALSE),0)</x:f>
        <x:v>196</x:v>
      </x:c>
      <x:c r="G2615">
        <x:f>ROUND($C2615*10*VLOOKUP($B2615,Sheet2!$J$5:$K$7,2,FALSE)*VLOOKUP(Sheet1!$A2615,Sheet2!$B$5:$H$29,6,FALSE),0)</x:f>
        <x:v>0</x:v>
      </x:c>
      <x:c r="H2615">
        <x:f>ROUND($C2615*10*VLOOKUP($B2615,Sheet2!$J$5:$K$7,2,FALSE)*VLOOKUP(Sheet1!$A2615,Sheet2!$B$5:$H$29,7,FALSE),0)</x:f>
        <x:v>408</x:v>
      </x:c>
      <x:c r="I2615">
        <x:f t="shared" si="43"/>
        <x:v>22790</x:v>
      </x:c>
    </x:row>
    <x:row r="2616" spans="1:9" x14ac:dyDescent="0.15">
      <x:c r="A2616">
        <x:v>54105</x:v>
      </x:c>
      <x:c r="B2616">
        <x:v>2</x:v>
      </x:c>
      <x:c r="C2616">
        <x:v>35</x:v>
      </x:c>
      <x:c r="D2616">
        <x:f>ROUND($C2616*10*VLOOKUP($B2616,Sheet2!$J$5:$K$7,2,FALSE)*VLOOKUP(Sheet1!$A2616,Sheet2!$B$5:$H$29,3,FALSE),0)</x:f>
        <x:v>0</x:v>
      </x:c>
      <x:c r="E2616">
        <x:f>ROUND($C2616*10*VLOOKUP($B2616,Sheet2!$J$5:$K$7,2,FALSE)*VLOOKUP(Sheet1!$A2616,Sheet2!$B$5:$H$29,4,FALSE),0)</x:f>
        <x:v>0</x:v>
      </x:c>
      <x:c r="F2616">
        <x:f>ROUND($C2616*10*VLOOKUP($B2616,Sheet2!$J$5:$K$7,2,FALSE)*VLOOKUP(Sheet1!$A2616,Sheet2!$B$5:$H$29,5,FALSE),0)</x:f>
        <x:v>202</x:v>
      </x:c>
      <x:c r="G2616">
        <x:f>ROUND($C2616*10*VLOOKUP($B2616,Sheet2!$J$5:$K$7,2,FALSE)*VLOOKUP(Sheet1!$A2616,Sheet2!$B$5:$H$29,6,FALSE),0)</x:f>
        <x:v>0</x:v>
      </x:c>
      <x:c r="H2616">
        <x:f>ROUND($C2616*10*VLOOKUP($B2616,Sheet2!$J$5:$K$7,2,FALSE)*VLOOKUP(Sheet1!$A2616,Sheet2!$B$5:$H$29,7,FALSE),0)</x:f>
        <x:v>420</x:v>
      </x:c>
      <x:c r="I2616">
        <x:f t="shared" si="43"/>
        <x:v>24040</x:v>
      </x:c>
    </x:row>
    <x:row r="2617" spans="1:9" x14ac:dyDescent="0.15">
      <x:c r="A2617">
        <x:v>54105</x:v>
      </x:c>
      <x:c r="B2617">
        <x:v>2</x:v>
      </x:c>
      <x:c r="C2617">
        <x:v>36</x:v>
      </x:c>
      <x:c r="D2617">
        <x:f>ROUND($C2617*10*VLOOKUP($B2617,Sheet2!$J$5:$K$7,2,FALSE)*VLOOKUP(Sheet1!$A2617,Sheet2!$B$5:$H$29,3,FALSE),0)</x:f>
        <x:v>0</x:v>
      </x:c>
      <x:c r="E2617">
        <x:f>ROUND($C2617*10*VLOOKUP($B2617,Sheet2!$J$5:$K$7,2,FALSE)*VLOOKUP(Sheet1!$A2617,Sheet2!$B$5:$H$29,4,FALSE),0)</x:f>
        <x:v>0</x:v>
      </x:c>
      <x:c r="F2617">
        <x:f>ROUND($C2617*10*VLOOKUP($B2617,Sheet2!$J$5:$K$7,2,FALSE)*VLOOKUP(Sheet1!$A2617,Sheet2!$B$5:$H$29,5,FALSE),0)</x:f>
        <x:v>207</x:v>
      </x:c>
      <x:c r="G2617">
        <x:f>ROUND($C2617*10*VLOOKUP($B2617,Sheet2!$J$5:$K$7,2,FALSE)*VLOOKUP(Sheet1!$A2617,Sheet2!$B$5:$H$29,6,FALSE),0)</x:f>
        <x:v>0</x:v>
      </x:c>
      <x:c r="H2617">
        <x:f>ROUND($C2617*10*VLOOKUP($B2617,Sheet2!$J$5:$K$7,2,FALSE)*VLOOKUP(Sheet1!$A2617,Sheet2!$B$5:$H$29,7,FALSE),0)</x:f>
        <x:v>432</x:v>
      </x:c>
      <x:c r="I2617">
        <x:f t="shared" si="43"/>
        <x:v>25330</x:v>
      </x:c>
    </x:row>
    <x:row r="2618" spans="1:9" x14ac:dyDescent="0.15">
      <x:c r="A2618">
        <x:v>54105</x:v>
      </x:c>
      <x:c r="B2618">
        <x:v>2</x:v>
      </x:c>
      <x:c r="C2618">
        <x:v>37</x:v>
      </x:c>
      <x:c r="D2618">
        <x:f>ROUND($C2618*10*VLOOKUP($B2618,Sheet2!$J$5:$K$7,2,FALSE)*VLOOKUP(Sheet1!$A2618,Sheet2!$B$5:$H$29,3,FALSE),0)</x:f>
        <x:v>0</x:v>
      </x:c>
      <x:c r="E2618">
        <x:f>ROUND($C2618*10*VLOOKUP($B2618,Sheet2!$J$5:$K$7,2,FALSE)*VLOOKUP(Sheet1!$A2618,Sheet2!$B$5:$H$29,4,FALSE),0)</x:f>
        <x:v>0</x:v>
      </x:c>
      <x:c r="F2618">
        <x:f>ROUND($C2618*10*VLOOKUP($B2618,Sheet2!$J$5:$K$7,2,FALSE)*VLOOKUP(Sheet1!$A2618,Sheet2!$B$5:$H$29,5,FALSE),0)</x:f>
        <x:v>213</x:v>
      </x:c>
      <x:c r="G2618">
        <x:f>ROUND($C2618*10*VLOOKUP($B2618,Sheet2!$J$5:$K$7,2,FALSE)*VLOOKUP(Sheet1!$A2618,Sheet2!$B$5:$H$29,6,FALSE),0)</x:f>
        <x:v>0</x:v>
      </x:c>
      <x:c r="H2618">
        <x:f>ROUND($C2618*10*VLOOKUP($B2618,Sheet2!$J$5:$K$7,2,FALSE)*VLOOKUP(Sheet1!$A2618,Sheet2!$B$5:$H$29,7,FALSE),0)</x:f>
        <x:v>444</x:v>
      </x:c>
      <x:c r="I2618">
        <x:f t="shared" si="43"/>
        <x:v>26640</x:v>
      </x:c>
    </x:row>
    <x:row r="2619" spans="1:9" x14ac:dyDescent="0.15">
      <x:c r="A2619">
        <x:v>54105</x:v>
      </x:c>
      <x:c r="B2619">
        <x:v>2</x:v>
      </x:c>
      <x:c r="C2619">
        <x:v>38</x:v>
      </x:c>
      <x:c r="D2619">
        <x:f>ROUND($C2619*10*VLOOKUP($B2619,Sheet2!$J$5:$K$7,2,FALSE)*VLOOKUP(Sheet1!$A2619,Sheet2!$B$5:$H$29,3,FALSE),0)</x:f>
        <x:v>0</x:v>
      </x:c>
      <x:c r="E2619">
        <x:f>ROUND($C2619*10*VLOOKUP($B2619,Sheet2!$J$5:$K$7,2,FALSE)*VLOOKUP(Sheet1!$A2619,Sheet2!$B$5:$H$29,4,FALSE),0)</x:f>
        <x:v>0</x:v>
      </x:c>
      <x:c r="F2619">
        <x:f>ROUND($C2619*10*VLOOKUP($B2619,Sheet2!$J$5:$K$7,2,FALSE)*VLOOKUP(Sheet1!$A2619,Sheet2!$B$5:$H$29,5,FALSE),0)</x:f>
        <x:v>219</x:v>
      </x:c>
      <x:c r="G2619">
        <x:f>ROUND($C2619*10*VLOOKUP($B2619,Sheet2!$J$5:$K$7,2,FALSE)*VLOOKUP(Sheet1!$A2619,Sheet2!$B$5:$H$29,6,FALSE),0)</x:f>
        <x:v>0</x:v>
      </x:c>
      <x:c r="H2619">
        <x:f>ROUND($C2619*10*VLOOKUP($B2619,Sheet2!$J$5:$K$7,2,FALSE)*VLOOKUP(Sheet1!$A2619,Sheet2!$B$5:$H$29,7,FALSE),0)</x:f>
        <x:v>456</x:v>
      </x:c>
      <x:c r="I2619">
        <x:f t="shared" si="43"/>
        <x:v>27990</x:v>
      </x:c>
    </x:row>
    <x:row r="2620" spans="1:9" x14ac:dyDescent="0.15">
      <x:c r="A2620">
        <x:v>54105</x:v>
      </x:c>
      <x:c r="B2620">
        <x:v>2</x:v>
      </x:c>
      <x:c r="C2620">
        <x:v>39</x:v>
      </x:c>
      <x:c r="D2620">
        <x:f>ROUND($C2620*10*VLOOKUP($B2620,Sheet2!$J$5:$K$7,2,FALSE)*VLOOKUP(Sheet1!$A2620,Sheet2!$B$5:$H$29,3,FALSE),0)</x:f>
        <x:v>0</x:v>
      </x:c>
      <x:c r="E2620">
        <x:f>ROUND($C2620*10*VLOOKUP($B2620,Sheet2!$J$5:$K$7,2,FALSE)*VLOOKUP(Sheet1!$A2620,Sheet2!$B$5:$H$29,4,FALSE),0)</x:f>
        <x:v>0</x:v>
      </x:c>
      <x:c r="F2620">
        <x:f>ROUND($C2620*10*VLOOKUP($B2620,Sheet2!$J$5:$K$7,2,FALSE)*VLOOKUP(Sheet1!$A2620,Sheet2!$B$5:$H$29,5,FALSE),0)</x:f>
        <x:v>225</x:v>
      </x:c>
      <x:c r="G2620">
        <x:f>ROUND($C2620*10*VLOOKUP($B2620,Sheet2!$J$5:$K$7,2,FALSE)*VLOOKUP(Sheet1!$A2620,Sheet2!$B$5:$H$29,6,FALSE),0)</x:f>
        <x:v>0</x:v>
      </x:c>
      <x:c r="H2620">
        <x:f>ROUND($C2620*10*VLOOKUP($B2620,Sheet2!$J$5:$K$7,2,FALSE)*VLOOKUP(Sheet1!$A2620,Sheet2!$B$5:$H$29,7,FALSE),0)</x:f>
        <x:v>468</x:v>
      </x:c>
      <x:c r="I2620">
        <x:f t="shared" si="43"/>
        <x:v>29360</x:v>
      </x:c>
    </x:row>
    <x:row r="2621" spans="1:9" x14ac:dyDescent="0.15">
      <x:c r="A2621">
        <x:v>54105</x:v>
      </x:c>
      <x:c r="B2621">
        <x:v>2</x:v>
      </x:c>
      <x:c r="C2621">
        <x:v>40</x:v>
      </x:c>
      <x:c r="D2621">
        <x:f>ROUND($C2621*10*VLOOKUP($B2621,Sheet2!$J$5:$K$7,2,FALSE)*VLOOKUP(Sheet1!$A2621,Sheet2!$B$5:$H$29,3,FALSE),0)</x:f>
        <x:v>0</x:v>
      </x:c>
      <x:c r="E2621">
        <x:f>ROUND($C2621*10*VLOOKUP($B2621,Sheet2!$J$5:$K$7,2,FALSE)*VLOOKUP(Sheet1!$A2621,Sheet2!$B$5:$H$29,4,FALSE),0)</x:f>
        <x:v>0</x:v>
      </x:c>
      <x:c r="F2621">
        <x:f>ROUND($C2621*10*VLOOKUP($B2621,Sheet2!$J$5:$K$7,2,FALSE)*VLOOKUP(Sheet1!$A2621,Sheet2!$B$5:$H$29,5,FALSE),0)</x:f>
        <x:v>230</x:v>
      </x:c>
      <x:c r="G2621">
        <x:f>ROUND($C2621*10*VLOOKUP($B2621,Sheet2!$J$5:$K$7,2,FALSE)*VLOOKUP(Sheet1!$A2621,Sheet2!$B$5:$H$29,6,FALSE),0)</x:f>
        <x:v>0</x:v>
      </x:c>
      <x:c r="H2621">
        <x:f>ROUND($C2621*10*VLOOKUP($B2621,Sheet2!$J$5:$K$7,2,FALSE)*VLOOKUP(Sheet1!$A2621,Sheet2!$B$5:$H$29,7,FALSE),0)</x:f>
        <x:v>480</x:v>
      </x:c>
      <x:c r="I2621">
        <x:f t="shared" si="43"/>
        <x:v>30760</x:v>
      </x:c>
    </x:row>
    <x:row r="2622" spans="1:9" x14ac:dyDescent="0.15">
      <x:c r="A2622">
        <x:v>54105</x:v>
      </x:c>
      <x:c r="B2622">
        <x:v>2</x:v>
      </x:c>
      <x:c r="C2622">
        <x:v>41</x:v>
      </x:c>
      <x:c r="D2622">
        <x:f>ROUND($C2622*10*VLOOKUP($B2622,Sheet2!$J$5:$K$7,2,FALSE)*VLOOKUP(Sheet1!$A2622,Sheet2!$B$5:$H$29,3,FALSE),0)</x:f>
        <x:v>0</x:v>
      </x:c>
      <x:c r="E2622">
        <x:f>ROUND($C2622*10*VLOOKUP($B2622,Sheet2!$J$5:$K$7,2,FALSE)*VLOOKUP(Sheet1!$A2622,Sheet2!$B$5:$H$29,4,FALSE),0)</x:f>
        <x:v>0</x:v>
      </x:c>
      <x:c r="F2622">
        <x:f>ROUND($C2622*10*VLOOKUP($B2622,Sheet2!$J$5:$K$7,2,FALSE)*VLOOKUP(Sheet1!$A2622,Sheet2!$B$5:$H$29,5,FALSE),0)</x:f>
        <x:v>236</x:v>
      </x:c>
      <x:c r="G2622">
        <x:f>ROUND($C2622*10*VLOOKUP($B2622,Sheet2!$J$5:$K$7,2,FALSE)*VLOOKUP(Sheet1!$A2622,Sheet2!$B$5:$H$29,6,FALSE),0)</x:f>
        <x:v>0</x:v>
      </x:c>
      <x:c r="H2622">
        <x:f>ROUND($C2622*10*VLOOKUP($B2622,Sheet2!$J$5:$K$7,2,FALSE)*VLOOKUP(Sheet1!$A2622,Sheet2!$B$5:$H$29,7,FALSE),0)</x:f>
        <x:v>492</x:v>
      </x:c>
      <x:c r="I2622">
        <x:f t="shared" si="43"/>
        <x:v>32190</x:v>
      </x:c>
    </x:row>
    <x:row r="2623" spans="1:9" x14ac:dyDescent="0.15">
      <x:c r="A2623">
        <x:v>54105</x:v>
      </x:c>
      <x:c r="B2623">
        <x:v>2</x:v>
      </x:c>
      <x:c r="C2623">
        <x:v>42</x:v>
      </x:c>
      <x:c r="D2623">
        <x:f>ROUND($C2623*10*VLOOKUP($B2623,Sheet2!$J$5:$K$7,2,FALSE)*VLOOKUP(Sheet1!$A2623,Sheet2!$B$5:$H$29,3,FALSE),0)</x:f>
        <x:v>0</x:v>
      </x:c>
      <x:c r="E2623">
        <x:f>ROUND($C2623*10*VLOOKUP($B2623,Sheet2!$J$5:$K$7,2,FALSE)*VLOOKUP(Sheet1!$A2623,Sheet2!$B$5:$H$29,4,FALSE),0)</x:f>
        <x:v>0</x:v>
      </x:c>
      <x:c r="F2623">
        <x:f>ROUND($C2623*10*VLOOKUP($B2623,Sheet2!$J$5:$K$7,2,FALSE)*VLOOKUP(Sheet1!$A2623,Sheet2!$B$5:$H$29,5,FALSE),0)</x:f>
        <x:v>242</x:v>
      </x:c>
      <x:c r="G2623">
        <x:f>ROUND($C2623*10*VLOOKUP($B2623,Sheet2!$J$5:$K$7,2,FALSE)*VLOOKUP(Sheet1!$A2623,Sheet2!$B$5:$H$29,6,FALSE),0)</x:f>
        <x:v>0</x:v>
      </x:c>
      <x:c r="H2623">
        <x:f>ROUND($C2623*10*VLOOKUP($B2623,Sheet2!$J$5:$K$7,2,FALSE)*VLOOKUP(Sheet1!$A2623,Sheet2!$B$5:$H$29,7,FALSE),0)</x:f>
        <x:v>504</x:v>
      </x:c>
      <x:c r="I2623">
        <x:f t="shared" si="43"/>
        <x:v>33650</x:v>
      </x:c>
    </x:row>
    <x:row r="2624" spans="1:9" x14ac:dyDescent="0.15">
      <x:c r="A2624">
        <x:v>54105</x:v>
      </x:c>
      <x:c r="B2624">
        <x:v>2</x:v>
      </x:c>
      <x:c r="C2624">
        <x:v>43</x:v>
      </x:c>
      <x:c r="D2624">
        <x:f>ROUND($C2624*10*VLOOKUP($B2624,Sheet2!$J$5:$K$7,2,FALSE)*VLOOKUP(Sheet1!$A2624,Sheet2!$B$5:$H$29,3,FALSE),0)</x:f>
        <x:v>0</x:v>
      </x:c>
      <x:c r="E2624">
        <x:f>ROUND($C2624*10*VLOOKUP($B2624,Sheet2!$J$5:$K$7,2,FALSE)*VLOOKUP(Sheet1!$A2624,Sheet2!$B$5:$H$29,4,FALSE),0)</x:f>
        <x:v>0</x:v>
      </x:c>
      <x:c r="F2624">
        <x:f>ROUND($C2624*10*VLOOKUP($B2624,Sheet2!$J$5:$K$7,2,FALSE)*VLOOKUP(Sheet1!$A2624,Sheet2!$B$5:$H$29,5,FALSE),0)</x:f>
        <x:v>248</x:v>
      </x:c>
      <x:c r="G2624">
        <x:f>ROUND($C2624*10*VLOOKUP($B2624,Sheet2!$J$5:$K$7,2,FALSE)*VLOOKUP(Sheet1!$A2624,Sheet2!$B$5:$H$29,6,FALSE),0)</x:f>
        <x:v>0</x:v>
      </x:c>
      <x:c r="H2624">
        <x:f>ROUND($C2624*10*VLOOKUP($B2624,Sheet2!$J$5:$K$7,2,FALSE)*VLOOKUP(Sheet1!$A2624,Sheet2!$B$5:$H$29,7,FALSE),0)</x:f>
        <x:v>516</x:v>
      </x:c>
      <x:c r="I2624">
        <x:f t="shared" si="43"/>
        <x:v>35140</x:v>
      </x:c>
    </x:row>
    <x:row r="2625" spans="1:9" x14ac:dyDescent="0.15">
      <x:c r="A2625">
        <x:v>54105</x:v>
      </x:c>
      <x:c r="B2625">
        <x:v>2</x:v>
      </x:c>
      <x:c r="C2625">
        <x:v>44</x:v>
      </x:c>
      <x:c r="D2625">
        <x:f>ROUND($C2625*10*VLOOKUP($B2625,Sheet2!$J$5:$K$7,2,FALSE)*VLOOKUP(Sheet1!$A2625,Sheet2!$B$5:$H$29,3,FALSE),0)</x:f>
        <x:v>0</x:v>
      </x:c>
      <x:c r="E2625">
        <x:f>ROUND($C2625*10*VLOOKUP($B2625,Sheet2!$J$5:$K$7,2,FALSE)*VLOOKUP(Sheet1!$A2625,Sheet2!$B$5:$H$29,4,FALSE),0)</x:f>
        <x:v>0</x:v>
      </x:c>
      <x:c r="F2625">
        <x:f>ROUND($C2625*10*VLOOKUP($B2625,Sheet2!$J$5:$K$7,2,FALSE)*VLOOKUP(Sheet1!$A2625,Sheet2!$B$5:$H$29,5,FALSE),0)</x:f>
        <x:v>253</x:v>
      </x:c>
      <x:c r="G2625">
        <x:f>ROUND($C2625*10*VLOOKUP($B2625,Sheet2!$J$5:$K$7,2,FALSE)*VLOOKUP(Sheet1!$A2625,Sheet2!$B$5:$H$29,6,FALSE),0)</x:f>
        <x:v>0</x:v>
      </x:c>
      <x:c r="H2625">
        <x:f>ROUND($C2625*10*VLOOKUP($B2625,Sheet2!$J$5:$K$7,2,FALSE)*VLOOKUP(Sheet1!$A2625,Sheet2!$B$5:$H$29,7,FALSE),0)</x:f>
        <x:v>528</x:v>
      </x:c>
      <x:c r="I2625">
        <x:f t="shared" si="43"/>
        <x:v>36660</x:v>
      </x:c>
    </x:row>
    <x:row r="2626" spans="1:9" x14ac:dyDescent="0.15">
      <x:c r="A2626">
        <x:v>54105</x:v>
      </x:c>
      <x:c r="B2626">
        <x:v>2</x:v>
      </x:c>
      <x:c r="C2626">
        <x:v>45</x:v>
      </x:c>
      <x:c r="D2626">
        <x:f>ROUND($C2626*10*VLOOKUP($B2626,Sheet2!$J$5:$K$7,2,FALSE)*VLOOKUP(Sheet1!$A2626,Sheet2!$B$5:$H$29,3,FALSE),0)</x:f>
        <x:v>0</x:v>
      </x:c>
      <x:c r="E2626">
        <x:f>ROUND($C2626*10*VLOOKUP($B2626,Sheet2!$J$5:$K$7,2,FALSE)*VLOOKUP(Sheet1!$A2626,Sheet2!$B$5:$H$29,4,FALSE),0)</x:f>
        <x:v>0</x:v>
      </x:c>
      <x:c r="F2626">
        <x:f>ROUND($C2626*10*VLOOKUP($B2626,Sheet2!$J$5:$K$7,2,FALSE)*VLOOKUP(Sheet1!$A2626,Sheet2!$B$5:$H$29,5,FALSE),0)</x:f>
        <x:v>259</x:v>
      </x:c>
      <x:c r="G2626">
        <x:f>ROUND($C2626*10*VLOOKUP($B2626,Sheet2!$J$5:$K$7,2,FALSE)*VLOOKUP(Sheet1!$A2626,Sheet2!$B$5:$H$29,6,FALSE),0)</x:f>
        <x:v>0</x:v>
      </x:c>
      <x:c r="H2626">
        <x:f>ROUND($C2626*10*VLOOKUP($B2626,Sheet2!$J$5:$K$7,2,FALSE)*VLOOKUP(Sheet1!$A2626,Sheet2!$B$5:$H$29,7,FALSE),0)</x:f>
        <x:v>540</x:v>
      </x:c>
      <x:c r="I2626">
        <x:f t="shared" si="43"/>
        <x:v>38210</x:v>
      </x:c>
    </x:row>
    <x:row r="2627" spans="1:9" x14ac:dyDescent="0.15">
      <x:c r="A2627">
        <x:v>54105</x:v>
      </x:c>
      <x:c r="B2627">
        <x:v>2</x:v>
      </x:c>
      <x:c r="C2627">
        <x:v>46</x:v>
      </x:c>
      <x:c r="D2627">
        <x:f>ROUND($C2627*10*VLOOKUP($B2627,Sheet2!$J$5:$K$7,2,FALSE)*VLOOKUP(Sheet1!$A2627,Sheet2!$B$5:$H$29,3,FALSE),0)</x:f>
        <x:v>0</x:v>
      </x:c>
      <x:c r="E2627">
        <x:f>ROUND($C2627*10*VLOOKUP($B2627,Sheet2!$J$5:$K$7,2,FALSE)*VLOOKUP(Sheet1!$A2627,Sheet2!$B$5:$H$29,4,FALSE),0)</x:f>
        <x:v>0</x:v>
      </x:c>
      <x:c r="F2627">
        <x:f>ROUND($C2627*10*VLOOKUP($B2627,Sheet2!$J$5:$K$7,2,FALSE)*VLOOKUP(Sheet1!$A2627,Sheet2!$B$5:$H$29,5,FALSE),0)</x:f>
        <x:v>265</x:v>
      </x:c>
      <x:c r="G2627">
        <x:f>ROUND($C2627*10*VLOOKUP($B2627,Sheet2!$J$5:$K$7,2,FALSE)*VLOOKUP(Sheet1!$A2627,Sheet2!$B$5:$H$29,6,FALSE),0)</x:f>
        <x:v>0</x:v>
      </x:c>
      <x:c r="H2627">
        <x:f>ROUND($C2627*10*VLOOKUP($B2627,Sheet2!$J$5:$K$7,2,FALSE)*VLOOKUP(Sheet1!$A2627,Sheet2!$B$5:$H$29,7,FALSE),0)</x:f>
        <x:v>552</x:v>
      </x:c>
      <x:c r="I2627">
        <x:f t="shared" si="43"/>
        <x:v>39780</x:v>
      </x:c>
    </x:row>
    <x:row r="2628" spans="1:9" x14ac:dyDescent="0.15">
      <x:c r="A2628">
        <x:v>54105</x:v>
      </x:c>
      <x:c r="B2628">
        <x:v>2</x:v>
      </x:c>
      <x:c r="C2628">
        <x:v>47</x:v>
      </x:c>
      <x:c r="D2628">
        <x:f>ROUND($C2628*10*VLOOKUP($B2628,Sheet2!$J$5:$K$7,2,FALSE)*VLOOKUP(Sheet1!$A2628,Sheet2!$B$5:$H$29,3,FALSE),0)</x:f>
        <x:v>0</x:v>
      </x:c>
      <x:c r="E2628">
        <x:f>ROUND($C2628*10*VLOOKUP($B2628,Sheet2!$J$5:$K$7,2,FALSE)*VLOOKUP(Sheet1!$A2628,Sheet2!$B$5:$H$29,4,FALSE),0)</x:f>
        <x:v>0</x:v>
      </x:c>
      <x:c r="F2628">
        <x:f>ROUND($C2628*10*VLOOKUP($B2628,Sheet2!$J$5:$K$7,2,FALSE)*VLOOKUP(Sheet1!$A2628,Sheet2!$B$5:$H$29,5,FALSE),0)</x:f>
        <x:v>271</x:v>
      </x:c>
      <x:c r="G2628">
        <x:f>ROUND($C2628*10*VLOOKUP($B2628,Sheet2!$J$5:$K$7,2,FALSE)*VLOOKUP(Sheet1!$A2628,Sheet2!$B$5:$H$29,6,FALSE),0)</x:f>
        <x:v>0</x:v>
      </x:c>
      <x:c r="H2628">
        <x:f>ROUND($C2628*10*VLOOKUP($B2628,Sheet2!$J$5:$K$7,2,FALSE)*VLOOKUP(Sheet1!$A2628,Sheet2!$B$5:$H$29,7,FALSE),0)</x:f>
        <x:v>564</x:v>
      </x:c>
      <x:c r="I2628">
        <x:f t="shared" si="43"/>
        <x:v>41390</x:v>
      </x:c>
    </x:row>
    <x:row r="2629" spans="1:9" x14ac:dyDescent="0.15">
      <x:c r="A2629">
        <x:v>54105</x:v>
      </x:c>
      <x:c r="B2629">
        <x:v>2</x:v>
      </x:c>
      <x:c r="C2629">
        <x:v>48</x:v>
      </x:c>
      <x:c r="D2629">
        <x:f>ROUND($C2629*10*VLOOKUP($B2629,Sheet2!$J$5:$K$7,2,FALSE)*VLOOKUP(Sheet1!$A2629,Sheet2!$B$5:$H$29,3,FALSE),0)</x:f>
        <x:v>0</x:v>
      </x:c>
      <x:c r="E2629">
        <x:f>ROUND($C2629*10*VLOOKUP($B2629,Sheet2!$J$5:$K$7,2,FALSE)*VLOOKUP(Sheet1!$A2629,Sheet2!$B$5:$H$29,4,FALSE),0)</x:f>
        <x:v>0</x:v>
      </x:c>
      <x:c r="F2629">
        <x:f>ROUND($C2629*10*VLOOKUP($B2629,Sheet2!$J$5:$K$7,2,FALSE)*VLOOKUP(Sheet1!$A2629,Sheet2!$B$5:$H$29,5,FALSE),0)</x:f>
        <x:v>276</x:v>
      </x:c>
      <x:c r="G2629">
        <x:f>ROUND($C2629*10*VLOOKUP($B2629,Sheet2!$J$5:$K$7,2,FALSE)*VLOOKUP(Sheet1!$A2629,Sheet2!$B$5:$H$29,6,FALSE),0)</x:f>
        <x:v>0</x:v>
      </x:c>
      <x:c r="H2629">
        <x:f>ROUND($C2629*10*VLOOKUP($B2629,Sheet2!$J$5:$K$7,2,FALSE)*VLOOKUP(Sheet1!$A2629,Sheet2!$B$5:$H$29,7,FALSE),0)</x:f>
        <x:v>576</x:v>
      </x:c>
      <x:c r="I2629">
        <x:f t="shared" si="43"/>
        <x:v>43020</x:v>
      </x:c>
    </x:row>
    <x:row r="2630" spans="1:9" x14ac:dyDescent="0.15">
      <x:c r="A2630">
        <x:v>54105</x:v>
      </x:c>
      <x:c r="B2630">
        <x:v>2</x:v>
      </x:c>
      <x:c r="C2630">
        <x:v>49</x:v>
      </x:c>
      <x:c r="D2630">
        <x:f>ROUND($C2630*10*VLOOKUP($B2630,Sheet2!$J$5:$K$7,2,FALSE)*VLOOKUP(Sheet1!$A2630,Sheet2!$B$5:$H$29,3,FALSE),0)</x:f>
        <x:v>0</x:v>
      </x:c>
      <x:c r="E2630">
        <x:f>ROUND($C2630*10*VLOOKUP($B2630,Sheet2!$J$5:$K$7,2,FALSE)*VLOOKUP(Sheet1!$A2630,Sheet2!$B$5:$H$29,4,FALSE),0)</x:f>
        <x:v>0</x:v>
      </x:c>
      <x:c r="F2630">
        <x:f>ROUND($C2630*10*VLOOKUP($B2630,Sheet2!$J$5:$K$7,2,FALSE)*VLOOKUP(Sheet1!$A2630,Sheet2!$B$5:$H$29,5,FALSE),0)</x:f>
        <x:v>282</x:v>
      </x:c>
      <x:c r="G2630">
        <x:f>ROUND($C2630*10*VLOOKUP($B2630,Sheet2!$J$5:$K$7,2,FALSE)*VLOOKUP(Sheet1!$A2630,Sheet2!$B$5:$H$29,6,FALSE),0)</x:f>
        <x:v>0</x:v>
      </x:c>
      <x:c r="H2630">
        <x:f>ROUND($C2630*10*VLOOKUP($B2630,Sheet2!$J$5:$K$7,2,FALSE)*VLOOKUP(Sheet1!$A2630,Sheet2!$B$5:$H$29,7,FALSE),0)</x:f>
        <x:v>588</x:v>
      </x:c>
      <x:c r="I2630">
        <x:f t="shared" si="43"/>
        <x:v>44680</x:v>
      </x:c>
    </x:row>
    <x:row r="2631" spans="1:9" x14ac:dyDescent="0.15">
      <x:c r="A2631">
        <x:v>54105</x:v>
      </x:c>
      <x:c r="B2631">
        <x:v>2</x:v>
      </x:c>
      <x:c r="C2631">
        <x:v>50</x:v>
      </x:c>
      <x:c r="D2631">
        <x:f>ROUND($C2631*10*VLOOKUP($B2631,Sheet2!$J$5:$K$7,2,FALSE)*VLOOKUP(Sheet1!$A2631,Sheet2!$B$5:$H$29,3,FALSE),0)</x:f>
        <x:v>0</x:v>
      </x:c>
      <x:c r="E2631">
        <x:f>ROUND($C2631*10*VLOOKUP($B2631,Sheet2!$J$5:$K$7,2,FALSE)*VLOOKUP(Sheet1!$A2631,Sheet2!$B$5:$H$29,4,FALSE),0)</x:f>
        <x:v>0</x:v>
      </x:c>
      <x:c r="F2631">
        <x:f>ROUND($C2631*10*VLOOKUP($B2631,Sheet2!$J$5:$K$7,2,FALSE)*VLOOKUP(Sheet1!$A2631,Sheet2!$B$5:$H$29,5,FALSE),0)</x:f>
        <x:v>288</x:v>
      </x:c>
      <x:c r="G2631">
        <x:f>ROUND($C2631*10*VLOOKUP($B2631,Sheet2!$J$5:$K$7,2,FALSE)*VLOOKUP(Sheet1!$A2631,Sheet2!$B$5:$H$29,6,FALSE),0)</x:f>
        <x:v>0</x:v>
      </x:c>
      <x:c r="H2631">
        <x:f>ROUND($C2631*10*VLOOKUP($B2631,Sheet2!$J$5:$K$7,2,FALSE)*VLOOKUP(Sheet1!$A2631,Sheet2!$B$5:$H$29,7,FALSE),0)</x:f>
        <x:v>600</x:v>
      </x:c>
      <x:c r="I2631">
        <x:f t="shared" si="43"/>
        <x:v>46360</x:v>
      </x:c>
    </x:row>
    <x:row r="2632" spans="1:9" x14ac:dyDescent="0.15">
      <x:c r="A2632">
        <x:v>54105</x:v>
      </x:c>
      <x:c r="B2632">
        <x:v>2</x:v>
      </x:c>
      <x:c r="C2632">
        <x:v>51</x:v>
      </x:c>
      <x:c r="D2632">
        <x:f>ROUND($C2632*10*VLOOKUP($B2632,Sheet2!$J$5:$K$7,2,FALSE)*VLOOKUP(Sheet1!$A2632,Sheet2!$B$5:$H$29,3,FALSE),0)</x:f>
        <x:v>0</x:v>
      </x:c>
      <x:c r="E2632">
        <x:f>ROUND($C2632*10*VLOOKUP($B2632,Sheet2!$J$5:$K$7,2,FALSE)*VLOOKUP(Sheet1!$A2632,Sheet2!$B$5:$H$29,4,FALSE),0)</x:f>
        <x:v>0</x:v>
      </x:c>
      <x:c r="F2632">
        <x:f>ROUND($C2632*10*VLOOKUP($B2632,Sheet2!$J$5:$K$7,2,FALSE)*VLOOKUP(Sheet1!$A2632,Sheet2!$B$5:$H$29,5,FALSE),0)</x:f>
        <x:v>294</x:v>
      </x:c>
      <x:c r="G2632">
        <x:f>ROUND($C2632*10*VLOOKUP($B2632,Sheet2!$J$5:$K$7,2,FALSE)*VLOOKUP(Sheet1!$A2632,Sheet2!$B$5:$H$29,6,FALSE),0)</x:f>
        <x:v>0</x:v>
      </x:c>
      <x:c r="H2632">
        <x:f>ROUND($C2632*10*VLOOKUP($B2632,Sheet2!$J$5:$K$7,2,FALSE)*VLOOKUP(Sheet1!$A2632,Sheet2!$B$5:$H$29,7,FALSE),0)</x:f>
        <x:v>612</x:v>
      </x:c>
      <x:c r="I2632">
        <x:f t="shared" si="43"/>
        <x:v>48080</x:v>
      </x:c>
    </x:row>
    <x:row r="2633" spans="1:9" x14ac:dyDescent="0.15">
      <x:c r="A2633">
        <x:v>54105</x:v>
      </x:c>
      <x:c r="B2633">
        <x:v>2</x:v>
      </x:c>
      <x:c r="C2633">
        <x:v>52</x:v>
      </x:c>
      <x:c r="D2633">
        <x:f>ROUND($C2633*10*VLOOKUP($B2633,Sheet2!$J$5:$K$7,2,FALSE)*VLOOKUP(Sheet1!$A2633,Sheet2!$B$5:$H$29,3,FALSE),0)</x:f>
        <x:v>0</x:v>
      </x:c>
      <x:c r="E2633">
        <x:f>ROUND($C2633*10*VLOOKUP($B2633,Sheet2!$J$5:$K$7,2,FALSE)*VLOOKUP(Sheet1!$A2633,Sheet2!$B$5:$H$29,4,FALSE),0)</x:f>
        <x:v>0</x:v>
      </x:c>
      <x:c r="F2633">
        <x:f>ROUND($C2633*10*VLOOKUP($B2633,Sheet2!$J$5:$K$7,2,FALSE)*VLOOKUP(Sheet1!$A2633,Sheet2!$B$5:$H$29,5,FALSE),0)</x:f>
        <x:v>300</x:v>
      </x:c>
      <x:c r="G2633">
        <x:f>ROUND($C2633*10*VLOOKUP($B2633,Sheet2!$J$5:$K$7,2,FALSE)*VLOOKUP(Sheet1!$A2633,Sheet2!$B$5:$H$29,6,FALSE),0)</x:f>
        <x:v>0</x:v>
      </x:c>
      <x:c r="H2633">
        <x:f>ROUND($C2633*10*VLOOKUP($B2633,Sheet2!$J$5:$K$7,2,FALSE)*VLOOKUP(Sheet1!$A2633,Sheet2!$B$5:$H$29,7,FALSE),0)</x:f>
        <x:v>624</x:v>
      </x:c>
      <x:c r="I2633">
        <x:f t="shared" si="43"/>
        <x:v>49820</x:v>
      </x:c>
    </x:row>
    <x:row r="2634" spans="1:9" x14ac:dyDescent="0.15">
      <x:c r="A2634">
        <x:v>54105</x:v>
      </x:c>
      <x:c r="B2634">
        <x:v>2</x:v>
      </x:c>
      <x:c r="C2634">
        <x:v>53</x:v>
      </x:c>
      <x:c r="D2634">
        <x:f>ROUND($C2634*10*VLOOKUP($B2634,Sheet2!$J$5:$K$7,2,FALSE)*VLOOKUP(Sheet1!$A2634,Sheet2!$B$5:$H$29,3,FALSE),0)</x:f>
        <x:v>0</x:v>
      </x:c>
      <x:c r="E2634">
        <x:f>ROUND($C2634*10*VLOOKUP($B2634,Sheet2!$J$5:$K$7,2,FALSE)*VLOOKUP(Sheet1!$A2634,Sheet2!$B$5:$H$29,4,FALSE),0)</x:f>
        <x:v>0</x:v>
      </x:c>
      <x:c r="F2634">
        <x:f>ROUND($C2634*10*VLOOKUP($B2634,Sheet2!$J$5:$K$7,2,FALSE)*VLOOKUP(Sheet1!$A2634,Sheet2!$B$5:$H$29,5,FALSE),0)</x:f>
        <x:v>305</x:v>
      </x:c>
      <x:c r="G2634">
        <x:f>ROUND($C2634*10*VLOOKUP($B2634,Sheet2!$J$5:$K$7,2,FALSE)*VLOOKUP(Sheet1!$A2634,Sheet2!$B$5:$H$29,6,FALSE),0)</x:f>
        <x:v>0</x:v>
      </x:c>
      <x:c r="H2634">
        <x:f>ROUND($C2634*10*VLOOKUP($B2634,Sheet2!$J$5:$K$7,2,FALSE)*VLOOKUP(Sheet1!$A2634,Sheet2!$B$5:$H$29,7,FALSE),0)</x:f>
        <x:v>636</x:v>
      </x:c>
      <x:c r="I2634">
        <x:f t="shared" si="43"/>
        <x:v>51590</x:v>
      </x:c>
    </x:row>
    <x:row r="2635" spans="1:9" x14ac:dyDescent="0.15">
      <x:c r="A2635">
        <x:v>54105</x:v>
      </x:c>
      <x:c r="B2635">
        <x:v>2</x:v>
      </x:c>
      <x:c r="C2635">
        <x:v>54</x:v>
      </x:c>
      <x:c r="D2635">
        <x:f>ROUND($C2635*10*VLOOKUP($B2635,Sheet2!$J$5:$K$7,2,FALSE)*VLOOKUP(Sheet1!$A2635,Sheet2!$B$5:$H$29,3,FALSE),0)</x:f>
        <x:v>0</x:v>
      </x:c>
      <x:c r="E2635">
        <x:f>ROUND($C2635*10*VLOOKUP($B2635,Sheet2!$J$5:$K$7,2,FALSE)*VLOOKUP(Sheet1!$A2635,Sheet2!$B$5:$H$29,4,FALSE),0)</x:f>
        <x:v>0</x:v>
      </x:c>
      <x:c r="F2635">
        <x:f>ROUND($C2635*10*VLOOKUP($B2635,Sheet2!$J$5:$K$7,2,FALSE)*VLOOKUP(Sheet1!$A2635,Sheet2!$B$5:$H$29,5,FALSE),0)</x:f>
        <x:v>311</x:v>
      </x:c>
      <x:c r="G2635">
        <x:f>ROUND($C2635*10*VLOOKUP($B2635,Sheet2!$J$5:$K$7,2,FALSE)*VLOOKUP(Sheet1!$A2635,Sheet2!$B$5:$H$29,6,FALSE),0)</x:f>
        <x:v>0</x:v>
      </x:c>
      <x:c r="H2635">
        <x:f>ROUND($C2635*10*VLOOKUP($B2635,Sheet2!$J$5:$K$7,2,FALSE)*VLOOKUP(Sheet1!$A2635,Sheet2!$B$5:$H$29,7,FALSE),0)</x:f>
        <x:v>648</x:v>
      </x:c>
      <x:c r="I2635">
        <x:f t="shared" si="43"/>
        <x:v>53390</x:v>
      </x:c>
    </x:row>
    <x:row r="2636" spans="1:9" x14ac:dyDescent="0.15">
      <x:c r="A2636">
        <x:v>54105</x:v>
      </x:c>
      <x:c r="B2636">
        <x:v>2</x:v>
      </x:c>
      <x:c r="C2636">
        <x:v>55</x:v>
      </x:c>
      <x:c r="D2636">
        <x:f>ROUND($C2636*10*VLOOKUP($B2636,Sheet2!$J$5:$K$7,2,FALSE)*VLOOKUP(Sheet1!$A2636,Sheet2!$B$5:$H$29,3,FALSE),0)</x:f>
        <x:v>0</x:v>
      </x:c>
      <x:c r="E2636">
        <x:f>ROUND($C2636*10*VLOOKUP($B2636,Sheet2!$J$5:$K$7,2,FALSE)*VLOOKUP(Sheet1!$A2636,Sheet2!$B$5:$H$29,4,FALSE),0)</x:f>
        <x:v>0</x:v>
      </x:c>
      <x:c r="F2636">
        <x:f>ROUND($C2636*10*VLOOKUP($B2636,Sheet2!$J$5:$K$7,2,FALSE)*VLOOKUP(Sheet1!$A2636,Sheet2!$B$5:$H$29,5,FALSE),0)</x:f>
        <x:v>317</x:v>
      </x:c>
      <x:c r="G2636">
        <x:f>ROUND($C2636*10*VLOOKUP($B2636,Sheet2!$J$5:$K$7,2,FALSE)*VLOOKUP(Sheet1!$A2636,Sheet2!$B$5:$H$29,6,FALSE),0)</x:f>
        <x:v>0</x:v>
      </x:c>
      <x:c r="H2636">
        <x:f>ROUND($C2636*10*VLOOKUP($B2636,Sheet2!$J$5:$K$7,2,FALSE)*VLOOKUP(Sheet1!$A2636,Sheet2!$B$5:$H$29,7,FALSE),0)</x:f>
        <x:v>660</x:v>
      </x:c>
      <x:c r="I2636">
        <x:f t="shared" si="43"/>
        <x:v>55210</x:v>
      </x:c>
    </x:row>
    <x:row r="2637" spans="1:9" x14ac:dyDescent="0.15">
      <x:c r="A2637">
        <x:v>54105</x:v>
      </x:c>
      <x:c r="B2637">
        <x:v>2</x:v>
      </x:c>
      <x:c r="C2637">
        <x:v>56</x:v>
      </x:c>
      <x:c r="D2637">
        <x:f>ROUND($C2637*10*VLOOKUP($B2637,Sheet2!$J$5:$K$7,2,FALSE)*VLOOKUP(Sheet1!$A2637,Sheet2!$B$5:$H$29,3,FALSE),0)</x:f>
        <x:v>0</x:v>
      </x:c>
      <x:c r="E2637">
        <x:f>ROUND($C2637*10*VLOOKUP($B2637,Sheet2!$J$5:$K$7,2,FALSE)*VLOOKUP(Sheet1!$A2637,Sheet2!$B$5:$H$29,4,FALSE),0)</x:f>
        <x:v>0</x:v>
      </x:c>
      <x:c r="F2637">
        <x:f>ROUND($C2637*10*VLOOKUP($B2637,Sheet2!$J$5:$K$7,2,FALSE)*VLOOKUP(Sheet1!$A2637,Sheet2!$B$5:$H$29,5,FALSE),0)</x:f>
        <x:v>323</x:v>
      </x:c>
      <x:c r="G2637">
        <x:f>ROUND($C2637*10*VLOOKUP($B2637,Sheet2!$J$5:$K$7,2,FALSE)*VLOOKUP(Sheet1!$A2637,Sheet2!$B$5:$H$29,6,FALSE),0)</x:f>
        <x:v>0</x:v>
      </x:c>
      <x:c r="H2637">
        <x:f>ROUND($C2637*10*VLOOKUP($B2637,Sheet2!$J$5:$K$7,2,FALSE)*VLOOKUP(Sheet1!$A2637,Sheet2!$B$5:$H$29,7,FALSE),0)</x:f>
        <x:v>672</x:v>
      </x:c>
      <x:c r="I2637">
        <x:f t="shared" si="43"/>
        <x:v>57060</x:v>
      </x:c>
    </x:row>
    <x:row r="2638" spans="1:9" x14ac:dyDescent="0.15">
      <x:c r="A2638">
        <x:v>54105</x:v>
      </x:c>
      <x:c r="B2638">
        <x:v>2</x:v>
      </x:c>
      <x:c r="C2638">
        <x:v>57</x:v>
      </x:c>
      <x:c r="D2638">
        <x:f>ROUND($C2638*10*VLOOKUP($B2638,Sheet2!$J$5:$K$7,2,FALSE)*VLOOKUP(Sheet1!$A2638,Sheet2!$B$5:$H$29,3,FALSE),0)</x:f>
        <x:v>0</x:v>
      </x:c>
      <x:c r="E2638">
        <x:f>ROUND($C2638*10*VLOOKUP($B2638,Sheet2!$J$5:$K$7,2,FALSE)*VLOOKUP(Sheet1!$A2638,Sheet2!$B$5:$H$29,4,FALSE),0)</x:f>
        <x:v>0</x:v>
      </x:c>
      <x:c r="F2638">
        <x:f>ROUND($C2638*10*VLOOKUP($B2638,Sheet2!$J$5:$K$7,2,FALSE)*VLOOKUP(Sheet1!$A2638,Sheet2!$B$5:$H$29,5,FALSE),0)</x:f>
        <x:v>328</x:v>
      </x:c>
      <x:c r="G2638">
        <x:f>ROUND($C2638*10*VLOOKUP($B2638,Sheet2!$J$5:$K$7,2,FALSE)*VLOOKUP(Sheet1!$A2638,Sheet2!$B$5:$H$29,6,FALSE),0)</x:f>
        <x:v>0</x:v>
      </x:c>
      <x:c r="H2638">
        <x:f>ROUND($C2638*10*VLOOKUP($B2638,Sheet2!$J$5:$K$7,2,FALSE)*VLOOKUP(Sheet1!$A2638,Sheet2!$B$5:$H$29,7,FALSE),0)</x:f>
        <x:v>684</x:v>
      </x:c>
      <x:c r="I2638">
        <x:f t="shared" si="43"/>
        <x:v>58940</x:v>
      </x:c>
    </x:row>
    <x:row r="2639" spans="1:9" x14ac:dyDescent="0.15">
      <x:c r="A2639">
        <x:v>54105</x:v>
      </x:c>
      <x:c r="B2639">
        <x:v>2</x:v>
      </x:c>
      <x:c r="C2639">
        <x:v>58</x:v>
      </x:c>
      <x:c r="D2639">
        <x:f>ROUND($C2639*10*VLOOKUP($B2639,Sheet2!$J$5:$K$7,2,FALSE)*VLOOKUP(Sheet1!$A2639,Sheet2!$B$5:$H$29,3,FALSE),0)</x:f>
        <x:v>0</x:v>
      </x:c>
      <x:c r="E2639">
        <x:f>ROUND($C2639*10*VLOOKUP($B2639,Sheet2!$J$5:$K$7,2,FALSE)*VLOOKUP(Sheet1!$A2639,Sheet2!$B$5:$H$29,4,FALSE),0)</x:f>
        <x:v>0</x:v>
      </x:c>
      <x:c r="F2639">
        <x:f>ROUND($C2639*10*VLOOKUP($B2639,Sheet2!$J$5:$K$7,2,FALSE)*VLOOKUP(Sheet1!$A2639,Sheet2!$B$5:$H$29,5,FALSE),0)</x:f>
        <x:v>334</x:v>
      </x:c>
      <x:c r="G2639">
        <x:f>ROUND($C2639*10*VLOOKUP($B2639,Sheet2!$J$5:$K$7,2,FALSE)*VLOOKUP(Sheet1!$A2639,Sheet2!$B$5:$H$29,6,FALSE),0)</x:f>
        <x:v>0</x:v>
      </x:c>
      <x:c r="H2639">
        <x:f>ROUND($C2639*10*VLOOKUP($B2639,Sheet2!$J$5:$K$7,2,FALSE)*VLOOKUP(Sheet1!$A2639,Sheet2!$B$5:$H$29,7,FALSE),0)</x:f>
        <x:v>696</x:v>
      </x:c>
      <x:c r="I2639">
        <x:f t="shared" si="43"/>
        <x:v>60850</x:v>
      </x:c>
    </x:row>
    <x:row r="2640" spans="1:9" x14ac:dyDescent="0.15">
      <x:c r="A2640">
        <x:v>54105</x:v>
      </x:c>
      <x:c r="B2640">
        <x:v>2</x:v>
      </x:c>
      <x:c r="C2640">
        <x:v>59</x:v>
      </x:c>
      <x:c r="D2640">
        <x:f>ROUND($C2640*10*VLOOKUP($B2640,Sheet2!$J$5:$K$7,2,FALSE)*VLOOKUP(Sheet1!$A2640,Sheet2!$B$5:$H$29,3,FALSE),0)</x:f>
        <x:v>0</x:v>
      </x:c>
      <x:c r="E2640">
        <x:f>ROUND($C2640*10*VLOOKUP($B2640,Sheet2!$J$5:$K$7,2,FALSE)*VLOOKUP(Sheet1!$A2640,Sheet2!$B$5:$H$29,4,FALSE),0)</x:f>
        <x:v>0</x:v>
      </x:c>
      <x:c r="F2640">
        <x:f>ROUND($C2640*10*VLOOKUP($B2640,Sheet2!$J$5:$K$7,2,FALSE)*VLOOKUP(Sheet1!$A2640,Sheet2!$B$5:$H$29,5,FALSE),0)</x:f>
        <x:v>340</x:v>
      </x:c>
      <x:c r="G2640">
        <x:f>ROUND($C2640*10*VLOOKUP($B2640,Sheet2!$J$5:$K$7,2,FALSE)*VLOOKUP(Sheet1!$A2640,Sheet2!$B$5:$H$29,6,FALSE),0)</x:f>
        <x:v>0</x:v>
      </x:c>
      <x:c r="H2640">
        <x:f>ROUND($C2640*10*VLOOKUP($B2640,Sheet2!$J$5:$K$7,2,FALSE)*VLOOKUP(Sheet1!$A2640,Sheet2!$B$5:$H$29,7,FALSE),0)</x:f>
        <x:v>708</x:v>
      </x:c>
      <x:c r="I2640">
        <x:f t="shared" si="43"/>
        <x:v>62780</x:v>
      </x:c>
    </x:row>
    <x:row r="2641" spans="1:9" x14ac:dyDescent="0.15">
      <x:c r="A2641">
        <x:v>54105</x:v>
      </x:c>
      <x:c r="B2641">
        <x:v>2</x:v>
      </x:c>
      <x:c r="C2641">
        <x:v>60</x:v>
      </x:c>
      <x:c r="D2641">
        <x:f>ROUND($C2641*10*VLOOKUP($B2641,Sheet2!$J$5:$K$7,2,FALSE)*VLOOKUP(Sheet1!$A2641,Sheet2!$B$5:$H$29,3,FALSE),0)</x:f>
        <x:v>0</x:v>
      </x:c>
      <x:c r="E2641">
        <x:f>ROUND($C2641*10*VLOOKUP($B2641,Sheet2!$J$5:$K$7,2,FALSE)*VLOOKUP(Sheet1!$A2641,Sheet2!$B$5:$H$29,4,FALSE),0)</x:f>
        <x:v>0</x:v>
      </x:c>
      <x:c r="F2641">
        <x:f>ROUND($C2641*10*VLOOKUP($B2641,Sheet2!$J$5:$K$7,2,FALSE)*VLOOKUP(Sheet1!$A2641,Sheet2!$B$5:$H$29,5,FALSE),0)</x:f>
        <x:v>346</x:v>
      </x:c>
      <x:c r="G2641">
        <x:f>ROUND($C2641*10*VLOOKUP($B2641,Sheet2!$J$5:$K$7,2,FALSE)*VLOOKUP(Sheet1!$A2641,Sheet2!$B$5:$H$29,6,FALSE),0)</x:f>
        <x:v>0</x:v>
      </x:c>
      <x:c r="H2641">
        <x:f>ROUND($C2641*10*VLOOKUP($B2641,Sheet2!$J$5:$K$7,2,FALSE)*VLOOKUP(Sheet1!$A2641,Sheet2!$B$5:$H$29,7,FALSE),0)</x:f>
        <x:v>720</x:v>
      </x:c>
      <x:c r="I2641">
        <x:f t="shared" si="43"/>
        <x:v>64740</x:v>
      </x:c>
    </x:row>
    <x:row r="2642" spans="1:9" x14ac:dyDescent="0.15">
      <x:c r="A2642">
        <x:v>54105</x:v>
      </x:c>
      <x:c r="B2642">
        <x:v>3</x:v>
      </x:c>
      <x:c r="C2642">
        <x:v>1</x:v>
      </x:c>
      <x:c r="D2642">
        <x:f>ROUND($C2642*10*VLOOKUP($B2642,Sheet2!$J$5:$K$7,2,FALSE)*VLOOKUP(Sheet1!$A2642,Sheet2!$B$5:$H$29,3,FALSE),0)</x:f>
        <x:v>0</x:v>
      </x:c>
      <x:c r="E2642">
        <x:f>ROUND($C2642*10*VLOOKUP($B2642,Sheet2!$J$5:$K$7,2,FALSE)*VLOOKUP(Sheet1!$A2642,Sheet2!$B$5:$H$29,4,FALSE),0)</x:f>
        <x:v>0</x:v>
      </x:c>
      <x:c r="F2642">
        <x:f>ROUND($C2642*10*VLOOKUP($B2642,Sheet2!$J$5:$K$7,2,FALSE)*VLOOKUP(Sheet1!$A2642,Sheet2!$B$5:$H$29,5,FALSE),0)</x:f>
        <x:v>10</x:v>
      </x:c>
      <x:c r="G2642">
        <x:f>ROUND($C2642*10*VLOOKUP($B2642,Sheet2!$J$5:$K$7,2,FALSE)*VLOOKUP(Sheet1!$A2642,Sheet2!$B$5:$H$29,6,FALSE),0)</x:f>
        <x:v>0</x:v>
      </x:c>
      <x:c r="H2642">
        <x:f>ROUND($C2642*10*VLOOKUP($B2642,Sheet2!$J$5:$K$7,2,FALSE)*VLOOKUP(Sheet1!$A2642,Sheet2!$B$5:$H$29,7,FALSE),0)</x:f>
        <x:v>20</x:v>
      </x:c>
      <x:c r="I2642">
        <x:f t="shared" ref="I2642:I2701" si="44">ROUND(1.2*10*10.5*(C2642-1)^1.8+90,-1)</x:f>
        <x:v>90</x:v>
      </x:c>
    </x:row>
    <x:row r="2643" spans="1:9" x14ac:dyDescent="0.15">
      <x:c r="A2643">
        <x:v>54105</x:v>
      </x:c>
      <x:c r="B2643">
        <x:v>3</x:v>
      </x:c>
      <x:c r="C2643">
        <x:v>2</x:v>
      </x:c>
      <x:c r="D2643">
        <x:f>ROUND($C2643*10*VLOOKUP($B2643,Sheet2!$J$5:$K$7,2,FALSE)*VLOOKUP(Sheet1!$A2643,Sheet2!$B$5:$H$29,3,FALSE),0)</x:f>
        <x:v>0</x:v>
      </x:c>
      <x:c r="E2643">
        <x:f>ROUND($C2643*10*VLOOKUP($B2643,Sheet2!$J$5:$K$7,2,FALSE)*VLOOKUP(Sheet1!$A2643,Sheet2!$B$5:$H$29,4,FALSE),0)</x:f>
        <x:v>0</x:v>
      </x:c>
      <x:c r="F2643">
        <x:f>ROUND($C2643*10*VLOOKUP($B2643,Sheet2!$J$5:$K$7,2,FALSE)*VLOOKUP(Sheet1!$A2643,Sheet2!$B$5:$H$29,5,FALSE),0)</x:f>
        <x:v>19</x:v>
      </x:c>
      <x:c r="G2643">
        <x:f>ROUND($C2643*10*VLOOKUP($B2643,Sheet2!$J$5:$K$7,2,FALSE)*VLOOKUP(Sheet1!$A2643,Sheet2!$B$5:$H$29,6,FALSE),0)</x:f>
        <x:v>0</x:v>
      </x:c>
      <x:c r="H2643">
        <x:f>ROUND($C2643*10*VLOOKUP($B2643,Sheet2!$J$5:$K$7,2,FALSE)*VLOOKUP(Sheet1!$A2643,Sheet2!$B$5:$H$29,7,FALSE),0)</x:f>
        <x:v>40</x:v>
      </x:c>
      <x:c r="I2643">
        <x:f t="shared" si="44"/>
        <x:v>220</x:v>
      </x:c>
    </x:row>
    <x:row r="2644" spans="1:9" x14ac:dyDescent="0.15">
      <x:c r="A2644">
        <x:v>54105</x:v>
      </x:c>
      <x:c r="B2644">
        <x:v>3</x:v>
      </x:c>
      <x:c r="C2644">
        <x:v>3</x:v>
      </x:c>
      <x:c r="D2644">
        <x:f>ROUND($C2644*10*VLOOKUP($B2644,Sheet2!$J$5:$K$7,2,FALSE)*VLOOKUP(Sheet1!$A2644,Sheet2!$B$5:$H$29,3,FALSE),0)</x:f>
        <x:v>0</x:v>
      </x:c>
      <x:c r="E2644">
        <x:f>ROUND($C2644*10*VLOOKUP($B2644,Sheet2!$J$5:$K$7,2,FALSE)*VLOOKUP(Sheet1!$A2644,Sheet2!$B$5:$H$29,4,FALSE),0)</x:f>
        <x:v>0</x:v>
      </x:c>
      <x:c r="F2644">
        <x:f>ROUND($C2644*10*VLOOKUP($B2644,Sheet2!$J$5:$K$7,2,FALSE)*VLOOKUP(Sheet1!$A2644,Sheet2!$B$5:$H$29,5,FALSE),0)</x:f>
        <x:v>29</x:v>
      </x:c>
      <x:c r="G2644">
        <x:f>ROUND($C2644*10*VLOOKUP($B2644,Sheet2!$J$5:$K$7,2,FALSE)*VLOOKUP(Sheet1!$A2644,Sheet2!$B$5:$H$29,6,FALSE),0)</x:f>
        <x:v>0</x:v>
      </x:c>
      <x:c r="H2644">
        <x:f>ROUND($C2644*10*VLOOKUP($B2644,Sheet2!$J$5:$K$7,2,FALSE)*VLOOKUP(Sheet1!$A2644,Sheet2!$B$5:$H$29,7,FALSE),0)</x:f>
        <x:v>60</x:v>
      </x:c>
      <x:c r="I2644">
        <x:f t="shared" si="44"/>
        <x:v>530</x:v>
      </x:c>
    </x:row>
    <x:row r="2645" spans="1:9" x14ac:dyDescent="0.15">
      <x:c r="A2645">
        <x:v>54105</x:v>
      </x:c>
      <x:c r="B2645">
        <x:v>3</x:v>
      </x:c>
      <x:c r="C2645">
        <x:v>4</x:v>
      </x:c>
      <x:c r="D2645">
        <x:f>ROUND($C2645*10*VLOOKUP($B2645,Sheet2!$J$5:$K$7,2,FALSE)*VLOOKUP(Sheet1!$A2645,Sheet2!$B$5:$H$29,3,FALSE),0)</x:f>
        <x:v>0</x:v>
      </x:c>
      <x:c r="E2645">
        <x:f>ROUND($C2645*10*VLOOKUP($B2645,Sheet2!$J$5:$K$7,2,FALSE)*VLOOKUP(Sheet1!$A2645,Sheet2!$B$5:$H$29,4,FALSE),0)</x:f>
        <x:v>0</x:v>
      </x:c>
      <x:c r="F2645">
        <x:f>ROUND($C2645*10*VLOOKUP($B2645,Sheet2!$J$5:$K$7,2,FALSE)*VLOOKUP(Sheet1!$A2645,Sheet2!$B$5:$H$29,5,FALSE),0)</x:f>
        <x:v>38</x:v>
      </x:c>
      <x:c r="G2645">
        <x:f>ROUND($C2645*10*VLOOKUP($B2645,Sheet2!$J$5:$K$7,2,FALSE)*VLOOKUP(Sheet1!$A2645,Sheet2!$B$5:$H$29,6,FALSE),0)</x:f>
        <x:v>0</x:v>
      </x:c>
      <x:c r="H2645">
        <x:f>ROUND($C2645*10*VLOOKUP($B2645,Sheet2!$J$5:$K$7,2,FALSE)*VLOOKUP(Sheet1!$A2645,Sheet2!$B$5:$H$29,7,FALSE),0)</x:f>
        <x:v>80</x:v>
      </x:c>
      <x:c r="I2645">
        <x:f t="shared" si="44"/>
        <x:v>1000</x:v>
      </x:c>
    </x:row>
    <x:row r="2646" spans="1:9" x14ac:dyDescent="0.15">
      <x:c r="A2646">
        <x:v>54105</x:v>
      </x:c>
      <x:c r="B2646">
        <x:v>3</x:v>
      </x:c>
      <x:c r="C2646">
        <x:v>5</x:v>
      </x:c>
      <x:c r="D2646">
        <x:f>ROUND($C2646*10*VLOOKUP($B2646,Sheet2!$J$5:$K$7,2,FALSE)*VLOOKUP(Sheet1!$A2646,Sheet2!$B$5:$H$29,3,FALSE),0)</x:f>
        <x:v>0</x:v>
      </x:c>
      <x:c r="E2646">
        <x:f>ROUND($C2646*10*VLOOKUP($B2646,Sheet2!$J$5:$K$7,2,FALSE)*VLOOKUP(Sheet1!$A2646,Sheet2!$B$5:$H$29,4,FALSE),0)</x:f>
        <x:v>0</x:v>
      </x:c>
      <x:c r="F2646">
        <x:f>ROUND($C2646*10*VLOOKUP($B2646,Sheet2!$J$5:$K$7,2,FALSE)*VLOOKUP(Sheet1!$A2646,Sheet2!$B$5:$H$29,5,FALSE),0)</x:f>
        <x:v>48</x:v>
      </x:c>
      <x:c r="G2646">
        <x:f>ROUND($C2646*10*VLOOKUP($B2646,Sheet2!$J$5:$K$7,2,FALSE)*VLOOKUP(Sheet1!$A2646,Sheet2!$B$5:$H$29,6,FALSE),0)</x:f>
        <x:v>0</x:v>
      </x:c>
      <x:c r="H2646">
        <x:f>ROUND($C2646*10*VLOOKUP($B2646,Sheet2!$J$5:$K$7,2,FALSE)*VLOOKUP(Sheet1!$A2646,Sheet2!$B$5:$H$29,7,FALSE),0)</x:f>
        <x:v>100</x:v>
      </x:c>
      <x:c r="I2646">
        <x:f t="shared" si="44"/>
        <x:v>1620</x:v>
      </x:c>
    </x:row>
    <x:row r="2647" spans="1:9" x14ac:dyDescent="0.15">
      <x:c r="A2647">
        <x:v>54105</x:v>
      </x:c>
      <x:c r="B2647">
        <x:v>3</x:v>
      </x:c>
      <x:c r="C2647">
        <x:v>6</x:v>
      </x:c>
      <x:c r="D2647">
        <x:f>ROUND($C2647*10*VLOOKUP($B2647,Sheet2!$J$5:$K$7,2,FALSE)*VLOOKUP(Sheet1!$A2647,Sheet2!$B$5:$H$29,3,FALSE),0)</x:f>
        <x:v>0</x:v>
      </x:c>
      <x:c r="E2647">
        <x:f>ROUND($C2647*10*VLOOKUP($B2647,Sheet2!$J$5:$K$7,2,FALSE)*VLOOKUP(Sheet1!$A2647,Sheet2!$B$5:$H$29,4,FALSE),0)</x:f>
        <x:v>0</x:v>
      </x:c>
      <x:c r="F2647">
        <x:f>ROUND($C2647*10*VLOOKUP($B2647,Sheet2!$J$5:$K$7,2,FALSE)*VLOOKUP(Sheet1!$A2647,Sheet2!$B$5:$H$29,5,FALSE),0)</x:f>
        <x:v>58</x:v>
      </x:c>
      <x:c r="G2647">
        <x:f>ROUND($C2647*10*VLOOKUP($B2647,Sheet2!$J$5:$K$7,2,FALSE)*VLOOKUP(Sheet1!$A2647,Sheet2!$B$5:$H$29,6,FALSE),0)</x:f>
        <x:v>0</x:v>
      </x:c>
      <x:c r="H2647">
        <x:f>ROUND($C2647*10*VLOOKUP($B2647,Sheet2!$J$5:$K$7,2,FALSE)*VLOOKUP(Sheet1!$A2647,Sheet2!$B$5:$H$29,7,FALSE),0)</x:f>
        <x:v>120</x:v>
      </x:c>
      <x:c r="I2647">
        <x:f t="shared" si="44"/>
        <x:v>2370</x:v>
      </x:c>
    </x:row>
    <x:row r="2648" spans="1:9" x14ac:dyDescent="0.15">
      <x:c r="A2648">
        <x:v>54105</x:v>
      </x:c>
      <x:c r="B2648">
        <x:v>3</x:v>
      </x:c>
      <x:c r="C2648">
        <x:v>7</x:v>
      </x:c>
      <x:c r="D2648">
        <x:f>ROUND($C2648*10*VLOOKUP($B2648,Sheet2!$J$5:$K$7,2,FALSE)*VLOOKUP(Sheet1!$A2648,Sheet2!$B$5:$H$29,3,FALSE),0)</x:f>
        <x:v>0</x:v>
      </x:c>
      <x:c r="E2648">
        <x:f>ROUND($C2648*10*VLOOKUP($B2648,Sheet2!$J$5:$K$7,2,FALSE)*VLOOKUP(Sheet1!$A2648,Sheet2!$B$5:$H$29,4,FALSE),0)</x:f>
        <x:v>0</x:v>
      </x:c>
      <x:c r="F2648">
        <x:f>ROUND($C2648*10*VLOOKUP($B2648,Sheet2!$J$5:$K$7,2,FALSE)*VLOOKUP(Sheet1!$A2648,Sheet2!$B$5:$H$29,5,FALSE),0)</x:f>
        <x:v>67</x:v>
      </x:c>
      <x:c r="G2648">
        <x:f>ROUND($C2648*10*VLOOKUP($B2648,Sheet2!$J$5:$K$7,2,FALSE)*VLOOKUP(Sheet1!$A2648,Sheet2!$B$5:$H$29,6,FALSE),0)</x:f>
        <x:v>0</x:v>
      </x:c>
      <x:c r="H2648">
        <x:f>ROUND($C2648*10*VLOOKUP($B2648,Sheet2!$J$5:$K$7,2,FALSE)*VLOOKUP(Sheet1!$A2648,Sheet2!$B$5:$H$29,7,FALSE),0)</x:f>
        <x:v>140</x:v>
      </x:c>
      <x:c r="I2648">
        <x:f t="shared" si="44"/>
        <x:v>3260</x:v>
      </x:c>
    </x:row>
    <x:row r="2649" spans="1:9" x14ac:dyDescent="0.15">
      <x:c r="A2649">
        <x:v>54105</x:v>
      </x:c>
      <x:c r="B2649">
        <x:v>3</x:v>
      </x:c>
      <x:c r="C2649">
        <x:v>8</x:v>
      </x:c>
      <x:c r="D2649">
        <x:f>ROUND($C2649*10*VLOOKUP($B2649,Sheet2!$J$5:$K$7,2,FALSE)*VLOOKUP(Sheet1!$A2649,Sheet2!$B$5:$H$29,3,FALSE),0)</x:f>
        <x:v>0</x:v>
      </x:c>
      <x:c r="E2649">
        <x:f>ROUND($C2649*10*VLOOKUP($B2649,Sheet2!$J$5:$K$7,2,FALSE)*VLOOKUP(Sheet1!$A2649,Sheet2!$B$5:$H$29,4,FALSE),0)</x:f>
        <x:v>0</x:v>
      </x:c>
      <x:c r="F2649">
        <x:f>ROUND($C2649*10*VLOOKUP($B2649,Sheet2!$J$5:$K$7,2,FALSE)*VLOOKUP(Sheet1!$A2649,Sheet2!$B$5:$H$29,5,FALSE),0)</x:f>
        <x:v>77</x:v>
      </x:c>
      <x:c r="G2649">
        <x:f>ROUND($C2649*10*VLOOKUP($B2649,Sheet2!$J$5:$K$7,2,FALSE)*VLOOKUP(Sheet1!$A2649,Sheet2!$B$5:$H$29,6,FALSE),0)</x:f>
        <x:v>0</x:v>
      </x:c>
      <x:c r="H2649">
        <x:f>ROUND($C2649*10*VLOOKUP($B2649,Sheet2!$J$5:$K$7,2,FALSE)*VLOOKUP(Sheet1!$A2649,Sheet2!$B$5:$H$29,7,FALSE),0)</x:f>
        <x:v>160</x:v>
      </x:c>
      <x:c r="I2649">
        <x:f t="shared" si="44"/>
        <x:v>4270</x:v>
      </x:c>
    </x:row>
    <x:row r="2650" spans="1:9" x14ac:dyDescent="0.15">
      <x:c r="A2650">
        <x:v>54105</x:v>
      </x:c>
      <x:c r="B2650">
        <x:v>3</x:v>
      </x:c>
      <x:c r="C2650">
        <x:v>9</x:v>
      </x:c>
      <x:c r="D2650">
        <x:f>ROUND($C2650*10*VLOOKUP($B2650,Sheet2!$J$5:$K$7,2,FALSE)*VLOOKUP(Sheet1!$A2650,Sheet2!$B$5:$H$29,3,FALSE),0)</x:f>
        <x:v>0</x:v>
      </x:c>
      <x:c r="E2650">
        <x:f>ROUND($C2650*10*VLOOKUP($B2650,Sheet2!$J$5:$K$7,2,FALSE)*VLOOKUP(Sheet1!$A2650,Sheet2!$B$5:$H$29,4,FALSE),0)</x:f>
        <x:v>0</x:v>
      </x:c>
      <x:c r="F2650">
        <x:f>ROUND($C2650*10*VLOOKUP($B2650,Sheet2!$J$5:$K$7,2,FALSE)*VLOOKUP(Sheet1!$A2650,Sheet2!$B$5:$H$29,5,FALSE),0)</x:f>
        <x:v>86</x:v>
      </x:c>
      <x:c r="G2650">
        <x:f>ROUND($C2650*10*VLOOKUP($B2650,Sheet2!$J$5:$K$7,2,FALSE)*VLOOKUP(Sheet1!$A2650,Sheet2!$B$5:$H$29,6,FALSE),0)</x:f>
        <x:v>0</x:v>
      </x:c>
      <x:c r="H2650">
        <x:f>ROUND($C2650*10*VLOOKUP($B2650,Sheet2!$J$5:$K$7,2,FALSE)*VLOOKUP(Sheet1!$A2650,Sheet2!$B$5:$H$29,7,FALSE),0)</x:f>
        <x:v>180</x:v>
      </x:c>
      <x:c r="I2650">
        <x:f t="shared" si="44"/>
        <x:v>5410</x:v>
      </x:c>
    </x:row>
    <x:row r="2651" spans="1:9" x14ac:dyDescent="0.15">
      <x:c r="A2651">
        <x:v>54105</x:v>
      </x:c>
      <x:c r="B2651">
        <x:v>3</x:v>
      </x:c>
      <x:c r="C2651">
        <x:v>10</x:v>
      </x:c>
      <x:c r="D2651">
        <x:f>ROUND($C2651*10*VLOOKUP($B2651,Sheet2!$J$5:$K$7,2,FALSE)*VLOOKUP(Sheet1!$A2651,Sheet2!$B$5:$H$29,3,FALSE),0)</x:f>
        <x:v>0</x:v>
      </x:c>
      <x:c r="E2651">
        <x:f>ROUND($C2651*10*VLOOKUP($B2651,Sheet2!$J$5:$K$7,2,FALSE)*VLOOKUP(Sheet1!$A2651,Sheet2!$B$5:$H$29,4,FALSE),0)</x:f>
        <x:v>0</x:v>
      </x:c>
      <x:c r="F2651">
        <x:f>ROUND($C2651*10*VLOOKUP($B2651,Sheet2!$J$5:$K$7,2,FALSE)*VLOOKUP(Sheet1!$A2651,Sheet2!$B$5:$H$29,5,FALSE),0)</x:f>
        <x:v>96</x:v>
      </x:c>
      <x:c r="G2651">
        <x:f>ROUND($C2651*10*VLOOKUP($B2651,Sheet2!$J$5:$K$7,2,FALSE)*VLOOKUP(Sheet1!$A2651,Sheet2!$B$5:$H$29,6,FALSE),0)</x:f>
        <x:v>0</x:v>
      </x:c>
      <x:c r="H2651">
        <x:f>ROUND($C2651*10*VLOOKUP($B2651,Sheet2!$J$5:$K$7,2,FALSE)*VLOOKUP(Sheet1!$A2651,Sheet2!$B$5:$H$29,7,FALSE),0)</x:f>
        <x:v>200</x:v>
      </x:c>
      <x:c r="I2651">
        <x:f t="shared" si="44"/>
        <x:v>6670</x:v>
      </x:c>
    </x:row>
    <x:row r="2652" spans="1:9" x14ac:dyDescent="0.15">
      <x:c r="A2652">
        <x:v>54105</x:v>
      </x:c>
      <x:c r="B2652">
        <x:v>3</x:v>
      </x:c>
      <x:c r="C2652">
        <x:v>11</x:v>
      </x:c>
      <x:c r="D2652">
        <x:f>ROUND($C2652*10*VLOOKUP($B2652,Sheet2!$J$5:$K$7,2,FALSE)*VLOOKUP(Sheet1!$A2652,Sheet2!$B$5:$H$29,3,FALSE),0)</x:f>
        <x:v>0</x:v>
      </x:c>
      <x:c r="E2652">
        <x:f>ROUND($C2652*10*VLOOKUP($B2652,Sheet2!$J$5:$K$7,2,FALSE)*VLOOKUP(Sheet1!$A2652,Sheet2!$B$5:$H$29,4,FALSE),0)</x:f>
        <x:v>0</x:v>
      </x:c>
      <x:c r="F2652">
        <x:f>ROUND($C2652*10*VLOOKUP($B2652,Sheet2!$J$5:$K$7,2,FALSE)*VLOOKUP(Sheet1!$A2652,Sheet2!$B$5:$H$29,5,FALSE),0)</x:f>
        <x:v>106</x:v>
      </x:c>
      <x:c r="G2652">
        <x:f>ROUND($C2652*10*VLOOKUP($B2652,Sheet2!$J$5:$K$7,2,FALSE)*VLOOKUP(Sheet1!$A2652,Sheet2!$B$5:$H$29,6,FALSE),0)</x:f>
        <x:v>0</x:v>
      </x:c>
      <x:c r="H2652">
        <x:f>ROUND($C2652*10*VLOOKUP($B2652,Sheet2!$J$5:$K$7,2,FALSE)*VLOOKUP(Sheet1!$A2652,Sheet2!$B$5:$H$29,7,FALSE),0)</x:f>
        <x:v>220</x:v>
      </x:c>
      <x:c r="I2652">
        <x:f t="shared" si="44"/>
        <x:v>8040</x:v>
      </x:c>
    </x:row>
    <x:row r="2653" spans="1:9" x14ac:dyDescent="0.15">
      <x:c r="A2653">
        <x:v>54105</x:v>
      </x:c>
      <x:c r="B2653">
        <x:v>3</x:v>
      </x:c>
      <x:c r="C2653">
        <x:v>12</x:v>
      </x:c>
      <x:c r="D2653">
        <x:f>ROUND($C2653*10*VLOOKUP($B2653,Sheet2!$J$5:$K$7,2,FALSE)*VLOOKUP(Sheet1!$A2653,Sheet2!$B$5:$H$29,3,FALSE),0)</x:f>
        <x:v>0</x:v>
      </x:c>
      <x:c r="E2653">
        <x:f>ROUND($C2653*10*VLOOKUP($B2653,Sheet2!$J$5:$K$7,2,FALSE)*VLOOKUP(Sheet1!$A2653,Sheet2!$B$5:$H$29,4,FALSE),0)</x:f>
        <x:v>0</x:v>
      </x:c>
      <x:c r="F2653">
        <x:f>ROUND($C2653*10*VLOOKUP($B2653,Sheet2!$J$5:$K$7,2,FALSE)*VLOOKUP(Sheet1!$A2653,Sheet2!$B$5:$H$29,5,FALSE),0)</x:f>
        <x:v>115</x:v>
      </x:c>
      <x:c r="G2653">
        <x:f>ROUND($C2653*10*VLOOKUP($B2653,Sheet2!$J$5:$K$7,2,FALSE)*VLOOKUP(Sheet1!$A2653,Sheet2!$B$5:$H$29,6,FALSE),0)</x:f>
        <x:v>0</x:v>
      </x:c>
      <x:c r="H2653">
        <x:f>ROUND($C2653*10*VLOOKUP($B2653,Sheet2!$J$5:$K$7,2,FALSE)*VLOOKUP(Sheet1!$A2653,Sheet2!$B$5:$H$29,7,FALSE),0)</x:f>
        <x:v>240</x:v>
      </x:c>
      <x:c r="I2653">
        <x:f t="shared" si="44"/>
        <x:v>9530</x:v>
      </x:c>
    </x:row>
    <x:row r="2654" spans="1:9" x14ac:dyDescent="0.15">
      <x:c r="A2654">
        <x:v>54105</x:v>
      </x:c>
      <x:c r="B2654">
        <x:v>3</x:v>
      </x:c>
      <x:c r="C2654">
        <x:v>13</x:v>
      </x:c>
      <x:c r="D2654">
        <x:f>ROUND($C2654*10*VLOOKUP($B2654,Sheet2!$J$5:$K$7,2,FALSE)*VLOOKUP(Sheet1!$A2654,Sheet2!$B$5:$H$29,3,FALSE),0)</x:f>
        <x:v>0</x:v>
      </x:c>
      <x:c r="E2654">
        <x:f>ROUND($C2654*10*VLOOKUP($B2654,Sheet2!$J$5:$K$7,2,FALSE)*VLOOKUP(Sheet1!$A2654,Sheet2!$B$5:$H$29,4,FALSE),0)</x:f>
        <x:v>0</x:v>
      </x:c>
      <x:c r="F2654">
        <x:f>ROUND($C2654*10*VLOOKUP($B2654,Sheet2!$J$5:$K$7,2,FALSE)*VLOOKUP(Sheet1!$A2654,Sheet2!$B$5:$H$29,5,FALSE),0)</x:f>
        <x:v>125</x:v>
      </x:c>
      <x:c r="G2654">
        <x:f>ROUND($C2654*10*VLOOKUP($B2654,Sheet2!$J$5:$K$7,2,FALSE)*VLOOKUP(Sheet1!$A2654,Sheet2!$B$5:$H$29,6,FALSE),0)</x:f>
        <x:v>0</x:v>
      </x:c>
      <x:c r="H2654">
        <x:f>ROUND($C2654*10*VLOOKUP($B2654,Sheet2!$J$5:$K$7,2,FALSE)*VLOOKUP(Sheet1!$A2654,Sheet2!$B$5:$H$29,7,FALSE),0)</x:f>
        <x:v>260</x:v>
      </x:c>
      <x:c r="I2654">
        <x:f t="shared" si="44"/>
        <x:v>11130</x:v>
      </x:c>
    </x:row>
    <x:row r="2655" spans="1:9" x14ac:dyDescent="0.15">
      <x:c r="A2655">
        <x:v>54105</x:v>
      </x:c>
      <x:c r="B2655">
        <x:v>3</x:v>
      </x:c>
      <x:c r="C2655">
        <x:v>14</x:v>
      </x:c>
      <x:c r="D2655">
        <x:f>ROUND($C2655*10*VLOOKUP($B2655,Sheet2!$J$5:$K$7,2,FALSE)*VLOOKUP(Sheet1!$A2655,Sheet2!$B$5:$H$29,3,FALSE),0)</x:f>
        <x:v>0</x:v>
      </x:c>
      <x:c r="E2655">
        <x:f>ROUND($C2655*10*VLOOKUP($B2655,Sheet2!$J$5:$K$7,2,FALSE)*VLOOKUP(Sheet1!$A2655,Sheet2!$B$5:$H$29,4,FALSE),0)</x:f>
        <x:v>0</x:v>
      </x:c>
      <x:c r="F2655">
        <x:f>ROUND($C2655*10*VLOOKUP($B2655,Sheet2!$J$5:$K$7,2,FALSE)*VLOOKUP(Sheet1!$A2655,Sheet2!$B$5:$H$29,5,FALSE),0)</x:f>
        <x:v>134</x:v>
      </x:c>
      <x:c r="G2655">
        <x:f>ROUND($C2655*10*VLOOKUP($B2655,Sheet2!$J$5:$K$7,2,FALSE)*VLOOKUP(Sheet1!$A2655,Sheet2!$B$5:$H$29,6,FALSE),0)</x:f>
        <x:v>0</x:v>
      </x:c>
      <x:c r="H2655">
        <x:f>ROUND($C2655*10*VLOOKUP($B2655,Sheet2!$J$5:$K$7,2,FALSE)*VLOOKUP(Sheet1!$A2655,Sheet2!$B$5:$H$29,7,FALSE),0)</x:f>
        <x:v>280</x:v>
      </x:c>
      <x:c r="I2655">
        <x:f t="shared" si="44"/>
        <x:v>12840</x:v>
      </x:c>
    </x:row>
    <x:row r="2656" spans="1:9" x14ac:dyDescent="0.15">
      <x:c r="A2656">
        <x:v>54105</x:v>
      </x:c>
      <x:c r="B2656">
        <x:v>3</x:v>
      </x:c>
      <x:c r="C2656">
        <x:v>15</x:v>
      </x:c>
      <x:c r="D2656">
        <x:f>ROUND($C2656*10*VLOOKUP($B2656,Sheet2!$J$5:$K$7,2,FALSE)*VLOOKUP(Sheet1!$A2656,Sheet2!$B$5:$H$29,3,FALSE),0)</x:f>
        <x:v>0</x:v>
      </x:c>
      <x:c r="E2656">
        <x:f>ROUND($C2656*10*VLOOKUP($B2656,Sheet2!$J$5:$K$7,2,FALSE)*VLOOKUP(Sheet1!$A2656,Sheet2!$B$5:$H$29,4,FALSE),0)</x:f>
        <x:v>0</x:v>
      </x:c>
      <x:c r="F2656">
        <x:f>ROUND($C2656*10*VLOOKUP($B2656,Sheet2!$J$5:$K$7,2,FALSE)*VLOOKUP(Sheet1!$A2656,Sheet2!$B$5:$H$29,5,FALSE),0)</x:f>
        <x:v>144</x:v>
      </x:c>
      <x:c r="G2656">
        <x:f>ROUND($C2656*10*VLOOKUP($B2656,Sheet2!$J$5:$K$7,2,FALSE)*VLOOKUP(Sheet1!$A2656,Sheet2!$B$5:$H$29,6,FALSE),0)</x:f>
        <x:v>0</x:v>
      </x:c>
      <x:c r="H2656">
        <x:f>ROUND($C2656*10*VLOOKUP($B2656,Sheet2!$J$5:$K$7,2,FALSE)*VLOOKUP(Sheet1!$A2656,Sheet2!$B$5:$H$29,7,FALSE),0)</x:f>
        <x:v>300</x:v>
      </x:c>
      <x:c r="I2656">
        <x:f t="shared" si="44"/>
        <x:v>14660</x:v>
      </x:c>
    </x:row>
    <x:row r="2657" spans="1:9" x14ac:dyDescent="0.15">
      <x:c r="A2657">
        <x:v>54105</x:v>
      </x:c>
      <x:c r="B2657">
        <x:v>3</x:v>
      </x:c>
      <x:c r="C2657">
        <x:v>16</x:v>
      </x:c>
      <x:c r="D2657">
        <x:f>ROUND($C2657*10*VLOOKUP($B2657,Sheet2!$J$5:$K$7,2,FALSE)*VLOOKUP(Sheet1!$A2657,Sheet2!$B$5:$H$29,3,FALSE),0)</x:f>
        <x:v>0</x:v>
      </x:c>
      <x:c r="E2657">
        <x:f>ROUND($C2657*10*VLOOKUP($B2657,Sheet2!$J$5:$K$7,2,FALSE)*VLOOKUP(Sheet1!$A2657,Sheet2!$B$5:$H$29,4,FALSE),0)</x:f>
        <x:v>0</x:v>
      </x:c>
      <x:c r="F2657">
        <x:f>ROUND($C2657*10*VLOOKUP($B2657,Sheet2!$J$5:$K$7,2,FALSE)*VLOOKUP(Sheet1!$A2657,Sheet2!$B$5:$H$29,5,FALSE),0)</x:f>
        <x:v>154</x:v>
      </x:c>
      <x:c r="G2657">
        <x:f>ROUND($C2657*10*VLOOKUP($B2657,Sheet2!$J$5:$K$7,2,FALSE)*VLOOKUP(Sheet1!$A2657,Sheet2!$B$5:$H$29,6,FALSE),0)</x:f>
        <x:v>0</x:v>
      </x:c>
      <x:c r="H2657">
        <x:f>ROUND($C2657*10*VLOOKUP($B2657,Sheet2!$J$5:$K$7,2,FALSE)*VLOOKUP(Sheet1!$A2657,Sheet2!$B$5:$H$29,7,FALSE),0)</x:f>
        <x:v>320</x:v>
      </x:c>
      <x:c r="I2657">
        <x:f t="shared" si="44"/>
        <x:v>16580</x:v>
      </x:c>
    </x:row>
    <x:row r="2658" spans="1:9" x14ac:dyDescent="0.15">
      <x:c r="A2658">
        <x:v>54105</x:v>
      </x:c>
      <x:c r="B2658">
        <x:v>3</x:v>
      </x:c>
      <x:c r="C2658">
        <x:v>17</x:v>
      </x:c>
      <x:c r="D2658">
        <x:f>ROUND($C2658*10*VLOOKUP($B2658,Sheet2!$J$5:$K$7,2,FALSE)*VLOOKUP(Sheet1!$A2658,Sheet2!$B$5:$H$29,3,FALSE),0)</x:f>
        <x:v>0</x:v>
      </x:c>
      <x:c r="E2658">
        <x:f>ROUND($C2658*10*VLOOKUP($B2658,Sheet2!$J$5:$K$7,2,FALSE)*VLOOKUP(Sheet1!$A2658,Sheet2!$B$5:$H$29,4,FALSE),0)</x:f>
        <x:v>0</x:v>
      </x:c>
      <x:c r="F2658">
        <x:f>ROUND($C2658*10*VLOOKUP($B2658,Sheet2!$J$5:$K$7,2,FALSE)*VLOOKUP(Sheet1!$A2658,Sheet2!$B$5:$H$29,5,FALSE),0)</x:f>
        <x:v>163</x:v>
      </x:c>
      <x:c r="G2658">
        <x:f>ROUND($C2658*10*VLOOKUP($B2658,Sheet2!$J$5:$K$7,2,FALSE)*VLOOKUP(Sheet1!$A2658,Sheet2!$B$5:$H$29,6,FALSE),0)</x:f>
        <x:v>0</x:v>
      </x:c>
      <x:c r="H2658">
        <x:f>ROUND($C2658*10*VLOOKUP($B2658,Sheet2!$J$5:$K$7,2,FALSE)*VLOOKUP(Sheet1!$A2658,Sheet2!$B$5:$H$29,7,FALSE),0)</x:f>
        <x:v>340</x:v>
      </x:c>
      <x:c r="I2658">
        <x:f t="shared" si="44"/>
        <x:v>18620</x:v>
      </x:c>
    </x:row>
    <x:row r="2659" spans="1:9" x14ac:dyDescent="0.15">
      <x:c r="A2659">
        <x:v>54105</x:v>
      </x:c>
      <x:c r="B2659">
        <x:v>3</x:v>
      </x:c>
      <x:c r="C2659">
        <x:v>18</x:v>
      </x:c>
      <x:c r="D2659">
        <x:f>ROUND($C2659*10*VLOOKUP($B2659,Sheet2!$J$5:$K$7,2,FALSE)*VLOOKUP(Sheet1!$A2659,Sheet2!$B$5:$H$29,3,FALSE),0)</x:f>
        <x:v>0</x:v>
      </x:c>
      <x:c r="E2659">
        <x:f>ROUND($C2659*10*VLOOKUP($B2659,Sheet2!$J$5:$K$7,2,FALSE)*VLOOKUP(Sheet1!$A2659,Sheet2!$B$5:$H$29,4,FALSE),0)</x:f>
        <x:v>0</x:v>
      </x:c>
      <x:c r="F2659">
        <x:f>ROUND($C2659*10*VLOOKUP($B2659,Sheet2!$J$5:$K$7,2,FALSE)*VLOOKUP(Sheet1!$A2659,Sheet2!$B$5:$H$29,5,FALSE),0)</x:f>
        <x:v>173</x:v>
      </x:c>
      <x:c r="G2659">
        <x:f>ROUND($C2659*10*VLOOKUP($B2659,Sheet2!$J$5:$K$7,2,FALSE)*VLOOKUP(Sheet1!$A2659,Sheet2!$B$5:$H$29,6,FALSE),0)</x:f>
        <x:v>0</x:v>
      </x:c>
      <x:c r="H2659">
        <x:f>ROUND($C2659*10*VLOOKUP($B2659,Sheet2!$J$5:$K$7,2,FALSE)*VLOOKUP(Sheet1!$A2659,Sheet2!$B$5:$H$29,7,FALSE),0)</x:f>
        <x:v>360</x:v>
      </x:c>
      <x:c r="I2659">
        <x:f t="shared" si="44"/>
        <x:v>20750</x:v>
      </x:c>
    </x:row>
    <x:row r="2660" spans="1:9" x14ac:dyDescent="0.15">
      <x:c r="A2660">
        <x:v>54105</x:v>
      </x:c>
      <x:c r="B2660">
        <x:v>3</x:v>
      </x:c>
      <x:c r="C2660">
        <x:v>19</x:v>
      </x:c>
      <x:c r="D2660">
        <x:f>ROUND($C2660*10*VLOOKUP($B2660,Sheet2!$J$5:$K$7,2,FALSE)*VLOOKUP(Sheet1!$A2660,Sheet2!$B$5:$H$29,3,FALSE),0)</x:f>
        <x:v>0</x:v>
      </x:c>
      <x:c r="E2660">
        <x:f>ROUND($C2660*10*VLOOKUP($B2660,Sheet2!$J$5:$K$7,2,FALSE)*VLOOKUP(Sheet1!$A2660,Sheet2!$B$5:$H$29,4,FALSE),0)</x:f>
        <x:v>0</x:v>
      </x:c>
      <x:c r="F2660">
        <x:f>ROUND($C2660*10*VLOOKUP($B2660,Sheet2!$J$5:$K$7,2,FALSE)*VLOOKUP(Sheet1!$A2660,Sheet2!$B$5:$H$29,5,FALSE),0)</x:f>
        <x:v>182</x:v>
      </x:c>
      <x:c r="G2660">
        <x:f>ROUND($C2660*10*VLOOKUP($B2660,Sheet2!$J$5:$K$7,2,FALSE)*VLOOKUP(Sheet1!$A2660,Sheet2!$B$5:$H$29,6,FALSE),0)</x:f>
        <x:v>0</x:v>
      </x:c>
      <x:c r="H2660">
        <x:f>ROUND($C2660*10*VLOOKUP($B2660,Sheet2!$J$5:$K$7,2,FALSE)*VLOOKUP(Sheet1!$A2660,Sheet2!$B$5:$H$29,7,FALSE),0)</x:f>
        <x:v>380</x:v>
      </x:c>
      <x:c r="I2660">
        <x:f t="shared" si="44"/>
        <x:v>22990</x:v>
      </x:c>
    </x:row>
    <x:row r="2661" spans="1:9" x14ac:dyDescent="0.15">
      <x:c r="A2661">
        <x:v>54105</x:v>
      </x:c>
      <x:c r="B2661">
        <x:v>3</x:v>
      </x:c>
      <x:c r="C2661">
        <x:v>20</x:v>
      </x:c>
      <x:c r="D2661">
        <x:f>ROUND($C2661*10*VLOOKUP($B2661,Sheet2!$J$5:$K$7,2,FALSE)*VLOOKUP(Sheet1!$A2661,Sheet2!$B$5:$H$29,3,FALSE),0)</x:f>
        <x:v>0</x:v>
      </x:c>
      <x:c r="E2661">
        <x:f>ROUND($C2661*10*VLOOKUP($B2661,Sheet2!$J$5:$K$7,2,FALSE)*VLOOKUP(Sheet1!$A2661,Sheet2!$B$5:$H$29,4,FALSE),0)</x:f>
        <x:v>0</x:v>
      </x:c>
      <x:c r="F2661">
        <x:f>ROUND($C2661*10*VLOOKUP($B2661,Sheet2!$J$5:$K$7,2,FALSE)*VLOOKUP(Sheet1!$A2661,Sheet2!$B$5:$H$29,5,FALSE),0)</x:f>
        <x:v>192</x:v>
      </x:c>
      <x:c r="G2661">
        <x:f>ROUND($C2661*10*VLOOKUP($B2661,Sheet2!$J$5:$K$7,2,FALSE)*VLOOKUP(Sheet1!$A2661,Sheet2!$B$5:$H$29,6,FALSE),0)</x:f>
        <x:v>0</x:v>
      </x:c>
      <x:c r="H2661">
        <x:f>ROUND($C2661*10*VLOOKUP($B2661,Sheet2!$J$5:$K$7,2,FALSE)*VLOOKUP(Sheet1!$A2661,Sheet2!$B$5:$H$29,7,FALSE),0)</x:f>
        <x:v>400</x:v>
      </x:c>
      <x:c r="I2661">
        <x:f t="shared" si="44"/>
        <x:v>25330</x:v>
      </x:c>
    </x:row>
    <x:row r="2662" spans="1:9" x14ac:dyDescent="0.15">
      <x:c r="A2662">
        <x:v>54105</x:v>
      </x:c>
      <x:c r="B2662">
        <x:v>3</x:v>
      </x:c>
      <x:c r="C2662">
        <x:v>21</x:v>
      </x:c>
      <x:c r="D2662">
        <x:f>ROUND($C2662*10*VLOOKUP($B2662,Sheet2!$J$5:$K$7,2,FALSE)*VLOOKUP(Sheet1!$A2662,Sheet2!$B$5:$H$29,3,FALSE),0)</x:f>
        <x:v>0</x:v>
      </x:c>
      <x:c r="E2662">
        <x:f>ROUND($C2662*10*VLOOKUP($B2662,Sheet2!$J$5:$K$7,2,FALSE)*VLOOKUP(Sheet1!$A2662,Sheet2!$B$5:$H$29,4,FALSE),0)</x:f>
        <x:v>0</x:v>
      </x:c>
      <x:c r="F2662">
        <x:f>ROUND($C2662*10*VLOOKUP($B2662,Sheet2!$J$5:$K$7,2,FALSE)*VLOOKUP(Sheet1!$A2662,Sheet2!$B$5:$H$29,5,FALSE),0)</x:f>
        <x:v>202</x:v>
      </x:c>
      <x:c r="G2662">
        <x:f>ROUND($C2662*10*VLOOKUP($B2662,Sheet2!$J$5:$K$7,2,FALSE)*VLOOKUP(Sheet1!$A2662,Sheet2!$B$5:$H$29,6,FALSE),0)</x:f>
        <x:v>0</x:v>
      </x:c>
      <x:c r="H2662">
        <x:f>ROUND($C2662*10*VLOOKUP($B2662,Sheet2!$J$5:$K$7,2,FALSE)*VLOOKUP(Sheet1!$A2662,Sheet2!$B$5:$H$29,7,FALSE),0)</x:f>
        <x:v>420</x:v>
      </x:c>
      <x:c r="I2662">
        <x:f t="shared" si="44"/>
        <x:v>27770</x:v>
      </x:c>
    </x:row>
    <x:row r="2663" spans="1:9" x14ac:dyDescent="0.15">
      <x:c r="A2663">
        <x:v>54105</x:v>
      </x:c>
      <x:c r="B2663">
        <x:v>3</x:v>
      </x:c>
      <x:c r="C2663">
        <x:v>22</x:v>
      </x:c>
      <x:c r="D2663">
        <x:f>ROUND($C2663*10*VLOOKUP($B2663,Sheet2!$J$5:$K$7,2,FALSE)*VLOOKUP(Sheet1!$A2663,Sheet2!$B$5:$H$29,3,FALSE),0)</x:f>
        <x:v>0</x:v>
      </x:c>
      <x:c r="E2663">
        <x:f>ROUND($C2663*10*VLOOKUP($B2663,Sheet2!$J$5:$K$7,2,FALSE)*VLOOKUP(Sheet1!$A2663,Sheet2!$B$5:$H$29,4,FALSE),0)</x:f>
        <x:v>0</x:v>
      </x:c>
      <x:c r="F2663">
        <x:f>ROUND($C2663*10*VLOOKUP($B2663,Sheet2!$J$5:$K$7,2,FALSE)*VLOOKUP(Sheet1!$A2663,Sheet2!$B$5:$H$29,5,FALSE),0)</x:f>
        <x:v>211</x:v>
      </x:c>
      <x:c r="G2663">
        <x:f>ROUND($C2663*10*VLOOKUP($B2663,Sheet2!$J$5:$K$7,2,FALSE)*VLOOKUP(Sheet1!$A2663,Sheet2!$B$5:$H$29,6,FALSE),0)</x:f>
        <x:v>0</x:v>
      </x:c>
      <x:c r="H2663">
        <x:f>ROUND($C2663*10*VLOOKUP($B2663,Sheet2!$J$5:$K$7,2,FALSE)*VLOOKUP(Sheet1!$A2663,Sheet2!$B$5:$H$29,7,FALSE),0)</x:f>
        <x:v>440</x:v>
      </x:c>
      <x:c r="I2663">
        <x:f t="shared" si="44"/>
        <x:v>30310</x:v>
      </x:c>
    </x:row>
    <x:row r="2664" spans="1:9" x14ac:dyDescent="0.15">
      <x:c r="A2664">
        <x:v>54105</x:v>
      </x:c>
      <x:c r="B2664">
        <x:v>3</x:v>
      </x:c>
      <x:c r="C2664">
        <x:v>23</x:v>
      </x:c>
      <x:c r="D2664">
        <x:f>ROUND($C2664*10*VLOOKUP($B2664,Sheet2!$J$5:$K$7,2,FALSE)*VLOOKUP(Sheet1!$A2664,Sheet2!$B$5:$H$29,3,FALSE),0)</x:f>
        <x:v>0</x:v>
      </x:c>
      <x:c r="E2664">
        <x:f>ROUND($C2664*10*VLOOKUP($B2664,Sheet2!$J$5:$K$7,2,FALSE)*VLOOKUP(Sheet1!$A2664,Sheet2!$B$5:$H$29,4,FALSE),0)</x:f>
        <x:v>0</x:v>
      </x:c>
      <x:c r="F2664">
        <x:f>ROUND($C2664*10*VLOOKUP($B2664,Sheet2!$J$5:$K$7,2,FALSE)*VLOOKUP(Sheet1!$A2664,Sheet2!$B$5:$H$29,5,FALSE),0)</x:f>
        <x:v>221</x:v>
      </x:c>
      <x:c r="G2664">
        <x:f>ROUND($C2664*10*VLOOKUP($B2664,Sheet2!$J$5:$K$7,2,FALSE)*VLOOKUP(Sheet1!$A2664,Sheet2!$B$5:$H$29,6,FALSE),0)</x:f>
        <x:v>0</x:v>
      </x:c>
      <x:c r="H2664">
        <x:f>ROUND($C2664*10*VLOOKUP($B2664,Sheet2!$J$5:$K$7,2,FALSE)*VLOOKUP(Sheet1!$A2664,Sheet2!$B$5:$H$29,7,FALSE),0)</x:f>
        <x:v>460</x:v>
      </x:c>
      <x:c r="I2664">
        <x:f t="shared" si="44"/>
        <x:v>32950</x:v>
      </x:c>
    </x:row>
    <x:row r="2665" spans="1:9" x14ac:dyDescent="0.15">
      <x:c r="A2665">
        <x:v>54105</x:v>
      </x:c>
      <x:c r="B2665">
        <x:v>3</x:v>
      </x:c>
      <x:c r="C2665">
        <x:v>24</x:v>
      </x:c>
      <x:c r="D2665">
        <x:f>ROUND($C2665*10*VLOOKUP($B2665,Sheet2!$J$5:$K$7,2,FALSE)*VLOOKUP(Sheet1!$A2665,Sheet2!$B$5:$H$29,3,FALSE),0)</x:f>
        <x:v>0</x:v>
      </x:c>
      <x:c r="E2665">
        <x:f>ROUND($C2665*10*VLOOKUP($B2665,Sheet2!$J$5:$K$7,2,FALSE)*VLOOKUP(Sheet1!$A2665,Sheet2!$B$5:$H$29,4,FALSE),0)</x:f>
        <x:v>0</x:v>
      </x:c>
      <x:c r="F2665">
        <x:f>ROUND($C2665*10*VLOOKUP($B2665,Sheet2!$J$5:$K$7,2,FALSE)*VLOOKUP(Sheet1!$A2665,Sheet2!$B$5:$H$29,5,FALSE),0)</x:f>
        <x:v>230</x:v>
      </x:c>
      <x:c r="G2665">
        <x:f>ROUND($C2665*10*VLOOKUP($B2665,Sheet2!$J$5:$K$7,2,FALSE)*VLOOKUP(Sheet1!$A2665,Sheet2!$B$5:$H$29,6,FALSE),0)</x:f>
        <x:v>0</x:v>
      </x:c>
      <x:c r="H2665">
        <x:f>ROUND($C2665*10*VLOOKUP($B2665,Sheet2!$J$5:$K$7,2,FALSE)*VLOOKUP(Sheet1!$A2665,Sheet2!$B$5:$H$29,7,FALSE),0)</x:f>
        <x:v>480</x:v>
      </x:c>
      <x:c r="I2665">
        <x:f t="shared" si="44"/>
        <x:v>35690</x:v>
      </x:c>
    </x:row>
    <x:row r="2666" spans="1:9" x14ac:dyDescent="0.15">
      <x:c r="A2666">
        <x:v>54105</x:v>
      </x:c>
      <x:c r="B2666">
        <x:v>3</x:v>
      </x:c>
      <x:c r="C2666">
        <x:v>25</x:v>
      </x:c>
      <x:c r="D2666">
        <x:f>ROUND($C2666*10*VLOOKUP($B2666,Sheet2!$J$5:$K$7,2,FALSE)*VLOOKUP(Sheet1!$A2666,Sheet2!$B$5:$H$29,3,FALSE),0)</x:f>
        <x:v>0</x:v>
      </x:c>
      <x:c r="E2666">
        <x:f>ROUND($C2666*10*VLOOKUP($B2666,Sheet2!$J$5:$K$7,2,FALSE)*VLOOKUP(Sheet1!$A2666,Sheet2!$B$5:$H$29,4,FALSE),0)</x:f>
        <x:v>0</x:v>
      </x:c>
      <x:c r="F2666">
        <x:f>ROUND($C2666*10*VLOOKUP($B2666,Sheet2!$J$5:$K$7,2,FALSE)*VLOOKUP(Sheet1!$A2666,Sheet2!$B$5:$H$29,5,FALSE),0)</x:f>
        <x:v>240</x:v>
      </x:c>
      <x:c r="G2666">
        <x:f>ROUND($C2666*10*VLOOKUP($B2666,Sheet2!$J$5:$K$7,2,FALSE)*VLOOKUP(Sheet1!$A2666,Sheet2!$B$5:$H$29,6,FALSE),0)</x:f>
        <x:v>0</x:v>
      </x:c>
      <x:c r="H2666">
        <x:f>ROUND($C2666*10*VLOOKUP($B2666,Sheet2!$J$5:$K$7,2,FALSE)*VLOOKUP(Sheet1!$A2666,Sheet2!$B$5:$H$29,7,FALSE),0)</x:f>
        <x:v>500</x:v>
      </x:c>
      <x:c r="I2666">
        <x:f t="shared" si="44"/>
        <x:v>38530</x:v>
      </x:c>
    </x:row>
    <x:row r="2667" spans="1:9" x14ac:dyDescent="0.15">
      <x:c r="A2667">
        <x:v>54105</x:v>
      </x:c>
      <x:c r="B2667">
        <x:v>3</x:v>
      </x:c>
      <x:c r="C2667">
        <x:v>26</x:v>
      </x:c>
      <x:c r="D2667">
        <x:f>ROUND($C2667*10*VLOOKUP($B2667,Sheet2!$J$5:$K$7,2,FALSE)*VLOOKUP(Sheet1!$A2667,Sheet2!$B$5:$H$29,3,FALSE),0)</x:f>
        <x:v>0</x:v>
      </x:c>
      <x:c r="E2667">
        <x:f>ROUND($C2667*10*VLOOKUP($B2667,Sheet2!$J$5:$K$7,2,FALSE)*VLOOKUP(Sheet1!$A2667,Sheet2!$B$5:$H$29,4,FALSE),0)</x:f>
        <x:v>0</x:v>
      </x:c>
      <x:c r="F2667">
        <x:f>ROUND($C2667*10*VLOOKUP($B2667,Sheet2!$J$5:$K$7,2,FALSE)*VLOOKUP(Sheet1!$A2667,Sheet2!$B$5:$H$29,5,FALSE),0)</x:f>
        <x:v>250</x:v>
      </x:c>
      <x:c r="G2667">
        <x:f>ROUND($C2667*10*VLOOKUP($B2667,Sheet2!$J$5:$K$7,2,FALSE)*VLOOKUP(Sheet1!$A2667,Sheet2!$B$5:$H$29,6,FALSE),0)</x:f>
        <x:v>0</x:v>
      </x:c>
      <x:c r="H2667">
        <x:f>ROUND($C2667*10*VLOOKUP($B2667,Sheet2!$J$5:$K$7,2,FALSE)*VLOOKUP(Sheet1!$A2667,Sheet2!$B$5:$H$29,7,FALSE),0)</x:f>
        <x:v>520</x:v>
      </x:c>
      <x:c r="I2667">
        <x:f t="shared" si="44"/>
        <x:v>41460</x:v>
      </x:c>
    </x:row>
    <x:row r="2668" spans="1:9" x14ac:dyDescent="0.15">
      <x:c r="A2668">
        <x:v>54105</x:v>
      </x:c>
      <x:c r="B2668">
        <x:v>3</x:v>
      </x:c>
      <x:c r="C2668">
        <x:v>27</x:v>
      </x:c>
      <x:c r="D2668">
        <x:f>ROUND($C2668*10*VLOOKUP($B2668,Sheet2!$J$5:$K$7,2,FALSE)*VLOOKUP(Sheet1!$A2668,Sheet2!$B$5:$H$29,3,FALSE),0)</x:f>
        <x:v>0</x:v>
      </x:c>
      <x:c r="E2668">
        <x:f>ROUND($C2668*10*VLOOKUP($B2668,Sheet2!$J$5:$K$7,2,FALSE)*VLOOKUP(Sheet1!$A2668,Sheet2!$B$5:$H$29,4,FALSE),0)</x:f>
        <x:v>0</x:v>
      </x:c>
      <x:c r="F2668">
        <x:f>ROUND($C2668*10*VLOOKUP($B2668,Sheet2!$J$5:$K$7,2,FALSE)*VLOOKUP(Sheet1!$A2668,Sheet2!$B$5:$H$29,5,FALSE),0)</x:f>
        <x:v>259</x:v>
      </x:c>
      <x:c r="G2668">
        <x:f>ROUND($C2668*10*VLOOKUP($B2668,Sheet2!$J$5:$K$7,2,FALSE)*VLOOKUP(Sheet1!$A2668,Sheet2!$B$5:$H$29,6,FALSE),0)</x:f>
        <x:v>0</x:v>
      </x:c>
      <x:c r="H2668">
        <x:f>ROUND($C2668*10*VLOOKUP($B2668,Sheet2!$J$5:$K$7,2,FALSE)*VLOOKUP(Sheet1!$A2668,Sheet2!$B$5:$H$29,7,FALSE),0)</x:f>
        <x:v>540</x:v>
      </x:c>
      <x:c r="I2668">
        <x:f t="shared" si="44"/>
        <x:v>44480</x:v>
      </x:c>
    </x:row>
    <x:row r="2669" spans="1:9" x14ac:dyDescent="0.15">
      <x:c r="A2669">
        <x:v>54105</x:v>
      </x:c>
      <x:c r="B2669">
        <x:v>3</x:v>
      </x:c>
      <x:c r="C2669">
        <x:v>28</x:v>
      </x:c>
      <x:c r="D2669">
        <x:f>ROUND($C2669*10*VLOOKUP($B2669,Sheet2!$J$5:$K$7,2,FALSE)*VLOOKUP(Sheet1!$A2669,Sheet2!$B$5:$H$29,3,FALSE),0)</x:f>
        <x:v>0</x:v>
      </x:c>
      <x:c r="E2669">
        <x:f>ROUND($C2669*10*VLOOKUP($B2669,Sheet2!$J$5:$K$7,2,FALSE)*VLOOKUP(Sheet1!$A2669,Sheet2!$B$5:$H$29,4,FALSE),0)</x:f>
        <x:v>0</x:v>
      </x:c>
      <x:c r="F2669">
        <x:f>ROUND($C2669*10*VLOOKUP($B2669,Sheet2!$J$5:$K$7,2,FALSE)*VLOOKUP(Sheet1!$A2669,Sheet2!$B$5:$H$29,5,FALSE),0)</x:f>
        <x:v>269</x:v>
      </x:c>
      <x:c r="G2669">
        <x:f>ROUND($C2669*10*VLOOKUP($B2669,Sheet2!$J$5:$K$7,2,FALSE)*VLOOKUP(Sheet1!$A2669,Sheet2!$B$5:$H$29,6,FALSE),0)</x:f>
        <x:v>0</x:v>
      </x:c>
      <x:c r="H2669">
        <x:f>ROUND($C2669*10*VLOOKUP($B2669,Sheet2!$J$5:$K$7,2,FALSE)*VLOOKUP(Sheet1!$A2669,Sheet2!$B$5:$H$29,7,FALSE),0)</x:f>
        <x:v>560</x:v>
      </x:c>
      <x:c r="I2669">
        <x:f t="shared" si="44"/>
        <x:v>47600</x:v>
      </x:c>
    </x:row>
    <x:row r="2670" spans="1:9" x14ac:dyDescent="0.15">
      <x:c r="A2670">
        <x:v>54105</x:v>
      </x:c>
      <x:c r="B2670">
        <x:v>3</x:v>
      </x:c>
      <x:c r="C2670">
        <x:v>29</x:v>
      </x:c>
      <x:c r="D2670">
        <x:f>ROUND($C2670*10*VLOOKUP($B2670,Sheet2!$J$5:$K$7,2,FALSE)*VLOOKUP(Sheet1!$A2670,Sheet2!$B$5:$H$29,3,FALSE),0)</x:f>
        <x:v>0</x:v>
      </x:c>
      <x:c r="E2670">
        <x:f>ROUND($C2670*10*VLOOKUP($B2670,Sheet2!$J$5:$K$7,2,FALSE)*VLOOKUP(Sheet1!$A2670,Sheet2!$B$5:$H$29,4,FALSE),0)</x:f>
        <x:v>0</x:v>
      </x:c>
      <x:c r="F2670">
        <x:f>ROUND($C2670*10*VLOOKUP($B2670,Sheet2!$J$5:$K$7,2,FALSE)*VLOOKUP(Sheet1!$A2670,Sheet2!$B$5:$H$29,5,FALSE),0)</x:f>
        <x:v>278</x:v>
      </x:c>
      <x:c r="G2670">
        <x:f>ROUND($C2670*10*VLOOKUP($B2670,Sheet2!$J$5:$K$7,2,FALSE)*VLOOKUP(Sheet1!$A2670,Sheet2!$B$5:$H$29,6,FALSE),0)</x:f>
        <x:v>0</x:v>
      </x:c>
      <x:c r="H2670">
        <x:f>ROUND($C2670*10*VLOOKUP($B2670,Sheet2!$J$5:$K$7,2,FALSE)*VLOOKUP(Sheet1!$A2670,Sheet2!$B$5:$H$29,7,FALSE),0)</x:f>
        <x:v>580</x:v>
      </x:c>
      <x:c r="I2670">
        <x:f t="shared" si="44"/>
        <x:v>50820</x:v>
      </x:c>
    </x:row>
    <x:row r="2671" spans="1:9" x14ac:dyDescent="0.15">
      <x:c r="A2671">
        <x:v>54105</x:v>
      </x:c>
      <x:c r="B2671">
        <x:v>3</x:v>
      </x:c>
      <x:c r="C2671">
        <x:v>30</x:v>
      </x:c>
      <x:c r="D2671">
        <x:f>ROUND($C2671*10*VLOOKUP($B2671,Sheet2!$J$5:$K$7,2,FALSE)*VLOOKUP(Sheet1!$A2671,Sheet2!$B$5:$H$29,3,FALSE),0)</x:f>
        <x:v>0</x:v>
      </x:c>
      <x:c r="E2671">
        <x:f>ROUND($C2671*10*VLOOKUP($B2671,Sheet2!$J$5:$K$7,2,FALSE)*VLOOKUP(Sheet1!$A2671,Sheet2!$B$5:$H$29,4,FALSE),0)</x:f>
        <x:v>0</x:v>
      </x:c>
      <x:c r="F2671">
        <x:f>ROUND($C2671*10*VLOOKUP($B2671,Sheet2!$J$5:$K$7,2,FALSE)*VLOOKUP(Sheet1!$A2671,Sheet2!$B$5:$H$29,5,FALSE),0)</x:f>
        <x:v>288</x:v>
      </x:c>
      <x:c r="G2671">
        <x:f>ROUND($C2671*10*VLOOKUP($B2671,Sheet2!$J$5:$K$7,2,FALSE)*VLOOKUP(Sheet1!$A2671,Sheet2!$B$5:$H$29,6,FALSE),0)</x:f>
        <x:v>0</x:v>
      </x:c>
      <x:c r="H2671">
        <x:f>ROUND($C2671*10*VLOOKUP($B2671,Sheet2!$J$5:$K$7,2,FALSE)*VLOOKUP(Sheet1!$A2671,Sheet2!$B$5:$H$29,7,FALSE),0)</x:f>
        <x:v>600</x:v>
      </x:c>
      <x:c r="I2671">
        <x:f t="shared" si="44"/>
        <x:v>54130</x:v>
      </x:c>
    </x:row>
    <x:row r="2672" spans="1:9" x14ac:dyDescent="0.15">
      <x:c r="A2672">
        <x:v>54105</x:v>
      </x:c>
      <x:c r="B2672">
        <x:v>3</x:v>
      </x:c>
      <x:c r="C2672">
        <x:v>31</x:v>
      </x:c>
      <x:c r="D2672">
        <x:f>ROUND($C2672*10*VLOOKUP($B2672,Sheet2!$J$5:$K$7,2,FALSE)*VLOOKUP(Sheet1!$A2672,Sheet2!$B$5:$H$29,3,FALSE),0)</x:f>
        <x:v>0</x:v>
      </x:c>
      <x:c r="E2672">
        <x:f>ROUND($C2672*10*VLOOKUP($B2672,Sheet2!$J$5:$K$7,2,FALSE)*VLOOKUP(Sheet1!$A2672,Sheet2!$B$5:$H$29,4,FALSE),0)</x:f>
        <x:v>0</x:v>
      </x:c>
      <x:c r="F2672">
        <x:f>ROUND($C2672*10*VLOOKUP($B2672,Sheet2!$J$5:$K$7,2,FALSE)*VLOOKUP(Sheet1!$A2672,Sheet2!$B$5:$H$29,5,FALSE),0)</x:f>
        <x:v>298</x:v>
      </x:c>
      <x:c r="G2672">
        <x:f>ROUND($C2672*10*VLOOKUP($B2672,Sheet2!$J$5:$K$7,2,FALSE)*VLOOKUP(Sheet1!$A2672,Sheet2!$B$5:$H$29,6,FALSE),0)</x:f>
        <x:v>0</x:v>
      </x:c>
      <x:c r="H2672">
        <x:f>ROUND($C2672*10*VLOOKUP($B2672,Sheet2!$J$5:$K$7,2,FALSE)*VLOOKUP(Sheet1!$A2672,Sheet2!$B$5:$H$29,7,FALSE),0)</x:f>
        <x:v>620</x:v>
      </x:c>
      <x:c r="I2672">
        <x:f t="shared" si="44"/>
        <x:v>57530</x:v>
      </x:c>
    </x:row>
    <x:row r="2673" spans="1:9" x14ac:dyDescent="0.15">
      <x:c r="A2673">
        <x:v>54105</x:v>
      </x:c>
      <x:c r="B2673">
        <x:v>3</x:v>
      </x:c>
      <x:c r="C2673">
        <x:v>32</x:v>
      </x:c>
      <x:c r="D2673">
        <x:f>ROUND($C2673*10*VLOOKUP($B2673,Sheet2!$J$5:$K$7,2,FALSE)*VLOOKUP(Sheet1!$A2673,Sheet2!$B$5:$H$29,3,FALSE),0)</x:f>
        <x:v>0</x:v>
      </x:c>
      <x:c r="E2673">
        <x:f>ROUND($C2673*10*VLOOKUP($B2673,Sheet2!$J$5:$K$7,2,FALSE)*VLOOKUP(Sheet1!$A2673,Sheet2!$B$5:$H$29,4,FALSE),0)</x:f>
        <x:v>0</x:v>
      </x:c>
      <x:c r="F2673">
        <x:f>ROUND($C2673*10*VLOOKUP($B2673,Sheet2!$J$5:$K$7,2,FALSE)*VLOOKUP(Sheet1!$A2673,Sheet2!$B$5:$H$29,5,FALSE),0)</x:f>
        <x:v>307</x:v>
      </x:c>
      <x:c r="G2673">
        <x:f>ROUND($C2673*10*VLOOKUP($B2673,Sheet2!$J$5:$K$7,2,FALSE)*VLOOKUP(Sheet1!$A2673,Sheet2!$B$5:$H$29,6,FALSE),0)</x:f>
        <x:v>0</x:v>
      </x:c>
      <x:c r="H2673">
        <x:f>ROUND($C2673*10*VLOOKUP($B2673,Sheet2!$J$5:$K$7,2,FALSE)*VLOOKUP(Sheet1!$A2673,Sheet2!$B$5:$H$29,7,FALSE),0)</x:f>
        <x:v>640</x:v>
      </x:c>
      <x:c r="I2673">
        <x:f t="shared" si="44"/>
        <x:v>61020</x:v>
      </x:c>
    </x:row>
    <x:row r="2674" spans="1:9" x14ac:dyDescent="0.15">
      <x:c r="A2674">
        <x:v>54105</x:v>
      </x:c>
      <x:c r="B2674">
        <x:v>3</x:v>
      </x:c>
      <x:c r="C2674">
        <x:v>33</x:v>
      </x:c>
      <x:c r="D2674">
        <x:f>ROUND($C2674*10*VLOOKUP($B2674,Sheet2!$J$5:$K$7,2,FALSE)*VLOOKUP(Sheet1!$A2674,Sheet2!$B$5:$H$29,3,FALSE),0)</x:f>
        <x:v>0</x:v>
      </x:c>
      <x:c r="E2674">
        <x:f>ROUND($C2674*10*VLOOKUP($B2674,Sheet2!$J$5:$K$7,2,FALSE)*VLOOKUP(Sheet1!$A2674,Sheet2!$B$5:$H$29,4,FALSE),0)</x:f>
        <x:v>0</x:v>
      </x:c>
      <x:c r="F2674">
        <x:f>ROUND($C2674*10*VLOOKUP($B2674,Sheet2!$J$5:$K$7,2,FALSE)*VLOOKUP(Sheet1!$A2674,Sheet2!$B$5:$H$29,5,FALSE),0)</x:f>
        <x:v>317</x:v>
      </x:c>
      <x:c r="G2674">
        <x:f>ROUND($C2674*10*VLOOKUP($B2674,Sheet2!$J$5:$K$7,2,FALSE)*VLOOKUP(Sheet1!$A2674,Sheet2!$B$5:$H$29,6,FALSE),0)</x:f>
        <x:v>0</x:v>
      </x:c>
      <x:c r="H2674">
        <x:f>ROUND($C2674*10*VLOOKUP($B2674,Sheet2!$J$5:$K$7,2,FALSE)*VLOOKUP(Sheet1!$A2674,Sheet2!$B$5:$H$29,7,FALSE),0)</x:f>
        <x:v>660</x:v>
      </x:c>
      <x:c r="I2674">
        <x:f t="shared" si="44"/>
        <x:v>64600</x:v>
      </x:c>
    </x:row>
    <x:row r="2675" spans="1:9" x14ac:dyDescent="0.15">
      <x:c r="A2675">
        <x:v>54105</x:v>
      </x:c>
      <x:c r="B2675">
        <x:v>3</x:v>
      </x:c>
      <x:c r="C2675">
        <x:v>34</x:v>
      </x:c>
      <x:c r="D2675">
        <x:f>ROUND($C2675*10*VLOOKUP($B2675,Sheet2!$J$5:$K$7,2,FALSE)*VLOOKUP(Sheet1!$A2675,Sheet2!$B$5:$H$29,3,FALSE),0)</x:f>
        <x:v>0</x:v>
      </x:c>
      <x:c r="E2675">
        <x:f>ROUND($C2675*10*VLOOKUP($B2675,Sheet2!$J$5:$K$7,2,FALSE)*VLOOKUP(Sheet1!$A2675,Sheet2!$B$5:$H$29,4,FALSE),0)</x:f>
        <x:v>0</x:v>
      </x:c>
      <x:c r="F2675">
        <x:f>ROUND($C2675*10*VLOOKUP($B2675,Sheet2!$J$5:$K$7,2,FALSE)*VLOOKUP(Sheet1!$A2675,Sheet2!$B$5:$H$29,5,FALSE),0)</x:f>
        <x:v>326</x:v>
      </x:c>
      <x:c r="G2675">
        <x:f>ROUND($C2675*10*VLOOKUP($B2675,Sheet2!$J$5:$K$7,2,FALSE)*VLOOKUP(Sheet1!$A2675,Sheet2!$B$5:$H$29,6,FALSE),0)</x:f>
        <x:v>0</x:v>
      </x:c>
      <x:c r="H2675">
        <x:f>ROUND($C2675*10*VLOOKUP($B2675,Sheet2!$J$5:$K$7,2,FALSE)*VLOOKUP(Sheet1!$A2675,Sheet2!$B$5:$H$29,7,FALSE),0)</x:f>
        <x:v>680</x:v>
      </x:c>
      <x:c r="I2675">
        <x:f t="shared" si="44"/>
        <x:v>68280</x:v>
      </x:c>
    </x:row>
    <x:row r="2676" spans="1:9" x14ac:dyDescent="0.15">
      <x:c r="A2676">
        <x:v>54105</x:v>
      </x:c>
      <x:c r="B2676">
        <x:v>3</x:v>
      </x:c>
      <x:c r="C2676">
        <x:v>35</x:v>
      </x:c>
      <x:c r="D2676">
        <x:f>ROUND($C2676*10*VLOOKUP($B2676,Sheet2!$J$5:$K$7,2,FALSE)*VLOOKUP(Sheet1!$A2676,Sheet2!$B$5:$H$29,3,FALSE),0)</x:f>
        <x:v>0</x:v>
      </x:c>
      <x:c r="E2676">
        <x:f>ROUND($C2676*10*VLOOKUP($B2676,Sheet2!$J$5:$K$7,2,FALSE)*VLOOKUP(Sheet1!$A2676,Sheet2!$B$5:$H$29,4,FALSE),0)</x:f>
        <x:v>0</x:v>
      </x:c>
      <x:c r="F2676">
        <x:f>ROUND($C2676*10*VLOOKUP($B2676,Sheet2!$J$5:$K$7,2,FALSE)*VLOOKUP(Sheet1!$A2676,Sheet2!$B$5:$H$29,5,FALSE),0)</x:f>
        <x:v>336</x:v>
      </x:c>
      <x:c r="G2676">
        <x:f>ROUND($C2676*10*VLOOKUP($B2676,Sheet2!$J$5:$K$7,2,FALSE)*VLOOKUP(Sheet1!$A2676,Sheet2!$B$5:$H$29,6,FALSE),0)</x:f>
        <x:v>0</x:v>
      </x:c>
      <x:c r="H2676">
        <x:f>ROUND($C2676*10*VLOOKUP($B2676,Sheet2!$J$5:$K$7,2,FALSE)*VLOOKUP(Sheet1!$A2676,Sheet2!$B$5:$H$29,7,FALSE),0)</x:f>
        <x:v>700</x:v>
      </x:c>
      <x:c r="I2676">
        <x:f t="shared" si="44"/>
        <x:v>72040</x:v>
      </x:c>
    </x:row>
    <x:row r="2677" spans="1:9" x14ac:dyDescent="0.15">
      <x:c r="A2677">
        <x:v>54105</x:v>
      </x:c>
      <x:c r="B2677">
        <x:v>3</x:v>
      </x:c>
      <x:c r="C2677">
        <x:v>36</x:v>
      </x:c>
      <x:c r="D2677">
        <x:f>ROUND($C2677*10*VLOOKUP($B2677,Sheet2!$J$5:$K$7,2,FALSE)*VLOOKUP(Sheet1!$A2677,Sheet2!$B$5:$H$29,3,FALSE),0)</x:f>
        <x:v>0</x:v>
      </x:c>
      <x:c r="E2677">
        <x:f>ROUND($C2677*10*VLOOKUP($B2677,Sheet2!$J$5:$K$7,2,FALSE)*VLOOKUP(Sheet1!$A2677,Sheet2!$B$5:$H$29,4,FALSE),0)</x:f>
        <x:v>0</x:v>
      </x:c>
      <x:c r="F2677">
        <x:f>ROUND($C2677*10*VLOOKUP($B2677,Sheet2!$J$5:$K$7,2,FALSE)*VLOOKUP(Sheet1!$A2677,Sheet2!$B$5:$H$29,5,FALSE),0)</x:f>
        <x:v>346</x:v>
      </x:c>
      <x:c r="G2677">
        <x:f>ROUND($C2677*10*VLOOKUP($B2677,Sheet2!$J$5:$K$7,2,FALSE)*VLOOKUP(Sheet1!$A2677,Sheet2!$B$5:$H$29,6,FALSE),0)</x:f>
        <x:v>0</x:v>
      </x:c>
      <x:c r="H2677">
        <x:f>ROUND($C2677*10*VLOOKUP($B2677,Sheet2!$J$5:$K$7,2,FALSE)*VLOOKUP(Sheet1!$A2677,Sheet2!$B$5:$H$29,7,FALSE),0)</x:f>
        <x:v>720</x:v>
      </x:c>
      <x:c r="I2677">
        <x:f t="shared" si="44"/>
        <x:v>75890</x:v>
      </x:c>
    </x:row>
    <x:row r="2678" spans="1:9" x14ac:dyDescent="0.15">
      <x:c r="A2678">
        <x:v>54105</x:v>
      </x:c>
      <x:c r="B2678">
        <x:v>3</x:v>
      </x:c>
      <x:c r="C2678">
        <x:v>37</x:v>
      </x:c>
      <x:c r="D2678">
        <x:f>ROUND($C2678*10*VLOOKUP($B2678,Sheet2!$J$5:$K$7,2,FALSE)*VLOOKUP(Sheet1!$A2678,Sheet2!$B$5:$H$29,3,FALSE),0)</x:f>
        <x:v>0</x:v>
      </x:c>
      <x:c r="E2678">
        <x:f>ROUND($C2678*10*VLOOKUP($B2678,Sheet2!$J$5:$K$7,2,FALSE)*VLOOKUP(Sheet1!$A2678,Sheet2!$B$5:$H$29,4,FALSE),0)</x:f>
        <x:v>0</x:v>
      </x:c>
      <x:c r="F2678">
        <x:f>ROUND($C2678*10*VLOOKUP($B2678,Sheet2!$J$5:$K$7,2,FALSE)*VLOOKUP(Sheet1!$A2678,Sheet2!$B$5:$H$29,5,FALSE),0)</x:f>
        <x:v>355</x:v>
      </x:c>
      <x:c r="G2678">
        <x:f>ROUND($C2678*10*VLOOKUP($B2678,Sheet2!$J$5:$K$7,2,FALSE)*VLOOKUP(Sheet1!$A2678,Sheet2!$B$5:$H$29,6,FALSE),0)</x:f>
        <x:v>0</x:v>
      </x:c>
      <x:c r="H2678">
        <x:f>ROUND($C2678*10*VLOOKUP($B2678,Sheet2!$J$5:$K$7,2,FALSE)*VLOOKUP(Sheet1!$A2678,Sheet2!$B$5:$H$29,7,FALSE),0)</x:f>
        <x:v>740</x:v>
      </x:c>
      <x:c r="I2678">
        <x:f t="shared" si="44"/>
        <x:v>79840</x:v>
      </x:c>
    </x:row>
    <x:row r="2679" spans="1:9" x14ac:dyDescent="0.15">
      <x:c r="A2679">
        <x:v>54105</x:v>
      </x:c>
      <x:c r="B2679">
        <x:v>3</x:v>
      </x:c>
      <x:c r="C2679">
        <x:v>38</x:v>
      </x:c>
      <x:c r="D2679">
        <x:f>ROUND($C2679*10*VLOOKUP($B2679,Sheet2!$J$5:$K$7,2,FALSE)*VLOOKUP(Sheet1!$A2679,Sheet2!$B$5:$H$29,3,FALSE),0)</x:f>
        <x:v>0</x:v>
      </x:c>
      <x:c r="E2679">
        <x:f>ROUND($C2679*10*VLOOKUP($B2679,Sheet2!$J$5:$K$7,2,FALSE)*VLOOKUP(Sheet1!$A2679,Sheet2!$B$5:$H$29,4,FALSE),0)</x:f>
        <x:v>0</x:v>
      </x:c>
      <x:c r="F2679">
        <x:f>ROUND($C2679*10*VLOOKUP($B2679,Sheet2!$J$5:$K$7,2,FALSE)*VLOOKUP(Sheet1!$A2679,Sheet2!$B$5:$H$29,5,FALSE),0)</x:f>
        <x:v>365</x:v>
      </x:c>
      <x:c r="G2679">
        <x:f>ROUND($C2679*10*VLOOKUP($B2679,Sheet2!$J$5:$K$7,2,FALSE)*VLOOKUP(Sheet1!$A2679,Sheet2!$B$5:$H$29,6,FALSE),0)</x:f>
        <x:v>0</x:v>
      </x:c>
      <x:c r="H2679">
        <x:f>ROUND($C2679*10*VLOOKUP($B2679,Sheet2!$J$5:$K$7,2,FALSE)*VLOOKUP(Sheet1!$A2679,Sheet2!$B$5:$H$29,7,FALSE),0)</x:f>
        <x:v>760</x:v>
      </x:c>
      <x:c r="I2679">
        <x:f t="shared" si="44"/>
        <x:v>83870</x:v>
      </x:c>
    </x:row>
    <x:row r="2680" spans="1:9" x14ac:dyDescent="0.15">
      <x:c r="A2680">
        <x:v>54105</x:v>
      </x:c>
      <x:c r="B2680">
        <x:v>3</x:v>
      </x:c>
      <x:c r="C2680">
        <x:v>39</x:v>
      </x:c>
      <x:c r="D2680">
        <x:f>ROUND($C2680*10*VLOOKUP($B2680,Sheet2!$J$5:$K$7,2,FALSE)*VLOOKUP(Sheet1!$A2680,Sheet2!$B$5:$H$29,3,FALSE),0)</x:f>
        <x:v>0</x:v>
      </x:c>
      <x:c r="E2680">
        <x:f>ROUND($C2680*10*VLOOKUP($B2680,Sheet2!$J$5:$K$7,2,FALSE)*VLOOKUP(Sheet1!$A2680,Sheet2!$B$5:$H$29,4,FALSE),0)</x:f>
        <x:v>0</x:v>
      </x:c>
      <x:c r="F2680">
        <x:f>ROUND($C2680*10*VLOOKUP($B2680,Sheet2!$J$5:$K$7,2,FALSE)*VLOOKUP(Sheet1!$A2680,Sheet2!$B$5:$H$29,5,FALSE),0)</x:f>
        <x:v>374</x:v>
      </x:c>
      <x:c r="G2680">
        <x:f>ROUND($C2680*10*VLOOKUP($B2680,Sheet2!$J$5:$K$7,2,FALSE)*VLOOKUP(Sheet1!$A2680,Sheet2!$B$5:$H$29,6,FALSE),0)</x:f>
        <x:v>0</x:v>
      </x:c>
      <x:c r="H2680">
        <x:f>ROUND($C2680*10*VLOOKUP($B2680,Sheet2!$J$5:$K$7,2,FALSE)*VLOOKUP(Sheet1!$A2680,Sheet2!$B$5:$H$29,7,FALSE),0)</x:f>
        <x:v>780</x:v>
      </x:c>
      <x:c r="I2680">
        <x:f t="shared" si="44"/>
        <x:v>87990</x:v>
      </x:c>
    </x:row>
    <x:row r="2681" spans="1:9" x14ac:dyDescent="0.15">
      <x:c r="A2681">
        <x:v>54105</x:v>
      </x:c>
      <x:c r="B2681">
        <x:v>3</x:v>
      </x:c>
      <x:c r="C2681">
        <x:v>40</x:v>
      </x:c>
      <x:c r="D2681">
        <x:f>ROUND($C2681*10*VLOOKUP($B2681,Sheet2!$J$5:$K$7,2,FALSE)*VLOOKUP(Sheet1!$A2681,Sheet2!$B$5:$H$29,3,FALSE),0)</x:f>
        <x:v>0</x:v>
      </x:c>
      <x:c r="E2681">
        <x:f>ROUND($C2681*10*VLOOKUP($B2681,Sheet2!$J$5:$K$7,2,FALSE)*VLOOKUP(Sheet1!$A2681,Sheet2!$B$5:$H$29,4,FALSE),0)</x:f>
        <x:v>0</x:v>
      </x:c>
      <x:c r="F2681">
        <x:f>ROUND($C2681*10*VLOOKUP($B2681,Sheet2!$J$5:$K$7,2,FALSE)*VLOOKUP(Sheet1!$A2681,Sheet2!$B$5:$H$29,5,FALSE),0)</x:f>
        <x:v>384</x:v>
      </x:c>
      <x:c r="G2681">
        <x:f>ROUND($C2681*10*VLOOKUP($B2681,Sheet2!$J$5:$K$7,2,FALSE)*VLOOKUP(Sheet1!$A2681,Sheet2!$B$5:$H$29,6,FALSE),0)</x:f>
        <x:v>0</x:v>
      </x:c>
      <x:c r="H2681">
        <x:f>ROUND($C2681*10*VLOOKUP($B2681,Sheet2!$J$5:$K$7,2,FALSE)*VLOOKUP(Sheet1!$A2681,Sheet2!$B$5:$H$29,7,FALSE),0)</x:f>
        <x:v>800</x:v>
      </x:c>
      <x:c r="I2681">
        <x:f t="shared" si="44"/>
        <x:v>92200</x:v>
      </x:c>
    </x:row>
    <x:row r="2682" spans="1:9" x14ac:dyDescent="0.15">
      <x:c r="A2682">
        <x:v>54105</x:v>
      </x:c>
      <x:c r="B2682">
        <x:v>3</x:v>
      </x:c>
      <x:c r="C2682">
        <x:v>41</x:v>
      </x:c>
      <x:c r="D2682">
        <x:f>ROUND($C2682*10*VLOOKUP($B2682,Sheet2!$J$5:$K$7,2,FALSE)*VLOOKUP(Sheet1!$A2682,Sheet2!$B$5:$H$29,3,FALSE),0)</x:f>
        <x:v>0</x:v>
      </x:c>
      <x:c r="E2682">
        <x:f>ROUND($C2682*10*VLOOKUP($B2682,Sheet2!$J$5:$K$7,2,FALSE)*VLOOKUP(Sheet1!$A2682,Sheet2!$B$5:$H$29,4,FALSE),0)</x:f>
        <x:v>0</x:v>
      </x:c>
      <x:c r="F2682">
        <x:f>ROUND($C2682*10*VLOOKUP($B2682,Sheet2!$J$5:$K$7,2,FALSE)*VLOOKUP(Sheet1!$A2682,Sheet2!$B$5:$H$29,5,FALSE),0)</x:f>
        <x:v>394</x:v>
      </x:c>
      <x:c r="G2682">
        <x:f>ROUND($C2682*10*VLOOKUP($B2682,Sheet2!$J$5:$K$7,2,FALSE)*VLOOKUP(Sheet1!$A2682,Sheet2!$B$5:$H$29,6,FALSE),0)</x:f>
        <x:v>0</x:v>
      </x:c>
      <x:c r="H2682">
        <x:f>ROUND($C2682*10*VLOOKUP($B2682,Sheet2!$J$5:$K$7,2,FALSE)*VLOOKUP(Sheet1!$A2682,Sheet2!$B$5:$H$29,7,FALSE),0)</x:f>
        <x:v>820</x:v>
      </x:c>
      <x:c r="I2682">
        <x:f t="shared" si="44"/>
        <x:v>96490</x:v>
      </x:c>
    </x:row>
    <x:row r="2683" spans="1:9" x14ac:dyDescent="0.15">
      <x:c r="A2683">
        <x:v>54105</x:v>
      </x:c>
      <x:c r="B2683">
        <x:v>3</x:v>
      </x:c>
      <x:c r="C2683">
        <x:v>42</x:v>
      </x:c>
      <x:c r="D2683">
        <x:f>ROUND($C2683*10*VLOOKUP($B2683,Sheet2!$J$5:$K$7,2,FALSE)*VLOOKUP(Sheet1!$A2683,Sheet2!$B$5:$H$29,3,FALSE),0)</x:f>
        <x:v>0</x:v>
      </x:c>
      <x:c r="E2683">
        <x:f>ROUND($C2683*10*VLOOKUP($B2683,Sheet2!$J$5:$K$7,2,FALSE)*VLOOKUP(Sheet1!$A2683,Sheet2!$B$5:$H$29,4,FALSE),0)</x:f>
        <x:v>0</x:v>
      </x:c>
      <x:c r="F2683">
        <x:f>ROUND($C2683*10*VLOOKUP($B2683,Sheet2!$J$5:$K$7,2,FALSE)*VLOOKUP(Sheet1!$A2683,Sheet2!$B$5:$H$29,5,FALSE),0)</x:f>
        <x:v>403</x:v>
      </x:c>
      <x:c r="G2683">
        <x:f>ROUND($C2683*10*VLOOKUP($B2683,Sheet2!$J$5:$K$7,2,FALSE)*VLOOKUP(Sheet1!$A2683,Sheet2!$B$5:$H$29,6,FALSE),0)</x:f>
        <x:v>0</x:v>
      </x:c>
      <x:c r="H2683">
        <x:f>ROUND($C2683*10*VLOOKUP($B2683,Sheet2!$J$5:$K$7,2,FALSE)*VLOOKUP(Sheet1!$A2683,Sheet2!$B$5:$H$29,7,FALSE),0)</x:f>
        <x:v>840</x:v>
      </x:c>
      <x:c r="I2683">
        <x:f t="shared" si="44"/>
        <x:v>100870</x:v>
      </x:c>
    </x:row>
    <x:row r="2684" spans="1:9" x14ac:dyDescent="0.15">
      <x:c r="A2684">
        <x:v>54105</x:v>
      </x:c>
      <x:c r="B2684">
        <x:v>3</x:v>
      </x:c>
      <x:c r="C2684">
        <x:v>43</x:v>
      </x:c>
      <x:c r="D2684">
        <x:f>ROUND($C2684*10*VLOOKUP($B2684,Sheet2!$J$5:$K$7,2,FALSE)*VLOOKUP(Sheet1!$A2684,Sheet2!$B$5:$H$29,3,FALSE),0)</x:f>
        <x:v>0</x:v>
      </x:c>
      <x:c r="E2684">
        <x:f>ROUND($C2684*10*VLOOKUP($B2684,Sheet2!$J$5:$K$7,2,FALSE)*VLOOKUP(Sheet1!$A2684,Sheet2!$B$5:$H$29,4,FALSE),0)</x:f>
        <x:v>0</x:v>
      </x:c>
      <x:c r="F2684">
        <x:f>ROUND($C2684*10*VLOOKUP($B2684,Sheet2!$J$5:$K$7,2,FALSE)*VLOOKUP(Sheet1!$A2684,Sheet2!$B$5:$H$29,5,FALSE),0)</x:f>
        <x:v>413</x:v>
      </x:c>
      <x:c r="G2684">
        <x:f>ROUND($C2684*10*VLOOKUP($B2684,Sheet2!$J$5:$K$7,2,FALSE)*VLOOKUP(Sheet1!$A2684,Sheet2!$B$5:$H$29,6,FALSE),0)</x:f>
        <x:v>0</x:v>
      </x:c>
      <x:c r="H2684">
        <x:f>ROUND($C2684*10*VLOOKUP($B2684,Sheet2!$J$5:$K$7,2,FALSE)*VLOOKUP(Sheet1!$A2684,Sheet2!$B$5:$H$29,7,FALSE),0)</x:f>
        <x:v>860</x:v>
      </x:c>
      <x:c r="I2684">
        <x:f t="shared" si="44"/>
        <x:v>105340</x:v>
      </x:c>
    </x:row>
    <x:row r="2685" spans="1:9" x14ac:dyDescent="0.15">
      <x:c r="A2685">
        <x:v>54105</x:v>
      </x:c>
      <x:c r="B2685">
        <x:v>3</x:v>
      </x:c>
      <x:c r="C2685">
        <x:v>44</x:v>
      </x:c>
      <x:c r="D2685">
        <x:f>ROUND($C2685*10*VLOOKUP($B2685,Sheet2!$J$5:$K$7,2,FALSE)*VLOOKUP(Sheet1!$A2685,Sheet2!$B$5:$H$29,3,FALSE),0)</x:f>
        <x:v>0</x:v>
      </x:c>
      <x:c r="E2685">
        <x:f>ROUND($C2685*10*VLOOKUP($B2685,Sheet2!$J$5:$K$7,2,FALSE)*VLOOKUP(Sheet1!$A2685,Sheet2!$B$5:$H$29,4,FALSE),0)</x:f>
        <x:v>0</x:v>
      </x:c>
      <x:c r="F2685">
        <x:f>ROUND($C2685*10*VLOOKUP($B2685,Sheet2!$J$5:$K$7,2,FALSE)*VLOOKUP(Sheet1!$A2685,Sheet2!$B$5:$H$29,5,FALSE),0)</x:f>
        <x:v>422</x:v>
      </x:c>
      <x:c r="G2685">
        <x:f>ROUND($C2685*10*VLOOKUP($B2685,Sheet2!$J$5:$K$7,2,FALSE)*VLOOKUP(Sheet1!$A2685,Sheet2!$B$5:$H$29,6,FALSE),0)</x:f>
        <x:v>0</x:v>
      </x:c>
      <x:c r="H2685">
        <x:f>ROUND($C2685*10*VLOOKUP($B2685,Sheet2!$J$5:$K$7,2,FALSE)*VLOOKUP(Sheet1!$A2685,Sheet2!$B$5:$H$29,7,FALSE),0)</x:f>
        <x:v>880</x:v>
      </x:c>
      <x:c r="I2685">
        <x:f t="shared" si="44"/>
        <x:v>109890</x:v>
      </x:c>
    </x:row>
    <x:row r="2686" spans="1:9" x14ac:dyDescent="0.15">
      <x:c r="A2686">
        <x:v>54105</x:v>
      </x:c>
      <x:c r="B2686">
        <x:v>3</x:v>
      </x:c>
      <x:c r="C2686">
        <x:v>45</x:v>
      </x:c>
      <x:c r="D2686">
        <x:f>ROUND($C2686*10*VLOOKUP($B2686,Sheet2!$J$5:$K$7,2,FALSE)*VLOOKUP(Sheet1!$A2686,Sheet2!$B$5:$H$29,3,FALSE),0)</x:f>
        <x:v>0</x:v>
      </x:c>
      <x:c r="E2686">
        <x:f>ROUND($C2686*10*VLOOKUP($B2686,Sheet2!$J$5:$K$7,2,FALSE)*VLOOKUP(Sheet1!$A2686,Sheet2!$B$5:$H$29,4,FALSE),0)</x:f>
        <x:v>0</x:v>
      </x:c>
      <x:c r="F2686">
        <x:f>ROUND($C2686*10*VLOOKUP($B2686,Sheet2!$J$5:$K$7,2,FALSE)*VLOOKUP(Sheet1!$A2686,Sheet2!$B$5:$H$29,5,FALSE),0)</x:f>
        <x:v>432</x:v>
      </x:c>
      <x:c r="G2686">
        <x:f>ROUND($C2686*10*VLOOKUP($B2686,Sheet2!$J$5:$K$7,2,FALSE)*VLOOKUP(Sheet1!$A2686,Sheet2!$B$5:$H$29,6,FALSE),0)</x:f>
        <x:v>0</x:v>
      </x:c>
      <x:c r="H2686">
        <x:f>ROUND($C2686*10*VLOOKUP($B2686,Sheet2!$J$5:$K$7,2,FALSE)*VLOOKUP(Sheet1!$A2686,Sheet2!$B$5:$H$29,7,FALSE),0)</x:f>
        <x:v>900</x:v>
      </x:c>
      <x:c r="I2686">
        <x:f t="shared" si="44"/>
        <x:v>114530</x:v>
      </x:c>
    </x:row>
    <x:row r="2687" spans="1:9" x14ac:dyDescent="0.15">
      <x:c r="A2687">
        <x:v>54105</x:v>
      </x:c>
      <x:c r="B2687">
        <x:v>3</x:v>
      </x:c>
      <x:c r="C2687">
        <x:v>46</x:v>
      </x:c>
      <x:c r="D2687">
        <x:f>ROUND($C2687*10*VLOOKUP($B2687,Sheet2!$J$5:$K$7,2,FALSE)*VLOOKUP(Sheet1!$A2687,Sheet2!$B$5:$H$29,3,FALSE),0)</x:f>
        <x:v>0</x:v>
      </x:c>
      <x:c r="E2687">
        <x:f>ROUND($C2687*10*VLOOKUP($B2687,Sheet2!$J$5:$K$7,2,FALSE)*VLOOKUP(Sheet1!$A2687,Sheet2!$B$5:$H$29,4,FALSE),0)</x:f>
        <x:v>0</x:v>
      </x:c>
      <x:c r="F2687">
        <x:f>ROUND($C2687*10*VLOOKUP($B2687,Sheet2!$J$5:$K$7,2,FALSE)*VLOOKUP(Sheet1!$A2687,Sheet2!$B$5:$H$29,5,FALSE),0)</x:f>
        <x:v>442</x:v>
      </x:c>
      <x:c r="G2687">
        <x:f>ROUND($C2687*10*VLOOKUP($B2687,Sheet2!$J$5:$K$7,2,FALSE)*VLOOKUP(Sheet1!$A2687,Sheet2!$B$5:$H$29,6,FALSE),0)</x:f>
        <x:v>0</x:v>
      </x:c>
      <x:c r="H2687">
        <x:f>ROUND($C2687*10*VLOOKUP($B2687,Sheet2!$J$5:$K$7,2,FALSE)*VLOOKUP(Sheet1!$A2687,Sheet2!$B$5:$H$29,7,FALSE),0)</x:f>
        <x:v>920</x:v>
      </x:c>
      <x:c r="I2687">
        <x:f t="shared" si="44"/>
        <x:v>119260</x:v>
      </x:c>
    </x:row>
    <x:row r="2688" spans="1:9" x14ac:dyDescent="0.15">
      <x:c r="A2688">
        <x:v>54105</x:v>
      </x:c>
      <x:c r="B2688">
        <x:v>3</x:v>
      </x:c>
      <x:c r="C2688">
        <x:v>47</x:v>
      </x:c>
      <x:c r="D2688">
        <x:f>ROUND($C2688*10*VLOOKUP($B2688,Sheet2!$J$5:$K$7,2,FALSE)*VLOOKUP(Sheet1!$A2688,Sheet2!$B$5:$H$29,3,FALSE),0)</x:f>
        <x:v>0</x:v>
      </x:c>
      <x:c r="E2688">
        <x:f>ROUND($C2688*10*VLOOKUP($B2688,Sheet2!$J$5:$K$7,2,FALSE)*VLOOKUP(Sheet1!$A2688,Sheet2!$B$5:$H$29,4,FALSE),0)</x:f>
        <x:v>0</x:v>
      </x:c>
      <x:c r="F2688">
        <x:f>ROUND($C2688*10*VLOOKUP($B2688,Sheet2!$J$5:$K$7,2,FALSE)*VLOOKUP(Sheet1!$A2688,Sheet2!$B$5:$H$29,5,FALSE),0)</x:f>
        <x:v>451</x:v>
      </x:c>
      <x:c r="G2688">
        <x:f>ROUND($C2688*10*VLOOKUP($B2688,Sheet2!$J$5:$K$7,2,FALSE)*VLOOKUP(Sheet1!$A2688,Sheet2!$B$5:$H$29,6,FALSE),0)</x:f>
        <x:v>0</x:v>
      </x:c>
      <x:c r="H2688">
        <x:f>ROUND($C2688*10*VLOOKUP($B2688,Sheet2!$J$5:$K$7,2,FALSE)*VLOOKUP(Sheet1!$A2688,Sheet2!$B$5:$H$29,7,FALSE),0)</x:f>
        <x:v>940</x:v>
      </x:c>
      <x:c r="I2688">
        <x:f t="shared" si="44"/>
        <x:v>124070</x:v>
      </x:c>
    </x:row>
    <x:row r="2689" spans="1:11" x14ac:dyDescent="0.15">
      <x:c r="A2689">
        <x:v>54105</x:v>
      </x:c>
      <x:c r="B2689">
        <x:v>3</x:v>
      </x:c>
      <x:c r="C2689">
        <x:v>48</x:v>
      </x:c>
      <x:c r="D2689">
        <x:f>ROUND($C2689*10*VLOOKUP($B2689,Sheet2!$J$5:$K$7,2,FALSE)*VLOOKUP(Sheet1!$A2689,Sheet2!$B$5:$H$29,3,FALSE),0)</x:f>
        <x:v>0</x:v>
      </x:c>
      <x:c r="E2689">
        <x:f>ROUND($C2689*10*VLOOKUP($B2689,Sheet2!$J$5:$K$7,2,FALSE)*VLOOKUP(Sheet1!$A2689,Sheet2!$B$5:$H$29,4,FALSE),0)</x:f>
        <x:v>0</x:v>
      </x:c>
      <x:c r="F2689">
        <x:f>ROUND($C2689*10*VLOOKUP($B2689,Sheet2!$J$5:$K$7,2,FALSE)*VLOOKUP(Sheet1!$A2689,Sheet2!$B$5:$H$29,5,FALSE),0)</x:f>
        <x:v>461</x:v>
      </x:c>
      <x:c r="G2689">
        <x:f>ROUND($C2689*10*VLOOKUP($B2689,Sheet2!$J$5:$K$7,2,FALSE)*VLOOKUP(Sheet1!$A2689,Sheet2!$B$5:$H$29,6,FALSE),0)</x:f>
        <x:v>0</x:v>
      </x:c>
      <x:c r="H2689">
        <x:f>ROUND($C2689*10*VLOOKUP($B2689,Sheet2!$J$5:$K$7,2,FALSE)*VLOOKUP(Sheet1!$A2689,Sheet2!$B$5:$H$29,7,FALSE),0)</x:f>
        <x:v>960</x:v>
      </x:c>
      <x:c r="I2689">
        <x:f t="shared" si="44"/>
        <x:v>128960</x:v>
      </x:c>
    </x:row>
    <x:row r="2690" spans="1:11" x14ac:dyDescent="0.15">
      <x:c r="A2690">
        <x:v>54105</x:v>
      </x:c>
      <x:c r="B2690">
        <x:v>3</x:v>
      </x:c>
      <x:c r="C2690">
        <x:v>49</x:v>
      </x:c>
      <x:c r="D2690">
        <x:f>ROUND($C2690*10*VLOOKUP($B2690,Sheet2!$J$5:$K$7,2,FALSE)*VLOOKUP(Sheet1!$A2690,Sheet2!$B$5:$H$29,3,FALSE),0)</x:f>
        <x:v>0</x:v>
      </x:c>
      <x:c r="E2690">
        <x:f>ROUND($C2690*10*VLOOKUP($B2690,Sheet2!$J$5:$K$7,2,FALSE)*VLOOKUP(Sheet1!$A2690,Sheet2!$B$5:$H$29,4,FALSE),0)</x:f>
        <x:v>0</x:v>
      </x:c>
      <x:c r="F2690">
        <x:f>ROUND($C2690*10*VLOOKUP($B2690,Sheet2!$J$5:$K$7,2,FALSE)*VLOOKUP(Sheet1!$A2690,Sheet2!$B$5:$H$29,5,FALSE),0)</x:f>
        <x:v>470</x:v>
      </x:c>
      <x:c r="G2690">
        <x:f>ROUND($C2690*10*VLOOKUP($B2690,Sheet2!$J$5:$K$7,2,FALSE)*VLOOKUP(Sheet1!$A2690,Sheet2!$B$5:$H$29,6,FALSE),0)</x:f>
        <x:v>0</x:v>
      </x:c>
      <x:c r="H2690">
        <x:f>ROUND($C2690*10*VLOOKUP($B2690,Sheet2!$J$5:$K$7,2,FALSE)*VLOOKUP(Sheet1!$A2690,Sheet2!$B$5:$H$29,7,FALSE),0)</x:f>
        <x:v>980</x:v>
      </x:c>
      <x:c r="I2690">
        <x:f t="shared" si="44"/>
        <x:v>133940</x:v>
      </x:c>
    </x:row>
    <x:row r="2691" spans="1:11" x14ac:dyDescent="0.15">
      <x:c r="A2691">
        <x:v>54105</x:v>
      </x:c>
      <x:c r="B2691">
        <x:v>3</x:v>
      </x:c>
      <x:c r="C2691">
        <x:v>50</x:v>
      </x:c>
      <x:c r="D2691">
        <x:f>ROUND($C2691*10*VLOOKUP($B2691,Sheet2!$J$5:$K$7,2,FALSE)*VLOOKUP(Sheet1!$A2691,Sheet2!$B$5:$H$29,3,FALSE),0)</x:f>
        <x:v>0</x:v>
      </x:c>
      <x:c r="E2691">
        <x:f>ROUND($C2691*10*VLOOKUP($B2691,Sheet2!$J$5:$K$7,2,FALSE)*VLOOKUP(Sheet1!$A2691,Sheet2!$B$5:$H$29,4,FALSE),0)</x:f>
        <x:v>0</x:v>
      </x:c>
      <x:c r="F2691">
        <x:f>ROUND($C2691*10*VLOOKUP($B2691,Sheet2!$J$5:$K$7,2,FALSE)*VLOOKUP(Sheet1!$A2691,Sheet2!$B$5:$H$29,5,FALSE),0)</x:f>
        <x:v>480</x:v>
      </x:c>
      <x:c r="G2691">
        <x:f>ROUND($C2691*10*VLOOKUP($B2691,Sheet2!$J$5:$K$7,2,FALSE)*VLOOKUP(Sheet1!$A2691,Sheet2!$B$5:$H$29,6,FALSE),0)</x:f>
        <x:v>0</x:v>
      </x:c>
      <x:c r="H2691">
        <x:f>ROUND($C2691*10*VLOOKUP($B2691,Sheet2!$J$5:$K$7,2,FALSE)*VLOOKUP(Sheet1!$A2691,Sheet2!$B$5:$H$29,7,FALSE),0)</x:f>
        <x:v>1000</x:v>
      </x:c>
      <x:c r="I2691">
        <x:f t="shared" si="44"/>
        <x:v>139000</x:v>
      </x:c>
    </x:row>
    <x:row r="2692" spans="1:11" x14ac:dyDescent="0.15">
      <x:c r="A2692">
        <x:v>54105</x:v>
      </x:c>
      <x:c r="B2692">
        <x:v>3</x:v>
      </x:c>
      <x:c r="C2692">
        <x:v>51</x:v>
      </x:c>
      <x:c r="D2692">
        <x:f>ROUND($C2692*10*VLOOKUP($B2692,Sheet2!$J$5:$K$7,2,FALSE)*VLOOKUP(Sheet1!$A2692,Sheet2!$B$5:$H$29,3,FALSE),0)</x:f>
        <x:v>0</x:v>
      </x:c>
      <x:c r="E2692">
        <x:f>ROUND($C2692*10*VLOOKUP($B2692,Sheet2!$J$5:$K$7,2,FALSE)*VLOOKUP(Sheet1!$A2692,Sheet2!$B$5:$H$29,4,FALSE),0)</x:f>
        <x:v>0</x:v>
      </x:c>
      <x:c r="F2692">
        <x:f>ROUND($C2692*10*VLOOKUP($B2692,Sheet2!$J$5:$K$7,2,FALSE)*VLOOKUP(Sheet1!$A2692,Sheet2!$B$5:$H$29,5,FALSE),0)</x:f>
        <x:v>490</x:v>
      </x:c>
      <x:c r="G2692">
        <x:f>ROUND($C2692*10*VLOOKUP($B2692,Sheet2!$J$5:$K$7,2,FALSE)*VLOOKUP(Sheet1!$A2692,Sheet2!$B$5:$H$29,6,FALSE),0)</x:f>
        <x:v>0</x:v>
      </x:c>
      <x:c r="H2692">
        <x:f>ROUND($C2692*10*VLOOKUP($B2692,Sheet2!$J$5:$K$7,2,FALSE)*VLOOKUP(Sheet1!$A2692,Sheet2!$B$5:$H$29,7,FALSE),0)</x:f>
        <x:v>1020</x:v>
      </x:c>
      <x:c r="I2692">
        <x:f t="shared" si="44"/>
        <x:v>144140</x:v>
      </x:c>
    </x:row>
    <x:row r="2693" spans="1:11" x14ac:dyDescent="0.15">
      <x:c r="A2693">
        <x:v>54105</x:v>
      </x:c>
      <x:c r="B2693">
        <x:v>3</x:v>
      </x:c>
      <x:c r="C2693">
        <x:v>52</x:v>
      </x:c>
      <x:c r="D2693">
        <x:f>ROUND($C2693*10*VLOOKUP($B2693,Sheet2!$J$5:$K$7,2,FALSE)*VLOOKUP(Sheet1!$A2693,Sheet2!$B$5:$H$29,3,FALSE),0)</x:f>
        <x:v>0</x:v>
      </x:c>
      <x:c r="E2693">
        <x:f>ROUND($C2693*10*VLOOKUP($B2693,Sheet2!$J$5:$K$7,2,FALSE)*VLOOKUP(Sheet1!$A2693,Sheet2!$B$5:$H$29,4,FALSE),0)</x:f>
        <x:v>0</x:v>
      </x:c>
      <x:c r="F2693">
        <x:f>ROUND($C2693*10*VLOOKUP($B2693,Sheet2!$J$5:$K$7,2,FALSE)*VLOOKUP(Sheet1!$A2693,Sheet2!$B$5:$H$29,5,FALSE),0)</x:f>
        <x:v>499</x:v>
      </x:c>
      <x:c r="G2693">
        <x:f>ROUND($C2693*10*VLOOKUP($B2693,Sheet2!$J$5:$K$7,2,FALSE)*VLOOKUP(Sheet1!$A2693,Sheet2!$B$5:$H$29,6,FALSE),0)</x:f>
        <x:v>0</x:v>
      </x:c>
      <x:c r="H2693">
        <x:f>ROUND($C2693*10*VLOOKUP($B2693,Sheet2!$J$5:$K$7,2,FALSE)*VLOOKUP(Sheet1!$A2693,Sheet2!$B$5:$H$29,7,FALSE),0)</x:f>
        <x:v>1040</x:v>
      </x:c>
      <x:c r="I2693">
        <x:f t="shared" si="44"/>
        <x:v>149370</x:v>
      </x:c>
    </x:row>
    <x:row r="2694" spans="1:11" x14ac:dyDescent="0.15">
      <x:c r="A2694">
        <x:v>54105</x:v>
      </x:c>
      <x:c r="B2694">
        <x:v>3</x:v>
      </x:c>
      <x:c r="C2694">
        <x:v>53</x:v>
      </x:c>
      <x:c r="D2694">
        <x:f>ROUND($C2694*10*VLOOKUP($B2694,Sheet2!$J$5:$K$7,2,FALSE)*VLOOKUP(Sheet1!$A2694,Sheet2!$B$5:$H$29,3,FALSE),0)</x:f>
        <x:v>0</x:v>
      </x:c>
      <x:c r="E2694">
        <x:f>ROUND($C2694*10*VLOOKUP($B2694,Sheet2!$J$5:$K$7,2,FALSE)*VLOOKUP(Sheet1!$A2694,Sheet2!$B$5:$H$29,4,FALSE),0)</x:f>
        <x:v>0</x:v>
      </x:c>
      <x:c r="F2694">
        <x:f>ROUND($C2694*10*VLOOKUP($B2694,Sheet2!$J$5:$K$7,2,FALSE)*VLOOKUP(Sheet1!$A2694,Sheet2!$B$5:$H$29,5,FALSE),0)</x:f>
        <x:v>509</x:v>
      </x:c>
      <x:c r="G2694">
        <x:f>ROUND($C2694*10*VLOOKUP($B2694,Sheet2!$J$5:$K$7,2,FALSE)*VLOOKUP(Sheet1!$A2694,Sheet2!$B$5:$H$29,6,FALSE),0)</x:f>
        <x:v>0</x:v>
      </x:c>
      <x:c r="H2694">
        <x:f>ROUND($C2694*10*VLOOKUP($B2694,Sheet2!$J$5:$K$7,2,FALSE)*VLOOKUP(Sheet1!$A2694,Sheet2!$B$5:$H$29,7,FALSE),0)</x:f>
        <x:v>1060</x:v>
      </x:c>
      <x:c r="I2694">
        <x:f t="shared" si="44"/>
        <x:v>154680</x:v>
      </x:c>
    </x:row>
    <x:row r="2695" spans="1:11" x14ac:dyDescent="0.15">
      <x:c r="A2695">
        <x:v>54105</x:v>
      </x:c>
      <x:c r="B2695">
        <x:v>3</x:v>
      </x:c>
      <x:c r="C2695">
        <x:v>54</x:v>
      </x:c>
      <x:c r="D2695">
        <x:f>ROUND($C2695*10*VLOOKUP($B2695,Sheet2!$J$5:$K$7,2,FALSE)*VLOOKUP(Sheet1!$A2695,Sheet2!$B$5:$H$29,3,FALSE),0)</x:f>
        <x:v>0</x:v>
      </x:c>
      <x:c r="E2695">
        <x:f>ROUND($C2695*10*VLOOKUP($B2695,Sheet2!$J$5:$K$7,2,FALSE)*VLOOKUP(Sheet1!$A2695,Sheet2!$B$5:$H$29,4,FALSE),0)</x:f>
        <x:v>0</x:v>
      </x:c>
      <x:c r="F2695">
        <x:f>ROUND($C2695*10*VLOOKUP($B2695,Sheet2!$J$5:$K$7,2,FALSE)*VLOOKUP(Sheet1!$A2695,Sheet2!$B$5:$H$29,5,FALSE),0)</x:f>
        <x:v>518</x:v>
      </x:c>
      <x:c r="G2695">
        <x:f>ROUND($C2695*10*VLOOKUP($B2695,Sheet2!$J$5:$K$7,2,FALSE)*VLOOKUP(Sheet1!$A2695,Sheet2!$B$5:$H$29,6,FALSE),0)</x:f>
        <x:v>0</x:v>
      </x:c>
      <x:c r="H2695">
        <x:f>ROUND($C2695*10*VLOOKUP($B2695,Sheet2!$J$5:$K$7,2,FALSE)*VLOOKUP(Sheet1!$A2695,Sheet2!$B$5:$H$29,7,FALSE),0)</x:f>
        <x:v>1080</x:v>
      </x:c>
      <x:c r="I2695">
        <x:f t="shared" si="44"/>
        <x:v>160070</x:v>
      </x:c>
    </x:row>
    <x:row r="2696" spans="1:11" x14ac:dyDescent="0.15">
      <x:c r="A2696">
        <x:v>54105</x:v>
      </x:c>
      <x:c r="B2696">
        <x:v>3</x:v>
      </x:c>
      <x:c r="C2696">
        <x:v>55</x:v>
      </x:c>
      <x:c r="D2696">
        <x:f>ROUND($C2696*10*VLOOKUP($B2696,Sheet2!$J$5:$K$7,2,FALSE)*VLOOKUP(Sheet1!$A2696,Sheet2!$B$5:$H$29,3,FALSE),0)</x:f>
        <x:v>0</x:v>
      </x:c>
      <x:c r="E2696">
        <x:f>ROUND($C2696*10*VLOOKUP($B2696,Sheet2!$J$5:$K$7,2,FALSE)*VLOOKUP(Sheet1!$A2696,Sheet2!$B$5:$H$29,4,FALSE),0)</x:f>
        <x:v>0</x:v>
      </x:c>
      <x:c r="F2696">
        <x:f>ROUND($C2696*10*VLOOKUP($B2696,Sheet2!$J$5:$K$7,2,FALSE)*VLOOKUP(Sheet1!$A2696,Sheet2!$B$5:$H$29,5,FALSE),0)</x:f>
        <x:v>528</x:v>
      </x:c>
      <x:c r="G2696">
        <x:f>ROUND($C2696*10*VLOOKUP($B2696,Sheet2!$J$5:$K$7,2,FALSE)*VLOOKUP(Sheet1!$A2696,Sheet2!$B$5:$H$29,6,FALSE),0)</x:f>
        <x:v>0</x:v>
      </x:c>
      <x:c r="H2696">
        <x:f>ROUND($C2696*10*VLOOKUP($B2696,Sheet2!$J$5:$K$7,2,FALSE)*VLOOKUP(Sheet1!$A2696,Sheet2!$B$5:$H$29,7,FALSE),0)</x:f>
        <x:v>1100</x:v>
      </x:c>
      <x:c r="I2696">
        <x:f t="shared" si="44"/>
        <x:v>165540</x:v>
      </x:c>
    </x:row>
    <x:row r="2697" spans="1:11" x14ac:dyDescent="0.15">
      <x:c r="A2697">
        <x:v>54105</x:v>
      </x:c>
      <x:c r="B2697">
        <x:v>3</x:v>
      </x:c>
      <x:c r="C2697">
        <x:v>56</x:v>
      </x:c>
      <x:c r="D2697">
        <x:f>ROUND($C2697*10*VLOOKUP($B2697,Sheet2!$J$5:$K$7,2,FALSE)*VLOOKUP(Sheet1!$A2697,Sheet2!$B$5:$H$29,3,FALSE),0)</x:f>
        <x:v>0</x:v>
      </x:c>
      <x:c r="E2697">
        <x:f>ROUND($C2697*10*VLOOKUP($B2697,Sheet2!$J$5:$K$7,2,FALSE)*VLOOKUP(Sheet1!$A2697,Sheet2!$B$5:$H$29,4,FALSE),0)</x:f>
        <x:v>0</x:v>
      </x:c>
      <x:c r="F2697">
        <x:f>ROUND($C2697*10*VLOOKUP($B2697,Sheet2!$J$5:$K$7,2,FALSE)*VLOOKUP(Sheet1!$A2697,Sheet2!$B$5:$H$29,5,FALSE),0)</x:f>
        <x:v>538</x:v>
      </x:c>
      <x:c r="G2697">
        <x:f>ROUND($C2697*10*VLOOKUP($B2697,Sheet2!$J$5:$K$7,2,FALSE)*VLOOKUP(Sheet1!$A2697,Sheet2!$B$5:$H$29,6,FALSE),0)</x:f>
        <x:v>0</x:v>
      </x:c>
      <x:c r="H2697">
        <x:f>ROUND($C2697*10*VLOOKUP($B2697,Sheet2!$J$5:$K$7,2,FALSE)*VLOOKUP(Sheet1!$A2697,Sheet2!$B$5:$H$29,7,FALSE),0)</x:f>
        <x:v>1120</x:v>
      </x:c>
      <x:c r="I2697">
        <x:f t="shared" si="44"/>
        <x:v>171100</x:v>
      </x:c>
    </x:row>
    <x:row r="2698" spans="1:11" x14ac:dyDescent="0.15">
      <x:c r="A2698">
        <x:v>54105</x:v>
      </x:c>
      <x:c r="B2698">
        <x:v>3</x:v>
      </x:c>
      <x:c r="C2698">
        <x:v>57</x:v>
      </x:c>
      <x:c r="D2698">
        <x:f>ROUND($C2698*10*VLOOKUP($B2698,Sheet2!$J$5:$K$7,2,FALSE)*VLOOKUP(Sheet1!$A2698,Sheet2!$B$5:$H$29,3,FALSE),0)</x:f>
        <x:v>0</x:v>
      </x:c>
      <x:c r="E2698">
        <x:f>ROUND($C2698*10*VLOOKUP($B2698,Sheet2!$J$5:$K$7,2,FALSE)*VLOOKUP(Sheet1!$A2698,Sheet2!$B$5:$H$29,4,FALSE),0)</x:f>
        <x:v>0</x:v>
      </x:c>
      <x:c r="F2698">
        <x:f>ROUND($C2698*10*VLOOKUP($B2698,Sheet2!$J$5:$K$7,2,FALSE)*VLOOKUP(Sheet1!$A2698,Sheet2!$B$5:$H$29,5,FALSE),0)</x:f>
        <x:v>547</x:v>
      </x:c>
      <x:c r="G2698">
        <x:f>ROUND($C2698*10*VLOOKUP($B2698,Sheet2!$J$5:$K$7,2,FALSE)*VLOOKUP(Sheet1!$A2698,Sheet2!$B$5:$H$29,6,FALSE),0)</x:f>
        <x:v>0</x:v>
      </x:c>
      <x:c r="H2698">
        <x:f>ROUND($C2698*10*VLOOKUP($B2698,Sheet2!$J$5:$K$7,2,FALSE)*VLOOKUP(Sheet1!$A2698,Sheet2!$B$5:$H$29,7,FALSE),0)</x:f>
        <x:v>1140</x:v>
      </x:c>
      <x:c r="I2698">
        <x:f t="shared" si="44"/>
        <x:v>176740</x:v>
      </x:c>
    </x:row>
    <x:row r="2699" spans="1:11" x14ac:dyDescent="0.15">
      <x:c r="A2699">
        <x:v>54105</x:v>
      </x:c>
      <x:c r="B2699">
        <x:v>3</x:v>
      </x:c>
      <x:c r="C2699">
        <x:v>58</x:v>
      </x:c>
      <x:c r="D2699">
        <x:f>ROUND($C2699*10*VLOOKUP($B2699,Sheet2!$J$5:$K$7,2,FALSE)*VLOOKUP(Sheet1!$A2699,Sheet2!$B$5:$H$29,3,FALSE),0)</x:f>
        <x:v>0</x:v>
      </x:c>
      <x:c r="E2699">
        <x:f>ROUND($C2699*10*VLOOKUP($B2699,Sheet2!$J$5:$K$7,2,FALSE)*VLOOKUP(Sheet1!$A2699,Sheet2!$B$5:$H$29,4,FALSE),0)</x:f>
        <x:v>0</x:v>
      </x:c>
      <x:c r="F2699">
        <x:f>ROUND($C2699*10*VLOOKUP($B2699,Sheet2!$J$5:$K$7,2,FALSE)*VLOOKUP(Sheet1!$A2699,Sheet2!$B$5:$H$29,5,FALSE),0)</x:f>
        <x:v>557</x:v>
      </x:c>
      <x:c r="G2699">
        <x:f>ROUND($C2699*10*VLOOKUP($B2699,Sheet2!$J$5:$K$7,2,FALSE)*VLOOKUP(Sheet1!$A2699,Sheet2!$B$5:$H$29,6,FALSE),0)</x:f>
        <x:v>0</x:v>
      </x:c>
      <x:c r="H2699">
        <x:f>ROUND($C2699*10*VLOOKUP($B2699,Sheet2!$J$5:$K$7,2,FALSE)*VLOOKUP(Sheet1!$A2699,Sheet2!$B$5:$H$29,7,FALSE),0)</x:f>
        <x:v>1160</x:v>
      </x:c>
      <x:c r="I2699">
        <x:f t="shared" si="44"/>
        <x:v>182460</x:v>
      </x:c>
    </x:row>
    <x:row r="2700" spans="1:11" x14ac:dyDescent="0.15">
      <x:c r="A2700">
        <x:v>54105</x:v>
      </x:c>
      <x:c r="B2700">
        <x:v>3</x:v>
      </x:c>
      <x:c r="C2700">
        <x:v>59</x:v>
      </x:c>
      <x:c r="D2700">
        <x:f>ROUND($C2700*10*VLOOKUP($B2700,Sheet2!$J$5:$K$7,2,FALSE)*VLOOKUP(Sheet1!$A2700,Sheet2!$B$5:$H$29,3,FALSE),0)</x:f>
        <x:v>0</x:v>
      </x:c>
      <x:c r="E2700">
        <x:f>ROUND($C2700*10*VLOOKUP($B2700,Sheet2!$J$5:$K$7,2,FALSE)*VLOOKUP(Sheet1!$A2700,Sheet2!$B$5:$H$29,4,FALSE),0)</x:f>
        <x:v>0</x:v>
      </x:c>
      <x:c r="F2700">
        <x:f>ROUND($C2700*10*VLOOKUP($B2700,Sheet2!$J$5:$K$7,2,FALSE)*VLOOKUP(Sheet1!$A2700,Sheet2!$B$5:$H$29,5,FALSE),0)</x:f>
        <x:v>566</x:v>
      </x:c>
      <x:c r="G2700">
        <x:f>ROUND($C2700*10*VLOOKUP($B2700,Sheet2!$J$5:$K$7,2,FALSE)*VLOOKUP(Sheet1!$A2700,Sheet2!$B$5:$H$29,6,FALSE),0)</x:f>
        <x:v>0</x:v>
      </x:c>
      <x:c r="H2700">
        <x:f>ROUND($C2700*10*VLOOKUP($B2700,Sheet2!$J$5:$K$7,2,FALSE)*VLOOKUP(Sheet1!$A2700,Sheet2!$B$5:$H$29,7,FALSE),0)</x:f>
        <x:v>1180</x:v>
      </x:c>
      <x:c r="I2700">
        <x:f t="shared" si="44"/>
        <x:v>188260</x:v>
      </x:c>
    </x:row>
    <x:row r="2701" spans="1:11" x14ac:dyDescent="0.15">
      <x:c r="A2701">
        <x:v>54105</x:v>
      </x:c>
      <x:c r="B2701">
        <x:v>3</x:v>
      </x:c>
      <x:c r="C2701">
        <x:v>60</x:v>
      </x:c>
      <x:c r="D2701">
        <x:f>ROUND($C2701*10*VLOOKUP($B2701,Sheet2!$J$5:$K$7,2,FALSE)*VLOOKUP(Sheet1!$A2701,Sheet2!$B$5:$H$29,3,FALSE),0)</x:f>
        <x:v>0</x:v>
      </x:c>
      <x:c r="E2701">
        <x:f>ROUND($C2701*10*VLOOKUP($B2701,Sheet2!$J$5:$K$7,2,FALSE)*VLOOKUP(Sheet1!$A2701,Sheet2!$B$5:$H$29,4,FALSE),0)</x:f>
        <x:v>0</x:v>
      </x:c>
      <x:c r="F2701">
        <x:f>ROUND($C2701*10*VLOOKUP($B2701,Sheet2!$J$5:$K$7,2,FALSE)*VLOOKUP(Sheet1!$A2701,Sheet2!$B$5:$H$29,5,FALSE),0)</x:f>
        <x:v>576</x:v>
      </x:c>
      <x:c r="G2701">
        <x:f>ROUND($C2701*10*VLOOKUP($B2701,Sheet2!$J$5:$K$7,2,FALSE)*VLOOKUP(Sheet1!$A2701,Sheet2!$B$5:$H$29,6,FALSE),0)</x:f>
        <x:v>0</x:v>
      </x:c>
      <x:c r="H2701">
        <x:f>ROUND($C2701*10*VLOOKUP($B2701,Sheet2!$J$5:$K$7,2,FALSE)*VLOOKUP(Sheet1!$A2701,Sheet2!$B$5:$H$29,7,FALSE),0)</x:f>
        <x:v>1200</x:v>
      </x:c>
      <x:c r="I2701">
        <x:f t="shared" si="44"/>
        <x:v>194140</x:v>
      </x:c>
    </x:row>
    <x:row r="2702" spans="1:11" x14ac:dyDescent="0.15">
      <x:c r="A2702">
        <x:v>54151</x:v>
      </x:c>
      <x:c r="B2702">
        <x:v>1</x:v>
      </x:c>
      <x:c r="C2702">
        <x:v>1</x:v>
      </x:c>
      <x:c r="D2702">
        <x:f>ROUND($C2702*10*VLOOKUP($B2702,Sheet2!$J$5:$K$7,2,FALSE)*VLOOKUP(Sheet1!$A2702,Sheet2!$B$5:$H$29,3,FALSE),0)</x:f>
        <x:v>2</x:v>
      </x:c>
      <x:c r="E2702">
        <x:f>ROUND($C2702*10*VLOOKUP($B2702,Sheet2!$J$5:$K$7,2,FALSE)*VLOOKUP(Sheet1!$A2702,Sheet2!$B$5:$H$29,4,FALSE),0)</x:f>
        <x:v>0</x:v>
      </x:c>
      <x:c r="F2702">
        <x:f>ROUND($C2702*10*VLOOKUP($B2702,Sheet2!$J$5:$K$7,2,FALSE)*VLOOKUP(Sheet1!$A2702,Sheet2!$B$5:$H$29,5,FALSE),0)</x:f>
        <x:v>0</x:v>
      </x:c>
      <x:c r="G2702">
        <x:f>ROUND($C2702*10*VLOOKUP($B2702,Sheet2!$J$5:$K$7,2,FALSE)*VLOOKUP(Sheet1!$A2702,Sheet2!$B$5:$H$29,6,FALSE),0)</x:f>
        <x:v>5</x:v>
      </x:c>
      <x:c r="H2702">
        <x:f>ROUND($C2702*10*VLOOKUP($B2702,Sheet2!$J$5:$K$7,2,FALSE)*VLOOKUP(Sheet1!$A2702,Sheet2!$B$5:$H$29,7,FALSE),0)</x:f>
        <x:v>0</x:v>
      </x:c>
      <x:c r="I2702">
        <x:f t="shared" ref="I2702:I2761" si="45">ROUND(1.2*10*1.8*(C2702-1)^1.8+30,-1)</x:f>
        <x:v>30</x:v>
      </x:c>
      <x:c r="K2702" s="2"/>
    </x:row>
    <x:row r="2703" spans="1:11" x14ac:dyDescent="0.15">
      <x:c r="A2703">
        <x:v>54151</x:v>
      </x:c>
      <x:c r="B2703">
        <x:v>1</x:v>
      </x:c>
      <x:c r="C2703">
        <x:v>2</x:v>
      </x:c>
      <x:c r="D2703">
        <x:f>ROUND($C2703*10*VLOOKUP($B2703,Sheet2!$J$5:$K$7,2,FALSE)*VLOOKUP(Sheet1!$A2703,Sheet2!$B$5:$H$29,3,FALSE),0)</x:f>
        <x:v>4</x:v>
      </x:c>
      <x:c r="E2703">
        <x:f>ROUND($C2703*10*VLOOKUP($B2703,Sheet2!$J$5:$K$7,2,FALSE)*VLOOKUP(Sheet1!$A2703,Sheet2!$B$5:$H$29,4,FALSE),0)</x:f>
        <x:v>0</x:v>
      </x:c>
      <x:c r="F2703">
        <x:f>ROUND($C2703*10*VLOOKUP($B2703,Sheet2!$J$5:$K$7,2,FALSE)*VLOOKUP(Sheet1!$A2703,Sheet2!$B$5:$H$29,5,FALSE),0)</x:f>
        <x:v>0</x:v>
      </x:c>
      <x:c r="G2703">
        <x:f>ROUND($C2703*10*VLOOKUP($B2703,Sheet2!$J$5:$K$7,2,FALSE)*VLOOKUP(Sheet1!$A2703,Sheet2!$B$5:$H$29,6,FALSE),0)</x:f>
        <x:v>10</x:v>
      </x:c>
      <x:c r="H2703">
        <x:f>ROUND($C2703*10*VLOOKUP($B2703,Sheet2!$J$5:$K$7,2,FALSE)*VLOOKUP(Sheet1!$A2703,Sheet2!$B$5:$H$29,7,FALSE),0)</x:f>
        <x:v>0</x:v>
      </x:c>
      <x:c r="I2703">
        <x:f t="shared" si="45"/>
        <x:v>50</x:v>
      </x:c>
    </x:row>
    <x:row r="2704" spans="1:11" x14ac:dyDescent="0.15">
      <x:c r="A2704">
        <x:v>54151</x:v>
      </x:c>
      <x:c r="B2704">
        <x:v>1</x:v>
      </x:c>
      <x:c r="C2704">
        <x:v>3</x:v>
      </x:c>
      <x:c r="D2704">
        <x:f>ROUND($C2704*10*VLOOKUP($B2704,Sheet2!$J$5:$K$7,2,FALSE)*VLOOKUP(Sheet1!$A2704,Sheet2!$B$5:$H$29,3,FALSE),0)</x:f>
        <x:v>6</x:v>
      </x:c>
      <x:c r="E2704">
        <x:f>ROUND($C2704*10*VLOOKUP($B2704,Sheet2!$J$5:$K$7,2,FALSE)*VLOOKUP(Sheet1!$A2704,Sheet2!$B$5:$H$29,4,FALSE),0)</x:f>
        <x:v>0</x:v>
      </x:c>
      <x:c r="F2704">
        <x:f>ROUND($C2704*10*VLOOKUP($B2704,Sheet2!$J$5:$K$7,2,FALSE)*VLOOKUP(Sheet1!$A2704,Sheet2!$B$5:$H$29,5,FALSE),0)</x:f>
        <x:v>0</x:v>
      </x:c>
      <x:c r="G2704">
        <x:f>ROUND($C2704*10*VLOOKUP($B2704,Sheet2!$J$5:$K$7,2,FALSE)*VLOOKUP(Sheet1!$A2704,Sheet2!$B$5:$H$29,6,FALSE),0)</x:f>
        <x:v>14</x:v>
      </x:c>
      <x:c r="H2704">
        <x:f>ROUND($C2704*10*VLOOKUP($B2704,Sheet2!$J$5:$K$7,2,FALSE)*VLOOKUP(Sheet1!$A2704,Sheet2!$B$5:$H$29,7,FALSE),0)</x:f>
        <x:v>0</x:v>
      </x:c>
      <x:c r="I2704">
        <x:f t="shared" si="45"/>
        <x:v>110</x:v>
      </x:c>
    </x:row>
    <x:row r="2705" spans="1:9" x14ac:dyDescent="0.15">
      <x:c r="A2705">
        <x:v>54151</x:v>
      </x:c>
      <x:c r="B2705">
        <x:v>1</x:v>
      </x:c>
      <x:c r="C2705">
        <x:v>4</x:v>
      </x:c>
      <x:c r="D2705">
        <x:f>ROUND($C2705*10*VLOOKUP($B2705,Sheet2!$J$5:$K$7,2,FALSE)*VLOOKUP(Sheet1!$A2705,Sheet2!$B$5:$H$29,3,FALSE),0)</x:f>
        <x:v>8</x:v>
      </x:c>
      <x:c r="E2705">
        <x:f>ROUND($C2705*10*VLOOKUP($B2705,Sheet2!$J$5:$K$7,2,FALSE)*VLOOKUP(Sheet1!$A2705,Sheet2!$B$5:$H$29,4,FALSE),0)</x:f>
        <x:v>0</x:v>
      </x:c>
      <x:c r="F2705">
        <x:f>ROUND($C2705*10*VLOOKUP($B2705,Sheet2!$J$5:$K$7,2,FALSE)*VLOOKUP(Sheet1!$A2705,Sheet2!$B$5:$H$29,5,FALSE),0)</x:f>
        <x:v>0</x:v>
      </x:c>
      <x:c r="G2705">
        <x:f>ROUND($C2705*10*VLOOKUP($B2705,Sheet2!$J$5:$K$7,2,FALSE)*VLOOKUP(Sheet1!$A2705,Sheet2!$B$5:$H$29,6,FALSE),0)</x:f>
        <x:v>19</x:v>
      </x:c>
      <x:c r="H2705">
        <x:f>ROUND($C2705*10*VLOOKUP($B2705,Sheet2!$J$5:$K$7,2,FALSE)*VLOOKUP(Sheet1!$A2705,Sheet2!$B$5:$H$29,7,FALSE),0)</x:f>
        <x:v>0</x:v>
      </x:c>
      <x:c r="I2705">
        <x:f t="shared" si="45"/>
        <x:v>190</x:v>
      </x:c>
    </x:row>
    <x:row r="2706" spans="1:9" x14ac:dyDescent="0.15">
      <x:c r="A2706">
        <x:v>54151</x:v>
      </x:c>
      <x:c r="B2706">
        <x:v>1</x:v>
      </x:c>
      <x:c r="C2706">
        <x:v>5</x:v>
      </x:c>
      <x:c r="D2706">
        <x:f>ROUND($C2706*10*VLOOKUP($B2706,Sheet2!$J$5:$K$7,2,FALSE)*VLOOKUP(Sheet1!$A2706,Sheet2!$B$5:$H$29,3,FALSE),0)</x:f>
        <x:v>10</x:v>
      </x:c>
      <x:c r="E2706">
        <x:f>ROUND($C2706*10*VLOOKUP($B2706,Sheet2!$J$5:$K$7,2,FALSE)*VLOOKUP(Sheet1!$A2706,Sheet2!$B$5:$H$29,4,FALSE),0)</x:f>
        <x:v>0</x:v>
      </x:c>
      <x:c r="F2706">
        <x:f>ROUND($C2706*10*VLOOKUP($B2706,Sheet2!$J$5:$K$7,2,FALSE)*VLOOKUP(Sheet1!$A2706,Sheet2!$B$5:$H$29,5,FALSE),0)</x:f>
        <x:v>0</x:v>
      </x:c>
      <x:c r="G2706">
        <x:f>ROUND($C2706*10*VLOOKUP($B2706,Sheet2!$J$5:$K$7,2,FALSE)*VLOOKUP(Sheet1!$A2706,Sheet2!$B$5:$H$29,6,FALSE),0)</x:f>
        <x:v>24</x:v>
      </x:c>
      <x:c r="H2706">
        <x:f>ROUND($C2706*10*VLOOKUP($B2706,Sheet2!$J$5:$K$7,2,FALSE)*VLOOKUP(Sheet1!$A2706,Sheet2!$B$5:$H$29,7,FALSE),0)</x:f>
        <x:v>0</x:v>
      </x:c>
      <x:c r="I2706">
        <x:f t="shared" si="45"/>
        <x:v>290</x:v>
      </x:c>
    </x:row>
    <x:row r="2707" spans="1:9" x14ac:dyDescent="0.15">
      <x:c r="A2707">
        <x:v>54151</x:v>
      </x:c>
      <x:c r="B2707">
        <x:v>1</x:v>
      </x:c>
      <x:c r="C2707">
        <x:v>6</x:v>
      </x:c>
      <x:c r="D2707">
        <x:f>ROUND($C2707*10*VLOOKUP($B2707,Sheet2!$J$5:$K$7,2,FALSE)*VLOOKUP(Sheet1!$A2707,Sheet2!$B$5:$H$29,3,FALSE),0)</x:f>
        <x:v>12</x:v>
      </x:c>
      <x:c r="E2707">
        <x:f>ROUND($C2707*10*VLOOKUP($B2707,Sheet2!$J$5:$K$7,2,FALSE)*VLOOKUP(Sheet1!$A2707,Sheet2!$B$5:$H$29,4,FALSE),0)</x:f>
        <x:v>0</x:v>
      </x:c>
      <x:c r="F2707">
        <x:f>ROUND($C2707*10*VLOOKUP($B2707,Sheet2!$J$5:$K$7,2,FALSE)*VLOOKUP(Sheet1!$A2707,Sheet2!$B$5:$H$29,5,FALSE),0)</x:f>
        <x:v>0</x:v>
      </x:c>
      <x:c r="G2707">
        <x:f>ROUND($C2707*10*VLOOKUP($B2707,Sheet2!$J$5:$K$7,2,FALSE)*VLOOKUP(Sheet1!$A2707,Sheet2!$B$5:$H$29,6,FALSE),0)</x:f>
        <x:v>29</x:v>
      </x:c>
      <x:c r="H2707">
        <x:f>ROUND($C2707*10*VLOOKUP($B2707,Sheet2!$J$5:$K$7,2,FALSE)*VLOOKUP(Sheet1!$A2707,Sheet2!$B$5:$H$29,7,FALSE),0)</x:f>
        <x:v>0</x:v>
      </x:c>
      <x:c r="I2707">
        <x:f t="shared" si="45"/>
        <x:v>420</x:v>
      </x:c>
    </x:row>
    <x:row r="2708" spans="1:9" x14ac:dyDescent="0.15">
      <x:c r="A2708">
        <x:v>54151</x:v>
      </x:c>
      <x:c r="B2708">
        <x:v>1</x:v>
      </x:c>
      <x:c r="C2708">
        <x:v>7</x:v>
      </x:c>
      <x:c r="D2708">
        <x:f>ROUND($C2708*10*VLOOKUP($B2708,Sheet2!$J$5:$K$7,2,FALSE)*VLOOKUP(Sheet1!$A2708,Sheet2!$B$5:$H$29,3,FALSE),0)</x:f>
        <x:v>14</x:v>
      </x:c>
      <x:c r="E2708">
        <x:f>ROUND($C2708*10*VLOOKUP($B2708,Sheet2!$J$5:$K$7,2,FALSE)*VLOOKUP(Sheet1!$A2708,Sheet2!$B$5:$H$29,4,FALSE),0)</x:f>
        <x:v>0</x:v>
      </x:c>
      <x:c r="F2708">
        <x:f>ROUND($C2708*10*VLOOKUP($B2708,Sheet2!$J$5:$K$7,2,FALSE)*VLOOKUP(Sheet1!$A2708,Sheet2!$B$5:$H$29,5,FALSE),0)</x:f>
        <x:v>0</x:v>
      </x:c>
      <x:c r="G2708">
        <x:f>ROUND($C2708*10*VLOOKUP($B2708,Sheet2!$J$5:$K$7,2,FALSE)*VLOOKUP(Sheet1!$A2708,Sheet2!$B$5:$H$29,6,FALSE),0)</x:f>
        <x:v>34</x:v>
      </x:c>
      <x:c r="H2708">
        <x:f>ROUND($C2708*10*VLOOKUP($B2708,Sheet2!$J$5:$K$7,2,FALSE)*VLOOKUP(Sheet1!$A2708,Sheet2!$B$5:$H$29,7,FALSE),0)</x:f>
        <x:v>0</x:v>
      </x:c>
      <x:c r="I2708">
        <x:f t="shared" si="45"/>
        <x:v>570</x:v>
      </x:c>
    </x:row>
    <x:row r="2709" spans="1:9" x14ac:dyDescent="0.15">
      <x:c r="A2709">
        <x:v>54151</x:v>
      </x:c>
      <x:c r="B2709">
        <x:v>1</x:v>
      </x:c>
      <x:c r="C2709">
        <x:v>8</x:v>
      </x:c>
      <x:c r="D2709">
        <x:f>ROUND($C2709*10*VLOOKUP($B2709,Sheet2!$J$5:$K$7,2,FALSE)*VLOOKUP(Sheet1!$A2709,Sheet2!$B$5:$H$29,3,FALSE),0)</x:f>
        <x:v>16</x:v>
      </x:c>
      <x:c r="E2709">
        <x:f>ROUND($C2709*10*VLOOKUP($B2709,Sheet2!$J$5:$K$7,2,FALSE)*VLOOKUP(Sheet1!$A2709,Sheet2!$B$5:$H$29,4,FALSE),0)</x:f>
        <x:v>0</x:v>
      </x:c>
      <x:c r="F2709">
        <x:f>ROUND($C2709*10*VLOOKUP($B2709,Sheet2!$J$5:$K$7,2,FALSE)*VLOOKUP(Sheet1!$A2709,Sheet2!$B$5:$H$29,5,FALSE),0)</x:f>
        <x:v>0</x:v>
      </x:c>
      <x:c r="G2709">
        <x:f>ROUND($C2709*10*VLOOKUP($B2709,Sheet2!$J$5:$K$7,2,FALSE)*VLOOKUP(Sheet1!$A2709,Sheet2!$B$5:$H$29,6,FALSE),0)</x:f>
        <x:v>38</x:v>
      </x:c>
      <x:c r="H2709">
        <x:f>ROUND($C2709*10*VLOOKUP($B2709,Sheet2!$J$5:$K$7,2,FALSE)*VLOOKUP(Sheet1!$A2709,Sheet2!$B$5:$H$29,7,FALSE),0)</x:f>
        <x:v>0</x:v>
      </x:c>
      <x:c r="I2709">
        <x:f t="shared" si="45"/>
        <x:v>750</x:v>
      </x:c>
    </x:row>
    <x:row r="2710" spans="1:9" x14ac:dyDescent="0.15">
      <x:c r="A2710">
        <x:v>54151</x:v>
      </x:c>
      <x:c r="B2710">
        <x:v>1</x:v>
      </x:c>
      <x:c r="C2710">
        <x:v>9</x:v>
      </x:c>
      <x:c r="D2710">
        <x:f>ROUND($C2710*10*VLOOKUP($B2710,Sheet2!$J$5:$K$7,2,FALSE)*VLOOKUP(Sheet1!$A2710,Sheet2!$B$5:$H$29,3,FALSE),0)</x:f>
        <x:v>18</x:v>
      </x:c>
      <x:c r="E2710">
        <x:f>ROUND($C2710*10*VLOOKUP($B2710,Sheet2!$J$5:$K$7,2,FALSE)*VLOOKUP(Sheet1!$A2710,Sheet2!$B$5:$H$29,4,FALSE),0)</x:f>
        <x:v>0</x:v>
      </x:c>
      <x:c r="F2710">
        <x:f>ROUND($C2710*10*VLOOKUP($B2710,Sheet2!$J$5:$K$7,2,FALSE)*VLOOKUP(Sheet1!$A2710,Sheet2!$B$5:$H$29,5,FALSE),0)</x:f>
        <x:v>0</x:v>
      </x:c>
      <x:c r="G2710">
        <x:f>ROUND($C2710*10*VLOOKUP($B2710,Sheet2!$J$5:$K$7,2,FALSE)*VLOOKUP(Sheet1!$A2710,Sheet2!$B$5:$H$29,6,FALSE),0)</x:f>
        <x:v>43</x:v>
      </x:c>
      <x:c r="H2710">
        <x:f>ROUND($C2710*10*VLOOKUP($B2710,Sheet2!$J$5:$K$7,2,FALSE)*VLOOKUP(Sheet1!$A2710,Sheet2!$B$5:$H$29,7,FALSE),0)</x:f>
        <x:v>0</x:v>
      </x:c>
      <x:c r="I2710">
        <x:f t="shared" si="45"/>
        <x:v>940</x:v>
      </x:c>
    </x:row>
    <x:row r="2711" spans="1:9" x14ac:dyDescent="0.15">
      <x:c r="A2711">
        <x:v>54151</x:v>
      </x:c>
      <x:c r="B2711">
        <x:v>1</x:v>
      </x:c>
      <x:c r="C2711">
        <x:v>10</x:v>
      </x:c>
      <x:c r="D2711">
        <x:f>ROUND($C2711*10*VLOOKUP($B2711,Sheet2!$J$5:$K$7,2,FALSE)*VLOOKUP(Sheet1!$A2711,Sheet2!$B$5:$H$29,3,FALSE),0)</x:f>
        <x:v>20</x:v>
      </x:c>
      <x:c r="E2711">
        <x:f>ROUND($C2711*10*VLOOKUP($B2711,Sheet2!$J$5:$K$7,2,FALSE)*VLOOKUP(Sheet1!$A2711,Sheet2!$B$5:$H$29,4,FALSE),0)</x:f>
        <x:v>0</x:v>
      </x:c>
      <x:c r="F2711">
        <x:f>ROUND($C2711*10*VLOOKUP($B2711,Sheet2!$J$5:$K$7,2,FALSE)*VLOOKUP(Sheet1!$A2711,Sheet2!$B$5:$H$29,5,FALSE),0)</x:f>
        <x:v>0</x:v>
      </x:c>
      <x:c r="G2711">
        <x:f>ROUND($C2711*10*VLOOKUP($B2711,Sheet2!$J$5:$K$7,2,FALSE)*VLOOKUP(Sheet1!$A2711,Sheet2!$B$5:$H$29,6,FALSE),0)</x:f>
        <x:v>48</x:v>
      </x:c>
      <x:c r="H2711">
        <x:f>ROUND($C2711*10*VLOOKUP($B2711,Sheet2!$J$5:$K$7,2,FALSE)*VLOOKUP(Sheet1!$A2711,Sheet2!$B$5:$H$29,7,FALSE),0)</x:f>
        <x:v>0</x:v>
      </x:c>
      <x:c r="I2711">
        <x:f t="shared" si="45"/>
        <x:v>1160</x:v>
      </x:c>
    </x:row>
    <x:row r="2712" spans="1:9" x14ac:dyDescent="0.15">
      <x:c r="A2712">
        <x:v>54151</x:v>
      </x:c>
      <x:c r="B2712">
        <x:v>1</x:v>
      </x:c>
      <x:c r="C2712">
        <x:v>11</x:v>
      </x:c>
      <x:c r="D2712">
        <x:f>ROUND($C2712*10*VLOOKUP($B2712,Sheet2!$J$5:$K$7,2,FALSE)*VLOOKUP(Sheet1!$A2712,Sheet2!$B$5:$H$29,3,FALSE),0)</x:f>
        <x:v>22</x:v>
      </x:c>
      <x:c r="E2712">
        <x:f>ROUND($C2712*10*VLOOKUP($B2712,Sheet2!$J$5:$K$7,2,FALSE)*VLOOKUP(Sheet1!$A2712,Sheet2!$B$5:$H$29,4,FALSE),0)</x:f>
        <x:v>0</x:v>
      </x:c>
      <x:c r="F2712">
        <x:f>ROUND($C2712*10*VLOOKUP($B2712,Sheet2!$J$5:$K$7,2,FALSE)*VLOOKUP(Sheet1!$A2712,Sheet2!$B$5:$H$29,5,FALSE),0)</x:f>
        <x:v>0</x:v>
      </x:c>
      <x:c r="G2712">
        <x:f>ROUND($C2712*10*VLOOKUP($B2712,Sheet2!$J$5:$K$7,2,FALSE)*VLOOKUP(Sheet1!$A2712,Sheet2!$B$5:$H$29,6,FALSE),0)</x:f>
        <x:v>53</x:v>
      </x:c>
      <x:c r="H2712">
        <x:f>ROUND($C2712*10*VLOOKUP($B2712,Sheet2!$J$5:$K$7,2,FALSE)*VLOOKUP(Sheet1!$A2712,Sheet2!$B$5:$H$29,7,FALSE),0)</x:f>
        <x:v>0</x:v>
      </x:c>
      <x:c r="I2712">
        <x:f t="shared" si="45"/>
        <x:v>1390</x:v>
      </x:c>
    </x:row>
    <x:row r="2713" spans="1:9" x14ac:dyDescent="0.15">
      <x:c r="A2713">
        <x:v>54151</x:v>
      </x:c>
      <x:c r="B2713">
        <x:v>1</x:v>
      </x:c>
      <x:c r="C2713">
        <x:v>12</x:v>
      </x:c>
      <x:c r="D2713">
        <x:f>ROUND($C2713*10*VLOOKUP($B2713,Sheet2!$J$5:$K$7,2,FALSE)*VLOOKUP(Sheet1!$A2713,Sheet2!$B$5:$H$29,3,FALSE),0)</x:f>
        <x:v>24</x:v>
      </x:c>
      <x:c r="E2713">
        <x:f>ROUND($C2713*10*VLOOKUP($B2713,Sheet2!$J$5:$K$7,2,FALSE)*VLOOKUP(Sheet1!$A2713,Sheet2!$B$5:$H$29,4,FALSE),0)</x:f>
        <x:v>0</x:v>
      </x:c>
      <x:c r="F2713">
        <x:f>ROUND($C2713*10*VLOOKUP($B2713,Sheet2!$J$5:$K$7,2,FALSE)*VLOOKUP(Sheet1!$A2713,Sheet2!$B$5:$H$29,5,FALSE),0)</x:f>
        <x:v>0</x:v>
      </x:c>
      <x:c r="G2713">
        <x:f>ROUND($C2713*10*VLOOKUP($B2713,Sheet2!$J$5:$K$7,2,FALSE)*VLOOKUP(Sheet1!$A2713,Sheet2!$B$5:$H$29,6,FALSE),0)</x:f>
        <x:v>58</x:v>
      </x:c>
      <x:c r="H2713">
        <x:f>ROUND($C2713*10*VLOOKUP($B2713,Sheet2!$J$5:$K$7,2,FALSE)*VLOOKUP(Sheet1!$A2713,Sheet2!$B$5:$H$29,7,FALSE),0)</x:f>
        <x:v>0</x:v>
      </x:c>
      <x:c r="I2713">
        <x:f t="shared" si="45"/>
        <x:v>1650</x:v>
      </x:c>
    </x:row>
    <x:row r="2714" spans="1:9" x14ac:dyDescent="0.15">
      <x:c r="A2714">
        <x:v>54151</x:v>
      </x:c>
      <x:c r="B2714">
        <x:v>1</x:v>
      </x:c>
      <x:c r="C2714">
        <x:v>13</x:v>
      </x:c>
      <x:c r="D2714">
        <x:f>ROUND($C2714*10*VLOOKUP($B2714,Sheet2!$J$5:$K$7,2,FALSE)*VLOOKUP(Sheet1!$A2714,Sheet2!$B$5:$H$29,3,FALSE),0)</x:f>
        <x:v>26</x:v>
      </x:c>
      <x:c r="E2714">
        <x:f>ROUND($C2714*10*VLOOKUP($B2714,Sheet2!$J$5:$K$7,2,FALSE)*VLOOKUP(Sheet1!$A2714,Sheet2!$B$5:$H$29,4,FALSE),0)</x:f>
        <x:v>0</x:v>
      </x:c>
      <x:c r="F2714">
        <x:f>ROUND($C2714*10*VLOOKUP($B2714,Sheet2!$J$5:$K$7,2,FALSE)*VLOOKUP(Sheet1!$A2714,Sheet2!$B$5:$H$29,5,FALSE),0)</x:f>
        <x:v>0</x:v>
      </x:c>
      <x:c r="G2714">
        <x:f>ROUND($C2714*10*VLOOKUP($B2714,Sheet2!$J$5:$K$7,2,FALSE)*VLOOKUP(Sheet1!$A2714,Sheet2!$B$5:$H$29,6,FALSE),0)</x:f>
        <x:v>62</x:v>
      </x:c>
      <x:c r="H2714">
        <x:f>ROUND($C2714*10*VLOOKUP($B2714,Sheet2!$J$5:$K$7,2,FALSE)*VLOOKUP(Sheet1!$A2714,Sheet2!$B$5:$H$29,7,FALSE),0)</x:f>
        <x:v>0</x:v>
      </x:c>
      <x:c r="I2714">
        <x:f t="shared" si="45"/>
        <x:v>1920</x:v>
      </x:c>
    </x:row>
    <x:row r="2715" spans="1:9" x14ac:dyDescent="0.15">
      <x:c r="A2715">
        <x:v>54151</x:v>
      </x:c>
      <x:c r="B2715">
        <x:v>1</x:v>
      </x:c>
      <x:c r="C2715">
        <x:v>14</x:v>
      </x:c>
      <x:c r="D2715">
        <x:f>ROUND($C2715*10*VLOOKUP($B2715,Sheet2!$J$5:$K$7,2,FALSE)*VLOOKUP(Sheet1!$A2715,Sheet2!$B$5:$H$29,3,FALSE),0)</x:f>
        <x:v>28</x:v>
      </x:c>
      <x:c r="E2715">
        <x:f>ROUND($C2715*10*VLOOKUP($B2715,Sheet2!$J$5:$K$7,2,FALSE)*VLOOKUP(Sheet1!$A2715,Sheet2!$B$5:$H$29,4,FALSE),0)</x:f>
        <x:v>0</x:v>
      </x:c>
      <x:c r="F2715">
        <x:f>ROUND($C2715*10*VLOOKUP($B2715,Sheet2!$J$5:$K$7,2,FALSE)*VLOOKUP(Sheet1!$A2715,Sheet2!$B$5:$H$29,5,FALSE),0)</x:f>
        <x:v>0</x:v>
      </x:c>
      <x:c r="G2715">
        <x:f>ROUND($C2715*10*VLOOKUP($B2715,Sheet2!$J$5:$K$7,2,FALSE)*VLOOKUP(Sheet1!$A2715,Sheet2!$B$5:$H$29,6,FALSE),0)</x:f>
        <x:v>67</x:v>
      </x:c>
      <x:c r="H2715">
        <x:f>ROUND($C2715*10*VLOOKUP($B2715,Sheet2!$J$5:$K$7,2,FALSE)*VLOOKUP(Sheet1!$A2715,Sheet2!$B$5:$H$29,7,FALSE),0)</x:f>
        <x:v>0</x:v>
      </x:c>
      <x:c r="I2715">
        <x:f t="shared" si="45"/>
        <x:v>2220</x:v>
      </x:c>
    </x:row>
    <x:row r="2716" spans="1:9" x14ac:dyDescent="0.15">
      <x:c r="A2716">
        <x:v>54151</x:v>
      </x:c>
      <x:c r="B2716">
        <x:v>1</x:v>
      </x:c>
      <x:c r="C2716">
        <x:v>15</x:v>
      </x:c>
      <x:c r="D2716">
        <x:f>ROUND($C2716*10*VLOOKUP($B2716,Sheet2!$J$5:$K$7,2,FALSE)*VLOOKUP(Sheet1!$A2716,Sheet2!$B$5:$H$29,3,FALSE),0)</x:f>
        <x:v>30</x:v>
      </x:c>
      <x:c r="E2716">
        <x:f>ROUND($C2716*10*VLOOKUP($B2716,Sheet2!$J$5:$K$7,2,FALSE)*VLOOKUP(Sheet1!$A2716,Sheet2!$B$5:$H$29,4,FALSE),0)</x:f>
        <x:v>0</x:v>
      </x:c>
      <x:c r="F2716">
        <x:f>ROUND($C2716*10*VLOOKUP($B2716,Sheet2!$J$5:$K$7,2,FALSE)*VLOOKUP(Sheet1!$A2716,Sheet2!$B$5:$H$29,5,FALSE),0)</x:f>
        <x:v>0</x:v>
      </x:c>
      <x:c r="G2716">
        <x:f>ROUND($C2716*10*VLOOKUP($B2716,Sheet2!$J$5:$K$7,2,FALSE)*VLOOKUP(Sheet1!$A2716,Sheet2!$B$5:$H$29,6,FALSE),0)</x:f>
        <x:v>72</x:v>
      </x:c>
      <x:c r="H2716">
        <x:f>ROUND($C2716*10*VLOOKUP($B2716,Sheet2!$J$5:$K$7,2,FALSE)*VLOOKUP(Sheet1!$A2716,Sheet2!$B$5:$H$29,7,FALSE),0)</x:f>
        <x:v>0</x:v>
      </x:c>
      <x:c r="I2716">
        <x:f t="shared" si="45"/>
        <x:v>2530</x:v>
      </x:c>
    </x:row>
    <x:row r="2717" spans="1:9" x14ac:dyDescent="0.15">
      <x:c r="A2717">
        <x:v>54151</x:v>
      </x:c>
      <x:c r="B2717">
        <x:v>1</x:v>
      </x:c>
      <x:c r="C2717">
        <x:v>16</x:v>
      </x:c>
      <x:c r="D2717">
        <x:f>ROUND($C2717*10*VLOOKUP($B2717,Sheet2!$J$5:$K$7,2,FALSE)*VLOOKUP(Sheet1!$A2717,Sheet2!$B$5:$H$29,3,FALSE),0)</x:f>
        <x:v>32</x:v>
      </x:c>
      <x:c r="E2717">
        <x:f>ROUND($C2717*10*VLOOKUP($B2717,Sheet2!$J$5:$K$7,2,FALSE)*VLOOKUP(Sheet1!$A2717,Sheet2!$B$5:$H$29,4,FALSE),0)</x:f>
        <x:v>0</x:v>
      </x:c>
      <x:c r="F2717">
        <x:f>ROUND($C2717*10*VLOOKUP($B2717,Sheet2!$J$5:$K$7,2,FALSE)*VLOOKUP(Sheet1!$A2717,Sheet2!$B$5:$H$29,5,FALSE),0)</x:f>
        <x:v>0</x:v>
      </x:c>
      <x:c r="G2717">
        <x:f>ROUND($C2717*10*VLOOKUP($B2717,Sheet2!$J$5:$K$7,2,FALSE)*VLOOKUP(Sheet1!$A2717,Sheet2!$B$5:$H$29,6,FALSE),0)</x:f>
        <x:v>77</x:v>
      </x:c>
      <x:c r="H2717">
        <x:f>ROUND($C2717*10*VLOOKUP($B2717,Sheet2!$J$5:$K$7,2,FALSE)*VLOOKUP(Sheet1!$A2717,Sheet2!$B$5:$H$29,7,FALSE),0)</x:f>
        <x:v>0</x:v>
      </x:c>
      <x:c r="I2717">
        <x:f t="shared" si="45"/>
        <x:v>2860</x:v>
      </x:c>
    </x:row>
    <x:row r="2718" spans="1:9" x14ac:dyDescent="0.15">
      <x:c r="A2718">
        <x:v>54151</x:v>
      </x:c>
      <x:c r="B2718">
        <x:v>1</x:v>
      </x:c>
      <x:c r="C2718">
        <x:v>17</x:v>
      </x:c>
      <x:c r="D2718">
        <x:f>ROUND($C2718*10*VLOOKUP($B2718,Sheet2!$J$5:$K$7,2,FALSE)*VLOOKUP(Sheet1!$A2718,Sheet2!$B$5:$H$29,3,FALSE),0)</x:f>
        <x:v>34</x:v>
      </x:c>
      <x:c r="E2718">
        <x:f>ROUND($C2718*10*VLOOKUP($B2718,Sheet2!$J$5:$K$7,2,FALSE)*VLOOKUP(Sheet1!$A2718,Sheet2!$B$5:$H$29,4,FALSE),0)</x:f>
        <x:v>0</x:v>
      </x:c>
      <x:c r="F2718">
        <x:f>ROUND($C2718*10*VLOOKUP($B2718,Sheet2!$J$5:$K$7,2,FALSE)*VLOOKUP(Sheet1!$A2718,Sheet2!$B$5:$H$29,5,FALSE),0)</x:f>
        <x:v>0</x:v>
      </x:c>
      <x:c r="G2718">
        <x:f>ROUND($C2718*10*VLOOKUP($B2718,Sheet2!$J$5:$K$7,2,FALSE)*VLOOKUP(Sheet1!$A2718,Sheet2!$B$5:$H$29,6,FALSE),0)</x:f>
        <x:v>82</x:v>
      </x:c>
      <x:c r="H2718">
        <x:f>ROUND($C2718*10*VLOOKUP($B2718,Sheet2!$J$5:$K$7,2,FALSE)*VLOOKUP(Sheet1!$A2718,Sheet2!$B$5:$H$29,7,FALSE),0)</x:f>
        <x:v>0</x:v>
      </x:c>
      <x:c r="I2718">
        <x:f t="shared" si="45"/>
        <x:v>3210</x:v>
      </x:c>
    </x:row>
    <x:row r="2719" spans="1:9" x14ac:dyDescent="0.15">
      <x:c r="A2719">
        <x:v>54151</x:v>
      </x:c>
      <x:c r="B2719">
        <x:v>1</x:v>
      </x:c>
      <x:c r="C2719">
        <x:v>18</x:v>
      </x:c>
      <x:c r="D2719">
        <x:f>ROUND($C2719*10*VLOOKUP($B2719,Sheet2!$J$5:$K$7,2,FALSE)*VLOOKUP(Sheet1!$A2719,Sheet2!$B$5:$H$29,3,FALSE),0)</x:f>
        <x:v>36</x:v>
      </x:c>
      <x:c r="E2719">
        <x:f>ROUND($C2719*10*VLOOKUP($B2719,Sheet2!$J$5:$K$7,2,FALSE)*VLOOKUP(Sheet1!$A2719,Sheet2!$B$5:$H$29,4,FALSE),0)</x:f>
        <x:v>0</x:v>
      </x:c>
      <x:c r="F2719">
        <x:f>ROUND($C2719*10*VLOOKUP($B2719,Sheet2!$J$5:$K$7,2,FALSE)*VLOOKUP(Sheet1!$A2719,Sheet2!$B$5:$H$29,5,FALSE),0)</x:f>
        <x:v>0</x:v>
      </x:c>
      <x:c r="G2719">
        <x:f>ROUND($C2719*10*VLOOKUP($B2719,Sheet2!$J$5:$K$7,2,FALSE)*VLOOKUP(Sheet1!$A2719,Sheet2!$B$5:$H$29,6,FALSE),0)</x:f>
        <x:v>86</x:v>
      </x:c>
      <x:c r="H2719">
        <x:f>ROUND($C2719*10*VLOOKUP($B2719,Sheet2!$J$5:$K$7,2,FALSE)*VLOOKUP(Sheet1!$A2719,Sheet2!$B$5:$H$29,7,FALSE),0)</x:f>
        <x:v>0</x:v>
      </x:c>
      <x:c r="I2719">
        <x:f t="shared" si="45"/>
        <x:v>3570</x:v>
      </x:c>
    </x:row>
    <x:row r="2720" spans="1:9" x14ac:dyDescent="0.15">
      <x:c r="A2720">
        <x:v>54151</x:v>
      </x:c>
      <x:c r="B2720">
        <x:v>1</x:v>
      </x:c>
      <x:c r="C2720">
        <x:v>19</x:v>
      </x:c>
      <x:c r="D2720">
        <x:f>ROUND($C2720*10*VLOOKUP($B2720,Sheet2!$J$5:$K$7,2,FALSE)*VLOOKUP(Sheet1!$A2720,Sheet2!$B$5:$H$29,3,FALSE),0)</x:f>
        <x:v>38</x:v>
      </x:c>
      <x:c r="E2720">
        <x:f>ROUND($C2720*10*VLOOKUP($B2720,Sheet2!$J$5:$K$7,2,FALSE)*VLOOKUP(Sheet1!$A2720,Sheet2!$B$5:$H$29,4,FALSE),0)</x:f>
        <x:v>0</x:v>
      </x:c>
      <x:c r="F2720">
        <x:f>ROUND($C2720*10*VLOOKUP($B2720,Sheet2!$J$5:$K$7,2,FALSE)*VLOOKUP(Sheet1!$A2720,Sheet2!$B$5:$H$29,5,FALSE),0)</x:f>
        <x:v>0</x:v>
      </x:c>
      <x:c r="G2720">
        <x:f>ROUND($C2720*10*VLOOKUP($B2720,Sheet2!$J$5:$K$7,2,FALSE)*VLOOKUP(Sheet1!$A2720,Sheet2!$B$5:$H$29,6,FALSE),0)</x:f>
        <x:v>91</x:v>
      </x:c>
      <x:c r="H2720">
        <x:f>ROUND($C2720*10*VLOOKUP($B2720,Sheet2!$J$5:$K$7,2,FALSE)*VLOOKUP(Sheet1!$A2720,Sheet2!$B$5:$H$29,7,FALSE),0)</x:f>
        <x:v>0</x:v>
      </x:c>
      <x:c r="I2720">
        <x:f t="shared" si="45"/>
        <x:v>3960</x:v>
      </x:c>
    </x:row>
    <x:row r="2721" spans="1:9" x14ac:dyDescent="0.15">
      <x:c r="A2721">
        <x:v>54151</x:v>
      </x:c>
      <x:c r="B2721">
        <x:v>1</x:v>
      </x:c>
      <x:c r="C2721">
        <x:v>20</x:v>
      </x:c>
      <x:c r="D2721">
        <x:f>ROUND($C2721*10*VLOOKUP($B2721,Sheet2!$J$5:$K$7,2,FALSE)*VLOOKUP(Sheet1!$A2721,Sheet2!$B$5:$H$29,3,FALSE),0)</x:f>
        <x:v>40</x:v>
      </x:c>
      <x:c r="E2721">
        <x:f>ROUND($C2721*10*VLOOKUP($B2721,Sheet2!$J$5:$K$7,2,FALSE)*VLOOKUP(Sheet1!$A2721,Sheet2!$B$5:$H$29,4,FALSE),0)</x:f>
        <x:v>0</x:v>
      </x:c>
      <x:c r="F2721">
        <x:f>ROUND($C2721*10*VLOOKUP($B2721,Sheet2!$J$5:$K$7,2,FALSE)*VLOOKUP(Sheet1!$A2721,Sheet2!$B$5:$H$29,5,FALSE),0)</x:f>
        <x:v>0</x:v>
      </x:c>
      <x:c r="G2721">
        <x:f>ROUND($C2721*10*VLOOKUP($B2721,Sheet2!$J$5:$K$7,2,FALSE)*VLOOKUP(Sheet1!$A2721,Sheet2!$B$5:$H$29,6,FALSE),0)</x:f>
        <x:v>96</x:v>
      </x:c>
      <x:c r="H2721">
        <x:f>ROUND($C2721*10*VLOOKUP($B2721,Sheet2!$J$5:$K$7,2,FALSE)*VLOOKUP(Sheet1!$A2721,Sheet2!$B$5:$H$29,7,FALSE),0)</x:f>
        <x:v>0</x:v>
      </x:c>
      <x:c r="I2721">
        <x:f t="shared" si="45"/>
        <x:v>4360</x:v>
      </x:c>
    </x:row>
    <x:row r="2722" spans="1:9" x14ac:dyDescent="0.15">
      <x:c r="A2722">
        <x:v>54151</x:v>
      </x:c>
      <x:c r="B2722">
        <x:v>1</x:v>
      </x:c>
      <x:c r="C2722">
        <x:v>21</x:v>
      </x:c>
      <x:c r="D2722">
        <x:f>ROUND($C2722*10*VLOOKUP($B2722,Sheet2!$J$5:$K$7,2,FALSE)*VLOOKUP(Sheet1!$A2722,Sheet2!$B$5:$H$29,3,FALSE),0)</x:f>
        <x:v>42</x:v>
      </x:c>
      <x:c r="E2722">
        <x:f>ROUND($C2722*10*VLOOKUP($B2722,Sheet2!$J$5:$K$7,2,FALSE)*VLOOKUP(Sheet1!$A2722,Sheet2!$B$5:$H$29,4,FALSE),0)</x:f>
        <x:v>0</x:v>
      </x:c>
      <x:c r="F2722">
        <x:f>ROUND($C2722*10*VLOOKUP($B2722,Sheet2!$J$5:$K$7,2,FALSE)*VLOOKUP(Sheet1!$A2722,Sheet2!$B$5:$H$29,5,FALSE),0)</x:f>
        <x:v>0</x:v>
      </x:c>
      <x:c r="G2722">
        <x:f>ROUND($C2722*10*VLOOKUP($B2722,Sheet2!$J$5:$K$7,2,FALSE)*VLOOKUP(Sheet1!$A2722,Sheet2!$B$5:$H$29,6,FALSE),0)</x:f>
        <x:v>101</x:v>
      </x:c>
      <x:c r="H2722">
        <x:f>ROUND($C2722*10*VLOOKUP($B2722,Sheet2!$J$5:$K$7,2,FALSE)*VLOOKUP(Sheet1!$A2722,Sheet2!$B$5:$H$29,7,FALSE),0)</x:f>
        <x:v>0</x:v>
      </x:c>
      <x:c r="I2722">
        <x:f t="shared" si="45"/>
        <x:v>4780</x:v>
      </x:c>
    </x:row>
    <x:row r="2723" spans="1:9" x14ac:dyDescent="0.15">
      <x:c r="A2723">
        <x:v>54151</x:v>
      </x:c>
      <x:c r="B2723">
        <x:v>1</x:v>
      </x:c>
      <x:c r="C2723">
        <x:v>22</x:v>
      </x:c>
      <x:c r="D2723">
        <x:f>ROUND($C2723*10*VLOOKUP($B2723,Sheet2!$J$5:$K$7,2,FALSE)*VLOOKUP(Sheet1!$A2723,Sheet2!$B$5:$H$29,3,FALSE),0)</x:f>
        <x:v>44</x:v>
      </x:c>
      <x:c r="E2723">
        <x:f>ROUND($C2723*10*VLOOKUP($B2723,Sheet2!$J$5:$K$7,2,FALSE)*VLOOKUP(Sheet1!$A2723,Sheet2!$B$5:$H$29,4,FALSE),0)</x:f>
        <x:v>0</x:v>
      </x:c>
      <x:c r="F2723">
        <x:f>ROUND($C2723*10*VLOOKUP($B2723,Sheet2!$J$5:$K$7,2,FALSE)*VLOOKUP(Sheet1!$A2723,Sheet2!$B$5:$H$29,5,FALSE),0)</x:f>
        <x:v>0</x:v>
      </x:c>
      <x:c r="G2723">
        <x:f>ROUND($C2723*10*VLOOKUP($B2723,Sheet2!$J$5:$K$7,2,FALSE)*VLOOKUP(Sheet1!$A2723,Sheet2!$B$5:$H$29,6,FALSE),0)</x:f>
        <x:v>106</x:v>
      </x:c>
      <x:c r="H2723">
        <x:f>ROUND($C2723*10*VLOOKUP($B2723,Sheet2!$J$5:$K$7,2,FALSE)*VLOOKUP(Sheet1!$A2723,Sheet2!$B$5:$H$29,7,FALSE),0)</x:f>
        <x:v>0</x:v>
      </x:c>
      <x:c r="I2723">
        <x:f t="shared" si="45"/>
        <x:v>5210</x:v>
      </x:c>
    </x:row>
    <x:row r="2724" spans="1:9" x14ac:dyDescent="0.15">
      <x:c r="A2724">
        <x:v>54151</x:v>
      </x:c>
      <x:c r="B2724">
        <x:v>1</x:v>
      </x:c>
      <x:c r="C2724">
        <x:v>23</x:v>
      </x:c>
      <x:c r="D2724">
        <x:f>ROUND($C2724*10*VLOOKUP($B2724,Sheet2!$J$5:$K$7,2,FALSE)*VLOOKUP(Sheet1!$A2724,Sheet2!$B$5:$H$29,3,FALSE),0)</x:f>
        <x:v>46</x:v>
      </x:c>
      <x:c r="E2724">
        <x:f>ROUND($C2724*10*VLOOKUP($B2724,Sheet2!$J$5:$K$7,2,FALSE)*VLOOKUP(Sheet1!$A2724,Sheet2!$B$5:$H$29,4,FALSE),0)</x:f>
        <x:v>0</x:v>
      </x:c>
      <x:c r="F2724">
        <x:f>ROUND($C2724*10*VLOOKUP($B2724,Sheet2!$J$5:$K$7,2,FALSE)*VLOOKUP(Sheet1!$A2724,Sheet2!$B$5:$H$29,5,FALSE),0)</x:f>
        <x:v>0</x:v>
      </x:c>
      <x:c r="G2724">
        <x:f>ROUND($C2724*10*VLOOKUP($B2724,Sheet2!$J$5:$K$7,2,FALSE)*VLOOKUP(Sheet1!$A2724,Sheet2!$B$5:$H$29,6,FALSE),0)</x:f>
        <x:v>110</x:v>
      </x:c>
      <x:c r="H2724">
        <x:f>ROUND($C2724*10*VLOOKUP($B2724,Sheet2!$J$5:$K$7,2,FALSE)*VLOOKUP(Sheet1!$A2724,Sheet2!$B$5:$H$29,7,FALSE),0)</x:f>
        <x:v>0</x:v>
      </x:c>
      <x:c r="I2724">
        <x:f t="shared" si="45"/>
        <x:v>5660</x:v>
      </x:c>
    </x:row>
    <x:row r="2725" spans="1:9" x14ac:dyDescent="0.15">
      <x:c r="A2725">
        <x:v>54151</x:v>
      </x:c>
      <x:c r="B2725">
        <x:v>1</x:v>
      </x:c>
      <x:c r="C2725">
        <x:v>24</x:v>
      </x:c>
      <x:c r="D2725">
        <x:f>ROUND($C2725*10*VLOOKUP($B2725,Sheet2!$J$5:$K$7,2,FALSE)*VLOOKUP(Sheet1!$A2725,Sheet2!$B$5:$H$29,3,FALSE),0)</x:f>
        <x:v>48</x:v>
      </x:c>
      <x:c r="E2725">
        <x:f>ROUND($C2725*10*VLOOKUP($B2725,Sheet2!$J$5:$K$7,2,FALSE)*VLOOKUP(Sheet1!$A2725,Sheet2!$B$5:$H$29,4,FALSE),0)</x:f>
        <x:v>0</x:v>
      </x:c>
      <x:c r="F2725">
        <x:f>ROUND($C2725*10*VLOOKUP($B2725,Sheet2!$J$5:$K$7,2,FALSE)*VLOOKUP(Sheet1!$A2725,Sheet2!$B$5:$H$29,5,FALSE),0)</x:f>
        <x:v>0</x:v>
      </x:c>
      <x:c r="G2725">
        <x:f>ROUND($C2725*10*VLOOKUP($B2725,Sheet2!$J$5:$K$7,2,FALSE)*VLOOKUP(Sheet1!$A2725,Sheet2!$B$5:$H$29,6,FALSE),0)</x:f>
        <x:v>115</x:v>
      </x:c>
      <x:c r="H2725">
        <x:f>ROUND($C2725*10*VLOOKUP($B2725,Sheet2!$J$5:$K$7,2,FALSE)*VLOOKUP(Sheet1!$A2725,Sheet2!$B$5:$H$29,7,FALSE),0)</x:f>
        <x:v>0</x:v>
      </x:c>
      <x:c r="I2725">
        <x:f t="shared" si="45"/>
        <x:v>6130</x:v>
      </x:c>
    </x:row>
    <x:row r="2726" spans="1:9" x14ac:dyDescent="0.15">
      <x:c r="A2726">
        <x:v>54151</x:v>
      </x:c>
      <x:c r="B2726">
        <x:v>1</x:v>
      </x:c>
      <x:c r="C2726">
        <x:v>25</x:v>
      </x:c>
      <x:c r="D2726">
        <x:f>ROUND($C2726*10*VLOOKUP($B2726,Sheet2!$J$5:$K$7,2,FALSE)*VLOOKUP(Sheet1!$A2726,Sheet2!$B$5:$H$29,3,FALSE),0)</x:f>
        <x:v>50</x:v>
      </x:c>
      <x:c r="E2726">
        <x:f>ROUND($C2726*10*VLOOKUP($B2726,Sheet2!$J$5:$K$7,2,FALSE)*VLOOKUP(Sheet1!$A2726,Sheet2!$B$5:$H$29,4,FALSE),0)</x:f>
        <x:v>0</x:v>
      </x:c>
      <x:c r="F2726">
        <x:f>ROUND($C2726*10*VLOOKUP($B2726,Sheet2!$J$5:$K$7,2,FALSE)*VLOOKUP(Sheet1!$A2726,Sheet2!$B$5:$H$29,5,FALSE),0)</x:f>
        <x:v>0</x:v>
      </x:c>
      <x:c r="G2726">
        <x:f>ROUND($C2726*10*VLOOKUP($B2726,Sheet2!$J$5:$K$7,2,FALSE)*VLOOKUP(Sheet1!$A2726,Sheet2!$B$5:$H$29,6,FALSE),0)</x:f>
        <x:v>120</x:v>
      </x:c>
      <x:c r="H2726">
        <x:f>ROUND($C2726*10*VLOOKUP($B2726,Sheet2!$J$5:$K$7,2,FALSE)*VLOOKUP(Sheet1!$A2726,Sheet2!$B$5:$H$29,7,FALSE),0)</x:f>
        <x:v>0</x:v>
      </x:c>
      <x:c r="I2726">
        <x:f t="shared" si="45"/>
        <x:v>6620</x:v>
      </x:c>
    </x:row>
    <x:row r="2727" spans="1:9" x14ac:dyDescent="0.15">
      <x:c r="A2727">
        <x:v>54151</x:v>
      </x:c>
      <x:c r="B2727">
        <x:v>1</x:v>
      </x:c>
      <x:c r="C2727">
        <x:v>26</x:v>
      </x:c>
      <x:c r="D2727">
        <x:f>ROUND($C2727*10*VLOOKUP($B2727,Sheet2!$J$5:$K$7,2,FALSE)*VLOOKUP(Sheet1!$A2727,Sheet2!$B$5:$H$29,3,FALSE),0)</x:f>
        <x:v>52</x:v>
      </x:c>
      <x:c r="E2727">
        <x:f>ROUND($C2727*10*VLOOKUP($B2727,Sheet2!$J$5:$K$7,2,FALSE)*VLOOKUP(Sheet1!$A2727,Sheet2!$B$5:$H$29,4,FALSE),0)</x:f>
        <x:v>0</x:v>
      </x:c>
      <x:c r="F2727">
        <x:f>ROUND($C2727*10*VLOOKUP($B2727,Sheet2!$J$5:$K$7,2,FALSE)*VLOOKUP(Sheet1!$A2727,Sheet2!$B$5:$H$29,5,FALSE),0)</x:f>
        <x:v>0</x:v>
      </x:c>
      <x:c r="G2727">
        <x:f>ROUND($C2727*10*VLOOKUP($B2727,Sheet2!$J$5:$K$7,2,FALSE)*VLOOKUP(Sheet1!$A2727,Sheet2!$B$5:$H$29,6,FALSE),0)</x:f>
        <x:v>125</x:v>
      </x:c>
      <x:c r="H2727">
        <x:f>ROUND($C2727*10*VLOOKUP($B2727,Sheet2!$J$5:$K$7,2,FALSE)*VLOOKUP(Sheet1!$A2727,Sheet2!$B$5:$H$29,7,FALSE),0)</x:f>
        <x:v>0</x:v>
      </x:c>
      <x:c r="I2727">
        <x:f t="shared" si="45"/>
        <x:v>7120</x:v>
      </x:c>
    </x:row>
    <x:row r="2728" spans="1:9" x14ac:dyDescent="0.15">
      <x:c r="A2728">
        <x:v>54151</x:v>
      </x:c>
      <x:c r="B2728">
        <x:v>1</x:v>
      </x:c>
      <x:c r="C2728">
        <x:v>27</x:v>
      </x:c>
      <x:c r="D2728">
        <x:f>ROUND($C2728*10*VLOOKUP($B2728,Sheet2!$J$5:$K$7,2,FALSE)*VLOOKUP(Sheet1!$A2728,Sheet2!$B$5:$H$29,3,FALSE),0)</x:f>
        <x:v>54</x:v>
      </x:c>
      <x:c r="E2728">
        <x:f>ROUND($C2728*10*VLOOKUP($B2728,Sheet2!$J$5:$K$7,2,FALSE)*VLOOKUP(Sheet1!$A2728,Sheet2!$B$5:$H$29,4,FALSE),0)</x:f>
        <x:v>0</x:v>
      </x:c>
      <x:c r="F2728">
        <x:f>ROUND($C2728*10*VLOOKUP($B2728,Sheet2!$J$5:$K$7,2,FALSE)*VLOOKUP(Sheet1!$A2728,Sheet2!$B$5:$H$29,5,FALSE),0)</x:f>
        <x:v>0</x:v>
      </x:c>
      <x:c r="G2728">
        <x:f>ROUND($C2728*10*VLOOKUP($B2728,Sheet2!$J$5:$K$7,2,FALSE)*VLOOKUP(Sheet1!$A2728,Sheet2!$B$5:$H$29,6,FALSE),0)</x:f>
        <x:v>130</x:v>
      </x:c>
      <x:c r="H2728">
        <x:f>ROUND($C2728*10*VLOOKUP($B2728,Sheet2!$J$5:$K$7,2,FALSE)*VLOOKUP(Sheet1!$A2728,Sheet2!$B$5:$H$29,7,FALSE),0)</x:f>
        <x:v>0</x:v>
      </x:c>
      <x:c r="I2728">
        <x:f t="shared" si="45"/>
        <x:v>7640</x:v>
      </x:c>
    </x:row>
    <x:row r="2729" spans="1:9" x14ac:dyDescent="0.15">
      <x:c r="A2729">
        <x:v>54151</x:v>
      </x:c>
      <x:c r="B2729">
        <x:v>1</x:v>
      </x:c>
      <x:c r="C2729">
        <x:v>28</x:v>
      </x:c>
      <x:c r="D2729">
        <x:f>ROUND($C2729*10*VLOOKUP($B2729,Sheet2!$J$5:$K$7,2,FALSE)*VLOOKUP(Sheet1!$A2729,Sheet2!$B$5:$H$29,3,FALSE),0)</x:f>
        <x:v>56</x:v>
      </x:c>
      <x:c r="E2729">
        <x:f>ROUND($C2729*10*VLOOKUP($B2729,Sheet2!$J$5:$K$7,2,FALSE)*VLOOKUP(Sheet1!$A2729,Sheet2!$B$5:$H$29,4,FALSE),0)</x:f>
        <x:v>0</x:v>
      </x:c>
      <x:c r="F2729">
        <x:f>ROUND($C2729*10*VLOOKUP($B2729,Sheet2!$J$5:$K$7,2,FALSE)*VLOOKUP(Sheet1!$A2729,Sheet2!$B$5:$H$29,5,FALSE),0)</x:f>
        <x:v>0</x:v>
      </x:c>
      <x:c r="G2729">
        <x:f>ROUND($C2729*10*VLOOKUP($B2729,Sheet2!$J$5:$K$7,2,FALSE)*VLOOKUP(Sheet1!$A2729,Sheet2!$B$5:$H$29,6,FALSE),0)</x:f>
        <x:v>134</x:v>
      </x:c>
      <x:c r="H2729">
        <x:f>ROUND($C2729*10*VLOOKUP($B2729,Sheet2!$J$5:$K$7,2,FALSE)*VLOOKUP(Sheet1!$A2729,Sheet2!$B$5:$H$29,7,FALSE),0)</x:f>
        <x:v>0</x:v>
      </x:c>
      <x:c r="I2729">
        <x:f t="shared" si="45"/>
        <x:v>8180</x:v>
      </x:c>
    </x:row>
    <x:row r="2730" spans="1:9" x14ac:dyDescent="0.15">
      <x:c r="A2730">
        <x:v>54151</x:v>
      </x:c>
      <x:c r="B2730">
        <x:v>1</x:v>
      </x:c>
      <x:c r="C2730">
        <x:v>29</x:v>
      </x:c>
      <x:c r="D2730">
        <x:f>ROUND($C2730*10*VLOOKUP($B2730,Sheet2!$J$5:$K$7,2,FALSE)*VLOOKUP(Sheet1!$A2730,Sheet2!$B$5:$H$29,3,FALSE),0)</x:f>
        <x:v>58</x:v>
      </x:c>
      <x:c r="E2730">
        <x:f>ROUND($C2730*10*VLOOKUP($B2730,Sheet2!$J$5:$K$7,2,FALSE)*VLOOKUP(Sheet1!$A2730,Sheet2!$B$5:$H$29,4,FALSE),0)</x:f>
        <x:v>0</x:v>
      </x:c>
      <x:c r="F2730">
        <x:f>ROUND($C2730*10*VLOOKUP($B2730,Sheet2!$J$5:$K$7,2,FALSE)*VLOOKUP(Sheet1!$A2730,Sheet2!$B$5:$H$29,5,FALSE),0)</x:f>
        <x:v>0</x:v>
      </x:c>
      <x:c r="G2730">
        <x:f>ROUND($C2730*10*VLOOKUP($B2730,Sheet2!$J$5:$K$7,2,FALSE)*VLOOKUP(Sheet1!$A2730,Sheet2!$B$5:$H$29,6,FALSE),0)</x:f>
        <x:v>139</x:v>
      </x:c>
      <x:c r="H2730">
        <x:f>ROUND($C2730*10*VLOOKUP($B2730,Sheet2!$J$5:$K$7,2,FALSE)*VLOOKUP(Sheet1!$A2730,Sheet2!$B$5:$H$29,7,FALSE),0)</x:f>
        <x:v>0</x:v>
      </x:c>
      <x:c r="I2730">
        <x:f t="shared" si="45"/>
        <x:v>8730</x:v>
      </x:c>
    </x:row>
    <x:row r="2731" spans="1:9" x14ac:dyDescent="0.15">
      <x:c r="A2731">
        <x:v>54151</x:v>
      </x:c>
      <x:c r="B2731">
        <x:v>1</x:v>
      </x:c>
      <x:c r="C2731">
        <x:v>30</x:v>
      </x:c>
      <x:c r="D2731">
        <x:f>ROUND($C2731*10*VLOOKUP($B2731,Sheet2!$J$5:$K$7,2,FALSE)*VLOOKUP(Sheet1!$A2731,Sheet2!$B$5:$H$29,3,FALSE),0)</x:f>
        <x:v>60</x:v>
      </x:c>
      <x:c r="E2731">
        <x:f>ROUND($C2731*10*VLOOKUP($B2731,Sheet2!$J$5:$K$7,2,FALSE)*VLOOKUP(Sheet1!$A2731,Sheet2!$B$5:$H$29,4,FALSE),0)</x:f>
        <x:v>0</x:v>
      </x:c>
      <x:c r="F2731">
        <x:f>ROUND($C2731*10*VLOOKUP($B2731,Sheet2!$J$5:$K$7,2,FALSE)*VLOOKUP(Sheet1!$A2731,Sheet2!$B$5:$H$29,5,FALSE),0)</x:f>
        <x:v>0</x:v>
      </x:c>
      <x:c r="G2731">
        <x:f>ROUND($C2731*10*VLOOKUP($B2731,Sheet2!$J$5:$K$7,2,FALSE)*VLOOKUP(Sheet1!$A2731,Sheet2!$B$5:$H$29,6,FALSE),0)</x:f>
        <x:v>144</x:v>
      </x:c>
      <x:c r="H2731">
        <x:f>ROUND($C2731*10*VLOOKUP($B2731,Sheet2!$J$5:$K$7,2,FALSE)*VLOOKUP(Sheet1!$A2731,Sheet2!$B$5:$H$29,7,FALSE),0)</x:f>
        <x:v>0</x:v>
      </x:c>
      <x:c r="I2731">
        <x:f t="shared" si="45"/>
        <x:v>9290</x:v>
      </x:c>
    </x:row>
    <x:row r="2732" spans="1:9" x14ac:dyDescent="0.15">
      <x:c r="A2732">
        <x:v>54151</x:v>
      </x:c>
      <x:c r="B2732">
        <x:v>1</x:v>
      </x:c>
      <x:c r="C2732">
        <x:v>31</x:v>
      </x:c>
      <x:c r="D2732">
        <x:f>ROUND($C2732*10*VLOOKUP($B2732,Sheet2!$J$5:$K$7,2,FALSE)*VLOOKUP(Sheet1!$A2732,Sheet2!$B$5:$H$29,3,FALSE),0)</x:f>
        <x:v>62</x:v>
      </x:c>
      <x:c r="E2732">
        <x:f>ROUND($C2732*10*VLOOKUP($B2732,Sheet2!$J$5:$K$7,2,FALSE)*VLOOKUP(Sheet1!$A2732,Sheet2!$B$5:$H$29,4,FALSE),0)</x:f>
        <x:v>0</x:v>
      </x:c>
      <x:c r="F2732">
        <x:f>ROUND($C2732*10*VLOOKUP($B2732,Sheet2!$J$5:$K$7,2,FALSE)*VLOOKUP(Sheet1!$A2732,Sheet2!$B$5:$H$29,5,FALSE),0)</x:f>
        <x:v>0</x:v>
      </x:c>
      <x:c r="G2732">
        <x:f>ROUND($C2732*10*VLOOKUP($B2732,Sheet2!$J$5:$K$7,2,FALSE)*VLOOKUP(Sheet1!$A2732,Sheet2!$B$5:$H$29,6,FALSE),0)</x:f>
        <x:v>149</x:v>
      </x:c>
      <x:c r="H2732">
        <x:f>ROUND($C2732*10*VLOOKUP($B2732,Sheet2!$J$5:$K$7,2,FALSE)*VLOOKUP(Sheet1!$A2732,Sheet2!$B$5:$H$29,7,FALSE),0)</x:f>
        <x:v>0</x:v>
      </x:c>
      <x:c r="I2732">
        <x:f t="shared" si="45"/>
        <x:v>9880</x:v>
      </x:c>
    </x:row>
    <x:row r="2733" spans="1:9" x14ac:dyDescent="0.15">
      <x:c r="A2733">
        <x:v>54151</x:v>
      </x:c>
      <x:c r="B2733">
        <x:v>1</x:v>
      </x:c>
      <x:c r="C2733">
        <x:v>32</x:v>
      </x:c>
      <x:c r="D2733">
        <x:f>ROUND($C2733*10*VLOOKUP($B2733,Sheet2!$J$5:$K$7,2,FALSE)*VLOOKUP(Sheet1!$A2733,Sheet2!$B$5:$H$29,3,FALSE),0)</x:f>
        <x:v>64</x:v>
      </x:c>
      <x:c r="E2733">
        <x:f>ROUND($C2733*10*VLOOKUP($B2733,Sheet2!$J$5:$K$7,2,FALSE)*VLOOKUP(Sheet1!$A2733,Sheet2!$B$5:$H$29,4,FALSE),0)</x:f>
        <x:v>0</x:v>
      </x:c>
      <x:c r="F2733">
        <x:f>ROUND($C2733*10*VLOOKUP($B2733,Sheet2!$J$5:$K$7,2,FALSE)*VLOOKUP(Sheet1!$A2733,Sheet2!$B$5:$H$29,5,FALSE),0)</x:f>
        <x:v>0</x:v>
      </x:c>
      <x:c r="G2733">
        <x:f>ROUND($C2733*10*VLOOKUP($B2733,Sheet2!$J$5:$K$7,2,FALSE)*VLOOKUP(Sheet1!$A2733,Sheet2!$B$5:$H$29,6,FALSE),0)</x:f>
        <x:v>154</x:v>
      </x:c>
      <x:c r="H2733">
        <x:f>ROUND($C2733*10*VLOOKUP($B2733,Sheet2!$J$5:$K$7,2,FALSE)*VLOOKUP(Sheet1!$A2733,Sheet2!$B$5:$H$29,7,FALSE),0)</x:f>
        <x:v>0</x:v>
      </x:c>
      <x:c r="I2733">
        <x:f t="shared" si="45"/>
        <x:v>10470</x:v>
      </x:c>
    </x:row>
    <x:row r="2734" spans="1:9" x14ac:dyDescent="0.15">
      <x:c r="A2734">
        <x:v>54151</x:v>
      </x:c>
      <x:c r="B2734">
        <x:v>1</x:v>
      </x:c>
      <x:c r="C2734">
        <x:v>33</x:v>
      </x:c>
      <x:c r="D2734">
        <x:f>ROUND($C2734*10*VLOOKUP($B2734,Sheet2!$J$5:$K$7,2,FALSE)*VLOOKUP(Sheet1!$A2734,Sheet2!$B$5:$H$29,3,FALSE),0)</x:f>
        <x:v>66</x:v>
      </x:c>
      <x:c r="E2734">
        <x:f>ROUND($C2734*10*VLOOKUP($B2734,Sheet2!$J$5:$K$7,2,FALSE)*VLOOKUP(Sheet1!$A2734,Sheet2!$B$5:$H$29,4,FALSE),0)</x:f>
        <x:v>0</x:v>
      </x:c>
      <x:c r="F2734">
        <x:f>ROUND($C2734*10*VLOOKUP($B2734,Sheet2!$J$5:$K$7,2,FALSE)*VLOOKUP(Sheet1!$A2734,Sheet2!$B$5:$H$29,5,FALSE),0)</x:f>
        <x:v>0</x:v>
      </x:c>
      <x:c r="G2734">
        <x:f>ROUND($C2734*10*VLOOKUP($B2734,Sheet2!$J$5:$K$7,2,FALSE)*VLOOKUP(Sheet1!$A2734,Sheet2!$B$5:$H$29,6,FALSE),0)</x:f>
        <x:v>158</x:v>
      </x:c>
      <x:c r="H2734">
        <x:f>ROUND($C2734*10*VLOOKUP($B2734,Sheet2!$J$5:$K$7,2,FALSE)*VLOOKUP(Sheet1!$A2734,Sheet2!$B$5:$H$29,7,FALSE),0)</x:f>
        <x:v>0</x:v>
      </x:c>
      <x:c r="I2734">
        <x:f t="shared" si="45"/>
        <x:v>11090</x:v>
      </x:c>
    </x:row>
    <x:row r="2735" spans="1:9" x14ac:dyDescent="0.15">
      <x:c r="A2735">
        <x:v>54151</x:v>
      </x:c>
      <x:c r="B2735">
        <x:v>1</x:v>
      </x:c>
      <x:c r="C2735">
        <x:v>34</x:v>
      </x:c>
      <x:c r="D2735">
        <x:f>ROUND($C2735*10*VLOOKUP($B2735,Sheet2!$J$5:$K$7,2,FALSE)*VLOOKUP(Sheet1!$A2735,Sheet2!$B$5:$H$29,3,FALSE),0)</x:f>
        <x:v>68</x:v>
      </x:c>
      <x:c r="E2735">
        <x:f>ROUND($C2735*10*VLOOKUP($B2735,Sheet2!$J$5:$K$7,2,FALSE)*VLOOKUP(Sheet1!$A2735,Sheet2!$B$5:$H$29,4,FALSE),0)</x:f>
        <x:v>0</x:v>
      </x:c>
      <x:c r="F2735">
        <x:f>ROUND($C2735*10*VLOOKUP($B2735,Sheet2!$J$5:$K$7,2,FALSE)*VLOOKUP(Sheet1!$A2735,Sheet2!$B$5:$H$29,5,FALSE),0)</x:f>
        <x:v>0</x:v>
      </x:c>
      <x:c r="G2735">
        <x:f>ROUND($C2735*10*VLOOKUP($B2735,Sheet2!$J$5:$K$7,2,FALSE)*VLOOKUP(Sheet1!$A2735,Sheet2!$B$5:$H$29,6,FALSE),0)</x:f>
        <x:v>163</x:v>
      </x:c>
      <x:c r="H2735">
        <x:f>ROUND($C2735*10*VLOOKUP($B2735,Sheet2!$J$5:$K$7,2,FALSE)*VLOOKUP(Sheet1!$A2735,Sheet2!$B$5:$H$29,7,FALSE),0)</x:f>
        <x:v>0</x:v>
      </x:c>
      <x:c r="I2735">
        <x:f t="shared" si="45"/>
        <x:v>11720</x:v>
      </x:c>
    </x:row>
    <x:row r="2736" spans="1:9" x14ac:dyDescent="0.15">
      <x:c r="A2736">
        <x:v>54151</x:v>
      </x:c>
      <x:c r="B2736">
        <x:v>1</x:v>
      </x:c>
      <x:c r="C2736">
        <x:v>35</x:v>
      </x:c>
      <x:c r="D2736">
        <x:f>ROUND($C2736*10*VLOOKUP($B2736,Sheet2!$J$5:$K$7,2,FALSE)*VLOOKUP(Sheet1!$A2736,Sheet2!$B$5:$H$29,3,FALSE),0)</x:f>
        <x:v>70</x:v>
      </x:c>
      <x:c r="E2736">
        <x:f>ROUND($C2736*10*VLOOKUP($B2736,Sheet2!$J$5:$K$7,2,FALSE)*VLOOKUP(Sheet1!$A2736,Sheet2!$B$5:$H$29,4,FALSE),0)</x:f>
        <x:v>0</x:v>
      </x:c>
      <x:c r="F2736">
        <x:f>ROUND($C2736*10*VLOOKUP($B2736,Sheet2!$J$5:$K$7,2,FALSE)*VLOOKUP(Sheet1!$A2736,Sheet2!$B$5:$H$29,5,FALSE),0)</x:f>
        <x:v>0</x:v>
      </x:c>
      <x:c r="G2736">
        <x:f>ROUND($C2736*10*VLOOKUP($B2736,Sheet2!$J$5:$K$7,2,FALSE)*VLOOKUP(Sheet1!$A2736,Sheet2!$B$5:$H$29,6,FALSE),0)</x:f>
        <x:v>168</x:v>
      </x:c>
      <x:c r="H2736">
        <x:f>ROUND($C2736*10*VLOOKUP($B2736,Sheet2!$J$5:$K$7,2,FALSE)*VLOOKUP(Sheet1!$A2736,Sheet2!$B$5:$H$29,7,FALSE),0)</x:f>
        <x:v>0</x:v>
      </x:c>
      <x:c r="I2736">
        <x:f t="shared" si="45"/>
        <x:v>12360</x:v>
      </x:c>
    </x:row>
    <x:row r="2737" spans="1:9" x14ac:dyDescent="0.15">
      <x:c r="A2737">
        <x:v>54151</x:v>
      </x:c>
      <x:c r="B2737">
        <x:v>1</x:v>
      </x:c>
      <x:c r="C2737">
        <x:v>36</x:v>
      </x:c>
      <x:c r="D2737">
        <x:f>ROUND($C2737*10*VLOOKUP($B2737,Sheet2!$J$5:$K$7,2,FALSE)*VLOOKUP(Sheet1!$A2737,Sheet2!$B$5:$H$29,3,FALSE),0)</x:f>
        <x:v>72</x:v>
      </x:c>
      <x:c r="E2737">
        <x:f>ROUND($C2737*10*VLOOKUP($B2737,Sheet2!$J$5:$K$7,2,FALSE)*VLOOKUP(Sheet1!$A2737,Sheet2!$B$5:$H$29,4,FALSE),0)</x:f>
        <x:v>0</x:v>
      </x:c>
      <x:c r="F2737">
        <x:f>ROUND($C2737*10*VLOOKUP($B2737,Sheet2!$J$5:$K$7,2,FALSE)*VLOOKUP(Sheet1!$A2737,Sheet2!$B$5:$H$29,5,FALSE),0)</x:f>
        <x:v>0</x:v>
      </x:c>
      <x:c r="G2737">
        <x:f>ROUND($C2737*10*VLOOKUP($B2737,Sheet2!$J$5:$K$7,2,FALSE)*VLOOKUP(Sheet1!$A2737,Sheet2!$B$5:$H$29,6,FALSE),0)</x:f>
        <x:v>173</x:v>
      </x:c>
      <x:c r="H2737">
        <x:f>ROUND($C2737*10*VLOOKUP($B2737,Sheet2!$J$5:$K$7,2,FALSE)*VLOOKUP(Sheet1!$A2737,Sheet2!$B$5:$H$29,7,FALSE),0)</x:f>
        <x:v>0</x:v>
      </x:c>
      <x:c r="I2737">
        <x:f t="shared" si="45"/>
        <x:v>13020</x:v>
      </x:c>
    </x:row>
    <x:row r="2738" spans="1:9" x14ac:dyDescent="0.15">
      <x:c r="A2738">
        <x:v>54151</x:v>
      </x:c>
      <x:c r="B2738">
        <x:v>1</x:v>
      </x:c>
      <x:c r="C2738">
        <x:v>37</x:v>
      </x:c>
      <x:c r="D2738">
        <x:f>ROUND($C2738*10*VLOOKUP($B2738,Sheet2!$J$5:$K$7,2,FALSE)*VLOOKUP(Sheet1!$A2738,Sheet2!$B$5:$H$29,3,FALSE),0)</x:f>
        <x:v>74</x:v>
      </x:c>
      <x:c r="E2738">
        <x:f>ROUND($C2738*10*VLOOKUP($B2738,Sheet2!$J$5:$K$7,2,FALSE)*VLOOKUP(Sheet1!$A2738,Sheet2!$B$5:$H$29,4,FALSE),0)</x:f>
        <x:v>0</x:v>
      </x:c>
      <x:c r="F2738">
        <x:f>ROUND($C2738*10*VLOOKUP($B2738,Sheet2!$J$5:$K$7,2,FALSE)*VLOOKUP(Sheet1!$A2738,Sheet2!$B$5:$H$29,5,FALSE),0)</x:f>
        <x:v>0</x:v>
      </x:c>
      <x:c r="G2738">
        <x:f>ROUND($C2738*10*VLOOKUP($B2738,Sheet2!$J$5:$K$7,2,FALSE)*VLOOKUP(Sheet1!$A2738,Sheet2!$B$5:$H$29,6,FALSE),0)</x:f>
        <x:v>178</x:v>
      </x:c>
      <x:c r="H2738">
        <x:f>ROUND($C2738*10*VLOOKUP($B2738,Sheet2!$J$5:$K$7,2,FALSE)*VLOOKUP(Sheet1!$A2738,Sheet2!$B$5:$H$29,7,FALSE),0)</x:f>
        <x:v>0</x:v>
      </x:c>
      <x:c r="I2738">
        <x:f t="shared" si="45"/>
        <x:v>13700</x:v>
      </x:c>
    </x:row>
    <x:row r="2739" spans="1:9" x14ac:dyDescent="0.15">
      <x:c r="A2739">
        <x:v>54151</x:v>
      </x:c>
      <x:c r="B2739">
        <x:v>1</x:v>
      </x:c>
      <x:c r="C2739">
        <x:v>38</x:v>
      </x:c>
      <x:c r="D2739">
        <x:f>ROUND($C2739*10*VLOOKUP($B2739,Sheet2!$J$5:$K$7,2,FALSE)*VLOOKUP(Sheet1!$A2739,Sheet2!$B$5:$H$29,3,FALSE),0)</x:f>
        <x:v>76</x:v>
      </x:c>
      <x:c r="E2739">
        <x:f>ROUND($C2739*10*VLOOKUP($B2739,Sheet2!$J$5:$K$7,2,FALSE)*VLOOKUP(Sheet1!$A2739,Sheet2!$B$5:$H$29,4,FALSE),0)</x:f>
        <x:v>0</x:v>
      </x:c>
      <x:c r="F2739">
        <x:f>ROUND($C2739*10*VLOOKUP($B2739,Sheet2!$J$5:$K$7,2,FALSE)*VLOOKUP(Sheet1!$A2739,Sheet2!$B$5:$H$29,5,FALSE),0)</x:f>
        <x:v>0</x:v>
      </x:c>
      <x:c r="G2739">
        <x:f>ROUND($C2739*10*VLOOKUP($B2739,Sheet2!$J$5:$K$7,2,FALSE)*VLOOKUP(Sheet1!$A2739,Sheet2!$B$5:$H$29,6,FALSE),0)</x:f>
        <x:v>182</x:v>
      </x:c>
      <x:c r="H2739">
        <x:f>ROUND($C2739*10*VLOOKUP($B2739,Sheet2!$J$5:$K$7,2,FALSE)*VLOOKUP(Sheet1!$A2739,Sheet2!$B$5:$H$29,7,FALSE),0)</x:f>
        <x:v>0</x:v>
      </x:c>
      <x:c r="I2739">
        <x:f t="shared" si="45"/>
        <x:v>14390</x:v>
      </x:c>
    </x:row>
    <x:row r="2740" spans="1:9" x14ac:dyDescent="0.15">
      <x:c r="A2740">
        <x:v>54151</x:v>
      </x:c>
      <x:c r="B2740">
        <x:v>1</x:v>
      </x:c>
      <x:c r="C2740">
        <x:v>39</x:v>
      </x:c>
      <x:c r="D2740">
        <x:f>ROUND($C2740*10*VLOOKUP($B2740,Sheet2!$J$5:$K$7,2,FALSE)*VLOOKUP(Sheet1!$A2740,Sheet2!$B$5:$H$29,3,FALSE),0)</x:f>
        <x:v>78</x:v>
      </x:c>
      <x:c r="E2740">
        <x:f>ROUND($C2740*10*VLOOKUP($B2740,Sheet2!$J$5:$K$7,2,FALSE)*VLOOKUP(Sheet1!$A2740,Sheet2!$B$5:$H$29,4,FALSE),0)</x:f>
        <x:v>0</x:v>
      </x:c>
      <x:c r="F2740">
        <x:f>ROUND($C2740*10*VLOOKUP($B2740,Sheet2!$J$5:$K$7,2,FALSE)*VLOOKUP(Sheet1!$A2740,Sheet2!$B$5:$H$29,5,FALSE),0)</x:f>
        <x:v>0</x:v>
      </x:c>
      <x:c r="G2740">
        <x:f>ROUND($C2740*10*VLOOKUP($B2740,Sheet2!$J$5:$K$7,2,FALSE)*VLOOKUP(Sheet1!$A2740,Sheet2!$B$5:$H$29,6,FALSE),0)</x:f>
        <x:v>187</x:v>
      </x:c>
      <x:c r="H2740">
        <x:f>ROUND($C2740*10*VLOOKUP($B2740,Sheet2!$J$5:$K$7,2,FALSE)*VLOOKUP(Sheet1!$A2740,Sheet2!$B$5:$H$29,7,FALSE),0)</x:f>
        <x:v>0</x:v>
      </x:c>
      <x:c r="I2740">
        <x:f t="shared" si="45"/>
        <x:v>15100</x:v>
      </x:c>
    </x:row>
    <x:row r="2741" spans="1:9" x14ac:dyDescent="0.15">
      <x:c r="A2741">
        <x:v>54151</x:v>
      </x:c>
      <x:c r="B2741">
        <x:v>1</x:v>
      </x:c>
      <x:c r="C2741">
        <x:v>40</x:v>
      </x:c>
      <x:c r="D2741">
        <x:f>ROUND($C2741*10*VLOOKUP($B2741,Sheet2!$J$5:$K$7,2,FALSE)*VLOOKUP(Sheet1!$A2741,Sheet2!$B$5:$H$29,3,FALSE),0)</x:f>
        <x:v>80</x:v>
      </x:c>
      <x:c r="E2741">
        <x:f>ROUND($C2741*10*VLOOKUP($B2741,Sheet2!$J$5:$K$7,2,FALSE)*VLOOKUP(Sheet1!$A2741,Sheet2!$B$5:$H$29,4,FALSE),0)</x:f>
        <x:v>0</x:v>
      </x:c>
      <x:c r="F2741">
        <x:f>ROUND($C2741*10*VLOOKUP($B2741,Sheet2!$J$5:$K$7,2,FALSE)*VLOOKUP(Sheet1!$A2741,Sheet2!$B$5:$H$29,5,FALSE),0)</x:f>
        <x:v>0</x:v>
      </x:c>
      <x:c r="G2741">
        <x:f>ROUND($C2741*10*VLOOKUP($B2741,Sheet2!$J$5:$K$7,2,FALSE)*VLOOKUP(Sheet1!$A2741,Sheet2!$B$5:$H$29,6,FALSE),0)</x:f>
        <x:v>192</x:v>
      </x:c>
      <x:c r="H2741">
        <x:f>ROUND($C2741*10*VLOOKUP($B2741,Sheet2!$J$5:$K$7,2,FALSE)*VLOOKUP(Sheet1!$A2741,Sheet2!$B$5:$H$29,7,FALSE),0)</x:f>
        <x:v>0</x:v>
      </x:c>
      <x:c r="I2741">
        <x:f t="shared" si="45"/>
        <x:v>15820</x:v>
      </x:c>
    </x:row>
    <x:row r="2742" spans="1:9" x14ac:dyDescent="0.15">
      <x:c r="A2742">
        <x:v>54151</x:v>
      </x:c>
      <x:c r="B2742">
        <x:v>1</x:v>
      </x:c>
      <x:c r="C2742">
        <x:v>41</x:v>
      </x:c>
      <x:c r="D2742">
        <x:f>ROUND($C2742*10*VLOOKUP($B2742,Sheet2!$J$5:$K$7,2,FALSE)*VLOOKUP(Sheet1!$A2742,Sheet2!$B$5:$H$29,3,FALSE),0)</x:f>
        <x:v>82</x:v>
      </x:c>
      <x:c r="E2742">
        <x:f>ROUND($C2742*10*VLOOKUP($B2742,Sheet2!$J$5:$K$7,2,FALSE)*VLOOKUP(Sheet1!$A2742,Sheet2!$B$5:$H$29,4,FALSE),0)</x:f>
        <x:v>0</x:v>
      </x:c>
      <x:c r="F2742">
        <x:f>ROUND($C2742*10*VLOOKUP($B2742,Sheet2!$J$5:$K$7,2,FALSE)*VLOOKUP(Sheet1!$A2742,Sheet2!$B$5:$H$29,5,FALSE),0)</x:f>
        <x:v>0</x:v>
      </x:c>
      <x:c r="G2742">
        <x:f>ROUND($C2742*10*VLOOKUP($B2742,Sheet2!$J$5:$K$7,2,FALSE)*VLOOKUP(Sheet1!$A2742,Sheet2!$B$5:$H$29,6,FALSE),0)</x:f>
        <x:v>197</x:v>
      </x:c>
      <x:c r="H2742">
        <x:f>ROUND($C2742*10*VLOOKUP($B2742,Sheet2!$J$5:$K$7,2,FALSE)*VLOOKUP(Sheet1!$A2742,Sheet2!$B$5:$H$29,7,FALSE),0)</x:f>
        <x:v>0</x:v>
      </x:c>
      <x:c r="I2742">
        <x:f t="shared" si="45"/>
        <x:v>16560</x:v>
      </x:c>
    </x:row>
    <x:row r="2743" spans="1:9" x14ac:dyDescent="0.15">
      <x:c r="A2743">
        <x:v>54151</x:v>
      </x:c>
      <x:c r="B2743">
        <x:v>1</x:v>
      </x:c>
      <x:c r="C2743">
        <x:v>42</x:v>
      </x:c>
      <x:c r="D2743">
        <x:f>ROUND($C2743*10*VLOOKUP($B2743,Sheet2!$J$5:$K$7,2,FALSE)*VLOOKUP(Sheet1!$A2743,Sheet2!$B$5:$H$29,3,FALSE),0)</x:f>
        <x:v>84</x:v>
      </x:c>
      <x:c r="E2743">
        <x:f>ROUND($C2743*10*VLOOKUP($B2743,Sheet2!$J$5:$K$7,2,FALSE)*VLOOKUP(Sheet1!$A2743,Sheet2!$B$5:$H$29,4,FALSE),0)</x:f>
        <x:v>0</x:v>
      </x:c>
      <x:c r="F2743">
        <x:f>ROUND($C2743*10*VLOOKUP($B2743,Sheet2!$J$5:$K$7,2,FALSE)*VLOOKUP(Sheet1!$A2743,Sheet2!$B$5:$H$29,5,FALSE),0)</x:f>
        <x:v>0</x:v>
      </x:c>
      <x:c r="G2743">
        <x:f>ROUND($C2743*10*VLOOKUP($B2743,Sheet2!$J$5:$K$7,2,FALSE)*VLOOKUP(Sheet1!$A2743,Sheet2!$B$5:$H$29,6,FALSE),0)</x:f>
        <x:v>202</x:v>
      </x:c>
      <x:c r="H2743">
        <x:f>ROUND($C2743*10*VLOOKUP($B2743,Sheet2!$J$5:$K$7,2,FALSE)*VLOOKUP(Sheet1!$A2743,Sheet2!$B$5:$H$29,7,FALSE),0)</x:f>
        <x:v>0</x:v>
      </x:c>
      <x:c r="I2743">
        <x:f t="shared" si="45"/>
        <x:v>17310</x:v>
      </x:c>
    </x:row>
    <x:row r="2744" spans="1:9" x14ac:dyDescent="0.15">
      <x:c r="A2744">
        <x:v>54151</x:v>
      </x:c>
      <x:c r="B2744">
        <x:v>1</x:v>
      </x:c>
      <x:c r="C2744">
        <x:v>43</x:v>
      </x:c>
      <x:c r="D2744">
        <x:f>ROUND($C2744*10*VLOOKUP($B2744,Sheet2!$J$5:$K$7,2,FALSE)*VLOOKUP(Sheet1!$A2744,Sheet2!$B$5:$H$29,3,FALSE),0)</x:f>
        <x:v>86</x:v>
      </x:c>
      <x:c r="E2744">
        <x:f>ROUND($C2744*10*VLOOKUP($B2744,Sheet2!$J$5:$K$7,2,FALSE)*VLOOKUP(Sheet1!$A2744,Sheet2!$B$5:$H$29,4,FALSE),0)</x:f>
        <x:v>0</x:v>
      </x:c>
      <x:c r="F2744">
        <x:f>ROUND($C2744*10*VLOOKUP($B2744,Sheet2!$J$5:$K$7,2,FALSE)*VLOOKUP(Sheet1!$A2744,Sheet2!$B$5:$H$29,5,FALSE),0)</x:f>
        <x:v>0</x:v>
      </x:c>
      <x:c r="G2744">
        <x:f>ROUND($C2744*10*VLOOKUP($B2744,Sheet2!$J$5:$K$7,2,FALSE)*VLOOKUP(Sheet1!$A2744,Sheet2!$B$5:$H$29,6,FALSE),0)</x:f>
        <x:v>206</x:v>
      </x:c>
      <x:c r="H2744">
        <x:f>ROUND($C2744*10*VLOOKUP($B2744,Sheet2!$J$5:$K$7,2,FALSE)*VLOOKUP(Sheet1!$A2744,Sheet2!$B$5:$H$29,7,FALSE),0)</x:f>
        <x:v>0</x:v>
      </x:c>
      <x:c r="I2744">
        <x:f t="shared" si="45"/>
        <x:v>18070</x:v>
      </x:c>
    </x:row>
    <x:row r="2745" spans="1:9" x14ac:dyDescent="0.15">
      <x:c r="A2745">
        <x:v>54151</x:v>
      </x:c>
      <x:c r="B2745">
        <x:v>1</x:v>
      </x:c>
      <x:c r="C2745">
        <x:v>44</x:v>
      </x:c>
      <x:c r="D2745">
        <x:f>ROUND($C2745*10*VLOOKUP($B2745,Sheet2!$J$5:$K$7,2,FALSE)*VLOOKUP(Sheet1!$A2745,Sheet2!$B$5:$H$29,3,FALSE),0)</x:f>
        <x:v>88</x:v>
      </x:c>
      <x:c r="E2745">
        <x:f>ROUND($C2745*10*VLOOKUP($B2745,Sheet2!$J$5:$K$7,2,FALSE)*VLOOKUP(Sheet1!$A2745,Sheet2!$B$5:$H$29,4,FALSE),0)</x:f>
        <x:v>0</x:v>
      </x:c>
      <x:c r="F2745">
        <x:f>ROUND($C2745*10*VLOOKUP($B2745,Sheet2!$J$5:$K$7,2,FALSE)*VLOOKUP(Sheet1!$A2745,Sheet2!$B$5:$H$29,5,FALSE),0)</x:f>
        <x:v>0</x:v>
      </x:c>
      <x:c r="G2745">
        <x:f>ROUND($C2745*10*VLOOKUP($B2745,Sheet2!$J$5:$K$7,2,FALSE)*VLOOKUP(Sheet1!$A2745,Sheet2!$B$5:$H$29,6,FALSE),0)</x:f>
        <x:v>211</x:v>
      </x:c>
      <x:c r="H2745">
        <x:f>ROUND($C2745*10*VLOOKUP($B2745,Sheet2!$J$5:$K$7,2,FALSE)*VLOOKUP(Sheet1!$A2745,Sheet2!$B$5:$H$29,7,FALSE),0)</x:f>
        <x:v>0</x:v>
      </x:c>
      <x:c r="I2745">
        <x:f t="shared" si="45"/>
        <x:v>18850</x:v>
      </x:c>
    </x:row>
    <x:row r="2746" spans="1:9" x14ac:dyDescent="0.15">
      <x:c r="A2746">
        <x:v>54151</x:v>
      </x:c>
      <x:c r="B2746">
        <x:v>1</x:v>
      </x:c>
      <x:c r="C2746">
        <x:v>45</x:v>
      </x:c>
      <x:c r="D2746">
        <x:f>ROUND($C2746*10*VLOOKUP($B2746,Sheet2!$J$5:$K$7,2,FALSE)*VLOOKUP(Sheet1!$A2746,Sheet2!$B$5:$H$29,3,FALSE),0)</x:f>
        <x:v>90</x:v>
      </x:c>
      <x:c r="E2746">
        <x:f>ROUND($C2746*10*VLOOKUP($B2746,Sheet2!$J$5:$K$7,2,FALSE)*VLOOKUP(Sheet1!$A2746,Sheet2!$B$5:$H$29,4,FALSE),0)</x:f>
        <x:v>0</x:v>
      </x:c>
      <x:c r="F2746">
        <x:f>ROUND($C2746*10*VLOOKUP($B2746,Sheet2!$J$5:$K$7,2,FALSE)*VLOOKUP(Sheet1!$A2746,Sheet2!$B$5:$H$29,5,FALSE),0)</x:f>
        <x:v>0</x:v>
      </x:c>
      <x:c r="G2746">
        <x:f>ROUND($C2746*10*VLOOKUP($B2746,Sheet2!$J$5:$K$7,2,FALSE)*VLOOKUP(Sheet1!$A2746,Sheet2!$B$5:$H$29,6,FALSE),0)</x:f>
        <x:v>216</x:v>
      </x:c>
      <x:c r="H2746">
        <x:f>ROUND($C2746*10*VLOOKUP($B2746,Sheet2!$J$5:$K$7,2,FALSE)*VLOOKUP(Sheet1!$A2746,Sheet2!$B$5:$H$29,7,FALSE),0)</x:f>
        <x:v>0</x:v>
      </x:c>
      <x:c r="I2746">
        <x:f t="shared" si="45"/>
        <x:v>19650</x:v>
      </x:c>
    </x:row>
    <x:row r="2747" spans="1:9" x14ac:dyDescent="0.15">
      <x:c r="A2747">
        <x:v>54151</x:v>
      </x:c>
      <x:c r="B2747">
        <x:v>1</x:v>
      </x:c>
      <x:c r="C2747">
        <x:v>46</x:v>
      </x:c>
      <x:c r="D2747">
        <x:f>ROUND($C2747*10*VLOOKUP($B2747,Sheet2!$J$5:$K$7,2,FALSE)*VLOOKUP(Sheet1!$A2747,Sheet2!$B$5:$H$29,3,FALSE),0)</x:f>
        <x:v>92</x:v>
      </x:c>
      <x:c r="E2747">
        <x:f>ROUND($C2747*10*VLOOKUP($B2747,Sheet2!$J$5:$K$7,2,FALSE)*VLOOKUP(Sheet1!$A2747,Sheet2!$B$5:$H$29,4,FALSE),0)</x:f>
        <x:v>0</x:v>
      </x:c>
      <x:c r="F2747">
        <x:f>ROUND($C2747*10*VLOOKUP($B2747,Sheet2!$J$5:$K$7,2,FALSE)*VLOOKUP(Sheet1!$A2747,Sheet2!$B$5:$H$29,5,FALSE),0)</x:f>
        <x:v>0</x:v>
      </x:c>
      <x:c r="G2747">
        <x:f>ROUND($C2747*10*VLOOKUP($B2747,Sheet2!$J$5:$K$7,2,FALSE)*VLOOKUP(Sheet1!$A2747,Sheet2!$B$5:$H$29,6,FALSE),0)</x:f>
        <x:v>221</x:v>
      </x:c>
      <x:c r="H2747">
        <x:f>ROUND($C2747*10*VLOOKUP($B2747,Sheet2!$J$5:$K$7,2,FALSE)*VLOOKUP(Sheet1!$A2747,Sheet2!$B$5:$H$29,7,FALSE),0)</x:f>
        <x:v>0</x:v>
      </x:c>
      <x:c r="I2747">
        <x:f t="shared" si="45"/>
        <x:v>20460</x:v>
      </x:c>
    </x:row>
    <x:row r="2748" spans="1:9" x14ac:dyDescent="0.15">
      <x:c r="A2748">
        <x:v>54151</x:v>
      </x:c>
      <x:c r="B2748">
        <x:v>1</x:v>
      </x:c>
      <x:c r="C2748">
        <x:v>47</x:v>
      </x:c>
      <x:c r="D2748">
        <x:f>ROUND($C2748*10*VLOOKUP($B2748,Sheet2!$J$5:$K$7,2,FALSE)*VLOOKUP(Sheet1!$A2748,Sheet2!$B$5:$H$29,3,FALSE),0)</x:f>
        <x:v>94</x:v>
      </x:c>
      <x:c r="E2748">
        <x:f>ROUND($C2748*10*VLOOKUP($B2748,Sheet2!$J$5:$K$7,2,FALSE)*VLOOKUP(Sheet1!$A2748,Sheet2!$B$5:$H$29,4,FALSE),0)</x:f>
        <x:v>0</x:v>
      </x:c>
      <x:c r="F2748">
        <x:f>ROUND($C2748*10*VLOOKUP($B2748,Sheet2!$J$5:$K$7,2,FALSE)*VLOOKUP(Sheet1!$A2748,Sheet2!$B$5:$H$29,5,FALSE),0)</x:f>
        <x:v>0</x:v>
      </x:c>
      <x:c r="G2748">
        <x:f>ROUND($C2748*10*VLOOKUP($B2748,Sheet2!$J$5:$K$7,2,FALSE)*VLOOKUP(Sheet1!$A2748,Sheet2!$B$5:$H$29,6,FALSE),0)</x:f>
        <x:v>226</x:v>
      </x:c>
      <x:c r="H2748">
        <x:f>ROUND($C2748*10*VLOOKUP($B2748,Sheet2!$J$5:$K$7,2,FALSE)*VLOOKUP(Sheet1!$A2748,Sheet2!$B$5:$H$29,7,FALSE),0)</x:f>
        <x:v>0</x:v>
      </x:c>
      <x:c r="I2748">
        <x:f t="shared" si="45"/>
        <x:v>21280</x:v>
      </x:c>
    </x:row>
    <x:row r="2749" spans="1:9" x14ac:dyDescent="0.15">
      <x:c r="A2749">
        <x:v>54151</x:v>
      </x:c>
      <x:c r="B2749">
        <x:v>1</x:v>
      </x:c>
      <x:c r="C2749">
        <x:v>48</x:v>
      </x:c>
      <x:c r="D2749">
        <x:f>ROUND($C2749*10*VLOOKUP($B2749,Sheet2!$J$5:$K$7,2,FALSE)*VLOOKUP(Sheet1!$A2749,Sheet2!$B$5:$H$29,3,FALSE),0)</x:f>
        <x:v>96</x:v>
      </x:c>
      <x:c r="E2749">
        <x:f>ROUND($C2749*10*VLOOKUP($B2749,Sheet2!$J$5:$K$7,2,FALSE)*VLOOKUP(Sheet1!$A2749,Sheet2!$B$5:$H$29,4,FALSE),0)</x:f>
        <x:v>0</x:v>
      </x:c>
      <x:c r="F2749">
        <x:f>ROUND($C2749*10*VLOOKUP($B2749,Sheet2!$J$5:$K$7,2,FALSE)*VLOOKUP(Sheet1!$A2749,Sheet2!$B$5:$H$29,5,FALSE),0)</x:f>
        <x:v>0</x:v>
      </x:c>
      <x:c r="G2749">
        <x:f>ROUND($C2749*10*VLOOKUP($B2749,Sheet2!$J$5:$K$7,2,FALSE)*VLOOKUP(Sheet1!$A2749,Sheet2!$B$5:$H$29,6,FALSE),0)</x:f>
        <x:v>230</x:v>
      </x:c>
      <x:c r="H2749">
        <x:f>ROUND($C2749*10*VLOOKUP($B2749,Sheet2!$J$5:$K$7,2,FALSE)*VLOOKUP(Sheet1!$A2749,Sheet2!$B$5:$H$29,7,FALSE),0)</x:f>
        <x:v>0</x:v>
      </x:c>
      <x:c r="I2749">
        <x:f t="shared" si="45"/>
        <x:v>22120</x:v>
      </x:c>
    </x:row>
    <x:row r="2750" spans="1:9" x14ac:dyDescent="0.15">
      <x:c r="A2750">
        <x:v>54151</x:v>
      </x:c>
      <x:c r="B2750">
        <x:v>1</x:v>
      </x:c>
      <x:c r="C2750">
        <x:v>49</x:v>
      </x:c>
      <x:c r="D2750">
        <x:f>ROUND($C2750*10*VLOOKUP($B2750,Sheet2!$J$5:$K$7,2,FALSE)*VLOOKUP(Sheet1!$A2750,Sheet2!$B$5:$H$29,3,FALSE),0)</x:f>
        <x:v>98</x:v>
      </x:c>
      <x:c r="E2750">
        <x:f>ROUND($C2750*10*VLOOKUP($B2750,Sheet2!$J$5:$K$7,2,FALSE)*VLOOKUP(Sheet1!$A2750,Sheet2!$B$5:$H$29,4,FALSE),0)</x:f>
        <x:v>0</x:v>
      </x:c>
      <x:c r="F2750">
        <x:f>ROUND($C2750*10*VLOOKUP($B2750,Sheet2!$J$5:$K$7,2,FALSE)*VLOOKUP(Sheet1!$A2750,Sheet2!$B$5:$H$29,5,FALSE),0)</x:f>
        <x:v>0</x:v>
      </x:c>
      <x:c r="G2750">
        <x:f>ROUND($C2750*10*VLOOKUP($B2750,Sheet2!$J$5:$K$7,2,FALSE)*VLOOKUP(Sheet1!$A2750,Sheet2!$B$5:$H$29,6,FALSE),0)</x:f>
        <x:v>235</x:v>
      </x:c>
      <x:c r="H2750">
        <x:f>ROUND($C2750*10*VLOOKUP($B2750,Sheet2!$J$5:$K$7,2,FALSE)*VLOOKUP(Sheet1!$A2750,Sheet2!$B$5:$H$29,7,FALSE),0)</x:f>
        <x:v>0</x:v>
      </x:c>
      <x:c r="I2750">
        <x:f t="shared" si="45"/>
        <x:v>22970</x:v>
      </x:c>
    </x:row>
    <x:row r="2751" spans="1:9" x14ac:dyDescent="0.15">
      <x:c r="A2751">
        <x:v>54151</x:v>
      </x:c>
      <x:c r="B2751">
        <x:v>1</x:v>
      </x:c>
      <x:c r="C2751">
        <x:v>50</x:v>
      </x:c>
      <x:c r="D2751">
        <x:f>ROUND($C2751*10*VLOOKUP($B2751,Sheet2!$J$5:$K$7,2,FALSE)*VLOOKUP(Sheet1!$A2751,Sheet2!$B$5:$H$29,3,FALSE),0)</x:f>
        <x:v>100</x:v>
      </x:c>
      <x:c r="E2751">
        <x:f>ROUND($C2751*10*VLOOKUP($B2751,Sheet2!$J$5:$K$7,2,FALSE)*VLOOKUP(Sheet1!$A2751,Sheet2!$B$5:$H$29,4,FALSE),0)</x:f>
        <x:v>0</x:v>
      </x:c>
      <x:c r="F2751">
        <x:f>ROUND($C2751*10*VLOOKUP($B2751,Sheet2!$J$5:$K$7,2,FALSE)*VLOOKUP(Sheet1!$A2751,Sheet2!$B$5:$H$29,5,FALSE),0)</x:f>
        <x:v>0</x:v>
      </x:c>
      <x:c r="G2751">
        <x:f>ROUND($C2751*10*VLOOKUP($B2751,Sheet2!$J$5:$K$7,2,FALSE)*VLOOKUP(Sheet1!$A2751,Sheet2!$B$5:$H$29,6,FALSE),0)</x:f>
        <x:v>240</x:v>
      </x:c>
      <x:c r="H2751">
        <x:f>ROUND($C2751*10*VLOOKUP($B2751,Sheet2!$J$5:$K$7,2,FALSE)*VLOOKUP(Sheet1!$A2751,Sheet2!$B$5:$H$29,7,FALSE),0)</x:f>
        <x:v>0</x:v>
      </x:c>
      <x:c r="I2751">
        <x:f t="shared" si="45"/>
        <x:v>23840</x:v>
      </x:c>
    </x:row>
    <x:row r="2752" spans="1:9" x14ac:dyDescent="0.15">
      <x:c r="A2752">
        <x:v>54151</x:v>
      </x:c>
      <x:c r="B2752">
        <x:v>1</x:v>
      </x:c>
      <x:c r="C2752">
        <x:v>51</x:v>
      </x:c>
      <x:c r="D2752">
        <x:f>ROUND($C2752*10*VLOOKUP($B2752,Sheet2!$J$5:$K$7,2,FALSE)*VLOOKUP(Sheet1!$A2752,Sheet2!$B$5:$H$29,3,FALSE),0)</x:f>
        <x:v>102</x:v>
      </x:c>
      <x:c r="E2752">
        <x:f>ROUND($C2752*10*VLOOKUP($B2752,Sheet2!$J$5:$K$7,2,FALSE)*VLOOKUP(Sheet1!$A2752,Sheet2!$B$5:$H$29,4,FALSE),0)</x:f>
        <x:v>0</x:v>
      </x:c>
      <x:c r="F2752">
        <x:f>ROUND($C2752*10*VLOOKUP($B2752,Sheet2!$J$5:$K$7,2,FALSE)*VLOOKUP(Sheet1!$A2752,Sheet2!$B$5:$H$29,5,FALSE),0)</x:f>
        <x:v>0</x:v>
      </x:c>
      <x:c r="G2752">
        <x:f>ROUND($C2752*10*VLOOKUP($B2752,Sheet2!$J$5:$K$7,2,FALSE)*VLOOKUP(Sheet1!$A2752,Sheet2!$B$5:$H$29,6,FALSE),0)</x:f>
        <x:v>245</x:v>
      </x:c>
      <x:c r="H2752">
        <x:f>ROUND($C2752*10*VLOOKUP($B2752,Sheet2!$J$5:$K$7,2,FALSE)*VLOOKUP(Sheet1!$A2752,Sheet2!$B$5:$H$29,7,FALSE),0)</x:f>
        <x:v>0</x:v>
      </x:c>
      <x:c r="I2752">
        <x:f t="shared" si="45"/>
        <x:v>24720</x:v>
      </x:c>
    </x:row>
    <x:row r="2753" spans="1:9" x14ac:dyDescent="0.15">
      <x:c r="A2753">
        <x:v>54151</x:v>
      </x:c>
      <x:c r="B2753">
        <x:v>1</x:v>
      </x:c>
      <x:c r="C2753">
        <x:v>52</x:v>
      </x:c>
      <x:c r="D2753">
        <x:f>ROUND($C2753*10*VLOOKUP($B2753,Sheet2!$J$5:$K$7,2,FALSE)*VLOOKUP(Sheet1!$A2753,Sheet2!$B$5:$H$29,3,FALSE),0)</x:f>
        <x:v>104</x:v>
      </x:c>
      <x:c r="E2753">
        <x:f>ROUND($C2753*10*VLOOKUP($B2753,Sheet2!$J$5:$K$7,2,FALSE)*VLOOKUP(Sheet1!$A2753,Sheet2!$B$5:$H$29,4,FALSE),0)</x:f>
        <x:v>0</x:v>
      </x:c>
      <x:c r="F2753">
        <x:f>ROUND($C2753*10*VLOOKUP($B2753,Sheet2!$J$5:$K$7,2,FALSE)*VLOOKUP(Sheet1!$A2753,Sheet2!$B$5:$H$29,5,FALSE),0)</x:f>
        <x:v>0</x:v>
      </x:c>
      <x:c r="G2753">
        <x:f>ROUND($C2753*10*VLOOKUP($B2753,Sheet2!$J$5:$K$7,2,FALSE)*VLOOKUP(Sheet1!$A2753,Sheet2!$B$5:$H$29,6,FALSE),0)</x:f>
        <x:v>250</x:v>
      </x:c>
      <x:c r="H2753">
        <x:f>ROUND($C2753*10*VLOOKUP($B2753,Sheet2!$J$5:$K$7,2,FALSE)*VLOOKUP(Sheet1!$A2753,Sheet2!$B$5:$H$29,7,FALSE),0)</x:f>
        <x:v>0</x:v>
      </x:c>
      <x:c r="I2753">
        <x:f t="shared" si="45"/>
        <x:v>25620</x:v>
      </x:c>
    </x:row>
    <x:row r="2754" spans="1:9" x14ac:dyDescent="0.15">
      <x:c r="A2754">
        <x:v>54151</x:v>
      </x:c>
      <x:c r="B2754">
        <x:v>1</x:v>
      </x:c>
      <x:c r="C2754">
        <x:v>53</x:v>
      </x:c>
      <x:c r="D2754">
        <x:f>ROUND($C2754*10*VLOOKUP($B2754,Sheet2!$J$5:$K$7,2,FALSE)*VLOOKUP(Sheet1!$A2754,Sheet2!$B$5:$H$29,3,FALSE),0)</x:f>
        <x:v>106</x:v>
      </x:c>
      <x:c r="E2754">
        <x:f>ROUND($C2754*10*VLOOKUP($B2754,Sheet2!$J$5:$K$7,2,FALSE)*VLOOKUP(Sheet1!$A2754,Sheet2!$B$5:$H$29,4,FALSE),0)</x:f>
        <x:v>0</x:v>
      </x:c>
      <x:c r="F2754">
        <x:f>ROUND($C2754*10*VLOOKUP($B2754,Sheet2!$J$5:$K$7,2,FALSE)*VLOOKUP(Sheet1!$A2754,Sheet2!$B$5:$H$29,5,FALSE),0)</x:f>
        <x:v>0</x:v>
      </x:c>
      <x:c r="G2754">
        <x:f>ROUND($C2754*10*VLOOKUP($B2754,Sheet2!$J$5:$K$7,2,FALSE)*VLOOKUP(Sheet1!$A2754,Sheet2!$B$5:$H$29,6,FALSE),0)</x:f>
        <x:v>254</x:v>
      </x:c>
      <x:c r="H2754">
        <x:f>ROUND($C2754*10*VLOOKUP($B2754,Sheet2!$J$5:$K$7,2,FALSE)*VLOOKUP(Sheet1!$A2754,Sheet2!$B$5:$H$29,7,FALSE),0)</x:f>
        <x:v>0</x:v>
      </x:c>
      <x:c r="I2754">
        <x:f t="shared" si="45"/>
        <x:v>26530</x:v>
      </x:c>
    </x:row>
    <x:row r="2755" spans="1:9" x14ac:dyDescent="0.15">
      <x:c r="A2755">
        <x:v>54151</x:v>
      </x:c>
      <x:c r="B2755">
        <x:v>1</x:v>
      </x:c>
      <x:c r="C2755">
        <x:v>54</x:v>
      </x:c>
      <x:c r="D2755">
        <x:f>ROUND($C2755*10*VLOOKUP($B2755,Sheet2!$J$5:$K$7,2,FALSE)*VLOOKUP(Sheet1!$A2755,Sheet2!$B$5:$H$29,3,FALSE),0)</x:f>
        <x:v>108</x:v>
      </x:c>
      <x:c r="E2755">
        <x:f>ROUND($C2755*10*VLOOKUP($B2755,Sheet2!$J$5:$K$7,2,FALSE)*VLOOKUP(Sheet1!$A2755,Sheet2!$B$5:$H$29,4,FALSE),0)</x:f>
        <x:v>0</x:v>
      </x:c>
      <x:c r="F2755">
        <x:f>ROUND($C2755*10*VLOOKUP($B2755,Sheet2!$J$5:$K$7,2,FALSE)*VLOOKUP(Sheet1!$A2755,Sheet2!$B$5:$H$29,5,FALSE),0)</x:f>
        <x:v>0</x:v>
      </x:c>
      <x:c r="G2755">
        <x:f>ROUND($C2755*10*VLOOKUP($B2755,Sheet2!$J$5:$K$7,2,FALSE)*VLOOKUP(Sheet1!$A2755,Sheet2!$B$5:$H$29,6,FALSE),0)</x:f>
        <x:v>259</x:v>
      </x:c>
      <x:c r="H2755">
        <x:f>ROUND($C2755*10*VLOOKUP($B2755,Sheet2!$J$5:$K$7,2,FALSE)*VLOOKUP(Sheet1!$A2755,Sheet2!$B$5:$H$29,7,FALSE),0)</x:f>
        <x:v>0</x:v>
      </x:c>
      <x:c r="I2755">
        <x:f t="shared" si="45"/>
        <x:v>27460</x:v>
      </x:c>
    </x:row>
    <x:row r="2756" spans="1:9" x14ac:dyDescent="0.15">
      <x:c r="A2756">
        <x:v>54151</x:v>
      </x:c>
      <x:c r="B2756">
        <x:v>1</x:v>
      </x:c>
      <x:c r="C2756">
        <x:v>55</x:v>
      </x:c>
      <x:c r="D2756">
        <x:f>ROUND($C2756*10*VLOOKUP($B2756,Sheet2!$J$5:$K$7,2,FALSE)*VLOOKUP(Sheet1!$A2756,Sheet2!$B$5:$H$29,3,FALSE),0)</x:f>
        <x:v>110</x:v>
      </x:c>
      <x:c r="E2756">
        <x:f>ROUND($C2756*10*VLOOKUP($B2756,Sheet2!$J$5:$K$7,2,FALSE)*VLOOKUP(Sheet1!$A2756,Sheet2!$B$5:$H$29,4,FALSE),0)</x:f>
        <x:v>0</x:v>
      </x:c>
      <x:c r="F2756">
        <x:f>ROUND($C2756*10*VLOOKUP($B2756,Sheet2!$J$5:$K$7,2,FALSE)*VLOOKUP(Sheet1!$A2756,Sheet2!$B$5:$H$29,5,FALSE),0)</x:f>
        <x:v>0</x:v>
      </x:c>
      <x:c r="G2756">
        <x:f>ROUND($C2756*10*VLOOKUP($B2756,Sheet2!$J$5:$K$7,2,FALSE)*VLOOKUP(Sheet1!$A2756,Sheet2!$B$5:$H$29,6,FALSE),0)</x:f>
        <x:v>264</x:v>
      </x:c>
      <x:c r="H2756">
        <x:f>ROUND($C2756*10*VLOOKUP($B2756,Sheet2!$J$5:$K$7,2,FALSE)*VLOOKUP(Sheet1!$A2756,Sheet2!$B$5:$H$29,7,FALSE),0)</x:f>
        <x:v>0</x:v>
      </x:c>
      <x:c r="I2756">
        <x:f t="shared" si="45"/>
        <x:v>28390</x:v>
      </x:c>
    </x:row>
    <x:row r="2757" spans="1:9" x14ac:dyDescent="0.15">
      <x:c r="A2757">
        <x:v>54151</x:v>
      </x:c>
      <x:c r="B2757">
        <x:v>1</x:v>
      </x:c>
      <x:c r="C2757">
        <x:v>56</x:v>
      </x:c>
      <x:c r="D2757">
        <x:f>ROUND($C2757*10*VLOOKUP($B2757,Sheet2!$J$5:$K$7,2,FALSE)*VLOOKUP(Sheet1!$A2757,Sheet2!$B$5:$H$29,3,FALSE),0)</x:f>
        <x:v>112</x:v>
      </x:c>
      <x:c r="E2757">
        <x:f>ROUND($C2757*10*VLOOKUP($B2757,Sheet2!$J$5:$K$7,2,FALSE)*VLOOKUP(Sheet1!$A2757,Sheet2!$B$5:$H$29,4,FALSE),0)</x:f>
        <x:v>0</x:v>
      </x:c>
      <x:c r="F2757">
        <x:f>ROUND($C2757*10*VLOOKUP($B2757,Sheet2!$J$5:$K$7,2,FALSE)*VLOOKUP(Sheet1!$A2757,Sheet2!$B$5:$H$29,5,FALSE),0)</x:f>
        <x:v>0</x:v>
      </x:c>
      <x:c r="G2757">
        <x:f>ROUND($C2757*10*VLOOKUP($B2757,Sheet2!$J$5:$K$7,2,FALSE)*VLOOKUP(Sheet1!$A2757,Sheet2!$B$5:$H$29,6,FALSE),0)</x:f>
        <x:v>269</x:v>
      </x:c>
      <x:c r="H2757">
        <x:f>ROUND($C2757*10*VLOOKUP($B2757,Sheet2!$J$5:$K$7,2,FALSE)*VLOOKUP(Sheet1!$A2757,Sheet2!$B$5:$H$29,7,FALSE),0)</x:f>
        <x:v>0</x:v>
      </x:c>
      <x:c r="I2757">
        <x:f t="shared" si="45"/>
        <x:v>29350</x:v>
      </x:c>
    </x:row>
    <x:row r="2758" spans="1:9" x14ac:dyDescent="0.15">
      <x:c r="A2758">
        <x:v>54151</x:v>
      </x:c>
      <x:c r="B2758">
        <x:v>1</x:v>
      </x:c>
      <x:c r="C2758">
        <x:v>57</x:v>
      </x:c>
      <x:c r="D2758">
        <x:f>ROUND($C2758*10*VLOOKUP($B2758,Sheet2!$J$5:$K$7,2,FALSE)*VLOOKUP(Sheet1!$A2758,Sheet2!$B$5:$H$29,3,FALSE),0)</x:f>
        <x:v>114</x:v>
      </x:c>
      <x:c r="E2758">
        <x:f>ROUND($C2758*10*VLOOKUP($B2758,Sheet2!$J$5:$K$7,2,FALSE)*VLOOKUP(Sheet1!$A2758,Sheet2!$B$5:$H$29,4,FALSE),0)</x:f>
        <x:v>0</x:v>
      </x:c>
      <x:c r="F2758">
        <x:f>ROUND($C2758*10*VLOOKUP($B2758,Sheet2!$J$5:$K$7,2,FALSE)*VLOOKUP(Sheet1!$A2758,Sheet2!$B$5:$H$29,5,FALSE),0)</x:f>
        <x:v>0</x:v>
      </x:c>
      <x:c r="G2758">
        <x:f>ROUND($C2758*10*VLOOKUP($B2758,Sheet2!$J$5:$K$7,2,FALSE)*VLOOKUP(Sheet1!$A2758,Sheet2!$B$5:$H$29,6,FALSE),0)</x:f>
        <x:v>274</x:v>
      </x:c>
      <x:c r="H2758">
        <x:f>ROUND($C2758*10*VLOOKUP($B2758,Sheet2!$J$5:$K$7,2,FALSE)*VLOOKUP(Sheet1!$A2758,Sheet2!$B$5:$H$29,7,FALSE),0)</x:f>
        <x:v>0</x:v>
      </x:c>
      <x:c r="I2758">
        <x:f t="shared" si="45"/>
        <x:v>30310</x:v>
      </x:c>
    </x:row>
    <x:row r="2759" spans="1:9" x14ac:dyDescent="0.15">
      <x:c r="A2759">
        <x:v>54151</x:v>
      </x:c>
      <x:c r="B2759">
        <x:v>1</x:v>
      </x:c>
      <x:c r="C2759">
        <x:v>58</x:v>
      </x:c>
      <x:c r="D2759">
        <x:f>ROUND($C2759*10*VLOOKUP($B2759,Sheet2!$J$5:$K$7,2,FALSE)*VLOOKUP(Sheet1!$A2759,Sheet2!$B$5:$H$29,3,FALSE),0)</x:f>
        <x:v>116</x:v>
      </x:c>
      <x:c r="E2759">
        <x:f>ROUND($C2759*10*VLOOKUP($B2759,Sheet2!$J$5:$K$7,2,FALSE)*VLOOKUP(Sheet1!$A2759,Sheet2!$B$5:$H$29,4,FALSE),0)</x:f>
        <x:v>0</x:v>
      </x:c>
      <x:c r="F2759">
        <x:f>ROUND($C2759*10*VLOOKUP($B2759,Sheet2!$J$5:$K$7,2,FALSE)*VLOOKUP(Sheet1!$A2759,Sheet2!$B$5:$H$29,5,FALSE),0)</x:f>
        <x:v>0</x:v>
      </x:c>
      <x:c r="G2759">
        <x:f>ROUND($C2759*10*VLOOKUP($B2759,Sheet2!$J$5:$K$7,2,FALSE)*VLOOKUP(Sheet1!$A2759,Sheet2!$B$5:$H$29,6,FALSE),0)</x:f>
        <x:v>278</x:v>
      </x:c>
      <x:c r="H2759">
        <x:f>ROUND($C2759*10*VLOOKUP($B2759,Sheet2!$J$5:$K$7,2,FALSE)*VLOOKUP(Sheet1!$A2759,Sheet2!$B$5:$H$29,7,FALSE),0)</x:f>
        <x:v>0</x:v>
      </x:c>
      <x:c r="I2759">
        <x:f t="shared" si="45"/>
        <x:v>31290</x:v>
      </x:c>
    </x:row>
    <x:row r="2760" spans="1:9" x14ac:dyDescent="0.15">
      <x:c r="A2760">
        <x:v>54151</x:v>
      </x:c>
      <x:c r="B2760">
        <x:v>1</x:v>
      </x:c>
      <x:c r="C2760">
        <x:v>59</x:v>
      </x:c>
      <x:c r="D2760">
        <x:f>ROUND($C2760*10*VLOOKUP($B2760,Sheet2!$J$5:$K$7,2,FALSE)*VLOOKUP(Sheet1!$A2760,Sheet2!$B$5:$H$29,3,FALSE),0)</x:f>
        <x:v>118</x:v>
      </x:c>
      <x:c r="E2760">
        <x:f>ROUND($C2760*10*VLOOKUP($B2760,Sheet2!$J$5:$K$7,2,FALSE)*VLOOKUP(Sheet1!$A2760,Sheet2!$B$5:$H$29,4,FALSE),0)</x:f>
        <x:v>0</x:v>
      </x:c>
      <x:c r="F2760">
        <x:f>ROUND($C2760*10*VLOOKUP($B2760,Sheet2!$J$5:$K$7,2,FALSE)*VLOOKUP(Sheet1!$A2760,Sheet2!$B$5:$H$29,5,FALSE),0)</x:f>
        <x:v>0</x:v>
      </x:c>
      <x:c r="G2760">
        <x:f>ROUND($C2760*10*VLOOKUP($B2760,Sheet2!$J$5:$K$7,2,FALSE)*VLOOKUP(Sheet1!$A2760,Sheet2!$B$5:$H$29,6,FALSE),0)</x:f>
        <x:v>283</x:v>
      </x:c>
      <x:c r="H2760">
        <x:f>ROUND($C2760*10*VLOOKUP($B2760,Sheet2!$J$5:$K$7,2,FALSE)*VLOOKUP(Sheet1!$A2760,Sheet2!$B$5:$H$29,7,FALSE),0)</x:f>
        <x:v>0</x:v>
      </x:c>
      <x:c r="I2760">
        <x:f t="shared" si="45"/>
        <x:v>32290</x:v>
      </x:c>
    </x:row>
    <x:row r="2761" spans="1:9" x14ac:dyDescent="0.15">
      <x:c r="A2761">
        <x:v>54151</x:v>
      </x:c>
      <x:c r="B2761">
        <x:v>1</x:v>
      </x:c>
      <x:c r="C2761">
        <x:v>60</x:v>
      </x:c>
      <x:c r="D2761">
        <x:f>ROUND($C2761*10*VLOOKUP($B2761,Sheet2!$J$5:$K$7,2,FALSE)*VLOOKUP(Sheet1!$A2761,Sheet2!$B$5:$H$29,3,FALSE),0)</x:f>
        <x:v>120</x:v>
      </x:c>
      <x:c r="E2761">
        <x:f>ROUND($C2761*10*VLOOKUP($B2761,Sheet2!$J$5:$K$7,2,FALSE)*VLOOKUP(Sheet1!$A2761,Sheet2!$B$5:$H$29,4,FALSE),0)</x:f>
        <x:v>0</x:v>
      </x:c>
      <x:c r="F2761">
        <x:f>ROUND($C2761*10*VLOOKUP($B2761,Sheet2!$J$5:$K$7,2,FALSE)*VLOOKUP(Sheet1!$A2761,Sheet2!$B$5:$H$29,5,FALSE),0)</x:f>
        <x:v>0</x:v>
      </x:c>
      <x:c r="G2761">
        <x:f>ROUND($C2761*10*VLOOKUP($B2761,Sheet2!$J$5:$K$7,2,FALSE)*VLOOKUP(Sheet1!$A2761,Sheet2!$B$5:$H$29,6,FALSE),0)</x:f>
        <x:v>288</x:v>
      </x:c>
      <x:c r="H2761">
        <x:f>ROUND($C2761*10*VLOOKUP($B2761,Sheet2!$J$5:$K$7,2,FALSE)*VLOOKUP(Sheet1!$A2761,Sheet2!$B$5:$H$29,7,FALSE),0)</x:f>
        <x:v>0</x:v>
      </x:c>
      <x:c r="I2761">
        <x:f t="shared" si="45"/>
        <x:v>33290</x:v>
      </x:c>
    </x:row>
    <x:row r="2762" spans="1:9" x14ac:dyDescent="0.15">
      <x:c r="A2762">
        <x:v>54151</x:v>
      </x:c>
      <x:c r="B2762">
        <x:v>2</x:v>
      </x:c>
      <x:c r="C2762">
        <x:v>1</x:v>
      </x:c>
      <x:c r="D2762">
        <x:f>ROUND($C2762*10*VLOOKUP($B2762,Sheet2!$J$5:$K$7,2,FALSE)*VLOOKUP(Sheet1!$A2762,Sheet2!$B$5:$H$29,3,FALSE),0)</x:f>
        <x:v>2</x:v>
      </x:c>
      <x:c r="E2762">
        <x:f>ROUND($C2762*10*VLOOKUP($B2762,Sheet2!$J$5:$K$7,2,FALSE)*VLOOKUP(Sheet1!$A2762,Sheet2!$B$5:$H$29,4,FALSE),0)</x:f>
        <x:v>0</x:v>
      </x:c>
      <x:c r="F2762">
        <x:f>ROUND($C2762*10*VLOOKUP($B2762,Sheet2!$J$5:$K$7,2,FALSE)*VLOOKUP(Sheet1!$A2762,Sheet2!$B$5:$H$29,5,FALSE),0)</x:f>
        <x:v>0</x:v>
      </x:c>
      <x:c r="G2762">
        <x:f>ROUND($C2762*10*VLOOKUP($B2762,Sheet2!$J$5:$K$7,2,FALSE)*VLOOKUP(Sheet1!$A2762,Sheet2!$B$5:$H$29,6,FALSE),0)</x:f>
        <x:v>6</x:v>
      </x:c>
      <x:c r="H2762">
        <x:f>ROUND($C2762*10*VLOOKUP($B2762,Sheet2!$J$5:$K$7,2,FALSE)*VLOOKUP(Sheet1!$A2762,Sheet2!$B$5:$H$29,7,FALSE),0)</x:f>
        <x:v>0</x:v>
      </x:c>
      <x:c r="I2762">
        <x:f t="shared" ref="I2762:I2821" si="46">ROUND(1.2*10*3.5*(C2762-1)^1.8+60,-1)</x:f>
        <x:v>60</x:v>
      </x:c>
    </x:row>
    <x:row r="2763" spans="1:9" x14ac:dyDescent="0.15">
      <x:c r="A2763">
        <x:v>54151</x:v>
      </x:c>
      <x:c r="B2763">
        <x:v>2</x:v>
      </x:c>
      <x:c r="C2763">
        <x:v>2</x:v>
      </x:c>
      <x:c r="D2763">
        <x:f>ROUND($C2763*10*VLOOKUP($B2763,Sheet2!$J$5:$K$7,2,FALSE)*VLOOKUP(Sheet1!$A2763,Sheet2!$B$5:$H$29,3,FALSE),0)</x:f>
        <x:v>5</x:v>
      </x:c>
      <x:c r="E2763">
        <x:f>ROUND($C2763*10*VLOOKUP($B2763,Sheet2!$J$5:$K$7,2,FALSE)*VLOOKUP(Sheet1!$A2763,Sheet2!$B$5:$H$29,4,FALSE),0)</x:f>
        <x:v>0</x:v>
      </x:c>
      <x:c r="F2763">
        <x:f>ROUND($C2763*10*VLOOKUP($B2763,Sheet2!$J$5:$K$7,2,FALSE)*VLOOKUP(Sheet1!$A2763,Sheet2!$B$5:$H$29,5,FALSE),0)</x:f>
        <x:v>0</x:v>
      </x:c>
      <x:c r="G2763">
        <x:f>ROUND($C2763*10*VLOOKUP($B2763,Sheet2!$J$5:$K$7,2,FALSE)*VLOOKUP(Sheet1!$A2763,Sheet2!$B$5:$H$29,6,FALSE),0)</x:f>
        <x:v>12</x:v>
      </x:c>
      <x:c r="H2763">
        <x:f>ROUND($C2763*10*VLOOKUP($B2763,Sheet2!$J$5:$K$7,2,FALSE)*VLOOKUP(Sheet1!$A2763,Sheet2!$B$5:$H$29,7,FALSE),0)</x:f>
        <x:v>0</x:v>
      </x:c>
      <x:c r="I2763">
        <x:f t="shared" si="46"/>
        <x:v>100</x:v>
      </x:c>
    </x:row>
    <x:row r="2764" spans="1:9" x14ac:dyDescent="0.15">
      <x:c r="A2764">
        <x:v>54151</x:v>
      </x:c>
      <x:c r="B2764">
        <x:v>2</x:v>
      </x:c>
      <x:c r="C2764">
        <x:v>3</x:v>
      </x:c>
      <x:c r="D2764">
        <x:f>ROUND($C2764*10*VLOOKUP($B2764,Sheet2!$J$5:$K$7,2,FALSE)*VLOOKUP(Sheet1!$A2764,Sheet2!$B$5:$H$29,3,FALSE),0)</x:f>
        <x:v>7</x:v>
      </x:c>
      <x:c r="E2764">
        <x:f>ROUND($C2764*10*VLOOKUP($B2764,Sheet2!$J$5:$K$7,2,FALSE)*VLOOKUP(Sheet1!$A2764,Sheet2!$B$5:$H$29,4,FALSE),0)</x:f>
        <x:v>0</x:v>
      </x:c>
      <x:c r="F2764">
        <x:f>ROUND($C2764*10*VLOOKUP($B2764,Sheet2!$J$5:$K$7,2,FALSE)*VLOOKUP(Sheet1!$A2764,Sheet2!$B$5:$H$29,5,FALSE),0)</x:f>
        <x:v>0</x:v>
      </x:c>
      <x:c r="G2764">
        <x:f>ROUND($C2764*10*VLOOKUP($B2764,Sheet2!$J$5:$K$7,2,FALSE)*VLOOKUP(Sheet1!$A2764,Sheet2!$B$5:$H$29,6,FALSE),0)</x:f>
        <x:v>17</x:v>
      </x:c>
      <x:c r="H2764">
        <x:f>ROUND($C2764*10*VLOOKUP($B2764,Sheet2!$J$5:$K$7,2,FALSE)*VLOOKUP(Sheet1!$A2764,Sheet2!$B$5:$H$29,7,FALSE),0)</x:f>
        <x:v>0</x:v>
      </x:c>
      <x:c r="I2764">
        <x:f t="shared" si="46"/>
        <x:v>210</x:v>
      </x:c>
    </x:row>
    <x:row r="2765" spans="1:9" x14ac:dyDescent="0.15">
      <x:c r="A2765">
        <x:v>54151</x:v>
      </x:c>
      <x:c r="B2765">
        <x:v>2</x:v>
      </x:c>
      <x:c r="C2765">
        <x:v>4</x:v>
      </x:c>
      <x:c r="D2765">
        <x:f>ROUND($C2765*10*VLOOKUP($B2765,Sheet2!$J$5:$K$7,2,FALSE)*VLOOKUP(Sheet1!$A2765,Sheet2!$B$5:$H$29,3,FALSE),0)</x:f>
        <x:v>10</x:v>
      </x:c>
      <x:c r="E2765">
        <x:f>ROUND($C2765*10*VLOOKUP($B2765,Sheet2!$J$5:$K$7,2,FALSE)*VLOOKUP(Sheet1!$A2765,Sheet2!$B$5:$H$29,4,FALSE),0)</x:f>
        <x:v>0</x:v>
      </x:c>
      <x:c r="F2765">
        <x:f>ROUND($C2765*10*VLOOKUP($B2765,Sheet2!$J$5:$K$7,2,FALSE)*VLOOKUP(Sheet1!$A2765,Sheet2!$B$5:$H$29,5,FALSE),0)</x:f>
        <x:v>0</x:v>
      </x:c>
      <x:c r="G2765">
        <x:f>ROUND($C2765*10*VLOOKUP($B2765,Sheet2!$J$5:$K$7,2,FALSE)*VLOOKUP(Sheet1!$A2765,Sheet2!$B$5:$H$29,6,FALSE),0)</x:f>
        <x:v>23</x:v>
      </x:c>
      <x:c r="H2765">
        <x:f>ROUND($C2765*10*VLOOKUP($B2765,Sheet2!$J$5:$K$7,2,FALSE)*VLOOKUP(Sheet1!$A2765,Sheet2!$B$5:$H$29,7,FALSE),0)</x:f>
        <x:v>0</x:v>
      </x:c>
      <x:c r="I2765">
        <x:f t="shared" si="46"/>
        <x:v>360</x:v>
      </x:c>
    </x:row>
    <x:row r="2766" spans="1:9" x14ac:dyDescent="0.15">
      <x:c r="A2766">
        <x:v>54151</x:v>
      </x:c>
      <x:c r="B2766">
        <x:v>2</x:v>
      </x:c>
      <x:c r="C2766">
        <x:v>5</x:v>
      </x:c>
      <x:c r="D2766">
        <x:f>ROUND($C2766*10*VLOOKUP($B2766,Sheet2!$J$5:$K$7,2,FALSE)*VLOOKUP(Sheet1!$A2766,Sheet2!$B$5:$H$29,3,FALSE),0)</x:f>
        <x:v>12</x:v>
      </x:c>
      <x:c r="E2766">
        <x:f>ROUND($C2766*10*VLOOKUP($B2766,Sheet2!$J$5:$K$7,2,FALSE)*VLOOKUP(Sheet1!$A2766,Sheet2!$B$5:$H$29,4,FALSE),0)</x:f>
        <x:v>0</x:v>
      </x:c>
      <x:c r="F2766">
        <x:f>ROUND($C2766*10*VLOOKUP($B2766,Sheet2!$J$5:$K$7,2,FALSE)*VLOOKUP(Sheet1!$A2766,Sheet2!$B$5:$H$29,5,FALSE),0)</x:f>
        <x:v>0</x:v>
      </x:c>
      <x:c r="G2766">
        <x:f>ROUND($C2766*10*VLOOKUP($B2766,Sheet2!$J$5:$K$7,2,FALSE)*VLOOKUP(Sheet1!$A2766,Sheet2!$B$5:$H$29,6,FALSE),0)</x:f>
        <x:v>29</x:v>
      </x:c>
      <x:c r="H2766">
        <x:f>ROUND($C2766*10*VLOOKUP($B2766,Sheet2!$J$5:$K$7,2,FALSE)*VLOOKUP(Sheet1!$A2766,Sheet2!$B$5:$H$29,7,FALSE),0)</x:f>
        <x:v>0</x:v>
      </x:c>
      <x:c r="I2766">
        <x:f t="shared" si="46"/>
        <x:v>570</x:v>
      </x:c>
    </x:row>
    <x:row r="2767" spans="1:9" x14ac:dyDescent="0.15">
      <x:c r="A2767">
        <x:v>54151</x:v>
      </x:c>
      <x:c r="B2767">
        <x:v>2</x:v>
      </x:c>
      <x:c r="C2767">
        <x:v>6</x:v>
      </x:c>
      <x:c r="D2767">
        <x:f>ROUND($C2767*10*VLOOKUP($B2767,Sheet2!$J$5:$K$7,2,FALSE)*VLOOKUP(Sheet1!$A2767,Sheet2!$B$5:$H$29,3,FALSE),0)</x:f>
        <x:v>14</x:v>
      </x:c>
      <x:c r="E2767">
        <x:f>ROUND($C2767*10*VLOOKUP($B2767,Sheet2!$J$5:$K$7,2,FALSE)*VLOOKUP(Sheet1!$A2767,Sheet2!$B$5:$H$29,4,FALSE),0)</x:f>
        <x:v>0</x:v>
      </x:c>
      <x:c r="F2767">
        <x:f>ROUND($C2767*10*VLOOKUP($B2767,Sheet2!$J$5:$K$7,2,FALSE)*VLOOKUP(Sheet1!$A2767,Sheet2!$B$5:$H$29,5,FALSE),0)</x:f>
        <x:v>0</x:v>
      </x:c>
      <x:c r="G2767">
        <x:f>ROUND($C2767*10*VLOOKUP($B2767,Sheet2!$J$5:$K$7,2,FALSE)*VLOOKUP(Sheet1!$A2767,Sheet2!$B$5:$H$29,6,FALSE),0)</x:f>
        <x:v>35</x:v>
      </x:c>
      <x:c r="H2767">
        <x:f>ROUND($C2767*10*VLOOKUP($B2767,Sheet2!$J$5:$K$7,2,FALSE)*VLOOKUP(Sheet1!$A2767,Sheet2!$B$5:$H$29,7,FALSE),0)</x:f>
        <x:v>0</x:v>
      </x:c>
      <x:c r="I2767">
        <x:f t="shared" si="46"/>
        <x:v>820</x:v>
      </x:c>
    </x:row>
    <x:row r="2768" spans="1:9" x14ac:dyDescent="0.15">
      <x:c r="A2768">
        <x:v>54151</x:v>
      </x:c>
      <x:c r="B2768">
        <x:v>2</x:v>
      </x:c>
      <x:c r="C2768">
        <x:v>7</x:v>
      </x:c>
      <x:c r="D2768">
        <x:f>ROUND($C2768*10*VLOOKUP($B2768,Sheet2!$J$5:$K$7,2,FALSE)*VLOOKUP(Sheet1!$A2768,Sheet2!$B$5:$H$29,3,FALSE),0)</x:f>
        <x:v>17</x:v>
      </x:c>
      <x:c r="E2768">
        <x:f>ROUND($C2768*10*VLOOKUP($B2768,Sheet2!$J$5:$K$7,2,FALSE)*VLOOKUP(Sheet1!$A2768,Sheet2!$B$5:$H$29,4,FALSE),0)</x:f>
        <x:v>0</x:v>
      </x:c>
      <x:c r="F2768">
        <x:f>ROUND($C2768*10*VLOOKUP($B2768,Sheet2!$J$5:$K$7,2,FALSE)*VLOOKUP(Sheet1!$A2768,Sheet2!$B$5:$H$29,5,FALSE),0)</x:f>
        <x:v>0</x:v>
      </x:c>
      <x:c r="G2768">
        <x:f>ROUND($C2768*10*VLOOKUP($B2768,Sheet2!$J$5:$K$7,2,FALSE)*VLOOKUP(Sheet1!$A2768,Sheet2!$B$5:$H$29,6,FALSE),0)</x:f>
        <x:v>40</x:v>
      </x:c>
      <x:c r="H2768">
        <x:f>ROUND($C2768*10*VLOOKUP($B2768,Sheet2!$J$5:$K$7,2,FALSE)*VLOOKUP(Sheet1!$A2768,Sheet2!$B$5:$H$29,7,FALSE),0)</x:f>
        <x:v>0</x:v>
      </x:c>
      <x:c r="I2768">
        <x:f t="shared" si="46"/>
        <x:v>1120</x:v>
      </x:c>
    </x:row>
    <x:row r="2769" spans="1:9" x14ac:dyDescent="0.15">
      <x:c r="A2769">
        <x:v>54151</x:v>
      </x:c>
      <x:c r="B2769">
        <x:v>2</x:v>
      </x:c>
      <x:c r="C2769">
        <x:v>8</x:v>
      </x:c>
      <x:c r="D2769">
        <x:f>ROUND($C2769*10*VLOOKUP($B2769,Sheet2!$J$5:$K$7,2,FALSE)*VLOOKUP(Sheet1!$A2769,Sheet2!$B$5:$H$29,3,FALSE),0)</x:f>
        <x:v>19</x:v>
      </x:c>
      <x:c r="E2769">
        <x:f>ROUND($C2769*10*VLOOKUP($B2769,Sheet2!$J$5:$K$7,2,FALSE)*VLOOKUP(Sheet1!$A2769,Sheet2!$B$5:$H$29,4,FALSE),0)</x:f>
        <x:v>0</x:v>
      </x:c>
      <x:c r="F2769">
        <x:f>ROUND($C2769*10*VLOOKUP($B2769,Sheet2!$J$5:$K$7,2,FALSE)*VLOOKUP(Sheet1!$A2769,Sheet2!$B$5:$H$29,5,FALSE),0)</x:f>
        <x:v>0</x:v>
      </x:c>
      <x:c r="G2769">
        <x:f>ROUND($C2769*10*VLOOKUP($B2769,Sheet2!$J$5:$K$7,2,FALSE)*VLOOKUP(Sheet1!$A2769,Sheet2!$B$5:$H$29,6,FALSE),0)</x:f>
        <x:v>46</x:v>
      </x:c>
      <x:c r="H2769">
        <x:f>ROUND($C2769*10*VLOOKUP($B2769,Sheet2!$J$5:$K$7,2,FALSE)*VLOOKUP(Sheet1!$A2769,Sheet2!$B$5:$H$29,7,FALSE),0)</x:f>
        <x:v>0</x:v>
      </x:c>
      <x:c r="I2769">
        <x:f t="shared" si="46"/>
        <x:v>1450</x:v>
      </x:c>
    </x:row>
    <x:row r="2770" spans="1:9" x14ac:dyDescent="0.15">
      <x:c r="A2770">
        <x:v>54151</x:v>
      </x:c>
      <x:c r="B2770">
        <x:v>2</x:v>
      </x:c>
      <x:c r="C2770">
        <x:v>9</x:v>
      </x:c>
      <x:c r="D2770">
        <x:f>ROUND($C2770*10*VLOOKUP($B2770,Sheet2!$J$5:$K$7,2,FALSE)*VLOOKUP(Sheet1!$A2770,Sheet2!$B$5:$H$29,3,FALSE),0)</x:f>
        <x:v>22</x:v>
      </x:c>
      <x:c r="E2770">
        <x:f>ROUND($C2770*10*VLOOKUP($B2770,Sheet2!$J$5:$K$7,2,FALSE)*VLOOKUP(Sheet1!$A2770,Sheet2!$B$5:$H$29,4,FALSE),0)</x:f>
        <x:v>0</x:v>
      </x:c>
      <x:c r="F2770">
        <x:f>ROUND($C2770*10*VLOOKUP($B2770,Sheet2!$J$5:$K$7,2,FALSE)*VLOOKUP(Sheet1!$A2770,Sheet2!$B$5:$H$29,5,FALSE),0)</x:f>
        <x:v>0</x:v>
      </x:c>
      <x:c r="G2770">
        <x:f>ROUND($C2770*10*VLOOKUP($B2770,Sheet2!$J$5:$K$7,2,FALSE)*VLOOKUP(Sheet1!$A2770,Sheet2!$B$5:$H$29,6,FALSE),0)</x:f>
        <x:v>52</x:v>
      </x:c>
      <x:c r="H2770">
        <x:f>ROUND($C2770*10*VLOOKUP($B2770,Sheet2!$J$5:$K$7,2,FALSE)*VLOOKUP(Sheet1!$A2770,Sheet2!$B$5:$H$29,7,FALSE),0)</x:f>
        <x:v>0</x:v>
      </x:c>
      <x:c r="I2770">
        <x:f t="shared" si="46"/>
        <x:v>1830</x:v>
      </x:c>
    </x:row>
    <x:row r="2771" spans="1:9" x14ac:dyDescent="0.15">
      <x:c r="A2771">
        <x:v>54151</x:v>
      </x:c>
      <x:c r="B2771">
        <x:v>2</x:v>
      </x:c>
      <x:c r="C2771">
        <x:v>10</x:v>
      </x:c>
      <x:c r="D2771">
        <x:f>ROUND($C2771*10*VLOOKUP($B2771,Sheet2!$J$5:$K$7,2,FALSE)*VLOOKUP(Sheet1!$A2771,Sheet2!$B$5:$H$29,3,FALSE),0)</x:f>
        <x:v>24</x:v>
      </x:c>
      <x:c r="E2771">
        <x:f>ROUND($C2771*10*VLOOKUP($B2771,Sheet2!$J$5:$K$7,2,FALSE)*VLOOKUP(Sheet1!$A2771,Sheet2!$B$5:$H$29,4,FALSE),0)</x:f>
        <x:v>0</x:v>
      </x:c>
      <x:c r="F2771">
        <x:f>ROUND($C2771*10*VLOOKUP($B2771,Sheet2!$J$5:$K$7,2,FALSE)*VLOOKUP(Sheet1!$A2771,Sheet2!$B$5:$H$29,5,FALSE),0)</x:f>
        <x:v>0</x:v>
      </x:c>
      <x:c r="G2771">
        <x:f>ROUND($C2771*10*VLOOKUP($B2771,Sheet2!$J$5:$K$7,2,FALSE)*VLOOKUP(Sheet1!$A2771,Sheet2!$B$5:$H$29,6,FALSE),0)</x:f>
        <x:v>58</x:v>
      </x:c>
      <x:c r="H2771">
        <x:f>ROUND($C2771*10*VLOOKUP($B2771,Sheet2!$J$5:$K$7,2,FALSE)*VLOOKUP(Sheet1!$A2771,Sheet2!$B$5:$H$29,7,FALSE),0)</x:f>
        <x:v>0</x:v>
      </x:c>
      <x:c r="I2771">
        <x:f t="shared" si="46"/>
        <x:v>2250</x:v>
      </x:c>
    </x:row>
    <x:row r="2772" spans="1:9" x14ac:dyDescent="0.15">
      <x:c r="A2772">
        <x:v>54151</x:v>
      </x:c>
      <x:c r="B2772">
        <x:v>2</x:v>
      </x:c>
      <x:c r="C2772">
        <x:v>11</x:v>
      </x:c>
      <x:c r="D2772">
        <x:f>ROUND($C2772*10*VLOOKUP($B2772,Sheet2!$J$5:$K$7,2,FALSE)*VLOOKUP(Sheet1!$A2772,Sheet2!$B$5:$H$29,3,FALSE),0)</x:f>
        <x:v>26</x:v>
      </x:c>
      <x:c r="E2772">
        <x:f>ROUND($C2772*10*VLOOKUP($B2772,Sheet2!$J$5:$K$7,2,FALSE)*VLOOKUP(Sheet1!$A2772,Sheet2!$B$5:$H$29,4,FALSE),0)</x:f>
        <x:v>0</x:v>
      </x:c>
      <x:c r="F2772">
        <x:f>ROUND($C2772*10*VLOOKUP($B2772,Sheet2!$J$5:$K$7,2,FALSE)*VLOOKUP(Sheet1!$A2772,Sheet2!$B$5:$H$29,5,FALSE),0)</x:f>
        <x:v>0</x:v>
      </x:c>
      <x:c r="G2772">
        <x:f>ROUND($C2772*10*VLOOKUP($B2772,Sheet2!$J$5:$K$7,2,FALSE)*VLOOKUP(Sheet1!$A2772,Sheet2!$B$5:$H$29,6,FALSE),0)</x:f>
        <x:v>63</x:v>
      </x:c>
      <x:c r="H2772">
        <x:f>ROUND($C2772*10*VLOOKUP($B2772,Sheet2!$J$5:$K$7,2,FALSE)*VLOOKUP(Sheet1!$A2772,Sheet2!$B$5:$H$29,7,FALSE),0)</x:f>
        <x:v>0</x:v>
      </x:c>
      <x:c r="I2772">
        <x:f t="shared" si="46"/>
        <x:v>2710</x:v>
      </x:c>
    </x:row>
    <x:row r="2773" spans="1:9" x14ac:dyDescent="0.15">
      <x:c r="A2773">
        <x:v>54151</x:v>
      </x:c>
      <x:c r="B2773">
        <x:v>2</x:v>
      </x:c>
      <x:c r="C2773">
        <x:v>12</x:v>
      </x:c>
      <x:c r="D2773">
        <x:f>ROUND($C2773*10*VLOOKUP($B2773,Sheet2!$J$5:$K$7,2,FALSE)*VLOOKUP(Sheet1!$A2773,Sheet2!$B$5:$H$29,3,FALSE),0)</x:f>
        <x:v>29</x:v>
      </x:c>
      <x:c r="E2773">
        <x:f>ROUND($C2773*10*VLOOKUP($B2773,Sheet2!$J$5:$K$7,2,FALSE)*VLOOKUP(Sheet1!$A2773,Sheet2!$B$5:$H$29,4,FALSE),0)</x:f>
        <x:v>0</x:v>
      </x:c>
      <x:c r="F2773">
        <x:f>ROUND($C2773*10*VLOOKUP($B2773,Sheet2!$J$5:$K$7,2,FALSE)*VLOOKUP(Sheet1!$A2773,Sheet2!$B$5:$H$29,5,FALSE),0)</x:f>
        <x:v>0</x:v>
      </x:c>
      <x:c r="G2773">
        <x:f>ROUND($C2773*10*VLOOKUP($B2773,Sheet2!$J$5:$K$7,2,FALSE)*VLOOKUP(Sheet1!$A2773,Sheet2!$B$5:$H$29,6,FALSE),0)</x:f>
        <x:v>69</x:v>
      </x:c>
      <x:c r="H2773">
        <x:f>ROUND($C2773*10*VLOOKUP($B2773,Sheet2!$J$5:$K$7,2,FALSE)*VLOOKUP(Sheet1!$A2773,Sheet2!$B$5:$H$29,7,FALSE),0)</x:f>
        <x:v>0</x:v>
      </x:c>
      <x:c r="I2773">
        <x:f t="shared" si="46"/>
        <x:v>3210</x:v>
      </x:c>
    </x:row>
    <x:row r="2774" spans="1:9" x14ac:dyDescent="0.15">
      <x:c r="A2774">
        <x:v>54151</x:v>
      </x:c>
      <x:c r="B2774">
        <x:v>2</x:v>
      </x:c>
      <x:c r="C2774">
        <x:v>13</x:v>
      </x:c>
      <x:c r="D2774">
        <x:f>ROUND($C2774*10*VLOOKUP($B2774,Sheet2!$J$5:$K$7,2,FALSE)*VLOOKUP(Sheet1!$A2774,Sheet2!$B$5:$H$29,3,FALSE),0)</x:f>
        <x:v>31</x:v>
      </x:c>
      <x:c r="E2774">
        <x:f>ROUND($C2774*10*VLOOKUP($B2774,Sheet2!$J$5:$K$7,2,FALSE)*VLOOKUP(Sheet1!$A2774,Sheet2!$B$5:$H$29,4,FALSE),0)</x:f>
        <x:v>0</x:v>
      </x:c>
      <x:c r="F2774">
        <x:f>ROUND($C2774*10*VLOOKUP($B2774,Sheet2!$J$5:$K$7,2,FALSE)*VLOOKUP(Sheet1!$A2774,Sheet2!$B$5:$H$29,5,FALSE),0)</x:f>
        <x:v>0</x:v>
      </x:c>
      <x:c r="G2774">
        <x:f>ROUND($C2774*10*VLOOKUP($B2774,Sheet2!$J$5:$K$7,2,FALSE)*VLOOKUP(Sheet1!$A2774,Sheet2!$B$5:$H$29,6,FALSE),0)</x:f>
        <x:v>75</x:v>
      </x:c>
      <x:c r="H2774">
        <x:f>ROUND($C2774*10*VLOOKUP($B2774,Sheet2!$J$5:$K$7,2,FALSE)*VLOOKUP(Sheet1!$A2774,Sheet2!$B$5:$H$29,7,FALSE),0)</x:f>
        <x:v>0</x:v>
      </x:c>
      <x:c r="I2774">
        <x:f t="shared" si="46"/>
        <x:v>3740</x:v>
      </x:c>
    </x:row>
    <x:row r="2775" spans="1:9" x14ac:dyDescent="0.15">
      <x:c r="A2775">
        <x:v>54151</x:v>
      </x:c>
      <x:c r="B2775">
        <x:v>2</x:v>
      </x:c>
      <x:c r="C2775">
        <x:v>14</x:v>
      </x:c>
      <x:c r="D2775">
        <x:f>ROUND($C2775*10*VLOOKUP($B2775,Sheet2!$J$5:$K$7,2,FALSE)*VLOOKUP(Sheet1!$A2775,Sheet2!$B$5:$H$29,3,FALSE),0)</x:f>
        <x:v>34</x:v>
      </x:c>
      <x:c r="E2775">
        <x:f>ROUND($C2775*10*VLOOKUP($B2775,Sheet2!$J$5:$K$7,2,FALSE)*VLOOKUP(Sheet1!$A2775,Sheet2!$B$5:$H$29,4,FALSE),0)</x:f>
        <x:v>0</x:v>
      </x:c>
      <x:c r="F2775">
        <x:f>ROUND($C2775*10*VLOOKUP($B2775,Sheet2!$J$5:$K$7,2,FALSE)*VLOOKUP(Sheet1!$A2775,Sheet2!$B$5:$H$29,5,FALSE),0)</x:f>
        <x:v>0</x:v>
      </x:c>
      <x:c r="G2775">
        <x:f>ROUND($C2775*10*VLOOKUP($B2775,Sheet2!$J$5:$K$7,2,FALSE)*VLOOKUP(Sheet1!$A2775,Sheet2!$B$5:$H$29,6,FALSE),0)</x:f>
        <x:v>81</x:v>
      </x:c>
      <x:c r="H2775">
        <x:f>ROUND($C2775*10*VLOOKUP($B2775,Sheet2!$J$5:$K$7,2,FALSE)*VLOOKUP(Sheet1!$A2775,Sheet2!$B$5:$H$29,7,FALSE),0)</x:f>
        <x:v>0</x:v>
      </x:c>
      <x:c r="I2775">
        <x:f t="shared" si="46"/>
        <x:v>4310</x:v>
      </x:c>
    </x:row>
    <x:row r="2776" spans="1:9" x14ac:dyDescent="0.15">
      <x:c r="A2776">
        <x:v>54151</x:v>
      </x:c>
      <x:c r="B2776">
        <x:v>2</x:v>
      </x:c>
      <x:c r="C2776">
        <x:v>15</x:v>
      </x:c>
      <x:c r="D2776">
        <x:f>ROUND($C2776*10*VLOOKUP($B2776,Sheet2!$J$5:$K$7,2,FALSE)*VLOOKUP(Sheet1!$A2776,Sheet2!$B$5:$H$29,3,FALSE),0)</x:f>
        <x:v>36</x:v>
      </x:c>
      <x:c r="E2776">
        <x:f>ROUND($C2776*10*VLOOKUP($B2776,Sheet2!$J$5:$K$7,2,FALSE)*VLOOKUP(Sheet1!$A2776,Sheet2!$B$5:$H$29,4,FALSE),0)</x:f>
        <x:v>0</x:v>
      </x:c>
      <x:c r="F2776">
        <x:f>ROUND($C2776*10*VLOOKUP($B2776,Sheet2!$J$5:$K$7,2,FALSE)*VLOOKUP(Sheet1!$A2776,Sheet2!$B$5:$H$29,5,FALSE),0)</x:f>
        <x:v>0</x:v>
      </x:c>
      <x:c r="G2776">
        <x:f>ROUND($C2776*10*VLOOKUP($B2776,Sheet2!$J$5:$K$7,2,FALSE)*VLOOKUP(Sheet1!$A2776,Sheet2!$B$5:$H$29,6,FALSE),0)</x:f>
        <x:v>86</x:v>
      </x:c>
      <x:c r="H2776">
        <x:f>ROUND($C2776*10*VLOOKUP($B2776,Sheet2!$J$5:$K$7,2,FALSE)*VLOOKUP(Sheet1!$A2776,Sheet2!$B$5:$H$29,7,FALSE),0)</x:f>
        <x:v>0</x:v>
      </x:c>
      <x:c r="I2776">
        <x:f t="shared" si="46"/>
        <x:v>4920</x:v>
      </x:c>
    </x:row>
    <x:row r="2777" spans="1:9" x14ac:dyDescent="0.15">
      <x:c r="A2777">
        <x:v>54151</x:v>
      </x:c>
      <x:c r="B2777">
        <x:v>2</x:v>
      </x:c>
      <x:c r="C2777">
        <x:v>16</x:v>
      </x:c>
      <x:c r="D2777">
        <x:f>ROUND($C2777*10*VLOOKUP($B2777,Sheet2!$J$5:$K$7,2,FALSE)*VLOOKUP(Sheet1!$A2777,Sheet2!$B$5:$H$29,3,FALSE),0)</x:f>
        <x:v>38</x:v>
      </x:c>
      <x:c r="E2777">
        <x:f>ROUND($C2777*10*VLOOKUP($B2777,Sheet2!$J$5:$K$7,2,FALSE)*VLOOKUP(Sheet1!$A2777,Sheet2!$B$5:$H$29,4,FALSE),0)</x:f>
        <x:v>0</x:v>
      </x:c>
      <x:c r="F2777">
        <x:f>ROUND($C2777*10*VLOOKUP($B2777,Sheet2!$J$5:$K$7,2,FALSE)*VLOOKUP(Sheet1!$A2777,Sheet2!$B$5:$H$29,5,FALSE),0)</x:f>
        <x:v>0</x:v>
      </x:c>
      <x:c r="G2777">
        <x:f>ROUND($C2777*10*VLOOKUP($B2777,Sheet2!$J$5:$K$7,2,FALSE)*VLOOKUP(Sheet1!$A2777,Sheet2!$B$5:$H$29,6,FALSE),0)</x:f>
        <x:v>92</x:v>
      </x:c>
      <x:c r="H2777">
        <x:f>ROUND($C2777*10*VLOOKUP($B2777,Sheet2!$J$5:$K$7,2,FALSE)*VLOOKUP(Sheet1!$A2777,Sheet2!$B$5:$H$29,7,FALSE),0)</x:f>
        <x:v>0</x:v>
      </x:c>
      <x:c r="I2777">
        <x:f t="shared" si="46"/>
        <x:v>5560</x:v>
      </x:c>
    </x:row>
    <x:row r="2778" spans="1:9" x14ac:dyDescent="0.15">
      <x:c r="A2778">
        <x:v>54151</x:v>
      </x:c>
      <x:c r="B2778">
        <x:v>2</x:v>
      </x:c>
      <x:c r="C2778">
        <x:v>17</x:v>
      </x:c>
      <x:c r="D2778">
        <x:f>ROUND($C2778*10*VLOOKUP($B2778,Sheet2!$J$5:$K$7,2,FALSE)*VLOOKUP(Sheet1!$A2778,Sheet2!$B$5:$H$29,3,FALSE),0)</x:f>
        <x:v>41</x:v>
      </x:c>
      <x:c r="E2778">
        <x:f>ROUND($C2778*10*VLOOKUP($B2778,Sheet2!$J$5:$K$7,2,FALSE)*VLOOKUP(Sheet1!$A2778,Sheet2!$B$5:$H$29,4,FALSE),0)</x:f>
        <x:v>0</x:v>
      </x:c>
      <x:c r="F2778">
        <x:f>ROUND($C2778*10*VLOOKUP($B2778,Sheet2!$J$5:$K$7,2,FALSE)*VLOOKUP(Sheet1!$A2778,Sheet2!$B$5:$H$29,5,FALSE),0)</x:f>
        <x:v>0</x:v>
      </x:c>
      <x:c r="G2778">
        <x:f>ROUND($C2778*10*VLOOKUP($B2778,Sheet2!$J$5:$K$7,2,FALSE)*VLOOKUP(Sheet1!$A2778,Sheet2!$B$5:$H$29,6,FALSE),0)</x:f>
        <x:v>98</x:v>
      </x:c>
      <x:c r="H2778">
        <x:f>ROUND($C2778*10*VLOOKUP($B2778,Sheet2!$J$5:$K$7,2,FALSE)*VLOOKUP(Sheet1!$A2778,Sheet2!$B$5:$H$29,7,FALSE),0)</x:f>
        <x:v>0</x:v>
      </x:c>
      <x:c r="I2778">
        <x:f t="shared" si="46"/>
        <x:v>6240</x:v>
      </x:c>
    </x:row>
    <x:row r="2779" spans="1:9" x14ac:dyDescent="0.15">
      <x:c r="A2779">
        <x:v>54151</x:v>
      </x:c>
      <x:c r="B2779">
        <x:v>2</x:v>
      </x:c>
      <x:c r="C2779">
        <x:v>18</x:v>
      </x:c>
      <x:c r="D2779">
        <x:f>ROUND($C2779*10*VLOOKUP($B2779,Sheet2!$J$5:$K$7,2,FALSE)*VLOOKUP(Sheet1!$A2779,Sheet2!$B$5:$H$29,3,FALSE),0)</x:f>
        <x:v>43</x:v>
      </x:c>
      <x:c r="E2779">
        <x:f>ROUND($C2779*10*VLOOKUP($B2779,Sheet2!$J$5:$K$7,2,FALSE)*VLOOKUP(Sheet1!$A2779,Sheet2!$B$5:$H$29,4,FALSE),0)</x:f>
        <x:v>0</x:v>
      </x:c>
      <x:c r="F2779">
        <x:f>ROUND($C2779*10*VLOOKUP($B2779,Sheet2!$J$5:$K$7,2,FALSE)*VLOOKUP(Sheet1!$A2779,Sheet2!$B$5:$H$29,5,FALSE),0)</x:f>
        <x:v>0</x:v>
      </x:c>
      <x:c r="G2779">
        <x:f>ROUND($C2779*10*VLOOKUP($B2779,Sheet2!$J$5:$K$7,2,FALSE)*VLOOKUP(Sheet1!$A2779,Sheet2!$B$5:$H$29,6,FALSE),0)</x:f>
        <x:v>104</x:v>
      </x:c>
      <x:c r="H2779">
        <x:f>ROUND($C2779*10*VLOOKUP($B2779,Sheet2!$J$5:$K$7,2,FALSE)*VLOOKUP(Sheet1!$A2779,Sheet2!$B$5:$H$29,7,FALSE),0)</x:f>
        <x:v>0</x:v>
      </x:c>
      <x:c r="I2779">
        <x:f t="shared" si="46"/>
        <x:v>6950</x:v>
      </x:c>
    </x:row>
    <x:row r="2780" spans="1:9" x14ac:dyDescent="0.15">
      <x:c r="A2780">
        <x:v>54151</x:v>
      </x:c>
      <x:c r="B2780">
        <x:v>2</x:v>
      </x:c>
      <x:c r="C2780">
        <x:v>19</x:v>
      </x:c>
      <x:c r="D2780">
        <x:f>ROUND($C2780*10*VLOOKUP($B2780,Sheet2!$J$5:$K$7,2,FALSE)*VLOOKUP(Sheet1!$A2780,Sheet2!$B$5:$H$29,3,FALSE),0)</x:f>
        <x:v>46</x:v>
      </x:c>
      <x:c r="E2780">
        <x:f>ROUND($C2780*10*VLOOKUP($B2780,Sheet2!$J$5:$K$7,2,FALSE)*VLOOKUP(Sheet1!$A2780,Sheet2!$B$5:$H$29,4,FALSE),0)</x:f>
        <x:v>0</x:v>
      </x:c>
      <x:c r="F2780">
        <x:f>ROUND($C2780*10*VLOOKUP($B2780,Sheet2!$J$5:$K$7,2,FALSE)*VLOOKUP(Sheet1!$A2780,Sheet2!$B$5:$H$29,5,FALSE),0)</x:f>
        <x:v>0</x:v>
      </x:c>
      <x:c r="G2780">
        <x:f>ROUND($C2780*10*VLOOKUP($B2780,Sheet2!$J$5:$K$7,2,FALSE)*VLOOKUP(Sheet1!$A2780,Sheet2!$B$5:$H$29,6,FALSE),0)</x:f>
        <x:v>109</x:v>
      </x:c>
      <x:c r="H2780">
        <x:f>ROUND($C2780*10*VLOOKUP($B2780,Sheet2!$J$5:$K$7,2,FALSE)*VLOOKUP(Sheet1!$A2780,Sheet2!$B$5:$H$29,7,FALSE),0)</x:f>
        <x:v>0</x:v>
      </x:c>
      <x:c r="I2780">
        <x:f t="shared" si="46"/>
        <x:v>7690</x:v>
      </x:c>
    </x:row>
    <x:row r="2781" spans="1:9" x14ac:dyDescent="0.15">
      <x:c r="A2781">
        <x:v>54151</x:v>
      </x:c>
      <x:c r="B2781">
        <x:v>2</x:v>
      </x:c>
      <x:c r="C2781">
        <x:v>20</x:v>
      </x:c>
      <x:c r="D2781">
        <x:f>ROUND($C2781*10*VLOOKUP($B2781,Sheet2!$J$5:$K$7,2,FALSE)*VLOOKUP(Sheet1!$A2781,Sheet2!$B$5:$H$29,3,FALSE),0)</x:f>
        <x:v>48</x:v>
      </x:c>
      <x:c r="E2781">
        <x:f>ROUND($C2781*10*VLOOKUP($B2781,Sheet2!$J$5:$K$7,2,FALSE)*VLOOKUP(Sheet1!$A2781,Sheet2!$B$5:$H$29,4,FALSE),0)</x:f>
        <x:v>0</x:v>
      </x:c>
      <x:c r="F2781">
        <x:f>ROUND($C2781*10*VLOOKUP($B2781,Sheet2!$J$5:$K$7,2,FALSE)*VLOOKUP(Sheet1!$A2781,Sheet2!$B$5:$H$29,5,FALSE),0)</x:f>
        <x:v>0</x:v>
      </x:c>
      <x:c r="G2781">
        <x:f>ROUND($C2781*10*VLOOKUP($B2781,Sheet2!$J$5:$K$7,2,FALSE)*VLOOKUP(Sheet1!$A2781,Sheet2!$B$5:$H$29,6,FALSE),0)</x:f>
        <x:v>115</x:v>
      </x:c>
      <x:c r="H2781">
        <x:f>ROUND($C2781*10*VLOOKUP($B2781,Sheet2!$J$5:$K$7,2,FALSE)*VLOOKUP(Sheet1!$A2781,Sheet2!$B$5:$H$29,7,FALSE),0)</x:f>
        <x:v>0</x:v>
      </x:c>
      <x:c r="I2781">
        <x:f t="shared" si="46"/>
        <x:v>8470</x:v>
      </x:c>
    </x:row>
    <x:row r="2782" spans="1:9" x14ac:dyDescent="0.15">
      <x:c r="A2782">
        <x:v>54151</x:v>
      </x:c>
      <x:c r="B2782">
        <x:v>2</x:v>
      </x:c>
      <x:c r="C2782">
        <x:v>21</x:v>
      </x:c>
      <x:c r="D2782">
        <x:f>ROUND($C2782*10*VLOOKUP($B2782,Sheet2!$J$5:$K$7,2,FALSE)*VLOOKUP(Sheet1!$A2782,Sheet2!$B$5:$H$29,3,FALSE),0)</x:f>
        <x:v>50</x:v>
      </x:c>
      <x:c r="E2782">
        <x:f>ROUND($C2782*10*VLOOKUP($B2782,Sheet2!$J$5:$K$7,2,FALSE)*VLOOKUP(Sheet1!$A2782,Sheet2!$B$5:$H$29,4,FALSE),0)</x:f>
        <x:v>0</x:v>
      </x:c>
      <x:c r="F2782">
        <x:f>ROUND($C2782*10*VLOOKUP($B2782,Sheet2!$J$5:$K$7,2,FALSE)*VLOOKUP(Sheet1!$A2782,Sheet2!$B$5:$H$29,5,FALSE),0)</x:f>
        <x:v>0</x:v>
      </x:c>
      <x:c r="G2782">
        <x:f>ROUND($C2782*10*VLOOKUP($B2782,Sheet2!$J$5:$K$7,2,FALSE)*VLOOKUP(Sheet1!$A2782,Sheet2!$B$5:$H$29,6,FALSE),0)</x:f>
        <x:v>121</x:v>
      </x:c>
      <x:c r="H2782">
        <x:f>ROUND($C2782*10*VLOOKUP($B2782,Sheet2!$J$5:$K$7,2,FALSE)*VLOOKUP(Sheet1!$A2782,Sheet2!$B$5:$H$29,7,FALSE),0)</x:f>
        <x:v>0</x:v>
      </x:c>
      <x:c r="I2782">
        <x:f t="shared" si="46"/>
        <x:v>9290</x:v>
      </x:c>
    </x:row>
    <x:row r="2783" spans="1:9" x14ac:dyDescent="0.15">
      <x:c r="A2783">
        <x:v>54151</x:v>
      </x:c>
      <x:c r="B2783">
        <x:v>2</x:v>
      </x:c>
      <x:c r="C2783">
        <x:v>22</x:v>
      </x:c>
      <x:c r="D2783">
        <x:f>ROUND($C2783*10*VLOOKUP($B2783,Sheet2!$J$5:$K$7,2,FALSE)*VLOOKUP(Sheet1!$A2783,Sheet2!$B$5:$H$29,3,FALSE),0)</x:f>
        <x:v>53</x:v>
      </x:c>
      <x:c r="E2783">
        <x:f>ROUND($C2783*10*VLOOKUP($B2783,Sheet2!$J$5:$K$7,2,FALSE)*VLOOKUP(Sheet1!$A2783,Sheet2!$B$5:$H$29,4,FALSE),0)</x:f>
        <x:v>0</x:v>
      </x:c>
      <x:c r="F2783">
        <x:f>ROUND($C2783*10*VLOOKUP($B2783,Sheet2!$J$5:$K$7,2,FALSE)*VLOOKUP(Sheet1!$A2783,Sheet2!$B$5:$H$29,5,FALSE),0)</x:f>
        <x:v>0</x:v>
      </x:c>
      <x:c r="G2783">
        <x:f>ROUND($C2783*10*VLOOKUP($B2783,Sheet2!$J$5:$K$7,2,FALSE)*VLOOKUP(Sheet1!$A2783,Sheet2!$B$5:$H$29,6,FALSE),0)</x:f>
        <x:v>127</x:v>
      </x:c>
      <x:c r="H2783">
        <x:f>ROUND($C2783*10*VLOOKUP($B2783,Sheet2!$J$5:$K$7,2,FALSE)*VLOOKUP(Sheet1!$A2783,Sheet2!$B$5:$H$29,7,FALSE),0)</x:f>
        <x:v>0</x:v>
      </x:c>
      <x:c r="I2783">
        <x:f t="shared" si="46"/>
        <x:v>10130</x:v>
      </x:c>
    </x:row>
    <x:row r="2784" spans="1:9" x14ac:dyDescent="0.15">
      <x:c r="A2784">
        <x:v>54151</x:v>
      </x:c>
      <x:c r="B2784">
        <x:v>2</x:v>
      </x:c>
      <x:c r="C2784">
        <x:v>23</x:v>
      </x:c>
      <x:c r="D2784">
        <x:f>ROUND($C2784*10*VLOOKUP($B2784,Sheet2!$J$5:$K$7,2,FALSE)*VLOOKUP(Sheet1!$A2784,Sheet2!$B$5:$H$29,3,FALSE),0)</x:f>
        <x:v>55</x:v>
      </x:c>
      <x:c r="E2784">
        <x:f>ROUND($C2784*10*VLOOKUP($B2784,Sheet2!$J$5:$K$7,2,FALSE)*VLOOKUP(Sheet1!$A2784,Sheet2!$B$5:$H$29,4,FALSE),0)</x:f>
        <x:v>0</x:v>
      </x:c>
      <x:c r="F2784">
        <x:f>ROUND($C2784*10*VLOOKUP($B2784,Sheet2!$J$5:$K$7,2,FALSE)*VLOOKUP(Sheet1!$A2784,Sheet2!$B$5:$H$29,5,FALSE),0)</x:f>
        <x:v>0</x:v>
      </x:c>
      <x:c r="G2784">
        <x:f>ROUND($C2784*10*VLOOKUP($B2784,Sheet2!$J$5:$K$7,2,FALSE)*VLOOKUP(Sheet1!$A2784,Sheet2!$B$5:$H$29,6,FALSE),0)</x:f>
        <x:v>132</x:v>
      </x:c>
      <x:c r="H2784">
        <x:f>ROUND($C2784*10*VLOOKUP($B2784,Sheet2!$J$5:$K$7,2,FALSE)*VLOOKUP(Sheet1!$A2784,Sheet2!$B$5:$H$29,7,FALSE),0)</x:f>
        <x:v>0</x:v>
      </x:c>
      <x:c r="I2784">
        <x:f t="shared" si="46"/>
        <x:v>11010</x:v>
      </x:c>
    </x:row>
    <x:row r="2785" spans="1:9" x14ac:dyDescent="0.15">
      <x:c r="A2785">
        <x:v>54151</x:v>
      </x:c>
      <x:c r="B2785">
        <x:v>2</x:v>
      </x:c>
      <x:c r="C2785">
        <x:v>24</x:v>
      </x:c>
      <x:c r="D2785">
        <x:f>ROUND($C2785*10*VLOOKUP($B2785,Sheet2!$J$5:$K$7,2,FALSE)*VLOOKUP(Sheet1!$A2785,Sheet2!$B$5:$H$29,3,FALSE),0)</x:f>
        <x:v>58</x:v>
      </x:c>
      <x:c r="E2785">
        <x:f>ROUND($C2785*10*VLOOKUP($B2785,Sheet2!$J$5:$K$7,2,FALSE)*VLOOKUP(Sheet1!$A2785,Sheet2!$B$5:$H$29,4,FALSE),0)</x:f>
        <x:v>0</x:v>
      </x:c>
      <x:c r="F2785">
        <x:f>ROUND($C2785*10*VLOOKUP($B2785,Sheet2!$J$5:$K$7,2,FALSE)*VLOOKUP(Sheet1!$A2785,Sheet2!$B$5:$H$29,5,FALSE),0)</x:f>
        <x:v>0</x:v>
      </x:c>
      <x:c r="G2785">
        <x:f>ROUND($C2785*10*VLOOKUP($B2785,Sheet2!$J$5:$K$7,2,FALSE)*VLOOKUP(Sheet1!$A2785,Sheet2!$B$5:$H$29,6,FALSE),0)</x:f>
        <x:v>138</x:v>
      </x:c>
      <x:c r="H2785">
        <x:f>ROUND($C2785*10*VLOOKUP($B2785,Sheet2!$J$5:$K$7,2,FALSE)*VLOOKUP(Sheet1!$A2785,Sheet2!$B$5:$H$29,7,FALSE),0)</x:f>
        <x:v>0</x:v>
      </x:c>
      <x:c r="I2785">
        <x:f t="shared" si="46"/>
        <x:v>11930</x:v>
      </x:c>
    </x:row>
    <x:row r="2786" spans="1:9" x14ac:dyDescent="0.15">
      <x:c r="A2786">
        <x:v>54151</x:v>
      </x:c>
      <x:c r="B2786">
        <x:v>2</x:v>
      </x:c>
      <x:c r="C2786">
        <x:v>25</x:v>
      </x:c>
      <x:c r="D2786">
        <x:f>ROUND($C2786*10*VLOOKUP($B2786,Sheet2!$J$5:$K$7,2,FALSE)*VLOOKUP(Sheet1!$A2786,Sheet2!$B$5:$H$29,3,FALSE),0)</x:f>
        <x:v>60</x:v>
      </x:c>
      <x:c r="E2786">
        <x:f>ROUND($C2786*10*VLOOKUP($B2786,Sheet2!$J$5:$K$7,2,FALSE)*VLOOKUP(Sheet1!$A2786,Sheet2!$B$5:$H$29,4,FALSE),0)</x:f>
        <x:v>0</x:v>
      </x:c>
      <x:c r="F2786">
        <x:f>ROUND($C2786*10*VLOOKUP($B2786,Sheet2!$J$5:$K$7,2,FALSE)*VLOOKUP(Sheet1!$A2786,Sheet2!$B$5:$H$29,5,FALSE),0)</x:f>
        <x:v>0</x:v>
      </x:c>
      <x:c r="G2786">
        <x:f>ROUND($C2786*10*VLOOKUP($B2786,Sheet2!$J$5:$K$7,2,FALSE)*VLOOKUP(Sheet1!$A2786,Sheet2!$B$5:$H$29,6,FALSE),0)</x:f>
        <x:v>144</x:v>
      </x:c>
      <x:c r="H2786">
        <x:f>ROUND($C2786*10*VLOOKUP($B2786,Sheet2!$J$5:$K$7,2,FALSE)*VLOOKUP(Sheet1!$A2786,Sheet2!$B$5:$H$29,7,FALSE),0)</x:f>
        <x:v>0</x:v>
      </x:c>
      <x:c r="I2786">
        <x:f t="shared" si="46"/>
        <x:v>12870</x:v>
      </x:c>
    </x:row>
    <x:row r="2787" spans="1:9" x14ac:dyDescent="0.15">
      <x:c r="A2787">
        <x:v>54151</x:v>
      </x:c>
      <x:c r="B2787">
        <x:v>2</x:v>
      </x:c>
      <x:c r="C2787">
        <x:v>26</x:v>
      </x:c>
      <x:c r="D2787">
        <x:f>ROUND($C2787*10*VLOOKUP($B2787,Sheet2!$J$5:$K$7,2,FALSE)*VLOOKUP(Sheet1!$A2787,Sheet2!$B$5:$H$29,3,FALSE),0)</x:f>
        <x:v>62</x:v>
      </x:c>
      <x:c r="E2787">
        <x:f>ROUND($C2787*10*VLOOKUP($B2787,Sheet2!$J$5:$K$7,2,FALSE)*VLOOKUP(Sheet1!$A2787,Sheet2!$B$5:$H$29,4,FALSE),0)</x:f>
        <x:v>0</x:v>
      </x:c>
      <x:c r="F2787">
        <x:f>ROUND($C2787*10*VLOOKUP($B2787,Sheet2!$J$5:$K$7,2,FALSE)*VLOOKUP(Sheet1!$A2787,Sheet2!$B$5:$H$29,5,FALSE),0)</x:f>
        <x:v>0</x:v>
      </x:c>
      <x:c r="G2787">
        <x:f>ROUND($C2787*10*VLOOKUP($B2787,Sheet2!$J$5:$K$7,2,FALSE)*VLOOKUP(Sheet1!$A2787,Sheet2!$B$5:$H$29,6,FALSE),0)</x:f>
        <x:v>150</x:v>
      </x:c>
      <x:c r="H2787">
        <x:f>ROUND($C2787*10*VLOOKUP($B2787,Sheet2!$J$5:$K$7,2,FALSE)*VLOOKUP(Sheet1!$A2787,Sheet2!$B$5:$H$29,7,FALSE),0)</x:f>
        <x:v>0</x:v>
      </x:c>
      <x:c r="I2787">
        <x:f t="shared" si="46"/>
        <x:v>13850</x:v>
      </x:c>
    </x:row>
    <x:row r="2788" spans="1:9" x14ac:dyDescent="0.15">
      <x:c r="A2788">
        <x:v>54151</x:v>
      </x:c>
      <x:c r="B2788">
        <x:v>2</x:v>
      </x:c>
      <x:c r="C2788">
        <x:v>27</x:v>
      </x:c>
      <x:c r="D2788">
        <x:f>ROUND($C2788*10*VLOOKUP($B2788,Sheet2!$J$5:$K$7,2,FALSE)*VLOOKUP(Sheet1!$A2788,Sheet2!$B$5:$H$29,3,FALSE),0)</x:f>
        <x:v>65</x:v>
      </x:c>
      <x:c r="E2788">
        <x:f>ROUND($C2788*10*VLOOKUP($B2788,Sheet2!$J$5:$K$7,2,FALSE)*VLOOKUP(Sheet1!$A2788,Sheet2!$B$5:$H$29,4,FALSE),0)</x:f>
        <x:v>0</x:v>
      </x:c>
      <x:c r="F2788">
        <x:f>ROUND($C2788*10*VLOOKUP($B2788,Sheet2!$J$5:$K$7,2,FALSE)*VLOOKUP(Sheet1!$A2788,Sheet2!$B$5:$H$29,5,FALSE),0)</x:f>
        <x:v>0</x:v>
      </x:c>
      <x:c r="G2788">
        <x:f>ROUND($C2788*10*VLOOKUP($B2788,Sheet2!$J$5:$K$7,2,FALSE)*VLOOKUP(Sheet1!$A2788,Sheet2!$B$5:$H$29,6,FALSE),0)</x:f>
        <x:v>156</x:v>
      </x:c>
      <x:c r="H2788">
        <x:f>ROUND($C2788*10*VLOOKUP($B2788,Sheet2!$J$5:$K$7,2,FALSE)*VLOOKUP(Sheet1!$A2788,Sheet2!$B$5:$H$29,7,FALSE),0)</x:f>
        <x:v>0</x:v>
      </x:c>
      <x:c r="I2788">
        <x:f t="shared" si="46"/>
        <x:v>14860</x:v>
      </x:c>
    </x:row>
    <x:row r="2789" spans="1:9" x14ac:dyDescent="0.15">
      <x:c r="A2789">
        <x:v>54151</x:v>
      </x:c>
      <x:c r="B2789">
        <x:v>2</x:v>
      </x:c>
      <x:c r="C2789">
        <x:v>28</x:v>
      </x:c>
      <x:c r="D2789">
        <x:f>ROUND($C2789*10*VLOOKUP($B2789,Sheet2!$J$5:$K$7,2,FALSE)*VLOOKUP(Sheet1!$A2789,Sheet2!$B$5:$H$29,3,FALSE),0)</x:f>
        <x:v>67</x:v>
      </x:c>
      <x:c r="E2789">
        <x:f>ROUND($C2789*10*VLOOKUP($B2789,Sheet2!$J$5:$K$7,2,FALSE)*VLOOKUP(Sheet1!$A2789,Sheet2!$B$5:$H$29,4,FALSE),0)</x:f>
        <x:v>0</x:v>
      </x:c>
      <x:c r="F2789">
        <x:f>ROUND($C2789*10*VLOOKUP($B2789,Sheet2!$J$5:$K$7,2,FALSE)*VLOOKUP(Sheet1!$A2789,Sheet2!$B$5:$H$29,5,FALSE),0)</x:f>
        <x:v>0</x:v>
      </x:c>
      <x:c r="G2789">
        <x:f>ROUND($C2789*10*VLOOKUP($B2789,Sheet2!$J$5:$K$7,2,FALSE)*VLOOKUP(Sheet1!$A2789,Sheet2!$B$5:$H$29,6,FALSE),0)</x:f>
        <x:v>161</x:v>
      </x:c>
      <x:c r="H2789">
        <x:f>ROUND($C2789*10*VLOOKUP($B2789,Sheet2!$J$5:$K$7,2,FALSE)*VLOOKUP(Sheet1!$A2789,Sheet2!$B$5:$H$29,7,FALSE),0)</x:f>
        <x:v>0</x:v>
      </x:c>
      <x:c r="I2789">
        <x:f t="shared" si="46"/>
        <x:v>15900</x:v>
      </x:c>
    </x:row>
    <x:row r="2790" spans="1:9" x14ac:dyDescent="0.15">
      <x:c r="A2790">
        <x:v>54151</x:v>
      </x:c>
      <x:c r="B2790">
        <x:v>2</x:v>
      </x:c>
      <x:c r="C2790">
        <x:v>29</x:v>
      </x:c>
      <x:c r="D2790">
        <x:f>ROUND($C2790*10*VLOOKUP($B2790,Sheet2!$J$5:$K$7,2,FALSE)*VLOOKUP(Sheet1!$A2790,Sheet2!$B$5:$H$29,3,FALSE),0)</x:f>
        <x:v>70</x:v>
      </x:c>
      <x:c r="E2790">
        <x:f>ROUND($C2790*10*VLOOKUP($B2790,Sheet2!$J$5:$K$7,2,FALSE)*VLOOKUP(Sheet1!$A2790,Sheet2!$B$5:$H$29,4,FALSE),0)</x:f>
        <x:v>0</x:v>
      </x:c>
      <x:c r="F2790">
        <x:f>ROUND($C2790*10*VLOOKUP($B2790,Sheet2!$J$5:$K$7,2,FALSE)*VLOOKUP(Sheet1!$A2790,Sheet2!$B$5:$H$29,5,FALSE),0)</x:f>
        <x:v>0</x:v>
      </x:c>
      <x:c r="G2790">
        <x:f>ROUND($C2790*10*VLOOKUP($B2790,Sheet2!$J$5:$K$7,2,FALSE)*VLOOKUP(Sheet1!$A2790,Sheet2!$B$5:$H$29,6,FALSE),0)</x:f>
        <x:v>167</x:v>
      </x:c>
      <x:c r="H2790">
        <x:f>ROUND($C2790*10*VLOOKUP($B2790,Sheet2!$J$5:$K$7,2,FALSE)*VLOOKUP(Sheet1!$A2790,Sheet2!$B$5:$H$29,7,FALSE),0)</x:f>
        <x:v>0</x:v>
      </x:c>
      <x:c r="I2790">
        <x:f t="shared" si="46"/>
        <x:v>16970</x:v>
      </x:c>
    </x:row>
    <x:row r="2791" spans="1:9" x14ac:dyDescent="0.15">
      <x:c r="A2791">
        <x:v>54151</x:v>
      </x:c>
      <x:c r="B2791">
        <x:v>2</x:v>
      </x:c>
      <x:c r="C2791">
        <x:v>30</x:v>
      </x:c>
      <x:c r="D2791">
        <x:f>ROUND($C2791*10*VLOOKUP($B2791,Sheet2!$J$5:$K$7,2,FALSE)*VLOOKUP(Sheet1!$A2791,Sheet2!$B$5:$H$29,3,FALSE),0)</x:f>
        <x:v>72</x:v>
      </x:c>
      <x:c r="E2791">
        <x:f>ROUND($C2791*10*VLOOKUP($B2791,Sheet2!$J$5:$K$7,2,FALSE)*VLOOKUP(Sheet1!$A2791,Sheet2!$B$5:$H$29,4,FALSE),0)</x:f>
        <x:v>0</x:v>
      </x:c>
      <x:c r="F2791">
        <x:f>ROUND($C2791*10*VLOOKUP($B2791,Sheet2!$J$5:$K$7,2,FALSE)*VLOOKUP(Sheet1!$A2791,Sheet2!$B$5:$H$29,5,FALSE),0)</x:f>
        <x:v>0</x:v>
      </x:c>
      <x:c r="G2791">
        <x:f>ROUND($C2791*10*VLOOKUP($B2791,Sheet2!$J$5:$K$7,2,FALSE)*VLOOKUP(Sheet1!$A2791,Sheet2!$B$5:$H$29,6,FALSE),0)</x:f>
        <x:v>173</x:v>
      </x:c>
      <x:c r="H2791">
        <x:f>ROUND($C2791*10*VLOOKUP($B2791,Sheet2!$J$5:$K$7,2,FALSE)*VLOOKUP(Sheet1!$A2791,Sheet2!$B$5:$H$29,7,FALSE),0)</x:f>
        <x:v>0</x:v>
      </x:c>
      <x:c r="I2791">
        <x:f t="shared" si="46"/>
        <x:v>18070</x:v>
      </x:c>
    </x:row>
    <x:row r="2792" spans="1:9" x14ac:dyDescent="0.15">
      <x:c r="A2792">
        <x:v>54151</x:v>
      </x:c>
      <x:c r="B2792">
        <x:v>2</x:v>
      </x:c>
      <x:c r="C2792">
        <x:v>31</x:v>
      </x:c>
      <x:c r="D2792">
        <x:f>ROUND($C2792*10*VLOOKUP($B2792,Sheet2!$J$5:$K$7,2,FALSE)*VLOOKUP(Sheet1!$A2792,Sheet2!$B$5:$H$29,3,FALSE),0)</x:f>
        <x:v>74</x:v>
      </x:c>
      <x:c r="E2792">
        <x:f>ROUND($C2792*10*VLOOKUP($B2792,Sheet2!$J$5:$K$7,2,FALSE)*VLOOKUP(Sheet1!$A2792,Sheet2!$B$5:$H$29,4,FALSE),0)</x:f>
        <x:v>0</x:v>
      </x:c>
      <x:c r="F2792">
        <x:f>ROUND($C2792*10*VLOOKUP($B2792,Sheet2!$J$5:$K$7,2,FALSE)*VLOOKUP(Sheet1!$A2792,Sheet2!$B$5:$H$29,5,FALSE),0)</x:f>
        <x:v>0</x:v>
      </x:c>
      <x:c r="G2792">
        <x:f>ROUND($C2792*10*VLOOKUP($B2792,Sheet2!$J$5:$K$7,2,FALSE)*VLOOKUP(Sheet1!$A2792,Sheet2!$B$5:$H$29,6,FALSE),0)</x:f>
        <x:v>179</x:v>
      </x:c>
      <x:c r="H2792">
        <x:f>ROUND($C2792*10*VLOOKUP($B2792,Sheet2!$J$5:$K$7,2,FALSE)*VLOOKUP(Sheet1!$A2792,Sheet2!$B$5:$H$29,7,FALSE),0)</x:f>
        <x:v>0</x:v>
      </x:c>
      <x:c r="I2792">
        <x:f t="shared" si="46"/>
        <x:v>19210</x:v>
      </x:c>
    </x:row>
    <x:row r="2793" spans="1:9" x14ac:dyDescent="0.15">
      <x:c r="A2793">
        <x:v>54151</x:v>
      </x:c>
      <x:c r="B2793">
        <x:v>2</x:v>
      </x:c>
      <x:c r="C2793">
        <x:v>32</x:v>
      </x:c>
      <x:c r="D2793">
        <x:f>ROUND($C2793*10*VLOOKUP($B2793,Sheet2!$J$5:$K$7,2,FALSE)*VLOOKUP(Sheet1!$A2793,Sheet2!$B$5:$H$29,3,FALSE),0)</x:f>
        <x:v>77</x:v>
      </x:c>
      <x:c r="E2793">
        <x:f>ROUND($C2793*10*VLOOKUP($B2793,Sheet2!$J$5:$K$7,2,FALSE)*VLOOKUP(Sheet1!$A2793,Sheet2!$B$5:$H$29,4,FALSE),0)</x:f>
        <x:v>0</x:v>
      </x:c>
      <x:c r="F2793">
        <x:f>ROUND($C2793*10*VLOOKUP($B2793,Sheet2!$J$5:$K$7,2,FALSE)*VLOOKUP(Sheet1!$A2793,Sheet2!$B$5:$H$29,5,FALSE),0)</x:f>
        <x:v>0</x:v>
      </x:c>
      <x:c r="G2793">
        <x:f>ROUND($C2793*10*VLOOKUP($B2793,Sheet2!$J$5:$K$7,2,FALSE)*VLOOKUP(Sheet1!$A2793,Sheet2!$B$5:$H$29,6,FALSE),0)</x:f>
        <x:v>184</x:v>
      </x:c>
      <x:c r="H2793">
        <x:f>ROUND($C2793*10*VLOOKUP($B2793,Sheet2!$J$5:$K$7,2,FALSE)*VLOOKUP(Sheet1!$A2793,Sheet2!$B$5:$H$29,7,FALSE),0)</x:f>
        <x:v>0</x:v>
      </x:c>
      <x:c r="I2793">
        <x:f t="shared" si="46"/>
        <x:v>20370</x:v>
      </x:c>
    </x:row>
    <x:row r="2794" spans="1:9" x14ac:dyDescent="0.15">
      <x:c r="A2794">
        <x:v>54151</x:v>
      </x:c>
      <x:c r="B2794">
        <x:v>2</x:v>
      </x:c>
      <x:c r="C2794">
        <x:v>33</x:v>
      </x:c>
      <x:c r="D2794">
        <x:f>ROUND($C2794*10*VLOOKUP($B2794,Sheet2!$J$5:$K$7,2,FALSE)*VLOOKUP(Sheet1!$A2794,Sheet2!$B$5:$H$29,3,FALSE),0)</x:f>
        <x:v>79</x:v>
      </x:c>
      <x:c r="E2794">
        <x:f>ROUND($C2794*10*VLOOKUP($B2794,Sheet2!$J$5:$K$7,2,FALSE)*VLOOKUP(Sheet1!$A2794,Sheet2!$B$5:$H$29,4,FALSE),0)</x:f>
        <x:v>0</x:v>
      </x:c>
      <x:c r="F2794">
        <x:f>ROUND($C2794*10*VLOOKUP($B2794,Sheet2!$J$5:$K$7,2,FALSE)*VLOOKUP(Sheet1!$A2794,Sheet2!$B$5:$H$29,5,FALSE),0)</x:f>
        <x:v>0</x:v>
      </x:c>
      <x:c r="G2794">
        <x:f>ROUND($C2794*10*VLOOKUP($B2794,Sheet2!$J$5:$K$7,2,FALSE)*VLOOKUP(Sheet1!$A2794,Sheet2!$B$5:$H$29,6,FALSE),0)</x:f>
        <x:v>190</x:v>
      </x:c>
      <x:c r="H2794">
        <x:f>ROUND($C2794*10*VLOOKUP($B2794,Sheet2!$J$5:$K$7,2,FALSE)*VLOOKUP(Sheet1!$A2794,Sheet2!$B$5:$H$29,7,FALSE),0)</x:f>
        <x:v>0</x:v>
      </x:c>
      <x:c r="I2794">
        <x:f t="shared" si="46"/>
        <x:v>21560</x:v>
      </x:c>
    </x:row>
    <x:row r="2795" spans="1:9" x14ac:dyDescent="0.15">
      <x:c r="A2795">
        <x:v>54151</x:v>
      </x:c>
      <x:c r="B2795">
        <x:v>2</x:v>
      </x:c>
      <x:c r="C2795">
        <x:v>34</x:v>
      </x:c>
      <x:c r="D2795">
        <x:f>ROUND($C2795*10*VLOOKUP($B2795,Sheet2!$J$5:$K$7,2,FALSE)*VLOOKUP(Sheet1!$A2795,Sheet2!$B$5:$H$29,3,FALSE),0)</x:f>
        <x:v>82</x:v>
      </x:c>
      <x:c r="E2795">
        <x:f>ROUND($C2795*10*VLOOKUP($B2795,Sheet2!$J$5:$K$7,2,FALSE)*VLOOKUP(Sheet1!$A2795,Sheet2!$B$5:$H$29,4,FALSE),0)</x:f>
        <x:v>0</x:v>
      </x:c>
      <x:c r="F2795">
        <x:f>ROUND($C2795*10*VLOOKUP($B2795,Sheet2!$J$5:$K$7,2,FALSE)*VLOOKUP(Sheet1!$A2795,Sheet2!$B$5:$H$29,5,FALSE),0)</x:f>
        <x:v>0</x:v>
      </x:c>
      <x:c r="G2795">
        <x:f>ROUND($C2795*10*VLOOKUP($B2795,Sheet2!$J$5:$K$7,2,FALSE)*VLOOKUP(Sheet1!$A2795,Sheet2!$B$5:$H$29,6,FALSE),0)</x:f>
        <x:v>196</x:v>
      </x:c>
      <x:c r="H2795">
        <x:f>ROUND($C2795*10*VLOOKUP($B2795,Sheet2!$J$5:$K$7,2,FALSE)*VLOOKUP(Sheet1!$A2795,Sheet2!$B$5:$H$29,7,FALSE),0)</x:f>
        <x:v>0</x:v>
      </x:c>
      <x:c r="I2795">
        <x:f t="shared" si="46"/>
        <x:v>22790</x:v>
      </x:c>
    </x:row>
    <x:row r="2796" spans="1:9" x14ac:dyDescent="0.15">
      <x:c r="A2796">
        <x:v>54151</x:v>
      </x:c>
      <x:c r="B2796">
        <x:v>2</x:v>
      </x:c>
      <x:c r="C2796">
        <x:v>35</x:v>
      </x:c>
      <x:c r="D2796">
        <x:f>ROUND($C2796*10*VLOOKUP($B2796,Sheet2!$J$5:$K$7,2,FALSE)*VLOOKUP(Sheet1!$A2796,Sheet2!$B$5:$H$29,3,FALSE),0)</x:f>
        <x:v>84</x:v>
      </x:c>
      <x:c r="E2796">
        <x:f>ROUND($C2796*10*VLOOKUP($B2796,Sheet2!$J$5:$K$7,2,FALSE)*VLOOKUP(Sheet1!$A2796,Sheet2!$B$5:$H$29,4,FALSE),0)</x:f>
        <x:v>0</x:v>
      </x:c>
      <x:c r="F2796">
        <x:f>ROUND($C2796*10*VLOOKUP($B2796,Sheet2!$J$5:$K$7,2,FALSE)*VLOOKUP(Sheet1!$A2796,Sheet2!$B$5:$H$29,5,FALSE),0)</x:f>
        <x:v>0</x:v>
      </x:c>
      <x:c r="G2796">
        <x:f>ROUND($C2796*10*VLOOKUP($B2796,Sheet2!$J$5:$K$7,2,FALSE)*VLOOKUP(Sheet1!$A2796,Sheet2!$B$5:$H$29,6,FALSE),0)</x:f>
        <x:v>202</x:v>
      </x:c>
      <x:c r="H2796">
        <x:f>ROUND($C2796*10*VLOOKUP($B2796,Sheet2!$J$5:$K$7,2,FALSE)*VLOOKUP(Sheet1!$A2796,Sheet2!$B$5:$H$29,7,FALSE),0)</x:f>
        <x:v>0</x:v>
      </x:c>
      <x:c r="I2796">
        <x:f t="shared" si="46"/>
        <x:v>24040</x:v>
      </x:c>
    </x:row>
    <x:row r="2797" spans="1:9" x14ac:dyDescent="0.15">
      <x:c r="A2797">
        <x:v>54151</x:v>
      </x:c>
      <x:c r="B2797">
        <x:v>2</x:v>
      </x:c>
      <x:c r="C2797">
        <x:v>36</x:v>
      </x:c>
      <x:c r="D2797">
        <x:f>ROUND($C2797*10*VLOOKUP($B2797,Sheet2!$J$5:$K$7,2,FALSE)*VLOOKUP(Sheet1!$A2797,Sheet2!$B$5:$H$29,3,FALSE),0)</x:f>
        <x:v>86</x:v>
      </x:c>
      <x:c r="E2797">
        <x:f>ROUND($C2797*10*VLOOKUP($B2797,Sheet2!$J$5:$K$7,2,FALSE)*VLOOKUP(Sheet1!$A2797,Sheet2!$B$5:$H$29,4,FALSE),0)</x:f>
        <x:v>0</x:v>
      </x:c>
      <x:c r="F2797">
        <x:f>ROUND($C2797*10*VLOOKUP($B2797,Sheet2!$J$5:$K$7,2,FALSE)*VLOOKUP(Sheet1!$A2797,Sheet2!$B$5:$H$29,5,FALSE),0)</x:f>
        <x:v>0</x:v>
      </x:c>
      <x:c r="G2797">
        <x:f>ROUND($C2797*10*VLOOKUP($B2797,Sheet2!$J$5:$K$7,2,FALSE)*VLOOKUP(Sheet1!$A2797,Sheet2!$B$5:$H$29,6,FALSE),0)</x:f>
        <x:v>207</x:v>
      </x:c>
      <x:c r="H2797">
        <x:f>ROUND($C2797*10*VLOOKUP($B2797,Sheet2!$J$5:$K$7,2,FALSE)*VLOOKUP(Sheet1!$A2797,Sheet2!$B$5:$H$29,7,FALSE),0)</x:f>
        <x:v>0</x:v>
      </x:c>
      <x:c r="I2797">
        <x:f t="shared" si="46"/>
        <x:v>25330</x:v>
      </x:c>
    </x:row>
    <x:row r="2798" spans="1:9" x14ac:dyDescent="0.15">
      <x:c r="A2798">
        <x:v>54151</x:v>
      </x:c>
      <x:c r="B2798">
        <x:v>2</x:v>
      </x:c>
      <x:c r="C2798">
        <x:v>37</x:v>
      </x:c>
      <x:c r="D2798">
        <x:f>ROUND($C2798*10*VLOOKUP($B2798,Sheet2!$J$5:$K$7,2,FALSE)*VLOOKUP(Sheet1!$A2798,Sheet2!$B$5:$H$29,3,FALSE),0)</x:f>
        <x:v>89</x:v>
      </x:c>
      <x:c r="E2798">
        <x:f>ROUND($C2798*10*VLOOKUP($B2798,Sheet2!$J$5:$K$7,2,FALSE)*VLOOKUP(Sheet1!$A2798,Sheet2!$B$5:$H$29,4,FALSE),0)</x:f>
        <x:v>0</x:v>
      </x:c>
      <x:c r="F2798">
        <x:f>ROUND($C2798*10*VLOOKUP($B2798,Sheet2!$J$5:$K$7,2,FALSE)*VLOOKUP(Sheet1!$A2798,Sheet2!$B$5:$H$29,5,FALSE),0)</x:f>
        <x:v>0</x:v>
      </x:c>
      <x:c r="G2798">
        <x:f>ROUND($C2798*10*VLOOKUP($B2798,Sheet2!$J$5:$K$7,2,FALSE)*VLOOKUP(Sheet1!$A2798,Sheet2!$B$5:$H$29,6,FALSE),0)</x:f>
        <x:v>213</x:v>
      </x:c>
      <x:c r="H2798">
        <x:f>ROUND($C2798*10*VLOOKUP($B2798,Sheet2!$J$5:$K$7,2,FALSE)*VLOOKUP(Sheet1!$A2798,Sheet2!$B$5:$H$29,7,FALSE),0)</x:f>
        <x:v>0</x:v>
      </x:c>
      <x:c r="I2798">
        <x:f t="shared" si="46"/>
        <x:v>26640</x:v>
      </x:c>
    </x:row>
    <x:row r="2799" spans="1:9" x14ac:dyDescent="0.15">
      <x:c r="A2799">
        <x:v>54151</x:v>
      </x:c>
      <x:c r="B2799">
        <x:v>2</x:v>
      </x:c>
      <x:c r="C2799">
        <x:v>38</x:v>
      </x:c>
      <x:c r="D2799">
        <x:f>ROUND($C2799*10*VLOOKUP($B2799,Sheet2!$J$5:$K$7,2,FALSE)*VLOOKUP(Sheet1!$A2799,Sheet2!$B$5:$H$29,3,FALSE),0)</x:f>
        <x:v>91</x:v>
      </x:c>
      <x:c r="E2799">
        <x:f>ROUND($C2799*10*VLOOKUP($B2799,Sheet2!$J$5:$K$7,2,FALSE)*VLOOKUP(Sheet1!$A2799,Sheet2!$B$5:$H$29,4,FALSE),0)</x:f>
        <x:v>0</x:v>
      </x:c>
      <x:c r="F2799">
        <x:f>ROUND($C2799*10*VLOOKUP($B2799,Sheet2!$J$5:$K$7,2,FALSE)*VLOOKUP(Sheet1!$A2799,Sheet2!$B$5:$H$29,5,FALSE),0)</x:f>
        <x:v>0</x:v>
      </x:c>
      <x:c r="G2799">
        <x:f>ROUND($C2799*10*VLOOKUP($B2799,Sheet2!$J$5:$K$7,2,FALSE)*VLOOKUP(Sheet1!$A2799,Sheet2!$B$5:$H$29,6,FALSE),0)</x:f>
        <x:v>219</x:v>
      </x:c>
      <x:c r="H2799">
        <x:f>ROUND($C2799*10*VLOOKUP($B2799,Sheet2!$J$5:$K$7,2,FALSE)*VLOOKUP(Sheet1!$A2799,Sheet2!$B$5:$H$29,7,FALSE),0)</x:f>
        <x:v>0</x:v>
      </x:c>
      <x:c r="I2799">
        <x:f t="shared" si="46"/>
        <x:v>27990</x:v>
      </x:c>
    </x:row>
    <x:row r="2800" spans="1:9" x14ac:dyDescent="0.15">
      <x:c r="A2800">
        <x:v>54151</x:v>
      </x:c>
      <x:c r="B2800">
        <x:v>2</x:v>
      </x:c>
      <x:c r="C2800">
        <x:v>39</x:v>
      </x:c>
      <x:c r="D2800">
        <x:f>ROUND($C2800*10*VLOOKUP($B2800,Sheet2!$J$5:$K$7,2,FALSE)*VLOOKUP(Sheet1!$A2800,Sheet2!$B$5:$H$29,3,FALSE),0)</x:f>
        <x:v>94</x:v>
      </x:c>
      <x:c r="E2800">
        <x:f>ROUND($C2800*10*VLOOKUP($B2800,Sheet2!$J$5:$K$7,2,FALSE)*VLOOKUP(Sheet1!$A2800,Sheet2!$B$5:$H$29,4,FALSE),0)</x:f>
        <x:v>0</x:v>
      </x:c>
      <x:c r="F2800">
        <x:f>ROUND($C2800*10*VLOOKUP($B2800,Sheet2!$J$5:$K$7,2,FALSE)*VLOOKUP(Sheet1!$A2800,Sheet2!$B$5:$H$29,5,FALSE),0)</x:f>
        <x:v>0</x:v>
      </x:c>
      <x:c r="G2800">
        <x:f>ROUND($C2800*10*VLOOKUP($B2800,Sheet2!$J$5:$K$7,2,FALSE)*VLOOKUP(Sheet1!$A2800,Sheet2!$B$5:$H$29,6,FALSE),0)</x:f>
        <x:v>225</x:v>
      </x:c>
      <x:c r="H2800">
        <x:f>ROUND($C2800*10*VLOOKUP($B2800,Sheet2!$J$5:$K$7,2,FALSE)*VLOOKUP(Sheet1!$A2800,Sheet2!$B$5:$H$29,7,FALSE),0)</x:f>
        <x:v>0</x:v>
      </x:c>
      <x:c r="I2800">
        <x:f t="shared" si="46"/>
        <x:v>29360</x:v>
      </x:c>
    </x:row>
    <x:row r="2801" spans="1:9" x14ac:dyDescent="0.15">
      <x:c r="A2801">
        <x:v>54151</x:v>
      </x:c>
      <x:c r="B2801">
        <x:v>2</x:v>
      </x:c>
      <x:c r="C2801">
        <x:v>40</x:v>
      </x:c>
      <x:c r="D2801">
        <x:f>ROUND($C2801*10*VLOOKUP($B2801,Sheet2!$J$5:$K$7,2,FALSE)*VLOOKUP(Sheet1!$A2801,Sheet2!$B$5:$H$29,3,FALSE),0)</x:f>
        <x:v>96</x:v>
      </x:c>
      <x:c r="E2801">
        <x:f>ROUND($C2801*10*VLOOKUP($B2801,Sheet2!$J$5:$K$7,2,FALSE)*VLOOKUP(Sheet1!$A2801,Sheet2!$B$5:$H$29,4,FALSE),0)</x:f>
        <x:v>0</x:v>
      </x:c>
      <x:c r="F2801">
        <x:f>ROUND($C2801*10*VLOOKUP($B2801,Sheet2!$J$5:$K$7,2,FALSE)*VLOOKUP(Sheet1!$A2801,Sheet2!$B$5:$H$29,5,FALSE),0)</x:f>
        <x:v>0</x:v>
      </x:c>
      <x:c r="G2801">
        <x:f>ROUND($C2801*10*VLOOKUP($B2801,Sheet2!$J$5:$K$7,2,FALSE)*VLOOKUP(Sheet1!$A2801,Sheet2!$B$5:$H$29,6,FALSE),0)</x:f>
        <x:v>230</x:v>
      </x:c>
      <x:c r="H2801">
        <x:f>ROUND($C2801*10*VLOOKUP($B2801,Sheet2!$J$5:$K$7,2,FALSE)*VLOOKUP(Sheet1!$A2801,Sheet2!$B$5:$H$29,7,FALSE),0)</x:f>
        <x:v>0</x:v>
      </x:c>
      <x:c r="I2801">
        <x:f t="shared" si="46"/>
        <x:v>30760</x:v>
      </x:c>
    </x:row>
    <x:row r="2802" spans="1:9" x14ac:dyDescent="0.15">
      <x:c r="A2802">
        <x:v>54151</x:v>
      </x:c>
      <x:c r="B2802">
        <x:v>2</x:v>
      </x:c>
      <x:c r="C2802">
        <x:v>41</x:v>
      </x:c>
      <x:c r="D2802">
        <x:f>ROUND($C2802*10*VLOOKUP($B2802,Sheet2!$J$5:$K$7,2,FALSE)*VLOOKUP(Sheet1!$A2802,Sheet2!$B$5:$H$29,3,FALSE),0)</x:f>
        <x:v>98</x:v>
      </x:c>
      <x:c r="E2802">
        <x:f>ROUND($C2802*10*VLOOKUP($B2802,Sheet2!$J$5:$K$7,2,FALSE)*VLOOKUP(Sheet1!$A2802,Sheet2!$B$5:$H$29,4,FALSE),0)</x:f>
        <x:v>0</x:v>
      </x:c>
      <x:c r="F2802">
        <x:f>ROUND($C2802*10*VLOOKUP($B2802,Sheet2!$J$5:$K$7,2,FALSE)*VLOOKUP(Sheet1!$A2802,Sheet2!$B$5:$H$29,5,FALSE),0)</x:f>
        <x:v>0</x:v>
      </x:c>
      <x:c r="G2802">
        <x:f>ROUND($C2802*10*VLOOKUP($B2802,Sheet2!$J$5:$K$7,2,FALSE)*VLOOKUP(Sheet1!$A2802,Sheet2!$B$5:$H$29,6,FALSE),0)</x:f>
        <x:v>236</x:v>
      </x:c>
      <x:c r="H2802">
        <x:f>ROUND($C2802*10*VLOOKUP($B2802,Sheet2!$J$5:$K$7,2,FALSE)*VLOOKUP(Sheet1!$A2802,Sheet2!$B$5:$H$29,7,FALSE),0)</x:f>
        <x:v>0</x:v>
      </x:c>
      <x:c r="I2802">
        <x:f t="shared" si="46"/>
        <x:v>32190</x:v>
      </x:c>
    </x:row>
    <x:row r="2803" spans="1:9" x14ac:dyDescent="0.15">
      <x:c r="A2803">
        <x:v>54151</x:v>
      </x:c>
      <x:c r="B2803">
        <x:v>2</x:v>
      </x:c>
      <x:c r="C2803">
        <x:v>42</x:v>
      </x:c>
      <x:c r="D2803">
        <x:f>ROUND($C2803*10*VLOOKUP($B2803,Sheet2!$J$5:$K$7,2,FALSE)*VLOOKUP(Sheet1!$A2803,Sheet2!$B$5:$H$29,3,FALSE),0)</x:f>
        <x:v>101</x:v>
      </x:c>
      <x:c r="E2803">
        <x:f>ROUND($C2803*10*VLOOKUP($B2803,Sheet2!$J$5:$K$7,2,FALSE)*VLOOKUP(Sheet1!$A2803,Sheet2!$B$5:$H$29,4,FALSE),0)</x:f>
        <x:v>0</x:v>
      </x:c>
      <x:c r="F2803">
        <x:f>ROUND($C2803*10*VLOOKUP($B2803,Sheet2!$J$5:$K$7,2,FALSE)*VLOOKUP(Sheet1!$A2803,Sheet2!$B$5:$H$29,5,FALSE),0)</x:f>
        <x:v>0</x:v>
      </x:c>
      <x:c r="G2803">
        <x:f>ROUND($C2803*10*VLOOKUP($B2803,Sheet2!$J$5:$K$7,2,FALSE)*VLOOKUP(Sheet1!$A2803,Sheet2!$B$5:$H$29,6,FALSE),0)</x:f>
        <x:v>242</x:v>
      </x:c>
      <x:c r="H2803">
        <x:f>ROUND($C2803*10*VLOOKUP($B2803,Sheet2!$J$5:$K$7,2,FALSE)*VLOOKUP(Sheet1!$A2803,Sheet2!$B$5:$H$29,7,FALSE),0)</x:f>
        <x:v>0</x:v>
      </x:c>
      <x:c r="I2803">
        <x:f t="shared" si="46"/>
        <x:v>33650</x:v>
      </x:c>
    </x:row>
    <x:row r="2804" spans="1:9" x14ac:dyDescent="0.15">
      <x:c r="A2804">
        <x:v>54151</x:v>
      </x:c>
      <x:c r="B2804">
        <x:v>2</x:v>
      </x:c>
      <x:c r="C2804">
        <x:v>43</x:v>
      </x:c>
      <x:c r="D2804">
        <x:f>ROUND($C2804*10*VLOOKUP($B2804,Sheet2!$J$5:$K$7,2,FALSE)*VLOOKUP(Sheet1!$A2804,Sheet2!$B$5:$H$29,3,FALSE),0)</x:f>
        <x:v>103</x:v>
      </x:c>
      <x:c r="E2804">
        <x:f>ROUND($C2804*10*VLOOKUP($B2804,Sheet2!$J$5:$K$7,2,FALSE)*VLOOKUP(Sheet1!$A2804,Sheet2!$B$5:$H$29,4,FALSE),0)</x:f>
        <x:v>0</x:v>
      </x:c>
      <x:c r="F2804">
        <x:f>ROUND($C2804*10*VLOOKUP($B2804,Sheet2!$J$5:$K$7,2,FALSE)*VLOOKUP(Sheet1!$A2804,Sheet2!$B$5:$H$29,5,FALSE),0)</x:f>
        <x:v>0</x:v>
      </x:c>
      <x:c r="G2804">
        <x:f>ROUND($C2804*10*VLOOKUP($B2804,Sheet2!$J$5:$K$7,2,FALSE)*VLOOKUP(Sheet1!$A2804,Sheet2!$B$5:$H$29,6,FALSE),0)</x:f>
        <x:v>248</x:v>
      </x:c>
      <x:c r="H2804">
        <x:f>ROUND($C2804*10*VLOOKUP($B2804,Sheet2!$J$5:$K$7,2,FALSE)*VLOOKUP(Sheet1!$A2804,Sheet2!$B$5:$H$29,7,FALSE),0)</x:f>
        <x:v>0</x:v>
      </x:c>
      <x:c r="I2804">
        <x:f t="shared" si="46"/>
        <x:v>35140</x:v>
      </x:c>
    </x:row>
    <x:row r="2805" spans="1:9" x14ac:dyDescent="0.15">
      <x:c r="A2805">
        <x:v>54151</x:v>
      </x:c>
      <x:c r="B2805">
        <x:v>2</x:v>
      </x:c>
      <x:c r="C2805">
        <x:v>44</x:v>
      </x:c>
      <x:c r="D2805">
        <x:f>ROUND($C2805*10*VLOOKUP($B2805,Sheet2!$J$5:$K$7,2,FALSE)*VLOOKUP(Sheet1!$A2805,Sheet2!$B$5:$H$29,3,FALSE),0)</x:f>
        <x:v>106</x:v>
      </x:c>
      <x:c r="E2805">
        <x:f>ROUND($C2805*10*VLOOKUP($B2805,Sheet2!$J$5:$K$7,2,FALSE)*VLOOKUP(Sheet1!$A2805,Sheet2!$B$5:$H$29,4,FALSE),0)</x:f>
        <x:v>0</x:v>
      </x:c>
      <x:c r="F2805">
        <x:f>ROUND($C2805*10*VLOOKUP($B2805,Sheet2!$J$5:$K$7,2,FALSE)*VLOOKUP(Sheet1!$A2805,Sheet2!$B$5:$H$29,5,FALSE),0)</x:f>
        <x:v>0</x:v>
      </x:c>
      <x:c r="G2805">
        <x:f>ROUND($C2805*10*VLOOKUP($B2805,Sheet2!$J$5:$K$7,2,FALSE)*VLOOKUP(Sheet1!$A2805,Sheet2!$B$5:$H$29,6,FALSE),0)</x:f>
        <x:v>253</x:v>
      </x:c>
      <x:c r="H2805">
        <x:f>ROUND($C2805*10*VLOOKUP($B2805,Sheet2!$J$5:$K$7,2,FALSE)*VLOOKUP(Sheet1!$A2805,Sheet2!$B$5:$H$29,7,FALSE),0)</x:f>
        <x:v>0</x:v>
      </x:c>
      <x:c r="I2805">
        <x:f t="shared" si="46"/>
        <x:v>36660</x:v>
      </x:c>
    </x:row>
    <x:row r="2806" spans="1:9" x14ac:dyDescent="0.15">
      <x:c r="A2806">
        <x:v>54151</x:v>
      </x:c>
      <x:c r="B2806">
        <x:v>2</x:v>
      </x:c>
      <x:c r="C2806">
        <x:v>45</x:v>
      </x:c>
      <x:c r="D2806">
        <x:f>ROUND($C2806*10*VLOOKUP($B2806,Sheet2!$J$5:$K$7,2,FALSE)*VLOOKUP(Sheet1!$A2806,Sheet2!$B$5:$H$29,3,FALSE),0)</x:f>
        <x:v>108</x:v>
      </x:c>
      <x:c r="E2806">
        <x:f>ROUND($C2806*10*VLOOKUP($B2806,Sheet2!$J$5:$K$7,2,FALSE)*VLOOKUP(Sheet1!$A2806,Sheet2!$B$5:$H$29,4,FALSE),0)</x:f>
        <x:v>0</x:v>
      </x:c>
      <x:c r="F2806">
        <x:f>ROUND($C2806*10*VLOOKUP($B2806,Sheet2!$J$5:$K$7,2,FALSE)*VLOOKUP(Sheet1!$A2806,Sheet2!$B$5:$H$29,5,FALSE),0)</x:f>
        <x:v>0</x:v>
      </x:c>
      <x:c r="G2806">
        <x:f>ROUND($C2806*10*VLOOKUP($B2806,Sheet2!$J$5:$K$7,2,FALSE)*VLOOKUP(Sheet1!$A2806,Sheet2!$B$5:$H$29,6,FALSE),0)</x:f>
        <x:v>259</x:v>
      </x:c>
      <x:c r="H2806">
        <x:f>ROUND($C2806*10*VLOOKUP($B2806,Sheet2!$J$5:$K$7,2,FALSE)*VLOOKUP(Sheet1!$A2806,Sheet2!$B$5:$H$29,7,FALSE),0)</x:f>
        <x:v>0</x:v>
      </x:c>
      <x:c r="I2806">
        <x:f t="shared" si="46"/>
        <x:v>38210</x:v>
      </x:c>
    </x:row>
    <x:row r="2807" spans="1:9" x14ac:dyDescent="0.15">
      <x:c r="A2807">
        <x:v>54151</x:v>
      </x:c>
      <x:c r="B2807">
        <x:v>2</x:v>
      </x:c>
      <x:c r="C2807">
        <x:v>46</x:v>
      </x:c>
      <x:c r="D2807">
        <x:f>ROUND($C2807*10*VLOOKUP($B2807,Sheet2!$J$5:$K$7,2,FALSE)*VLOOKUP(Sheet1!$A2807,Sheet2!$B$5:$H$29,3,FALSE),0)</x:f>
        <x:v>110</x:v>
      </x:c>
      <x:c r="E2807">
        <x:f>ROUND($C2807*10*VLOOKUP($B2807,Sheet2!$J$5:$K$7,2,FALSE)*VLOOKUP(Sheet1!$A2807,Sheet2!$B$5:$H$29,4,FALSE),0)</x:f>
        <x:v>0</x:v>
      </x:c>
      <x:c r="F2807">
        <x:f>ROUND($C2807*10*VLOOKUP($B2807,Sheet2!$J$5:$K$7,2,FALSE)*VLOOKUP(Sheet1!$A2807,Sheet2!$B$5:$H$29,5,FALSE),0)</x:f>
        <x:v>0</x:v>
      </x:c>
      <x:c r="G2807">
        <x:f>ROUND($C2807*10*VLOOKUP($B2807,Sheet2!$J$5:$K$7,2,FALSE)*VLOOKUP(Sheet1!$A2807,Sheet2!$B$5:$H$29,6,FALSE),0)</x:f>
        <x:v>265</x:v>
      </x:c>
      <x:c r="H2807">
        <x:f>ROUND($C2807*10*VLOOKUP($B2807,Sheet2!$J$5:$K$7,2,FALSE)*VLOOKUP(Sheet1!$A2807,Sheet2!$B$5:$H$29,7,FALSE),0)</x:f>
        <x:v>0</x:v>
      </x:c>
      <x:c r="I2807">
        <x:f t="shared" si="46"/>
        <x:v>39780</x:v>
      </x:c>
    </x:row>
    <x:row r="2808" spans="1:9" x14ac:dyDescent="0.15">
      <x:c r="A2808">
        <x:v>54151</x:v>
      </x:c>
      <x:c r="B2808">
        <x:v>2</x:v>
      </x:c>
      <x:c r="C2808">
        <x:v>47</x:v>
      </x:c>
      <x:c r="D2808">
        <x:f>ROUND($C2808*10*VLOOKUP($B2808,Sheet2!$J$5:$K$7,2,FALSE)*VLOOKUP(Sheet1!$A2808,Sheet2!$B$5:$H$29,3,FALSE),0)</x:f>
        <x:v>113</x:v>
      </x:c>
      <x:c r="E2808">
        <x:f>ROUND($C2808*10*VLOOKUP($B2808,Sheet2!$J$5:$K$7,2,FALSE)*VLOOKUP(Sheet1!$A2808,Sheet2!$B$5:$H$29,4,FALSE),0)</x:f>
        <x:v>0</x:v>
      </x:c>
      <x:c r="F2808">
        <x:f>ROUND($C2808*10*VLOOKUP($B2808,Sheet2!$J$5:$K$7,2,FALSE)*VLOOKUP(Sheet1!$A2808,Sheet2!$B$5:$H$29,5,FALSE),0)</x:f>
        <x:v>0</x:v>
      </x:c>
      <x:c r="G2808">
        <x:f>ROUND($C2808*10*VLOOKUP($B2808,Sheet2!$J$5:$K$7,2,FALSE)*VLOOKUP(Sheet1!$A2808,Sheet2!$B$5:$H$29,6,FALSE),0)</x:f>
        <x:v>271</x:v>
      </x:c>
      <x:c r="H2808">
        <x:f>ROUND($C2808*10*VLOOKUP($B2808,Sheet2!$J$5:$K$7,2,FALSE)*VLOOKUP(Sheet1!$A2808,Sheet2!$B$5:$H$29,7,FALSE),0)</x:f>
        <x:v>0</x:v>
      </x:c>
      <x:c r="I2808">
        <x:f t="shared" si="46"/>
        <x:v>41390</x:v>
      </x:c>
    </x:row>
    <x:row r="2809" spans="1:9" x14ac:dyDescent="0.15">
      <x:c r="A2809">
        <x:v>54151</x:v>
      </x:c>
      <x:c r="B2809">
        <x:v>2</x:v>
      </x:c>
      <x:c r="C2809">
        <x:v>48</x:v>
      </x:c>
      <x:c r="D2809">
        <x:f>ROUND($C2809*10*VLOOKUP($B2809,Sheet2!$J$5:$K$7,2,FALSE)*VLOOKUP(Sheet1!$A2809,Sheet2!$B$5:$H$29,3,FALSE),0)</x:f>
        <x:v>115</x:v>
      </x:c>
      <x:c r="E2809">
        <x:f>ROUND($C2809*10*VLOOKUP($B2809,Sheet2!$J$5:$K$7,2,FALSE)*VLOOKUP(Sheet1!$A2809,Sheet2!$B$5:$H$29,4,FALSE),0)</x:f>
        <x:v>0</x:v>
      </x:c>
      <x:c r="F2809">
        <x:f>ROUND($C2809*10*VLOOKUP($B2809,Sheet2!$J$5:$K$7,2,FALSE)*VLOOKUP(Sheet1!$A2809,Sheet2!$B$5:$H$29,5,FALSE),0)</x:f>
        <x:v>0</x:v>
      </x:c>
      <x:c r="G2809">
        <x:f>ROUND($C2809*10*VLOOKUP($B2809,Sheet2!$J$5:$K$7,2,FALSE)*VLOOKUP(Sheet1!$A2809,Sheet2!$B$5:$H$29,6,FALSE),0)</x:f>
        <x:v>276</x:v>
      </x:c>
      <x:c r="H2809">
        <x:f>ROUND($C2809*10*VLOOKUP($B2809,Sheet2!$J$5:$K$7,2,FALSE)*VLOOKUP(Sheet1!$A2809,Sheet2!$B$5:$H$29,7,FALSE),0)</x:f>
        <x:v>0</x:v>
      </x:c>
      <x:c r="I2809">
        <x:f t="shared" si="46"/>
        <x:v>43020</x:v>
      </x:c>
    </x:row>
    <x:row r="2810" spans="1:9" x14ac:dyDescent="0.15">
      <x:c r="A2810">
        <x:v>54151</x:v>
      </x:c>
      <x:c r="B2810">
        <x:v>2</x:v>
      </x:c>
      <x:c r="C2810">
        <x:v>49</x:v>
      </x:c>
      <x:c r="D2810">
        <x:f>ROUND($C2810*10*VLOOKUP($B2810,Sheet2!$J$5:$K$7,2,FALSE)*VLOOKUP(Sheet1!$A2810,Sheet2!$B$5:$H$29,3,FALSE),0)</x:f>
        <x:v>118</x:v>
      </x:c>
      <x:c r="E2810">
        <x:f>ROUND($C2810*10*VLOOKUP($B2810,Sheet2!$J$5:$K$7,2,FALSE)*VLOOKUP(Sheet1!$A2810,Sheet2!$B$5:$H$29,4,FALSE),0)</x:f>
        <x:v>0</x:v>
      </x:c>
      <x:c r="F2810">
        <x:f>ROUND($C2810*10*VLOOKUP($B2810,Sheet2!$J$5:$K$7,2,FALSE)*VLOOKUP(Sheet1!$A2810,Sheet2!$B$5:$H$29,5,FALSE),0)</x:f>
        <x:v>0</x:v>
      </x:c>
      <x:c r="G2810">
        <x:f>ROUND($C2810*10*VLOOKUP($B2810,Sheet2!$J$5:$K$7,2,FALSE)*VLOOKUP(Sheet1!$A2810,Sheet2!$B$5:$H$29,6,FALSE),0)</x:f>
        <x:v>282</x:v>
      </x:c>
      <x:c r="H2810">
        <x:f>ROUND($C2810*10*VLOOKUP($B2810,Sheet2!$J$5:$K$7,2,FALSE)*VLOOKUP(Sheet1!$A2810,Sheet2!$B$5:$H$29,7,FALSE),0)</x:f>
        <x:v>0</x:v>
      </x:c>
      <x:c r="I2810">
        <x:f t="shared" si="46"/>
        <x:v>44680</x:v>
      </x:c>
    </x:row>
    <x:row r="2811" spans="1:9" x14ac:dyDescent="0.15">
      <x:c r="A2811">
        <x:v>54151</x:v>
      </x:c>
      <x:c r="B2811">
        <x:v>2</x:v>
      </x:c>
      <x:c r="C2811">
        <x:v>50</x:v>
      </x:c>
      <x:c r="D2811">
        <x:f>ROUND($C2811*10*VLOOKUP($B2811,Sheet2!$J$5:$K$7,2,FALSE)*VLOOKUP(Sheet1!$A2811,Sheet2!$B$5:$H$29,3,FALSE),0)</x:f>
        <x:v>120</x:v>
      </x:c>
      <x:c r="E2811">
        <x:f>ROUND($C2811*10*VLOOKUP($B2811,Sheet2!$J$5:$K$7,2,FALSE)*VLOOKUP(Sheet1!$A2811,Sheet2!$B$5:$H$29,4,FALSE),0)</x:f>
        <x:v>0</x:v>
      </x:c>
      <x:c r="F2811">
        <x:f>ROUND($C2811*10*VLOOKUP($B2811,Sheet2!$J$5:$K$7,2,FALSE)*VLOOKUP(Sheet1!$A2811,Sheet2!$B$5:$H$29,5,FALSE),0)</x:f>
        <x:v>0</x:v>
      </x:c>
      <x:c r="G2811">
        <x:f>ROUND($C2811*10*VLOOKUP($B2811,Sheet2!$J$5:$K$7,2,FALSE)*VLOOKUP(Sheet1!$A2811,Sheet2!$B$5:$H$29,6,FALSE),0)</x:f>
        <x:v>288</x:v>
      </x:c>
      <x:c r="H2811">
        <x:f>ROUND($C2811*10*VLOOKUP($B2811,Sheet2!$J$5:$K$7,2,FALSE)*VLOOKUP(Sheet1!$A2811,Sheet2!$B$5:$H$29,7,FALSE),0)</x:f>
        <x:v>0</x:v>
      </x:c>
      <x:c r="I2811">
        <x:f t="shared" si="46"/>
        <x:v>46360</x:v>
      </x:c>
    </x:row>
    <x:row r="2812" spans="1:9" x14ac:dyDescent="0.15">
      <x:c r="A2812">
        <x:v>54151</x:v>
      </x:c>
      <x:c r="B2812">
        <x:v>2</x:v>
      </x:c>
      <x:c r="C2812">
        <x:v>51</x:v>
      </x:c>
      <x:c r="D2812">
        <x:f>ROUND($C2812*10*VLOOKUP($B2812,Sheet2!$J$5:$K$7,2,FALSE)*VLOOKUP(Sheet1!$A2812,Sheet2!$B$5:$H$29,3,FALSE),0)</x:f>
        <x:v>122</x:v>
      </x:c>
      <x:c r="E2812">
        <x:f>ROUND($C2812*10*VLOOKUP($B2812,Sheet2!$J$5:$K$7,2,FALSE)*VLOOKUP(Sheet1!$A2812,Sheet2!$B$5:$H$29,4,FALSE),0)</x:f>
        <x:v>0</x:v>
      </x:c>
      <x:c r="F2812">
        <x:f>ROUND($C2812*10*VLOOKUP($B2812,Sheet2!$J$5:$K$7,2,FALSE)*VLOOKUP(Sheet1!$A2812,Sheet2!$B$5:$H$29,5,FALSE),0)</x:f>
        <x:v>0</x:v>
      </x:c>
      <x:c r="G2812">
        <x:f>ROUND($C2812*10*VLOOKUP($B2812,Sheet2!$J$5:$K$7,2,FALSE)*VLOOKUP(Sheet1!$A2812,Sheet2!$B$5:$H$29,6,FALSE),0)</x:f>
        <x:v>294</x:v>
      </x:c>
      <x:c r="H2812">
        <x:f>ROUND($C2812*10*VLOOKUP($B2812,Sheet2!$J$5:$K$7,2,FALSE)*VLOOKUP(Sheet1!$A2812,Sheet2!$B$5:$H$29,7,FALSE),0)</x:f>
        <x:v>0</x:v>
      </x:c>
      <x:c r="I2812">
        <x:f t="shared" si="46"/>
        <x:v>48080</x:v>
      </x:c>
    </x:row>
    <x:row r="2813" spans="1:9" x14ac:dyDescent="0.15">
      <x:c r="A2813">
        <x:v>54151</x:v>
      </x:c>
      <x:c r="B2813">
        <x:v>2</x:v>
      </x:c>
      <x:c r="C2813">
        <x:v>52</x:v>
      </x:c>
      <x:c r="D2813">
        <x:f>ROUND($C2813*10*VLOOKUP($B2813,Sheet2!$J$5:$K$7,2,FALSE)*VLOOKUP(Sheet1!$A2813,Sheet2!$B$5:$H$29,3,FALSE),0)</x:f>
        <x:v>125</x:v>
      </x:c>
      <x:c r="E2813">
        <x:f>ROUND($C2813*10*VLOOKUP($B2813,Sheet2!$J$5:$K$7,2,FALSE)*VLOOKUP(Sheet1!$A2813,Sheet2!$B$5:$H$29,4,FALSE),0)</x:f>
        <x:v>0</x:v>
      </x:c>
      <x:c r="F2813">
        <x:f>ROUND($C2813*10*VLOOKUP($B2813,Sheet2!$J$5:$K$7,2,FALSE)*VLOOKUP(Sheet1!$A2813,Sheet2!$B$5:$H$29,5,FALSE),0)</x:f>
        <x:v>0</x:v>
      </x:c>
      <x:c r="G2813">
        <x:f>ROUND($C2813*10*VLOOKUP($B2813,Sheet2!$J$5:$K$7,2,FALSE)*VLOOKUP(Sheet1!$A2813,Sheet2!$B$5:$H$29,6,FALSE),0)</x:f>
        <x:v>300</x:v>
      </x:c>
      <x:c r="H2813">
        <x:f>ROUND($C2813*10*VLOOKUP($B2813,Sheet2!$J$5:$K$7,2,FALSE)*VLOOKUP(Sheet1!$A2813,Sheet2!$B$5:$H$29,7,FALSE),0)</x:f>
        <x:v>0</x:v>
      </x:c>
      <x:c r="I2813">
        <x:f t="shared" si="46"/>
        <x:v>49820</x:v>
      </x:c>
    </x:row>
    <x:row r="2814" spans="1:9" x14ac:dyDescent="0.15">
      <x:c r="A2814">
        <x:v>54151</x:v>
      </x:c>
      <x:c r="B2814">
        <x:v>2</x:v>
      </x:c>
      <x:c r="C2814">
        <x:v>53</x:v>
      </x:c>
      <x:c r="D2814">
        <x:f>ROUND($C2814*10*VLOOKUP($B2814,Sheet2!$J$5:$K$7,2,FALSE)*VLOOKUP(Sheet1!$A2814,Sheet2!$B$5:$H$29,3,FALSE),0)</x:f>
        <x:v>127</x:v>
      </x:c>
      <x:c r="E2814">
        <x:f>ROUND($C2814*10*VLOOKUP($B2814,Sheet2!$J$5:$K$7,2,FALSE)*VLOOKUP(Sheet1!$A2814,Sheet2!$B$5:$H$29,4,FALSE),0)</x:f>
        <x:v>0</x:v>
      </x:c>
      <x:c r="F2814">
        <x:f>ROUND($C2814*10*VLOOKUP($B2814,Sheet2!$J$5:$K$7,2,FALSE)*VLOOKUP(Sheet1!$A2814,Sheet2!$B$5:$H$29,5,FALSE),0)</x:f>
        <x:v>0</x:v>
      </x:c>
      <x:c r="G2814">
        <x:f>ROUND($C2814*10*VLOOKUP($B2814,Sheet2!$J$5:$K$7,2,FALSE)*VLOOKUP(Sheet1!$A2814,Sheet2!$B$5:$H$29,6,FALSE),0)</x:f>
        <x:v>305</x:v>
      </x:c>
      <x:c r="H2814">
        <x:f>ROUND($C2814*10*VLOOKUP($B2814,Sheet2!$J$5:$K$7,2,FALSE)*VLOOKUP(Sheet1!$A2814,Sheet2!$B$5:$H$29,7,FALSE),0)</x:f>
        <x:v>0</x:v>
      </x:c>
      <x:c r="I2814">
        <x:f t="shared" si="46"/>
        <x:v>51590</x:v>
      </x:c>
    </x:row>
    <x:row r="2815" spans="1:9" x14ac:dyDescent="0.15">
      <x:c r="A2815">
        <x:v>54151</x:v>
      </x:c>
      <x:c r="B2815">
        <x:v>2</x:v>
      </x:c>
      <x:c r="C2815">
        <x:v>54</x:v>
      </x:c>
      <x:c r="D2815">
        <x:f>ROUND($C2815*10*VLOOKUP($B2815,Sheet2!$J$5:$K$7,2,FALSE)*VLOOKUP(Sheet1!$A2815,Sheet2!$B$5:$H$29,3,FALSE),0)</x:f>
        <x:v>130</x:v>
      </x:c>
      <x:c r="E2815">
        <x:f>ROUND($C2815*10*VLOOKUP($B2815,Sheet2!$J$5:$K$7,2,FALSE)*VLOOKUP(Sheet1!$A2815,Sheet2!$B$5:$H$29,4,FALSE),0)</x:f>
        <x:v>0</x:v>
      </x:c>
      <x:c r="F2815">
        <x:f>ROUND($C2815*10*VLOOKUP($B2815,Sheet2!$J$5:$K$7,2,FALSE)*VLOOKUP(Sheet1!$A2815,Sheet2!$B$5:$H$29,5,FALSE),0)</x:f>
        <x:v>0</x:v>
      </x:c>
      <x:c r="G2815">
        <x:f>ROUND($C2815*10*VLOOKUP($B2815,Sheet2!$J$5:$K$7,2,FALSE)*VLOOKUP(Sheet1!$A2815,Sheet2!$B$5:$H$29,6,FALSE),0)</x:f>
        <x:v>311</x:v>
      </x:c>
      <x:c r="H2815">
        <x:f>ROUND($C2815*10*VLOOKUP($B2815,Sheet2!$J$5:$K$7,2,FALSE)*VLOOKUP(Sheet1!$A2815,Sheet2!$B$5:$H$29,7,FALSE),0)</x:f>
        <x:v>0</x:v>
      </x:c>
      <x:c r="I2815">
        <x:f t="shared" si="46"/>
        <x:v>53390</x:v>
      </x:c>
    </x:row>
    <x:row r="2816" spans="1:9" x14ac:dyDescent="0.15">
      <x:c r="A2816">
        <x:v>54151</x:v>
      </x:c>
      <x:c r="B2816">
        <x:v>2</x:v>
      </x:c>
      <x:c r="C2816">
        <x:v>55</x:v>
      </x:c>
      <x:c r="D2816">
        <x:f>ROUND($C2816*10*VLOOKUP($B2816,Sheet2!$J$5:$K$7,2,FALSE)*VLOOKUP(Sheet1!$A2816,Sheet2!$B$5:$H$29,3,FALSE),0)</x:f>
        <x:v>132</x:v>
      </x:c>
      <x:c r="E2816">
        <x:f>ROUND($C2816*10*VLOOKUP($B2816,Sheet2!$J$5:$K$7,2,FALSE)*VLOOKUP(Sheet1!$A2816,Sheet2!$B$5:$H$29,4,FALSE),0)</x:f>
        <x:v>0</x:v>
      </x:c>
      <x:c r="F2816">
        <x:f>ROUND($C2816*10*VLOOKUP($B2816,Sheet2!$J$5:$K$7,2,FALSE)*VLOOKUP(Sheet1!$A2816,Sheet2!$B$5:$H$29,5,FALSE),0)</x:f>
        <x:v>0</x:v>
      </x:c>
      <x:c r="G2816">
        <x:f>ROUND($C2816*10*VLOOKUP($B2816,Sheet2!$J$5:$K$7,2,FALSE)*VLOOKUP(Sheet1!$A2816,Sheet2!$B$5:$H$29,6,FALSE),0)</x:f>
        <x:v>317</x:v>
      </x:c>
      <x:c r="H2816">
        <x:f>ROUND($C2816*10*VLOOKUP($B2816,Sheet2!$J$5:$K$7,2,FALSE)*VLOOKUP(Sheet1!$A2816,Sheet2!$B$5:$H$29,7,FALSE),0)</x:f>
        <x:v>0</x:v>
      </x:c>
      <x:c r="I2816">
        <x:f t="shared" si="46"/>
        <x:v>55210</x:v>
      </x:c>
    </x:row>
    <x:row r="2817" spans="1:9" x14ac:dyDescent="0.15">
      <x:c r="A2817">
        <x:v>54151</x:v>
      </x:c>
      <x:c r="B2817">
        <x:v>2</x:v>
      </x:c>
      <x:c r="C2817">
        <x:v>56</x:v>
      </x:c>
      <x:c r="D2817">
        <x:f>ROUND($C2817*10*VLOOKUP($B2817,Sheet2!$J$5:$K$7,2,FALSE)*VLOOKUP(Sheet1!$A2817,Sheet2!$B$5:$H$29,3,FALSE),0)</x:f>
        <x:v>134</x:v>
      </x:c>
      <x:c r="E2817">
        <x:f>ROUND($C2817*10*VLOOKUP($B2817,Sheet2!$J$5:$K$7,2,FALSE)*VLOOKUP(Sheet1!$A2817,Sheet2!$B$5:$H$29,4,FALSE),0)</x:f>
        <x:v>0</x:v>
      </x:c>
      <x:c r="F2817">
        <x:f>ROUND($C2817*10*VLOOKUP($B2817,Sheet2!$J$5:$K$7,2,FALSE)*VLOOKUP(Sheet1!$A2817,Sheet2!$B$5:$H$29,5,FALSE),0)</x:f>
        <x:v>0</x:v>
      </x:c>
      <x:c r="G2817">
        <x:f>ROUND($C2817*10*VLOOKUP($B2817,Sheet2!$J$5:$K$7,2,FALSE)*VLOOKUP(Sheet1!$A2817,Sheet2!$B$5:$H$29,6,FALSE),0)</x:f>
        <x:v>323</x:v>
      </x:c>
      <x:c r="H2817">
        <x:f>ROUND($C2817*10*VLOOKUP($B2817,Sheet2!$J$5:$K$7,2,FALSE)*VLOOKUP(Sheet1!$A2817,Sheet2!$B$5:$H$29,7,FALSE),0)</x:f>
        <x:v>0</x:v>
      </x:c>
      <x:c r="I2817">
        <x:f t="shared" si="46"/>
        <x:v>57060</x:v>
      </x:c>
    </x:row>
    <x:row r="2818" spans="1:9" x14ac:dyDescent="0.15">
      <x:c r="A2818">
        <x:v>54151</x:v>
      </x:c>
      <x:c r="B2818">
        <x:v>2</x:v>
      </x:c>
      <x:c r="C2818">
        <x:v>57</x:v>
      </x:c>
      <x:c r="D2818">
        <x:f>ROUND($C2818*10*VLOOKUP($B2818,Sheet2!$J$5:$K$7,2,FALSE)*VLOOKUP(Sheet1!$A2818,Sheet2!$B$5:$H$29,3,FALSE),0)</x:f>
        <x:v>137</x:v>
      </x:c>
      <x:c r="E2818">
        <x:f>ROUND($C2818*10*VLOOKUP($B2818,Sheet2!$J$5:$K$7,2,FALSE)*VLOOKUP(Sheet1!$A2818,Sheet2!$B$5:$H$29,4,FALSE),0)</x:f>
        <x:v>0</x:v>
      </x:c>
      <x:c r="F2818">
        <x:f>ROUND($C2818*10*VLOOKUP($B2818,Sheet2!$J$5:$K$7,2,FALSE)*VLOOKUP(Sheet1!$A2818,Sheet2!$B$5:$H$29,5,FALSE),0)</x:f>
        <x:v>0</x:v>
      </x:c>
      <x:c r="G2818">
        <x:f>ROUND($C2818*10*VLOOKUP($B2818,Sheet2!$J$5:$K$7,2,FALSE)*VLOOKUP(Sheet1!$A2818,Sheet2!$B$5:$H$29,6,FALSE),0)</x:f>
        <x:v>328</x:v>
      </x:c>
      <x:c r="H2818">
        <x:f>ROUND($C2818*10*VLOOKUP($B2818,Sheet2!$J$5:$K$7,2,FALSE)*VLOOKUP(Sheet1!$A2818,Sheet2!$B$5:$H$29,7,FALSE),0)</x:f>
        <x:v>0</x:v>
      </x:c>
      <x:c r="I2818">
        <x:f t="shared" si="46"/>
        <x:v>58940</x:v>
      </x:c>
    </x:row>
    <x:row r="2819" spans="1:9" x14ac:dyDescent="0.15">
      <x:c r="A2819">
        <x:v>54151</x:v>
      </x:c>
      <x:c r="B2819">
        <x:v>2</x:v>
      </x:c>
      <x:c r="C2819">
        <x:v>58</x:v>
      </x:c>
      <x:c r="D2819">
        <x:f>ROUND($C2819*10*VLOOKUP($B2819,Sheet2!$J$5:$K$7,2,FALSE)*VLOOKUP(Sheet1!$A2819,Sheet2!$B$5:$H$29,3,FALSE),0)</x:f>
        <x:v>139</x:v>
      </x:c>
      <x:c r="E2819">
        <x:f>ROUND($C2819*10*VLOOKUP($B2819,Sheet2!$J$5:$K$7,2,FALSE)*VLOOKUP(Sheet1!$A2819,Sheet2!$B$5:$H$29,4,FALSE),0)</x:f>
        <x:v>0</x:v>
      </x:c>
      <x:c r="F2819">
        <x:f>ROUND($C2819*10*VLOOKUP($B2819,Sheet2!$J$5:$K$7,2,FALSE)*VLOOKUP(Sheet1!$A2819,Sheet2!$B$5:$H$29,5,FALSE),0)</x:f>
        <x:v>0</x:v>
      </x:c>
      <x:c r="G2819">
        <x:f>ROUND($C2819*10*VLOOKUP($B2819,Sheet2!$J$5:$K$7,2,FALSE)*VLOOKUP(Sheet1!$A2819,Sheet2!$B$5:$H$29,6,FALSE),0)</x:f>
        <x:v>334</x:v>
      </x:c>
      <x:c r="H2819">
        <x:f>ROUND($C2819*10*VLOOKUP($B2819,Sheet2!$J$5:$K$7,2,FALSE)*VLOOKUP(Sheet1!$A2819,Sheet2!$B$5:$H$29,7,FALSE),0)</x:f>
        <x:v>0</x:v>
      </x:c>
      <x:c r="I2819">
        <x:f t="shared" si="46"/>
        <x:v>60850</x:v>
      </x:c>
    </x:row>
    <x:row r="2820" spans="1:9" x14ac:dyDescent="0.15">
      <x:c r="A2820">
        <x:v>54151</x:v>
      </x:c>
      <x:c r="B2820">
        <x:v>2</x:v>
      </x:c>
      <x:c r="C2820">
        <x:v>59</x:v>
      </x:c>
      <x:c r="D2820">
        <x:f>ROUND($C2820*10*VLOOKUP($B2820,Sheet2!$J$5:$K$7,2,FALSE)*VLOOKUP(Sheet1!$A2820,Sheet2!$B$5:$H$29,3,FALSE),0)</x:f>
        <x:v>142</x:v>
      </x:c>
      <x:c r="E2820">
        <x:f>ROUND($C2820*10*VLOOKUP($B2820,Sheet2!$J$5:$K$7,2,FALSE)*VLOOKUP(Sheet1!$A2820,Sheet2!$B$5:$H$29,4,FALSE),0)</x:f>
        <x:v>0</x:v>
      </x:c>
      <x:c r="F2820">
        <x:f>ROUND($C2820*10*VLOOKUP($B2820,Sheet2!$J$5:$K$7,2,FALSE)*VLOOKUP(Sheet1!$A2820,Sheet2!$B$5:$H$29,5,FALSE),0)</x:f>
        <x:v>0</x:v>
      </x:c>
      <x:c r="G2820">
        <x:f>ROUND($C2820*10*VLOOKUP($B2820,Sheet2!$J$5:$K$7,2,FALSE)*VLOOKUP(Sheet1!$A2820,Sheet2!$B$5:$H$29,6,FALSE),0)</x:f>
        <x:v>340</x:v>
      </x:c>
      <x:c r="H2820">
        <x:f>ROUND($C2820*10*VLOOKUP($B2820,Sheet2!$J$5:$K$7,2,FALSE)*VLOOKUP(Sheet1!$A2820,Sheet2!$B$5:$H$29,7,FALSE),0)</x:f>
        <x:v>0</x:v>
      </x:c>
      <x:c r="I2820">
        <x:f t="shared" si="46"/>
        <x:v>62780</x:v>
      </x:c>
    </x:row>
    <x:row r="2821" spans="1:9" x14ac:dyDescent="0.15">
      <x:c r="A2821">
        <x:v>54151</x:v>
      </x:c>
      <x:c r="B2821">
        <x:v>2</x:v>
      </x:c>
      <x:c r="C2821">
        <x:v>60</x:v>
      </x:c>
      <x:c r="D2821">
        <x:f>ROUND($C2821*10*VLOOKUP($B2821,Sheet2!$J$5:$K$7,2,FALSE)*VLOOKUP(Sheet1!$A2821,Sheet2!$B$5:$H$29,3,FALSE),0)</x:f>
        <x:v>144</x:v>
      </x:c>
      <x:c r="E2821">
        <x:f>ROUND($C2821*10*VLOOKUP($B2821,Sheet2!$J$5:$K$7,2,FALSE)*VLOOKUP(Sheet1!$A2821,Sheet2!$B$5:$H$29,4,FALSE),0)</x:f>
        <x:v>0</x:v>
      </x:c>
      <x:c r="F2821">
        <x:f>ROUND($C2821*10*VLOOKUP($B2821,Sheet2!$J$5:$K$7,2,FALSE)*VLOOKUP(Sheet1!$A2821,Sheet2!$B$5:$H$29,5,FALSE),0)</x:f>
        <x:v>0</x:v>
      </x:c>
      <x:c r="G2821">
        <x:f>ROUND($C2821*10*VLOOKUP($B2821,Sheet2!$J$5:$K$7,2,FALSE)*VLOOKUP(Sheet1!$A2821,Sheet2!$B$5:$H$29,6,FALSE),0)</x:f>
        <x:v>346</x:v>
      </x:c>
      <x:c r="H2821">
        <x:f>ROUND($C2821*10*VLOOKUP($B2821,Sheet2!$J$5:$K$7,2,FALSE)*VLOOKUP(Sheet1!$A2821,Sheet2!$B$5:$H$29,7,FALSE),0)</x:f>
        <x:v>0</x:v>
      </x:c>
      <x:c r="I2821">
        <x:f t="shared" si="46"/>
        <x:v>64740</x:v>
      </x:c>
    </x:row>
    <x:row r="2822" spans="1:9" x14ac:dyDescent="0.15">
      <x:c r="A2822">
        <x:v>54151</x:v>
      </x:c>
      <x:c r="B2822">
        <x:v>3</x:v>
      </x:c>
      <x:c r="C2822">
        <x:v>1</x:v>
      </x:c>
      <x:c r="D2822">
        <x:f>ROUND($C2822*10*VLOOKUP($B2822,Sheet2!$J$5:$K$7,2,FALSE)*VLOOKUP(Sheet1!$A2822,Sheet2!$B$5:$H$29,3,FALSE),0)</x:f>
        <x:v>4</x:v>
      </x:c>
      <x:c r="E2822">
        <x:f>ROUND($C2822*10*VLOOKUP($B2822,Sheet2!$J$5:$K$7,2,FALSE)*VLOOKUP(Sheet1!$A2822,Sheet2!$B$5:$H$29,4,FALSE),0)</x:f>
        <x:v>0</x:v>
      </x:c>
      <x:c r="F2822">
        <x:f>ROUND($C2822*10*VLOOKUP($B2822,Sheet2!$J$5:$K$7,2,FALSE)*VLOOKUP(Sheet1!$A2822,Sheet2!$B$5:$H$29,5,FALSE),0)</x:f>
        <x:v>0</x:v>
      </x:c>
      <x:c r="G2822">
        <x:f>ROUND($C2822*10*VLOOKUP($B2822,Sheet2!$J$5:$K$7,2,FALSE)*VLOOKUP(Sheet1!$A2822,Sheet2!$B$5:$H$29,6,FALSE),0)</x:f>
        <x:v>10</x:v>
      </x:c>
      <x:c r="H2822">
        <x:f>ROUND($C2822*10*VLOOKUP($B2822,Sheet2!$J$5:$K$7,2,FALSE)*VLOOKUP(Sheet1!$A2822,Sheet2!$B$5:$H$29,7,FALSE),0)</x:f>
        <x:v>0</x:v>
      </x:c>
      <x:c r="I2822">
        <x:f t="shared" ref="I2822:I2881" si="47">ROUND(1.2*10*10.5*(C2822-1)^1.8+90,-1)</x:f>
        <x:v>90</x:v>
      </x:c>
    </x:row>
    <x:row r="2823" spans="1:9" x14ac:dyDescent="0.15">
      <x:c r="A2823">
        <x:v>54151</x:v>
      </x:c>
      <x:c r="B2823">
        <x:v>3</x:v>
      </x:c>
      <x:c r="C2823">
        <x:v>2</x:v>
      </x:c>
      <x:c r="D2823">
        <x:f>ROUND($C2823*10*VLOOKUP($B2823,Sheet2!$J$5:$K$7,2,FALSE)*VLOOKUP(Sheet1!$A2823,Sheet2!$B$5:$H$29,3,FALSE),0)</x:f>
        <x:v>8</x:v>
      </x:c>
      <x:c r="E2823">
        <x:f>ROUND($C2823*10*VLOOKUP($B2823,Sheet2!$J$5:$K$7,2,FALSE)*VLOOKUP(Sheet1!$A2823,Sheet2!$B$5:$H$29,4,FALSE),0)</x:f>
        <x:v>0</x:v>
      </x:c>
      <x:c r="F2823">
        <x:f>ROUND($C2823*10*VLOOKUP($B2823,Sheet2!$J$5:$K$7,2,FALSE)*VLOOKUP(Sheet1!$A2823,Sheet2!$B$5:$H$29,5,FALSE),0)</x:f>
        <x:v>0</x:v>
      </x:c>
      <x:c r="G2823">
        <x:f>ROUND($C2823*10*VLOOKUP($B2823,Sheet2!$J$5:$K$7,2,FALSE)*VLOOKUP(Sheet1!$A2823,Sheet2!$B$5:$H$29,6,FALSE),0)</x:f>
        <x:v>19</x:v>
      </x:c>
      <x:c r="H2823">
        <x:f>ROUND($C2823*10*VLOOKUP($B2823,Sheet2!$J$5:$K$7,2,FALSE)*VLOOKUP(Sheet1!$A2823,Sheet2!$B$5:$H$29,7,FALSE),0)</x:f>
        <x:v>0</x:v>
      </x:c>
      <x:c r="I2823">
        <x:f t="shared" si="47"/>
        <x:v>220</x:v>
      </x:c>
    </x:row>
    <x:row r="2824" spans="1:9" x14ac:dyDescent="0.15">
      <x:c r="A2824">
        <x:v>54151</x:v>
      </x:c>
      <x:c r="B2824">
        <x:v>3</x:v>
      </x:c>
      <x:c r="C2824">
        <x:v>3</x:v>
      </x:c>
      <x:c r="D2824">
        <x:f>ROUND($C2824*10*VLOOKUP($B2824,Sheet2!$J$5:$K$7,2,FALSE)*VLOOKUP(Sheet1!$A2824,Sheet2!$B$5:$H$29,3,FALSE),0)</x:f>
        <x:v>12</x:v>
      </x:c>
      <x:c r="E2824">
        <x:f>ROUND($C2824*10*VLOOKUP($B2824,Sheet2!$J$5:$K$7,2,FALSE)*VLOOKUP(Sheet1!$A2824,Sheet2!$B$5:$H$29,4,FALSE),0)</x:f>
        <x:v>0</x:v>
      </x:c>
      <x:c r="F2824">
        <x:f>ROUND($C2824*10*VLOOKUP($B2824,Sheet2!$J$5:$K$7,2,FALSE)*VLOOKUP(Sheet1!$A2824,Sheet2!$B$5:$H$29,5,FALSE),0)</x:f>
        <x:v>0</x:v>
      </x:c>
      <x:c r="G2824">
        <x:f>ROUND($C2824*10*VLOOKUP($B2824,Sheet2!$J$5:$K$7,2,FALSE)*VLOOKUP(Sheet1!$A2824,Sheet2!$B$5:$H$29,6,FALSE),0)</x:f>
        <x:v>29</x:v>
      </x:c>
      <x:c r="H2824">
        <x:f>ROUND($C2824*10*VLOOKUP($B2824,Sheet2!$J$5:$K$7,2,FALSE)*VLOOKUP(Sheet1!$A2824,Sheet2!$B$5:$H$29,7,FALSE),0)</x:f>
        <x:v>0</x:v>
      </x:c>
      <x:c r="I2824">
        <x:f t="shared" si="47"/>
        <x:v>530</x:v>
      </x:c>
    </x:row>
    <x:row r="2825" spans="1:9" x14ac:dyDescent="0.15">
      <x:c r="A2825">
        <x:v>54151</x:v>
      </x:c>
      <x:c r="B2825">
        <x:v>3</x:v>
      </x:c>
      <x:c r="C2825">
        <x:v>4</x:v>
      </x:c>
      <x:c r="D2825">
        <x:f>ROUND($C2825*10*VLOOKUP($B2825,Sheet2!$J$5:$K$7,2,FALSE)*VLOOKUP(Sheet1!$A2825,Sheet2!$B$5:$H$29,3,FALSE),0)</x:f>
        <x:v>16</x:v>
      </x:c>
      <x:c r="E2825">
        <x:f>ROUND($C2825*10*VLOOKUP($B2825,Sheet2!$J$5:$K$7,2,FALSE)*VLOOKUP(Sheet1!$A2825,Sheet2!$B$5:$H$29,4,FALSE),0)</x:f>
        <x:v>0</x:v>
      </x:c>
      <x:c r="F2825">
        <x:f>ROUND($C2825*10*VLOOKUP($B2825,Sheet2!$J$5:$K$7,2,FALSE)*VLOOKUP(Sheet1!$A2825,Sheet2!$B$5:$H$29,5,FALSE),0)</x:f>
        <x:v>0</x:v>
      </x:c>
      <x:c r="G2825">
        <x:f>ROUND($C2825*10*VLOOKUP($B2825,Sheet2!$J$5:$K$7,2,FALSE)*VLOOKUP(Sheet1!$A2825,Sheet2!$B$5:$H$29,6,FALSE),0)</x:f>
        <x:v>38</x:v>
      </x:c>
      <x:c r="H2825">
        <x:f>ROUND($C2825*10*VLOOKUP($B2825,Sheet2!$J$5:$K$7,2,FALSE)*VLOOKUP(Sheet1!$A2825,Sheet2!$B$5:$H$29,7,FALSE),0)</x:f>
        <x:v>0</x:v>
      </x:c>
      <x:c r="I2825">
        <x:f t="shared" si="47"/>
        <x:v>1000</x:v>
      </x:c>
    </x:row>
    <x:row r="2826" spans="1:9" x14ac:dyDescent="0.15">
      <x:c r="A2826">
        <x:v>54151</x:v>
      </x:c>
      <x:c r="B2826">
        <x:v>3</x:v>
      </x:c>
      <x:c r="C2826">
        <x:v>5</x:v>
      </x:c>
      <x:c r="D2826">
        <x:f>ROUND($C2826*10*VLOOKUP($B2826,Sheet2!$J$5:$K$7,2,FALSE)*VLOOKUP(Sheet1!$A2826,Sheet2!$B$5:$H$29,3,FALSE),0)</x:f>
        <x:v>20</x:v>
      </x:c>
      <x:c r="E2826">
        <x:f>ROUND($C2826*10*VLOOKUP($B2826,Sheet2!$J$5:$K$7,2,FALSE)*VLOOKUP(Sheet1!$A2826,Sheet2!$B$5:$H$29,4,FALSE),0)</x:f>
        <x:v>0</x:v>
      </x:c>
      <x:c r="F2826">
        <x:f>ROUND($C2826*10*VLOOKUP($B2826,Sheet2!$J$5:$K$7,2,FALSE)*VLOOKUP(Sheet1!$A2826,Sheet2!$B$5:$H$29,5,FALSE),0)</x:f>
        <x:v>0</x:v>
      </x:c>
      <x:c r="G2826">
        <x:f>ROUND($C2826*10*VLOOKUP($B2826,Sheet2!$J$5:$K$7,2,FALSE)*VLOOKUP(Sheet1!$A2826,Sheet2!$B$5:$H$29,6,FALSE),0)</x:f>
        <x:v>48</x:v>
      </x:c>
      <x:c r="H2826">
        <x:f>ROUND($C2826*10*VLOOKUP($B2826,Sheet2!$J$5:$K$7,2,FALSE)*VLOOKUP(Sheet1!$A2826,Sheet2!$B$5:$H$29,7,FALSE),0)</x:f>
        <x:v>0</x:v>
      </x:c>
      <x:c r="I2826">
        <x:f t="shared" si="47"/>
        <x:v>1620</x:v>
      </x:c>
    </x:row>
    <x:row r="2827" spans="1:9" x14ac:dyDescent="0.15">
      <x:c r="A2827">
        <x:v>54151</x:v>
      </x:c>
      <x:c r="B2827">
        <x:v>3</x:v>
      </x:c>
      <x:c r="C2827">
        <x:v>6</x:v>
      </x:c>
      <x:c r="D2827">
        <x:f>ROUND($C2827*10*VLOOKUP($B2827,Sheet2!$J$5:$K$7,2,FALSE)*VLOOKUP(Sheet1!$A2827,Sheet2!$B$5:$H$29,3,FALSE),0)</x:f>
        <x:v>24</x:v>
      </x:c>
      <x:c r="E2827">
        <x:f>ROUND($C2827*10*VLOOKUP($B2827,Sheet2!$J$5:$K$7,2,FALSE)*VLOOKUP(Sheet1!$A2827,Sheet2!$B$5:$H$29,4,FALSE),0)</x:f>
        <x:v>0</x:v>
      </x:c>
      <x:c r="F2827">
        <x:f>ROUND($C2827*10*VLOOKUP($B2827,Sheet2!$J$5:$K$7,2,FALSE)*VLOOKUP(Sheet1!$A2827,Sheet2!$B$5:$H$29,5,FALSE),0)</x:f>
        <x:v>0</x:v>
      </x:c>
      <x:c r="G2827">
        <x:f>ROUND($C2827*10*VLOOKUP($B2827,Sheet2!$J$5:$K$7,2,FALSE)*VLOOKUP(Sheet1!$A2827,Sheet2!$B$5:$H$29,6,FALSE),0)</x:f>
        <x:v>58</x:v>
      </x:c>
      <x:c r="H2827">
        <x:f>ROUND($C2827*10*VLOOKUP($B2827,Sheet2!$J$5:$K$7,2,FALSE)*VLOOKUP(Sheet1!$A2827,Sheet2!$B$5:$H$29,7,FALSE),0)</x:f>
        <x:v>0</x:v>
      </x:c>
      <x:c r="I2827">
        <x:f t="shared" si="47"/>
        <x:v>2370</x:v>
      </x:c>
    </x:row>
    <x:row r="2828" spans="1:9" x14ac:dyDescent="0.15">
      <x:c r="A2828">
        <x:v>54151</x:v>
      </x:c>
      <x:c r="B2828">
        <x:v>3</x:v>
      </x:c>
      <x:c r="C2828">
        <x:v>7</x:v>
      </x:c>
      <x:c r="D2828">
        <x:f>ROUND($C2828*10*VLOOKUP($B2828,Sheet2!$J$5:$K$7,2,FALSE)*VLOOKUP(Sheet1!$A2828,Sheet2!$B$5:$H$29,3,FALSE),0)</x:f>
        <x:v>28</x:v>
      </x:c>
      <x:c r="E2828">
        <x:f>ROUND($C2828*10*VLOOKUP($B2828,Sheet2!$J$5:$K$7,2,FALSE)*VLOOKUP(Sheet1!$A2828,Sheet2!$B$5:$H$29,4,FALSE),0)</x:f>
        <x:v>0</x:v>
      </x:c>
      <x:c r="F2828">
        <x:f>ROUND($C2828*10*VLOOKUP($B2828,Sheet2!$J$5:$K$7,2,FALSE)*VLOOKUP(Sheet1!$A2828,Sheet2!$B$5:$H$29,5,FALSE),0)</x:f>
        <x:v>0</x:v>
      </x:c>
      <x:c r="G2828">
        <x:f>ROUND($C2828*10*VLOOKUP($B2828,Sheet2!$J$5:$K$7,2,FALSE)*VLOOKUP(Sheet1!$A2828,Sheet2!$B$5:$H$29,6,FALSE),0)</x:f>
        <x:v>67</x:v>
      </x:c>
      <x:c r="H2828">
        <x:f>ROUND($C2828*10*VLOOKUP($B2828,Sheet2!$J$5:$K$7,2,FALSE)*VLOOKUP(Sheet1!$A2828,Sheet2!$B$5:$H$29,7,FALSE),0)</x:f>
        <x:v>0</x:v>
      </x:c>
      <x:c r="I2828">
        <x:f t="shared" si="47"/>
        <x:v>3260</x:v>
      </x:c>
    </x:row>
    <x:row r="2829" spans="1:9" x14ac:dyDescent="0.15">
      <x:c r="A2829">
        <x:v>54151</x:v>
      </x:c>
      <x:c r="B2829">
        <x:v>3</x:v>
      </x:c>
      <x:c r="C2829">
        <x:v>8</x:v>
      </x:c>
      <x:c r="D2829">
        <x:f>ROUND($C2829*10*VLOOKUP($B2829,Sheet2!$J$5:$K$7,2,FALSE)*VLOOKUP(Sheet1!$A2829,Sheet2!$B$5:$H$29,3,FALSE),0)</x:f>
        <x:v>32</x:v>
      </x:c>
      <x:c r="E2829">
        <x:f>ROUND($C2829*10*VLOOKUP($B2829,Sheet2!$J$5:$K$7,2,FALSE)*VLOOKUP(Sheet1!$A2829,Sheet2!$B$5:$H$29,4,FALSE),0)</x:f>
        <x:v>0</x:v>
      </x:c>
      <x:c r="F2829">
        <x:f>ROUND($C2829*10*VLOOKUP($B2829,Sheet2!$J$5:$K$7,2,FALSE)*VLOOKUP(Sheet1!$A2829,Sheet2!$B$5:$H$29,5,FALSE),0)</x:f>
        <x:v>0</x:v>
      </x:c>
      <x:c r="G2829">
        <x:f>ROUND($C2829*10*VLOOKUP($B2829,Sheet2!$J$5:$K$7,2,FALSE)*VLOOKUP(Sheet1!$A2829,Sheet2!$B$5:$H$29,6,FALSE),0)</x:f>
        <x:v>77</x:v>
      </x:c>
      <x:c r="H2829">
        <x:f>ROUND($C2829*10*VLOOKUP($B2829,Sheet2!$J$5:$K$7,2,FALSE)*VLOOKUP(Sheet1!$A2829,Sheet2!$B$5:$H$29,7,FALSE),0)</x:f>
        <x:v>0</x:v>
      </x:c>
      <x:c r="I2829">
        <x:f t="shared" si="47"/>
        <x:v>4270</x:v>
      </x:c>
    </x:row>
    <x:row r="2830" spans="1:9" x14ac:dyDescent="0.15">
      <x:c r="A2830">
        <x:v>54151</x:v>
      </x:c>
      <x:c r="B2830">
        <x:v>3</x:v>
      </x:c>
      <x:c r="C2830">
        <x:v>9</x:v>
      </x:c>
      <x:c r="D2830">
        <x:f>ROUND($C2830*10*VLOOKUP($B2830,Sheet2!$J$5:$K$7,2,FALSE)*VLOOKUP(Sheet1!$A2830,Sheet2!$B$5:$H$29,3,FALSE),0)</x:f>
        <x:v>36</x:v>
      </x:c>
      <x:c r="E2830">
        <x:f>ROUND($C2830*10*VLOOKUP($B2830,Sheet2!$J$5:$K$7,2,FALSE)*VLOOKUP(Sheet1!$A2830,Sheet2!$B$5:$H$29,4,FALSE),0)</x:f>
        <x:v>0</x:v>
      </x:c>
      <x:c r="F2830">
        <x:f>ROUND($C2830*10*VLOOKUP($B2830,Sheet2!$J$5:$K$7,2,FALSE)*VLOOKUP(Sheet1!$A2830,Sheet2!$B$5:$H$29,5,FALSE),0)</x:f>
        <x:v>0</x:v>
      </x:c>
      <x:c r="G2830">
        <x:f>ROUND($C2830*10*VLOOKUP($B2830,Sheet2!$J$5:$K$7,2,FALSE)*VLOOKUP(Sheet1!$A2830,Sheet2!$B$5:$H$29,6,FALSE),0)</x:f>
        <x:v>86</x:v>
      </x:c>
      <x:c r="H2830">
        <x:f>ROUND($C2830*10*VLOOKUP($B2830,Sheet2!$J$5:$K$7,2,FALSE)*VLOOKUP(Sheet1!$A2830,Sheet2!$B$5:$H$29,7,FALSE),0)</x:f>
        <x:v>0</x:v>
      </x:c>
      <x:c r="I2830">
        <x:f t="shared" si="47"/>
        <x:v>5410</x:v>
      </x:c>
    </x:row>
    <x:row r="2831" spans="1:9" x14ac:dyDescent="0.15">
      <x:c r="A2831">
        <x:v>54151</x:v>
      </x:c>
      <x:c r="B2831">
        <x:v>3</x:v>
      </x:c>
      <x:c r="C2831">
        <x:v>10</x:v>
      </x:c>
      <x:c r="D2831">
        <x:f>ROUND($C2831*10*VLOOKUP($B2831,Sheet2!$J$5:$K$7,2,FALSE)*VLOOKUP(Sheet1!$A2831,Sheet2!$B$5:$H$29,3,FALSE),0)</x:f>
        <x:v>40</x:v>
      </x:c>
      <x:c r="E2831">
        <x:f>ROUND($C2831*10*VLOOKUP($B2831,Sheet2!$J$5:$K$7,2,FALSE)*VLOOKUP(Sheet1!$A2831,Sheet2!$B$5:$H$29,4,FALSE),0)</x:f>
        <x:v>0</x:v>
      </x:c>
      <x:c r="F2831">
        <x:f>ROUND($C2831*10*VLOOKUP($B2831,Sheet2!$J$5:$K$7,2,FALSE)*VLOOKUP(Sheet1!$A2831,Sheet2!$B$5:$H$29,5,FALSE),0)</x:f>
        <x:v>0</x:v>
      </x:c>
      <x:c r="G2831">
        <x:f>ROUND($C2831*10*VLOOKUP($B2831,Sheet2!$J$5:$K$7,2,FALSE)*VLOOKUP(Sheet1!$A2831,Sheet2!$B$5:$H$29,6,FALSE),0)</x:f>
        <x:v>96</x:v>
      </x:c>
      <x:c r="H2831">
        <x:f>ROUND($C2831*10*VLOOKUP($B2831,Sheet2!$J$5:$K$7,2,FALSE)*VLOOKUP(Sheet1!$A2831,Sheet2!$B$5:$H$29,7,FALSE),0)</x:f>
        <x:v>0</x:v>
      </x:c>
      <x:c r="I2831">
        <x:f t="shared" si="47"/>
        <x:v>6670</x:v>
      </x:c>
    </x:row>
    <x:row r="2832" spans="1:9" x14ac:dyDescent="0.15">
      <x:c r="A2832">
        <x:v>54151</x:v>
      </x:c>
      <x:c r="B2832">
        <x:v>3</x:v>
      </x:c>
      <x:c r="C2832">
        <x:v>11</x:v>
      </x:c>
      <x:c r="D2832">
        <x:f>ROUND($C2832*10*VLOOKUP($B2832,Sheet2!$J$5:$K$7,2,FALSE)*VLOOKUP(Sheet1!$A2832,Sheet2!$B$5:$H$29,3,FALSE),0)</x:f>
        <x:v>44</x:v>
      </x:c>
      <x:c r="E2832">
        <x:f>ROUND($C2832*10*VLOOKUP($B2832,Sheet2!$J$5:$K$7,2,FALSE)*VLOOKUP(Sheet1!$A2832,Sheet2!$B$5:$H$29,4,FALSE),0)</x:f>
        <x:v>0</x:v>
      </x:c>
      <x:c r="F2832">
        <x:f>ROUND($C2832*10*VLOOKUP($B2832,Sheet2!$J$5:$K$7,2,FALSE)*VLOOKUP(Sheet1!$A2832,Sheet2!$B$5:$H$29,5,FALSE),0)</x:f>
        <x:v>0</x:v>
      </x:c>
      <x:c r="G2832">
        <x:f>ROUND($C2832*10*VLOOKUP($B2832,Sheet2!$J$5:$K$7,2,FALSE)*VLOOKUP(Sheet1!$A2832,Sheet2!$B$5:$H$29,6,FALSE),0)</x:f>
        <x:v>106</x:v>
      </x:c>
      <x:c r="H2832">
        <x:f>ROUND($C2832*10*VLOOKUP($B2832,Sheet2!$J$5:$K$7,2,FALSE)*VLOOKUP(Sheet1!$A2832,Sheet2!$B$5:$H$29,7,FALSE),0)</x:f>
        <x:v>0</x:v>
      </x:c>
      <x:c r="I2832">
        <x:f t="shared" si="47"/>
        <x:v>8040</x:v>
      </x:c>
    </x:row>
    <x:row r="2833" spans="1:9" x14ac:dyDescent="0.15">
      <x:c r="A2833">
        <x:v>54151</x:v>
      </x:c>
      <x:c r="B2833">
        <x:v>3</x:v>
      </x:c>
      <x:c r="C2833">
        <x:v>12</x:v>
      </x:c>
      <x:c r="D2833">
        <x:f>ROUND($C2833*10*VLOOKUP($B2833,Sheet2!$J$5:$K$7,2,FALSE)*VLOOKUP(Sheet1!$A2833,Sheet2!$B$5:$H$29,3,FALSE),0)</x:f>
        <x:v>48</x:v>
      </x:c>
      <x:c r="E2833">
        <x:f>ROUND($C2833*10*VLOOKUP($B2833,Sheet2!$J$5:$K$7,2,FALSE)*VLOOKUP(Sheet1!$A2833,Sheet2!$B$5:$H$29,4,FALSE),0)</x:f>
        <x:v>0</x:v>
      </x:c>
      <x:c r="F2833">
        <x:f>ROUND($C2833*10*VLOOKUP($B2833,Sheet2!$J$5:$K$7,2,FALSE)*VLOOKUP(Sheet1!$A2833,Sheet2!$B$5:$H$29,5,FALSE),0)</x:f>
        <x:v>0</x:v>
      </x:c>
      <x:c r="G2833">
        <x:f>ROUND($C2833*10*VLOOKUP($B2833,Sheet2!$J$5:$K$7,2,FALSE)*VLOOKUP(Sheet1!$A2833,Sheet2!$B$5:$H$29,6,FALSE),0)</x:f>
        <x:v>115</x:v>
      </x:c>
      <x:c r="H2833">
        <x:f>ROUND($C2833*10*VLOOKUP($B2833,Sheet2!$J$5:$K$7,2,FALSE)*VLOOKUP(Sheet1!$A2833,Sheet2!$B$5:$H$29,7,FALSE),0)</x:f>
        <x:v>0</x:v>
      </x:c>
      <x:c r="I2833">
        <x:f t="shared" si="47"/>
        <x:v>9530</x:v>
      </x:c>
    </x:row>
    <x:row r="2834" spans="1:9" x14ac:dyDescent="0.15">
      <x:c r="A2834">
        <x:v>54151</x:v>
      </x:c>
      <x:c r="B2834">
        <x:v>3</x:v>
      </x:c>
      <x:c r="C2834">
        <x:v>13</x:v>
      </x:c>
      <x:c r="D2834">
        <x:f>ROUND($C2834*10*VLOOKUP($B2834,Sheet2!$J$5:$K$7,2,FALSE)*VLOOKUP(Sheet1!$A2834,Sheet2!$B$5:$H$29,3,FALSE),0)</x:f>
        <x:v>52</x:v>
      </x:c>
      <x:c r="E2834">
        <x:f>ROUND($C2834*10*VLOOKUP($B2834,Sheet2!$J$5:$K$7,2,FALSE)*VLOOKUP(Sheet1!$A2834,Sheet2!$B$5:$H$29,4,FALSE),0)</x:f>
        <x:v>0</x:v>
      </x:c>
      <x:c r="F2834">
        <x:f>ROUND($C2834*10*VLOOKUP($B2834,Sheet2!$J$5:$K$7,2,FALSE)*VLOOKUP(Sheet1!$A2834,Sheet2!$B$5:$H$29,5,FALSE),0)</x:f>
        <x:v>0</x:v>
      </x:c>
      <x:c r="G2834">
        <x:f>ROUND($C2834*10*VLOOKUP($B2834,Sheet2!$J$5:$K$7,2,FALSE)*VLOOKUP(Sheet1!$A2834,Sheet2!$B$5:$H$29,6,FALSE),0)</x:f>
        <x:v>125</x:v>
      </x:c>
      <x:c r="H2834">
        <x:f>ROUND($C2834*10*VLOOKUP($B2834,Sheet2!$J$5:$K$7,2,FALSE)*VLOOKUP(Sheet1!$A2834,Sheet2!$B$5:$H$29,7,FALSE),0)</x:f>
        <x:v>0</x:v>
      </x:c>
      <x:c r="I2834">
        <x:f t="shared" si="47"/>
        <x:v>11130</x:v>
      </x:c>
    </x:row>
    <x:row r="2835" spans="1:9" x14ac:dyDescent="0.15">
      <x:c r="A2835">
        <x:v>54151</x:v>
      </x:c>
      <x:c r="B2835">
        <x:v>3</x:v>
      </x:c>
      <x:c r="C2835">
        <x:v>14</x:v>
      </x:c>
      <x:c r="D2835">
        <x:f>ROUND($C2835*10*VLOOKUP($B2835,Sheet2!$J$5:$K$7,2,FALSE)*VLOOKUP(Sheet1!$A2835,Sheet2!$B$5:$H$29,3,FALSE),0)</x:f>
        <x:v>56</x:v>
      </x:c>
      <x:c r="E2835">
        <x:f>ROUND($C2835*10*VLOOKUP($B2835,Sheet2!$J$5:$K$7,2,FALSE)*VLOOKUP(Sheet1!$A2835,Sheet2!$B$5:$H$29,4,FALSE),0)</x:f>
        <x:v>0</x:v>
      </x:c>
      <x:c r="F2835">
        <x:f>ROUND($C2835*10*VLOOKUP($B2835,Sheet2!$J$5:$K$7,2,FALSE)*VLOOKUP(Sheet1!$A2835,Sheet2!$B$5:$H$29,5,FALSE),0)</x:f>
        <x:v>0</x:v>
      </x:c>
      <x:c r="G2835">
        <x:f>ROUND($C2835*10*VLOOKUP($B2835,Sheet2!$J$5:$K$7,2,FALSE)*VLOOKUP(Sheet1!$A2835,Sheet2!$B$5:$H$29,6,FALSE),0)</x:f>
        <x:v>134</x:v>
      </x:c>
      <x:c r="H2835">
        <x:f>ROUND($C2835*10*VLOOKUP($B2835,Sheet2!$J$5:$K$7,2,FALSE)*VLOOKUP(Sheet1!$A2835,Sheet2!$B$5:$H$29,7,FALSE),0)</x:f>
        <x:v>0</x:v>
      </x:c>
      <x:c r="I2835">
        <x:f t="shared" si="47"/>
        <x:v>12840</x:v>
      </x:c>
    </x:row>
    <x:row r="2836" spans="1:9" x14ac:dyDescent="0.15">
      <x:c r="A2836">
        <x:v>54151</x:v>
      </x:c>
      <x:c r="B2836">
        <x:v>3</x:v>
      </x:c>
      <x:c r="C2836">
        <x:v>15</x:v>
      </x:c>
      <x:c r="D2836">
        <x:f>ROUND($C2836*10*VLOOKUP($B2836,Sheet2!$J$5:$K$7,2,FALSE)*VLOOKUP(Sheet1!$A2836,Sheet2!$B$5:$H$29,3,FALSE),0)</x:f>
        <x:v>60</x:v>
      </x:c>
      <x:c r="E2836">
        <x:f>ROUND($C2836*10*VLOOKUP($B2836,Sheet2!$J$5:$K$7,2,FALSE)*VLOOKUP(Sheet1!$A2836,Sheet2!$B$5:$H$29,4,FALSE),0)</x:f>
        <x:v>0</x:v>
      </x:c>
      <x:c r="F2836">
        <x:f>ROUND($C2836*10*VLOOKUP($B2836,Sheet2!$J$5:$K$7,2,FALSE)*VLOOKUP(Sheet1!$A2836,Sheet2!$B$5:$H$29,5,FALSE),0)</x:f>
        <x:v>0</x:v>
      </x:c>
      <x:c r="G2836">
        <x:f>ROUND($C2836*10*VLOOKUP($B2836,Sheet2!$J$5:$K$7,2,FALSE)*VLOOKUP(Sheet1!$A2836,Sheet2!$B$5:$H$29,6,FALSE),0)</x:f>
        <x:v>144</x:v>
      </x:c>
      <x:c r="H2836">
        <x:f>ROUND($C2836*10*VLOOKUP($B2836,Sheet2!$J$5:$K$7,2,FALSE)*VLOOKUP(Sheet1!$A2836,Sheet2!$B$5:$H$29,7,FALSE),0)</x:f>
        <x:v>0</x:v>
      </x:c>
      <x:c r="I2836">
        <x:f t="shared" si="47"/>
        <x:v>14660</x:v>
      </x:c>
    </x:row>
    <x:row r="2837" spans="1:9" x14ac:dyDescent="0.15">
      <x:c r="A2837">
        <x:v>54151</x:v>
      </x:c>
      <x:c r="B2837">
        <x:v>3</x:v>
      </x:c>
      <x:c r="C2837">
        <x:v>16</x:v>
      </x:c>
      <x:c r="D2837">
        <x:f>ROUND($C2837*10*VLOOKUP($B2837,Sheet2!$J$5:$K$7,2,FALSE)*VLOOKUP(Sheet1!$A2837,Sheet2!$B$5:$H$29,3,FALSE),0)</x:f>
        <x:v>64</x:v>
      </x:c>
      <x:c r="E2837">
        <x:f>ROUND($C2837*10*VLOOKUP($B2837,Sheet2!$J$5:$K$7,2,FALSE)*VLOOKUP(Sheet1!$A2837,Sheet2!$B$5:$H$29,4,FALSE),0)</x:f>
        <x:v>0</x:v>
      </x:c>
      <x:c r="F2837">
        <x:f>ROUND($C2837*10*VLOOKUP($B2837,Sheet2!$J$5:$K$7,2,FALSE)*VLOOKUP(Sheet1!$A2837,Sheet2!$B$5:$H$29,5,FALSE),0)</x:f>
        <x:v>0</x:v>
      </x:c>
      <x:c r="G2837">
        <x:f>ROUND($C2837*10*VLOOKUP($B2837,Sheet2!$J$5:$K$7,2,FALSE)*VLOOKUP(Sheet1!$A2837,Sheet2!$B$5:$H$29,6,FALSE),0)</x:f>
        <x:v>154</x:v>
      </x:c>
      <x:c r="H2837">
        <x:f>ROUND($C2837*10*VLOOKUP($B2837,Sheet2!$J$5:$K$7,2,FALSE)*VLOOKUP(Sheet1!$A2837,Sheet2!$B$5:$H$29,7,FALSE),0)</x:f>
        <x:v>0</x:v>
      </x:c>
      <x:c r="I2837">
        <x:f t="shared" si="47"/>
        <x:v>16580</x:v>
      </x:c>
    </x:row>
    <x:row r="2838" spans="1:9" x14ac:dyDescent="0.15">
      <x:c r="A2838">
        <x:v>54151</x:v>
      </x:c>
      <x:c r="B2838">
        <x:v>3</x:v>
      </x:c>
      <x:c r="C2838">
        <x:v>17</x:v>
      </x:c>
      <x:c r="D2838">
        <x:f>ROUND($C2838*10*VLOOKUP($B2838,Sheet2!$J$5:$K$7,2,FALSE)*VLOOKUP(Sheet1!$A2838,Sheet2!$B$5:$H$29,3,FALSE),0)</x:f>
        <x:v>68</x:v>
      </x:c>
      <x:c r="E2838">
        <x:f>ROUND($C2838*10*VLOOKUP($B2838,Sheet2!$J$5:$K$7,2,FALSE)*VLOOKUP(Sheet1!$A2838,Sheet2!$B$5:$H$29,4,FALSE),0)</x:f>
        <x:v>0</x:v>
      </x:c>
      <x:c r="F2838">
        <x:f>ROUND($C2838*10*VLOOKUP($B2838,Sheet2!$J$5:$K$7,2,FALSE)*VLOOKUP(Sheet1!$A2838,Sheet2!$B$5:$H$29,5,FALSE),0)</x:f>
        <x:v>0</x:v>
      </x:c>
      <x:c r="G2838">
        <x:f>ROUND($C2838*10*VLOOKUP($B2838,Sheet2!$J$5:$K$7,2,FALSE)*VLOOKUP(Sheet1!$A2838,Sheet2!$B$5:$H$29,6,FALSE),0)</x:f>
        <x:v>163</x:v>
      </x:c>
      <x:c r="H2838">
        <x:f>ROUND($C2838*10*VLOOKUP($B2838,Sheet2!$J$5:$K$7,2,FALSE)*VLOOKUP(Sheet1!$A2838,Sheet2!$B$5:$H$29,7,FALSE),0)</x:f>
        <x:v>0</x:v>
      </x:c>
      <x:c r="I2838">
        <x:f t="shared" si="47"/>
        <x:v>18620</x:v>
      </x:c>
    </x:row>
    <x:row r="2839" spans="1:9" x14ac:dyDescent="0.15">
      <x:c r="A2839">
        <x:v>54151</x:v>
      </x:c>
      <x:c r="B2839">
        <x:v>3</x:v>
      </x:c>
      <x:c r="C2839">
        <x:v>18</x:v>
      </x:c>
      <x:c r="D2839">
        <x:f>ROUND($C2839*10*VLOOKUP($B2839,Sheet2!$J$5:$K$7,2,FALSE)*VLOOKUP(Sheet1!$A2839,Sheet2!$B$5:$H$29,3,FALSE),0)</x:f>
        <x:v>72</x:v>
      </x:c>
      <x:c r="E2839">
        <x:f>ROUND($C2839*10*VLOOKUP($B2839,Sheet2!$J$5:$K$7,2,FALSE)*VLOOKUP(Sheet1!$A2839,Sheet2!$B$5:$H$29,4,FALSE),0)</x:f>
        <x:v>0</x:v>
      </x:c>
      <x:c r="F2839">
        <x:f>ROUND($C2839*10*VLOOKUP($B2839,Sheet2!$J$5:$K$7,2,FALSE)*VLOOKUP(Sheet1!$A2839,Sheet2!$B$5:$H$29,5,FALSE),0)</x:f>
        <x:v>0</x:v>
      </x:c>
      <x:c r="G2839">
        <x:f>ROUND($C2839*10*VLOOKUP($B2839,Sheet2!$J$5:$K$7,2,FALSE)*VLOOKUP(Sheet1!$A2839,Sheet2!$B$5:$H$29,6,FALSE),0)</x:f>
        <x:v>173</x:v>
      </x:c>
      <x:c r="H2839">
        <x:f>ROUND($C2839*10*VLOOKUP($B2839,Sheet2!$J$5:$K$7,2,FALSE)*VLOOKUP(Sheet1!$A2839,Sheet2!$B$5:$H$29,7,FALSE),0)</x:f>
        <x:v>0</x:v>
      </x:c>
      <x:c r="I2839">
        <x:f t="shared" si="47"/>
        <x:v>20750</x:v>
      </x:c>
    </x:row>
    <x:row r="2840" spans="1:9" x14ac:dyDescent="0.15">
      <x:c r="A2840">
        <x:v>54151</x:v>
      </x:c>
      <x:c r="B2840">
        <x:v>3</x:v>
      </x:c>
      <x:c r="C2840">
        <x:v>19</x:v>
      </x:c>
      <x:c r="D2840">
        <x:f>ROUND($C2840*10*VLOOKUP($B2840,Sheet2!$J$5:$K$7,2,FALSE)*VLOOKUP(Sheet1!$A2840,Sheet2!$B$5:$H$29,3,FALSE),0)</x:f>
        <x:v>76</x:v>
      </x:c>
      <x:c r="E2840">
        <x:f>ROUND($C2840*10*VLOOKUP($B2840,Sheet2!$J$5:$K$7,2,FALSE)*VLOOKUP(Sheet1!$A2840,Sheet2!$B$5:$H$29,4,FALSE),0)</x:f>
        <x:v>0</x:v>
      </x:c>
      <x:c r="F2840">
        <x:f>ROUND($C2840*10*VLOOKUP($B2840,Sheet2!$J$5:$K$7,2,FALSE)*VLOOKUP(Sheet1!$A2840,Sheet2!$B$5:$H$29,5,FALSE),0)</x:f>
        <x:v>0</x:v>
      </x:c>
      <x:c r="G2840">
        <x:f>ROUND($C2840*10*VLOOKUP($B2840,Sheet2!$J$5:$K$7,2,FALSE)*VLOOKUP(Sheet1!$A2840,Sheet2!$B$5:$H$29,6,FALSE),0)</x:f>
        <x:v>182</x:v>
      </x:c>
      <x:c r="H2840">
        <x:f>ROUND($C2840*10*VLOOKUP($B2840,Sheet2!$J$5:$K$7,2,FALSE)*VLOOKUP(Sheet1!$A2840,Sheet2!$B$5:$H$29,7,FALSE),0)</x:f>
        <x:v>0</x:v>
      </x:c>
      <x:c r="I2840">
        <x:f t="shared" si="47"/>
        <x:v>22990</x:v>
      </x:c>
    </x:row>
    <x:row r="2841" spans="1:9" x14ac:dyDescent="0.15">
      <x:c r="A2841">
        <x:v>54151</x:v>
      </x:c>
      <x:c r="B2841">
        <x:v>3</x:v>
      </x:c>
      <x:c r="C2841">
        <x:v>20</x:v>
      </x:c>
      <x:c r="D2841">
        <x:f>ROUND($C2841*10*VLOOKUP($B2841,Sheet2!$J$5:$K$7,2,FALSE)*VLOOKUP(Sheet1!$A2841,Sheet2!$B$5:$H$29,3,FALSE),0)</x:f>
        <x:v>80</x:v>
      </x:c>
      <x:c r="E2841">
        <x:f>ROUND($C2841*10*VLOOKUP($B2841,Sheet2!$J$5:$K$7,2,FALSE)*VLOOKUP(Sheet1!$A2841,Sheet2!$B$5:$H$29,4,FALSE),0)</x:f>
        <x:v>0</x:v>
      </x:c>
      <x:c r="F2841">
        <x:f>ROUND($C2841*10*VLOOKUP($B2841,Sheet2!$J$5:$K$7,2,FALSE)*VLOOKUP(Sheet1!$A2841,Sheet2!$B$5:$H$29,5,FALSE),0)</x:f>
        <x:v>0</x:v>
      </x:c>
      <x:c r="G2841">
        <x:f>ROUND($C2841*10*VLOOKUP($B2841,Sheet2!$J$5:$K$7,2,FALSE)*VLOOKUP(Sheet1!$A2841,Sheet2!$B$5:$H$29,6,FALSE),0)</x:f>
        <x:v>192</x:v>
      </x:c>
      <x:c r="H2841">
        <x:f>ROUND($C2841*10*VLOOKUP($B2841,Sheet2!$J$5:$K$7,2,FALSE)*VLOOKUP(Sheet1!$A2841,Sheet2!$B$5:$H$29,7,FALSE),0)</x:f>
        <x:v>0</x:v>
      </x:c>
      <x:c r="I2841">
        <x:f t="shared" si="47"/>
        <x:v>25330</x:v>
      </x:c>
    </x:row>
    <x:row r="2842" spans="1:9" x14ac:dyDescent="0.15">
      <x:c r="A2842">
        <x:v>54151</x:v>
      </x:c>
      <x:c r="B2842">
        <x:v>3</x:v>
      </x:c>
      <x:c r="C2842">
        <x:v>21</x:v>
      </x:c>
      <x:c r="D2842">
        <x:f>ROUND($C2842*10*VLOOKUP($B2842,Sheet2!$J$5:$K$7,2,FALSE)*VLOOKUP(Sheet1!$A2842,Sheet2!$B$5:$H$29,3,FALSE),0)</x:f>
        <x:v>84</x:v>
      </x:c>
      <x:c r="E2842">
        <x:f>ROUND($C2842*10*VLOOKUP($B2842,Sheet2!$J$5:$K$7,2,FALSE)*VLOOKUP(Sheet1!$A2842,Sheet2!$B$5:$H$29,4,FALSE),0)</x:f>
        <x:v>0</x:v>
      </x:c>
      <x:c r="F2842">
        <x:f>ROUND($C2842*10*VLOOKUP($B2842,Sheet2!$J$5:$K$7,2,FALSE)*VLOOKUP(Sheet1!$A2842,Sheet2!$B$5:$H$29,5,FALSE),0)</x:f>
        <x:v>0</x:v>
      </x:c>
      <x:c r="G2842">
        <x:f>ROUND($C2842*10*VLOOKUP($B2842,Sheet2!$J$5:$K$7,2,FALSE)*VLOOKUP(Sheet1!$A2842,Sheet2!$B$5:$H$29,6,FALSE),0)</x:f>
        <x:v>202</x:v>
      </x:c>
      <x:c r="H2842">
        <x:f>ROUND($C2842*10*VLOOKUP($B2842,Sheet2!$J$5:$K$7,2,FALSE)*VLOOKUP(Sheet1!$A2842,Sheet2!$B$5:$H$29,7,FALSE),0)</x:f>
        <x:v>0</x:v>
      </x:c>
      <x:c r="I2842">
        <x:f t="shared" si="47"/>
        <x:v>27770</x:v>
      </x:c>
    </x:row>
    <x:row r="2843" spans="1:9" x14ac:dyDescent="0.15">
      <x:c r="A2843">
        <x:v>54151</x:v>
      </x:c>
      <x:c r="B2843">
        <x:v>3</x:v>
      </x:c>
      <x:c r="C2843">
        <x:v>22</x:v>
      </x:c>
      <x:c r="D2843">
        <x:f>ROUND($C2843*10*VLOOKUP($B2843,Sheet2!$J$5:$K$7,2,FALSE)*VLOOKUP(Sheet1!$A2843,Sheet2!$B$5:$H$29,3,FALSE),0)</x:f>
        <x:v>88</x:v>
      </x:c>
      <x:c r="E2843">
        <x:f>ROUND($C2843*10*VLOOKUP($B2843,Sheet2!$J$5:$K$7,2,FALSE)*VLOOKUP(Sheet1!$A2843,Sheet2!$B$5:$H$29,4,FALSE),0)</x:f>
        <x:v>0</x:v>
      </x:c>
      <x:c r="F2843">
        <x:f>ROUND($C2843*10*VLOOKUP($B2843,Sheet2!$J$5:$K$7,2,FALSE)*VLOOKUP(Sheet1!$A2843,Sheet2!$B$5:$H$29,5,FALSE),0)</x:f>
        <x:v>0</x:v>
      </x:c>
      <x:c r="G2843">
        <x:f>ROUND($C2843*10*VLOOKUP($B2843,Sheet2!$J$5:$K$7,2,FALSE)*VLOOKUP(Sheet1!$A2843,Sheet2!$B$5:$H$29,6,FALSE),0)</x:f>
        <x:v>211</x:v>
      </x:c>
      <x:c r="H2843">
        <x:f>ROUND($C2843*10*VLOOKUP($B2843,Sheet2!$J$5:$K$7,2,FALSE)*VLOOKUP(Sheet1!$A2843,Sheet2!$B$5:$H$29,7,FALSE),0)</x:f>
        <x:v>0</x:v>
      </x:c>
      <x:c r="I2843">
        <x:f t="shared" si="47"/>
        <x:v>30310</x:v>
      </x:c>
    </x:row>
    <x:row r="2844" spans="1:9" x14ac:dyDescent="0.15">
      <x:c r="A2844">
        <x:v>54151</x:v>
      </x:c>
      <x:c r="B2844">
        <x:v>3</x:v>
      </x:c>
      <x:c r="C2844">
        <x:v>23</x:v>
      </x:c>
      <x:c r="D2844">
        <x:f>ROUND($C2844*10*VLOOKUP($B2844,Sheet2!$J$5:$K$7,2,FALSE)*VLOOKUP(Sheet1!$A2844,Sheet2!$B$5:$H$29,3,FALSE),0)</x:f>
        <x:v>92</x:v>
      </x:c>
      <x:c r="E2844">
        <x:f>ROUND($C2844*10*VLOOKUP($B2844,Sheet2!$J$5:$K$7,2,FALSE)*VLOOKUP(Sheet1!$A2844,Sheet2!$B$5:$H$29,4,FALSE),0)</x:f>
        <x:v>0</x:v>
      </x:c>
      <x:c r="F2844">
        <x:f>ROUND($C2844*10*VLOOKUP($B2844,Sheet2!$J$5:$K$7,2,FALSE)*VLOOKUP(Sheet1!$A2844,Sheet2!$B$5:$H$29,5,FALSE),0)</x:f>
        <x:v>0</x:v>
      </x:c>
      <x:c r="G2844">
        <x:f>ROUND($C2844*10*VLOOKUP($B2844,Sheet2!$J$5:$K$7,2,FALSE)*VLOOKUP(Sheet1!$A2844,Sheet2!$B$5:$H$29,6,FALSE),0)</x:f>
        <x:v>221</x:v>
      </x:c>
      <x:c r="H2844">
        <x:f>ROUND($C2844*10*VLOOKUP($B2844,Sheet2!$J$5:$K$7,2,FALSE)*VLOOKUP(Sheet1!$A2844,Sheet2!$B$5:$H$29,7,FALSE),0)</x:f>
        <x:v>0</x:v>
      </x:c>
      <x:c r="I2844">
        <x:f t="shared" si="47"/>
        <x:v>32950</x:v>
      </x:c>
    </x:row>
    <x:row r="2845" spans="1:9" x14ac:dyDescent="0.15">
      <x:c r="A2845">
        <x:v>54151</x:v>
      </x:c>
      <x:c r="B2845">
        <x:v>3</x:v>
      </x:c>
      <x:c r="C2845">
        <x:v>24</x:v>
      </x:c>
      <x:c r="D2845">
        <x:f>ROUND($C2845*10*VLOOKUP($B2845,Sheet2!$J$5:$K$7,2,FALSE)*VLOOKUP(Sheet1!$A2845,Sheet2!$B$5:$H$29,3,FALSE),0)</x:f>
        <x:v>96</x:v>
      </x:c>
      <x:c r="E2845">
        <x:f>ROUND($C2845*10*VLOOKUP($B2845,Sheet2!$J$5:$K$7,2,FALSE)*VLOOKUP(Sheet1!$A2845,Sheet2!$B$5:$H$29,4,FALSE),0)</x:f>
        <x:v>0</x:v>
      </x:c>
      <x:c r="F2845">
        <x:f>ROUND($C2845*10*VLOOKUP($B2845,Sheet2!$J$5:$K$7,2,FALSE)*VLOOKUP(Sheet1!$A2845,Sheet2!$B$5:$H$29,5,FALSE),0)</x:f>
        <x:v>0</x:v>
      </x:c>
      <x:c r="G2845">
        <x:f>ROUND($C2845*10*VLOOKUP($B2845,Sheet2!$J$5:$K$7,2,FALSE)*VLOOKUP(Sheet1!$A2845,Sheet2!$B$5:$H$29,6,FALSE),0)</x:f>
        <x:v>230</x:v>
      </x:c>
      <x:c r="H2845">
        <x:f>ROUND($C2845*10*VLOOKUP($B2845,Sheet2!$J$5:$K$7,2,FALSE)*VLOOKUP(Sheet1!$A2845,Sheet2!$B$5:$H$29,7,FALSE),0)</x:f>
        <x:v>0</x:v>
      </x:c>
      <x:c r="I2845">
        <x:f t="shared" si="47"/>
        <x:v>35690</x:v>
      </x:c>
    </x:row>
    <x:row r="2846" spans="1:9" x14ac:dyDescent="0.15">
      <x:c r="A2846">
        <x:v>54151</x:v>
      </x:c>
      <x:c r="B2846">
        <x:v>3</x:v>
      </x:c>
      <x:c r="C2846">
        <x:v>25</x:v>
      </x:c>
      <x:c r="D2846">
        <x:f>ROUND($C2846*10*VLOOKUP($B2846,Sheet2!$J$5:$K$7,2,FALSE)*VLOOKUP(Sheet1!$A2846,Sheet2!$B$5:$H$29,3,FALSE),0)</x:f>
        <x:v>100</x:v>
      </x:c>
      <x:c r="E2846">
        <x:f>ROUND($C2846*10*VLOOKUP($B2846,Sheet2!$J$5:$K$7,2,FALSE)*VLOOKUP(Sheet1!$A2846,Sheet2!$B$5:$H$29,4,FALSE),0)</x:f>
        <x:v>0</x:v>
      </x:c>
      <x:c r="F2846">
        <x:f>ROUND($C2846*10*VLOOKUP($B2846,Sheet2!$J$5:$K$7,2,FALSE)*VLOOKUP(Sheet1!$A2846,Sheet2!$B$5:$H$29,5,FALSE),0)</x:f>
        <x:v>0</x:v>
      </x:c>
      <x:c r="G2846">
        <x:f>ROUND($C2846*10*VLOOKUP($B2846,Sheet2!$J$5:$K$7,2,FALSE)*VLOOKUP(Sheet1!$A2846,Sheet2!$B$5:$H$29,6,FALSE),0)</x:f>
        <x:v>240</x:v>
      </x:c>
      <x:c r="H2846">
        <x:f>ROUND($C2846*10*VLOOKUP($B2846,Sheet2!$J$5:$K$7,2,FALSE)*VLOOKUP(Sheet1!$A2846,Sheet2!$B$5:$H$29,7,FALSE),0)</x:f>
        <x:v>0</x:v>
      </x:c>
      <x:c r="I2846">
        <x:f t="shared" si="47"/>
        <x:v>38530</x:v>
      </x:c>
    </x:row>
    <x:row r="2847" spans="1:9" x14ac:dyDescent="0.15">
      <x:c r="A2847">
        <x:v>54151</x:v>
      </x:c>
      <x:c r="B2847">
        <x:v>3</x:v>
      </x:c>
      <x:c r="C2847">
        <x:v>26</x:v>
      </x:c>
      <x:c r="D2847">
        <x:f>ROUND($C2847*10*VLOOKUP($B2847,Sheet2!$J$5:$K$7,2,FALSE)*VLOOKUP(Sheet1!$A2847,Sheet2!$B$5:$H$29,3,FALSE),0)</x:f>
        <x:v>104</x:v>
      </x:c>
      <x:c r="E2847">
        <x:f>ROUND($C2847*10*VLOOKUP($B2847,Sheet2!$J$5:$K$7,2,FALSE)*VLOOKUP(Sheet1!$A2847,Sheet2!$B$5:$H$29,4,FALSE),0)</x:f>
        <x:v>0</x:v>
      </x:c>
      <x:c r="F2847">
        <x:f>ROUND($C2847*10*VLOOKUP($B2847,Sheet2!$J$5:$K$7,2,FALSE)*VLOOKUP(Sheet1!$A2847,Sheet2!$B$5:$H$29,5,FALSE),0)</x:f>
        <x:v>0</x:v>
      </x:c>
      <x:c r="G2847">
        <x:f>ROUND($C2847*10*VLOOKUP($B2847,Sheet2!$J$5:$K$7,2,FALSE)*VLOOKUP(Sheet1!$A2847,Sheet2!$B$5:$H$29,6,FALSE),0)</x:f>
        <x:v>250</x:v>
      </x:c>
      <x:c r="H2847">
        <x:f>ROUND($C2847*10*VLOOKUP($B2847,Sheet2!$J$5:$K$7,2,FALSE)*VLOOKUP(Sheet1!$A2847,Sheet2!$B$5:$H$29,7,FALSE),0)</x:f>
        <x:v>0</x:v>
      </x:c>
      <x:c r="I2847">
        <x:f t="shared" si="47"/>
        <x:v>41460</x:v>
      </x:c>
    </x:row>
    <x:row r="2848" spans="1:9" x14ac:dyDescent="0.15">
      <x:c r="A2848">
        <x:v>54151</x:v>
      </x:c>
      <x:c r="B2848">
        <x:v>3</x:v>
      </x:c>
      <x:c r="C2848">
        <x:v>27</x:v>
      </x:c>
      <x:c r="D2848">
        <x:f>ROUND($C2848*10*VLOOKUP($B2848,Sheet2!$J$5:$K$7,2,FALSE)*VLOOKUP(Sheet1!$A2848,Sheet2!$B$5:$H$29,3,FALSE),0)</x:f>
        <x:v>108</x:v>
      </x:c>
      <x:c r="E2848">
        <x:f>ROUND($C2848*10*VLOOKUP($B2848,Sheet2!$J$5:$K$7,2,FALSE)*VLOOKUP(Sheet1!$A2848,Sheet2!$B$5:$H$29,4,FALSE),0)</x:f>
        <x:v>0</x:v>
      </x:c>
      <x:c r="F2848">
        <x:f>ROUND($C2848*10*VLOOKUP($B2848,Sheet2!$J$5:$K$7,2,FALSE)*VLOOKUP(Sheet1!$A2848,Sheet2!$B$5:$H$29,5,FALSE),0)</x:f>
        <x:v>0</x:v>
      </x:c>
      <x:c r="G2848">
        <x:f>ROUND($C2848*10*VLOOKUP($B2848,Sheet2!$J$5:$K$7,2,FALSE)*VLOOKUP(Sheet1!$A2848,Sheet2!$B$5:$H$29,6,FALSE),0)</x:f>
        <x:v>259</x:v>
      </x:c>
      <x:c r="H2848">
        <x:f>ROUND($C2848*10*VLOOKUP($B2848,Sheet2!$J$5:$K$7,2,FALSE)*VLOOKUP(Sheet1!$A2848,Sheet2!$B$5:$H$29,7,FALSE),0)</x:f>
        <x:v>0</x:v>
      </x:c>
      <x:c r="I2848">
        <x:f t="shared" si="47"/>
        <x:v>44480</x:v>
      </x:c>
    </x:row>
    <x:row r="2849" spans="1:9" x14ac:dyDescent="0.15">
      <x:c r="A2849">
        <x:v>54151</x:v>
      </x:c>
      <x:c r="B2849">
        <x:v>3</x:v>
      </x:c>
      <x:c r="C2849">
        <x:v>28</x:v>
      </x:c>
      <x:c r="D2849">
        <x:f>ROUND($C2849*10*VLOOKUP($B2849,Sheet2!$J$5:$K$7,2,FALSE)*VLOOKUP(Sheet1!$A2849,Sheet2!$B$5:$H$29,3,FALSE),0)</x:f>
        <x:v>112</x:v>
      </x:c>
      <x:c r="E2849">
        <x:f>ROUND($C2849*10*VLOOKUP($B2849,Sheet2!$J$5:$K$7,2,FALSE)*VLOOKUP(Sheet1!$A2849,Sheet2!$B$5:$H$29,4,FALSE),0)</x:f>
        <x:v>0</x:v>
      </x:c>
      <x:c r="F2849">
        <x:f>ROUND($C2849*10*VLOOKUP($B2849,Sheet2!$J$5:$K$7,2,FALSE)*VLOOKUP(Sheet1!$A2849,Sheet2!$B$5:$H$29,5,FALSE),0)</x:f>
        <x:v>0</x:v>
      </x:c>
      <x:c r="G2849">
        <x:f>ROUND($C2849*10*VLOOKUP($B2849,Sheet2!$J$5:$K$7,2,FALSE)*VLOOKUP(Sheet1!$A2849,Sheet2!$B$5:$H$29,6,FALSE),0)</x:f>
        <x:v>269</x:v>
      </x:c>
      <x:c r="H2849">
        <x:f>ROUND($C2849*10*VLOOKUP($B2849,Sheet2!$J$5:$K$7,2,FALSE)*VLOOKUP(Sheet1!$A2849,Sheet2!$B$5:$H$29,7,FALSE),0)</x:f>
        <x:v>0</x:v>
      </x:c>
      <x:c r="I2849">
        <x:f t="shared" si="47"/>
        <x:v>47600</x:v>
      </x:c>
    </x:row>
    <x:row r="2850" spans="1:9" x14ac:dyDescent="0.15">
      <x:c r="A2850">
        <x:v>54151</x:v>
      </x:c>
      <x:c r="B2850">
        <x:v>3</x:v>
      </x:c>
      <x:c r="C2850">
        <x:v>29</x:v>
      </x:c>
      <x:c r="D2850">
        <x:f>ROUND($C2850*10*VLOOKUP($B2850,Sheet2!$J$5:$K$7,2,FALSE)*VLOOKUP(Sheet1!$A2850,Sheet2!$B$5:$H$29,3,FALSE),0)</x:f>
        <x:v>116</x:v>
      </x:c>
      <x:c r="E2850">
        <x:f>ROUND($C2850*10*VLOOKUP($B2850,Sheet2!$J$5:$K$7,2,FALSE)*VLOOKUP(Sheet1!$A2850,Sheet2!$B$5:$H$29,4,FALSE),0)</x:f>
        <x:v>0</x:v>
      </x:c>
      <x:c r="F2850">
        <x:f>ROUND($C2850*10*VLOOKUP($B2850,Sheet2!$J$5:$K$7,2,FALSE)*VLOOKUP(Sheet1!$A2850,Sheet2!$B$5:$H$29,5,FALSE),0)</x:f>
        <x:v>0</x:v>
      </x:c>
      <x:c r="G2850">
        <x:f>ROUND($C2850*10*VLOOKUP($B2850,Sheet2!$J$5:$K$7,2,FALSE)*VLOOKUP(Sheet1!$A2850,Sheet2!$B$5:$H$29,6,FALSE),0)</x:f>
        <x:v>278</x:v>
      </x:c>
      <x:c r="H2850">
        <x:f>ROUND($C2850*10*VLOOKUP($B2850,Sheet2!$J$5:$K$7,2,FALSE)*VLOOKUP(Sheet1!$A2850,Sheet2!$B$5:$H$29,7,FALSE),0)</x:f>
        <x:v>0</x:v>
      </x:c>
      <x:c r="I2850">
        <x:f t="shared" si="47"/>
        <x:v>50820</x:v>
      </x:c>
    </x:row>
    <x:row r="2851" spans="1:9" x14ac:dyDescent="0.15">
      <x:c r="A2851">
        <x:v>54151</x:v>
      </x:c>
      <x:c r="B2851">
        <x:v>3</x:v>
      </x:c>
      <x:c r="C2851">
        <x:v>30</x:v>
      </x:c>
      <x:c r="D2851">
        <x:f>ROUND($C2851*10*VLOOKUP($B2851,Sheet2!$J$5:$K$7,2,FALSE)*VLOOKUP(Sheet1!$A2851,Sheet2!$B$5:$H$29,3,FALSE),0)</x:f>
        <x:v>120</x:v>
      </x:c>
      <x:c r="E2851">
        <x:f>ROUND($C2851*10*VLOOKUP($B2851,Sheet2!$J$5:$K$7,2,FALSE)*VLOOKUP(Sheet1!$A2851,Sheet2!$B$5:$H$29,4,FALSE),0)</x:f>
        <x:v>0</x:v>
      </x:c>
      <x:c r="F2851">
        <x:f>ROUND($C2851*10*VLOOKUP($B2851,Sheet2!$J$5:$K$7,2,FALSE)*VLOOKUP(Sheet1!$A2851,Sheet2!$B$5:$H$29,5,FALSE),0)</x:f>
        <x:v>0</x:v>
      </x:c>
      <x:c r="G2851">
        <x:f>ROUND($C2851*10*VLOOKUP($B2851,Sheet2!$J$5:$K$7,2,FALSE)*VLOOKUP(Sheet1!$A2851,Sheet2!$B$5:$H$29,6,FALSE),0)</x:f>
        <x:v>288</x:v>
      </x:c>
      <x:c r="H2851">
        <x:f>ROUND($C2851*10*VLOOKUP($B2851,Sheet2!$J$5:$K$7,2,FALSE)*VLOOKUP(Sheet1!$A2851,Sheet2!$B$5:$H$29,7,FALSE),0)</x:f>
        <x:v>0</x:v>
      </x:c>
      <x:c r="I2851">
        <x:f t="shared" si="47"/>
        <x:v>54130</x:v>
      </x:c>
    </x:row>
    <x:row r="2852" spans="1:9" x14ac:dyDescent="0.15">
      <x:c r="A2852">
        <x:v>54151</x:v>
      </x:c>
      <x:c r="B2852">
        <x:v>3</x:v>
      </x:c>
      <x:c r="C2852">
        <x:v>31</x:v>
      </x:c>
      <x:c r="D2852">
        <x:f>ROUND($C2852*10*VLOOKUP($B2852,Sheet2!$J$5:$K$7,2,FALSE)*VLOOKUP(Sheet1!$A2852,Sheet2!$B$5:$H$29,3,FALSE),0)</x:f>
        <x:v>124</x:v>
      </x:c>
      <x:c r="E2852">
        <x:f>ROUND($C2852*10*VLOOKUP($B2852,Sheet2!$J$5:$K$7,2,FALSE)*VLOOKUP(Sheet1!$A2852,Sheet2!$B$5:$H$29,4,FALSE),0)</x:f>
        <x:v>0</x:v>
      </x:c>
      <x:c r="F2852">
        <x:f>ROUND($C2852*10*VLOOKUP($B2852,Sheet2!$J$5:$K$7,2,FALSE)*VLOOKUP(Sheet1!$A2852,Sheet2!$B$5:$H$29,5,FALSE),0)</x:f>
        <x:v>0</x:v>
      </x:c>
      <x:c r="G2852">
        <x:f>ROUND($C2852*10*VLOOKUP($B2852,Sheet2!$J$5:$K$7,2,FALSE)*VLOOKUP(Sheet1!$A2852,Sheet2!$B$5:$H$29,6,FALSE),0)</x:f>
        <x:v>298</x:v>
      </x:c>
      <x:c r="H2852">
        <x:f>ROUND($C2852*10*VLOOKUP($B2852,Sheet2!$J$5:$K$7,2,FALSE)*VLOOKUP(Sheet1!$A2852,Sheet2!$B$5:$H$29,7,FALSE),0)</x:f>
        <x:v>0</x:v>
      </x:c>
      <x:c r="I2852">
        <x:f t="shared" si="47"/>
        <x:v>57530</x:v>
      </x:c>
    </x:row>
    <x:row r="2853" spans="1:9" x14ac:dyDescent="0.15">
      <x:c r="A2853">
        <x:v>54151</x:v>
      </x:c>
      <x:c r="B2853">
        <x:v>3</x:v>
      </x:c>
      <x:c r="C2853">
        <x:v>32</x:v>
      </x:c>
      <x:c r="D2853">
        <x:f>ROUND($C2853*10*VLOOKUP($B2853,Sheet2!$J$5:$K$7,2,FALSE)*VLOOKUP(Sheet1!$A2853,Sheet2!$B$5:$H$29,3,FALSE),0)</x:f>
        <x:v>128</x:v>
      </x:c>
      <x:c r="E2853">
        <x:f>ROUND($C2853*10*VLOOKUP($B2853,Sheet2!$J$5:$K$7,2,FALSE)*VLOOKUP(Sheet1!$A2853,Sheet2!$B$5:$H$29,4,FALSE),0)</x:f>
        <x:v>0</x:v>
      </x:c>
      <x:c r="F2853">
        <x:f>ROUND($C2853*10*VLOOKUP($B2853,Sheet2!$J$5:$K$7,2,FALSE)*VLOOKUP(Sheet1!$A2853,Sheet2!$B$5:$H$29,5,FALSE),0)</x:f>
        <x:v>0</x:v>
      </x:c>
      <x:c r="G2853">
        <x:f>ROUND($C2853*10*VLOOKUP($B2853,Sheet2!$J$5:$K$7,2,FALSE)*VLOOKUP(Sheet1!$A2853,Sheet2!$B$5:$H$29,6,FALSE),0)</x:f>
        <x:v>307</x:v>
      </x:c>
      <x:c r="H2853">
        <x:f>ROUND($C2853*10*VLOOKUP($B2853,Sheet2!$J$5:$K$7,2,FALSE)*VLOOKUP(Sheet1!$A2853,Sheet2!$B$5:$H$29,7,FALSE),0)</x:f>
        <x:v>0</x:v>
      </x:c>
      <x:c r="I2853">
        <x:f t="shared" si="47"/>
        <x:v>61020</x:v>
      </x:c>
    </x:row>
    <x:row r="2854" spans="1:9" x14ac:dyDescent="0.15">
      <x:c r="A2854">
        <x:v>54151</x:v>
      </x:c>
      <x:c r="B2854">
        <x:v>3</x:v>
      </x:c>
      <x:c r="C2854">
        <x:v>33</x:v>
      </x:c>
      <x:c r="D2854">
        <x:f>ROUND($C2854*10*VLOOKUP($B2854,Sheet2!$J$5:$K$7,2,FALSE)*VLOOKUP(Sheet1!$A2854,Sheet2!$B$5:$H$29,3,FALSE),0)</x:f>
        <x:v>132</x:v>
      </x:c>
      <x:c r="E2854">
        <x:f>ROUND($C2854*10*VLOOKUP($B2854,Sheet2!$J$5:$K$7,2,FALSE)*VLOOKUP(Sheet1!$A2854,Sheet2!$B$5:$H$29,4,FALSE),0)</x:f>
        <x:v>0</x:v>
      </x:c>
      <x:c r="F2854">
        <x:f>ROUND($C2854*10*VLOOKUP($B2854,Sheet2!$J$5:$K$7,2,FALSE)*VLOOKUP(Sheet1!$A2854,Sheet2!$B$5:$H$29,5,FALSE),0)</x:f>
        <x:v>0</x:v>
      </x:c>
      <x:c r="G2854">
        <x:f>ROUND($C2854*10*VLOOKUP($B2854,Sheet2!$J$5:$K$7,2,FALSE)*VLOOKUP(Sheet1!$A2854,Sheet2!$B$5:$H$29,6,FALSE),0)</x:f>
        <x:v>317</x:v>
      </x:c>
      <x:c r="H2854">
        <x:f>ROUND($C2854*10*VLOOKUP($B2854,Sheet2!$J$5:$K$7,2,FALSE)*VLOOKUP(Sheet1!$A2854,Sheet2!$B$5:$H$29,7,FALSE),0)</x:f>
        <x:v>0</x:v>
      </x:c>
      <x:c r="I2854">
        <x:f t="shared" si="47"/>
        <x:v>64600</x:v>
      </x:c>
    </x:row>
    <x:row r="2855" spans="1:9" x14ac:dyDescent="0.15">
      <x:c r="A2855">
        <x:v>54151</x:v>
      </x:c>
      <x:c r="B2855">
        <x:v>3</x:v>
      </x:c>
      <x:c r="C2855">
        <x:v>34</x:v>
      </x:c>
      <x:c r="D2855">
        <x:f>ROUND($C2855*10*VLOOKUP($B2855,Sheet2!$J$5:$K$7,2,FALSE)*VLOOKUP(Sheet1!$A2855,Sheet2!$B$5:$H$29,3,FALSE),0)</x:f>
        <x:v>136</x:v>
      </x:c>
      <x:c r="E2855">
        <x:f>ROUND($C2855*10*VLOOKUP($B2855,Sheet2!$J$5:$K$7,2,FALSE)*VLOOKUP(Sheet1!$A2855,Sheet2!$B$5:$H$29,4,FALSE),0)</x:f>
        <x:v>0</x:v>
      </x:c>
      <x:c r="F2855">
        <x:f>ROUND($C2855*10*VLOOKUP($B2855,Sheet2!$J$5:$K$7,2,FALSE)*VLOOKUP(Sheet1!$A2855,Sheet2!$B$5:$H$29,5,FALSE),0)</x:f>
        <x:v>0</x:v>
      </x:c>
      <x:c r="G2855">
        <x:f>ROUND($C2855*10*VLOOKUP($B2855,Sheet2!$J$5:$K$7,2,FALSE)*VLOOKUP(Sheet1!$A2855,Sheet2!$B$5:$H$29,6,FALSE),0)</x:f>
        <x:v>326</x:v>
      </x:c>
      <x:c r="H2855">
        <x:f>ROUND($C2855*10*VLOOKUP($B2855,Sheet2!$J$5:$K$7,2,FALSE)*VLOOKUP(Sheet1!$A2855,Sheet2!$B$5:$H$29,7,FALSE),0)</x:f>
        <x:v>0</x:v>
      </x:c>
      <x:c r="I2855">
        <x:f t="shared" si="47"/>
        <x:v>68280</x:v>
      </x:c>
    </x:row>
    <x:row r="2856" spans="1:9" x14ac:dyDescent="0.15">
      <x:c r="A2856">
        <x:v>54151</x:v>
      </x:c>
      <x:c r="B2856">
        <x:v>3</x:v>
      </x:c>
      <x:c r="C2856">
        <x:v>35</x:v>
      </x:c>
      <x:c r="D2856">
        <x:f>ROUND($C2856*10*VLOOKUP($B2856,Sheet2!$J$5:$K$7,2,FALSE)*VLOOKUP(Sheet1!$A2856,Sheet2!$B$5:$H$29,3,FALSE),0)</x:f>
        <x:v>140</x:v>
      </x:c>
      <x:c r="E2856">
        <x:f>ROUND($C2856*10*VLOOKUP($B2856,Sheet2!$J$5:$K$7,2,FALSE)*VLOOKUP(Sheet1!$A2856,Sheet2!$B$5:$H$29,4,FALSE),0)</x:f>
        <x:v>0</x:v>
      </x:c>
      <x:c r="F2856">
        <x:f>ROUND($C2856*10*VLOOKUP($B2856,Sheet2!$J$5:$K$7,2,FALSE)*VLOOKUP(Sheet1!$A2856,Sheet2!$B$5:$H$29,5,FALSE),0)</x:f>
        <x:v>0</x:v>
      </x:c>
      <x:c r="G2856">
        <x:f>ROUND($C2856*10*VLOOKUP($B2856,Sheet2!$J$5:$K$7,2,FALSE)*VLOOKUP(Sheet1!$A2856,Sheet2!$B$5:$H$29,6,FALSE),0)</x:f>
        <x:v>336</x:v>
      </x:c>
      <x:c r="H2856">
        <x:f>ROUND($C2856*10*VLOOKUP($B2856,Sheet2!$J$5:$K$7,2,FALSE)*VLOOKUP(Sheet1!$A2856,Sheet2!$B$5:$H$29,7,FALSE),0)</x:f>
        <x:v>0</x:v>
      </x:c>
      <x:c r="I2856">
        <x:f t="shared" si="47"/>
        <x:v>72040</x:v>
      </x:c>
    </x:row>
    <x:row r="2857" spans="1:9" x14ac:dyDescent="0.15">
      <x:c r="A2857">
        <x:v>54151</x:v>
      </x:c>
      <x:c r="B2857">
        <x:v>3</x:v>
      </x:c>
      <x:c r="C2857">
        <x:v>36</x:v>
      </x:c>
      <x:c r="D2857">
        <x:f>ROUND($C2857*10*VLOOKUP($B2857,Sheet2!$J$5:$K$7,2,FALSE)*VLOOKUP(Sheet1!$A2857,Sheet2!$B$5:$H$29,3,FALSE),0)</x:f>
        <x:v>144</x:v>
      </x:c>
      <x:c r="E2857">
        <x:f>ROUND($C2857*10*VLOOKUP($B2857,Sheet2!$J$5:$K$7,2,FALSE)*VLOOKUP(Sheet1!$A2857,Sheet2!$B$5:$H$29,4,FALSE),0)</x:f>
        <x:v>0</x:v>
      </x:c>
      <x:c r="F2857">
        <x:f>ROUND($C2857*10*VLOOKUP($B2857,Sheet2!$J$5:$K$7,2,FALSE)*VLOOKUP(Sheet1!$A2857,Sheet2!$B$5:$H$29,5,FALSE),0)</x:f>
        <x:v>0</x:v>
      </x:c>
      <x:c r="G2857">
        <x:f>ROUND($C2857*10*VLOOKUP($B2857,Sheet2!$J$5:$K$7,2,FALSE)*VLOOKUP(Sheet1!$A2857,Sheet2!$B$5:$H$29,6,FALSE),0)</x:f>
        <x:v>346</x:v>
      </x:c>
      <x:c r="H2857">
        <x:f>ROUND($C2857*10*VLOOKUP($B2857,Sheet2!$J$5:$K$7,2,FALSE)*VLOOKUP(Sheet1!$A2857,Sheet2!$B$5:$H$29,7,FALSE),0)</x:f>
        <x:v>0</x:v>
      </x:c>
      <x:c r="I2857">
        <x:f t="shared" si="47"/>
        <x:v>75890</x:v>
      </x:c>
    </x:row>
    <x:row r="2858" spans="1:9" x14ac:dyDescent="0.15">
      <x:c r="A2858">
        <x:v>54151</x:v>
      </x:c>
      <x:c r="B2858">
        <x:v>3</x:v>
      </x:c>
      <x:c r="C2858">
        <x:v>37</x:v>
      </x:c>
      <x:c r="D2858">
        <x:f>ROUND($C2858*10*VLOOKUP($B2858,Sheet2!$J$5:$K$7,2,FALSE)*VLOOKUP(Sheet1!$A2858,Sheet2!$B$5:$H$29,3,FALSE),0)</x:f>
        <x:v>148</x:v>
      </x:c>
      <x:c r="E2858">
        <x:f>ROUND($C2858*10*VLOOKUP($B2858,Sheet2!$J$5:$K$7,2,FALSE)*VLOOKUP(Sheet1!$A2858,Sheet2!$B$5:$H$29,4,FALSE),0)</x:f>
        <x:v>0</x:v>
      </x:c>
      <x:c r="F2858">
        <x:f>ROUND($C2858*10*VLOOKUP($B2858,Sheet2!$J$5:$K$7,2,FALSE)*VLOOKUP(Sheet1!$A2858,Sheet2!$B$5:$H$29,5,FALSE),0)</x:f>
        <x:v>0</x:v>
      </x:c>
      <x:c r="G2858">
        <x:f>ROUND($C2858*10*VLOOKUP($B2858,Sheet2!$J$5:$K$7,2,FALSE)*VLOOKUP(Sheet1!$A2858,Sheet2!$B$5:$H$29,6,FALSE),0)</x:f>
        <x:v>355</x:v>
      </x:c>
      <x:c r="H2858">
        <x:f>ROUND($C2858*10*VLOOKUP($B2858,Sheet2!$J$5:$K$7,2,FALSE)*VLOOKUP(Sheet1!$A2858,Sheet2!$B$5:$H$29,7,FALSE),0)</x:f>
        <x:v>0</x:v>
      </x:c>
      <x:c r="I2858">
        <x:f t="shared" si="47"/>
        <x:v>79840</x:v>
      </x:c>
    </x:row>
    <x:row r="2859" spans="1:9" x14ac:dyDescent="0.15">
      <x:c r="A2859">
        <x:v>54151</x:v>
      </x:c>
      <x:c r="B2859">
        <x:v>3</x:v>
      </x:c>
      <x:c r="C2859">
        <x:v>38</x:v>
      </x:c>
      <x:c r="D2859">
        <x:f>ROUND($C2859*10*VLOOKUP($B2859,Sheet2!$J$5:$K$7,2,FALSE)*VLOOKUP(Sheet1!$A2859,Sheet2!$B$5:$H$29,3,FALSE),0)</x:f>
        <x:v>152</x:v>
      </x:c>
      <x:c r="E2859">
        <x:f>ROUND($C2859*10*VLOOKUP($B2859,Sheet2!$J$5:$K$7,2,FALSE)*VLOOKUP(Sheet1!$A2859,Sheet2!$B$5:$H$29,4,FALSE),0)</x:f>
        <x:v>0</x:v>
      </x:c>
      <x:c r="F2859">
        <x:f>ROUND($C2859*10*VLOOKUP($B2859,Sheet2!$J$5:$K$7,2,FALSE)*VLOOKUP(Sheet1!$A2859,Sheet2!$B$5:$H$29,5,FALSE),0)</x:f>
        <x:v>0</x:v>
      </x:c>
      <x:c r="G2859">
        <x:f>ROUND($C2859*10*VLOOKUP($B2859,Sheet2!$J$5:$K$7,2,FALSE)*VLOOKUP(Sheet1!$A2859,Sheet2!$B$5:$H$29,6,FALSE),0)</x:f>
        <x:v>365</x:v>
      </x:c>
      <x:c r="H2859">
        <x:f>ROUND($C2859*10*VLOOKUP($B2859,Sheet2!$J$5:$K$7,2,FALSE)*VLOOKUP(Sheet1!$A2859,Sheet2!$B$5:$H$29,7,FALSE),0)</x:f>
        <x:v>0</x:v>
      </x:c>
      <x:c r="I2859">
        <x:f t="shared" si="47"/>
        <x:v>83870</x:v>
      </x:c>
    </x:row>
    <x:row r="2860" spans="1:9" x14ac:dyDescent="0.15">
      <x:c r="A2860">
        <x:v>54151</x:v>
      </x:c>
      <x:c r="B2860">
        <x:v>3</x:v>
      </x:c>
      <x:c r="C2860">
        <x:v>39</x:v>
      </x:c>
      <x:c r="D2860">
        <x:f>ROUND($C2860*10*VLOOKUP($B2860,Sheet2!$J$5:$K$7,2,FALSE)*VLOOKUP(Sheet1!$A2860,Sheet2!$B$5:$H$29,3,FALSE),0)</x:f>
        <x:v>156</x:v>
      </x:c>
      <x:c r="E2860">
        <x:f>ROUND($C2860*10*VLOOKUP($B2860,Sheet2!$J$5:$K$7,2,FALSE)*VLOOKUP(Sheet1!$A2860,Sheet2!$B$5:$H$29,4,FALSE),0)</x:f>
        <x:v>0</x:v>
      </x:c>
      <x:c r="F2860">
        <x:f>ROUND($C2860*10*VLOOKUP($B2860,Sheet2!$J$5:$K$7,2,FALSE)*VLOOKUP(Sheet1!$A2860,Sheet2!$B$5:$H$29,5,FALSE),0)</x:f>
        <x:v>0</x:v>
      </x:c>
      <x:c r="G2860">
        <x:f>ROUND($C2860*10*VLOOKUP($B2860,Sheet2!$J$5:$K$7,2,FALSE)*VLOOKUP(Sheet1!$A2860,Sheet2!$B$5:$H$29,6,FALSE),0)</x:f>
        <x:v>374</x:v>
      </x:c>
      <x:c r="H2860">
        <x:f>ROUND($C2860*10*VLOOKUP($B2860,Sheet2!$J$5:$K$7,2,FALSE)*VLOOKUP(Sheet1!$A2860,Sheet2!$B$5:$H$29,7,FALSE),0)</x:f>
        <x:v>0</x:v>
      </x:c>
      <x:c r="I2860">
        <x:f t="shared" si="47"/>
        <x:v>87990</x:v>
      </x:c>
    </x:row>
    <x:row r="2861" spans="1:9" x14ac:dyDescent="0.15">
      <x:c r="A2861">
        <x:v>54151</x:v>
      </x:c>
      <x:c r="B2861">
        <x:v>3</x:v>
      </x:c>
      <x:c r="C2861">
        <x:v>40</x:v>
      </x:c>
      <x:c r="D2861">
        <x:f>ROUND($C2861*10*VLOOKUP($B2861,Sheet2!$J$5:$K$7,2,FALSE)*VLOOKUP(Sheet1!$A2861,Sheet2!$B$5:$H$29,3,FALSE),0)</x:f>
        <x:v>160</x:v>
      </x:c>
      <x:c r="E2861">
        <x:f>ROUND($C2861*10*VLOOKUP($B2861,Sheet2!$J$5:$K$7,2,FALSE)*VLOOKUP(Sheet1!$A2861,Sheet2!$B$5:$H$29,4,FALSE),0)</x:f>
        <x:v>0</x:v>
      </x:c>
      <x:c r="F2861">
        <x:f>ROUND($C2861*10*VLOOKUP($B2861,Sheet2!$J$5:$K$7,2,FALSE)*VLOOKUP(Sheet1!$A2861,Sheet2!$B$5:$H$29,5,FALSE),0)</x:f>
        <x:v>0</x:v>
      </x:c>
      <x:c r="G2861">
        <x:f>ROUND($C2861*10*VLOOKUP($B2861,Sheet2!$J$5:$K$7,2,FALSE)*VLOOKUP(Sheet1!$A2861,Sheet2!$B$5:$H$29,6,FALSE),0)</x:f>
        <x:v>384</x:v>
      </x:c>
      <x:c r="H2861">
        <x:f>ROUND($C2861*10*VLOOKUP($B2861,Sheet2!$J$5:$K$7,2,FALSE)*VLOOKUP(Sheet1!$A2861,Sheet2!$B$5:$H$29,7,FALSE),0)</x:f>
        <x:v>0</x:v>
      </x:c>
      <x:c r="I2861">
        <x:f t="shared" si="47"/>
        <x:v>92200</x:v>
      </x:c>
    </x:row>
    <x:row r="2862" spans="1:9" x14ac:dyDescent="0.15">
      <x:c r="A2862">
        <x:v>54151</x:v>
      </x:c>
      <x:c r="B2862">
        <x:v>3</x:v>
      </x:c>
      <x:c r="C2862">
        <x:v>41</x:v>
      </x:c>
      <x:c r="D2862">
        <x:f>ROUND($C2862*10*VLOOKUP($B2862,Sheet2!$J$5:$K$7,2,FALSE)*VLOOKUP(Sheet1!$A2862,Sheet2!$B$5:$H$29,3,FALSE),0)</x:f>
        <x:v>164</x:v>
      </x:c>
      <x:c r="E2862">
        <x:f>ROUND($C2862*10*VLOOKUP($B2862,Sheet2!$J$5:$K$7,2,FALSE)*VLOOKUP(Sheet1!$A2862,Sheet2!$B$5:$H$29,4,FALSE),0)</x:f>
        <x:v>0</x:v>
      </x:c>
      <x:c r="F2862">
        <x:f>ROUND($C2862*10*VLOOKUP($B2862,Sheet2!$J$5:$K$7,2,FALSE)*VLOOKUP(Sheet1!$A2862,Sheet2!$B$5:$H$29,5,FALSE),0)</x:f>
        <x:v>0</x:v>
      </x:c>
      <x:c r="G2862">
        <x:f>ROUND($C2862*10*VLOOKUP($B2862,Sheet2!$J$5:$K$7,2,FALSE)*VLOOKUP(Sheet1!$A2862,Sheet2!$B$5:$H$29,6,FALSE),0)</x:f>
        <x:v>394</x:v>
      </x:c>
      <x:c r="H2862">
        <x:f>ROUND($C2862*10*VLOOKUP($B2862,Sheet2!$J$5:$K$7,2,FALSE)*VLOOKUP(Sheet1!$A2862,Sheet2!$B$5:$H$29,7,FALSE),0)</x:f>
        <x:v>0</x:v>
      </x:c>
      <x:c r="I2862">
        <x:f t="shared" si="47"/>
        <x:v>96490</x:v>
      </x:c>
    </x:row>
    <x:row r="2863" spans="1:9" x14ac:dyDescent="0.15">
      <x:c r="A2863">
        <x:v>54151</x:v>
      </x:c>
      <x:c r="B2863">
        <x:v>3</x:v>
      </x:c>
      <x:c r="C2863">
        <x:v>42</x:v>
      </x:c>
      <x:c r="D2863">
        <x:f>ROUND($C2863*10*VLOOKUP($B2863,Sheet2!$J$5:$K$7,2,FALSE)*VLOOKUP(Sheet1!$A2863,Sheet2!$B$5:$H$29,3,FALSE),0)</x:f>
        <x:v>168</x:v>
      </x:c>
      <x:c r="E2863">
        <x:f>ROUND($C2863*10*VLOOKUP($B2863,Sheet2!$J$5:$K$7,2,FALSE)*VLOOKUP(Sheet1!$A2863,Sheet2!$B$5:$H$29,4,FALSE),0)</x:f>
        <x:v>0</x:v>
      </x:c>
      <x:c r="F2863">
        <x:f>ROUND($C2863*10*VLOOKUP($B2863,Sheet2!$J$5:$K$7,2,FALSE)*VLOOKUP(Sheet1!$A2863,Sheet2!$B$5:$H$29,5,FALSE),0)</x:f>
        <x:v>0</x:v>
      </x:c>
      <x:c r="G2863">
        <x:f>ROUND($C2863*10*VLOOKUP($B2863,Sheet2!$J$5:$K$7,2,FALSE)*VLOOKUP(Sheet1!$A2863,Sheet2!$B$5:$H$29,6,FALSE),0)</x:f>
        <x:v>403</x:v>
      </x:c>
      <x:c r="H2863">
        <x:f>ROUND($C2863*10*VLOOKUP($B2863,Sheet2!$J$5:$K$7,2,FALSE)*VLOOKUP(Sheet1!$A2863,Sheet2!$B$5:$H$29,7,FALSE),0)</x:f>
        <x:v>0</x:v>
      </x:c>
      <x:c r="I2863">
        <x:f t="shared" si="47"/>
        <x:v>100870</x:v>
      </x:c>
    </x:row>
    <x:row r="2864" spans="1:9" x14ac:dyDescent="0.15">
      <x:c r="A2864">
        <x:v>54151</x:v>
      </x:c>
      <x:c r="B2864">
        <x:v>3</x:v>
      </x:c>
      <x:c r="C2864">
        <x:v>43</x:v>
      </x:c>
      <x:c r="D2864">
        <x:f>ROUND($C2864*10*VLOOKUP($B2864,Sheet2!$J$5:$K$7,2,FALSE)*VLOOKUP(Sheet1!$A2864,Sheet2!$B$5:$H$29,3,FALSE),0)</x:f>
        <x:v>172</x:v>
      </x:c>
      <x:c r="E2864">
        <x:f>ROUND($C2864*10*VLOOKUP($B2864,Sheet2!$J$5:$K$7,2,FALSE)*VLOOKUP(Sheet1!$A2864,Sheet2!$B$5:$H$29,4,FALSE),0)</x:f>
        <x:v>0</x:v>
      </x:c>
      <x:c r="F2864">
        <x:f>ROUND($C2864*10*VLOOKUP($B2864,Sheet2!$J$5:$K$7,2,FALSE)*VLOOKUP(Sheet1!$A2864,Sheet2!$B$5:$H$29,5,FALSE),0)</x:f>
        <x:v>0</x:v>
      </x:c>
      <x:c r="G2864">
        <x:f>ROUND($C2864*10*VLOOKUP($B2864,Sheet2!$J$5:$K$7,2,FALSE)*VLOOKUP(Sheet1!$A2864,Sheet2!$B$5:$H$29,6,FALSE),0)</x:f>
        <x:v>413</x:v>
      </x:c>
      <x:c r="H2864">
        <x:f>ROUND($C2864*10*VLOOKUP($B2864,Sheet2!$J$5:$K$7,2,FALSE)*VLOOKUP(Sheet1!$A2864,Sheet2!$B$5:$H$29,7,FALSE),0)</x:f>
        <x:v>0</x:v>
      </x:c>
      <x:c r="I2864">
        <x:f t="shared" si="47"/>
        <x:v>105340</x:v>
      </x:c>
    </x:row>
    <x:row r="2865" spans="1:9" x14ac:dyDescent="0.15">
      <x:c r="A2865">
        <x:v>54151</x:v>
      </x:c>
      <x:c r="B2865">
        <x:v>3</x:v>
      </x:c>
      <x:c r="C2865">
        <x:v>44</x:v>
      </x:c>
      <x:c r="D2865">
        <x:f>ROUND($C2865*10*VLOOKUP($B2865,Sheet2!$J$5:$K$7,2,FALSE)*VLOOKUP(Sheet1!$A2865,Sheet2!$B$5:$H$29,3,FALSE),0)</x:f>
        <x:v>176</x:v>
      </x:c>
      <x:c r="E2865">
        <x:f>ROUND($C2865*10*VLOOKUP($B2865,Sheet2!$J$5:$K$7,2,FALSE)*VLOOKUP(Sheet1!$A2865,Sheet2!$B$5:$H$29,4,FALSE),0)</x:f>
        <x:v>0</x:v>
      </x:c>
      <x:c r="F2865">
        <x:f>ROUND($C2865*10*VLOOKUP($B2865,Sheet2!$J$5:$K$7,2,FALSE)*VLOOKUP(Sheet1!$A2865,Sheet2!$B$5:$H$29,5,FALSE),0)</x:f>
        <x:v>0</x:v>
      </x:c>
      <x:c r="G2865">
        <x:f>ROUND($C2865*10*VLOOKUP($B2865,Sheet2!$J$5:$K$7,2,FALSE)*VLOOKUP(Sheet1!$A2865,Sheet2!$B$5:$H$29,6,FALSE),0)</x:f>
        <x:v>422</x:v>
      </x:c>
      <x:c r="H2865">
        <x:f>ROUND($C2865*10*VLOOKUP($B2865,Sheet2!$J$5:$K$7,2,FALSE)*VLOOKUP(Sheet1!$A2865,Sheet2!$B$5:$H$29,7,FALSE),0)</x:f>
        <x:v>0</x:v>
      </x:c>
      <x:c r="I2865">
        <x:f t="shared" si="47"/>
        <x:v>109890</x:v>
      </x:c>
    </x:row>
    <x:row r="2866" spans="1:9" x14ac:dyDescent="0.15">
      <x:c r="A2866">
        <x:v>54151</x:v>
      </x:c>
      <x:c r="B2866">
        <x:v>3</x:v>
      </x:c>
      <x:c r="C2866">
        <x:v>45</x:v>
      </x:c>
      <x:c r="D2866">
        <x:f>ROUND($C2866*10*VLOOKUP($B2866,Sheet2!$J$5:$K$7,2,FALSE)*VLOOKUP(Sheet1!$A2866,Sheet2!$B$5:$H$29,3,FALSE),0)</x:f>
        <x:v>180</x:v>
      </x:c>
      <x:c r="E2866">
        <x:f>ROUND($C2866*10*VLOOKUP($B2866,Sheet2!$J$5:$K$7,2,FALSE)*VLOOKUP(Sheet1!$A2866,Sheet2!$B$5:$H$29,4,FALSE),0)</x:f>
        <x:v>0</x:v>
      </x:c>
      <x:c r="F2866">
        <x:f>ROUND($C2866*10*VLOOKUP($B2866,Sheet2!$J$5:$K$7,2,FALSE)*VLOOKUP(Sheet1!$A2866,Sheet2!$B$5:$H$29,5,FALSE),0)</x:f>
        <x:v>0</x:v>
      </x:c>
      <x:c r="G2866">
        <x:f>ROUND($C2866*10*VLOOKUP($B2866,Sheet2!$J$5:$K$7,2,FALSE)*VLOOKUP(Sheet1!$A2866,Sheet2!$B$5:$H$29,6,FALSE),0)</x:f>
        <x:v>432</x:v>
      </x:c>
      <x:c r="H2866">
        <x:f>ROUND($C2866*10*VLOOKUP($B2866,Sheet2!$J$5:$K$7,2,FALSE)*VLOOKUP(Sheet1!$A2866,Sheet2!$B$5:$H$29,7,FALSE),0)</x:f>
        <x:v>0</x:v>
      </x:c>
      <x:c r="I2866">
        <x:f t="shared" si="47"/>
        <x:v>114530</x:v>
      </x:c>
    </x:row>
    <x:row r="2867" spans="1:9" x14ac:dyDescent="0.15">
      <x:c r="A2867">
        <x:v>54151</x:v>
      </x:c>
      <x:c r="B2867">
        <x:v>3</x:v>
      </x:c>
      <x:c r="C2867">
        <x:v>46</x:v>
      </x:c>
      <x:c r="D2867">
        <x:f>ROUND($C2867*10*VLOOKUP($B2867,Sheet2!$J$5:$K$7,2,FALSE)*VLOOKUP(Sheet1!$A2867,Sheet2!$B$5:$H$29,3,FALSE),0)</x:f>
        <x:v>184</x:v>
      </x:c>
      <x:c r="E2867">
        <x:f>ROUND($C2867*10*VLOOKUP($B2867,Sheet2!$J$5:$K$7,2,FALSE)*VLOOKUP(Sheet1!$A2867,Sheet2!$B$5:$H$29,4,FALSE),0)</x:f>
        <x:v>0</x:v>
      </x:c>
      <x:c r="F2867">
        <x:f>ROUND($C2867*10*VLOOKUP($B2867,Sheet2!$J$5:$K$7,2,FALSE)*VLOOKUP(Sheet1!$A2867,Sheet2!$B$5:$H$29,5,FALSE),0)</x:f>
        <x:v>0</x:v>
      </x:c>
      <x:c r="G2867">
        <x:f>ROUND($C2867*10*VLOOKUP($B2867,Sheet2!$J$5:$K$7,2,FALSE)*VLOOKUP(Sheet1!$A2867,Sheet2!$B$5:$H$29,6,FALSE),0)</x:f>
        <x:v>442</x:v>
      </x:c>
      <x:c r="H2867">
        <x:f>ROUND($C2867*10*VLOOKUP($B2867,Sheet2!$J$5:$K$7,2,FALSE)*VLOOKUP(Sheet1!$A2867,Sheet2!$B$5:$H$29,7,FALSE),0)</x:f>
        <x:v>0</x:v>
      </x:c>
      <x:c r="I2867">
        <x:f t="shared" si="47"/>
        <x:v>119260</x:v>
      </x:c>
    </x:row>
    <x:row r="2868" spans="1:9" x14ac:dyDescent="0.15">
      <x:c r="A2868">
        <x:v>54151</x:v>
      </x:c>
      <x:c r="B2868">
        <x:v>3</x:v>
      </x:c>
      <x:c r="C2868">
        <x:v>47</x:v>
      </x:c>
      <x:c r="D2868">
        <x:f>ROUND($C2868*10*VLOOKUP($B2868,Sheet2!$J$5:$K$7,2,FALSE)*VLOOKUP(Sheet1!$A2868,Sheet2!$B$5:$H$29,3,FALSE),0)</x:f>
        <x:v>188</x:v>
      </x:c>
      <x:c r="E2868">
        <x:f>ROUND($C2868*10*VLOOKUP($B2868,Sheet2!$J$5:$K$7,2,FALSE)*VLOOKUP(Sheet1!$A2868,Sheet2!$B$5:$H$29,4,FALSE),0)</x:f>
        <x:v>0</x:v>
      </x:c>
      <x:c r="F2868">
        <x:f>ROUND($C2868*10*VLOOKUP($B2868,Sheet2!$J$5:$K$7,2,FALSE)*VLOOKUP(Sheet1!$A2868,Sheet2!$B$5:$H$29,5,FALSE),0)</x:f>
        <x:v>0</x:v>
      </x:c>
      <x:c r="G2868">
        <x:f>ROUND($C2868*10*VLOOKUP($B2868,Sheet2!$J$5:$K$7,2,FALSE)*VLOOKUP(Sheet1!$A2868,Sheet2!$B$5:$H$29,6,FALSE),0)</x:f>
        <x:v>451</x:v>
      </x:c>
      <x:c r="H2868">
        <x:f>ROUND($C2868*10*VLOOKUP($B2868,Sheet2!$J$5:$K$7,2,FALSE)*VLOOKUP(Sheet1!$A2868,Sheet2!$B$5:$H$29,7,FALSE),0)</x:f>
        <x:v>0</x:v>
      </x:c>
      <x:c r="I2868">
        <x:f t="shared" si="47"/>
        <x:v>124070</x:v>
      </x:c>
    </x:row>
    <x:row r="2869" spans="1:9" x14ac:dyDescent="0.15">
      <x:c r="A2869">
        <x:v>54151</x:v>
      </x:c>
      <x:c r="B2869">
        <x:v>3</x:v>
      </x:c>
      <x:c r="C2869">
        <x:v>48</x:v>
      </x:c>
      <x:c r="D2869">
        <x:f>ROUND($C2869*10*VLOOKUP($B2869,Sheet2!$J$5:$K$7,2,FALSE)*VLOOKUP(Sheet1!$A2869,Sheet2!$B$5:$H$29,3,FALSE),0)</x:f>
        <x:v>192</x:v>
      </x:c>
      <x:c r="E2869">
        <x:f>ROUND($C2869*10*VLOOKUP($B2869,Sheet2!$J$5:$K$7,2,FALSE)*VLOOKUP(Sheet1!$A2869,Sheet2!$B$5:$H$29,4,FALSE),0)</x:f>
        <x:v>0</x:v>
      </x:c>
      <x:c r="F2869">
        <x:f>ROUND($C2869*10*VLOOKUP($B2869,Sheet2!$J$5:$K$7,2,FALSE)*VLOOKUP(Sheet1!$A2869,Sheet2!$B$5:$H$29,5,FALSE),0)</x:f>
        <x:v>0</x:v>
      </x:c>
      <x:c r="G2869">
        <x:f>ROUND($C2869*10*VLOOKUP($B2869,Sheet2!$J$5:$K$7,2,FALSE)*VLOOKUP(Sheet1!$A2869,Sheet2!$B$5:$H$29,6,FALSE),0)</x:f>
        <x:v>461</x:v>
      </x:c>
      <x:c r="H2869">
        <x:f>ROUND($C2869*10*VLOOKUP($B2869,Sheet2!$J$5:$K$7,2,FALSE)*VLOOKUP(Sheet1!$A2869,Sheet2!$B$5:$H$29,7,FALSE),0)</x:f>
        <x:v>0</x:v>
      </x:c>
      <x:c r="I2869">
        <x:f t="shared" si="47"/>
        <x:v>128960</x:v>
      </x:c>
    </x:row>
    <x:row r="2870" spans="1:9" x14ac:dyDescent="0.15">
      <x:c r="A2870">
        <x:v>54151</x:v>
      </x:c>
      <x:c r="B2870">
        <x:v>3</x:v>
      </x:c>
      <x:c r="C2870">
        <x:v>49</x:v>
      </x:c>
      <x:c r="D2870">
        <x:f>ROUND($C2870*10*VLOOKUP($B2870,Sheet2!$J$5:$K$7,2,FALSE)*VLOOKUP(Sheet1!$A2870,Sheet2!$B$5:$H$29,3,FALSE),0)</x:f>
        <x:v>196</x:v>
      </x:c>
      <x:c r="E2870">
        <x:f>ROUND($C2870*10*VLOOKUP($B2870,Sheet2!$J$5:$K$7,2,FALSE)*VLOOKUP(Sheet1!$A2870,Sheet2!$B$5:$H$29,4,FALSE),0)</x:f>
        <x:v>0</x:v>
      </x:c>
      <x:c r="F2870">
        <x:f>ROUND($C2870*10*VLOOKUP($B2870,Sheet2!$J$5:$K$7,2,FALSE)*VLOOKUP(Sheet1!$A2870,Sheet2!$B$5:$H$29,5,FALSE),0)</x:f>
        <x:v>0</x:v>
      </x:c>
      <x:c r="G2870">
        <x:f>ROUND($C2870*10*VLOOKUP($B2870,Sheet2!$J$5:$K$7,2,FALSE)*VLOOKUP(Sheet1!$A2870,Sheet2!$B$5:$H$29,6,FALSE),0)</x:f>
        <x:v>470</x:v>
      </x:c>
      <x:c r="H2870">
        <x:f>ROUND($C2870*10*VLOOKUP($B2870,Sheet2!$J$5:$K$7,2,FALSE)*VLOOKUP(Sheet1!$A2870,Sheet2!$B$5:$H$29,7,FALSE),0)</x:f>
        <x:v>0</x:v>
      </x:c>
      <x:c r="I2870">
        <x:f t="shared" si="47"/>
        <x:v>133940</x:v>
      </x:c>
    </x:row>
    <x:row r="2871" spans="1:9" x14ac:dyDescent="0.15">
      <x:c r="A2871">
        <x:v>54151</x:v>
      </x:c>
      <x:c r="B2871">
        <x:v>3</x:v>
      </x:c>
      <x:c r="C2871">
        <x:v>50</x:v>
      </x:c>
      <x:c r="D2871">
        <x:f>ROUND($C2871*10*VLOOKUP($B2871,Sheet2!$J$5:$K$7,2,FALSE)*VLOOKUP(Sheet1!$A2871,Sheet2!$B$5:$H$29,3,FALSE),0)</x:f>
        <x:v>200</x:v>
      </x:c>
      <x:c r="E2871">
        <x:f>ROUND($C2871*10*VLOOKUP($B2871,Sheet2!$J$5:$K$7,2,FALSE)*VLOOKUP(Sheet1!$A2871,Sheet2!$B$5:$H$29,4,FALSE),0)</x:f>
        <x:v>0</x:v>
      </x:c>
      <x:c r="F2871">
        <x:f>ROUND($C2871*10*VLOOKUP($B2871,Sheet2!$J$5:$K$7,2,FALSE)*VLOOKUP(Sheet1!$A2871,Sheet2!$B$5:$H$29,5,FALSE),0)</x:f>
        <x:v>0</x:v>
      </x:c>
      <x:c r="G2871">
        <x:f>ROUND($C2871*10*VLOOKUP($B2871,Sheet2!$J$5:$K$7,2,FALSE)*VLOOKUP(Sheet1!$A2871,Sheet2!$B$5:$H$29,6,FALSE),0)</x:f>
        <x:v>480</x:v>
      </x:c>
      <x:c r="H2871">
        <x:f>ROUND($C2871*10*VLOOKUP($B2871,Sheet2!$J$5:$K$7,2,FALSE)*VLOOKUP(Sheet1!$A2871,Sheet2!$B$5:$H$29,7,FALSE),0)</x:f>
        <x:v>0</x:v>
      </x:c>
      <x:c r="I2871">
        <x:f t="shared" si="47"/>
        <x:v>139000</x:v>
      </x:c>
    </x:row>
    <x:row r="2872" spans="1:9" x14ac:dyDescent="0.15">
      <x:c r="A2872">
        <x:v>54151</x:v>
      </x:c>
      <x:c r="B2872">
        <x:v>3</x:v>
      </x:c>
      <x:c r="C2872">
        <x:v>51</x:v>
      </x:c>
      <x:c r="D2872">
        <x:f>ROUND($C2872*10*VLOOKUP($B2872,Sheet2!$J$5:$K$7,2,FALSE)*VLOOKUP(Sheet1!$A2872,Sheet2!$B$5:$H$29,3,FALSE),0)</x:f>
        <x:v>204</x:v>
      </x:c>
      <x:c r="E2872">
        <x:f>ROUND($C2872*10*VLOOKUP($B2872,Sheet2!$J$5:$K$7,2,FALSE)*VLOOKUP(Sheet1!$A2872,Sheet2!$B$5:$H$29,4,FALSE),0)</x:f>
        <x:v>0</x:v>
      </x:c>
      <x:c r="F2872">
        <x:f>ROUND($C2872*10*VLOOKUP($B2872,Sheet2!$J$5:$K$7,2,FALSE)*VLOOKUP(Sheet1!$A2872,Sheet2!$B$5:$H$29,5,FALSE),0)</x:f>
        <x:v>0</x:v>
      </x:c>
      <x:c r="G2872">
        <x:f>ROUND($C2872*10*VLOOKUP($B2872,Sheet2!$J$5:$K$7,2,FALSE)*VLOOKUP(Sheet1!$A2872,Sheet2!$B$5:$H$29,6,FALSE),0)</x:f>
        <x:v>490</x:v>
      </x:c>
      <x:c r="H2872">
        <x:f>ROUND($C2872*10*VLOOKUP($B2872,Sheet2!$J$5:$K$7,2,FALSE)*VLOOKUP(Sheet1!$A2872,Sheet2!$B$5:$H$29,7,FALSE),0)</x:f>
        <x:v>0</x:v>
      </x:c>
      <x:c r="I2872">
        <x:f t="shared" si="47"/>
        <x:v>144140</x:v>
      </x:c>
    </x:row>
    <x:row r="2873" spans="1:9" x14ac:dyDescent="0.15">
      <x:c r="A2873">
        <x:v>54151</x:v>
      </x:c>
      <x:c r="B2873">
        <x:v>3</x:v>
      </x:c>
      <x:c r="C2873">
        <x:v>52</x:v>
      </x:c>
      <x:c r="D2873">
        <x:f>ROUND($C2873*10*VLOOKUP($B2873,Sheet2!$J$5:$K$7,2,FALSE)*VLOOKUP(Sheet1!$A2873,Sheet2!$B$5:$H$29,3,FALSE),0)</x:f>
        <x:v>208</x:v>
      </x:c>
      <x:c r="E2873">
        <x:f>ROUND($C2873*10*VLOOKUP($B2873,Sheet2!$J$5:$K$7,2,FALSE)*VLOOKUP(Sheet1!$A2873,Sheet2!$B$5:$H$29,4,FALSE),0)</x:f>
        <x:v>0</x:v>
      </x:c>
      <x:c r="F2873">
        <x:f>ROUND($C2873*10*VLOOKUP($B2873,Sheet2!$J$5:$K$7,2,FALSE)*VLOOKUP(Sheet1!$A2873,Sheet2!$B$5:$H$29,5,FALSE),0)</x:f>
        <x:v>0</x:v>
      </x:c>
      <x:c r="G2873">
        <x:f>ROUND($C2873*10*VLOOKUP($B2873,Sheet2!$J$5:$K$7,2,FALSE)*VLOOKUP(Sheet1!$A2873,Sheet2!$B$5:$H$29,6,FALSE),0)</x:f>
        <x:v>499</x:v>
      </x:c>
      <x:c r="H2873">
        <x:f>ROUND($C2873*10*VLOOKUP($B2873,Sheet2!$J$5:$K$7,2,FALSE)*VLOOKUP(Sheet1!$A2873,Sheet2!$B$5:$H$29,7,FALSE),0)</x:f>
        <x:v>0</x:v>
      </x:c>
      <x:c r="I2873">
        <x:f t="shared" si="47"/>
        <x:v>149370</x:v>
      </x:c>
    </x:row>
    <x:row r="2874" spans="1:9" x14ac:dyDescent="0.15">
      <x:c r="A2874">
        <x:v>54151</x:v>
      </x:c>
      <x:c r="B2874">
        <x:v>3</x:v>
      </x:c>
      <x:c r="C2874">
        <x:v>53</x:v>
      </x:c>
      <x:c r="D2874">
        <x:f>ROUND($C2874*10*VLOOKUP($B2874,Sheet2!$J$5:$K$7,2,FALSE)*VLOOKUP(Sheet1!$A2874,Sheet2!$B$5:$H$29,3,FALSE),0)</x:f>
        <x:v>212</x:v>
      </x:c>
      <x:c r="E2874">
        <x:f>ROUND($C2874*10*VLOOKUP($B2874,Sheet2!$J$5:$K$7,2,FALSE)*VLOOKUP(Sheet1!$A2874,Sheet2!$B$5:$H$29,4,FALSE),0)</x:f>
        <x:v>0</x:v>
      </x:c>
      <x:c r="F2874">
        <x:f>ROUND($C2874*10*VLOOKUP($B2874,Sheet2!$J$5:$K$7,2,FALSE)*VLOOKUP(Sheet1!$A2874,Sheet2!$B$5:$H$29,5,FALSE),0)</x:f>
        <x:v>0</x:v>
      </x:c>
      <x:c r="G2874">
        <x:f>ROUND($C2874*10*VLOOKUP($B2874,Sheet2!$J$5:$K$7,2,FALSE)*VLOOKUP(Sheet1!$A2874,Sheet2!$B$5:$H$29,6,FALSE),0)</x:f>
        <x:v>509</x:v>
      </x:c>
      <x:c r="H2874">
        <x:f>ROUND($C2874*10*VLOOKUP($B2874,Sheet2!$J$5:$K$7,2,FALSE)*VLOOKUP(Sheet1!$A2874,Sheet2!$B$5:$H$29,7,FALSE),0)</x:f>
        <x:v>0</x:v>
      </x:c>
      <x:c r="I2874">
        <x:f t="shared" si="47"/>
        <x:v>154680</x:v>
      </x:c>
    </x:row>
    <x:row r="2875" spans="1:9" x14ac:dyDescent="0.15">
      <x:c r="A2875">
        <x:v>54151</x:v>
      </x:c>
      <x:c r="B2875">
        <x:v>3</x:v>
      </x:c>
      <x:c r="C2875">
        <x:v>54</x:v>
      </x:c>
      <x:c r="D2875">
        <x:f>ROUND($C2875*10*VLOOKUP($B2875,Sheet2!$J$5:$K$7,2,FALSE)*VLOOKUP(Sheet1!$A2875,Sheet2!$B$5:$H$29,3,FALSE),0)</x:f>
        <x:v>216</x:v>
      </x:c>
      <x:c r="E2875">
        <x:f>ROUND($C2875*10*VLOOKUP($B2875,Sheet2!$J$5:$K$7,2,FALSE)*VLOOKUP(Sheet1!$A2875,Sheet2!$B$5:$H$29,4,FALSE),0)</x:f>
        <x:v>0</x:v>
      </x:c>
      <x:c r="F2875">
        <x:f>ROUND($C2875*10*VLOOKUP($B2875,Sheet2!$J$5:$K$7,2,FALSE)*VLOOKUP(Sheet1!$A2875,Sheet2!$B$5:$H$29,5,FALSE),0)</x:f>
        <x:v>0</x:v>
      </x:c>
      <x:c r="G2875">
        <x:f>ROUND($C2875*10*VLOOKUP($B2875,Sheet2!$J$5:$K$7,2,FALSE)*VLOOKUP(Sheet1!$A2875,Sheet2!$B$5:$H$29,6,FALSE),0)</x:f>
        <x:v>518</x:v>
      </x:c>
      <x:c r="H2875">
        <x:f>ROUND($C2875*10*VLOOKUP($B2875,Sheet2!$J$5:$K$7,2,FALSE)*VLOOKUP(Sheet1!$A2875,Sheet2!$B$5:$H$29,7,FALSE),0)</x:f>
        <x:v>0</x:v>
      </x:c>
      <x:c r="I2875">
        <x:f t="shared" si="47"/>
        <x:v>160070</x:v>
      </x:c>
    </x:row>
    <x:row r="2876" spans="1:9" x14ac:dyDescent="0.15">
      <x:c r="A2876">
        <x:v>54151</x:v>
      </x:c>
      <x:c r="B2876">
        <x:v>3</x:v>
      </x:c>
      <x:c r="C2876">
        <x:v>55</x:v>
      </x:c>
      <x:c r="D2876">
        <x:f>ROUND($C2876*10*VLOOKUP($B2876,Sheet2!$J$5:$K$7,2,FALSE)*VLOOKUP(Sheet1!$A2876,Sheet2!$B$5:$H$29,3,FALSE),0)</x:f>
        <x:v>220</x:v>
      </x:c>
      <x:c r="E2876">
        <x:f>ROUND($C2876*10*VLOOKUP($B2876,Sheet2!$J$5:$K$7,2,FALSE)*VLOOKUP(Sheet1!$A2876,Sheet2!$B$5:$H$29,4,FALSE),0)</x:f>
        <x:v>0</x:v>
      </x:c>
      <x:c r="F2876">
        <x:f>ROUND($C2876*10*VLOOKUP($B2876,Sheet2!$J$5:$K$7,2,FALSE)*VLOOKUP(Sheet1!$A2876,Sheet2!$B$5:$H$29,5,FALSE),0)</x:f>
        <x:v>0</x:v>
      </x:c>
      <x:c r="G2876">
        <x:f>ROUND($C2876*10*VLOOKUP($B2876,Sheet2!$J$5:$K$7,2,FALSE)*VLOOKUP(Sheet1!$A2876,Sheet2!$B$5:$H$29,6,FALSE),0)</x:f>
        <x:v>528</x:v>
      </x:c>
      <x:c r="H2876">
        <x:f>ROUND($C2876*10*VLOOKUP($B2876,Sheet2!$J$5:$K$7,2,FALSE)*VLOOKUP(Sheet1!$A2876,Sheet2!$B$5:$H$29,7,FALSE),0)</x:f>
        <x:v>0</x:v>
      </x:c>
      <x:c r="I2876">
        <x:f t="shared" si="47"/>
        <x:v>165540</x:v>
      </x:c>
    </x:row>
    <x:row r="2877" spans="1:9" x14ac:dyDescent="0.15">
      <x:c r="A2877">
        <x:v>54151</x:v>
      </x:c>
      <x:c r="B2877">
        <x:v>3</x:v>
      </x:c>
      <x:c r="C2877">
        <x:v>56</x:v>
      </x:c>
      <x:c r="D2877">
        <x:f>ROUND($C2877*10*VLOOKUP($B2877,Sheet2!$J$5:$K$7,2,FALSE)*VLOOKUP(Sheet1!$A2877,Sheet2!$B$5:$H$29,3,FALSE),0)</x:f>
        <x:v>224</x:v>
      </x:c>
      <x:c r="E2877">
        <x:f>ROUND($C2877*10*VLOOKUP($B2877,Sheet2!$J$5:$K$7,2,FALSE)*VLOOKUP(Sheet1!$A2877,Sheet2!$B$5:$H$29,4,FALSE),0)</x:f>
        <x:v>0</x:v>
      </x:c>
      <x:c r="F2877">
        <x:f>ROUND($C2877*10*VLOOKUP($B2877,Sheet2!$J$5:$K$7,2,FALSE)*VLOOKUP(Sheet1!$A2877,Sheet2!$B$5:$H$29,5,FALSE),0)</x:f>
        <x:v>0</x:v>
      </x:c>
      <x:c r="G2877">
        <x:f>ROUND($C2877*10*VLOOKUP($B2877,Sheet2!$J$5:$K$7,2,FALSE)*VLOOKUP(Sheet1!$A2877,Sheet2!$B$5:$H$29,6,FALSE),0)</x:f>
        <x:v>538</x:v>
      </x:c>
      <x:c r="H2877">
        <x:f>ROUND($C2877*10*VLOOKUP($B2877,Sheet2!$J$5:$K$7,2,FALSE)*VLOOKUP(Sheet1!$A2877,Sheet2!$B$5:$H$29,7,FALSE),0)</x:f>
        <x:v>0</x:v>
      </x:c>
      <x:c r="I2877">
        <x:f t="shared" si="47"/>
        <x:v>171100</x:v>
      </x:c>
    </x:row>
    <x:row r="2878" spans="1:9" x14ac:dyDescent="0.15">
      <x:c r="A2878">
        <x:v>54151</x:v>
      </x:c>
      <x:c r="B2878">
        <x:v>3</x:v>
      </x:c>
      <x:c r="C2878">
        <x:v>57</x:v>
      </x:c>
      <x:c r="D2878">
        <x:f>ROUND($C2878*10*VLOOKUP($B2878,Sheet2!$J$5:$K$7,2,FALSE)*VLOOKUP(Sheet1!$A2878,Sheet2!$B$5:$H$29,3,FALSE),0)</x:f>
        <x:v>228</x:v>
      </x:c>
      <x:c r="E2878">
        <x:f>ROUND($C2878*10*VLOOKUP($B2878,Sheet2!$J$5:$K$7,2,FALSE)*VLOOKUP(Sheet1!$A2878,Sheet2!$B$5:$H$29,4,FALSE),0)</x:f>
        <x:v>0</x:v>
      </x:c>
      <x:c r="F2878">
        <x:f>ROUND($C2878*10*VLOOKUP($B2878,Sheet2!$J$5:$K$7,2,FALSE)*VLOOKUP(Sheet1!$A2878,Sheet2!$B$5:$H$29,5,FALSE),0)</x:f>
        <x:v>0</x:v>
      </x:c>
      <x:c r="G2878">
        <x:f>ROUND($C2878*10*VLOOKUP($B2878,Sheet2!$J$5:$K$7,2,FALSE)*VLOOKUP(Sheet1!$A2878,Sheet2!$B$5:$H$29,6,FALSE),0)</x:f>
        <x:v>547</x:v>
      </x:c>
      <x:c r="H2878">
        <x:f>ROUND($C2878*10*VLOOKUP($B2878,Sheet2!$J$5:$K$7,2,FALSE)*VLOOKUP(Sheet1!$A2878,Sheet2!$B$5:$H$29,7,FALSE),0)</x:f>
        <x:v>0</x:v>
      </x:c>
      <x:c r="I2878">
        <x:f t="shared" si="47"/>
        <x:v>176740</x:v>
      </x:c>
    </x:row>
    <x:row r="2879" spans="1:9" x14ac:dyDescent="0.15">
      <x:c r="A2879">
        <x:v>54151</x:v>
      </x:c>
      <x:c r="B2879">
        <x:v>3</x:v>
      </x:c>
      <x:c r="C2879">
        <x:v>58</x:v>
      </x:c>
      <x:c r="D2879">
        <x:f>ROUND($C2879*10*VLOOKUP($B2879,Sheet2!$J$5:$K$7,2,FALSE)*VLOOKUP(Sheet1!$A2879,Sheet2!$B$5:$H$29,3,FALSE),0)</x:f>
        <x:v>232</x:v>
      </x:c>
      <x:c r="E2879">
        <x:f>ROUND($C2879*10*VLOOKUP($B2879,Sheet2!$J$5:$K$7,2,FALSE)*VLOOKUP(Sheet1!$A2879,Sheet2!$B$5:$H$29,4,FALSE),0)</x:f>
        <x:v>0</x:v>
      </x:c>
      <x:c r="F2879">
        <x:f>ROUND($C2879*10*VLOOKUP($B2879,Sheet2!$J$5:$K$7,2,FALSE)*VLOOKUP(Sheet1!$A2879,Sheet2!$B$5:$H$29,5,FALSE),0)</x:f>
        <x:v>0</x:v>
      </x:c>
      <x:c r="G2879">
        <x:f>ROUND($C2879*10*VLOOKUP($B2879,Sheet2!$J$5:$K$7,2,FALSE)*VLOOKUP(Sheet1!$A2879,Sheet2!$B$5:$H$29,6,FALSE),0)</x:f>
        <x:v>557</x:v>
      </x:c>
      <x:c r="H2879">
        <x:f>ROUND($C2879*10*VLOOKUP($B2879,Sheet2!$J$5:$K$7,2,FALSE)*VLOOKUP(Sheet1!$A2879,Sheet2!$B$5:$H$29,7,FALSE),0)</x:f>
        <x:v>0</x:v>
      </x:c>
      <x:c r="I2879">
        <x:f t="shared" si="47"/>
        <x:v>182460</x:v>
      </x:c>
    </x:row>
    <x:row r="2880" spans="1:9" x14ac:dyDescent="0.15">
      <x:c r="A2880">
        <x:v>54151</x:v>
      </x:c>
      <x:c r="B2880">
        <x:v>3</x:v>
      </x:c>
      <x:c r="C2880">
        <x:v>59</x:v>
      </x:c>
      <x:c r="D2880">
        <x:f>ROUND($C2880*10*VLOOKUP($B2880,Sheet2!$J$5:$K$7,2,FALSE)*VLOOKUP(Sheet1!$A2880,Sheet2!$B$5:$H$29,3,FALSE),0)</x:f>
        <x:v>236</x:v>
      </x:c>
      <x:c r="E2880">
        <x:f>ROUND($C2880*10*VLOOKUP($B2880,Sheet2!$J$5:$K$7,2,FALSE)*VLOOKUP(Sheet1!$A2880,Sheet2!$B$5:$H$29,4,FALSE),0)</x:f>
        <x:v>0</x:v>
      </x:c>
      <x:c r="F2880">
        <x:f>ROUND($C2880*10*VLOOKUP($B2880,Sheet2!$J$5:$K$7,2,FALSE)*VLOOKUP(Sheet1!$A2880,Sheet2!$B$5:$H$29,5,FALSE),0)</x:f>
        <x:v>0</x:v>
      </x:c>
      <x:c r="G2880">
        <x:f>ROUND($C2880*10*VLOOKUP($B2880,Sheet2!$J$5:$K$7,2,FALSE)*VLOOKUP(Sheet1!$A2880,Sheet2!$B$5:$H$29,6,FALSE),0)</x:f>
        <x:v>566</x:v>
      </x:c>
      <x:c r="H2880">
        <x:f>ROUND($C2880*10*VLOOKUP($B2880,Sheet2!$J$5:$K$7,2,FALSE)*VLOOKUP(Sheet1!$A2880,Sheet2!$B$5:$H$29,7,FALSE),0)</x:f>
        <x:v>0</x:v>
      </x:c>
      <x:c r="I2880">
        <x:f t="shared" si="47"/>
        <x:v>188260</x:v>
      </x:c>
    </x:row>
    <x:row r="2881" spans="1:9" x14ac:dyDescent="0.15">
      <x:c r="A2881">
        <x:v>54151</x:v>
      </x:c>
      <x:c r="B2881">
        <x:v>3</x:v>
      </x:c>
      <x:c r="C2881">
        <x:v>60</x:v>
      </x:c>
      <x:c r="D2881">
        <x:f>ROUND($C2881*10*VLOOKUP($B2881,Sheet2!$J$5:$K$7,2,FALSE)*VLOOKUP(Sheet1!$A2881,Sheet2!$B$5:$H$29,3,FALSE),0)</x:f>
        <x:v>240</x:v>
      </x:c>
      <x:c r="E2881">
        <x:f>ROUND($C2881*10*VLOOKUP($B2881,Sheet2!$J$5:$K$7,2,FALSE)*VLOOKUP(Sheet1!$A2881,Sheet2!$B$5:$H$29,4,FALSE),0)</x:f>
        <x:v>0</x:v>
      </x:c>
      <x:c r="F2881">
        <x:f>ROUND($C2881*10*VLOOKUP($B2881,Sheet2!$J$5:$K$7,2,FALSE)*VLOOKUP(Sheet1!$A2881,Sheet2!$B$5:$H$29,5,FALSE),0)</x:f>
        <x:v>0</x:v>
      </x:c>
      <x:c r="G2881">
        <x:f>ROUND($C2881*10*VLOOKUP($B2881,Sheet2!$J$5:$K$7,2,FALSE)*VLOOKUP(Sheet1!$A2881,Sheet2!$B$5:$H$29,6,FALSE),0)</x:f>
        <x:v>576</x:v>
      </x:c>
      <x:c r="H2881">
        <x:f>ROUND($C2881*10*VLOOKUP($B2881,Sheet2!$J$5:$K$7,2,FALSE)*VLOOKUP(Sheet1!$A2881,Sheet2!$B$5:$H$29,7,FALSE),0)</x:f>
        <x:v>0</x:v>
      </x:c>
      <x:c r="I2881">
        <x:f t="shared" si="47"/>
        <x:v>194140</x:v>
      </x:c>
    </x:row>
    <x:row r="2882" spans="1:9" x14ac:dyDescent="0.15">
      <x:c r="A2882">
        <x:v>54152</x:v>
      </x:c>
      <x:c r="B2882">
        <x:v>1</x:v>
      </x:c>
      <x:c r="C2882">
        <x:v>1</x:v>
      </x:c>
      <x:c r="D2882">
        <x:f>ROUND($C2882*10*VLOOKUP($B2882,Sheet2!$J$5:$K$7,2,FALSE)*VLOOKUP(Sheet1!$A2882,Sheet2!$B$5:$H$29,3,FALSE),0)</x:f>
        <x:v>0</x:v>
      </x:c>
      <x:c r="E2882">
        <x:f>ROUND($C2882*10*VLOOKUP($B2882,Sheet2!$J$5:$K$7,2,FALSE)*VLOOKUP(Sheet1!$A2882,Sheet2!$B$5:$H$29,4,FALSE),0)</x:f>
        <x:v>2</x:v>
      </x:c>
      <x:c r="F2882">
        <x:f>ROUND($C2882*10*VLOOKUP($B2882,Sheet2!$J$5:$K$7,2,FALSE)*VLOOKUP(Sheet1!$A2882,Sheet2!$B$5:$H$29,5,FALSE),0)</x:f>
        <x:v>0</x:v>
      </x:c>
      <x:c r="G2882">
        <x:f>ROUND($C2882*10*VLOOKUP($B2882,Sheet2!$J$5:$K$7,2,FALSE)*VLOOKUP(Sheet1!$A2882,Sheet2!$B$5:$H$29,6,FALSE),0)</x:f>
        <x:v>5</x:v>
      </x:c>
      <x:c r="H2882">
        <x:f>ROUND($C2882*10*VLOOKUP($B2882,Sheet2!$J$5:$K$7,2,FALSE)*VLOOKUP(Sheet1!$A2882,Sheet2!$B$5:$H$29,7,FALSE),0)</x:f>
        <x:v>0</x:v>
      </x:c>
      <x:c r="I2882">
        <x:f t="shared" ref="I2882:I2941" si="48">ROUND(1.2*10*1.8*(C2882-1)^1.8+30,-1)</x:f>
        <x:v>30</x:v>
      </x:c>
    </x:row>
    <x:row r="2883" spans="1:9" x14ac:dyDescent="0.15">
      <x:c r="A2883">
        <x:v>54152</x:v>
      </x:c>
      <x:c r="B2883">
        <x:v>1</x:v>
      </x:c>
      <x:c r="C2883">
        <x:v>2</x:v>
      </x:c>
      <x:c r="D2883">
        <x:f>ROUND($C2883*10*VLOOKUP($B2883,Sheet2!$J$5:$K$7,2,FALSE)*VLOOKUP(Sheet1!$A2883,Sheet2!$B$5:$H$29,3,FALSE),0)</x:f>
        <x:v>0</x:v>
      </x:c>
      <x:c r="E2883">
        <x:f>ROUND($C2883*10*VLOOKUP($B2883,Sheet2!$J$5:$K$7,2,FALSE)*VLOOKUP(Sheet1!$A2883,Sheet2!$B$5:$H$29,4,FALSE),0)</x:f>
        <x:v>4</x:v>
      </x:c>
      <x:c r="F2883">
        <x:f>ROUND($C2883*10*VLOOKUP($B2883,Sheet2!$J$5:$K$7,2,FALSE)*VLOOKUP(Sheet1!$A2883,Sheet2!$B$5:$H$29,5,FALSE),0)</x:f>
        <x:v>0</x:v>
      </x:c>
      <x:c r="G2883">
        <x:f>ROUND($C2883*10*VLOOKUP($B2883,Sheet2!$J$5:$K$7,2,FALSE)*VLOOKUP(Sheet1!$A2883,Sheet2!$B$5:$H$29,6,FALSE),0)</x:f>
        <x:v>10</x:v>
      </x:c>
      <x:c r="H2883">
        <x:f>ROUND($C2883*10*VLOOKUP($B2883,Sheet2!$J$5:$K$7,2,FALSE)*VLOOKUP(Sheet1!$A2883,Sheet2!$B$5:$H$29,7,FALSE),0)</x:f>
        <x:v>0</x:v>
      </x:c>
      <x:c r="I2883">
        <x:f t="shared" si="48"/>
        <x:v>50</x:v>
      </x:c>
    </x:row>
    <x:row r="2884" spans="1:9" x14ac:dyDescent="0.15">
      <x:c r="A2884">
        <x:v>54152</x:v>
      </x:c>
      <x:c r="B2884">
        <x:v>1</x:v>
      </x:c>
      <x:c r="C2884">
        <x:v>3</x:v>
      </x:c>
      <x:c r="D2884">
        <x:f>ROUND($C2884*10*VLOOKUP($B2884,Sheet2!$J$5:$K$7,2,FALSE)*VLOOKUP(Sheet1!$A2884,Sheet2!$B$5:$H$29,3,FALSE),0)</x:f>
        <x:v>0</x:v>
      </x:c>
      <x:c r="E2884">
        <x:f>ROUND($C2884*10*VLOOKUP($B2884,Sheet2!$J$5:$K$7,2,FALSE)*VLOOKUP(Sheet1!$A2884,Sheet2!$B$5:$H$29,4,FALSE),0)</x:f>
        <x:v>6</x:v>
      </x:c>
      <x:c r="F2884">
        <x:f>ROUND($C2884*10*VLOOKUP($B2884,Sheet2!$J$5:$K$7,2,FALSE)*VLOOKUP(Sheet1!$A2884,Sheet2!$B$5:$H$29,5,FALSE),0)</x:f>
        <x:v>0</x:v>
      </x:c>
      <x:c r="G2884">
        <x:f>ROUND($C2884*10*VLOOKUP($B2884,Sheet2!$J$5:$K$7,2,FALSE)*VLOOKUP(Sheet1!$A2884,Sheet2!$B$5:$H$29,6,FALSE),0)</x:f>
        <x:v>14</x:v>
      </x:c>
      <x:c r="H2884">
        <x:f>ROUND($C2884*10*VLOOKUP($B2884,Sheet2!$J$5:$K$7,2,FALSE)*VLOOKUP(Sheet1!$A2884,Sheet2!$B$5:$H$29,7,FALSE),0)</x:f>
        <x:v>0</x:v>
      </x:c>
      <x:c r="I2884">
        <x:f t="shared" si="48"/>
        <x:v>110</x:v>
      </x:c>
    </x:row>
    <x:row r="2885" spans="1:9" x14ac:dyDescent="0.15">
      <x:c r="A2885">
        <x:v>54152</x:v>
      </x:c>
      <x:c r="B2885">
        <x:v>1</x:v>
      </x:c>
      <x:c r="C2885">
        <x:v>4</x:v>
      </x:c>
      <x:c r="D2885">
        <x:f>ROUND($C2885*10*VLOOKUP($B2885,Sheet2!$J$5:$K$7,2,FALSE)*VLOOKUP(Sheet1!$A2885,Sheet2!$B$5:$H$29,3,FALSE),0)</x:f>
        <x:v>0</x:v>
      </x:c>
      <x:c r="E2885">
        <x:f>ROUND($C2885*10*VLOOKUP($B2885,Sheet2!$J$5:$K$7,2,FALSE)*VLOOKUP(Sheet1!$A2885,Sheet2!$B$5:$H$29,4,FALSE),0)</x:f>
        <x:v>8</x:v>
      </x:c>
      <x:c r="F2885">
        <x:f>ROUND($C2885*10*VLOOKUP($B2885,Sheet2!$J$5:$K$7,2,FALSE)*VLOOKUP(Sheet1!$A2885,Sheet2!$B$5:$H$29,5,FALSE),0)</x:f>
        <x:v>0</x:v>
      </x:c>
      <x:c r="G2885">
        <x:f>ROUND($C2885*10*VLOOKUP($B2885,Sheet2!$J$5:$K$7,2,FALSE)*VLOOKUP(Sheet1!$A2885,Sheet2!$B$5:$H$29,6,FALSE),0)</x:f>
        <x:v>19</x:v>
      </x:c>
      <x:c r="H2885">
        <x:f>ROUND($C2885*10*VLOOKUP($B2885,Sheet2!$J$5:$K$7,2,FALSE)*VLOOKUP(Sheet1!$A2885,Sheet2!$B$5:$H$29,7,FALSE),0)</x:f>
        <x:v>0</x:v>
      </x:c>
      <x:c r="I2885">
        <x:f t="shared" si="48"/>
        <x:v>190</x:v>
      </x:c>
    </x:row>
    <x:row r="2886" spans="1:9" x14ac:dyDescent="0.15">
      <x:c r="A2886">
        <x:v>54152</x:v>
      </x:c>
      <x:c r="B2886">
        <x:v>1</x:v>
      </x:c>
      <x:c r="C2886">
        <x:v>5</x:v>
      </x:c>
      <x:c r="D2886">
        <x:f>ROUND($C2886*10*VLOOKUP($B2886,Sheet2!$J$5:$K$7,2,FALSE)*VLOOKUP(Sheet1!$A2886,Sheet2!$B$5:$H$29,3,FALSE),0)</x:f>
        <x:v>0</x:v>
      </x:c>
      <x:c r="E2886">
        <x:f>ROUND($C2886*10*VLOOKUP($B2886,Sheet2!$J$5:$K$7,2,FALSE)*VLOOKUP(Sheet1!$A2886,Sheet2!$B$5:$H$29,4,FALSE),0)</x:f>
        <x:v>10</x:v>
      </x:c>
      <x:c r="F2886">
        <x:f>ROUND($C2886*10*VLOOKUP($B2886,Sheet2!$J$5:$K$7,2,FALSE)*VLOOKUP(Sheet1!$A2886,Sheet2!$B$5:$H$29,5,FALSE),0)</x:f>
        <x:v>0</x:v>
      </x:c>
      <x:c r="G2886">
        <x:f>ROUND($C2886*10*VLOOKUP($B2886,Sheet2!$J$5:$K$7,2,FALSE)*VLOOKUP(Sheet1!$A2886,Sheet2!$B$5:$H$29,6,FALSE),0)</x:f>
        <x:v>24</x:v>
      </x:c>
      <x:c r="H2886">
        <x:f>ROUND($C2886*10*VLOOKUP($B2886,Sheet2!$J$5:$K$7,2,FALSE)*VLOOKUP(Sheet1!$A2886,Sheet2!$B$5:$H$29,7,FALSE),0)</x:f>
        <x:v>0</x:v>
      </x:c>
      <x:c r="I2886">
        <x:f t="shared" si="48"/>
        <x:v>290</x:v>
      </x:c>
    </x:row>
    <x:row r="2887" spans="1:9" x14ac:dyDescent="0.15">
      <x:c r="A2887">
        <x:v>54152</x:v>
      </x:c>
      <x:c r="B2887">
        <x:v>1</x:v>
      </x:c>
      <x:c r="C2887">
        <x:v>6</x:v>
      </x:c>
      <x:c r="D2887">
        <x:f>ROUND($C2887*10*VLOOKUP($B2887,Sheet2!$J$5:$K$7,2,FALSE)*VLOOKUP(Sheet1!$A2887,Sheet2!$B$5:$H$29,3,FALSE),0)</x:f>
        <x:v>0</x:v>
      </x:c>
      <x:c r="E2887">
        <x:f>ROUND($C2887*10*VLOOKUP($B2887,Sheet2!$J$5:$K$7,2,FALSE)*VLOOKUP(Sheet1!$A2887,Sheet2!$B$5:$H$29,4,FALSE),0)</x:f>
        <x:v>12</x:v>
      </x:c>
      <x:c r="F2887">
        <x:f>ROUND($C2887*10*VLOOKUP($B2887,Sheet2!$J$5:$K$7,2,FALSE)*VLOOKUP(Sheet1!$A2887,Sheet2!$B$5:$H$29,5,FALSE),0)</x:f>
        <x:v>0</x:v>
      </x:c>
      <x:c r="G2887">
        <x:f>ROUND($C2887*10*VLOOKUP($B2887,Sheet2!$J$5:$K$7,2,FALSE)*VLOOKUP(Sheet1!$A2887,Sheet2!$B$5:$H$29,6,FALSE),0)</x:f>
        <x:v>29</x:v>
      </x:c>
      <x:c r="H2887">
        <x:f>ROUND($C2887*10*VLOOKUP($B2887,Sheet2!$J$5:$K$7,2,FALSE)*VLOOKUP(Sheet1!$A2887,Sheet2!$B$5:$H$29,7,FALSE),0)</x:f>
        <x:v>0</x:v>
      </x:c>
      <x:c r="I2887">
        <x:f t="shared" si="48"/>
        <x:v>420</x:v>
      </x:c>
    </x:row>
    <x:row r="2888" spans="1:9" x14ac:dyDescent="0.15">
      <x:c r="A2888">
        <x:v>54152</x:v>
      </x:c>
      <x:c r="B2888">
        <x:v>1</x:v>
      </x:c>
      <x:c r="C2888">
        <x:v>7</x:v>
      </x:c>
      <x:c r="D2888">
        <x:f>ROUND($C2888*10*VLOOKUP($B2888,Sheet2!$J$5:$K$7,2,FALSE)*VLOOKUP(Sheet1!$A2888,Sheet2!$B$5:$H$29,3,FALSE),0)</x:f>
        <x:v>0</x:v>
      </x:c>
      <x:c r="E2888">
        <x:f>ROUND($C2888*10*VLOOKUP($B2888,Sheet2!$J$5:$K$7,2,FALSE)*VLOOKUP(Sheet1!$A2888,Sheet2!$B$5:$H$29,4,FALSE),0)</x:f>
        <x:v>14</x:v>
      </x:c>
      <x:c r="F2888">
        <x:f>ROUND($C2888*10*VLOOKUP($B2888,Sheet2!$J$5:$K$7,2,FALSE)*VLOOKUP(Sheet1!$A2888,Sheet2!$B$5:$H$29,5,FALSE),0)</x:f>
        <x:v>0</x:v>
      </x:c>
      <x:c r="G2888">
        <x:f>ROUND($C2888*10*VLOOKUP($B2888,Sheet2!$J$5:$K$7,2,FALSE)*VLOOKUP(Sheet1!$A2888,Sheet2!$B$5:$H$29,6,FALSE),0)</x:f>
        <x:v>34</x:v>
      </x:c>
      <x:c r="H2888">
        <x:f>ROUND($C2888*10*VLOOKUP($B2888,Sheet2!$J$5:$K$7,2,FALSE)*VLOOKUP(Sheet1!$A2888,Sheet2!$B$5:$H$29,7,FALSE),0)</x:f>
        <x:v>0</x:v>
      </x:c>
      <x:c r="I2888">
        <x:f t="shared" si="48"/>
        <x:v>570</x:v>
      </x:c>
    </x:row>
    <x:row r="2889" spans="1:9" x14ac:dyDescent="0.15">
      <x:c r="A2889">
        <x:v>54152</x:v>
      </x:c>
      <x:c r="B2889">
        <x:v>1</x:v>
      </x:c>
      <x:c r="C2889">
        <x:v>8</x:v>
      </x:c>
      <x:c r="D2889">
        <x:f>ROUND($C2889*10*VLOOKUP($B2889,Sheet2!$J$5:$K$7,2,FALSE)*VLOOKUP(Sheet1!$A2889,Sheet2!$B$5:$H$29,3,FALSE),0)</x:f>
        <x:v>0</x:v>
      </x:c>
      <x:c r="E2889">
        <x:f>ROUND($C2889*10*VLOOKUP($B2889,Sheet2!$J$5:$K$7,2,FALSE)*VLOOKUP(Sheet1!$A2889,Sheet2!$B$5:$H$29,4,FALSE),0)</x:f>
        <x:v>16</x:v>
      </x:c>
      <x:c r="F2889">
        <x:f>ROUND($C2889*10*VLOOKUP($B2889,Sheet2!$J$5:$K$7,2,FALSE)*VLOOKUP(Sheet1!$A2889,Sheet2!$B$5:$H$29,5,FALSE),0)</x:f>
        <x:v>0</x:v>
      </x:c>
      <x:c r="G2889">
        <x:f>ROUND($C2889*10*VLOOKUP($B2889,Sheet2!$J$5:$K$7,2,FALSE)*VLOOKUP(Sheet1!$A2889,Sheet2!$B$5:$H$29,6,FALSE),0)</x:f>
        <x:v>38</x:v>
      </x:c>
      <x:c r="H2889">
        <x:f>ROUND($C2889*10*VLOOKUP($B2889,Sheet2!$J$5:$K$7,2,FALSE)*VLOOKUP(Sheet1!$A2889,Sheet2!$B$5:$H$29,7,FALSE),0)</x:f>
        <x:v>0</x:v>
      </x:c>
      <x:c r="I2889">
        <x:f t="shared" si="48"/>
        <x:v>750</x:v>
      </x:c>
    </x:row>
    <x:row r="2890" spans="1:9" x14ac:dyDescent="0.15">
      <x:c r="A2890">
        <x:v>54152</x:v>
      </x:c>
      <x:c r="B2890">
        <x:v>1</x:v>
      </x:c>
      <x:c r="C2890">
        <x:v>9</x:v>
      </x:c>
      <x:c r="D2890">
        <x:f>ROUND($C2890*10*VLOOKUP($B2890,Sheet2!$J$5:$K$7,2,FALSE)*VLOOKUP(Sheet1!$A2890,Sheet2!$B$5:$H$29,3,FALSE),0)</x:f>
        <x:v>0</x:v>
      </x:c>
      <x:c r="E2890">
        <x:f>ROUND($C2890*10*VLOOKUP($B2890,Sheet2!$J$5:$K$7,2,FALSE)*VLOOKUP(Sheet1!$A2890,Sheet2!$B$5:$H$29,4,FALSE),0)</x:f>
        <x:v>18</x:v>
      </x:c>
      <x:c r="F2890">
        <x:f>ROUND($C2890*10*VLOOKUP($B2890,Sheet2!$J$5:$K$7,2,FALSE)*VLOOKUP(Sheet1!$A2890,Sheet2!$B$5:$H$29,5,FALSE),0)</x:f>
        <x:v>0</x:v>
      </x:c>
      <x:c r="G2890">
        <x:f>ROUND($C2890*10*VLOOKUP($B2890,Sheet2!$J$5:$K$7,2,FALSE)*VLOOKUP(Sheet1!$A2890,Sheet2!$B$5:$H$29,6,FALSE),0)</x:f>
        <x:v>43</x:v>
      </x:c>
      <x:c r="H2890">
        <x:f>ROUND($C2890*10*VLOOKUP($B2890,Sheet2!$J$5:$K$7,2,FALSE)*VLOOKUP(Sheet1!$A2890,Sheet2!$B$5:$H$29,7,FALSE),0)</x:f>
        <x:v>0</x:v>
      </x:c>
      <x:c r="I2890">
        <x:f t="shared" si="48"/>
        <x:v>940</x:v>
      </x:c>
    </x:row>
    <x:row r="2891" spans="1:9" x14ac:dyDescent="0.15">
      <x:c r="A2891">
        <x:v>54152</x:v>
      </x:c>
      <x:c r="B2891">
        <x:v>1</x:v>
      </x:c>
      <x:c r="C2891">
        <x:v>10</x:v>
      </x:c>
      <x:c r="D2891">
        <x:f>ROUND($C2891*10*VLOOKUP($B2891,Sheet2!$J$5:$K$7,2,FALSE)*VLOOKUP(Sheet1!$A2891,Sheet2!$B$5:$H$29,3,FALSE),0)</x:f>
        <x:v>0</x:v>
      </x:c>
      <x:c r="E2891">
        <x:f>ROUND($C2891*10*VLOOKUP($B2891,Sheet2!$J$5:$K$7,2,FALSE)*VLOOKUP(Sheet1!$A2891,Sheet2!$B$5:$H$29,4,FALSE),0)</x:f>
        <x:v>20</x:v>
      </x:c>
      <x:c r="F2891">
        <x:f>ROUND($C2891*10*VLOOKUP($B2891,Sheet2!$J$5:$K$7,2,FALSE)*VLOOKUP(Sheet1!$A2891,Sheet2!$B$5:$H$29,5,FALSE),0)</x:f>
        <x:v>0</x:v>
      </x:c>
      <x:c r="G2891">
        <x:f>ROUND($C2891*10*VLOOKUP($B2891,Sheet2!$J$5:$K$7,2,FALSE)*VLOOKUP(Sheet1!$A2891,Sheet2!$B$5:$H$29,6,FALSE),0)</x:f>
        <x:v>48</x:v>
      </x:c>
      <x:c r="H2891">
        <x:f>ROUND($C2891*10*VLOOKUP($B2891,Sheet2!$J$5:$K$7,2,FALSE)*VLOOKUP(Sheet1!$A2891,Sheet2!$B$5:$H$29,7,FALSE),0)</x:f>
        <x:v>0</x:v>
      </x:c>
      <x:c r="I2891">
        <x:f t="shared" si="48"/>
        <x:v>1160</x:v>
      </x:c>
    </x:row>
    <x:row r="2892" spans="1:9" x14ac:dyDescent="0.15">
      <x:c r="A2892">
        <x:v>54152</x:v>
      </x:c>
      <x:c r="B2892">
        <x:v>1</x:v>
      </x:c>
      <x:c r="C2892">
        <x:v>11</x:v>
      </x:c>
      <x:c r="D2892">
        <x:f>ROUND($C2892*10*VLOOKUP($B2892,Sheet2!$J$5:$K$7,2,FALSE)*VLOOKUP(Sheet1!$A2892,Sheet2!$B$5:$H$29,3,FALSE),0)</x:f>
        <x:v>0</x:v>
      </x:c>
      <x:c r="E2892">
        <x:f>ROUND($C2892*10*VLOOKUP($B2892,Sheet2!$J$5:$K$7,2,FALSE)*VLOOKUP(Sheet1!$A2892,Sheet2!$B$5:$H$29,4,FALSE),0)</x:f>
        <x:v>22</x:v>
      </x:c>
      <x:c r="F2892">
        <x:f>ROUND($C2892*10*VLOOKUP($B2892,Sheet2!$J$5:$K$7,2,FALSE)*VLOOKUP(Sheet1!$A2892,Sheet2!$B$5:$H$29,5,FALSE),0)</x:f>
        <x:v>0</x:v>
      </x:c>
      <x:c r="G2892">
        <x:f>ROUND($C2892*10*VLOOKUP($B2892,Sheet2!$J$5:$K$7,2,FALSE)*VLOOKUP(Sheet1!$A2892,Sheet2!$B$5:$H$29,6,FALSE),0)</x:f>
        <x:v>53</x:v>
      </x:c>
      <x:c r="H2892">
        <x:f>ROUND($C2892*10*VLOOKUP($B2892,Sheet2!$J$5:$K$7,2,FALSE)*VLOOKUP(Sheet1!$A2892,Sheet2!$B$5:$H$29,7,FALSE),0)</x:f>
        <x:v>0</x:v>
      </x:c>
      <x:c r="I2892">
        <x:f t="shared" si="48"/>
        <x:v>1390</x:v>
      </x:c>
    </x:row>
    <x:row r="2893" spans="1:9" x14ac:dyDescent="0.15">
      <x:c r="A2893">
        <x:v>54152</x:v>
      </x:c>
      <x:c r="B2893">
        <x:v>1</x:v>
      </x:c>
      <x:c r="C2893">
        <x:v>12</x:v>
      </x:c>
      <x:c r="D2893">
        <x:f>ROUND($C2893*10*VLOOKUP($B2893,Sheet2!$J$5:$K$7,2,FALSE)*VLOOKUP(Sheet1!$A2893,Sheet2!$B$5:$H$29,3,FALSE),0)</x:f>
        <x:v>0</x:v>
      </x:c>
      <x:c r="E2893">
        <x:f>ROUND($C2893*10*VLOOKUP($B2893,Sheet2!$J$5:$K$7,2,FALSE)*VLOOKUP(Sheet1!$A2893,Sheet2!$B$5:$H$29,4,FALSE),0)</x:f>
        <x:v>24</x:v>
      </x:c>
      <x:c r="F2893">
        <x:f>ROUND($C2893*10*VLOOKUP($B2893,Sheet2!$J$5:$K$7,2,FALSE)*VLOOKUP(Sheet1!$A2893,Sheet2!$B$5:$H$29,5,FALSE),0)</x:f>
        <x:v>0</x:v>
      </x:c>
      <x:c r="G2893">
        <x:f>ROUND($C2893*10*VLOOKUP($B2893,Sheet2!$J$5:$K$7,2,FALSE)*VLOOKUP(Sheet1!$A2893,Sheet2!$B$5:$H$29,6,FALSE),0)</x:f>
        <x:v>58</x:v>
      </x:c>
      <x:c r="H2893">
        <x:f>ROUND($C2893*10*VLOOKUP($B2893,Sheet2!$J$5:$K$7,2,FALSE)*VLOOKUP(Sheet1!$A2893,Sheet2!$B$5:$H$29,7,FALSE),0)</x:f>
        <x:v>0</x:v>
      </x:c>
      <x:c r="I2893">
        <x:f t="shared" si="48"/>
        <x:v>1650</x:v>
      </x:c>
    </x:row>
    <x:row r="2894" spans="1:9" x14ac:dyDescent="0.15">
      <x:c r="A2894">
        <x:v>54152</x:v>
      </x:c>
      <x:c r="B2894">
        <x:v>1</x:v>
      </x:c>
      <x:c r="C2894">
        <x:v>13</x:v>
      </x:c>
      <x:c r="D2894">
        <x:f>ROUND($C2894*10*VLOOKUP($B2894,Sheet2!$J$5:$K$7,2,FALSE)*VLOOKUP(Sheet1!$A2894,Sheet2!$B$5:$H$29,3,FALSE),0)</x:f>
        <x:v>0</x:v>
      </x:c>
      <x:c r="E2894">
        <x:f>ROUND($C2894*10*VLOOKUP($B2894,Sheet2!$J$5:$K$7,2,FALSE)*VLOOKUP(Sheet1!$A2894,Sheet2!$B$5:$H$29,4,FALSE),0)</x:f>
        <x:v>26</x:v>
      </x:c>
      <x:c r="F2894">
        <x:f>ROUND($C2894*10*VLOOKUP($B2894,Sheet2!$J$5:$K$7,2,FALSE)*VLOOKUP(Sheet1!$A2894,Sheet2!$B$5:$H$29,5,FALSE),0)</x:f>
        <x:v>0</x:v>
      </x:c>
      <x:c r="G2894">
        <x:f>ROUND($C2894*10*VLOOKUP($B2894,Sheet2!$J$5:$K$7,2,FALSE)*VLOOKUP(Sheet1!$A2894,Sheet2!$B$5:$H$29,6,FALSE),0)</x:f>
        <x:v>62</x:v>
      </x:c>
      <x:c r="H2894">
        <x:f>ROUND($C2894*10*VLOOKUP($B2894,Sheet2!$J$5:$K$7,2,FALSE)*VLOOKUP(Sheet1!$A2894,Sheet2!$B$5:$H$29,7,FALSE),0)</x:f>
        <x:v>0</x:v>
      </x:c>
      <x:c r="I2894">
        <x:f t="shared" si="48"/>
        <x:v>1920</x:v>
      </x:c>
    </x:row>
    <x:row r="2895" spans="1:9" x14ac:dyDescent="0.15">
      <x:c r="A2895">
        <x:v>54152</x:v>
      </x:c>
      <x:c r="B2895">
        <x:v>1</x:v>
      </x:c>
      <x:c r="C2895">
        <x:v>14</x:v>
      </x:c>
      <x:c r="D2895">
        <x:f>ROUND($C2895*10*VLOOKUP($B2895,Sheet2!$J$5:$K$7,2,FALSE)*VLOOKUP(Sheet1!$A2895,Sheet2!$B$5:$H$29,3,FALSE),0)</x:f>
        <x:v>0</x:v>
      </x:c>
      <x:c r="E2895">
        <x:f>ROUND($C2895*10*VLOOKUP($B2895,Sheet2!$J$5:$K$7,2,FALSE)*VLOOKUP(Sheet1!$A2895,Sheet2!$B$5:$H$29,4,FALSE),0)</x:f>
        <x:v>28</x:v>
      </x:c>
      <x:c r="F2895">
        <x:f>ROUND($C2895*10*VLOOKUP($B2895,Sheet2!$J$5:$K$7,2,FALSE)*VLOOKUP(Sheet1!$A2895,Sheet2!$B$5:$H$29,5,FALSE),0)</x:f>
        <x:v>0</x:v>
      </x:c>
      <x:c r="G2895">
        <x:f>ROUND($C2895*10*VLOOKUP($B2895,Sheet2!$J$5:$K$7,2,FALSE)*VLOOKUP(Sheet1!$A2895,Sheet2!$B$5:$H$29,6,FALSE),0)</x:f>
        <x:v>67</x:v>
      </x:c>
      <x:c r="H2895">
        <x:f>ROUND($C2895*10*VLOOKUP($B2895,Sheet2!$J$5:$K$7,2,FALSE)*VLOOKUP(Sheet1!$A2895,Sheet2!$B$5:$H$29,7,FALSE),0)</x:f>
        <x:v>0</x:v>
      </x:c>
      <x:c r="I2895">
        <x:f t="shared" si="48"/>
        <x:v>2220</x:v>
      </x:c>
    </x:row>
    <x:row r="2896" spans="1:9" x14ac:dyDescent="0.15">
      <x:c r="A2896">
        <x:v>54152</x:v>
      </x:c>
      <x:c r="B2896">
        <x:v>1</x:v>
      </x:c>
      <x:c r="C2896">
        <x:v>15</x:v>
      </x:c>
      <x:c r="D2896">
        <x:f>ROUND($C2896*10*VLOOKUP($B2896,Sheet2!$J$5:$K$7,2,FALSE)*VLOOKUP(Sheet1!$A2896,Sheet2!$B$5:$H$29,3,FALSE),0)</x:f>
        <x:v>0</x:v>
      </x:c>
      <x:c r="E2896">
        <x:f>ROUND($C2896*10*VLOOKUP($B2896,Sheet2!$J$5:$K$7,2,FALSE)*VLOOKUP(Sheet1!$A2896,Sheet2!$B$5:$H$29,4,FALSE),0)</x:f>
        <x:v>30</x:v>
      </x:c>
      <x:c r="F2896">
        <x:f>ROUND($C2896*10*VLOOKUP($B2896,Sheet2!$J$5:$K$7,2,FALSE)*VLOOKUP(Sheet1!$A2896,Sheet2!$B$5:$H$29,5,FALSE),0)</x:f>
        <x:v>0</x:v>
      </x:c>
      <x:c r="G2896">
        <x:f>ROUND($C2896*10*VLOOKUP($B2896,Sheet2!$J$5:$K$7,2,FALSE)*VLOOKUP(Sheet1!$A2896,Sheet2!$B$5:$H$29,6,FALSE),0)</x:f>
        <x:v>72</x:v>
      </x:c>
      <x:c r="H2896">
        <x:f>ROUND($C2896*10*VLOOKUP($B2896,Sheet2!$J$5:$K$7,2,FALSE)*VLOOKUP(Sheet1!$A2896,Sheet2!$B$5:$H$29,7,FALSE),0)</x:f>
        <x:v>0</x:v>
      </x:c>
      <x:c r="I2896">
        <x:f t="shared" si="48"/>
        <x:v>2530</x:v>
      </x:c>
    </x:row>
    <x:row r="2897" spans="1:9" x14ac:dyDescent="0.15">
      <x:c r="A2897">
        <x:v>54152</x:v>
      </x:c>
      <x:c r="B2897">
        <x:v>1</x:v>
      </x:c>
      <x:c r="C2897">
        <x:v>16</x:v>
      </x:c>
      <x:c r="D2897">
        <x:f>ROUND($C2897*10*VLOOKUP($B2897,Sheet2!$J$5:$K$7,2,FALSE)*VLOOKUP(Sheet1!$A2897,Sheet2!$B$5:$H$29,3,FALSE),0)</x:f>
        <x:v>0</x:v>
      </x:c>
      <x:c r="E2897">
        <x:f>ROUND($C2897*10*VLOOKUP($B2897,Sheet2!$J$5:$K$7,2,FALSE)*VLOOKUP(Sheet1!$A2897,Sheet2!$B$5:$H$29,4,FALSE),0)</x:f>
        <x:v>32</x:v>
      </x:c>
      <x:c r="F2897">
        <x:f>ROUND($C2897*10*VLOOKUP($B2897,Sheet2!$J$5:$K$7,2,FALSE)*VLOOKUP(Sheet1!$A2897,Sheet2!$B$5:$H$29,5,FALSE),0)</x:f>
        <x:v>0</x:v>
      </x:c>
      <x:c r="G2897">
        <x:f>ROUND($C2897*10*VLOOKUP($B2897,Sheet2!$J$5:$K$7,2,FALSE)*VLOOKUP(Sheet1!$A2897,Sheet2!$B$5:$H$29,6,FALSE),0)</x:f>
        <x:v>77</x:v>
      </x:c>
      <x:c r="H2897">
        <x:f>ROUND($C2897*10*VLOOKUP($B2897,Sheet2!$J$5:$K$7,2,FALSE)*VLOOKUP(Sheet1!$A2897,Sheet2!$B$5:$H$29,7,FALSE),0)</x:f>
        <x:v>0</x:v>
      </x:c>
      <x:c r="I2897">
        <x:f t="shared" si="48"/>
        <x:v>2860</x:v>
      </x:c>
    </x:row>
    <x:row r="2898" spans="1:9" x14ac:dyDescent="0.15">
      <x:c r="A2898">
        <x:v>54152</x:v>
      </x:c>
      <x:c r="B2898">
        <x:v>1</x:v>
      </x:c>
      <x:c r="C2898">
        <x:v>17</x:v>
      </x:c>
      <x:c r="D2898">
        <x:f>ROUND($C2898*10*VLOOKUP($B2898,Sheet2!$J$5:$K$7,2,FALSE)*VLOOKUP(Sheet1!$A2898,Sheet2!$B$5:$H$29,3,FALSE),0)</x:f>
        <x:v>0</x:v>
      </x:c>
      <x:c r="E2898">
        <x:f>ROUND($C2898*10*VLOOKUP($B2898,Sheet2!$J$5:$K$7,2,FALSE)*VLOOKUP(Sheet1!$A2898,Sheet2!$B$5:$H$29,4,FALSE),0)</x:f>
        <x:v>34</x:v>
      </x:c>
      <x:c r="F2898">
        <x:f>ROUND($C2898*10*VLOOKUP($B2898,Sheet2!$J$5:$K$7,2,FALSE)*VLOOKUP(Sheet1!$A2898,Sheet2!$B$5:$H$29,5,FALSE),0)</x:f>
        <x:v>0</x:v>
      </x:c>
      <x:c r="G2898">
        <x:f>ROUND($C2898*10*VLOOKUP($B2898,Sheet2!$J$5:$K$7,2,FALSE)*VLOOKUP(Sheet1!$A2898,Sheet2!$B$5:$H$29,6,FALSE),0)</x:f>
        <x:v>82</x:v>
      </x:c>
      <x:c r="H2898">
        <x:f>ROUND($C2898*10*VLOOKUP($B2898,Sheet2!$J$5:$K$7,2,FALSE)*VLOOKUP(Sheet1!$A2898,Sheet2!$B$5:$H$29,7,FALSE),0)</x:f>
        <x:v>0</x:v>
      </x:c>
      <x:c r="I2898">
        <x:f t="shared" si="48"/>
        <x:v>3210</x:v>
      </x:c>
    </x:row>
    <x:row r="2899" spans="1:9" x14ac:dyDescent="0.15">
      <x:c r="A2899">
        <x:v>54152</x:v>
      </x:c>
      <x:c r="B2899">
        <x:v>1</x:v>
      </x:c>
      <x:c r="C2899">
        <x:v>18</x:v>
      </x:c>
      <x:c r="D2899">
        <x:f>ROUND($C2899*10*VLOOKUP($B2899,Sheet2!$J$5:$K$7,2,FALSE)*VLOOKUP(Sheet1!$A2899,Sheet2!$B$5:$H$29,3,FALSE),0)</x:f>
        <x:v>0</x:v>
      </x:c>
      <x:c r="E2899">
        <x:f>ROUND($C2899*10*VLOOKUP($B2899,Sheet2!$J$5:$K$7,2,FALSE)*VLOOKUP(Sheet1!$A2899,Sheet2!$B$5:$H$29,4,FALSE),0)</x:f>
        <x:v>36</x:v>
      </x:c>
      <x:c r="F2899">
        <x:f>ROUND($C2899*10*VLOOKUP($B2899,Sheet2!$J$5:$K$7,2,FALSE)*VLOOKUP(Sheet1!$A2899,Sheet2!$B$5:$H$29,5,FALSE),0)</x:f>
        <x:v>0</x:v>
      </x:c>
      <x:c r="G2899">
        <x:f>ROUND($C2899*10*VLOOKUP($B2899,Sheet2!$J$5:$K$7,2,FALSE)*VLOOKUP(Sheet1!$A2899,Sheet2!$B$5:$H$29,6,FALSE),0)</x:f>
        <x:v>86</x:v>
      </x:c>
      <x:c r="H2899">
        <x:f>ROUND($C2899*10*VLOOKUP($B2899,Sheet2!$J$5:$K$7,2,FALSE)*VLOOKUP(Sheet1!$A2899,Sheet2!$B$5:$H$29,7,FALSE),0)</x:f>
        <x:v>0</x:v>
      </x:c>
      <x:c r="I2899">
        <x:f t="shared" si="48"/>
        <x:v>3570</x:v>
      </x:c>
    </x:row>
    <x:row r="2900" spans="1:9" x14ac:dyDescent="0.15">
      <x:c r="A2900">
        <x:v>54152</x:v>
      </x:c>
      <x:c r="B2900">
        <x:v>1</x:v>
      </x:c>
      <x:c r="C2900">
        <x:v>19</x:v>
      </x:c>
      <x:c r="D2900">
        <x:f>ROUND($C2900*10*VLOOKUP($B2900,Sheet2!$J$5:$K$7,2,FALSE)*VLOOKUP(Sheet1!$A2900,Sheet2!$B$5:$H$29,3,FALSE),0)</x:f>
        <x:v>0</x:v>
      </x:c>
      <x:c r="E2900">
        <x:f>ROUND($C2900*10*VLOOKUP($B2900,Sheet2!$J$5:$K$7,2,FALSE)*VLOOKUP(Sheet1!$A2900,Sheet2!$B$5:$H$29,4,FALSE),0)</x:f>
        <x:v>38</x:v>
      </x:c>
      <x:c r="F2900">
        <x:f>ROUND($C2900*10*VLOOKUP($B2900,Sheet2!$J$5:$K$7,2,FALSE)*VLOOKUP(Sheet1!$A2900,Sheet2!$B$5:$H$29,5,FALSE),0)</x:f>
        <x:v>0</x:v>
      </x:c>
      <x:c r="G2900">
        <x:f>ROUND($C2900*10*VLOOKUP($B2900,Sheet2!$J$5:$K$7,2,FALSE)*VLOOKUP(Sheet1!$A2900,Sheet2!$B$5:$H$29,6,FALSE),0)</x:f>
        <x:v>91</x:v>
      </x:c>
      <x:c r="H2900">
        <x:f>ROUND($C2900*10*VLOOKUP($B2900,Sheet2!$J$5:$K$7,2,FALSE)*VLOOKUP(Sheet1!$A2900,Sheet2!$B$5:$H$29,7,FALSE),0)</x:f>
        <x:v>0</x:v>
      </x:c>
      <x:c r="I2900">
        <x:f t="shared" si="48"/>
        <x:v>3960</x:v>
      </x:c>
    </x:row>
    <x:row r="2901" spans="1:9" x14ac:dyDescent="0.15">
      <x:c r="A2901">
        <x:v>54152</x:v>
      </x:c>
      <x:c r="B2901">
        <x:v>1</x:v>
      </x:c>
      <x:c r="C2901">
        <x:v>20</x:v>
      </x:c>
      <x:c r="D2901">
        <x:f>ROUND($C2901*10*VLOOKUP($B2901,Sheet2!$J$5:$K$7,2,FALSE)*VLOOKUP(Sheet1!$A2901,Sheet2!$B$5:$H$29,3,FALSE),0)</x:f>
        <x:v>0</x:v>
      </x:c>
      <x:c r="E2901">
        <x:f>ROUND($C2901*10*VLOOKUP($B2901,Sheet2!$J$5:$K$7,2,FALSE)*VLOOKUP(Sheet1!$A2901,Sheet2!$B$5:$H$29,4,FALSE),0)</x:f>
        <x:v>40</x:v>
      </x:c>
      <x:c r="F2901">
        <x:f>ROUND($C2901*10*VLOOKUP($B2901,Sheet2!$J$5:$K$7,2,FALSE)*VLOOKUP(Sheet1!$A2901,Sheet2!$B$5:$H$29,5,FALSE),0)</x:f>
        <x:v>0</x:v>
      </x:c>
      <x:c r="G2901">
        <x:f>ROUND($C2901*10*VLOOKUP($B2901,Sheet2!$J$5:$K$7,2,FALSE)*VLOOKUP(Sheet1!$A2901,Sheet2!$B$5:$H$29,6,FALSE),0)</x:f>
        <x:v>96</x:v>
      </x:c>
      <x:c r="H2901">
        <x:f>ROUND($C2901*10*VLOOKUP($B2901,Sheet2!$J$5:$K$7,2,FALSE)*VLOOKUP(Sheet1!$A2901,Sheet2!$B$5:$H$29,7,FALSE),0)</x:f>
        <x:v>0</x:v>
      </x:c>
      <x:c r="I2901">
        <x:f t="shared" si="48"/>
        <x:v>4360</x:v>
      </x:c>
    </x:row>
    <x:row r="2902" spans="1:9" x14ac:dyDescent="0.15">
      <x:c r="A2902">
        <x:v>54152</x:v>
      </x:c>
      <x:c r="B2902">
        <x:v>1</x:v>
      </x:c>
      <x:c r="C2902">
        <x:v>21</x:v>
      </x:c>
      <x:c r="D2902">
        <x:f>ROUND($C2902*10*VLOOKUP($B2902,Sheet2!$J$5:$K$7,2,FALSE)*VLOOKUP(Sheet1!$A2902,Sheet2!$B$5:$H$29,3,FALSE),0)</x:f>
        <x:v>0</x:v>
      </x:c>
      <x:c r="E2902">
        <x:f>ROUND($C2902*10*VLOOKUP($B2902,Sheet2!$J$5:$K$7,2,FALSE)*VLOOKUP(Sheet1!$A2902,Sheet2!$B$5:$H$29,4,FALSE),0)</x:f>
        <x:v>42</x:v>
      </x:c>
      <x:c r="F2902">
        <x:f>ROUND($C2902*10*VLOOKUP($B2902,Sheet2!$J$5:$K$7,2,FALSE)*VLOOKUP(Sheet1!$A2902,Sheet2!$B$5:$H$29,5,FALSE),0)</x:f>
        <x:v>0</x:v>
      </x:c>
      <x:c r="G2902">
        <x:f>ROUND($C2902*10*VLOOKUP($B2902,Sheet2!$J$5:$K$7,2,FALSE)*VLOOKUP(Sheet1!$A2902,Sheet2!$B$5:$H$29,6,FALSE),0)</x:f>
        <x:v>101</x:v>
      </x:c>
      <x:c r="H2902">
        <x:f>ROUND($C2902*10*VLOOKUP($B2902,Sheet2!$J$5:$K$7,2,FALSE)*VLOOKUP(Sheet1!$A2902,Sheet2!$B$5:$H$29,7,FALSE),0)</x:f>
        <x:v>0</x:v>
      </x:c>
      <x:c r="I2902">
        <x:f t="shared" si="48"/>
        <x:v>4780</x:v>
      </x:c>
    </x:row>
    <x:row r="2903" spans="1:9" x14ac:dyDescent="0.15">
      <x:c r="A2903">
        <x:v>54152</x:v>
      </x:c>
      <x:c r="B2903">
        <x:v>1</x:v>
      </x:c>
      <x:c r="C2903">
        <x:v>22</x:v>
      </x:c>
      <x:c r="D2903">
        <x:f>ROUND($C2903*10*VLOOKUP($B2903,Sheet2!$J$5:$K$7,2,FALSE)*VLOOKUP(Sheet1!$A2903,Sheet2!$B$5:$H$29,3,FALSE),0)</x:f>
        <x:v>0</x:v>
      </x:c>
      <x:c r="E2903">
        <x:f>ROUND($C2903*10*VLOOKUP($B2903,Sheet2!$J$5:$K$7,2,FALSE)*VLOOKUP(Sheet1!$A2903,Sheet2!$B$5:$H$29,4,FALSE),0)</x:f>
        <x:v>44</x:v>
      </x:c>
      <x:c r="F2903">
        <x:f>ROUND($C2903*10*VLOOKUP($B2903,Sheet2!$J$5:$K$7,2,FALSE)*VLOOKUP(Sheet1!$A2903,Sheet2!$B$5:$H$29,5,FALSE),0)</x:f>
        <x:v>0</x:v>
      </x:c>
      <x:c r="G2903">
        <x:f>ROUND($C2903*10*VLOOKUP($B2903,Sheet2!$J$5:$K$7,2,FALSE)*VLOOKUP(Sheet1!$A2903,Sheet2!$B$5:$H$29,6,FALSE),0)</x:f>
        <x:v>106</x:v>
      </x:c>
      <x:c r="H2903">
        <x:f>ROUND($C2903*10*VLOOKUP($B2903,Sheet2!$J$5:$K$7,2,FALSE)*VLOOKUP(Sheet1!$A2903,Sheet2!$B$5:$H$29,7,FALSE),0)</x:f>
        <x:v>0</x:v>
      </x:c>
      <x:c r="I2903">
        <x:f t="shared" si="48"/>
        <x:v>5210</x:v>
      </x:c>
    </x:row>
    <x:row r="2904" spans="1:9" x14ac:dyDescent="0.15">
      <x:c r="A2904">
        <x:v>54152</x:v>
      </x:c>
      <x:c r="B2904">
        <x:v>1</x:v>
      </x:c>
      <x:c r="C2904">
        <x:v>23</x:v>
      </x:c>
      <x:c r="D2904">
        <x:f>ROUND($C2904*10*VLOOKUP($B2904,Sheet2!$J$5:$K$7,2,FALSE)*VLOOKUP(Sheet1!$A2904,Sheet2!$B$5:$H$29,3,FALSE),0)</x:f>
        <x:v>0</x:v>
      </x:c>
      <x:c r="E2904">
        <x:f>ROUND($C2904*10*VLOOKUP($B2904,Sheet2!$J$5:$K$7,2,FALSE)*VLOOKUP(Sheet1!$A2904,Sheet2!$B$5:$H$29,4,FALSE),0)</x:f>
        <x:v>46</x:v>
      </x:c>
      <x:c r="F2904">
        <x:f>ROUND($C2904*10*VLOOKUP($B2904,Sheet2!$J$5:$K$7,2,FALSE)*VLOOKUP(Sheet1!$A2904,Sheet2!$B$5:$H$29,5,FALSE),0)</x:f>
        <x:v>0</x:v>
      </x:c>
      <x:c r="G2904">
        <x:f>ROUND($C2904*10*VLOOKUP($B2904,Sheet2!$J$5:$K$7,2,FALSE)*VLOOKUP(Sheet1!$A2904,Sheet2!$B$5:$H$29,6,FALSE),0)</x:f>
        <x:v>110</x:v>
      </x:c>
      <x:c r="H2904">
        <x:f>ROUND($C2904*10*VLOOKUP($B2904,Sheet2!$J$5:$K$7,2,FALSE)*VLOOKUP(Sheet1!$A2904,Sheet2!$B$5:$H$29,7,FALSE),0)</x:f>
        <x:v>0</x:v>
      </x:c>
      <x:c r="I2904">
        <x:f t="shared" si="48"/>
        <x:v>5660</x:v>
      </x:c>
    </x:row>
    <x:row r="2905" spans="1:9" x14ac:dyDescent="0.15">
      <x:c r="A2905">
        <x:v>54152</x:v>
      </x:c>
      <x:c r="B2905">
        <x:v>1</x:v>
      </x:c>
      <x:c r="C2905">
        <x:v>24</x:v>
      </x:c>
      <x:c r="D2905">
        <x:f>ROUND($C2905*10*VLOOKUP($B2905,Sheet2!$J$5:$K$7,2,FALSE)*VLOOKUP(Sheet1!$A2905,Sheet2!$B$5:$H$29,3,FALSE),0)</x:f>
        <x:v>0</x:v>
      </x:c>
      <x:c r="E2905">
        <x:f>ROUND($C2905*10*VLOOKUP($B2905,Sheet2!$J$5:$K$7,2,FALSE)*VLOOKUP(Sheet1!$A2905,Sheet2!$B$5:$H$29,4,FALSE),0)</x:f>
        <x:v>48</x:v>
      </x:c>
      <x:c r="F2905">
        <x:f>ROUND($C2905*10*VLOOKUP($B2905,Sheet2!$J$5:$K$7,2,FALSE)*VLOOKUP(Sheet1!$A2905,Sheet2!$B$5:$H$29,5,FALSE),0)</x:f>
        <x:v>0</x:v>
      </x:c>
      <x:c r="G2905">
        <x:f>ROUND($C2905*10*VLOOKUP($B2905,Sheet2!$J$5:$K$7,2,FALSE)*VLOOKUP(Sheet1!$A2905,Sheet2!$B$5:$H$29,6,FALSE),0)</x:f>
        <x:v>115</x:v>
      </x:c>
      <x:c r="H2905">
        <x:f>ROUND($C2905*10*VLOOKUP($B2905,Sheet2!$J$5:$K$7,2,FALSE)*VLOOKUP(Sheet1!$A2905,Sheet2!$B$5:$H$29,7,FALSE),0)</x:f>
        <x:v>0</x:v>
      </x:c>
      <x:c r="I2905">
        <x:f t="shared" si="48"/>
        <x:v>6130</x:v>
      </x:c>
    </x:row>
    <x:row r="2906" spans="1:9" x14ac:dyDescent="0.15">
      <x:c r="A2906">
        <x:v>54152</x:v>
      </x:c>
      <x:c r="B2906">
        <x:v>1</x:v>
      </x:c>
      <x:c r="C2906">
        <x:v>25</x:v>
      </x:c>
      <x:c r="D2906">
        <x:f>ROUND($C2906*10*VLOOKUP($B2906,Sheet2!$J$5:$K$7,2,FALSE)*VLOOKUP(Sheet1!$A2906,Sheet2!$B$5:$H$29,3,FALSE),0)</x:f>
        <x:v>0</x:v>
      </x:c>
      <x:c r="E2906">
        <x:f>ROUND($C2906*10*VLOOKUP($B2906,Sheet2!$J$5:$K$7,2,FALSE)*VLOOKUP(Sheet1!$A2906,Sheet2!$B$5:$H$29,4,FALSE),0)</x:f>
        <x:v>50</x:v>
      </x:c>
      <x:c r="F2906">
        <x:f>ROUND($C2906*10*VLOOKUP($B2906,Sheet2!$J$5:$K$7,2,FALSE)*VLOOKUP(Sheet1!$A2906,Sheet2!$B$5:$H$29,5,FALSE),0)</x:f>
        <x:v>0</x:v>
      </x:c>
      <x:c r="G2906">
        <x:f>ROUND($C2906*10*VLOOKUP($B2906,Sheet2!$J$5:$K$7,2,FALSE)*VLOOKUP(Sheet1!$A2906,Sheet2!$B$5:$H$29,6,FALSE),0)</x:f>
        <x:v>120</x:v>
      </x:c>
      <x:c r="H2906">
        <x:f>ROUND($C2906*10*VLOOKUP($B2906,Sheet2!$J$5:$K$7,2,FALSE)*VLOOKUP(Sheet1!$A2906,Sheet2!$B$5:$H$29,7,FALSE),0)</x:f>
        <x:v>0</x:v>
      </x:c>
      <x:c r="I2906">
        <x:f t="shared" si="48"/>
        <x:v>6620</x:v>
      </x:c>
    </x:row>
    <x:row r="2907" spans="1:9" x14ac:dyDescent="0.15">
      <x:c r="A2907">
        <x:v>54152</x:v>
      </x:c>
      <x:c r="B2907">
        <x:v>1</x:v>
      </x:c>
      <x:c r="C2907">
        <x:v>26</x:v>
      </x:c>
      <x:c r="D2907">
        <x:f>ROUND($C2907*10*VLOOKUP($B2907,Sheet2!$J$5:$K$7,2,FALSE)*VLOOKUP(Sheet1!$A2907,Sheet2!$B$5:$H$29,3,FALSE),0)</x:f>
        <x:v>0</x:v>
      </x:c>
      <x:c r="E2907">
        <x:f>ROUND($C2907*10*VLOOKUP($B2907,Sheet2!$J$5:$K$7,2,FALSE)*VLOOKUP(Sheet1!$A2907,Sheet2!$B$5:$H$29,4,FALSE),0)</x:f>
        <x:v>52</x:v>
      </x:c>
      <x:c r="F2907">
        <x:f>ROUND($C2907*10*VLOOKUP($B2907,Sheet2!$J$5:$K$7,2,FALSE)*VLOOKUP(Sheet1!$A2907,Sheet2!$B$5:$H$29,5,FALSE),0)</x:f>
        <x:v>0</x:v>
      </x:c>
      <x:c r="G2907">
        <x:f>ROUND($C2907*10*VLOOKUP($B2907,Sheet2!$J$5:$K$7,2,FALSE)*VLOOKUP(Sheet1!$A2907,Sheet2!$B$5:$H$29,6,FALSE),0)</x:f>
        <x:v>125</x:v>
      </x:c>
      <x:c r="H2907">
        <x:f>ROUND($C2907*10*VLOOKUP($B2907,Sheet2!$J$5:$K$7,2,FALSE)*VLOOKUP(Sheet1!$A2907,Sheet2!$B$5:$H$29,7,FALSE),0)</x:f>
        <x:v>0</x:v>
      </x:c>
      <x:c r="I2907">
        <x:f t="shared" si="48"/>
        <x:v>7120</x:v>
      </x:c>
    </x:row>
    <x:row r="2908" spans="1:9" x14ac:dyDescent="0.15">
      <x:c r="A2908">
        <x:v>54152</x:v>
      </x:c>
      <x:c r="B2908">
        <x:v>1</x:v>
      </x:c>
      <x:c r="C2908">
        <x:v>27</x:v>
      </x:c>
      <x:c r="D2908">
        <x:f>ROUND($C2908*10*VLOOKUP($B2908,Sheet2!$J$5:$K$7,2,FALSE)*VLOOKUP(Sheet1!$A2908,Sheet2!$B$5:$H$29,3,FALSE),0)</x:f>
        <x:v>0</x:v>
      </x:c>
      <x:c r="E2908">
        <x:f>ROUND($C2908*10*VLOOKUP($B2908,Sheet2!$J$5:$K$7,2,FALSE)*VLOOKUP(Sheet1!$A2908,Sheet2!$B$5:$H$29,4,FALSE),0)</x:f>
        <x:v>54</x:v>
      </x:c>
      <x:c r="F2908">
        <x:f>ROUND($C2908*10*VLOOKUP($B2908,Sheet2!$J$5:$K$7,2,FALSE)*VLOOKUP(Sheet1!$A2908,Sheet2!$B$5:$H$29,5,FALSE),0)</x:f>
        <x:v>0</x:v>
      </x:c>
      <x:c r="G2908">
        <x:f>ROUND($C2908*10*VLOOKUP($B2908,Sheet2!$J$5:$K$7,2,FALSE)*VLOOKUP(Sheet1!$A2908,Sheet2!$B$5:$H$29,6,FALSE),0)</x:f>
        <x:v>130</x:v>
      </x:c>
      <x:c r="H2908">
        <x:f>ROUND($C2908*10*VLOOKUP($B2908,Sheet2!$J$5:$K$7,2,FALSE)*VLOOKUP(Sheet1!$A2908,Sheet2!$B$5:$H$29,7,FALSE),0)</x:f>
        <x:v>0</x:v>
      </x:c>
      <x:c r="I2908">
        <x:f t="shared" si="48"/>
        <x:v>7640</x:v>
      </x:c>
    </x:row>
    <x:row r="2909" spans="1:9" x14ac:dyDescent="0.15">
      <x:c r="A2909">
        <x:v>54152</x:v>
      </x:c>
      <x:c r="B2909">
        <x:v>1</x:v>
      </x:c>
      <x:c r="C2909">
        <x:v>28</x:v>
      </x:c>
      <x:c r="D2909">
        <x:f>ROUND($C2909*10*VLOOKUP($B2909,Sheet2!$J$5:$K$7,2,FALSE)*VLOOKUP(Sheet1!$A2909,Sheet2!$B$5:$H$29,3,FALSE),0)</x:f>
        <x:v>0</x:v>
      </x:c>
      <x:c r="E2909">
        <x:f>ROUND($C2909*10*VLOOKUP($B2909,Sheet2!$J$5:$K$7,2,FALSE)*VLOOKUP(Sheet1!$A2909,Sheet2!$B$5:$H$29,4,FALSE),0)</x:f>
        <x:v>56</x:v>
      </x:c>
      <x:c r="F2909">
        <x:f>ROUND($C2909*10*VLOOKUP($B2909,Sheet2!$J$5:$K$7,2,FALSE)*VLOOKUP(Sheet1!$A2909,Sheet2!$B$5:$H$29,5,FALSE),0)</x:f>
        <x:v>0</x:v>
      </x:c>
      <x:c r="G2909">
        <x:f>ROUND($C2909*10*VLOOKUP($B2909,Sheet2!$J$5:$K$7,2,FALSE)*VLOOKUP(Sheet1!$A2909,Sheet2!$B$5:$H$29,6,FALSE),0)</x:f>
        <x:v>134</x:v>
      </x:c>
      <x:c r="H2909">
        <x:f>ROUND($C2909*10*VLOOKUP($B2909,Sheet2!$J$5:$K$7,2,FALSE)*VLOOKUP(Sheet1!$A2909,Sheet2!$B$5:$H$29,7,FALSE),0)</x:f>
        <x:v>0</x:v>
      </x:c>
      <x:c r="I2909">
        <x:f t="shared" si="48"/>
        <x:v>8180</x:v>
      </x:c>
    </x:row>
    <x:row r="2910" spans="1:9" x14ac:dyDescent="0.15">
      <x:c r="A2910">
        <x:v>54152</x:v>
      </x:c>
      <x:c r="B2910">
        <x:v>1</x:v>
      </x:c>
      <x:c r="C2910">
        <x:v>29</x:v>
      </x:c>
      <x:c r="D2910">
        <x:f>ROUND($C2910*10*VLOOKUP($B2910,Sheet2!$J$5:$K$7,2,FALSE)*VLOOKUP(Sheet1!$A2910,Sheet2!$B$5:$H$29,3,FALSE),0)</x:f>
        <x:v>0</x:v>
      </x:c>
      <x:c r="E2910">
        <x:f>ROUND($C2910*10*VLOOKUP($B2910,Sheet2!$J$5:$K$7,2,FALSE)*VLOOKUP(Sheet1!$A2910,Sheet2!$B$5:$H$29,4,FALSE),0)</x:f>
        <x:v>58</x:v>
      </x:c>
      <x:c r="F2910">
        <x:f>ROUND($C2910*10*VLOOKUP($B2910,Sheet2!$J$5:$K$7,2,FALSE)*VLOOKUP(Sheet1!$A2910,Sheet2!$B$5:$H$29,5,FALSE),0)</x:f>
        <x:v>0</x:v>
      </x:c>
      <x:c r="G2910">
        <x:f>ROUND($C2910*10*VLOOKUP($B2910,Sheet2!$J$5:$K$7,2,FALSE)*VLOOKUP(Sheet1!$A2910,Sheet2!$B$5:$H$29,6,FALSE),0)</x:f>
        <x:v>139</x:v>
      </x:c>
      <x:c r="H2910">
        <x:f>ROUND($C2910*10*VLOOKUP($B2910,Sheet2!$J$5:$K$7,2,FALSE)*VLOOKUP(Sheet1!$A2910,Sheet2!$B$5:$H$29,7,FALSE),0)</x:f>
        <x:v>0</x:v>
      </x:c>
      <x:c r="I2910">
        <x:f t="shared" si="48"/>
        <x:v>8730</x:v>
      </x:c>
    </x:row>
    <x:row r="2911" spans="1:9" x14ac:dyDescent="0.15">
      <x:c r="A2911">
        <x:v>54152</x:v>
      </x:c>
      <x:c r="B2911">
        <x:v>1</x:v>
      </x:c>
      <x:c r="C2911">
        <x:v>30</x:v>
      </x:c>
      <x:c r="D2911">
        <x:f>ROUND($C2911*10*VLOOKUP($B2911,Sheet2!$J$5:$K$7,2,FALSE)*VLOOKUP(Sheet1!$A2911,Sheet2!$B$5:$H$29,3,FALSE),0)</x:f>
        <x:v>0</x:v>
      </x:c>
      <x:c r="E2911">
        <x:f>ROUND($C2911*10*VLOOKUP($B2911,Sheet2!$J$5:$K$7,2,FALSE)*VLOOKUP(Sheet1!$A2911,Sheet2!$B$5:$H$29,4,FALSE),0)</x:f>
        <x:v>60</x:v>
      </x:c>
      <x:c r="F2911">
        <x:f>ROUND($C2911*10*VLOOKUP($B2911,Sheet2!$J$5:$K$7,2,FALSE)*VLOOKUP(Sheet1!$A2911,Sheet2!$B$5:$H$29,5,FALSE),0)</x:f>
        <x:v>0</x:v>
      </x:c>
      <x:c r="G2911">
        <x:f>ROUND($C2911*10*VLOOKUP($B2911,Sheet2!$J$5:$K$7,2,FALSE)*VLOOKUP(Sheet1!$A2911,Sheet2!$B$5:$H$29,6,FALSE),0)</x:f>
        <x:v>144</x:v>
      </x:c>
      <x:c r="H2911">
        <x:f>ROUND($C2911*10*VLOOKUP($B2911,Sheet2!$J$5:$K$7,2,FALSE)*VLOOKUP(Sheet1!$A2911,Sheet2!$B$5:$H$29,7,FALSE),0)</x:f>
        <x:v>0</x:v>
      </x:c>
      <x:c r="I2911">
        <x:f t="shared" si="48"/>
        <x:v>9290</x:v>
      </x:c>
    </x:row>
    <x:row r="2912" spans="1:9" x14ac:dyDescent="0.15">
      <x:c r="A2912">
        <x:v>54152</x:v>
      </x:c>
      <x:c r="B2912">
        <x:v>1</x:v>
      </x:c>
      <x:c r="C2912">
        <x:v>31</x:v>
      </x:c>
      <x:c r="D2912">
        <x:f>ROUND($C2912*10*VLOOKUP($B2912,Sheet2!$J$5:$K$7,2,FALSE)*VLOOKUP(Sheet1!$A2912,Sheet2!$B$5:$H$29,3,FALSE),0)</x:f>
        <x:v>0</x:v>
      </x:c>
      <x:c r="E2912">
        <x:f>ROUND($C2912*10*VLOOKUP($B2912,Sheet2!$J$5:$K$7,2,FALSE)*VLOOKUP(Sheet1!$A2912,Sheet2!$B$5:$H$29,4,FALSE),0)</x:f>
        <x:v>62</x:v>
      </x:c>
      <x:c r="F2912">
        <x:f>ROUND($C2912*10*VLOOKUP($B2912,Sheet2!$J$5:$K$7,2,FALSE)*VLOOKUP(Sheet1!$A2912,Sheet2!$B$5:$H$29,5,FALSE),0)</x:f>
        <x:v>0</x:v>
      </x:c>
      <x:c r="G2912">
        <x:f>ROUND($C2912*10*VLOOKUP($B2912,Sheet2!$J$5:$K$7,2,FALSE)*VLOOKUP(Sheet1!$A2912,Sheet2!$B$5:$H$29,6,FALSE),0)</x:f>
        <x:v>149</x:v>
      </x:c>
      <x:c r="H2912">
        <x:f>ROUND($C2912*10*VLOOKUP($B2912,Sheet2!$J$5:$K$7,2,FALSE)*VLOOKUP(Sheet1!$A2912,Sheet2!$B$5:$H$29,7,FALSE),0)</x:f>
        <x:v>0</x:v>
      </x:c>
      <x:c r="I2912">
        <x:f t="shared" si="48"/>
        <x:v>9880</x:v>
      </x:c>
    </x:row>
    <x:row r="2913" spans="1:9" x14ac:dyDescent="0.15">
      <x:c r="A2913">
        <x:v>54152</x:v>
      </x:c>
      <x:c r="B2913">
        <x:v>1</x:v>
      </x:c>
      <x:c r="C2913">
        <x:v>32</x:v>
      </x:c>
      <x:c r="D2913">
        <x:f>ROUND($C2913*10*VLOOKUP($B2913,Sheet2!$J$5:$K$7,2,FALSE)*VLOOKUP(Sheet1!$A2913,Sheet2!$B$5:$H$29,3,FALSE),0)</x:f>
        <x:v>0</x:v>
      </x:c>
      <x:c r="E2913">
        <x:f>ROUND($C2913*10*VLOOKUP($B2913,Sheet2!$J$5:$K$7,2,FALSE)*VLOOKUP(Sheet1!$A2913,Sheet2!$B$5:$H$29,4,FALSE),0)</x:f>
        <x:v>64</x:v>
      </x:c>
      <x:c r="F2913">
        <x:f>ROUND($C2913*10*VLOOKUP($B2913,Sheet2!$J$5:$K$7,2,FALSE)*VLOOKUP(Sheet1!$A2913,Sheet2!$B$5:$H$29,5,FALSE),0)</x:f>
        <x:v>0</x:v>
      </x:c>
      <x:c r="G2913">
        <x:f>ROUND($C2913*10*VLOOKUP($B2913,Sheet2!$J$5:$K$7,2,FALSE)*VLOOKUP(Sheet1!$A2913,Sheet2!$B$5:$H$29,6,FALSE),0)</x:f>
        <x:v>154</x:v>
      </x:c>
      <x:c r="H2913">
        <x:f>ROUND($C2913*10*VLOOKUP($B2913,Sheet2!$J$5:$K$7,2,FALSE)*VLOOKUP(Sheet1!$A2913,Sheet2!$B$5:$H$29,7,FALSE),0)</x:f>
        <x:v>0</x:v>
      </x:c>
      <x:c r="I2913">
        <x:f t="shared" si="48"/>
        <x:v>10470</x:v>
      </x:c>
    </x:row>
    <x:row r="2914" spans="1:9" x14ac:dyDescent="0.15">
      <x:c r="A2914">
        <x:v>54152</x:v>
      </x:c>
      <x:c r="B2914">
        <x:v>1</x:v>
      </x:c>
      <x:c r="C2914">
        <x:v>33</x:v>
      </x:c>
      <x:c r="D2914">
        <x:f>ROUND($C2914*10*VLOOKUP($B2914,Sheet2!$J$5:$K$7,2,FALSE)*VLOOKUP(Sheet1!$A2914,Sheet2!$B$5:$H$29,3,FALSE),0)</x:f>
        <x:v>0</x:v>
      </x:c>
      <x:c r="E2914">
        <x:f>ROUND($C2914*10*VLOOKUP($B2914,Sheet2!$J$5:$K$7,2,FALSE)*VLOOKUP(Sheet1!$A2914,Sheet2!$B$5:$H$29,4,FALSE),0)</x:f>
        <x:v>66</x:v>
      </x:c>
      <x:c r="F2914">
        <x:f>ROUND($C2914*10*VLOOKUP($B2914,Sheet2!$J$5:$K$7,2,FALSE)*VLOOKUP(Sheet1!$A2914,Sheet2!$B$5:$H$29,5,FALSE),0)</x:f>
        <x:v>0</x:v>
      </x:c>
      <x:c r="G2914">
        <x:f>ROUND($C2914*10*VLOOKUP($B2914,Sheet2!$J$5:$K$7,2,FALSE)*VLOOKUP(Sheet1!$A2914,Sheet2!$B$5:$H$29,6,FALSE),0)</x:f>
        <x:v>158</x:v>
      </x:c>
      <x:c r="H2914">
        <x:f>ROUND($C2914*10*VLOOKUP($B2914,Sheet2!$J$5:$K$7,2,FALSE)*VLOOKUP(Sheet1!$A2914,Sheet2!$B$5:$H$29,7,FALSE),0)</x:f>
        <x:v>0</x:v>
      </x:c>
      <x:c r="I2914">
        <x:f t="shared" si="48"/>
        <x:v>11090</x:v>
      </x:c>
    </x:row>
    <x:row r="2915" spans="1:9" x14ac:dyDescent="0.15">
      <x:c r="A2915">
        <x:v>54152</x:v>
      </x:c>
      <x:c r="B2915">
        <x:v>1</x:v>
      </x:c>
      <x:c r="C2915">
        <x:v>34</x:v>
      </x:c>
      <x:c r="D2915">
        <x:f>ROUND($C2915*10*VLOOKUP($B2915,Sheet2!$J$5:$K$7,2,FALSE)*VLOOKUP(Sheet1!$A2915,Sheet2!$B$5:$H$29,3,FALSE),0)</x:f>
        <x:v>0</x:v>
      </x:c>
      <x:c r="E2915">
        <x:f>ROUND($C2915*10*VLOOKUP($B2915,Sheet2!$J$5:$K$7,2,FALSE)*VLOOKUP(Sheet1!$A2915,Sheet2!$B$5:$H$29,4,FALSE),0)</x:f>
        <x:v>68</x:v>
      </x:c>
      <x:c r="F2915">
        <x:f>ROUND($C2915*10*VLOOKUP($B2915,Sheet2!$J$5:$K$7,2,FALSE)*VLOOKUP(Sheet1!$A2915,Sheet2!$B$5:$H$29,5,FALSE),0)</x:f>
        <x:v>0</x:v>
      </x:c>
      <x:c r="G2915">
        <x:f>ROUND($C2915*10*VLOOKUP($B2915,Sheet2!$J$5:$K$7,2,FALSE)*VLOOKUP(Sheet1!$A2915,Sheet2!$B$5:$H$29,6,FALSE),0)</x:f>
        <x:v>163</x:v>
      </x:c>
      <x:c r="H2915">
        <x:f>ROUND($C2915*10*VLOOKUP($B2915,Sheet2!$J$5:$K$7,2,FALSE)*VLOOKUP(Sheet1!$A2915,Sheet2!$B$5:$H$29,7,FALSE),0)</x:f>
        <x:v>0</x:v>
      </x:c>
      <x:c r="I2915">
        <x:f t="shared" si="48"/>
        <x:v>11720</x:v>
      </x:c>
    </x:row>
    <x:row r="2916" spans="1:9" x14ac:dyDescent="0.15">
      <x:c r="A2916">
        <x:v>54152</x:v>
      </x:c>
      <x:c r="B2916">
        <x:v>1</x:v>
      </x:c>
      <x:c r="C2916">
        <x:v>35</x:v>
      </x:c>
      <x:c r="D2916">
        <x:f>ROUND($C2916*10*VLOOKUP($B2916,Sheet2!$J$5:$K$7,2,FALSE)*VLOOKUP(Sheet1!$A2916,Sheet2!$B$5:$H$29,3,FALSE),0)</x:f>
        <x:v>0</x:v>
      </x:c>
      <x:c r="E2916">
        <x:f>ROUND($C2916*10*VLOOKUP($B2916,Sheet2!$J$5:$K$7,2,FALSE)*VLOOKUP(Sheet1!$A2916,Sheet2!$B$5:$H$29,4,FALSE),0)</x:f>
        <x:v>70</x:v>
      </x:c>
      <x:c r="F2916">
        <x:f>ROUND($C2916*10*VLOOKUP($B2916,Sheet2!$J$5:$K$7,2,FALSE)*VLOOKUP(Sheet1!$A2916,Sheet2!$B$5:$H$29,5,FALSE),0)</x:f>
        <x:v>0</x:v>
      </x:c>
      <x:c r="G2916">
        <x:f>ROUND($C2916*10*VLOOKUP($B2916,Sheet2!$J$5:$K$7,2,FALSE)*VLOOKUP(Sheet1!$A2916,Sheet2!$B$5:$H$29,6,FALSE),0)</x:f>
        <x:v>168</x:v>
      </x:c>
      <x:c r="H2916">
        <x:f>ROUND($C2916*10*VLOOKUP($B2916,Sheet2!$J$5:$K$7,2,FALSE)*VLOOKUP(Sheet1!$A2916,Sheet2!$B$5:$H$29,7,FALSE),0)</x:f>
        <x:v>0</x:v>
      </x:c>
      <x:c r="I2916">
        <x:f t="shared" si="48"/>
        <x:v>12360</x:v>
      </x:c>
    </x:row>
    <x:row r="2917" spans="1:9" x14ac:dyDescent="0.15">
      <x:c r="A2917">
        <x:v>54152</x:v>
      </x:c>
      <x:c r="B2917">
        <x:v>1</x:v>
      </x:c>
      <x:c r="C2917">
        <x:v>36</x:v>
      </x:c>
      <x:c r="D2917">
        <x:f>ROUND($C2917*10*VLOOKUP($B2917,Sheet2!$J$5:$K$7,2,FALSE)*VLOOKUP(Sheet1!$A2917,Sheet2!$B$5:$H$29,3,FALSE),0)</x:f>
        <x:v>0</x:v>
      </x:c>
      <x:c r="E2917">
        <x:f>ROUND($C2917*10*VLOOKUP($B2917,Sheet2!$J$5:$K$7,2,FALSE)*VLOOKUP(Sheet1!$A2917,Sheet2!$B$5:$H$29,4,FALSE),0)</x:f>
        <x:v>72</x:v>
      </x:c>
      <x:c r="F2917">
        <x:f>ROUND($C2917*10*VLOOKUP($B2917,Sheet2!$J$5:$K$7,2,FALSE)*VLOOKUP(Sheet1!$A2917,Sheet2!$B$5:$H$29,5,FALSE),0)</x:f>
        <x:v>0</x:v>
      </x:c>
      <x:c r="G2917">
        <x:f>ROUND($C2917*10*VLOOKUP($B2917,Sheet2!$J$5:$K$7,2,FALSE)*VLOOKUP(Sheet1!$A2917,Sheet2!$B$5:$H$29,6,FALSE),0)</x:f>
        <x:v>173</x:v>
      </x:c>
      <x:c r="H2917">
        <x:f>ROUND($C2917*10*VLOOKUP($B2917,Sheet2!$J$5:$K$7,2,FALSE)*VLOOKUP(Sheet1!$A2917,Sheet2!$B$5:$H$29,7,FALSE),0)</x:f>
        <x:v>0</x:v>
      </x:c>
      <x:c r="I2917">
        <x:f t="shared" si="48"/>
        <x:v>13020</x:v>
      </x:c>
    </x:row>
    <x:row r="2918" spans="1:9" x14ac:dyDescent="0.15">
      <x:c r="A2918">
        <x:v>54152</x:v>
      </x:c>
      <x:c r="B2918">
        <x:v>1</x:v>
      </x:c>
      <x:c r="C2918">
        <x:v>37</x:v>
      </x:c>
      <x:c r="D2918">
        <x:f>ROUND($C2918*10*VLOOKUP($B2918,Sheet2!$J$5:$K$7,2,FALSE)*VLOOKUP(Sheet1!$A2918,Sheet2!$B$5:$H$29,3,FALSE),0)</x:f>
        <x:v>0</x:v>
      </x:c>
      <x:c r="E2918">
        <x:f>ROUND($C2918*10*VLOOKUP($B2918,Sheet2!$J$5:$K$7,2,FALSE)*VLOOKUP(Sheet1!$A2918,Sheet2!$B$5:$H$29,4,FALSE),0)</x:f>
        <x:v>74</x:v>
      </x:c>
      <x:c r="F2918">
        <x:f>ROUND($C2918*10*VLOOKUP($B2918,Sheet2!$J$5:$K$7,2,FALSE)*VLOOKUP(Sheet1!$A2918,Sheet2!$B$5:$H$29,5,FALSE),0)</x:f>
        <x:v>0</x:v>
      </x:c>
      <x:c r="G2918">
        <x:f>ROUND($C2918*10*VLOOKUP($B2918,Sheet2!$J$5:$K$7,2,FALSE)*VLOOKUP(Sheet1!$A2918,Sheet2!$B$5:$H$29,6,FALSE),0)</x:f>
        <x:v>178</x:v>
      </x:c>
      <x:c r="H2918">
        <x:f>ROUND($C2918*10*VLOOKUP($B2918,Sheet2!$J$5:$K$7,2,FALSE)*VLOOKUP(Sheet1!$A2918,Sheet2!$B$5:$H$29,7,FALSE),0)</x:f>
        <x:v>0</x:v>
      </x:c>
      <x:c r="I2918">
        <x:f t="shared" si="48"/>
        <x:v>13700</x:v>
      </x:c>
    </x:row>
    <x:row r="2919" spans="1:9" x14ac:dyDescent="0.15">
      <x:c r="A2919">
        <x:v>54152</x:v>
      </x:c>
      <x:c r="B2919">
        <x:v>1</x:v>
      </x:c>
      <x:c r="C2919">
        <x:v>38</x:v>
      </x:c>
      <x:c r="D2919">
        <x:f>ROUND($C2919*10*VLOOKUP($B2919,Sheet2!$J$5:$K$7,2,FALSE)*VLOOKUP(Sheet1!$A2919,Sheet2!$B$5:$H$29,3,FALSE),0)</x:f>
        <x:v>0</x:v>
      </x:c>
      <x:c r="E2919">
        <x:f>ROUND($C2919*10*VLOOKUP($B2919,Sheet2!$J$5:$K$7,2,FALSE)*VLOOKUP(Sheet1!$A2919,Sheet2!$B$5:$H$29,4,FALSE),0)</x:f>
        <x:v>76</x:v>
      </x:c>
      <x:c r="F2919">
        <x:f>ROUND($C2919*10*VLOOKUP($B2919,Sheet2!$J$5:$K$7,2,FALSE)*VLOOKUP(Sheet1!$A2919,Sheet2!$B$5:$H$29,5,FALSE),0)</x:f>
        <x:v>0</x:v>
      </x:c>
      <x:c r="G2919">
        <x:f>ROUND($C2919*10*VLOOKUP($B2919,Sheet2!$J$5:$K$7,2,FALSE)*VLOOKUP(Sheet1!$A2919,Sheet2!$B$5:$H$29,6,FALSE),0)</x:f>
        <x:v>182</x:v>
      </x:c>
      <x:c r="H2919">
        <x:f>ROUND($C2919*10*VLOOKUP($B2919,Sheet2!$J$5:$K$7,2,FALSE)*VLOOKUP(Sheet1!$A2919,Sheet2!$B$5:$H$29,7,FALSE),0)</x:f>
        <x:v>0</x:v>
      </x:c>
      <x:c r="I2919">
        <x:f t="shared" si="48"/>
        <x:v>14390</x:v>
      </x:c>
    </x:row>
    <x:row r="2920" spans="1:9" x14ac:dyDescent="0.15">
      <x:c r="A2920">
        <x:v>54152</x:v>
      </x:c>
      <x:c r="B2920">
        <x:v>1</x:v>
      </x:c>
      <x:c r="C2920">
        <x:v>39</x:v>
      </x:c>
      <x:c r="D2920">
        <x:f>ROUND($C2920*10*VLOOKUP($B2920,Sheet2!$J$5:$K$7,2,FALSE)*VLOOKUP(Sheet1!$A2920,Sheet2!$B$5:$H$29,3,FALSE),0)</x:f>
        <x:v>0</x:v>
      </x:c>
      <x:c r="E2920">
        <x:f>ROUND($C2920*10*VLOOKUP($B2920,Sheet2!$J$5:$K$7,2,FALSE)*VLOOKUP(Sheet1!$A2920,Sheet2!$B$5:$H$29,4,FALSE),0)</x:f>
        <x:v>78</x:v>
      </x:c>
      <x:c r="F2920">
        <x:f>ROUND($C2920*10*VLOOKUP($B2920,Sheet2!$J$5:$K$7,2,FALSE)*VLOOKUP(Sheet1!$A2920,Sheet2!$B$5:$H$29,5,FALSE),0)</x:f>
        <x:v>0</x:v>
      </x:c>
      <x:c r="G2920">
        <x:f>ROUND($C2920*10*VLOOKUP($B2920,Sheet2!$J$5:$K$7,2,FALSE)*VLOOKUP(Sheet1!$A2920,Sheet2!$B$5:$H$29,6,FALSE),0)</x:f>
        <x:v>187</x:v>
      </x:c>
      <x:c r="H2920">
        <x:f>ROUND($C2920*10*VLOOKUP($B2920,Sheet2!$J$5:$K$7,2,FALSE)*VLOOKUP(Sheet1!$A2920,Sheet2!$B$5:$H$29,7,FALSE),0)</x:f>
        <x:v>0</x:v>
      </x:c>
      <x:c r="I2920">
        <x:f t="shared" si="48"/>
        <x:v>15100</x:v>
      </x:c>
    </x:row>
    <x:row r="2921" spans="1:9" x14ac:dyDescent="0.15">
      <x:c r="A2921">
        <x:v>54152</x:v>
      </x:c>
      <x:c r="B2921">
        <x:v>1</x:v>
      </x:c>
      <x:c r="C2921">
        <x:v>40</x:v>
      </x:c>
      <x:c r="D2921">
        <x:f>ROUND($C2921*10*VLOOKUP($B2921,Sheet2!$J$5:$K$7,2,FALSE)*VLOOKUP(Sheet1!$A2921,Sheet2!$B$5:$H$29,3,FALSE),0)</x:f>
        <x:v>0</x:v>
      </x:c>
      <x:c r="E2921">
        <x:f>ROUND($C2921*10*VLOOKUP($B2921,Sheet2!$J$5:$K$7,2,FALSE)*VLOOKUP(Sheet1!$A2921,Sheet2!$B$5:$H$29,4,FALSE),0)</x:f>
        <x:v>80</x:v>
      </x:c>
      <x:c r="F2921">
        <x:f>ROUND($C2921*10*VLOOKUP($B2921,Sheet2!$J$5:$K$7,2,FALSE)*VLOOKUP(Sheet1!$A2921,Sheet2!$B$5:$H$29,5,FALSE),0)</x:f>
        <x:v>0</x:v>
      </x:c>
      <x:c r="G2921">
        <x:f>ROUND($C2921*10*VLOOKUP($B2921,Sheet2!$J$5:$K$7,2,FALSE)*VLOOKUP(Sheet1!$A2921,Sheet2!$B$5:$H$29,6,FALSE),0)</x:f>
        <x:v>192</x:v>
      </x:c>
      <x:c r="H2921">
        <x:f>ROUND($C2921*10*VLOOKUP($B2921,Sheet2!$J$5:$K$7,2,FALSE)*VLOOKUP(Sheet1!$A2921,Sheet2!$B$5:$H$29,7,FALSE),0)</x:f>
        <x:v>0</x:v>
      </x:c>
      <x:c r="I2921">
        <x:f t="shared" si="48"/>
        <x:v>15820</x:v>
      </x:c>
    </x:row>
    <x:row r="2922" spans="1:9" x14ac:dyDescent="0.15">
      <x:c r="A2922">
        <x:v>54152</x:v>
      </x:c>
      <x:c r="B2922">
        <x:v>1</x:v>
      </x:c>
      <x:c r="C2922">
        <x:v>41</x:v>
      </x:c>
      <x:c r="D2922">
        <x:f>ROUND($C2922*10*VLOOKUP($B2922,Sheet2!$J$5:$K$7,2,FALSE)*VLOOKUP(Sheet1!$A2922,Sheet2!$B$5:$H$29,3,FALSE),0)</x:f>
        <x:v>0</x:v>
      </x:c>
      <x:c r="E2922">
        <x:f>ROUND($C2922*10*VLOOKUP($B2922,Sheet2!$J$5:$K$7,2,FALSE)*VLOOKUP(Sheet1!$A2922,Sheet2!$B$5:$H$29,4,FALSE),0)</x:f>
        <x:v>82</x:v>
      </x:c>
      <x:c r="F2922">
        <x:f>ROUND($C2922*10*VLOOKUP($B2922,Sheet2!$J$5:$K$7,2,FALSE)*VLOOKUP(Sheet1!$A2922,Sheet2!$B$5:$H$29,5,FALSE),0)</x:f>
        <x:v>0</x:v>
      </x:c>
      <x:c r="G2922">
        <x:f>ROUND($C2922*10*VLOOKUP($B2922,Sheet2!$J$5:$K$7,2,FALSE)*VLOOKUP(Sheet1!$A2922,Sheet2!$B$5:$H$29,6,FALSE),0)</x:f>
        <x:v>197</x:v>
      </x:c>
      <x:c r="H2922">
        <x:f>ROUND($C2922*10*VLOOKUP($B2922,Sheet2!$J$5:$K$7,2,FALSE)*VLOOKUP(Sheet1!$A2922,Sheet2!$B$5:$H$29,7,FALSE),0)</x:f>
        <x:v>0</x:v>
      </x:c>
      <x:c r="I2922">
        <x:f t="shared" si="48"/>
        <x:v>16560</x:v>
      </x:c>
    </x:row>
    <x:row r="2923" spans="1:9" x14ac:dyDescent="0.15">
      <x:c r="A2923">
        <x:v>54152</x:v>
      </x:c>
      <x:c r="B2923">
        <x:v>1</x:v>
      </x:c>
      <x:c r="C2923">
        <x:v>42</x:v>
      </x:c>
      <x:c r="D2923">
        <x:f>ROUND($C2923*10*VLOOKUP($B2923,Sheet2!$J$5:$K$7,2,FALSE)*VLOOKUP(Sheet1!$A2923,Sheet2!$B$5:$H$29,3,FALSE),0)</x:f>
        <x:v>0</x:v>
      </x:c>
      <x:c r="E2923">
        <x:f>ROUND($C2923*10*VLOOKUP($B2923,Sheet2!$J$5:$K$7,2,FALSE)*VLOOKUP(Sheet1!$A2923,Sheet2!$B$5:$H$29,4,FALSE),0)</x:f>
        <x:v>84</x:v>
      </x:c>
      <x:c r="F2923">
        <x:f>ROUND($C2923*10*VLOOKUP($B2923,Sheet2!$J$5:$K$7,2,FALSE)*VLOOKUP(Sheet1!$A2923,Sheet2!$B$5:$H$29,5,FALSE),0)</x:f>
        <x:v>0</x:v>
      </x:c>
      <x:c r="G2923">
        <x:f>ROUND($C2923*10*VLOOKUP($B2923,Sheet2!$J$5:$K$7,2,FALSE)*VLOOKUP(Sheet1!$A2923,Sheet2!$B$5:$H$29,6,FALSE),0)</x:f>
        <x:v>202</x:v>
      </x:c>
      <x:c r="H2923">
        <x:f>ROUND($C2923*10*VLOOKUP($B2923,Sheet2!$J$5:$K$7,2,FALSE)*VLOOKUP(Sheet1!$A2923,Sheet2!$B$5:$H$29,7,FALSE),0)</x:f>
        <x:v>0</x:v>
      </x:c>
      <x:c r="I2923">
        <x:f t="shared" si="48"/>
        <x:v>17310</x:v>
      </x:c>
    </x:row>
    <x:row r="2924" spans="1:9" x14ac:dyDescent="0.15">
      <x:c r="A2924">
        <x:v>54152</x:v>
      </x:c>
      <x:c r="B2924">
        <x:v>1</x:v>
      </x:c>
      <x:c r="C2924">
        <x:v>43</x:v>
      </x:c>
      <x:c r="D2924">
        <x:f>ROUND($C2924*10*VLOOKUP($B2924,Sheet2!$J$5:$K$7,2,FALSE)*VLOOKUP(Sheet1!$A2924,Sheet2!$B$5:$H$29,3,FALSE),0)</x:f>
        <x:v>0</x:v>
      </x:c>
      <x:c r="E2924">
        <x:f>ROUND($C2924*10*VLOOKUP($B2924,Sheet2!$J$5:$K$7,2,FALSE)*VLOOKUP(Sheet1!$A2924,Sheet2!$B$5:$H$29,4,FALSE),0)</x:f>
        <x:v>86</x:v>
      </x:c>
      <x:c r="F2924">
        <x:f>ROUND($C2924*10*VLOOKUP($B2924,Sheet2!$J$5:$K$7,2,FALSE)*VLOOKUP(Sheet1!$A2924,Sheet2!$B$5:$H$29,5,FALSE),0)</x:f>
        <x:v>0</x:v>
      </x:c>
      <x:c r="G2924">
        <x:f>ROUND($C2924*10*VLOOKUP($B2924,Sheet2!$J$5:$K$7,2,FALSE)*VLOOKUP(Sheet1!$A2924,Sheet2!$B$5:$H$29,6,FALSE),0)</x:f>
        <x:v>206</x:v>
      </x:c>
      <x:c r="H2924">
        <x:f>ROUND($C2924*10*VLOOKUP($B2924,Sheet2!$J$5:$K$7,2,FALSE)*VLOOKUP(Sheet1!$A2924,Sheet2!$B$5:$H$29,7,FALSE),0)</x:f>
        <x:v>0</x:v>
      </x:c>
      <x:c r="I2924">
        <x:f t="shared" si="48"/>
        <x:v>18070</x:v>
      </x:c>
    </x:row>
    <x:row r="2925" spans="1:9" x14ac:dyDescent="0.15">
      <x:c r="A2925">
        <x:v>54152</x:v>
      </x:c>
      <x:c r="B2925">
        <x:v>1</x:v>
      </x:c>
      <x:c r="C2925">
        <x:v>44</x:v>
      </x:c>
      <x:c r="D2925">
        <x:f>ROUND($C2925*10*VLOOKUP($B2925,Sheet2!$J$5:$K$7,2,FALSE)*VLOOKUP(Sheet1!$A2925,Sheet2!$B$5:$H$29,3,FALSE),0)</x:f>
        <x:v>0</x:v>
      </x:c>
      <x:c r="E2925">
        <x:f>ROUND($C2925*10*VLOOKUP($B2925,Sheet2!$J$5:$K$7,2,FALSE)*VLOOKUP(Sheet1!$A2925,Sheet2!$B$5:$H$29,4,FALSE),0)</x:f>
        <x:v>88</x:v>
      </x:c>
      <x:c r="F2925">
        <x:f>ROUND($C2925*10*VLOOKUP($B2925,Sheet2!$J$5:$K$7,2,FALSE)*VLOOKUP(Sheet1!$A2925,Sheet2!$B$5:$H$29,5,FALSE),0)</x:f>
        <x:v>0</x:v>
      </x:c>
      <x:c r="G2925">
        <x:f>ROUND($C2925*10*VLOOKUP($B2925,Sheet2!$J$5:$K$7,2,FALSE)*VLOOKUP(Sheet1!$A2925,Sheet2!$B$5:$H$29,6,FALSE),0)</x:f>
        <x:v>211</x:v>
      </x:c>
      <x:c r="H2925">
        <x:f>ROUND($C2925*10*VLOOKUP($B2925,Sheet2!$J$5:$K$7,2,FALSE)*VLOOKUP(Sheet1!$A2925,Sheet2!$B$5:$H$29,7,FALSE),0)</x:f>
        <x:v>0</x:v>
      </x:c>
      <x:c r="I2925">
        <x:f t="shared" si="48"/>
        <x:v>18850</x:v>
      </x:c>
    </x:row>
    <x:row r="2926" spans="1:9" x14ac:dyDescent="0.15">
      <x:c r="A2926">
        <x:v>54152</x:v>
      </x:c>
      <x:c r="B2926">
        <x:v>1</x:v>
      </x:c>
      <x:c r="C2926">
        <x:v>45</x:v>
      </x:c>
      <x:c r="D2926">
        <x:f>ROUND($C2926*10*VLOOKUP($B2926,Sheet2!$J$5:$K$7,2,FALSE)*VLOOKUP(Sheet1!$A2926,Sheet2!$B$5:$H$29,3,FALSE),0)</x:f>
        <x:v>0</x:v>
      </x:c>
      <x:c r="E2926">
        <x:f>ROUND($C2926*10*VLOOKUP($B2926,Sheet2!$J$5:$K$7,2,FALSE)*VLOOKUP(Sheet1!$A2926,Sheet2!$B$5:$H$29,4,FALSE),0)</x:f>
        <x:v>90</x:v>
      </x:c>
      <x:c r="F2926">
        <x:f>ROUND($C2926*10*VLOOKUP($B2926,Sheet2!$J$5:$K$7,2,FALSE)*VLOOKUP(Sheet1!$A2926,Sheet2!$B$5:$H$29,5,FALSE),0)</x:f>
        <x:v>0</x:v>
      </x:c>
      <x:c r="G2926">
        <x:f>ROUND($C2926*10*VLOOKUP($B2926,Sheet2!$J$5:$K$7,2,FALSE)*VLOOKUP(Sheet1!$A2926,Sheet2!$B$5:$H$29,6,FALSE),0)</x:f>
        <x:v>216</x:v>
      </x:c>
      <x:c r="H2926">
        <x:f>ROUND($C2926*10*VLOOKUP($B2926,Sheet2!$J$5:$K$7,2,FALSE)*VLOOKUP(Sheet1!$A2926,Sheet2!$B$5:$H$29,7,FALSE),0)</x:f>
        <x:v>0</x:v>
      </x:c>
      <x:c r="I2926">
        <x:f t="shared" si="48"/>
        <x:v>19650</x:v>
      </x:c>
    </x:row>
    <x:row r="2927" spans="1:9" x14ac:dyDescent="0.15">
      <x:c r="A2927">
        <x:v>54152</x:v>
      </x:c>
      <x:c r="B2927">
        <x:v>1</x:v>
      </x:c>
      <x:c r="C2927">
        <x:v>46</x:v>
      </x:c>
      <x:c r="D2927">
        <x:f>ROUND($C2927*10*VLOOKUP($B2927,Sheet2!$J$5:$K$7,2,FALSE)*VLOOKUP(Sheet1!$A2927,Sheet2!$B$5:$H$29,3,FALSE),0)</x:f>
        <x:v>0</x:v>
      </x:c>
      <x:c r="E2927">
        <x:f>ROUND($C2927*10*VLOOKUP($B2927,Sheet2!$J$5:$K$7,2,FALSE)*VLOOKUP(Sheet1!$A2927,Sheet2!$B$5:$H$29,4,FALSE),0)</x:f>
        <x:v>92</x:v>
      </x:c>
      <x:c r="F2927">
        <x:f>ROUND($C2927*10*VLOOKUP($B2927,Sheet2!$J$5:$K$7,2,FALSE)*VLOOKUP(Sheet1!$A2927,Sheet2!$B$5:$H$29,5,FALSE),0)</x:f>
        <x:v>0</x:v>
      </x:c>
      <x:c r="G2927">
        <x:f>ROUND($C2927*10*VLOOKUP($B2927,Sheet2!$J$5:$K$7,2,FALSE)*VLOOKUP(Sheet1!$A2927,Sheet2!$B$5:$H$29,6,FALSE),0)</x:f>
        <x:v>221</x:v>
      </x:c>
      <x:c r="H2927">
        <x:f>ROUND($C2927*10*VLOOKUP($B2927,Sheet2!$J$5:$K$7,2,FALSE)*VLOOKUP(Sheet1!$A2927,Sheet2!$B$5:$H$29,7,FALSE),0)</x:f>
        <x:v>0</x:v>
      </x:c>
      <x:c r="I2927">
        <x:f t="shared" si="48"/>
        <x:v>20460</x:v>
      </x:c>
    </x:row>
    <x:row r="2928" spans="1:9" x14ac:dyDescent="0.15">
      <x:c r="A2928">
        <x:v>54152</x:v>
      </x:c>
      <x:c r="B2928">
        <x:v>1</x:v>
      </x:c>
      <x:c r="C2928">
        <x:v>47</x:v>
      </x:c>
      <x:c r="D2928">
        <x:f>ROUND($C2928*10*VLOOKUP($B2928,Sheet2!$J$5:$K$7,2,FALSE)*VLOOKUP(Sheet1!$A2928,Sheet2!$B$5:$H$29,3,FALSE),0)</x:f>
        <x:v>0</x:v>
      </x:c>
      <x:c r="E2928">
        <x:f>ROUND($C2928*10*VLOOKUP($B2928,Sheet2!$J$5:$K$7,2,FALSE)*VLOOKUP(Sheet1!$A2928,Sheet2!$B$5:$H$29,4,FALSE),0)</x:f>
        <x:v>94</x:v>
      </x:c>
      <x:c r="F2928">
        <x:f>ROUND($C2928*10*VLOOKUP($B2928,Sheet2!$J$5:$K$7,2,FALSE)*VLOOKUP(Sheet1!$A2928,Sheet2!$B$5:$H$29,5,FALSE),0)</x:f>
        <x:v>0</x:v>
      </x:c>
      <x:c r="G2928">
        <x:f>ROUND($C2928*10*VLOOKUP($B2928,Sheet2!$J$5:$K$7,2,FALSE)*VLOOKUP(Sheet1!$A2928,Sheet2!$B$5:$H$29,6,FALSE),0)</x:f>
        <x:v>226</x:v>
      </x:c>
      <x:c r="H2928">
        <x:f>ROUND($C2928*10*VLOOKUP($B2928,Sheet2!$J$5:$K$7,2,FALSE)*VLOOKUP(Sheet1!$A2928,Sheet2!$B$5:$H$29,7,FALSE),0)</x:f>
        <x:v>0</x:v>
      </x:c>
      <x:c r="I2928">
        <x:f t="shared" si="48"/>
        <x:v>21280</x:v>
      </x:c>
    </x:row>
    <x:row r="2929" spans="1:9" x14ac:dyDescent="0.15">
      <x:c r="A2929">
        <x:v>54152</x:v>
      </x:c>
      <x:c r="B2929">
        <x:v>1</x:v>
      </x:c>
      <x:c r="C2929">
        <x:v>48</x:v>
      </x:c>
      <x:c r="D2929">
        <x:f>ROUND($C2929*10*VLOOKUP($B2929,Sheet2!$J$5:$K$7,2,FALSE)*VLOOKUP(Sheet1!$A2929,Sheet2!$B$5:$H$29,3,FALSE),0)</x:f>
        <x:v>0</x:v>
      </x:c>
      <x:c r="E2929">
        <x:f>ROUND($C2929*10*VLOOKUP($B2929,Sheet2!$J$5:$K$7,2,FALSE)*VLOOKUP(Sheet1!$A2929,Sheet2!$B$5:$H$29,4,FALSE),0)</x:f>
        <x:v>96</x:v>
      </x:c>
      <x:c r="F2929">
        <x:f>ROUND($C2929*10*VLOOKUP($B2929,Sheet2!$J$5:$K$7,2,FALSE)*VLOOKUP(Sheet1!$A2929,Sheet2!$B$5:$H$29,5,FALSE),0)</x:f>
        <x:v>0</x:v>
      </x:c>
      <x:c r="G2929">
        <x:f>ROUND($C2929*10*VLOOKUP($B2929,Sheet2!$J$5:$K$7,2,FALSE)*VLOOKUP(Sheet1!$A2929,Sheet2!$B$5:$H$29,6,FALSE),0)</x:f>
        <x:v>230</x:v>
      </x:c>
      <x:c r="H2929">
        <x:f>ROUND($C2929*10*VLOOKUP($B2929,Sheet2!$J$5:$K$7,2,FALSE)*VLOOKUP(Sheet1!$A2929,Sheet2!$B$5:$H$29,7,FALSE),0)</x:f>
        <x:v>0</x:v>
      </x:c>
      <x:c r="I2929">
        <x:f t="shared" si="48"/>
        <x:v>22120</x:v>
      </x:c>
    </x:row>
    <x:row r="2930" spans="1:9" x14ac:dyDescent="0.15">
      <x:c r="A2930">
        <x:v>54152</x:v>
      </x:c>
      <x:c r="B2930">
        <x:v>1</x:v>
      </x:c>
      <x:c r="C2930">
        <x:v>49</x:v>
      </x:c>
      <x:c r="D2930">
        <x:f>ROUND($C2930*10*VLOOKUP($B2930,Sheet2!$J$5:$K$7,2,FALSE)*VLOOKUP(Sheet1!$A2930,Sheet2!$B$5:$H$29,3,FALSE),0)</x:f>
        <x:v>0</x:v>
      </x:c>
      <x:c r="E2930">
        <x:f>ROUND($C2930*10*VLOOKUP($B2930,Sheet2!$J$5:$K$7,2,FALSE)*VLOOKUP(Sheet1!$A2930,Sheet2!$B$5:$H$29,4,FALSE),0)</x:f>
        <x:v>98</x:v>
      </x:c>
      <x:c r="F2930">
        <x:f>ROUND($C2930*10*VLOOKUP($B2930,Sheet2!$J$5:$K$7,2,FALSE)*VLOOKUP(Sheet1!$A2930,Sheet2!$B$5:$H$29,5,FALSE),0)</x:f>
        <x:v>0</x:v>
      </x:c>
      <x:c r="G2930">
        <x:f>ROUND($C2930*10*VLOOKUP($B2930,Sheet2!$J$5:$K$7,2,FALSE)*VLOOKUP(Sheet1!$A2930,Sheet2!$B$5:$H$29,6,FALSE),0)</x:f>
        <x:v>235</x:v>
      </x:c>
      <x:c r="H2930">
        <x:f>ROUND($C2930*10*VLOOKUP($B2930,Sheet2!$J$5:$K$7,2,FALSE)*VLOOKUP(Sheet1!$A2930,Sheet2!$B$5:$H$29,7,FALSE),0)</x:f>
        <x:v>0</x:v>
      </x:c>
      <x:c r="I2930">
        <x:f t="shared" si="48"/>
        <x:v>22970</x:v>
      </x:c>
    </x:row>
    <x:row r="2931" spans="1:9" x14ac:dyDescent="0.15">
      <x:c r="A2931">
        <x:v>54152</x:v>
      </x:c>
      <x:c r="B2931">
        <x:v>1</x:v>
      </x:c>
      <x:c r="C2931">
        <x:v>50</x:v>
      </x:c>
      <x:c r="D2931">
        <x:f>ROUND($C2931*10*VLOOKUP($B2931,Sheet2!$J$5:$K$7,2,FALSE)*VLOOKUP(Sheet1!$A2931,Sheet2!$B$5:$H$29,3,FALSE),0)</x:f>
        <x:v>0</x:v>
      </x:c>
      <x:c r="E2931">
        <x:f>ROUND($C2931*10*VLOOKUP($B2931,Sheet2!$J$5:$K$7,2,FALSE)*VLOOKUP(Sheet1!$A2931,Sheet2!$B$5:$H$29,4,FALSE),0)</x:f>
        <x:v>100</x:v>
      </x:c>
      <x:c r="F2931">
        <x:f>ROUND($C2931*10*VLOOKUP($B2931,Sheet2!$J$5:$K$7,2,FALSE)*VLOOKUP(Sheet1!$A2931,Sheet2!$B$5:$H$29,5,FALSE),0)</x:f>
        <x:v>0</x:v>
      </x:c>
      <x:c r="G2931">
        <x:f>ROUND($C2931*10*VLOOKUP($B2931,Sheet2!$J$5:$K$7,2,FALSE)*VLOOKUP(Sheet1!$A2931,Sheet2!$B$5:$H$29,6,FALSE),0)</x:f>
        <x:v>240</x:v>
      </x:c>
      <x:c r="H2931">
        <x:f>ROUND($C2931*10*VLOOKUP($B2931,Sheet2!$J$5:$K$7,2,FALSE)*VLOOKUP(Sheet1!$A2931,Sheet2!$B$5:$H$29,7,FALSE),0)</x:f>
        <x:v>0</x:v>
      </x:c>
      <x:c r="I2931">
        <x:f t="shared" si="48"/>
        <x:v>23840</x:v>
      </x:c>
    </x:row>
    <x:row r="2932" spans="1:9" x14ac:dyDescent="0.15">
      <x:c r="A2932">
        <x:v>54152</x:v>
      </x:c>
      <x:c r="B2932">
        <x:v>1</x:v>
      </x:c>
      <x:c r="C2932">
        <x:v>51</x:v>
      </x:c>
      <x:c r="D2932">
        <x:f>ROUND($C2932*10*VLOOKUP($B2932,Sheet2!$J$5:$K$7,2,FALSE)*VLOOKUP(Sheet1!$A2932,Sheet2!$B$5:$H$29,3,FALSE),0)</x:f>
        <x:v>0</x:v>
      </x:c>
      <x:c r="E2932">
        <x:f>ROUND($C2932*10*VLOOKUP($B2932,Sheet2!$J$5:$K$7,2,FALSE)*VLOOKUP(Sheet1!$A2932,Sheet2!$B$5:$H$29,4,FALSE),0)</x:f>
        <x:v>102</x:v>
      </x:c>
      <x:c r="F2932">
        <x:f>ROUND($C2932*10*VLOOKUP($B2932,Sheet2!$J$5:$K$7,2,FALSE)*VLOOKUP(Sheet1!$A2932,Sheet2!$B$5:$H$29,5,FALSE),0)</x:f>
        <x:v>0</x:v>
      </x:c>
      <x:c r="G2932">
        <x:f>ROUND($C2932*10*VLOOKUP($B2932,Sheet2!$J$5:$K$7,2,FALSE)*VLOOKUP(Sheet1!$A2932,Sheet2!$B$5:$H$29,6,FALSE),0)</x:f>
        <x:v>245</x:v>
      </x:c>
      <x:c r="H2932">
        <x:f>ROUND($C2932*10*VLOOKUP($B2932,Sheet2!$J$5:$K$7,2,FALSE)*VLOOKUP(Sheet1!$A2932,Sheet2!$B$5:$H$29,7,FALSE),0)</x:f>
        <x:v>0</x:v>
      </x:c>
      <x:c r="I2932">
        <x:f t="shared" si="48"/>
        <x:v>24720</x:v>
      </x:c>
    </x:row>
    <x:row r="2933" spans="1:9" x14ac:dyDescent="0.15">
      <x:c r="A2933">
        <x:v>54152</x:v>
      </x:c>
      <x:c r="B2933">
        <x:v>1</x:v>
      </x:c>
      <x:c r="C2933">
        <x:v>52</x:v>
      </x:c>
      <x:c r="D2933">
        <x:f>ROUND($C2933*10*VLOOKUP($B2933,Sheet2!$J$5:$K$7,2,FALSE)*VLOOKUP(Sheet1!$A2933,Sheet2!$B$5:$H$29,3,FALSE),0)</x:f>
        <x:v>0</x:v>
      </x:c>
      <x:c r="E2933">
        <x:f>ROUND($C2933*10*VLOOKUP($B2933,Sheet2!$J$5:$K$7,2,FALSE)*VLOOKUP(Sheet1!$A2933,Sheet2!$B$5:$H$29,4,FALSE),0)</x:f>
        <x:v>104</x:v>
      </x:c>
      <x:c r="F2933">
        <x:f>ROUND($C2933*10*VLOOKUP($B2933,Sheet2!$J$5:$K$7,2,FALSE)*VLOOKUP(Sheet1!$A2933,Sheet2!$B$5:$H$29,5,FALSE),0)</x:f>
        <x:v>0</x:v>
      </x:c>
      <x:c r="G2933">
        <x:f>ROUND($C2933*10*VLOOKUP($B2933,Sheet2!$J$5:$K$7,2,FALSE)*VLOOKUP(Sheet1!$A2933,Sheet2!$B$5:$H$29,6,FALSE),0)</x:f>
        <x:v>250</x:v>
      </x:c>
      <x:c r="H2933">
        <x:f>ROUND($C2933*10*VLOOKUP($B2933,Sheet2!$J$5:$K$7,2,FALSE)*VLOOKUP(Sheet1!$A2933,Sheet2!$B$5:$H$29,7,FALSE),0)</x:f>
        <x:v>0</x:v>
      </x:c>
      <x:c r="I2933">
        <x:f t="shared" si="48"/>
        <x:v>25620</x:v>
      </x:c>
    </x:row>
    <x:row r="2934" spans="1:9" x14ac:dyDescent="0.15">
      <x:c r="A2934">
        <x:v>54152</x:v>
      </x:c>
      <x:c r="B2934">
        <x:v>1</x:v>
      </x:c>
      <x:c r="C2934">
        <x:v>53</x:v>
      </x:c>
      <x:c r="D2934">
        <x:f>ROUND($C2934*10*VLOOKUP($B2934,Sheet2!$J$5:$K$7,2,FALSE)*VLOOKUP(Sheet1!$A2934,Sheet2!$B$5:$H$29,3,FALSE),0)</x:f>
        <x:v>0</x:v>
      </x:c>
      <x:c r="E2934">
        <x:f>ROUND($C2934*10*VLOOKUP($B2934,Sheet2!$J$5:$K$7,2,FALSE)*VLOOKUP(Sheet1!$A2934,Sheet2!$B$5:$H$29,4,FALSE),0)</x:f>
        <x:v>106</x:v>
      </x:c>
      <x:c r="F2934">
        <x:f>ROUND($C2934*10*VLOOKUP($B2934,Sheet2!$J$5:$K$7,2,FALSE)*VLOOKUP(Sheet1!$A2934,Sheet2!$B$5:$H$29,5,FALSE),0)</x:f>
        <x:v>0</x:v>
      </x:c>
      <x:c r="G2934">
        <x:f>ROUND($C2934*10*VLOOKUP($B2934,Sheet2!$J$5:$K$7,2,FALSE)*VLOOKUP(Sheet1!$A2934,Sheet2!$B$5:$H$29,6,FALSE),0)</x:f>
        <x:v>254</x:v>
      </x:c>
      <x:c r="H2934">
        <x:f>ROUND($C2934*10*VLOOKUP($B2934,Sheet2!$J$5:$K$7,2,FALSE)*VLOOKUP(Sheet1!$A2934,Sheet2!$B$5:$H$29,7,FALSE),0)</x:f>
        <x:v>0</x:v>
      </x:c>
      <x:c r="I2934">
        <x:f t="shared" si="48"/>
        <x:v>26530</x:v>
      </x:c>
    </x:row>
    <x:row r="2935" spans="1:9" x14ac:dyDescent="0.15">
      <x:c r="A2935">
        <x:v>54152</x:v>
      </x:c>
      <x:c r="B2935">
        <x:v>1</x:v>
      </x:c>
      <x:c r="C2935">
        <x:v>54</x:v>
      </x:c>
      <x:c r="D2935">
        <x:f>ROUND($C2935*10*VLOOKUP($B2935,Sheet2!$J$5:$K$7,2,FALSE)*VLOOKUP(Sheet1!$A2935,Sheet2!$B$5:$H$29,3,FALSE),0)</x:f>
        <x:v>0</x:v>
      </x:c>
      <x:c r="E2935">
        <x:f>ROUND($C2935*10*VLOOKUP($B2935,Sheet2!$J$5:$K$7,2,FALSE)*VLOOKUP(Sheet1!$A2935,Sheet2!$B$5:$H$29,4,FALSE),0)</x:f>
        <x:v>108</x:v>
      </x:c>
      <x:c r="F2935">
        <x:f>ROUND($C2935*10*VLOOKUP($B2935,Sheet2!$J$5:$K$7,2,FALSE)*VLOOKUP(Sheet1!$A2935,Sheet2!$B$5:$H$29,5,FALSE),0)</x:f>
        <x:v>0</x:v>
      </x:c>
      <x:c r="G2935">
        <x:f>ROUND($C2935*10*VLOOKUP($B2935,Sheet2!$J$5:$K$7,2,FALSE)*VLOOKUP(Sheet1!$A2935,Sheet2!$B$5:$H$29,6,FALSE),0)</x:f>
        <x:v>259</x:v>
      </x:c>
      <x:c r="H2935">
        <x:f>ROUND($C2935*10*VLOOKUP($B2935,Sheet2!$J$5:$K$7,2,FALSE)*VLOOKUP(Sheet1!$A2935,Sheet2!$B$5:$H$29,7,FALSE),0)</x:f>
        <x:v>0</x:v>
      </x:c>
      <x:c r="I2935">
        <x:f t="shared" si="48"/>
        <x:v>27460</x:v>
      </x:c>
    </x:row>
    <x:row r="2936" spans="1:9" x14ac:dyDescent="0.15">
      <x:c r="A2936">
        <x:v>54152</x:v>
      </x:c>
      <x:c r="B2936">
        <x:v>1</x:v>
      </x:c>
      <x:c r="C2936">
        <x:v>55</x:v>
      </x:c>
      <x:c r="D2936">
        <x:f>ROUND($C2936*10*VLOOKUP($B2936,Sheet2!$J$5:$K$7,2,FALSE)*VLOOKUP(Sheet1!$A2936,Sheet2!$B$5:$H$29,3,FALSE),0)</x:f>
        <x:v>0</x:v>
      </x:c>
      <x:c r="E2936">
        <x:f>ROUND($C2936*10*VLOOKUP($B2936,Sheet2!$J$5:$K$7,2,FALSE)*VLOOKUP(Sheet1!$A2936,Sheet2!$B$5:$H$29,4,FALSE),0)</x:f>
        <x:v>110</x:v>
      </x:c>
      <x:c r="F2936">
        <x:f>ROUND($C2936*10*VLOOKUP($B2936,Sheet2!$J$5:$K$7,2,FALSE)*VLOOKUP(Sheet1!$A2936,Sheet2!$B$5:$H$29,5,FALSE),0)</x:f>
        <x:v>0</x:v>
      </x:c>
      <x:c r="G2936">
        <x:f>ROUND($C2936*10*VLOOKUP($B2936,Sheet2!$J$5:$K$7,2,FALSE)*VLOOKUP(Sheet1!$A2936,Sheet2!$B$5:$H$29,6,FALSE),0)</x:f>
        <x:v>264</x:v>
      </x:c>
      <x:c r="H2936">
        <x:f>ROUND($C2936*10*VLOOKUP($B2936,Sheet2!$J$5:$K$7,2,FALSE)*VLOOKUP(Sheet1!$A2936,Sheet2!$B$5:$H$29,7,FALSE),0)</x:f>
        <x:v>0</x:v>
      </x:c>
      <x:c r="I2936">
        <x:f t="shared" si="48"/>
        <x:v>28390</x:v>
      </x:c>
    </x:row>
    <x:row r="2937" spans="1:9" x14ac:dyDescent="0.15">
      <x:c r="A2937">
        <x:v>54152</x:v>
      </x:c>
      <x:c r="B2937">
        <x:v>1</x:v>
      </x:c>
      <x:c r="C2937">
        <x:v>56</x:v>
      </x:c>
      <x:c r="D2937">
        <x:f>ROUND($C2937*10*VLOOKUP($B2937,Sheet2!$J$5:$K$7,2,FALSE)*VLOOKUP(Sheet1!$A2937,Sheet2!$B$5:$H$29,3,FALSE),0)</x:f>
        <x:v>0</x:v>
      </x:c>
      <x:c r="E2937">
        <x:f>ROUND($C2937*10*VLOOKUP($B2937,Sheet2!$J$5:$K$7,2,FALSE)*VLOOKUP(Sheet1!$A2937,Sheet2!$B$5:$H$29,4,FALSE),0)</x:f>
        <x:v>112</x:v>
      </x:c>
      <x:c r="F2937">
        <x:f>ROUND($C2937*10*VLOOKUP($B2937,Sheet2!$J$5:$K$7,2,FALSE)*VLOOKUP(Sheet1!$A2937,Sheet2!$B$5:$H$29,5,FALSE),0)</x:f>
        <x:v>0</x:v>
      </x:c>
      <x:c r="G2937">
        <x:f>ROUND($C2937*10*VLOOKUP($B2937,Sheet2!$J$5:$K$7,2,FALSE)*VLOOKUP(Sheet1!$A2937,Sheet2!$B$5:$H$29,6,FALSE),0)</x:f>
        <x:v>269</x:v>
      </x:c>
      <x:c r="H2937">
        <x:f>ROUND($C2937*10*VLOOKUP($B2937,Sheet2!$J$5:$K$7,2,FALSE)*VLOOKUP(Sheet1!$A2937,Sheet2!$B$5:$H$29,7,FALSE),0)</x:f>
        <x:v>0</x:v>
      </x:c>
      <x:c r="I2937">
        <x:f t="shared" si="48"/>
        <x:v>29350</x:v>
      </x:c>
    </x:row>
    <x:row r="2938" spans="1:9" x14ac:dyDescent="0.15">
      <x:c r="A2938">
        <x:v>54152</x:v>
      </x:c>
      <x:c r="B2938">
        <x:v>1</x:v>
      </x:c>
      <x:c r="C2938">
        <x:v>57</x:v>
      </x:c>
      <x:c r="D2938">
        <x:f>ROUND($C2938*10*VLOOKUP($B2938,Sheet2!$J$5:$K$7,2,FALSE)*VLOOKUP(Sheet1!$A2938,Sheet2!$B$5:$H$29,3,FALSE),0)</x:f>
        <x:v>0</x:v>
      </x:c>
      <x:c r="E2938">
        <x:f>ROUND($C2938*10*VLOOKUP($B2938,Sheet2!$J$5:$K$7,2,FALSE)*VLOOKUP(Sheet1!$A2938,Sheet2!$B$5:$H$29,4,FALSE),0)</x:f>
        <x:v>114</x:v>
      </x:c>
      <x:c r="F2938">
        <x:f>ROUND($C2938*10*VLOOKUP($B2938,Sheet2!$J$5:$K$7,2,FALSE)*VLOOKUP(Sheet1!$A2938,Sheet2!$B$5:$H$29,5,FALSE),0)</x:f>
        <x:v>0</x:v>
      </x:c>
      <x:c r="G2938">
        <x:f>ROUND($C2938*10*VLOOKUP($B2938,Sheet2!$J$5:$K$7,2,FALSE)*VLOOKUP(Sheet1!$A2938,Sheet2!$B$5:$H$29,6,FALSE),0)</x:f>
        <x:v>274</x:v>
      </x:c>
      <x:c r="H2938">
        <x:f>ROUND($C2938*10*VLOOKUP($B2938,Sheet2!$J$5:$K$7,2,FALSE)*VLOOKUP(Sheet1!$A2938,Sheet2!$B$5:$H$29,7,FALSE),0)</x:f>
        <x:v>0</x:v>
      </x:c>
      <x:c r="I2938">
        <x:f t="shared" si="48"/>
        <x:v>30310</x:v>
      </x:c>
    </x:row>
    <x:row r="2939" spans="1:9" x14ac:dyDescent="0.15">
      <x:c r="A2939">
        <x:v>54152</x:v>
      </x:c>
      <x:c r="B2939">
        <x:v>1</x:v>
      </x:c>
      <x:c r="C2939">
        <x:v>58</x:v>
      </x:c>
      <x:c r="D2939">
        <x:f>ROUND($C2939*10*VLOOKUP($B2939,Sheet2!$J$5:$K$7,2,FALSE)*VLOOKUP(Sheet1!$A2939,Sheet2!$B$5:$H$29,3,FALSE),0)</x:f>
        <x:v>0</x:v>
      </x:c>
      <x:c r="E2939">
        <x:f>ROUND($C2939*10*VLOOKUP($B2939,Sheet2!$J$5:$K$7,2,FALSE)*VLOOKUP(Sheet1!$A2939,Sheet2!$B$5:$H$29,4,FALSE),0)</x:f>
        <x:v>116</x:v>
      </x:c>
      <x:c r="F2939">
        <x:f>ROUND($C2939*10*VLOOKUP($B2939,Sheet2!$J$5:$K$7,2,FALSE)*VLOOKUP(Sheet1!$A2939,Sheet2!$B$5:$H$29,5,FALSE),0)</x:f>
        <x:v>0</x:v>
      </x:c>
      <x:c r="G2939">
        <x:f>ROUND($C2939*10*VLOOKUP($B2939,Sheet2!$J$5:$K$7,2,FALSE)*VLOOKUP(Sheet1!$A2939,Sheet2!$B$5:$H$29,6,FALSE),0)</x:f>
        <x:v>278</x:v>
      </x:c>
      <x:c r="H2939">
        <x:f>ROUND($C2939*10*VLOOKUP($B2939,Sheet2!$J$5:$K$7,2,FALSE)*VLOOKUP(Sheet1!$A2939,Sheet2!$B$5:$H$29,7,FALSE),0)</x:f>
        <x:v>0</x:v>
      </x:c>
      <x:c r="I2939">
        <x:f t="shared" si="48"/>
        <x:v>31290</x:v>
      </x:c>
    </x:row>
    <x:row r="2940" spans="1:9" x14ac:dyDescent="0.15">
      <x:c r="A2940">
        <x:v>54152</x:v>
      </x:c>
      <x:c r="B2940">
        <x:v>1</x:v>
      </x:c>
      <x:c r="C2940">
        <x:v>59</x:v>
      </x:c>
      <x:c r="D2940">
        <x:f>ROUND($C2940*10*VLOOKUP($B2940,Sheet2!$J$5:$K$7,2,FALSE)*VLOOKUP(Sheet1!$A2940,Sheet2!$B$5:$H$29,3,FALSE),0)</x:f>
        <x:v>0</x:v>
      </x:c>
      <x:c r="E2940">
        <x:f>ROUND($C2940*10*VLOOKUP($B2940,Sheet2!$J$5:$K$7,2,FALSE)*VLOOKUP(Sheet1!$A2940,Sheet2!$B$5:$H$29,4,FALSE),0)</x:f>
        <x:v>118</x:v>
      </x:c>
      <x:c r="F2940">
        <x:f>ROUND($C2940*10*VLOOKUP($B2940,Sheet2!$J$5:$K$7,2,FALSE)*VLOOKUP(Sheet1!$A2940,Sheet2!$B$5:$H$29,5,FALSE),0)</x:f>
        <x:v>0</x:v>
      </x:c>
      <x:c r="G2940">
        <x:f>ROUND($C2940*10*VLOOKUP($B2940,Sheet2!$J$5:$K$7,2,FALSE)*VLOOKUP(Sheet1!$A2940,Sheet2!$B$5:$H$29,6,FALSE),0)</x:f>
        <x:v>283</x:v>
      </x:c>
      <x:c r="H2940">
        <x:f>ROUND($C2940*10*VLOOKUP($B2940,Sheet2!$J$5:$K$7,2,FALSE)*VLOOKUP(Sheet1!$A2940,Sheet2!$B$5:$H$29,7,FALSE),0)</x:f>
        <x:v>0</x:v>
      </x:c>
      <x:c r="I2940">
        <x:f t="shared" si="48"/>
        <x:v>32290</x:v>
      </x:c>
    </x:row>
    <x:row r="2941" spans="1:9" x14ac:dyDescent="0.15">
      <x:c r="A2941">
        <x:v>54152</x:v>
      </x:c>
      <x:c r="B2941">
        <x:v>1</x:v>
      </x:c>
      <x:c r="C2941">
        <x:v>60</x:v>
      </x:c>
      <x:c r="D2941">
        <x:f>ROUND($C2941*10*VLOOKUP($B2941,Sheet2!$J$5:$K$7,2,FALSE)*VLOOKUP(Sheet1!$A2941,Sheet2!$B$5:$H$29,3,FALSE),0)</x:f>
        <x:v>0</x:v>
      </x:c>
      <x:c r="E2941">
        <x:f>ROUND($C2941*10*VLOOKUP($B2941,Sheet2!$J$5:$K$7,2,FALSE)*VLOOKUP(Sheet1!$A2941,Sheet2!$B$5:$H$29,4,FALSE),0)</x:f>
        <x:v>120</x:v>
      </x:c>
      <x:c r="F2941">
        <x:f>ROUND($C2941*10*VLOOKUP($B2941,Sheet2!$J$5:$K$7,2,FALSE)*VLOOKUP(Sheet1!$A2941,Sheet2!$B$5:$H$29,5,FALSE),0)</x:f>
        <x:v>0</x:v>
      </x:c>
      <x:c r="G2941">
        <x:f>ROUND($C2941*10*VLOOKUP($B2941,Sheet2!$J$5:$K$7,2,FALSE)*VLOOKUP(Sheet1!$A2941,Sheet2!$B$5:$H$29,6,FALSE),0)</x:f>
        <x:v>288</x:v>
      </x:c>
      <x:c r="H2941">
        <x:f>ROUND($C2941*10*VLOOKUP($B2941,Sheet2!$J$5:$K$7,2,FALSE)*VLOOKUP(Sheet1!$A2941,Sheet2!$B$5:$H$29,7,FALSE),0)</x:f>
        <x:v>0</x:v>
      </x:c>
      <x:c r="I2941">
        <x:f t="shared" si="48"/>
        <x:v>33290</x:v>
      </x:c>
    </x:row>
    <x:row r="2942" spans="1:9" x14ac:dyDescent="0.15">
      <x:c r="A2942">
        <x:v>54152</x:v>
      </x:c>
      <x:c r="B2942">
        <x:v>2</x:v>
      </x:c>
      <x:c r="C2942">
        <x:v>1</x:v>
      </x:c>
      <x:c r="D2942">
        <x:f>ROUND($C2942*10*VLOOKUP($B2942,Sheet2!$J$5:$K$7,2,FALSE)*VLOOKUP(Sheet1!$A2942,Sheet2!$B$5:$H$29,3,FALSE),0)</x:f>
        <x:v>0</x:v>
      </x:c>
      <x:c r="E2942">
        <x:f>ROUND($C2942*10*VLOOKUP($B2942,Sheet2!$J$5:$K$7,2,FALSE)*VLOOKUP(Sheet1!$A2942,Sheet2!$B$5:$H$29,4,FALSE),0)</x:f>
        <x:v>2</x:v>
      </x:c>
      <x:c r="F2942">
        <x:f>ROUND($C2942*10*VLOOKUP($B2942,Sheet2!$J$5:$K$7,2,FALSE)*VLOOKUP(Sheet1!$A2942,Sheet2!$B$5:$H$29,5,FALSE),0)</x:f>
        <x:v>0</x:v>
      </x:c>
      <x:c r="G2942">
        <x:f>ROUND($C2942*10*VLOOKUP($B2942,Sheet2!$J$5:$K$7,2,FALSE)*VLOOKUP(Sheet1!$A2942,Sheet2!$B$5:$H$29,6,FALSE),0)</x:f>
        <x:v>6</x:v>
      </x:c>
      <x:c r="H2942">
        <x:f>ROUND($C2942*10*VLOOKUP($B2942,Sheet2!$J$5:$K$7,2,FALSE)*VLOOKUP(Sheet1!$A2942,Sheet2!$B$5:$H$29,7,FALSE),0)</x:f>
        <x:v>0</x:v>
      </x:c>
      <x:c r="I2942">
        <x:f t="shared" ref="I2942:I3001" si="49">ROUND(1.2*10*3.5*(C2942-1)^1.8+60,-1)</x:f>
        <x:v>60</x:v>
      </x:c>
    </x:row>
    <x:row r="2943" spans="1:9" x14ac:dyDescent="0.15">
      <x:c r="A2943">
        <x:v>54152</x:v>
      </x:c>
      <x:c r="B2943">
        <x:v>2</x:v>
      </x:c>
      <x:c r="C2943">
        <x:v>2</x:v>
      </x:c>
      <x:c r="D2943">
        <x:f>ROUND($C2943*10*VLOOKUP($B2943,Sheet2!$J$5:$K$7,2,FALSE)*VLOOKUP(Sheet1!$A2943,Sheet2!$B$5:$H$29,3,FALSE),0)</x:f>
        <x:v>0</x:v>
      </x:c>
      <x:c r="E2943">
        <x:f>ROUND($C2943*10*VLOOKUP($B2943,Sheet2!$J$5:$K$7,2,FALSE)*VLOOKUP(Sheet1!$A2943,Sheet2!$B$5:$H$29,4,FALSE),0)</x:f>
        <x:v>5</x:v>
      </x:c>
      <x:c r="F2943">
        <x:f>ROUND($C2943*10*VLOOKUP($B2943,Sheet2!$J$5:$K$7,2,FALSE)*VLOOKUP(Sheet1!$A2943,Sheet2!$B$5:$H$29,5,FALSE),0)</x:f>
        <x:v>0</x:v>
      </x:c>
      <x:c r="G2943">
        <x:f>ROUND($C2943*10*VLOOKUP($B2943,Sheet2!$J$5:$K$7,2,FALSE)*VLOOKUP(Sheet1!$A2943,Sheet2!$B$5:$H$29,6,FALSE),0)</x:f>
        <x:v>12</x:v>
      </x:c>
      <x:c r="H2943">
        <x:f>ROUND($C2943*10*VLOOKUP($B2943,Sheet2!$J$5:$K$7,2,FALSE)*VLOOKUP(Sheet1!$A2943,Sheet2!$B$5:$H$29,7,FALSE),0)</x:f>
        <x:v>0</x:v>
      </x:c>
      <x:c r="I2943">
        <x:f t="shared" si="49"/>
        <x:v>100</x:v>
      </x:c>
    </x:row>
    <x:row r="2944" spans="1:9" x14ac:dyDescent="0.15">
      <x:c r="A2944">
        <x:v>54152</x:v>
      </x:c>
      <x:c r="B2944">
        <x:v>2</x:v>
      </x:c>
      <x:c r="C2944">
        <x:v>3</x:v>
      </x:c>
      <x:c r="D2944">
        <x:f>ROUND($C2944*10*VLOOKUP($B2944,Sheet2!$J$5:$K$7,2,FALSE)*VLOOKUP(Sheet1!$A2944,Sheet2!$B$5:$H$29,3,FALSE),0)</x:f>
        <x:v>0</x:v>
      </x:c>
      <x:c r="E2944">
        <x:f>ROUND($C2944*10*VLOOKUP($B2944,Sheet2!$J$5:$K$7,2,FALSE)*VLOOKUP(Sheet1!$A2944,Sheet2!$B$5:$H$29,4,FALSE),0)</x:f>
        <x:v>7</x:v>
      </x:c>
      <x:c r="F2944">
        <x:f>ROUND($C2944*10*VLOOKUP($B2944,Sheet2!$J$5:$K$7,2,FALSE)*VLOOKUP(Sheet1!$A2944,Sheet2!$B$5:$H$29,5,FALSE),0)</x:f>
        <x:v>0</x:v>
      </x:c>
      <x:c r="G2944">
        <x:f>ROUND($C2944*10*VLOOKUP($B2944,Sheet2!$J$5:$K$7,2,FALSE)*VLOOKUP(Sheet1!$A2944,Sheet2!$B$5:$H$29,6,FALSE),0)</x:f>
        <x:v>17</x:v>
      </x:c>
      <x:c r="H2944">
        <x:f>ROUND($C2944*10*VLOOKUP($B2944,Sheet2!$J$5:$K$7,2,FALSE)*VLOOKUP(Sheet1!$A2944,Sheet2!$B$5:$H$29,7,FALSE),0)</x:f>
        <x:v>0</x:v>
      </x:c>
      <x:c r="I2944">
        <x:f t="shared" si="49"/>
        <x:v>210</x:v>
      </x:c>
    </x:row>
    <x:row r="2945" spans="1:9" x14ac:dyDescent="0.15">
      <x:c r="A2945">
        <x:v>54152</x:v>
      </x:c>
      <x:c r="B2945">
        <x:v>2</x:v>
      </x:c>
      <x:c r="C2945">
        <x:v>4</x:v>
      </x:c>
      <x:c r="D2945">
        <x:f>ROUND($C2945*10*VLOOKUP($B2945,Sheet2!$J$5:$K$7,2,FALSE)*VLOOKUP(Sheet1!$A2945,Sheet2!$B$5:$H$29,3,FALSE),0)</x:f>
        <x:v>0</x:v>
      </x:c>
      <x:c r="E2945">
        <x:f>ROUND($C2945*10*VLOOKUP($B2945,Sheet2!$J$5:$K$7,2,FALSE)*VLOOKUP(Sheet1!$A2945,Sheet2!$B$5:$H$29,4,FALSE),0)</x:f>
        <x:v>10</x:v>
      </x:c>
      <x:c r="F2945">
        <x:f>ROUND($C2945*10*VLOOKUP($B2945,Sheet2!$J$5:$K$7,2,FALSE)*VLOOKUP(Sheet1!$A2945,Sheet2!$B$5:$H$29,5,FALSE),0)</x:f>
        <x:v>0</x:v>
      </x:c>
      <x:c r="G2945">
        <x:f>ROUND($C2945*10*VLOOKUP($B2945,Sheet2!$J$5:$K$7,2,FALSE)*VLOOKUP(Sheet1!$A2945,Sheet2!$B$5:$H$29,6,FALSE),0)</x:f>
        <x:v>23</x:v>
      </x:c>
      <x:c r="H2945">
        <x:f>ROUND($C2945*10*VLOOKUP($B2945,Sheet2!$J$5:$K$7,2,FALSE)*VLOOKUP(Sheet1!$A2945,Sheet2!$B$5:$H$29,7,FALSE),0)</x:f>
        <x:v>0</x:v>
      </x:c>
      <x:c r="I2945">
        <x:f t="shared" si="49"/>
        <x:v>360</x:v>
      </x:c>
    </x:row>
    <x:row r="2946" spans="1:9" x14ac:dyDescent="0.15">
      <x:c r="A2946">
        <x:v>54152</x:v>
      </x:c>
      <x:c r="B2946">
        <x:v>2</x:v>
      </x:c>
      <x:c r="C2946">
        <x:v>5</x:v>
      </x:c>
      <x:c r="D2946">
        <x:f>ROUND($C2946*10*VLOOKUP($B2946,Sheet2!$J$5:$K$7,2,FALSE)*VLOOKUP(Sheet1!$A2946,Sheet2!$B$5:$H$29,3,FALSE),0)</x:f>
        <x:v>0</x:v>
      </x:c>
      <x:c r="E2946">
        <x:f>ROUND($C2946*10*VLOOKUP($B2946,Sheet2!$J$5:$K$7,2,FALSE)*VLOOKUP(Sheet1!$A2946,Sheet2!$B$5:$H$29,4,FALSE),0)</x:f>
        <x:v>12</x:v>
      </x:c>
      <x:c r="F2946">
        <x:f>ROUND($C2946*10*VLOOKUP($B2946,Sheet2!$J$5:$K$7,2,FALSE)*VLOOKUP(Sheet1!$A2946,Sheet2!$B$5:$H$29,5,FALSE),0)</x:f>
        <x:v>0</x:v>
      </x:c>
      <x:c r="G2946">
        <x:f>ROUND($C2946*10*VLOOKUP($B2946,Sheet2!$J$5:$K$7,2,FALSE)*VLOOKUP(Sheet1!$A2946,Sheet2!$B$5:$H$29,6,FALSE),0)</x:f>
        <x:v>29</x:v>
      </x:c>
      <x:c r="H2946">
        <x:f>ROUND($C2946*10*VLOOKUP($B2946,Sheet2!$J$5:$K$7,2,FALSE)*VLOOKUP(Sheet1!$A2946,Sheet2!$B$5:$H$29,7,FALSE),0)</x:f>
        <x:v>0</x:v>
      </x:c>
      <x:c r="I2946">
        <x:f t="shared" si="49"/>
        <x:v>570</x:v>
      </x:c>
    </x:row>
    <x:row r="2947" spans="1:9" x14ac:dyDescent="0.15">
      <x:c r="A2947">
        <x:v>54152</x:v>
      </x:c>
      <x:c r="B2947">
        <x:v>2</x:v>
      </x:c>
      <x:c r="C2947">
        <x:v>6</x:v>
      </x:c>
      <x:c r="D2947">
        <x:f>ROUND($C2947*10*VLOOKUP($B2947,Sheet2!$J$5:$K$7,2,FALSE)*VLOOKUP(Sheet1!$A2947,Sheet2!$B$5:$H$29,3,FALSE),0)</x:f>
        <x:v>0</x:v>
      </x:c>
      <x:c r="E2947">
        <x:f>ROUND($C2947*10*VLOOKUP($B2947,Sheet2!$J$5:$K$7,2,FALSE)*VLOOKUP(Sheet1!$A2947,Sheet2!$B$5:$H$29,4,FALSE),0)</x:f>
        <x:v>14</x:v>
      </x:c>
      <x:c r="F2947">
        <x:f>ROUND($C2947*10*VLOOKUP($B2947,Sheet2!$J$5:$K$7,2,FALSE)*VLOOKUP(Sheet1!$A2947,Sheet2!$B$5:$H$29,5,FALSE),0)</x:f>
        <x:v>0</x:v>
      </x:c>
      <x:c r="G2947">
        <x:f>ROUND($C2947*10*VLOOKUP($B2947,Sheet2!$J$5:$K$7,2,FALSE)*VLOOKUP(Sheet1!$A2947,Sheet2!$B$5:$H$29,6,FALSE),0)</x:f>
        <x:v>35</x:v>
      </x:c>
      <x:c r="H2947">
        <x:f>ROUND($C2947*10*VLOOKUP($B2947,Sheet2!$J$5:$K$7,2,FALSE)*VLOOKUP(Sheet1!$A2947,Sheet2!$B$5:$H$29,7,FALSE),0)</x:f>
        <x:v>0</x:v>
      </x:c>
      <x:c r="I2947">
        <x:f t="shared" si="49"/>
        <x:v>820</x:v>
      </x:c>
    </x:row>
    <x:row r="2948" spans="1:9" x14ac:dyDescent="0.15">
      <x:c r="A2948">
        <x:v>54152</x:v>
      </x:c>
      <x:c r="B2948">
        <x:v>2</x:v>
      </x:c>
      <x:c r="C2948">
        <x:v>7</x:v>
      </x:c>
      <x:c r="D2948">
        <x:f>ROUND($C2948*10*VLOOKUP($B2948,Sheet2!$J$5:$K$7,2,FALSE)*VLOOKUP(Sheet1!$A2948,Sheet2!$B$5:$H$29,3,FALSE),0)</x:f>
        <x:v>0</x:v>
      </x:c>
      <x:c r="E2948">
        <x:f>ROUND($C2948*10*VLOOKUP($B2948,Sheet2!$J$5:$K$7,2,FALSE)*VLOOKUP(Sheet1!$A2948,Sheet2!$B$5:$H$29,4,FALSE),0)</x:f>
        <x:v>17</x:v>
      </x:c>
      <x:c r="F2948">
        <x:f>ROUND($C2948*10*VLOOKUP($B2948,Sheet2!$J$5:$K$7,2,FALSE)*VLOOKUP(Sheet1!$A2948,Sheet2!$B$5:$H$29,5,FALSE),0)</x:f>
        <x:v>0</x:v>
      </x:c>
      <x:c r="G2948">
        <x:f>ROUND($C2948*10*VLOOKUP($B2948,Sheet2!$J$5:$K$7,2,FALSE)*VLOOKUP(Sheet1!$A2948,Sheet2!$B$5:$H$29,6,FALSE),0)</x:f>
        <x:v>40</x:v>
      </x:c>
      <x:c r="H2948">
        <x:f>ROUND($C2948*10*VLOOKUP($B2948,Sheet2!$J$5:$K$7,2,FALSE)*VLOOKUP(Sheet1!$A2948,Sheet2!$B$5:$H$29,7,FALSE),0)</x:f>
        <x:v>0</x:v>
      </x:c>
      <x:c r="I2948">
        <x:f t="shared" si="49"/>
        <x:v>1120</x:v>
      </x:c>
    </x:row>
    <x:row r="2949" spans="1:9" x14ac:dyDescent="0.15">
      <x:c r="A2949">
        <x:v>54152</x:v>
      </x:c>
      <x:c r="B2949">
        <x:v>2</x:v>
      </x:c>
      <x:c r="C2949">
        <x:v>8</x:v>
      </x:c>
      <x:c r="D2949">
        <x:f>ROUND($C2949*10*VLOOKUP($B2949,Sheet2!$J$5:$K$7,2,FALSE)*VLOOKUP(Sheet1!$A2949,Sheet2!$B$5:$H$29,3,FALSE),0)</x:f>
        <x:v>0</x:v>
      </x:c>
      <x:c r="E2949">
        <x:f>ROUND($C2949*10*VLOOKUP($B2949,Sheet2!$J$5:$K$7,2,FALSE)*VLOOKUP(Sheet1!$A2949,Sheet2!$B$5:$H$29,4,FALSE),0)</x:f>
        <x:v>19</x:v>
      </x:c>
      <x:c r="F2949">
        <x:f>ROUND($C2949*10*VLOOKUP($B2949,Sheet2!$J$5:$K$7,2,FALSE)*VLOOKUP(Sheet1!$A2949,Sheet2!$B$5:$H$29,5,FALSE),0)</x:f>
        <x:v>0</x:v>
      </x:c>
      <x:c r="G2949">
        <x:f>ROUND($C2949*10*VLOOKUP($B2949,Sheet2!$J$5:$K$7,2,FALSE)*VLOOKUP(Sheet1!$A2949,Sheet2!$B$5:$H$29,6,FALSE),0)</x:f>
        <x:v>46</x:v>
      </x:c>
      <x:c r="H2949">
        <x:f>ROUND($C2949*10*VLOOKUP($B2949,Sheet2!$J$5:$K$7,2,FALSE)*VLOOKUP(Sheet1!$A2949,Sheet2!$B$5:$H$29,7,FALSE),0)</x:f>
        <x:v>0</x:v>
      </x:c>
      <x:c r="I2949">
        <x:f t="shared" si="49"/>
        <x:v>1450</x:v>
      </x:c>
    </x:row>
    <x:row r="2950" spans="1:9" x14ac:dyDescent="0.15">
      <x:c r="A2950">
        <x:v>54152</x:v>
      </x:c>
      <x:c r="B2950">
        <x:v>2</x:v>
      </x:c>
      <x:c r="C2950">
        <x:v>9</x:v>
      </x:c>
      <x:c r="D2950">
        <x:f>ROUND($C2950*10*VLOOKUP($B2950,Sheet2!$J$5:$K$7,2,FALSE)*VLOOKUP(Sheet1!$A2950,Sheet2!$B$5:$H$29,3,FALSE),0)</x:f>
        <x:v>0</x:v>
      </x:c>
      <x:c r="E2950">
        <x:f>ROUND($C2950*10*VLOOKUP($B2950,Sheet2!$J$5:$K$7,2,FALSE)*VLOOKUP(Sheet1!$A2950,Sheet2!$B$5:$H$29,4,FALSE),0)</x:f>
        <x:v>22</x:v>
      </x:c>
      <x:c r="F2950">
        <x:f>ROUND($C2950*10*VLOOKUP($B2950,Sheet2!$J$5:$K$7,2,FALSE)*VLOOKUP(Sheet1!$A2950,Sheet2!$B$5:$H$29,5,FALSE),0)</x:f>
        <x:v>0</x:v>
      </x:c>
      <x:c r="G2950">
        <x:f>ROUND($C2950*10*VLOOKUP($B2950,Sheet2!$J$5:$K$7,2,FALSE)*VLOOKUP(Sheet1!$A2950,Sheet2!$B$5:$H$29,6,FALSE),0)</x:f>
        <x:v>52</x:v>
      </x:c>
      <x:c r="H2950">
        <x:f>ROUND($C2950*10*VLOOKUP($B2950,Sheet2!$J$5:$K$7,2,FALSE)*VLOOKUP(Sheet1!$A2950,Sheet2!$B$5:$H$29,7,FALSE),0)</x:f>
        <x:v>0</x:v>
      </x:c>
      <x:c r="I2950">
        <x:f t="shared" si="49"/>
        <x:v>1830</x:v>
      </x:c>
    </x:row>
    <x:row r="2951" spans="1:9" x14ac:dyDescent="0.15">
      <x:c r="A2951">
        <x:v>54152</x:v>
      </x:c>
      <x:c r="B2951">
        <x:v>2</x:v>
      </x:c>
      <x:c r="C2951">
        <x:v>10</x:v>
      </x:c>
      <x:c r="D2951">
        <x:f>ROUND($C2951*10*VLOOKUP($B2951,Sheet2!$J$5:$K$7,2,FALSE)*VLOOKUP(Sheet1!$A2951,Sheet2!$B$5:$H$29,3,FALSE),0)</x:f>
        <x:v>0</x:v>
      </x:c>
      <x:c r="E2951">
        <x:f>ROUND($C2951*10*VLOOKUP($B2951,Sheet2!$J$5:$K$7,2,FALSE)*VLOOKUP(Sheet1!$A2951,Sheet2!$B$5:$H$29,4,FALSE),0)</x:f>
        <x:v>24</x:v>
      </x:c>
      <x:c r="F2951">
        <x:f>ROUND($C2951*10*VLOOKUP($B2951,Sheet2!$J$5:$K$7,2,FALSE)*VLOOKUP(Sheet1!$A2951,Sheet2!$B$5:$H$29,5,FALSE),0)</x:f>
        <x:v>0</x:v>
      </x:c>
      <x:c r="G2951">
        <x:f>ROUND($C2951*10*VLOOKUP($B2951,Sheet2!$J$5:$K$7,2,FALSE)*VLOOKUP(Sheet1!$A2951,Sheet2!$B$5:$H$29,6,FALSE),0)</x:f>
        <x:v>58</x:v>
      </x:c>
      <x:c r="H2951">
        <x:f>ROUND($C2951*10*VLOOKUP($B2951,Sheet2!$J$5:$K$7,2,FALSE)*VLOOKUP(Sheet1!$A2951,Sheet2!$B$5:$H$29,7,FALSE),0)</x:f>
        <x:v>0</x:v>
      </x:c>
      <x:c r="I2951">
        <x:f t="shared" si="49"/>
        <x:v>2250</x:v>
      </x:c>
    </x:row>
    <x:row r="2952" spans="1:9" x14ac:dyDescent="0.15">
      <x:c r="A2952">
        <x:v>54152</x:v>
      </x:c>
      <x:c r="B2952">
        <x:v>2</x:v>
      </x:c>
      <x:c r="C2952">
        <x:v>11</x:v>
      </x:c>
      <x:c r="D2952">
        <x:f>ROUND($C2952*10*VLOOKUP($B2952,Sheet2!$J$5:$K$7,2,FALSE)*VLOOKUP(Sheet1!$A2952,Sheet2!$B$5:$H$29,3,FALSE),0)</x:f>
        <x:v>0</x:v>
      </x:c>
      <x:c r="E2952">
        <x:f>ROUND($C2952*10*VLOOKUP($B2952,Sheet2!$J$5:$K$7,2,FALSE)*VLOOKUP(Sheet1!$A2952,Sheet2!$B$5:$H$29,4,FALSE),0)</x:f>
        <x:v>26</x:v>
      </x:c>
      <x:c r="F2952">
        <x:f>ROUND($C2952*10*VLOOKUP($B2952,Sheet2!$J$5:$K$7,2,FALSE)*VLOOKUP(Sheet1!$A2952,Sheet2!$B$5:$H$29,5,FALSE),0)</x:f>
        <x:v>0</x:v>
      </x:c>
      <x:c r="G2952">
        <x:f>ROUND($C2952*10*VLOOKUP($B2952,Sheet2!$J$5:$K$7,2,FALSE)*VLOOKUP(Sheet1!$A2952,Sheet2!$B$5:$H$29,6,FALSE),0)</x:f>
        <x:v>63</x:v>
      </x:c>
      <x:c r="H2952">
        <x:f>ROUND($C2952*10*VLOOKUP($B2952,Sheet2!$J$5:$K$7,2,FALSE)*VLOOKUP(Sheet1!$A2952,Sheet2!$B$5:$H$29,7,FALSE),0)</x:f>
        <x:v>0</x:v>
      </x:c>
      <x:c r="I2952">
        <x:f t="shared" si="49"/>
        <x:v>2710</x:v>
      </x:c>
    </x:row>
    <x:row r="2953" spans="1:9" x14ac:dyDescent="0.15">
      <x:c r="A2953">
        <x:v>54152</x:v>
      </x:c>
      <x:c r="B2953">
        <x:v>2</x:v>
      </x:c>
      <x:c r="C2953">
        <x:v>12</x:v>
      </x:c>
      <x:c r="D2953">
        <x:f>ROUND($C2953*10*VLOOKUP($B2953,Sheet2!$J$5:$K$7,2,FALSE)*VLOOKUP(Sheet1!$A2953,Sheet2!$B$5:$H$29,3,FALSE),0)</x:f>
        <x:v>0</x:v>
      </x:c>
      <x:c r="E2953">
        <x:f>ROUND($C2953*10*VLOOKUP($B2953,Sheet2!$J$5:$K$7,2,FALSE)*VLOOKUP(Sheet1!$A2953,Sheet2!$B$5:$H$29,4,FALSE),0)</x:f>
        <x:v>29</x:v>
      </x:c>
      <x:c r="F2953">
        <x:f>ROUND($C2953*10*VLOOKUP($B2953,Sheet2!$J$5:$K$7,2,FALSE)*VLOOKUP(Sheet1!$A2953,Sheet2!$B$5:$H$29,5,FALSE),0)</x:f>
        <x:v>0</x:v>
      </x:c>
      <x:c r="G2953">
        <x:f>ROUND($C2953*10*VLOOKUP($B2953,Sheet2!$J$5:$K$7,2,FALSE)*VLOOKUP(Sheet1!$A2953,Sheet2!$B$5:$H$29,6,FALSE),0)</x:f>
        <x:v>69</x:v>
      </x:c>
      <x:c r="H2953">
        <x:f>ROUND($C2953*10*VLOOKUP($B2953,Sheet2!$J$5:$K$7,2,FALSE)*VLOOKUP(Sheet1!$A2953,Sheet2!$B$5:$H$29,7,FALSE),0)</x:f>
        <x:v>0</x:v>
      </x:c>
      <x:c r="I2953">
        <x:f t="shared" si="49"/>
        <x:v>3210</x:v>
      </x:c>
    </x:row>
    <x:row r="2954" spans="1:9" x14ac:dyDescent="0.15">
      <x:c r="A2954">
        <x:v>54152</x:v>
      </x:c>
      <x:c r="B2954">
        <x:v>2</x:v>
      </x:c>
      <x:c r="C2954">
        <x:v>13</x:v>
      </x:c>
      <x:c r="D2954">
        <x:f>ROUND($C2954*10*VLOOKUP($B2954,Sheet2!$J$5:$K$7,2,FALSE)*VLOOKUP(Sheet1!$A2954,Sheet2!$B$5:$H$29,3,FALSE),0)</x:f>
        <x:v>0</x:v>
      </x:c>
      <x:c r="E2954">
        <x:f>ROUND($C2954*10*VLOOKUP($B2954,Sheet2!$J$5:$K$7,2,FALSE)*VLOOKUP(Sheet1!$A2954,Sheet2!$B$5:$H$29,4,FALSE),0)</x:f>
        <x:v>31</x:v>
      </x:c>
      <x:c r="F2954">
        <x:f>ROUND($C2954*10*VLOOKUP($B2954,Sheet2!$J$5:$K$7,2,FALSE)*VLOOKUP(Sheet1!$A2954,Sheet2!$B$5:$H$29,5,FALSE),0)</x:f>
        <x:v>0</x:v>
      </x:c>
      <x:c r="G2954">
        <x:f>ROUND($C2954*10*VLOOKUP($B2954,Sheet2!$J$5:$K$7,2,FALSE)*VLOOKUP(Sheet1!$A2954,Sheet2!$B$5:$H$29,6,FALSE),0)</x:f>
        <x:v>75</x:v>
      </x:c>
      <x:c r="H2954">
        <x:f>ROUND($C2954*10*VLOOKUP($B2954,Sheet2!$J$5:$K$7,2,FALSE)*VLOOKUP(Sheet1!$A2954,Sheet2!$B$5:$H$29,7,FALSE),0)</x:f>
        <x:v>0</x:v>
      </x:c>
      <x:c r="I2954">
        <x:f t="shared" si="49"/>
        <x:v>3740</x:v>
      </x:c>
    </x:row>
    <x:row r="2955" spans="1:9" x14ac:dyDescent="0.15">
      <x:c r="A2955">
        <x:v>54152</x:v>
      </x:c>
      <x:c r="B2955">
        <x:v>2</x:v>
      </x:c>
      <x:c r="C2955">
        <x:v>14</x:v>
      </x:c>
      <x:c r="D2955">
        <x:f>ROUND($C2955*10*VLOOKUP($B2955,Sheet2!$J$5:$K$7,2,FALSE)*VLOOKUP(Sheet1!$A2955,Sheet2!$B$5:$H$29,3,FALSE),0)</x:f>
        <x:v>0</x:v>
      </x:c>
      <x:c r="E2955">
        <x:f>ROUND($C2955*10*VLOOKUP($B2955,Sheet2!$J$5:$K$7,2,FALSE)*VLOOKUP(Sheet1!$A2955,Sheet2!$B$5:$H$29,4,FALSE),0)</x:f>
        <x:v>34</x:v>
      </x:c>
      <x:c r="F2955">
        <x:f>ROUND($C2955*10*VLOOKUP($B2955,Sheet2!$J$5:$K$7,2,FALSE)*VLOOKUP(Sheet1!$A2955,Sheet2!$B$5:$H$29,5,FALSE),0)</x:f>
        <x:v>0</x:v>
      </x:c>
      <x:c r="G2955">
        <x:f>ROUND($C2955*10*VLOOKUP($B2955,Sheet2!$J$5:$K$7,2,FALSE)*VLOOKUP(Sheet1!$A2955,Sheet2!$B$5:$H$29,6,FALSE),0)</x:f>
        <x:v>81</x:v>
      </x:c>
      <x:c r="H2955">
        <x:f>ROUND($C2955*10*VLOOKUP($B2955,Sheet2!$J$5:$K$7,2,FALSE)*VLOOKUP(Sheet1!$A2955,Sheet2!$B$5:$H$29,7,FALSE),0)</x:f>
        <x:v>0</x:v>
      </x:c>
      <x:c r="I2955">
        <x:f t="shared" si="49"/>
        <x:v>4310</x:v>
      </x:c>
    </x:row>
    <x:row r="2956" spans="1:9" x14ac:dyDescent="0.15">
      <x:c r="A2956">
        <x:v>54152</x:v>
      </x:c>
      <x:c r="B2956">
        <x:v>2</x:v>
      </x:c>
      <x:c r="C2956">
        <x:v>15</x:v>
      </x:c>
      <x:c r="D2956">
        <x:f>ROUND($C2956*10*VLOOKUP($B2956,Sheet2!$J$5:$K$7,2,FALSE)*VLOOKUP(Sheet1!$A2956,Sheet2!$B$5:$H$29,3,FALSE),0)</x:f>
        <x:v>0</x:v>
      </x:c>
      <x:c r="E2956">
        <x:f>ROUND($C2956*10*VLOOKUP($B2956,Sheet2!$J$5:$K$7,2,FALSE)*VLOOKUP(Sheet1!$A2956,Sheet2!$B$5:$H$29,4,FALSE),0)</x:f>
        <x:v>36</x:v>
      </x:c>
      <x:c r="F2956">
        <x:f>ROUND($C2956*10*VLOOKUP($B2956,Sheet2!$J$5:$K$7,2,FALSE)*VLOOKUP(Sheet1!$A2956,Sheet2!$B$5:$H$29,5,FALSE),0)</x:f>
        <x:v>0</x:v>
      </x:c>
      <x:c r="G2956">
        <x:f>ROUND($C2956*10*VLOOKUP($B2956,Sheet2!$J$5:$K$7,2,FALSE)*VLOOKUP(Sheet1!$A2956,Sheet2!$B$5:$H$29,6,FALSE),0)</x:f>
        <x:v>86</x:v>
      </x:c>
      <x:c r="H2956">
        <x:f>ROUND($C2956*10*VLOOKUP($B2956,Sheet2!$J$5:$K$7,2,FALSE)*VLOOKUP(Sheet1!$A2956,Sheet2!$B$5:$H$29,7,FALSE),0)</x:f>
        <x:v>0</x:v>
      </x:c>
      <x:c r="I2956">
        <x:f t="shared" si="49"/>
        <x:v>4920</x:v>
      </x:c>
    </x:row>
    <x:row r="2957" spans="1:9" x14ac:dyDescent="0.15">
      <x:c r="A2957">
        <x:v>54152</x:v>
      </x:c>
      <x:c r="B2957">
        <x:v>2</x:v>
      </x:c>
      <x:c r="C2957">
        <x:v>16</x:v>
      </x:c>
      <x:c r="D2957">
        <x:f>ROUND($C2957*10*VLOOKUP($B2957,Sheet2!$J$5:$K$7,2,FALSE)*VLOOKUP(Sheet1!$A2957,Sheet2!$B$5:$H$29,3,FALSE),0)</x:f>
        <x:v>0</x:v>
      </x:c>
      <x:c r="E2957">
        <x:f>ROUND($C2957*10*VLOOKUP($B2957,Sheet2!$J$5:$K$7,2,FALSE)*VLOOKUP(Sheet1!$A2957,Sheet2!$B$5:$H$29,4,FALSE),0)</x:f>
        <x:v>38</x:v>
      </x:c>
      <x:c r="F2957">
        <x:f>ROUND($C2957*10*VLOOKUP($B2957,Sheet2!$J$5:$K$7,2,FALSE)*VLOOKUP(Sheet1!$A2957,Sheet2!$B$5:$H$29,5,FALSE),0)</x:f>
        <x:v>0</x:v>
      </x:c>
      <x:c r="G2957">
        <x:f>ROUND($C2957*10*VLOOKUP($B2957,Sheet2!$J$5:$K$7,2,FALSE)*VLOOKUP(Sheet1!$A2957,Sheet2!$B$5:$H$29,6,FALSE),0)</x:f>
        <x:v>92</x:v>
      </x:c>
      <x:c r="H2957">
        <x:f>ROUND($C2957*10*VLOOKUP($B2957,Sheet2!$J$5:$K$7,2,FALSE)*VLOOKUP(Sheet1!$A2957,Sheet2!$B$5:$H$29,7,FALSE),0)</x:f>
        <x:v>0</x:v>
      </x:c>
      <x:c r="I2957">
        <x:f t="shared" si="49"/>
        <x:v>5560</x:v>
      </x:c>
    </x:row>
    <x:row r="2958" spans="1:9" x14ac:dyDescent="0.15">
      <x:c r="A2958">
        <x:v>54152</x:v>
      </x:c>
      <x:c r="B2958">
        <x:v>2</x:v>
      </x:c>
      <x:c r="C2958">
        <x:v>17</x:v>
      </x:c>
      <x:c r="D2958">
        <x:f>ROUND($C2958*10*VLOOKUP($B2958,Sheet2!$J$5:$K$7,2,FALSE)*VLOOKUP(Sheet1!$A2958,Sheet2!$B$5:$H$29,3,FALSE),0)</x:f>
        <x:v>0</x:v>
      </x:c>
      <x:c r="E2958">
        <x:f>ROUND($C2958*10*VLOOKUP($B2958,Sheet2!$J$5:$K$7,2,FALSE)*VLOOKUP(Sheet1!$A2958,Sheet2!$B$5:$H$29,4,FALSE),0)</x:f>
        <x:v>41</x:v>
      </x:c>
      <x:c r="F2958">
        <x:f>ROUND($C2958*10*VLOOKUP($B2958,Sheet2!$J$5:$K$7,2,FALSE)*VLOOKUP(Sheet1!$A2958,Sheet2!$B$5:$H$29,5,FALSE),0)</x:f>
        <x:v>0</x:v>
      </x:c>
      <x:c r="G2958">
        <x:f>ROUND($C2958*10*VLOOKUP($B2958,Sheet2!$J$5:$K$7,2,FALSE)*VLOOKUP(Sheet1!$A2958,Sheet2!$B$5:$H$29,6,FALSE),0)</x:f>
        <x:v>98</x:v>
      </x:c>
      <x:c r="H2958">
        <x:f>ROUND($C2958*10*VLOOKUP($B2958,Sheet2!$J$5:$K$7,2,FALSE)*VLOOKUP(Sheet1!$A2958,Sheet2!$B$5:$H$29,7,FALSE),0)</x:f>
        <x:v>0</x:v>
      </x:c>
      <x:c r="I2958">
        <x:f t="shared" si="49"/>
        <x:v>6240</x:v>
      </x:c>
    </x:row>
    <x:row r="2959" spans="1:9" x14ac:dyDescent="0.15">
      <x:c r="A2959">
        <x:v>54152</x:v>
      </x:c>
      <x:c r="B2959">
        <x:v>2</x:v>
      </x:c>
      <x:c r="C2959">
        <x:v>18</x:v>
      </x:c>
      <x:c r="D2959">
        <x:f>ROUND($C2959*10*VLOOKUP($B2959,Sheet2!$J$5:$K$7,2,FALSE)*VLOOKUP(Sheet1!$A2959,Sheet2!$B$5:$H$29,3,FALSE),0)</x:f>
        <x:v>0</x:v>
      </x:c>
      <x:c r="E2959">
        <x:f>ROUND($C2959*10*VLOOKUP($B2959,Sheet2!$J$5:$K$7,2,FALSE)*VLOOKUP(Sheet1!$A2959,Sheet2!$B$5:$H$29,4,FALSE),0)</x:f>
        <x:v>43</x:v>
      </x:c>
      <x:c r="F2959">
        <x:f>ROUND($C2959*10*VLOOKUP($B2959,Sheet2!$J$5:$K$7,2,FALSE)*VLOOKUP(Sheet1!$A2959,Sheet2!$B$5:$H$29,5,FALSE),0)</x:f>
        <x:v>0</x:v>
      </x:c>
      <x:c r="G2959">
        <x:f>ROUND($C2959*10*VLOOKUP($B2959,Sheet2!$J$5:$K$7,2,FALSE)*VLOOKUP(Sheet1!$A2959,Sheet2!$B$5:$H$29,6,FALSE),0)</x:f>
        <x:v>104</x:v>
      </x:c>
      <x:c r="H2959">
        <x:f>ROUND($C2959*10*VLOOKUP($B2959,Sheet2!$J$5:$K$7,2,FALSE)*VLOOKUP(Sheet1!$A2959,Sheet2!$B$5:$H$29,7,FALSE),0)</x:f>
        <x:v>0</x:v>
      </x:c>
      <x:c r="I2959">
        <x:f t="shared" si="49"/>
        <x:v>6950</x:v>
      </x:c>
    </x:row>
    <x:row r="2960" spans="1:9" x14ac:dyDescent="0.15">
      <x:c r="A2960">
        <x:v>54152</x:v>
      </x:c>
      <x:c r="B2960">
        <x:v>2</x:v>
      </x:c>
      <x:c r="C2960">
        <x:v>19</x:v>
      </x:c>
      <x:c r="D2960">
        <x:f>ROUND($C2960*10*VLOOKUP($B2960,Sheet2!$J$5:$K$7,2,FALSE)*VLOOKUP(Sheet1!$A2960,Sheet2!$B$5:$H$29,3,FALSE),0)</x:f>
        <x:v>0</x:v>
      </x:c>
      <x:c r="E2960">
        <x:f>ROUND($C2960*10*VLOOKUP($B2960,Sheet2!$J$5:$K$7,2,FALSE)*VLOOKUP(Sheet1!$A2960,Sheet2!$B$5:$H$29,4,FALSE),0)</x:f>
        <x:v>46</x:v>
      </x:c>
      <x:c r="F2960">
        <x:f>ROUND($C2960*10*VLOOKUP($B2960,Sheet2!$J$5:$K$7,2,FALSE)*VLOOKUP(Sheet1!$A2960,Sheet2!$B$5:$H$29,5,FALSE),0)</x:f>
        <x:v>0</x:v>
      </x:c>
      <x:c r="G2960">
        <x:f>ROUND($C2960*10*VLOOKUP($B2960,Sheet2!$J$5:$K$7,2,FALSE)*VLOOKUP(Sheet1!$A2960,Sheet2!$B$5:$H$29,6,FALSE),0)</x:f>
        <x:v>109</x:v>
      </x:c>
      <x:c r="H2960">
        <x:f>ROUND($C2960*10*VLOOKUP($B2960,Sheet2!$J$5:$K$7,2,FALSE)*VLOOKUP(Sheet1!$A2960,Sheet2!$B$5:$H$29,7,FALSE),0)</x:f>
        <x:v>0</x:v>
      </x:c>
      <x:c r="I2960">
        <x:f t="shared" si="49"/>
        <x:v>7690</x:v>
      </x:c>
    </x:row>
    <x:row r="2961" spans="1:9" x14ac:dyDescent="0.15">
      <x:c r="A2961">
        <x:v>54152</x:v>
      </x:c>
      <x:c r="B2961">
        <x:v>2</x:v>
      </x:c>
      <x:c r="C2961">
        <x:v>20</x:v>
      </x:c>
      <x:c r="D2961">
        <x:f>ROUND($C2961*10*VLOOKUP($B2961,Sheet2!$J$5:$K$7,2,FALSE)*VLOOKUP(Sheet1!$A2961,Sheet2!$B$5:$H$29,3,FALSE),0)</x:f>
        <x:v>0</x:v>
      </x:c>
      <x:c r="E2961">
        <x:f>ROUND($C2961*10*VLOOKUP($B2961,Sheet2!$J$5:$K$7,2,FALSE)*VLOOKUP(Sheet1!$A2961,Sheet2!$B$5:$H$29,4,FALSE),0)</x:f>
        <x:v>48</x:v>
      </x:c>
      <x:c r="F2961">
        <x:f>ROUND($C2961*10*VLOOKUP($B2961,Sheet2!$J$5:$K$7,2,FALSE)*VLOOKUP(Sheet1!$A2961,Sheet2!$B$5:$H$29,5,FALSE),0)</x:f>
        <x:v>0</x:v>
      </x:c>
      <x:c r="G2961">
        <x:f>ROUND($C2961*10*VLOOKUP($B2961,Sheet2!$J$5:$K$7,2,FALSE)*VLOOKUP(Sheet1!$A2961,Sheet2!$B$5:$H$29,6,FALSE),0)</x:f>
        <x:v>115</x:v>
      </x:c>
      <x:c r="H2961">
        <x:f>ROUND($C2961*10*VLOOKUP($B2961,Sheet2!$J$5:$K$7,2,FALSE)*VLOOKUP(Sheet1!$A2961,Sheet2!$B$5:$H$29,7,FALSE),0)</x:f>
        <x:v>0</x:v>
      </x:c>
      <x:c r="I2961">
        <x:f t="shared" si="49"/>
        <x:v>8470</x:v>
      </x:c>
    </x:row>
    <x:row r="2962" spans="1:9" x14ac:dyDescent="0.15">
      <x:c r="A2962">
        <x:v>54152</x:v>
      </x:c>
      <x:c r="B2962">
        <x:v>2</x:v>
      </x:c>
      <x:c r="C2962">
        <x:v>21</x:v>
      </x:c>
      <x:c r="D2962">
        <x:f>ROUND($C2962*10*VLOOKUP($B2962,Sheet2!$J$5:$K$7,2,FALSE)*VLOOKUP(Sheet1!$A2962,Sheet2!$B$5:$H$29,3,FALSE),0)</x:f>
        <x:v>0</x:v>
      </x:c>
      <x:c r="E2962">
        <x:f>ROUND($C2962*10*VLOOKUP($B2962,Sheet2!$J$5:$K$7,2,FALSE)*VLOOKUP(Sheet1!$A2962,Sheet2!$B$5:$H$29,4,FALSE),0)</x:f>
        <x:v>50</x:v>
      </x:c>
      <x:c r="F2962">
        <x:f>ROUND($C2962*10*VLOOKUP($B2962,Sheet2!$J$5:$K$7,2,FALSE)*VLOOKUP(Sheet1!$A2962,Sheet2!$B$5:$H$29,5,FALSE),0)</x:f>
        <x:v>0</x:v>
      </x:c>
      <x:c r="G2962">
        <x:f>ROUND($C2962*10*VLOOKUP($B2962,Sheet2!$J$5:$K$7,2,FALSE)*VLOOKUP(Sheet1!$A2962,Sheet2!$B$5:$H$29,6,FALSE),0)</x:f>
        <x:v>121</x:v>
      </x:c>
      <x:c r="H2962">
        <x:f>ROUND($C2962*10*VLOOKUP($B2962,Sheet2!$J$5:$K$7,2,FALSE)*VLOOKUP(Sheet1!$A2962,Sheet2!$B$5:$H$29,7,FALSE),0)</x:f>
        <x:v>0</x:v>
      </x:c>
      <x:c r="I2962">
        <x:f t="shared" si="49"/>
        <x:v>9290</x:v>
      </x:c>
    </x:row>
    <x:row r="2963" spans="1:9" x14ac:dyDescent="0.15">
      <x:c r="A2963">
        <x:v>54152</x:v>
      </x:c>
      <x:c r="B2963">
        <x:v>2</x:v>
      </x:c>
      <x:c r="C2963">
        <x:v>22</x:v>
      </x:c>
      <x:c r="D2963">
        <x:f>ROUND($C2963*10*VLOOKUP($B2963,Sheet2!$J$5:$K$7,2,FALSE)*VLOOKUP(Sheet1!$A2963,Sheet2!$B$5:$H$29,3,FALSE),0)</x:f>
        <x:v>0</x:v>
      </x:c>
      <x:c r="E2963">
        <x:f>ROUND($C2963*10*VLOOKUP($B2963,Sheet2!$J$5:$K$7,2,FALSE)*VLOOKUP(Sheet1!$A2963,Sheet2!$B$5:$H$29,4,FALSE),0)</x:f>
        <x:v>53</x:v>
      </x:c>
      <x:c r="F2963">
        <x:f>ROUND($C2963*10*VLOOKUP($B2963,Sheet2!$J$5:$K$7,2,FALSE)*VLOOKUP(Sheet1!$A2963,Sheet2!$B$5:$H$29,5,FALSE),0)</x:f>
        <x:v>0</x:v>
      </x:c>
      <x:c r="G2963">
        <x:f>ROUND($C2963*10*VLOOKUP($B2963,Sheet2!$J$5:$K$7,2,FALSE)*VLOOKUP(Sheet1!$A2963,Sheet2!$B$5:$H$29,6,FALSE),0)</x:f>
        <x:v>127</x:v>
      </x:c>
      <x:c r="H2963">
        <x:f>ROUND($C2963*10*VLOOKUP($B2963,Sheet2!$J$5:$K$7,2,FALSE)*VLOOKUP(Sheet1!$A2963,Sheet2!$B$5:$H$29,7,FALSE),0)</x:f>
        <x:v>0</x:v>
      </x:c>
      <x:c r="I2963">
        <x:f t="shared" si="49"/>
        <x:v>10130</x:v>
      </x:c>
    </x:row>
    <x:row r="2964" spans="1:9" x14ac:dyDescent="0.15">
      <x:c r="A2964">
        <x:v>54152</x:v>
      </x:c>
      <x:c r="B2964">
        <x:v>2</x:v>
      </x:c>
      <x:c r="C2964">
        <x:v>23</x:v>
      </x:c>
      <x:c r="D2964">
        <x:f>ROUND($C2964*10*VLOOKUP($B2964,Sheet2!$J$5:$K$7,2,FALSE)*VLOOKUP(Sheet1!$A2964,Sheet2!$B$5:$H$29,3,FALSE),0)</x:f>
        <x:v>0</x:v>
      </x:c>
      <x:c r="E2964">
        <x:f>ROUND($C2964*10*VLOOKUP($B2964,Sheet2!$J$5:$K$7,2,FALSE)*VLOOKUP(Sheet1!$A2964,Sheet2!$B$5:$H$29,4,FALSE),0)</x:f>
        <x:v>55</x:v>
      </x:c>
      <x:c r="F2964">
        <x:f>ROUND($C2964*10*VLOOKUP($B2964,Sheet2!$J$5:$K$7,2,FALSE)*VLOOKUP(Sheet1!$A2964,Sheet2!$B$5:$H$29,5,FALSE),0)</x:f>
        <x:v>0</x:v>
      </x:c>
      <x:c r="G2964">
        <x:f>ROUND($C2964*10*VLOOKUP($B2964,Sheet2!$J$5:$K$7,2,FALSE)*VLOOKUP(Sheet1!$A2964,Sheet2!$B$5:$H$29,6,FALSE),0)</x:f>
        <x:v>132</x:v>
      </x:c>
      <x:c r="H2964">
        <x:f>ROUND($C2964*10*VLOOKUP($B2964,Sheet2!$J$5:$K$7,2,FALSE)*VLOOKUP(Sheet1!$A2964,Sheet2!$B$5:$H$29,7,FALSE),0)</x:f>
        <x:v>0</x:v>
      </x:c>
      <x:c r="I2964">
        <x:f t="shared" si="49"/>
        <x:v>11010</x:v>
      </x:c>
    </x:row>
    <x:row r="2965" spans="1:9" x14ac:dyDescent="0.15">
      <x:c r="A2965">
        <x:v>54152</x:v>
      </x:c>
      <x:c r="B2965">
        <x:v>2</x:v>
      </x:c>
      <x:c r="C2965">
        <x:v>24</x:v>
      </x:c>
      <x:c r="D2965">
        <x:f>ROUND($C2965*10*VLOOKUP($B2965,Sheet2!$J$5:$K$7,2,FALSE)*VLOOKUP(Sheet1!$A2965,Sheet2!$B$5:$H$29,3,FALSE),0)</x:f>
        <x:v>0</x:v>
      </x:c>
      <x:c r="E2965">
        <x:f>ROUND($C2965*10*VLOOKUP($B2965,Sheet2!$J$5:$K$7,2,FALSE)*VLOOKUP(Sheet1!$A2965,Sheet2!$B$5:$H$29,4,FALSE),0)</x:f>
        <x:v>58</x:v>
      </x:c>
      <x:c r="F2965">
        <x:f>ROUND($C2965*10*VLOOKUP($B2965,Sheet2!$J$5:$K$7,2,FALSE)*VLOOKUP(Sheet1!$A2965,Sheet2!$B$5:$H$29,5,FALSE),0)</x:f>
        <x:v>0</x:v>
      </x:c>
      <x:c r="G2965">
        <x:f>ROUND($C2965*10*VLOOKUP($B2965,Sheet2!$J$5:$K$7,2,FALSE)*VLOOKUP(Sheet1!$A2965,Sheet2!$B$5:$H$29,6,FALSE),0)</x:f>
        <x:v>138</x:v>
      </x:c>
      <x:c r="H2965">
        <x:f>ROUND($C2965*10*VLOOKUP($B2965,Sheet2!$J$5:$K$7,2,FALSE)*VLOOKUP(Sheet1!$A2965,Sheet2!$B$5:$H$29,7,FALSE),0)</x:f>
        <x:v>0</x:v>
      </x:c>
      <x:c r="I2965">
        <x:f t="shared" si="49"/>
        <x:v>11930</x:v>
      </x:c>
    </x:row>
    <x:row r="2966" spans="1:9" x14ac:dyDescent="0.15">
      <x:c r="A2966">
        <x:v>54152</x:v>
      </x:c>
      <x:c r="B2966">
        <x:v>2</x:v>
      </x:c>
      <x:c r="C2966">
        <x:v>25</x:v>
      </x:c>
      <x:c r="D2966">
        <x:f>ROUND($C2966*10*VLOOKUP($B2966,Sheet2!$J$5:$K$7,2,FALSE)*VLOOKUP(Sheet1!$A2966,Sheet2!$B$5:$H$29,3,FALSE),0)</x:f>
        <x:v>0</x:v>
      </x:c>
      <x:c r="E2966">
        <x:f>ROUND($C2966*10*VLOOKUP($B2966,Sheet2!$J$5:$K$7,2,FALSE)*VLOOKUP(Sheet1!$A2966,Sheet2!$B$5:$H$29,4,FALSE),0)</x:f>
        <x:v>60</x:v>
      </x:c>
      <x:c r="F2966">
        <x:f>ROUND($C2966*10*VLOOKUP($B2966,Sheet2!$J$5:$K$7,2,FALSE)*VLOOKUP(Sheet1!$A2966,Sheet2!$B$5:$H$29,5,FALSE),0)</x:f>
        <x:v>0</x:v>
      </x:c>
      <x:c r="G2966">
        <x:f>ROUND($C2966*10*VLOOKUP($B2966,Sheet2!$J$5:$K$7,2,FALSE)*VLOOKUP(Sheet1!$A2966,Sheet2!$B$5:$H$29,6,FALSE),0)</x:f>
        <x:v>144</x:v>
      </x:c>
      <x:c r="H2966">
        <x:f>ROUND($C2966*10*VLOOKUP($B2966,Sheet2!$J$5:$K$7,2,FALSE)*VLOOKUP(Sheet1!$A2966,Sheet2!$B$5:$H$29,7,FALSE),0)</x:f>
        <x:v>0</x:v>
      </x:c>
      <x:c r="I2966">
        <x:f t="shared" si="49"/>
        <x:v>12870</x:v>
      </x:c>
    </x:row>
    <x:row r="2967" spans="1:9" x14ac:dyDescent="0.15">
      <x:c r="A2967">
        <x:v>54152</x:v>
      </x:c>
      <x:c r="B2967">
        <x:v>2</x:v>
      </x:c>
      <x:c r="C2967">
        <x:v>26</x:v>
      </x:c>
      <x:c r="D2967">
        <x:f>ROUND($C2967*10*VLOOKUP($B2967,Sheet2!$J$5:$K$7,2,FALSE)*VLOOKUP(Sheet1!$A2967,Sheet2!$B$5:$H$29,3,FALSE),0)</x:f>
        <x:v>0</x:v>
      </x:c>
      <x:c r="E2967">
        <x:f>ROUND($C2967*10*VLOOKUP($B2967,Sheet2!$J$5:$K$7,2,FALSE)*VLOOKUP(Sheet1!$A2967,Sheet2!$B$5:$H$29,4,FALSE),0)</x:f>
        <x:v>62</x:v>
      </x:c>
      <x:c r="F2967">
        <x:f>ROUND($C2967*10*VLOOKUP($B2967,Sheet2!$J$5:$K$7,2,FALSE)*VLOOKUP(Sheet1!$A2967,Sheet2!$B$5:$H$29,5,FALSE),0)</x:f>
        <x:v>0</x:v>
      </x:c>
      <x:c r="G2967">
        <x:f>ROUND($C2967*10*VLOOKUP($B2967,Sheet2!$J$5:$K$7,2,FALSE)*VLOOKUP(Sheet1!$A2967,Sheet2!$B$5:$H$29,6,FALSE),0)</x:f>
        <x:v>150</x:v>
      </x:c>
      <x:c r="H2967">
        <x:f>ROUND($C2967*10*VLOOKUP($B2967,Sheet2!$J$5:$K$7,2,FALSE)*VLOOKUP(Sheet1!$A2967,Sheet2!$B$5:$H$29,7,FALSE),0)</x:f>
        <x:v>0</x:v>
      </x:c>
      <x:c r="I2967">
        <x:f t="shared" si="49"/>
        <x:v>13850</x:v>
      </x:c>
    </x:row>
    <x:row r="2968" spans="1:9" x14ac:dyDescent="0.15">
      <x:c r="A2968">
        <x:v>54152</x:v>
      </x:c>
      <x:c r="B2968">
        <x:v>2</x:v>
      </x:c>
      <x:c r="C2968">
        <x:v>27</x:v>
      </x:c>
      <x:c r="D2968">
        <x:f>ROUND($C2968*10*VLOOKUP($B2968,Sheet2!$J$5:$K$7,2,FALSE)*VLOOKUP(Sheet1!$A2968,Sheet2!$B$5:$H$29,3,FALSE),0)</x:f>
        <x:v>0</x:v>
      </x:c>
      <x:c r="E2968">
        <x:f>ROUND($C2968*10*VLOOKUP($B2968,Sheet2!$J$5:$K$7,2,FALSE)*VLOOKUP(Sheet1!$A2968,Sheet2!$B$5:$H$29,4,FALSE),0)</x:f>
        <x:v>65</x:v>
      </x:c>
      <x:c r="F2968">
        <x:f>ROUND($C2968*10*VLOOKUP($B2968,Sheet2!$J$5:$K$7,2,FALSE)*VLOOKUP(Sheet1!$A2968,Sheet2!$B$5:$H$29,5,FALSE),0)</x:f>
        <x:v>0</x:v>
      </x:c>
      <x:c r="G2968">
        <x:f>ROUND($C2968*10*VLOOKUP($B2968,Sheet2!$J$5:$K$7,2,FALSE)*VLOOKUP(Sheet1!$A2968,Sheet2!$B$5:$H$29,6,FALSE),0)</x:f>
        <x:v>156</x:v>
      </x:c>
      <x:c r="H2968">
        <x:f>ROUND($C2968*10*VLOOKUP($B2968,Sheet2!$J$5:$K$7,2,FALSE)*VLOOKUP(Sheet1!$A2968,Sheet2!$B$5:$H$29,7,FALSE),0)</x:f>
        <x:v>0</x:v>
      </x:c>
      <x:c r="I2968">
        <x:f t="shared" si="49"/>
        <x:v>14860</x:v>
      </x:c>
    </x:row>
    <x:row r="2969" spans="1:9" x14ac:dyDescent="0.15">
      <x:c r="A2969">
        <x:v>54152</x:v>
      </x:c>
      <x:c r="B2969">
        <x:v>2</x:v>
      </x:c>
      <x:c r="C2969">
        <x:v>28</x:v>
      </x:c>
      <x:c r="D2969">
        <x:f>ROUND($C2969*10*VLOOKUP($B2969,Sheet2!$J$5:$K$7,2,FALSE)*VLOOKUP(Sheet1!$A2969,Sheet2!$B$5:$H$29,3,FALSE),0)</x:f>
        <x:v>0</x:v>
      </x:c>
      <x:c r="E2969">
        <x:f>ROUND($C2969*10*VLOOKUP($B2969,Sheet2!$J$5:$K$7,2,FALSE)*VLOOKUP(Sheet1!$A2969,Sheet2!$B$5:$H$29,4,FALSE),0)</x:f>
        <x:v>67</x:v>
      </x:c>
      <x:c r="F2969">
        <x:f>ROUND($C2969*10*VLOOKUP($B2969,Sheet2!$J$5:$K$7,2,FALSE)*VLOOKUP(Sheet1!$A2969,Sheet2!$B$5:$H$29,5,FALSE),0)</x:f>
        <x:v>0</x:v>
      </x:c>
      <x:c r="G2969">
        <x:f>ROUND($C2969*10*VLOOKUP($B2969,Sheet2!$J$5:$K$7,2,FALSE)*VLOOKUP(Sheet1!$A2969,Sheet2!$B$5:$H$29,6,FALSE),0)</x:f>
        <x:v>161</x:v>
      </x:c>
      <x:c r="H2969">
        <x:f>ROUND($C2969*10*VLOOKUP($B2969,Sheet2!$J$5:$K$7,2,FALSE)*VLOOKUP(Sheet1!$A2969,Sheet2!$B$5:$H$29,7,FALSE),0)</x:f>
        <x:v>0</x:v>
      </x:c>
      <x:c r="I2969">
        <x:f t="shared" si="49"/>
        <x:v>15900</x:v>
      </x:c>
    </x:row>
    <x:row r="2970" spans="1:9" x14ac:dyDescent="0.15">
      <x:c r="A2970">
        <x:v>54152</x:v>
      </x:c>
      <x:c r="B2970">
        <x:v>2</x:v>
      </x:c>
      <x:c r="C2970">
        <x:v>29</x:v>
      </x:c>
      <x:c r="D2970">
        <x:f>ROUND($C2970*10*VLOOKUP($B2970,Sheet2!$J$5:$K$7,2,FALSE)*VLOOKUP(Sheet1!$A2970,Sheet2!$B$5:$H$29,3,FALSE),0)</x:f>
        <x:v>0</x:v>
      </x:c>
      <x:c r="E2970">
        <x:f>ROUND($C2970*10*VLOOKUP($B2970,Sheet2!$J$5:$K$7,2,FALSE)*VLOOKUP(Sheet1!$A2970,Sheet2!$B$5:$H$29,4,FALSE),0)</x:f>
        <x:v>70</x:v>
      </x:c>
      <x:c r="F2970">
        <x:f>ROUND($C2970*10*VLOOKUP($B2970,Sheet2!$J$5:$K$7,2,FALSE)*VLOOKUP(Sheet1!$A2970,Sheet2!$B$5:$H$29,5,FALSE),0)</x:f>
        <x:v>0</x:v>
      </x:c>
      <x:c r="G2970">
        <x:f>ROUND($C2970*10*VLOOKUP($B2970,Sheet2!$J$5:$K$7,2,FALSE)*VLOOKUP(Sheet1!$A2970,Sheet2!$B$5:$H$29,6,FALSE),0)</x:f>
        <x:v>167</x:v>
      </x:c>
      <x:c r="H2970">
        <x:f>ROUND($C2970*10*VLOOKUP($B2970,Sheet2!$J$5:$K$7,2,FALSE)*VLOOKUP(Sheet1!$A2970,Sheet2!$B$5:$H$29,7,FALSE),0)</x:f>
        <x:v>0</x:v>
      </x:c>
      <x:c r="I2970">
        <x:f t="shared" si="49"/>
        <x:v>16970</x:v>
      </x:c>
    </x:row>
    <x:row r="2971" spans="1:9" x14ac:dyDescent="0.15">
      <x:c r="A2971">
        <x:v>54152</x:v>
      </x:c>
      <x:c r="B2971">
        <x:v>2</x:v>
      </x:c>
      <x:c r="C2971">
        <x:v>30</x:v>
      </x:c>
      <x:c r="D2971">
        <x:f>ROUND($C2971*10*VLOOKUP($B2971,Sheet2!$J$5:$K$7,2,FALSE)*VLOOKUP(Sheet1!$A2971,Sheet2!$B$5:$H$29,3,FALSE),0)</x:f>
        <x:v>0</x:v>
      </x:c>
      <x:c r="E2971">
        <x:f>ROUND($C2971*10*VLOOKUP($B2971,Sheet2!$J$5:$K$7,2,FALSE)*VLOOKUP(Sheet1!$A2971,Sheet2!$B$5:$H$29,4,FALSE),0)</x:f>
        <x:v>72</x:v>
      </x:c>
      <x:c r="F2971">
        <x:f>ROUND($C2971*10*VLOOKUP($B2971,Sheet2!$J$5:$K$7,2,FALSE)*VLOOKUP(Sheet1!$A2971,Sheet2!$B$5:$H$29,5,FALSE),0)</x:f>
        <x:v>0</x:v>
      </x:c>
      <x:c r="G2971">
        <x:f>ROUND($C2971*10*VLOOKUP($B2971,Sheet2!$J$5:$K$7,2,FALSE)*VLOOKUP(Sheet1!$A2971,Sheet2!$B$5:$H$29,6,FALSE),0)</x:f>
        <x:v>173</x:v>
      </x:c>
      <x:c r="H2971">
        <x:f>ROUND($C2971*10*VLOOKUP($B2971,Sheet2!$J$5:$K$7,2,FALSE)*VLOOKUP(Sheet1!$A2971,Sheet2!$B$5:$H$29,7,FALSE),0)</x:f>
        <x:v>0</x:v>
      </x:c>
      <x:c r="I2971">
        <x:f t="shared" si="49"/>
        <x:v>18070</x:v>
      </x:c>
    </x:row>
    <x:row r="2972" spans="1:9" x14ac:dyDescent="0.15">
      <x:c r="A2972">
        <x:v>54152</x:v>
      </x:c>
      <x:c r="B2972">
        <x:v>2</x:v>
      </x:c>
      <x:c r="C2972">
        <x:v>31</x:v>
      </x:c>
      <x:c r="D2972">
        <x:f>ROUND($C2972*10*VLOOKUP($B2972,Sheet2!$J$5:$K$7,2,FALSE)*VLOOKUP(Sheet1!$A2972,Sheet2!$B$5:$H$29,3,FALSE),0)</x:f>
        <x:v>0</x:v>
      </x:c>
      <x:c r="E2972">
        <x:f>ROUND($C2972*10*VLOOKUP($B2972,Sheet2!$J$5:$K$7,2,FALSE)*VLOOKUP(Sheet1!$A2972,Sheet2!$B$5:$H$29,4,FALSE),0)</x:f>
        <x:v>74</x:v>
      </x:c>
      <x:c r="F2972">
        <x:f>ROUND($C2972*10*VLOOKUP($B2972,Sheet2!$J$5:$K$7,2,FALSE)*VLOOKUP(Sheet1!$A2972,Sheet2!$B$5:$H$29,5,FALSE),0)</x:f>
        <x:v>0</x:v>
      </x:c>
      <x:c r="G2972">
        <x:f>ROUND($C2972*10*VLOOKUP($B2972,Sheet2!$J$5:$K$7,2,FALSE)*VLOOKUP(Sheet1!$A2972,Sheet2!$B$5:$H$29,6,FALSE),0)</x:f>
        <x:v>179</x:v>
      </x:c>
      <x:c r="H2972">
        <x:f>ROUND($C2972*10*VLOOKUP($B2972,Sheet2!$J$5:$K$7,2,FALSE)*VLOOKUP(Sheet1!$A2972,Sheet2!$B$5:$H$29,7,FALSE),0)</x:f>
        <x:v>0</x:v>
      </x:c>
      <x:c r="I2972">
        <x:f t="shared" si="49"/>
        <x:v>19210</x:v>
      </x:c>
    </x:row>
    <x:row r="2973" spans="1:9" x14ac:dyDescent="0.15">
      <x:c r="A2973">
        <x:v>54152</x:v>
      </x:c>
      <x:c r="B2973">
        <x:v>2</x:v>
      </x:c>
      <x:c r="C2973">
        <x:v>32</x:v>
      </x:c>
      <x:c r="D2973">
        <x:f>ROUND($C2973*10*VLOOKUP($B2973,Sheet2!$J$5:$K$7,2,FALSE)*VLOOKUP(Sheet1!$A2973,Sheet2!$B$5:$H$29,3,FALSE),0)</x:f>
        <x:v>0</x:v>
      </x:c>
      <x:c r="E2973">
        <x:f>ROUND($C2973*10*VLOOKUP($B2973,Sheet2!$J$5:$K$7,2,FALSE)*VLOOKUP(Sheet1!$A2973,Sheet2!$B$5:$H$29,4,FALSE),0)</x:f>
        <x:v>77</x:v>
      </x:c>
      <x:c r="F2973">
        <x:f>ROUND($C2973*10*VLOOKUP($B2973,Sheet2!$J$5:$K$7,2,FALSE)*VLOOKUP(Sheet1!$A2973,Sheet2!$B$5:$H$29,5,FALSE),0)</x:f>
        <x:v>0</x:v>
      </x:c>
      <x:c r="G2973">
        <x:f>ROUND($C2973*10*VLOOKUP($B2973,Sheet2!$J$5:$K$7,2,FALSE)*VLOOKUP(Sheet1!$A2973,Sheet2!$B$5:$H$29,6,FALSE),0)</x:f>
        <x:v>184</x:v>
      </x:c>
      <x:c r="H2973">
        <x:f>ROUND($C2973*10*VLOOKUP($B2973,Sheet2!$J$5:$K$7,2,FALSE)*VLOOKUP(Sheet1!$A2973,Sheet2!$B$5:$H$29,7,FALSE),0)</x:f>
        <x:v>0</x:v>
      </x:c>
      <x:c r="I2973">
        <x:f t="shared" si="49"/>
        <x:v>20370</x:v>
      </x:c>
    </x:row>
    <x:row r="2974" spans="1:9" x14ac:dyDescent="0.15">
      <x:c r="A2974">
        <x:v>54152</x:v>
      </x:c>
      <x:c r="B2974">
        <x:v>2</x:v>
      </x:c>
      <x:c r="C2974">
        <x:v>33</x:v>
      </x:c>
      <x:c r="D2974">
        <x:f>ROUND($C2974*10*VLOOKUP($B2974,Sheet2!$J$5:$K$7,2,FALSE)*VLOOKUP(Sheet1!$A2974,Sheet2!$B$5:$H$29,3,FALSE),0)</x:f>
        <x:v>0</x:v>
      </x:c>
      <x:c r="E2974">
        <x:f>ROUND($C2974*10*VLOOKUP($B2974,Sheet2!$J$5:$K$7,2,FALSE)*VLOOKUP(Sheet1!$A2974,Sheet2!$B$5:$H$29,4,FALSE),0)</x:f>
        <x:v>79</x:v>
      </x:c>
      <x:c r="F2974">
        <x:f>ROUND($C2974*10*VLOOKUP($B2974,Sheet2!$J$5:$K$7,2,FALSE)*VLOOKUP(Sheet1!$A2974,Sheet2!$B$5:$H$29,5,FALSE),0)</x:f>
        <x:v>0</x:v>
      </x:c>
      <x:c r="G2974">
        <x:f>ROUND($C2974*10*VLOOKUP($B2974,Sheet2!$J$5:$K$7,2,FALSE)*VLOOKUP(Sheet1!$A2974,Sheet2!$B$5:$H$29,6,FALSE),0)</x:f>
        <x:v>190</x:v>
      </x:c>
      <x:c r="H2974">
        <x:f>ROUND($C2974*10*VLOOKUP($B2974,Sheet2!$J$5:$K$7,2,FALSE)*VLOOKUP(Sheet1!$A2974,Sheet2!$B$5:$H$29,7,FALSE),0)</x:f>
        <x:v>0</x:v>
      </x:c>
      <x:c r="I2974">
        <x:f t="shared" si="49"/>
        <x:v>21560</x:v>
      </x:c>
    </x:row>
    <x:row r="2975" spans="1:9" x14ac:dyDescent="0.15">
      <x:c r="A2975">
        <x:v>54152</x:v>
      </x:c>
      <x:c r="B2975">
        <x:v>2</x:v>
      </x:c>
      <x:c r="C2975">
        <x:v>34</x:v>
      </x:c>
      <x:c r="D2975">
        <x:f>ROUND($C2975*10*VLOOKUP($B2975,Sheet2!$J$5:$K$7,2,FALSE)*VLOOKUP(Sheet1!$A2975,Sheet2!$B$5:$H$29,3,FALSE),0)</x:f>
        <x:v>0</x:v>
      </x:c>
      <x:c r="E2975">
        <x:f>ROUND($C2975*10*VLOOKUP($B2975,Sheet2!$J$5:$K$7,2,FALSE)*VLOOKUP(Sheet1!$A2975,Sheet2!$B$5:$H$29,4,FALSE),0)</x:f>
        <x:v>82</x:v>
      </x:c>
      <x:c r="F2975">
        <x:f>ROUND($C2975*10*VLOOKUP($B2975,Sheet2!$J$5:$K$7,2,FALSE)*VLOOKUP(Sheet1!$A2975,Sheet2!$B$5:$H$29,5,FALSE),0)</x:f>
        <x:v>0</x:v>
      </x:c>
      <x:c r="G2975">
        <x:f>ROUND($C2975*10*VLOOKUP($B2975,Sheet2!$J$5:$K$7,2,FALSE)*VLOOKUP(Sheet1!$A2975,Sheet2!$B$5:$H$29,6,FALSE),0)</x:f>
        <x:v>196</x:v>
      </x:c>
      <x:c r="H2975">
        <x:f>ROUND($C2975*10*VLOOKUP($B2975,Sheet2!$J$5:$K$7,2,FALSE)*VLOOKUP(Sheet1!$A2975,Sheet2!$B$5:$H$29,7,FALSE),0)</x:f>
        <x:v>0</x:v>
      </x:c>
      <x:c r="I2975">
        <x:f t="shared" si="49"/>
        <x:v>22790</x:v>
      </x:c>
    </x:row>
    <x:row r="2976" spans="1:9" x14ac:dyDescent="0.15">
      <x:c r="A2976">
        <x:v>54152</x:v>
      </x:c>
      <x:c r="B2976">
        <x:v>2</x:v>
      </x:c>
      <x:c r="C2976">
        <x:v>35</x:v>
      </x:c>
      <x:c r="D2976">
        <x:f>ROUND($C2976*10*VLOOKUP($B2976,Sheet2!$J$5:$K$7,2,FALSE)*VLOOKUP(Sheet1!$A2976,Sheet2!$B$5:$H$29,3,FALSE),0)</x:f>
        <x:v>0</x:v>
      </x:c>
      <x:c r="E2976">
        <x:f>ROUND($C2976*10*VLOOKUP($B2976,Sheet2!$J$5:$K$7,2,FALSE)*VLOOKUP(Sheet1!$A2976,Sheet2!$B$5:$H$29,4,FALSE),0)</x:f>
        <x:v>84</x:v>
      </x:c>
      <x:c r="F2976">
        <x:f>ROUND($C2976*10*VLOOKUP($B2976,Sheet2!$J$5:$K$7,2,FALSE)*VLOOKUP(Sheet1!$A2976,Sheet2!$B$5:$H$29,5,FALSE),0)</x:f>
        <x:v>0</x:v>
      </x:c>
      <x:c r="G2976">
        <x:f>ROUND($C2976*10*VLOOKUP($B2976,Sheet2!$J$5:$K$7,2,FALSE)*VLOOKUP(Sheet1!$A2976,Sheet2!$B$5:$H$29,6,FALSE),0)</x:f>
        <x:v>202</x:v>
      </x:c>
      <x:c r="H2976">
        <x:f>ROUND($C2976*10*VLOOKUP($B2976,Sheet2!$J$5:$K$7,2,FALSE)*VLOOKUP(Sheet1!$A2976,Sheet2!$B$5:$H$29,7,FALSE),0)</x:f>
        <x:v>0</x:v>
      </x:c>
      <x:c r="I2976">
        <x:f t="shared" si="49"/>
        <x:v>24040</x:v>
      </x:c>
    </x:row>
    <x:row r="2977" spans="1:9" x14ac:dyDescent="0.15">
      <x:c r="A2977">
        <x:v>54152</x:v>
      </x:c>
      <x:c r="B2977">
        <x:v>2</x:v>
      </x:c>
      <x:c r="C2977">
        <x:v>36</x:v>
      </x:c>
      <x:c r="D2977">
        <x:f>ROUND($C2977*10*VLOOKUP($B2977,Sheet2!$J$5:$K$7,2,FALSE)*VLOOKUP(Sheet1!$A2977,Sheet2!$B$5:$H$29,3,FALSE),0)</x:f>
        <x:v>0</x:v>
      </x:c>
      <x:c r="E2977">
        <x:f>ROUND($C2977*10*VLOOKUP($B2977,Sheet2!$J$5:$K$7,2,FALSE)*VLOOKUP(Sheet1!$A2977,Sheet2!$B$5:$H$29,4,FALSE),0)</x:f>
        <x:v>86</x:v>
      </x:c>
      <x:c r="F2977">
        <x:f>ROUND($C2977*10*VLOOKUP($B2977,Sheet2!$J$5:$K$7,2,FALSE)*VLOOKUP(Sheet1!$A2977,Sheet2!$B$5:$H$29,5,FALSE),0)</x:f>
        <x:v>0</x:v>
      </x:c>
      <x:c r="G2977">
        <x:f>ROUND($C2977*10*VLOOKUP($B2977,Sheet2!$J$5:$K$7,2,FALSE)*VLOOKUP(Sheet1!$A2977,Sheet2!$B$5:$H$29,6,FALSE),0)</x:f>
        <x:v>207</x:v>
      </x:c>
      <x:c r="H2977">
        <x:f>ROUND($C2977*10*VLOOKUP($B2977,Sheet2!$J$5:$K$7,2,FALSE)*VLOOKUP(Sheet1!$A2977,Sheet2!$B$5:$H$29,7,FALSE),0)</x:f>
        <x:v>0</x:v>
      </x:c>
      <x:c r="I2977">
        <x:f t="shared" si="49"/>
        <x:v>25330</x:v>
      </x:c>
    </x:row>
    <x:row r="2978" spans="1:9" x14ac:dyDescent="0.15">
      <x:c r="A2978">
        <x:v>54152</x:v>
      </x:c>
      <x:c r="B2978">
        <x:v>2</x:v>
      </x:c>
      <x:c r="C2978">
        <x:v>37</x:v>
      </x:c>
      <x:c r="D2978">
        <x:f>ROUND($C2978*10*VLOOKUP($B2978,Sheet2!$J$5:$K$7,2,FALSE)*VLOOKUP(Sheet1!$A2978,Sheet2!$B$5:$H$29,3,FALSE),0)</x:f>
        <x:v>0</x:v>
      </x:c>
      <x:c r="E2978">
        <x:f>ROUND($C2978*10*VLOOKUP($B2978,Sheet2!$J$5:$K$7,2,FALSE)*VLOOKUP(Sheet1!$A2978,Sheet2!$B$5:$H$29,4,FALSE),0)</x:f>
        <x:v>89</x:v>
      </x:c>
      <x:c r="F2978">
        <x:f>ROUND($C2978*10*VLOOKUP($B2978,Sheet2!$J$5:$K$7,2,FALSE)*VLOOKUP(Sheet1!$A2978,Sheet2!$B$5:$H$29,5,FALSE),0)</x:f>
        <x:v>0</x:v>
      </x:c>
      <x:c r="G2978">
        <x:f>ROUND($C2978*10*VLOOKUP($B2978,Sheet2!$J$5:$K$7,2,FALSE)*VLOOKUP(Sheet1!$A2978,Sheet2!$B$5:$H$29,6,FALSE),0)</x:f>
        <x:v>213</x:v>
      </x:c>
      <x:c r="H2978">
        <x:f>ROUND($C2978*10*VLOOKUP($B2978,Sheet2!$J$5:$K$7,2,FALSE)*VLOOKUP(Sheet1!$A2978,Sheet2!$B$5:$H$29,7,FALSE),0)</x:f>
        <x:v>0</x:v>
      </x:c>
      <x:c r="I2978">
        <x:f t="shared" si="49"/>
        <x:v>26640</x:v>
      </x:c>
    </x:row>
    <x:row r="2979" spans="1:9" x14ac:dyDescent="0.15">
      <x:c r="A2979">
        <x:v>54152</x:v>
      </x:c>
      <x:c r="B2979">
        <x:v>2</x:v>
      </x:c>
      <x:c r="C2979">
        <x:v>38</x:v>
      </x:c>
      <x:c r="D2979">
        <x:f>ROUND($C2979*10*VLOOKUP($B2979,Sheet2!$J$5:$K$7,2,FALSE)*VLOOKUP(Sheet1!$A2979,Sheet2!$B$5:$H$29,3,FALSE),0)</x:f>
        <x:v>0</x:v>
      </x:c>
      <x:c r="E2979">
        <x:f>ROUND($C2979*10*VLOOKUP($B2979,Sheet2!$J$5:$K$7,2,FALSE)*VLOOKUP(Sheet1!$A2979,Sheet2!$B$5:$H$29,4,FALSE),0)</x:f>
        <x:v>91</x:v>
      </x:c>
      <x:c r="F2979">
        <x:f>ROUND($C2979*10*VLOOKUP($B2979,Sheet2!$J$5:$K$7,2,FALSE)*VLOOKUP(Sheet1!$A2979,Sheet2!$B$5:$H$29,5,FALSE),0)</x:f>
        <x:v>0</x:v>
      </x:c>
      <x:c r="G2979">
        <x:f>ROUND($C2979*10*VLOOKUP($B2979,Sheet2!$J$5:$K$7,2,FALSE)*VLOOKUP(Sheet1!$A2979,Sheet2!$B$5:$H$29,6,FALSE),0)</x:f>
        <x:v>219</x:v>
      </x:c>
      <x:c r="H2979">
        <x:f>ROUND($C2979*10*VLOOKUP($B2979,Sheet2!$J$5:$K$7,2,FALSE)*VLOOKUP(Sheet1!$A2979,Sheet2!$B$5:$H$29,7,FALSE),0)</x:f>
        <x:v>0</x:v>
      </x:c>
      <x:c r="I2979">
        <x:f t="shared" si="49"/>
        <x:v>27990</x:v>
      </x:c>
    </x:row>
    <x:row r="2980" spans="1:9" x14ac:dyDescent="0.15">
      <x:c r="A2980">
        <x:v>54152</x:v>
      </x:c>
      <x:c r="B2980">
        <x:v>2</x:v>
      </x:c>
      <x:c r="C2980">
        <x:v>39</x:v>
      </x:c>
      <x:c r="D2980">
        <x:f>ROUND($C2980*10*VLOOKUP($B2980,Sheet2!$J$5:$K$7,2,FALSE)*VLOOKUP(Sheet1!$A2980,Sheet2!$B$5:$H$29,3,FALSE),0)</x:f>
        <x:v>0</x:v>
      </x:c>
      <x:c r="E2980">
        <x:f>ROUND($C2980*10*VLOOKUP($B2980,Sheet2!$J$5:$K$7,2,FALSE)*VLOOKUP(Sheet1!$A2980,Sheet2!$B$5:$H$29,4,FALSE),0)</x:f>
        <x:v>94</x:v>
      </x:c>
      <x:c r="F2980">
        <x:f>ROUND($C2980*10*VLOOKUP($B2980,Sheet2!$J$5:$K$7,2,FALSE)*VLOOKUP(Sheet1!$A2980,Sheet2!$B$5:$H$29,5,FALSE),0)</x:f>
        <x:v>0</x:v>
      </x:c>
      <x:c r="G2980">
        <x:f>ROUND($C2980*10*VLOOKUP($B2980,Sheet2!$J$5:$K$7,2,FALSE)*VLOOKUP(Sheet1!$A2980,Sheet2!$B$5:$H$29,6,FALSE),0)</x:f>
        <x:v>225</x:v>
      </x:c>
      <x:c r="H2980">
        <x:f>ROUND($C2980*10*VLOOKUP($B2980,Sheet2!$J$5:$K$7,2,FALSE)*VLOOKUP(Sheet1!$A2980,Sheet2!$B$5:$H$29,7,FALSE),0)</x:f>
        <x:v>0</x:v>
      </x:c>
      <x:c r="I2980">
        <x:f t="shared" si="49"/>
        <x:v>29360</x:v>
      </x:c>
    </x:row>
    <x:row r="2981" spans="1:9" x14ac:dyDescent="0.15">
      <x:c r="A2981">
        <x:v>54152</x:v>
      </x:c>
      <x:c r="B2981">
        <x:v>2</x:v>
      </x:c>
      <x:c r="C2981">
        <x:v>40</x:v>
      </x:c>
      <x:c r="D2981">
        <x:f>ROUND($C2981*10*VLOOKUP($B2981,Sheet2!$J$5:$K$7,2,FALSE)*VLOOKUP(Sheet1!$A2981,Sheet2!$B$5:$H$29,3,FALSE),0)</x:f>
        <x:v>0</x:v>
      </x:c>
      <x:c r="E2981">
        <x:f>ROUND($C2981*10*VLOOKUP($B2981,Sheet2!$J$5:$K$7,2,FALSE)*VLOOKUP(Sheet1!$A2981,Sheet2!$B$5:$H$29,4,FALSE),0)</x:f>
        <x:v>96</x:v>
      </x:c>
      <x:c r="F2981">
        <x:f>ROUND($C2981*10*VLOOKUP($B2981,Sheet2!$J$5:$K$7,2,FALSE)*VLOOKUP(Sheet1!$A2981,Sheet2!$B$5:$H$29,5,FALSE),0)</x:f>
        <x:v>0</x:v>
      </x:c>
      <x:c r="G2981">
        <x:f>ROUND($C2981*10*VLOOKUP($B2981,Sheet2!$J$5:$K$7,2,FALSE)*VLOOKUP(Sheet1!$A2981,Sheet2!$B$5:$H$29,6,FALSE),0)</x:f>
        <x:v>230</x:v>
      </x:c>
      <x:c r="H2981">
        <x:f>ROUND($C2981*10*VLOOKUP($B2981,Sheet2!$J$5:$K$7,2,FALSE)*VLOOKUP(Sheet1!$A2981,Sheet2!$B$5:$H$29,7,FALSE),0)</x:f>
        <x:v>0</x:v>
      </x:c>
      <x:c r="I2981">
        <x:f t="shared" si="49"/>
        <x:v>30760</x:v>
      </x:c>
    </x:row>
    <x:row r="2982" spans="1:9" x14ac:dyDescent="0.15">
      <x:c r="A2982">
        <x:v>54152</x:v>
      </x:c>
      <x:c r="B2982">
        <x:v>2</x:v>
      </x:c>
      <x:c r="C2982">
        <x:v>41</x:v>
      </x:c>
      <x:c r="D2982">
        <x:f>ROUND($C2982*10*VLOOKUP($B2982,Sheet2!$J$5:$K$7,2,FALSE)*VLOOKUP(Sheet1!$A2982,Sheet2!$B$5:$H$29,3,FALSE),0)</x:f>
        <x:v>0</x:v>
      </x:c>
      <x:c r="E2982">
        <x:f>ROUND($C2982*10*VLOOKUP($B2982,Sheet2!$J$5:$K$7,2,FALSE)*VLOOKUP(Sheet1!$A2982,Sheet2!$B$5:$H$29,4,FALSE),0)</x:f>
        <x:v>98</x:v>
      </x:c>
      <x:c r="F2982">
        <x:f>ROUND($C2982*10*VLOOKUP($B2982,Sheet2!$J$5:$K$7,2,FALSE)*VLOOKUP(Sheet1!$A2982,Sheet2!$B$5:$H$29,5,FALSE),0)</x:f>
        <x:v>0</x:v>
      </x:c>
      <x:c r="G2982">
        <x:f>ROUND($C2982*10*VLOOKUP($B2982,Sheet2!$J$5:$K$7,2,FALSE)*VLOOKUP(Sheet1!$A2982,Sheet2!$B$5:$H$29,6,FALSE),0)</x:f>
        <x:v>236</x:v>
      </x:c>
      <x:c r="H2982">
        <x:f>ROUND($C2982*10*VLOOKUP($B2982,Sheet2!$J$5:$K$7,2,FALSE)*VLOOKUP(Sheet1!$A2982,Sheet2!$B$5:$H$29,7,FALSE),0)</x:f>
        <x:v>0</x:v>
      </x:c>
      <x:c r="I2982">
        <x:f t="shared" si="49"/>
        <x:v>32190</x:v>
      </x:c>
    </x:row>
    <x:row r="2983" spans="1:9" x14ac:dyDescent="0.15">
      <x:c r="A2983">
        <x:v>54152</x:v>
      </x:c>
      <x:c r="B2983">
        <x:v>2</x:v>
      </x:c>
      <x:c r="C2983">
        <x:v>42</x:v>
      </x:c>
      <x:c r="D2983">
        <x:f>ROUND($C2983*10*VLOOKUP($B2983,Sheet2!$J$5:$K$7,2,FALSE)*VLOOKUP(Sheet1!$A2983,Sheet2!$B$5:$H$29,3,FALSE),0)</x:f>
        <x:v>0</x:v>
      </x:c>
      <x:c r="E2983">
        <x:f>ROUND($C2983*10*VLOOKUP($B2983,Sheet2!$J$5:$K$7,2,FALSE)*VLOOKUP(Sheet1!$A2983,Sheet2!$B$5:$H$29,4,FALSE),0)</x:f>
        <x:v>101</x:v>
      </x:c>
      <x:c r="F2983">
        <x:f>ROUND($C2983*10*VLOOKUP($B2983,Sheet2!$J$5:$K$7,2,FALSE)*VLOOKUP(Sheet1!$A2983,Sheet2!$B$5:$H$29,5,FALSE),0)</x:f>
        <x:v>0</x:v>
      </x:c>
      <x:c r="G2983">
        <x:f>ROUND($C2983*10*VLOOKUP($B2983,Sheet2!$J$5:$K$7,2,FALSE)*VLOOKUP(Sheet1!$A2983,Sheet2!$B$5:$H$29,6,FALSE),0)</x:f>
        <x:v>242</x:v>
      </x:c>
      <x:c r="H2983">
        <x:f>ROUND($C2983*10*VLOOKUP($B2983,Sheet2!$J$5:$K$7,2,FALSE)*VLOOKUP(Sheet1!$A2983,Sheet2!$B$5:$H$29,7,FALSE),0)</x:f>
        <x:v>0</x:v>
      </x:c>
      <x:c r="I2983">
        <x:f t="shared" si="49"/>
        <x:v>33650</x:v>
      </x:c>
    </x:row>
    <x:row r="2984" spans="1:9" x14ac:dyDescent="0.15">
      <x:c r="A2984">
        <x:v>54152</x:v>
      </x:c>
      <x:c r="B2984">
        <x:v>2</x:v>
      </x:c>
      <x:c r="C2984">
        <x:v>43</x:v>
      </x:c>
      <x:c r="D2984">
        <x:f>ROUND($C2984*10*VLOOKUP($B2984,Sheet2!$J$5:$K$7,2,FALSE)*VLOOKUP(Sheet1!$A2984,Sheet2!$B$5:$H$29,3,FALSE),0)</x:f>
        <x:v>0</x:v>
      </x:c>
      <x:c r="E2984">
        <x:f>ROUND($C2984*10*VLOOKUP($B2984,Sheet2!$J$5:$K$7,2,FALSE)*VLOOKUP(Sheet1!$A2984,Sheet2!$B$5:$H$29,4,FALSE),0)</x:f>
        <x:v>103</x:v>
      </x:c>
      <x:c r="F2984">
        <x:f>ROUND($C2984*10*VLOOKUP($B2984,Sheet2!$J$5:$K$7,2,FALSE)*VLOOKUP(Sheet1!$A2984,Sheet2!$B$5:$H$29,5,FALSE),0)</x:f>
        <x:v>0</x:v>
      </x:c>
      <x:c r="G2984">
        <x:f>ROUND($C2984*10*VLOOKUP($B2984,Sheet2!$J$5:$K$7,2,FALSE)*VLOOKUP(Sheet1!$A2984,Sheet2!$B$5:$H$29,6,FALSE),0)</x:f>
        <x:v>248</x:v>
      </x:c>
      <x:c r="H2984">
        <x:f>ROUND($C2984*10*VLOOKUP($B2984,Sheet2!$J$5:$K$7,2,FALSE)*VLOOKUP(Sheet1!$A2984,Sheet2!$B$5:$H$29,7,FALSE),0)</x:f>
        <x:v>0</x:v>
      </x:c>
      <x:c r="I2984">
        <x:f t="shared" si="49"/>
        <x:v>35140</x:v>
      </x:c>
    </x:row>
    <x:row r="2985" spans="1:9" x14ac:dyDescent="0.15">
      <x:c r="A2985">
        <x:v>54152</x:v>
      </x:c>
      <x:c r="B2985">
        <x:v>2</x:v>
      </x:c>
      <x:c r="C2985">
        <x:v>44</x:v>
      </x:c>
      <x:c r="D2985">
        <x:f>ROUND($C2985*10*VLOOKUP($B2985,Sheet2!$J$5:$K$7,2,FALSE)*VLOOKUP(Sheet1!$A2985,Sheet2!$B$5:$H$29,3,FALSE),0)</x:f>
        <x:v>0</x:v>
      </x:c>
      <x:c r="E2985">
        <x:f>ROUND($C2985*10*VLOOKUP($B2985,Sheet2!$J$5:$K$7,2,FALSE)*VLOOKUP(Sheet1!$A2985,Sheet2!$B$5:$H$29,4,FALSE),0)</x:f>
        <x:v>106</x:v>
      </x:c>
      <x:c r="F2985">
        <x:f>ROUND($C2985*10*VLOOKUP($B2985,Sheet2!$J$5:$K$7,2,FALSE)*VLOOKUP(Sheet1!$A2985,Sheet2!$B$5:$H$29,5,FALSE),0)</x:f>
        <x:v>0</x:v>
      </x:c>
      <x:c r="G2985">
        <x:f>ROUND($C2985*10*VLOOKUP($B2985,Sheet2!$J$5:$K$7,2,FALSE)*VLOOKUP(Sheet1!$A2985,Sheet2!$B$5:$H$29,6,FALSE),0)</x:f>
        <x:v>253</x:v>
      </x:c>
      <x:c r="H2985">
        <x:f>ROUND($C2985*10*VLOOKUP($B2985,Sheet2!$J$5:$K$7,2,FALSE)*VLOOKUP(Sheet1!$A2985,Sheet2!$B$5:$H$29,7,FALSE),0)</x:f>
        <x:v>0</x:v>
      </x:c>
      <x:c r="I2985">
        <x:f t="shared" si="49"/>
        <x:v>36660</x:v>
      </x:c>
    </x:row>
    <x:row r="2986" spans="1:9" x14ac:dyDescent="0.15">
      <x:c r="A2986">
        <x:v>54152</x:v>
      </x:c>
      <x:c r="B2986">
        <x:v>2</x:v>
      </x:c>
      <x:c r="C2986">
        <x:v>45</x:v>
      </x:c>
      <x:c r="D2986">
        <x:f>ROUND($C2986*10*VLOOKUP($B2986,Sheet2!$J$5:$K$7,2,FALSE)*VLOOKUP(Sheet1!$A2986,Sheet2!$B$5:$H$29,3,FALSE),0)</x:f>
        <x:v>0</x:v>
      </x:c>
      <x:c r="E2986">
        <x:f>ROUND($C2986*10*VLOOKUP($B2986,Sheet2!$J$5:$K$7,2,FALSE)*VLOOKUP(Sheet1!$A2986,Sheet2!$B$5:$H$29,4,FALSE),0)</x:f>
        <x:v>108</x:v>
      </x:c>
      <x:c r="F2986">
        <x:f>ROUND($C2986*10*VLOOKUP($B2986,Sheet2!$J$5:$K$7,2,FALSE)*VLOOKUP(Sheet1!$A2986,Sheet2!$B$5:$H$29,5,FALSE),0)</x:f>
        <x:v>0</x:v>
      </x:c>
      <x:c r="G2986">
        <x:f>ROUND($C2986*10*VLOOKUP($B2986,Sheet2!$J$5:$K$7,2,FALSE)*VLOOKUP(Sheet1!$A2986,Sheet2!$B$5:$H$29,6,FALSE),0)</x:f>
        <x:v>259</x:v>
      </x:c>
      <x:c r="H2986">
        <x:f>ROUND($C2986*10*VLOOKUP($B2986,Sheet2!$J$5:$K$7,2,FALSE)*VLOOKUP(Sheet1!$A2986,Sheet2!$B$5:$H$29,7,FALSE),0)</x:f>
        <x:v>0</x:v>
      </x:c>
      <x:c r="I2986">
        <x:f t="shared" si="49"/>
        <x:v>38210</x:v>
      </x:c>
    </x:row>
    <x:row r="2987" spans="1:9" x14ac:dyDescent="0.15">
      <x:c r="A2987">
        <x:v>54152</x:v>
      </x:c>
      <x:c r="B2987">
        <x:v>2</x:v>
      </x:c>
      <x:c r="C2987">
        <x:v>46</x:v>
      </x:c>
      <x:c r="D2987">
        <x:f>ROUND($C2987*10*VLOOKUP($B2987,Sheet2!$J$5:$K$7,2,FALSE)*VLOOKUP(Sheet1!$A2987,Sheet2!$B$5:$H$29,3,FALSE),0)</x:f>
        <x:v>0</x:v>
      </x:c>
      <x:c r="E2987">
        <x:f>ROUND($C2987*10*VLOOKUP($B2987,Sheet2!$J$5:$K$7,2,FALSE)*VLOOKUP(Sheet1!$A2987,Sheet2!$B$5:$H$29,4,FALSE),0)</x:f>
        <x:v>110</x:v>
      </x:c>
      <x:c r="F2987">
        <x:f>ROUND($C2987*10*VLOOKUP($B2987,Sheet2!$J$5:$K$7,2,FALSE)*VLOOKUP(Sheet1!$A2987,Sheet2!$B$5:$H$29,5,FALSE),0)</x:f>
        <x:v>0</x:v>
      </x:c>
      <x:c r="G2987">
        <x:f>ROUND($C2987*10*VLOOKUP($B2987,Sheet2!$J$5:$K$7,2,FALSE)*VLOOKUP(Sheet1!$A2987,Sheet2!$B$5:$H$29,6,FALSE),0)</x:f>
        <x:v>265</x:v>
      </x:c>
      <x:c r="H2987">
        <x:f>ROUND($C2987*10*VLOOKUP($B2987,Sheet2!$J$5:$K$7,2,FALSE)*VLOOKUP(Sheet1!$A2987,Sheet2!$B$5:$H$29,7,FALSE),0)</x:f>
        <x:v>0</x:v>
      </x:c>
      <x:c r="I2987">
        <x:f t="shared" si="49"/>
        <x:v>39780</x:v>
      </x:c>
    </x:row>
    <x:row r="2988" spans="1:9" x14ac:dyDescent="0.15">
      <x:c r="A2988">
        <x:v>54152</x:v>
      </x:c>
      <x:c r="B2988">
        <x:v>2</x:v>
      </x:c>
      <x:c r="C2988">
        <x:v>47</x:v>
      </x:c>
      <x:c r="D2988">
        <x:f>ROUND($C2988*10*VLOOKUP($B2988,Sheet2!$J$5:$K$7,2,FALSE)*VLOOKUP(Sheet1!$A2988,Sheet2!$B$5:$H$29,3,FALSE),0)</x:f>
        <x:v>0</x:v>
      </x:c>
      <x:c r="E2988">
        <x:f>ROUND($C2988*10*VLOOKUP($B2988,Sheet2!$J$5:$K$7,2,FALSE)*VLOOKUP(Sheet1!$A2988,Sheet2!$B$5:$H$29,4,FALSE),0)</x:f>
        <x:v>113</x:v>
      </x:c>
      <x:c r="F2988">
        <x:f>ROUND($C2988*10*VLOOKUP($B2988,Sheet2!$J$5:$K$7,2,FALSE)*VLOOKUP(Sheet1!$A2988,Sheet2!$B$5:$H$29,5,FALSE),0)</x:f>
        <x:v>0</x:v>
      </x:c>
      <x:c r="G2988">
        <x:f>ROUND($C2988*10*VLOOKUP($B2988,Sheet2!$J$5:$K$7,2,FALSE)*VLOOKUP(Sheet1!$A2988,Sheet2!$B$5:$H$29,6,FALSE),0)</x:f>
        <x:v>271</x:v>
      </x:c>
      <x:c r="H2988">
        <x:f>ROUND($C2988*10*VLOOKUP($B2988,Sheet2!$J$5:$K$7,2,FALSE)*VLOOKUP(Sheet1!$A2988,Sheet2!$B$5:$H$29,7,FALSE),0)</x:f>
        <x:v>0</x:v>
      </x:c>
      <x:c r="I2988">
        <x:f t="shared" si="49"/>
        <x:v>41390</x:v>
      </x:c>
    </x:row>
    <x:row r="2989" spans="1:9" x14ac:dyDescent="0.15">
      <x:c r="A2989">
        <x:v>54152</x:v>
      </x:c>
      <x:c r="B2989">
        <x:v>2</x:v>
      </x:c>
      <x:c r="C2989">
        <x:v>48</x:v>
      </x:c>
      <x:c r="D2989">
        <x:f>ROUND($C2989*10*VLOOKUP($B2989,Sheet2!$J$5:$K$7,2,FALSE)*VLOOKUP(Sheet1!$A2989,Sheet2!$B$5:$H$29,3,FALSE),0)</x:f>
        <x:v>0</x:v>
      </x:c>
      <x:c r="E2989">
        <x:f>ROUND($C2989*10*VLOOKUP($B2989,Sheet2!$J$5:$K$7,2,FALSE)*VLOOKUP(Sheet1!$A2989,Sheet2!$B$5:$H$29,4,FALSE),0)</x:f>
        <x:v>115</x:v>
      </x:c>
      <x:c r="F2989">
        <x:f>ROUND($C2989*10*VLOOKUP($B2989,Sheet2!$J$5:$K$7,2,FALSE)*VLOOKUP(Sheet1!$A2989,Sheet2!$B$5:$H$29,5,FALSE),0)</x:f>
        <x:v>0</x:v>
      </x:c>
      <x:c r="G2989">
        <x:f>ROUND($C2989*10*VLOOKUP($B2989,Sheet2!$J$5:$K$7,2,FALSE)*VLOOKUP(Sheet1!$A2989,Sheet2!$B$5:$H$29,6,FALSE),0)</x:f>
        <x:v>276</x:v>
      </x:c>
      <x:c r="H2989">
        <x:f>ROUND($C2989*10*VLOOKUP($B2989,Sheet2!$J$5:$K$7,2,FALSE)*VLOOKUP(Sheet1!$A2989,Sheet2!$B$5:$H$29,7,FALSE),0)</x:f>
        <x:v>0</x:v>
      </x:c>
      <x:c r="I2989">
        <x:f t="shared" si="49"/>
        <x:v>43020</x:v>
      </x:c>
    </x:row>
    <x:row r="2990" spans="1:9" x14ac:dyDescent="0.15">
      <x:c r="A2990">
        <x:v>54152</x:v>
      </x:c>
      <x:c r="B2990">
        <x:v>2</x:v>
      </x:c>
      <x:c r="C2990">
        <x:v>49</x:v>
      </x:c>
      <x:c r="D2990">
        <x:f>ROUND($C2990*10*VLOOKUP($B2990,Sheet2!$J$5:$K$7,2,FALSE)*VLOOKUP(Sheet1!$A2990,Sheet2!$B$5:$H$29,3,FALSE),0)</x:f>
        <x:v>0</x:v>
      </x:c>
      <x:c r="E2990">
        <x:f>ROUND($C2990*10*VLOOKUP($B2990,Sheet2!$J$5:$K$7,2,FALSE)*VLOOKUP(Sheet1!$A2990,Sheet2!$B$5:$H$29,4,FALSE),0)</x:f>
        <x:v>118</x:v>
      </x:c>
      <x:c r="F2990">
        <x:f>ROUND($C2990*10*VLOOKUP($B2990,Sheet2!$J$5:$K$7,2,FALSE)*VLOOKUP(Sheet1!$A2990,Sheet2!$B$5:$H$29,5,FALSE),0)</x:f>
        <x:v>0</x:v>
      </x:c>
      <x:c r="G2990">
        <x:f>ROUND($C2990*10*VLOOKUP($B2990,Sheet2!$J$5:$K$7,2,FALSE)*VLOOKUP(Sheet1!$A2990,Sheet2!$B$5:$H$29,6,FALSE),0)</x:f>
        <x:v>282</x:v>
      </x:c>
      <x:c r="H2990">
        <x:f>ROUND($C2990*10*VLOOKUP($B2990,Sheet2!$J$5:$K$7,2,FALSE)*VLOOKUP(Sheet1!$A2990,Sheet2!$B$5:$H$29,7,FALSE),0)</x:f>
        <x:v>0</x:v>
      </x:c>
      <x:c r="I2990">
        <x:f t="shared" si="49"/>
        <x:v>44680</x:v>
      </x:c>
    </x:row>
    <x:row r="2991" spans="1:9" x14ac:dyDescent="0.15">
      <x:c r="A2991">
        <x:v>54152</x:v>
      </x:c>
      <x:c r="B2991">
        <x:v>2</x:v>
      </x:c>
      <x:c r="C2991">
        <x:v>50</x:v>
      </x:c>
      <x:c r="D2991">
        <x:f>ROUND($C2991*10*VLOOKUP($B2991,Sheet2!$J$5:$K$7,2,FALSE)*VLOOKUP(Sheet1!$A2991,Sheet2!$B$5:$H$29,3,FALSE),0)</x:f>
        <x:v>0</x:v>
      </x:c>
      <x:c r="E2991">
        <x:f>ROUND($C2991*10*VLOOKUP($B2991,Sheet2!$J$5:$K$7,2,FALSE)*VLOOKUP(Sheet1!$A2991,Sheet2!$B$5:$H$29,4,FALSE),0)</x:f>
        <x:v>120</x:v>
      </x:c>
      <x:c r="F2991">
        <x:f>ROUND($C2991*10*VLOOKUP($B2991,Sheet2!$J$5:$K$7,2,FALSE)*VLOOKUP(Sheet1!$A2991,Sheet2!$B$5:$H$29,5,FALSE),0)</x:f>
        <x:v>0</x:v>
      </x:c>
      <x:c r="G2991">
        <x:f>ROUND($C2991*10*VLOOKUP($B2991,Sheet2!$J$5:$K$7,2,FALSE)*VLOOKUP(Sheet1!$A2991,Sheet2!$B$5:$H$29,6,FALSE),0)</x:f>
        <x:v>288</x:v>
      </x:c>
      <x:c r="H2991">
        <x:f>ROUND($C2991*10*VLOOKUP($B2991,Sheet2!$J$5:$K$7,2,FALSE)*VLOOKUP(Sheet1!$A2991,Sheet2!$B$5:$H$29,7,FALSE),0)</x:f>
        <x:v>0</x:v>
      </x:c>
      <x:c r="I2991">
        <x:f t="shared" si="49"/>
        <x:v>46360</x:v>
      </x:c>
    </x:row>
    <x:row r="2992" spans="1:9" x14ac:dyDescent="0.15">
      <x:c r="A2992">
        <x:v>54152</x:v>
      </x:c>
      <x:c r="B2992">
        <x:v>2</x:v>
      </x:c>
      <x:c r="C2992">
        <x:v>51</x:v>
      </x:c>
      <x:c r="D2992">
        <x:f>ROUND($C2992*10*VLOOKUP($B2992,Sheet2!$J$5:$K$7,2,FALSE)*VLOOKUP(Sheet1!$A2992,Sheet2!$B$5:$H$29,3,FALSE),0)</x:f>
        <x:v>0</x:v>
      </x:c>
      <x:c r="E2992">
        <x:f>ROUND($C2992*10*VLOOKUP($B2992,Sheet2!$J$5:$K$7,2,FALSE)*VLOOKUP(Sheet1!$A2992,Sheet2!$B$5:$H$29,4,FALSE),0)</x:f>
        <x:v>122</x:v>
      </x:c>
      <x:c r="F2992">
        <x:f>ROUND($C2992*10*VLOOKUP($B2992,Sheet2!$J$5:$K$7,2,FALSE)*VLOOKUP(Sheet1!$A2992,Sheet2!$B$5:$H$29,5,FALSE),0)</x:f>
        <x:v>0</x:v>
      </x:c>
      <x:c r="G2992">
        <x:f>ROUND($C2992*10*VLOOKUP($B2992,Sheet2!$J$5:$K$7,2,FALSE)*VLOOKUP(Sheet1!$A2992,Sheet2!$B$5:$H$29,6,FALSE),0)</x:f>
        <x:v>294</x:v>
      </x:c>
      <x:c r="H2992">
        <x:f>ROUND($C2992*10*VLOOKUP($B2992,Sheet2!$J$5:$K$7,2,FALSE)*VLOOKUP(Sheet1!$A2992,Sheet2!$B$5:$H$29,7,FALSE),0)</x:f>
        <x:v>0</x:v>
      </x:c>
      <x:c r="I2992">
        <x:f t="shared" si="49"/>
        <x:v>48080</x:v>
      </x:c>
    </x:row>
    <x:row r="2993" spans="1:9" x14ac:dyDescent="0.15">
      <x:c r="A2993">
        <x:v>54152</x:v>
      </x:c>
      <x:c r="B2993">
        <x:v>2</x:v>
      </x:c>
      <x:c r="C2993">
        <x:v>52</x:v>
      </x:c>
      <x:c r="D2993">
        <x:f>ROUND($C2993*10*VLOOKUP($B2993,Sheet2!$J$5:$K$7,2,FALSE)*VLOOKUP(Sheet1!$A2993,Sheet2!$B$5:$H$29,3,FALSE),0)</x:f>
        <x:v>0</x:v>
      </x:c>
      <x:c r="E2993">
        <x:f>ROUND($C2993*10*VLOOKUP($B2993,Sheet2!$J$5:$K$7,2,FALSE)*VLOOKUP(Sheet1!$A2993,Sheet2!$B$5:$H$29,4,FALSE),0)</x:f>
        <x:v>125</x:v>
      </x:c>
      <x:c r="F2993">
        <x:f>ROUND($C2993*10*VLOOKUP($B2993,Sheet2!$J$5:$K$7,2,FALSE)*VLOOKUP(Sheet1!$A2993,Sheet2!$B$5:$H$29,5,FALSE),0)</x:f>
        <x:v>0</x:v>
      </x:c>
      <x:c r="G2993">
        <x:f>ROUND($C2993*10*VLOOKUP($B2993,Sheet2!$J$5:$K$7,2,FALSE)*VLOOKUP(Sheet1!$A2993,Sheet2!$B$5:$H$29,6,FALSE),0)</x:f>
        <x:v>300</x:v>
      </x:c>
      <x:c r="H2993">
        <x:f>ROUND($C2993*10*VLOOKUP($B2993,Sheet2!$J$5:$K$7,2,FALSE)*VLOOKUP(Sheet1!$A2993,Sheet2!$B$5:$H$29,7,FALSE),0)</x:f>
        <x:v>0</x:v>
      </x:c>
      <x:c r="I2993">
        <x:f t="shared" si="49"/>
        <x:v>49820</x:v>
      </x:c>
    </x:row>
    <x:row r="2994" spans="1:9" x14ac:dyDescent="0.15">
      <x:c r="A2994">
        <x:v>54152</x:v>
      </x:c>
      <x:c r="B2994">
        <x:v>2</x:v>
      </x:c>
      <x:c r="C2994">
        <x:v>53</x:v>
      </x:c>
      <x:c r="D2994">
        <x:f>ROUND($C2994*10*VLOOKUP($B2994,Sheet2!$J$5:$K$7,2,FALSE)*VLOOKUP(Sheet1!$A2994,Sheet2!$B$5:$H$29,3,FALSE),0)</x:f>
        <x:v>0</x:v>
      </x:c>
      <x:c r="E2994">
        <x:f>ROUND($C2994*10*VLOOKUP($B2994,Sheet2!$J$5:$K$7,2,FALSE)*VLOOKUP(Sheet1!$A2994,Sheet2!$B$5:$H$29,4,FALSE),0)</x:f>
        <x:v>127</x:v>
      </x:c>
      <x:c r="F2994">
        <x:f>ROUND($C2994*10*VLOOKUP($B2994,Sheet2!$J$5:$K$7,2,FALSE)*VLOOKUP(Sheet1!$A2994,Sheet2!$B$5:$H$29,5,FALSE),0)</x:f>
        <x:v>0</x:v>
      </x:c>
      <x:c r="G2994">
        <x:f>ROUND($C2994*10*VLOOKUP($B2994,Sheet2!$J$5:$K$7,2,FALSE)*VLOOKUP(Sheet1!$A2994,Sheet2!$B$5:$H$29,6,FALSE),0)</x:f>
        <x:v>305</x:v>
      </x:c>
      <x:c r="H2994">
        <x:f>ROUND($C2994*10*VLOOKUP($B2994,Sheet2!$J$5:$K$7,2,FALSE)*VLOOKUP(Sheet1!$A2994,Sheet2!$B$5:$H$29,7,FALSE),0)</x:f>
        <x:v>0</x:v>
      </x:c>
      <x:c r="I2994">
        <x:f t="shared" si="49"/>
        <x:v>51590</x:v>
      </x:c>
    </x:row>
    <x:row r="2995" spans="1:9" x14ac:dyDescent="0.15">
      <x:c r="A2995">
        <x:v>54152</x:v>
      </x:c>
      <x:c r="B2995">
        <x:v>2</x:v>
      </x:c>
      <x:c r="C2995">
        <x:v>54</x:v>
      </x:c>
      <x:c r="D2995">
        <x:f>ROUND($C2995*10*VLOOKUP($B2995,Sheet2!$J$5:$K$7,2,FALSE)*VLOOKUP(Sheet1!$A2995,Sheet2!$B$5:$H$29,3,FALSE),0)</x:f>
        <x:v>0</x:v>
      </x:c>
      <x:c r="E2995">
        <x:f>ROUND($C2995*10*VLOOKUP($B2995,Sheet2!$J$5:$K$7,2,FALSE)*VLOOKUP(Sheet1!$A2995,Sheet2!$B$5:$H$29,4,FALSE),0)</x:f>
        <x:v>130</x:v>
      </x:c>
      <x:c r="F2995">
        <x:f>ROUND($C2995*10*VLOOKUP($B2995,Sheet2!$J$5:$K$7,2,FALSE)*VLOOKUP(Sheet1!$A2995,Sheet2!$B$5:$H$29,5,FALSE),0)</x:f>
        <x:v>0</x:v>
      </x:c>
      <x:c r="G2995">
        <x:f>ROUND($C2995*10*VLOOKUP($B2995,Sheet2!$J$5:$K$7,2,FALSE)*VLOOKUP(Sheet1!$A2995,Sheet2!$B$5:$H$29,6,FALSE),0)</x:f>
        <x:v>311</x:v>
      </x:c>
      <x:c r="H2995">
        <x:f>ROUND($C2995*10*VLOOKUP($B2995,Sheet2!$J$5:$K$7,2,FALSE)*VLOOKUP(Sheet1!$A2995,Sheet2!$B$5:$H$29,7,FALSE),0)</x:f>
        <x:v>0</x:v>
      </x:c>
      <x:c r="I2995">
        <x:f t="shared" si="49"/>
        <x:v>53390</x:v>
      </x:c>
    </x:row>
    <x:row r="2996" spans="1:9" x14ac:dyDescent="0.15">
      <x:c r="A2996">
        <x:v>54152</x:v>
      </x:c>
      <x:c r="B2996">
        <x:v>2</x:v>
      </x:c>
      <x:c r="C2996">
        <x:v>55</x:v>
      </x:c>
      <x:c r="D2996">
        <x:f>ROUND($C2996*10*VLOOKUP($B2996,Sheet2!$J$5:$K$7,2,FALSE)*VLOOKUP(Sheet1!$A2996,Sheet2!$B$5:$H$29,3,FALSE),0)</x:f>
        <x:v>0</x:v>
      </x:c>
      <x:c r="E2996">
        <x:f>ROUND($C2996*10*VLOOKUP($B2996,Sheet2!$J$5:$K$7,2,FALSE)*VLOOKUP(Sheet1!$A2996,Sheet2!$B$5:$H$29,4,FALSE),0)</x:f>
        <x:v>132</x:v>
      </x:c>
      <x:c r="F2996">
        <x:f>ROUND($C2996*10*VLOOKUP($B2996,Sheet2!$J$5:$K$7,2,FALSE)*VLOOKUP(Sheet1!$A2996,Sheet2!$B$5:$H$29,5,FALSE),0)</x:f>
        <x:v>0</x:v>
      </x:c>
      <x:c r="G2996">
        <x:f>ROUND($C2996*10*VLOOKUP($B2996,Sheet2!$J$5:$K$7,2,FALSE)*VLOOKUP(Sheet1!$A2996,Sheet2!$B$5:$H$29,6,FALSE),0)</x:f>
        <x:v>317</x:v>
      </x:c>
      <x:c r="H2996">
        <x:f>ROUND($C2996*10*VLOOKUP($B2996,Sheet2!$J$5:$K$7,2,FALSE)*VLOOKUP(Sheet1!$A2996,Sheet2!$B$5:$H$29,7,FALSE),0)</x:f>
        <x:v>0</x:v>
      </x:c>
      <x:c r="I2996">
        <x:f t="shared" si="49"/>
        <x:v>55210</x:v>
      </x:c>
    </x:row>
    <x:row r="2997" spans="1:9" x14ac:dyDescent="0.15">
      <x:c r="A2997">
        <x:v>54152</x:v>
      </x:c>
      <x:c r="B2997">
        <x:v>2</x:v>
      </x:c>
      <x:c r="C2997">
        <x:v>56</x:v>
      </x:c>
      <x:c r="D2997">
        <x:f>ROUND($C2997*10*VLOOKUP($B2997,Sheet2!$J$5:$K$7,2,FALSE)*VLOOKUP(Sheet1!$A2997,Sheet2!$B$5:$H$29,3,FALSE),0)</x:f>
        <x:v>0</x:v>
      </x:c>
      <x:c r="E2997">
        <x:f>ROUND($C2997*10*VLOOKUP($B2997,Sheet2!$J$5:$K$7,2,FALSE)*VLOOKUP(Sheet1!$A2997,Sheet2!$B$5:$H$29,4,FALSE),0)</x:f>
        <x:v>134</x:v>
      </x:c>
      <x:c r="F2997">
        <x:f>ROUND($C2997*10*VLOOKUP($B2997,Sheet2!$J$5:$K$7,2,FALSE)*VLOOKUP(Sheet1!$A2997,Sheet2!$B$5:$H$29,5,FALSE),0)</x:f>
        <x:v>0</x:v>
      </x:c>
      <x:c r="G2997">
        <x:f>ROUND($C2997*10*VLOOKUP($B2997,Sheet2!$J$5:$K$7,2,FALSE)*VLOOKUP(Sheet1!$A2997,Sheet2!$B$5:$H$29,6,FALSE),0)</x:f>
        <x:v>323</x:v>
      </x:c>
      <x:c r="H2997">
        <x:f>ROUND($C2997*10*VLOOKUP($B2997,Sheet2!$J$5:$K$7,2,FALSE)*VLOOKUP(Sheet1!$A2997,Sheet2!$B$5:$H$29,7,FALSE),0)</x:f>
        <x:v>0</x:v>
      </x:c>
      <x:c r="I2997">
        <x:f t="shared" si="49"/>
        <x:v>57060</x:v>
      </x:c>
    </x:row>
    <x:row r="2998" spans="1:9" x14ac:dyDescent="0.15">
      <x:c r="A2998">
        <x:v>54152</x:v>
      </x:c>
      <x:c r="B2998">
        <x:v>2</x:v>
      </x:c>
      <x:c r="C2998">
        <x:v>57</x:v>
      </x:c>
      <x:c r="D2998">
        <x:f>ROUND($C2998*10*VLOOKUP($B2998,Sheet2!$J$5:$K$7,2,FALSE)*VLOOKUP(Sheet1!$A2998,Sheet2!$B$5:$H$29,3,FALSE),0)</x:f>
        <x:v>0</x:v>
      </x:c>
      <x:c r="E2998">
        <x:f>ROUND($C2998*10*VLOOKUP($B2998,Sheet2!$J$5:$K$7,2,FALSE)*VLOOKUP(Sheet1!$A2998,Sheet2!$B$5:$H$29,4,FALSE),0)</x:f>
        <x:v>137</x:v>
      </x:c>
      <x:c r="F2998">
        <x:f>ROUND($C2998*10*VLOOKUP($B2998,Sheet2!$J$5:$K$7,2,FALSE)*VLOOKUP(Sheet1!$A2998,Sheet2!$B$5:$H$29,5,FALSE),0)</x:f>
        <x:v>0</x:v>
      </x:c>
      <x:c r="G2998">
        <x:f>ROUND($C2998*10*VLOOKUP($B2998,Sheet2!$J$5:$K$7,2,FALSE)*VLOOKUP(Sheet1!$A2998,Sheet2!$B$5:$H$29,6,FALSE),0)</x:f>
        <x:v>328</x:v>
      </x:c>
      <x:c r="H2998">
        <x:f>ROUND($C2998*10*VLOOKUP($B2998,Sheet2!$J$5:$K$7,2,FALSE)*VLOOKUP(Sheet1!$A2998,Sheet2!$B$5:$H$29,7,FALSE),0)</x:f>
        <x:v>0</x:v>
      </x:c>
      <x:c r="I2998">
        <x:f t="shared" si="49"/>
        <x:v>58940</x:v>
      </x:c>
    </x:row>
    <x:row r="2999" spans="1:9" x14ac:dyDescent="0.15">
      <x:c r="A2999">
        <x:v>54152</x:v>
      </x:c>
      <x:c r="B2999">
        <x:v>2</x:v>
      </x:c>
      <x:c r="C2999">
        <x:v>58</x:v>
      </x:c>
      <x:c r="D2999">
        <x:f>ROUND($C2999*10*VLOOKUP($B2999,Sheet2!$J$5:$K$7,2,FALSE)*VLOOKUP(Sheet1!$A2999,Sheet2!$B$5:$H$29,3,FALSE),0)</x:f>
        <x:v>0</x:v>
      </x:c>
      <x:c r="E2999">
        <x:f>ROUND($C2999*10*VLOOKUP($B2999,Sheet2!$J$5:$K$7,2,FALSE)*VLOOKUP(Sheet1!$A2999,Sheet2!$B$5:$H$29,4,FALSE),0)</x:f>
        <x:v>139</x:v>
      </x:c>
      <x:c r="F2999">
        <x:f>ROUND($C2999*10*VLOOKUP($B2999,Sheet2!$J$5:$K$7,2,FALSE)*VLOOKUP(Sheet1!$A2999,Sheet2!$B$5:$H$29,5,FALSE),0)</x:f>
        <x:v>0</x:v>
      </x:c>
      <x:c r="G2999">
        <x:f>ROUND($C2999*10*VLOOKUP($B2999,Sheet2!$J$5:$K$7,2,FALSE)*VLOOKUP(Sheet1!$A2999,Sheet2!$B$5:$H$29,6,FALSE),0)</x:f>
        <x:v>334</x:v>
      </x:c>
      <x:c r="H2999">
        <x:f>ROUND($C2999*10*VLOOKUP($B2999,Sheet2!$J$5:$K$7,2,FALSE)*VLOOKUP(Sheet1!$A2999,Sheet2!$B$5:$H$29,7,FALSE),0)</x:f>
        <x:v>0</x:v>
      </x:c>
      <x:c r="I2999">
        <x:f t="shared" si="49"/>
        <x:v>60850</x:v>
      </x:c>
    </x:row>
    <x:row r="3000" spans="1:9" x14ac:dyDescent="0.15">
      <x:c r="A3000">
        <x:v>54152</x:v>
      </x:c>
      <x:c r="B3000">
        <x:v>2</x:v>
      </x:c>
      <x:c r="C3000">
        <x:v>59</x:v>
      </x:c>
      <x:c r="D3000">
        <x:f>ROUND($C3000*10*VLOOKUP($B3000,Sheet2!$J$5:$K$7,2,FALSE)*VLOOKUP(Sheet1!$A3000,Sheet2!$B$5:$H$29,3,FALSE),0)</x:f>
        <x:v>0</x:v>
      </x:c>
      <x:c r="E3000">
        <x:f>ROUND($C3000*10*VLOOKUP($B3000,Sheet2!$J$5:$K$7,2,FALSE)*VLOOKUP(Sheet1!$A3000,Sheet2!$B$5:$H$29,4,FALSE),0)</x:f>
        <x:v>142</x:v>
      </x:c>
      <x:c r="F3000">
        <x:f>ROUND($C3000*10*VLOOKUP($B3000,Sheet2!$J$5:$K$7,2,FALSE)*VLOOKUP(Sheet1!$A3000,Sheet2!$B$5:$H$29,5,FALSE),0)</x:f>
        <x:v>0</x:v>
      </x:c>
      <x:c r="G3000">
        <x:f>ROUND($C3000*10*VLOOKUP($B3000,Sheet2!$J$5:$K$7,2,FALSE)*VLOOKUP(Sheet1!$A3000,Sheet2!$B$5:$H$29,6,FALSE),0)</x:f>
        <x:v>340</x:v>
      </x:c>
      <x:c r="H3000">
        <x:f>ROUND($C3000*10*VLOOKUP($B3000,Sheet2!$J$5:$K$7,2,FALSE)*VLOOKUP(Sheet1!$A3000,Sheet2!$B$5:$H$29,7,FALSE),0)</x:f>
        <x:v>0</x:v>
      </x:c>
      <x:c r="I3000">
        <x:f t="shared" si="49"/>
        <x:v>62780</x:v>
      </x:c>
    </x:row>
    <x:row r="3001" spans="1:9" x14ac:dyDescent="0.15">
      <x:c r="A3001">
        <x:v>54152</x:v>
      </x:c>
      <x:c r="B3001">
        <x:v>2</x:v>
      </x:c>
      <x:c r="C3001">
        <x:v>60</x:v>
      </x:c>
      <x:c r="D3001">
        <x:f>ROUND($C3001*10*VLOOKUP($B3001,Sheet2!$J$5:$K$7,2,FALSE)*VLOOKUP(Sheet1!$A3001,Sheet2!$B$5:$H$29,3,FALSE),0)</x:f>
        <x:v>0</x:v>
      </x:c>
      <x:c r="E3001">
        <x:f>ROUND($C3001*10*VLOOKUP($B3001,Sheet2!$J$5:$K$7,2,FALSE)*VLOOKUP(Sheet1!$A3001,Sheet2!$B$5:$H$29,4,FALSE),0)</x:f>
        <x:v>144</x:v>
      </x:c>
      <x:c r="F3001">
        <x:f>ROUND($C3001*10*VLOOKUP($B3001,Sheet2!$J$5:$K$7,2,FALSE)*VLOOKUP(Sheet1!$A3001,Sheet2!$B$5:$H$29,5,FALSE),0)</x:f>
        <x:v>0</x:v>
      </x:c>
      <x:c r="G3001">
        <x:f>ROUND($C3001*10*VLOOKUP($B3001,Sheet2!$J$5:$K$7,2,FALSE)*VLOOKUP(Sheet1!$A3001,Sheet2!$B$5:$H$29,6,FALSE),0)</x:f>
        <x:v>346</x:v>
      </x:c>
      <x:c r="H3001">
        <x:f>ROUND($C3001*10*VLOOKUP($B3001,Sheet2!$J$5:$K$7,2,FALSE)*VLOOKUP(Sheet1!$A3001,Sheet2!$B$5:$H$29,7,FALSE),0)</x:f>
        <x:v>0</x:v>
      </x:c>
      <x:c r="I3001">
        <x:f t="shared" si="49"/>
        <x:v>64740</x:v>
      </x:c>
    </x:row>
    <x:row r="3002" spans="1:9" x14ac:dyDescent="0.15">
      <x:c r="A3002">
        <x:v>54152</x:v>
      </x:c>
      <x:c r="B3002">
        <x:v>3</x:v>
      </x:c>
      <x:c r="C3002">
        <x:v>1</x:v>
      </x:c>
      <x:c r="D3002">
        <x:f>ROUND($C3002*10*VLOOKUP($B3002,Sheet2!$J$5:$K$7,2,FALSE)*VLOOKUP(Sheet1!$A3002,Sheet2!$B$5:$H$29,3,FALSE),0)</x:f>
        <x:v>0</x:v>
      </x:c>
      <x:c r="E3002">
        <x:f>ROUND($C3002*10*VLOOKUP($B3002,Sheet2!$J$5:$K$7,2,FALSE)*VLOOKUP(Sheet1!$A3002,Sheet2!$B$5:$H$29,4,FALSE),0)</x:f>
        <x:v>4</x:v>
      </x:c>
      <x:c r="F3002">
        <x:f>ROUND($C3002*10*VLOOKUP($B3002,Sheet2!$J$5:$K$7,2,FALSE)*VLOOKUP(Sheet1!$A3002,Sheet2!$B$5:$H$29,5,FALSE),0)</x:f>
        <x:v>0</x:v>
      </x:c>
      <x:c r="G3002">
        <x:f>ROUND($C3002*10*VLOOKUP($B3002,Sheet2!$J$5:$K$7,2,FALSE)*VLOOKUP(Sheet1!$A3002,Sheet2!$B$5:$H$29,6,FALSE),0)</x:f>
        <x:v>10</x:v>
      </x:c>
      <x:c r="H3002">
        <x:f>ROUND($C3002*10*VLOOKUP($B3002,Sheet2!$J$5:$K$7,2,FALSE)*VLOOKUP(Sheet1!$A3002,Sheet2!$B$5:$H$29,7,FALSE),0)</x:f>
        <x:v>0</x:v>
      </x:c>
      <x:c r="I3002">
        <x:f t="shared" ref="I3002:I3061" si="50">ROUND(1.2*10*10.5*(C3002-1)^1.8+90,-1)</x:f>
        <x:v>90</x:v>
      </x:c>
    </x:row>
    <x:row r="3003" spans="1:9" x14ac:dyDescent="0.15">
      <x:c r="A3003">
        <x:v>54152</x:v>
      </x:c>
      <x:c r="B3003">
        <x:v>3</x:v>
      </x:c>
      <x:c r="C3003">
        <x:v>2</x:v>
      </x:c>
      <x:c r="D3003">
        <x:f>ROUND($C3003*10*VLOOKUP($B3003,Sheet2!$J$5:$K$7,2,FALSE)*VLOOKUP(Sheet1!$A3003,Sheet2!$B$5:$H$29,3,FALSE),0)</x:f>
        <x:v>0</x:v>
      </x:c>
      <x:c r="E3003">
        <x:f>ROUND($C3003*10*VLOOKUP($B3003,Sheet2!$J$5:$K$7,2,FALSE)*VLOOKUP(Sheet1!$A3003,Sheet2!$B$5:$H$29,4,FALSE),0)</x:f>
        <x:v>8</x:v>
      </x:c>
      <x:c r="F3003">
        <x:f>ROUND($C3003*10*VLOOKUP($B3003,Sheet2!$J$5:$K$7,2,FALSE)*VLOOKUP(Sheet1!$A3003,Sheet2!$B$5:$H$29,5,FALSE),0)</x:f>
        <x:v>0</x:v>
      </x:c>
      <x:c r="G3003">
        <x:f>ROUND($C3003*10*VLOOKUP($B3003,Sheet2!$J$5:$K$7,2,FALSE)*VLOOKUP(Sheet1!$A3003,Sheet2!$B$5:$H$29,6,FALSE),0)</x:f>
        <x:v>19</x:v>
      </x:c>
      <x:c r="H3003">
        <x:f>ROUND($C3003*10*VLOOKUP($B3003,Sheet2!$J$5:$K$7,2,FALSE)*VLOOKUP(Sheet1!$A3003,Sheet2!$B$5:$H$29,7,FALSE),0)</x:f>
        <x:v>0</x:v>
      </x:c>
      <x:c r="I3003">
        <x:f t="shared" si="50"/>
        <x:v>220</x:v>
      </x:c>
    </x:row>
    <x:row r="3004" spans="1:9" x14ac:dyDescent="0.15">
      <x:c r="A3004">
        <x:v>54152</x:v>
      </x:c>
      <x:c r="B3004">
        <x:v>3</x:v>
      </x:c>
      <x:c r="C3004">
        <x:v>3</x:v>
      </x:c>
      <x:c r="D3004">
        <x:f>ROUND($C3004*10*VLOOKUP($B3004,Sheet2!$J$5:$K$7,2,FALSE)*VLOOKUP(Sheet1!$A3004,Sheet2!$B$5:$H$29,3,FALSE),0)</x:f>
        <x:v>0</x:v>
      </x:c>
      <x:c r="E3004">
        <x:f>ROUND($C3004*10*VLOOKUP($B3004,Sheet2!$J$5:$K$7,2,FALSE)*VLOOKUP(Sheet1!$A3004,Sheet2!$B$5:$H$29,4,FALSE),0)</x:f>
        <x:v>12</x:v>
      </x:c>
      <x:c r="F3004">
        <x:f>ROUND($C3004*10*VLOOKUP($B3004,Sheet2!$J$5:$K$7,2,FALSE)*VLOOKUP(Sheet1!$A3004,Sheet2!$B$5:$H$29,5,FALSE),0)</x:f>
        <x:v>0</x:v>
      </x:c>
      <x:c r="G3004">
        <x:f>ROUND($C3004*10*VLOOKUP($B3004,Sheet2!$J$5:$K$7,2,FALSE)*VLOOKUP(Sheet1!$A3004,Sheet2!$B$5:$H$29,6,FALSE),0)</x:f>
        <x:v>29</x:v>
      </x:c>
      <x:c r="H3004">
        <x:f>ROUND($C3004*10*VLOOKUP($B3004,Sheet2!$J$5:$K$7,2,FALSE)*VLOOKUP(Sheet1!$A3004,Sheet2!$B$5:$H$29,7,FALSE),0)</x:f>
        <x:v>0</x:v>
      </x:c>
      <x:c r="I3004">
        <x:f t="shared" si="50"/>
        <x:v>530</x:v>
      </x:c>
    </x:row>
    <x:row r="3005" spans="1:9" x14ac:dyDescent="0.15">
      <x:c r="A3005">
        <x:v>54152</x:v>
      </x:c>
      <x:c r="B3005">
        <x:v>3</x:v>
      </x:c>
      <x:c r="C3005">
        <x:v>4</x:v>
      </x:c>
      <x:c r="D3005">
        <x:f>ROUND($C3005*10*VLOOKUP($B3005,Sheet2!$J$5:$K$7,2,FALSE)*VLOOKUP(Sheet1!$A3005,Sheet2!$B$5:$H$29,3,FALSE),0)</x:f>
        <x:v>0</x:v>
      </x:c>
      <x:c r="E3005">
        <x:f>ROUND($C3005*10*VLOOKUP($B3005,Sheet2!$J$5:$K$7,2,FALSE)*VLOOKUP(Sheet1!$A3005,Sheet2!$B$5:$H$29,4,FALSE),0)</x:f>
        <x:v>16</x:v>
      </x:c>
      <x:c r="F3005">
        <x:f>ROUND($C3005*10*VLOOKUP($B3005,Sheet2!$J$5:$K$7,2,FALSE)*VLOOKUP(Sheet1!$A3005,Sheet2!$B$5:$H$29,5,FALSE),0)</x:f>
        <x:v>0</x:v>
      </x:c>
      <x:c r="G3005">
        <x:f>ROUND($C3005*10*VLOOKUP($B3005,Sheet2!$J$5:$K$7,2,FALSE)*VLOOKUP(Sheet1!$A3005,Sheet2!$B$5:$H$29,6,FALSE),0)</x:f>
        <x:v>38</x:v>
      </x:c>
      <x:c r="H3005">
        <x:f>ROUND($C3005*10*VLOOKUP($B3005,Sheet2!$J$5:$K$7,2,FALSE)*VLOOKUP(Sheet1!$A3005,Sheet2!$B$5:$H$29,7,FALSE),0)</x:f>
        <x:v>0</x:v>
      </x:c>
      <x:c r="I3005">
        <x:f t="shared" si="50"/>
        <x:v>1000</x:v>
      </x:c>
    </x:row>
    <x:row r="3006" spans="1:9" x14ac:dyDescent="0.15">
      <x:c r="A3006">
        <x:v>54152</x:v>
      </x:c>
      <x:c r="B3006">
        <x:v>3</x:v>
      </x:c>
      <x:c r="C3006">
        <x:v>5</x:v>
      </x:c>
      <x:c r="D3006">
        <x:f>ROUND($C3006*10*VLOOKUP($B3006,Sheet2!$J$5:$K$7,2,FALSE)*VLOOKUP(Sheet1!$A3006,Sheet2!$B$5:$H$29,3,FALSE),0)</x:f>
        <x:v>0</x:v>
      </x:c>
      <x:c r="E3006">
        <x:f>ROUND($C3006*10*VLOOKUP($B3006,Sheet2!$J$5:$K$7,2,FALSE)*VLOOKUP(Sheet1!$A3006,Sheet2!$B$5:$H$29,4,FALSE),0)</x:f>
        <x:v>20</x:v>
      </x:c>
      <x:c r="F3006">
        <x:f>ROUND($C3006*10*VLOOKUP($B3006,Sheet2!$J$5:$K$7,2,FALSE)*VLOOKUP(Sheet1!$A3006,Sheet2!$B$5:$H$29,5,FALSE),0)</x:f>
        <x:v>0</x:v>
      </x:c>
      <x:c r="G3006">
        <x:f>ROUND($C3006*10*VLOOKUP($B3006,Sheet2!$J$5:$K$7,2,FALSE)*VLOOKUP(Sheet1!$A3006,Sheet2!$B$5:$H$29,6,FALSE),0)</x:f>
        <x:v>48</x:v>
      </x:c>
      <x:c r="H3006">
        <x:f>ROUND($C3006*10*VLOOKUP($B3006,Sheet2!$J$5:$K$7,2,FALSE)*VLOOKUP(Sheet1!$A3006,Sheet2!$B$5:$H$29,7,FALSE),0)</x:f>
        <x:v>0</x:v>
      </x:c>
      <x:c r="I3006">
        <x:f t="shared" si="50"/>
        <x:v>1620</x:v>
      </x:c>
    </x:row>
    <x:row r="3007" spans="1:9" x14ac:dyDescent="0.15">
      <x:c r="A3007">
        <x:v>54152</x:v>
      </x:c>
      <x:c r="B3007">
        <x:v>3</x:v>
      </x:c>
      <x:c r="C3007">
        <x:v>6</x:v>
      </x:c>
      <x:c r="D3007">
        <x:f>ROUND($C3007*10*VLOOKUP($B3007,Sheet2!$J$5:$K$7,2,FALSE)*VLOOKUP(Sheet1!$A3007,Sheet2!$B$5:$H$29,3,FALSE),0)</x:f>
        <x:v>0</x:v>
      </x:c>
      <x:c r="E3007">
        <x:f>ROUND($C3007*10*VLOOKUP($B3007,Sheet2!$J$5:$K$7,2,FALSE)*VLOOKUP(Sheet1!$A3007,Sheet2!$B$5:$H$29,4,FALSE),0)</x:f>
        <x:v>24</x:v>
      </x:c>
      <x:c r="F3007">
        <x:f>ROUND($C3007*10*VLOOKUP($B3007,Sheet2!$J$5:$K$7,2,FALSE)*VLOOKUP(Sheet1!$A3007,Sheet2!$B$5:$H$29,5,FALSE),0)</x:f>
        <x:v>0</x:v>
      </x:c>
      <x:c r="G3007">
        <x:f>ROUND($C3007*10*VLOOKUP($B3007,Sheet2!$J$5:$K$7,2,FALSE)*VLOOKUP(Sheet1!$A3007,Sheet2!$B$5:$H$29,6,FALSE),0)</x:f>
        <x:v>58</x:v>
      </x:c>
      <x:c r="H3007">
        <x:f>ROUND($C3007*10*VLOOKUP($B3007,Sheet2!$J$5:$K$7,2,FALSE)*VLOOKUP(Sheet1!$A3007,Sheet2!$B$5:$H$29,7,FALSE),0)</x:f>
        <x:v>0</x:v>
      </x:c>
      <x:c r="I3007">
        <x:f t="shared" si="50"/>
        <x:v>2370</x:v>
      </x:c>
    </x:row>
    <x:row r="3008" spans="1:9" x14ac:dyDescent="0.15">
      <x:c r="A3008">
        <x:v>54152</x:v>
      </x:c>
      <x:c r="B3008">
        <x:v>3</x:v>
      </x:c>
      <x:c r="C3008">
        <x:v>7</x:v>
      </x:c>
      <x:c r="D3008">
        <x:f>ROUND($C3008*10*VLOOKUP($B3008,Sheet2!$J$5:$K$7,2,FALSE)*VLOOKUP(Sheet1!$A3008,Sheet2!$B$5:$H$29,3,FALSE),0)</x:f>
        <x:v>0</x:v>
      </x:c>
      <x:c r="E3008">
        <x:f>ROUND($C3008*10*VLOOKUP($B3008,Sheet2!$J$5:$K$7,2,FALSE)*VLOOKUP(Sheet1!$A3008,Sheet2!$B$5:$H$29,4,FALSE),0)</x:f>
        <x:v>28</x:v>
      </x:c>
      <x:c r="F3008">
        <x:f>ROUND($C3008*10*VLOOKUP($B3008,Sheet2!$J$5:$K$7,2,FALSE)*VLOOKUP(Sheet1!$A3008,Sheet2!$B$5:$H$29,5,FALSE),0)</x:f>
        <x:v>0</x:v>
      </x:c>
      <x:c r="G3008">
        <x:f>ROUND($C3008*10*VLOOKUP($B3008,Sheet2!$J$5:$K$7,2,FALSE)*VLOOKUP(Sheet1!$A3008,Sheet2!$B$5:$H$29,6,FALSE),0)</x:f>
        <x:v>67</x:v>
      </x:c>
      <x:c r="H3008">
        <x:f>ROUND($C3008*10*VLOOKUP($B3008,Sheet2!$J$5:$K$7,2,FALSE)*VLOOKUP(Sheet1!$A3008,Sheet2!$B$5:$H$29,7,FALSE),0)</x:f>
        <x:v>0</x:v>
      </x:c>
      <x:c r="I3008">
        <x:f t="shared" si="50"/>
        <x:v>3260</x:v>
      </x:c>
    </x:row>
    <x:row r="3009" spans="1:9" x14ac:dyDescent="0.15">
      <x:c r="A3009">
        <x:v>54152</x:v>
      </x:c>
      <x:c r="B3009">
        <x:v>3</x:v>
      </x:c>
      <x:c r="C3009">
        <x:v>8</x:v>
      </x:c>
      <x:c r="D3009">
        <x:f>ROUND($C3009*10*VLOOKUP($B3009,Sheet2!$J$5:$K$7,2,FALSE)*VLOOKUP(Sheet1!$A3009,Sheet2!$B$5:$H$29,3,FALSE),0)</x:f>
        <x:v>0</x:v>
      </x:c>
      <x:c r="E3009">
        <x:f>ROUND($C3009*10*VLOOKUP($B3009,Sheet2!$J$5:$K$7,2,FALSE)*VLOOKUP(Sheet1!$A3009,Sheet2!$B$5:$H$29,4,FALSE),0)</x:f>
        <x:v>32</x:v>
      </x:c>
      <x:c r="F3009">
        <x:f>ROUND($C3009*10*VLOOKUP($B3009,Sheet2!$J$5:$K$7,2,FALSE)*VLOOKUP(Sheet1!$A3009,Sheet2!$B$5:$H$29,5,FALSE),0)</x:f>
        <x:v>0</x:v>
      </x:c>
      <x:c r="G3009">
        <x:f>ROUND($C3009*10*VLOOKUP($B3009,Sheet2!$J$5:$K$7,2,FALSE)*VLOOKUP(Sheet1!$A3009,Sheet2!$B$5:$H$29,6,FALSE),0)</x:f>
        <x:v>77</x:v>
      </x:c>
      <x:c r="H3009">
        <x:f>ROUND($C3009*10*VLOOKUP($B3009,Sheet2!$J$5:$K$7,2,FALSE)*VLOOKUP(Sheet1!$A3009,Sheet2!$B$5:$H$29,7,FALSE),0)</x:f>
        <x:v>0</x:v>
      </x:c>
      <x:c r="I3009">
        <x:f t="shared" si="50"/>
        <x:v>4270</x:v>
      </x:c>
    </x:row>
    <x:row r="3010" spans="1:9" x14ac:dyDescent="0.15">
      <x:c r="A3010">
        <x:v>54152</x:v>
      </x:c>
      <x:c r="B3010">
        <x:v>3</x:v>
      </x:c>
      <x:c r="C3010">
        <x:v>9</x:v>
      </x:c>
      <x:c r="D3010">
        <x:f>ROUND($C3010*10*VLOOKUP($B3010,Sheet2!$J$5:$K$7,2,FALSE)*VLOOKUP(Sheet1!$A3010,Sheet2!$B$5:$H$29,3,FALSE),0)</x:f>
        <x:v>0</x:v>
      </x:c>
      <x:c r="E3010">
        <x:f>ROUND($C3010*10*VLOOKUP($B3010,Sheet2!$J$5:$K$7,2,FALSE)*VLOOKUP(Sheet1!$A3010,Sheet2!$B$5:$H$29,4,FALSE),0)</x:f>
        <x:v>36</x:v>
      </x:c>
      <x:c r="F3010">
        <x:f>ROUND($C3010*10*VLOOKUP($B3010,Sheet2!$J$5:$K$7,2,FALSE)*VLOOKUP(Sheet1!$A3010,Sheet2!$B$5:$H$29,5,FALSE),0)</x:f>
        <x:v>0</x:v>
      </x:c>
      <x:c r="G3010">
        <x:f>ROUND($C3010*10*VLOOKUP($B3010,Sheet2!$J$5:$K$7,2,FALSE)*VLOOKUP(Sheet1!$A3010,Sheet2!$B$5:$H$29,6,FALSE),0)</x:f>
        <x:v>86</x:v>
      </x:c>
      <x:c r="H3010">
        <x:f>ROUND($C3010*10*VLOOKUP($B3010,Sheet2!$J$5:$K$7,2,FALSE)*VLOOKUP(Sheet1!$A3010,Sheet2!$B$5:$H$29,7,FALSE),0)</x:f>
        <x:v>0</x:v>
      </x:c>
      <x:c r="I3010">
        <x:f t="shared" si="50"/>
        <x:v>5410</x:v>
      </x:c>
    </x:row>
    <x:row r="3011" spans="1:9" x14ac:dyDescent="0.15">
      <x:c r="A3011">
        <x:v>54152</x:v>
      </x:c>
      <x:c r="B3011">
        <x:v>3</x:v>
      </x:c>
      <x:c r="C3011">
        <x:v>10</x:v>
      </x:c>
      <x:c r="D3011">
        <x:f>ROUND($C3011*10*VLOOKUP($B3011,Sheet2!$J$5:$K$7,2,FALSE)*VLOOKUP(Sheet1!$A3011,Sheet2!$B$5:$H$29,3,FALSE),0)</x:f>
        <x:v>0</x:v>
      </x:c>
      <x:c r="E3011">
        <x:f>ROUND($C3011*10*VLOOKUP($B3011,Sheet2!$J$5:$K$7,2,FALSE)*VLOOKUP(Sheet1!$A3011,Sheet2!$B$5:$H$29,4,FALSE),0)</x:f>
        <x:v>40</x:v>
      </x:c>
      <x:c r="F3011">
        <x:f>ROUND($C3011*10*VLOOKUP($B3011,Sheet2!$J$5:$K$7,2,FALSE)*VLOOKUP(Sheet1!$A3011,Sheet2!$B$5:$H$29,5,FALSE),0)</x:f>
        <x:v>0</x:v>
      </x:c>
      <x:c r="G3011">
        <x:f>ROUND($C3011*10*VLOOKUP($B3011,Sheet2!$J$5:$K$7,2,FALSE)*VLOOKUP(Sheet1!$A3011,Sheet2!$B$5:$H$29,6,FALSE),0)</x:f>
        <x:v>96</x:v>
      </x:c>
      <x:c r="H3011">
        <x:f>ROUND($C3011*10*VLOOKUP($B3011,Sheet2!$J$5:$K$7,2,FALSE)*VLOOKUP(Sheet1!$A3011,Sheet2!$B$5:$H$29,7,FALSE),0)</x:f>
        <x:v>0</x:v>
      </x:c>
      <x:c r="I3011">
        <x:f t="shared" si="50"/>
        <x:v>6670</x:v>
      </x:c>
    </x:row>
    <x:row r="3012" spans="1:9" x14ac:dyDescent="0.15">
      <x:c r="A3012">
        <x:v>54152</x:v>
      </x:c>
      <x:c r="B3012">
        <x:v>3</x:v>
      </x:c>
      <x:c r="C3012">
        <x:v>11</x:v>
      </x:c>
      <x:c r="D3012">
        <x:f>ROUND($C3012*10*VLOOKUP($B3012,Sheet2!$J$5:$K$7,2,FALSE)*VLOOKUP(Sheet1!$A3012,Sheet2!$B$5:$H$29,3,FALSE),0)</x:f>
        <x:v>0</x:v>
      </x:c>
      <x:c r="E3012">
        <x:f>ROUND($C3012*10*VLOOKUP($B3012,Sheet2!$J$5:$K$7,2,FALSE)*VLOOKUP(Sheet1!$A3012,Sheet2!$B$5:$H$29,4,FALSE),0)</x:f>
        <x:v>44</x:v>
      </x:c>
      <x:c r="F3012">
        <x:f>ROUND($C3012*10*VLOOKUP($B3012,Sheet2!$J$5:$K$7,2,FALSE)*VLOOKUP(Sheet1!$A3012,Sheet2!$B$5:$H$29,5,FALSE),0)</x:f>
        <x:v>0</x:v>
      </x:c>
      <x:c r="G3012">
        <x:f>ROUND($C3012*10*VLOOKUP($B3012,Sheet2!$J$5:$K$7,2,FALSE)*VLOOKUP(Sheet1!$A3012,Sheet2!$B$5:$H$29,6,FALSE),0)</x:f>
        <x:v>106</x:v>
      </x:c>
      <x:c r="H3012">
        <x:f>ROUND($C3012*10*VLOOKUP($B3012,Sheet2!$J$5:$K$7,2,FALSE)*VLOOKUP(Sheet1!$A3012,Sheet2!$B$5:$H$29,7,FALSE),0)</x:f>
        <x:v>0</x:v>
      </x:c>
      <x:c r="I3012">
        <x:f t="shared" si="50"/>
        <x:v>8040</x:v>
      </x:c>
    </x:row>
    <x:row r="3013" spans="1:9" x14ac:dyDescent="0.15">
      <x:c r="A3013">
        <x:v>54152</x:v>
      </x:c>
      <x:c r="B3013">
        <x:v>3</x:v>
      </x:c>
      <x:c r="C3013">
        <x:v>12</x:v>
      </x:c>
      <x:c r="D3013">
        <x:f>ROUND($C3013*10*VLOOKUP($B3013,Sheet2!$J$5:$K$7,2,FALSE)*VLOOKUP(Sheet1!$A3013,Sheet2!$B$5:$H$29,3,FALSE),0)</x:f>
        <x:v>0</x:v>
      </x:c>
      <x:c r="E3013">
        <x:f>ROUND($C3013*10*VLOOKUP($B3013,Sheet2!$J$5:$K$7,2,FALSE)*VLOOKUP(Sheet1!$A3013,Sheet2!$B$5:$H$29,4,FALSE),0)</x:f>
        <x:v>48</x:v>
      </x:c>
      <x:c r="F3013">
        <x:f>ROUND($C3013*10*VLOOKUP($B3013,Sheet2!$J$5:$K$7,2,FALSE)*VLOOKUP(Sheet1!$A3013,Sheet2!$B$5:$H$29,5,FALSE),0)</x:f>
        <x:v>0</x:v>
      </x:c>
      <x:c r="G3013">
        <x:f>ROUND($C3013*10*VLOOKUP($B3013,Sheet2!$J$5:$K$7,2,FALSE)*VLOOKUP(Sheet1!$A3013,Sheet2!$B$5:$H$29,6,FALSE),0)</x:f>
        <x:v>115</x:v>
      </x:c>
      <x:c r="H3013">
        <x:f>ROUND($C3013*10*VLOOKUP($B3013,Sheet2!$J$5:$K$7,2,FALSE)*VLOOKUP(Sheet1!$A3013,Sheet2!$B$5:$H$29,7,FALSE),0)</x:f>
        <x:v>0</x:v>
      </x:c>
      <x:c r="I3013">
        <x:f t="shared" si="50"/>
        <x:v>9530</x:v>
      </x:c>
    </x:row>
    <x:row r="3014" spans="1:9" x14ac:dyDescent="0.15">
      <x:c r="A3014">
        <x:v>54152</x:v>
      </x:c>
      <x:c r="B3014">
        <x:v>3</x:v>
      </x:c>
      <x:c r="C3014">
        <x:v>13</x:v>
      </x:c>
      <x:c r="D3014">
        <x:f>ROUND($C3014*10*VLOOKUP($B3014,Sheet2!$J$5:$K$7,2,FALSE)*VLOOKUP(Sheet1!$A3014,Sheet2!$B$5:$H$29,3,FALSE),0)</x:f>
        <x:v>0</x:v>
      </x:c>
      <x:c r="E3014">
        <x:f>ROUND($C3014*10*VLOOKUP($B3014,Sheet2!$J$5:$K$7,2,FALSE)*VLOOKUP(Sheet1!$A3014,Sheet2!$B$5:$H$29,4,FALSE),0)</x:f>
        <x:v>52</x:v>
      </x:c>
      <x:c r="F3014">
        <x:f>ROUND($C3014*10*VLOOKUP($B3014,Sheet2!$J$5:$K$7,2,FALSE)*VLOOKUP(Sheet1!$A3014,Sheet2!$B$5:$H$29,5,FALSE),0)</x:f>
        <x:v>0</x:v>
      </x:c>
      <x:c r="G3014">
        <x:f>ROUND($C3014*10*VLOOKUP($B3014,Sheet2!$J$5:$K$7,2,FALSE)*VLOOKUP(Sheet1!$A3014,Sheet2!$B$5:$H$29,6,FALSE),0)</x:f>
        <x:v>125</x:v>
      </x:c>
      <x:c r="H3014">
        <x:f>ROUND($C3014*10*VLOOKUP($B3014,Sheet2!$J$5:$K$7,2,FALSE)*VLOOKUP(Sheet1!$A3014,Sheet2!$B$5:$H$29,7,FALSE),0)</x:f>
        <x:v>0</x:v>
      </x:c>
      <x:c r="I3014">
        <x:f t="shared" si="50"/>
        <x:v>11130</x:v>
      </x:c>
    </x:row>
    <x:row r="3015" spans="1:9" x14ac:dyDescent="0.15">
      <x:c r="A3015">
        <x:v>54152</x:v>
      </x:c>
      <x:c r="B3015">
        <x:v>3</x:v>
      </x:c>
      <x:c r="C3015">
        <x:v>14</x:v>
      </x:c>
      <x:c r="D3015">
        <x:f>ROUND($C3015*10*VLOOKUP($B3015,Sheet2!$J$5:$K$7,2,FALSE)*VLOOKUP(Sheet1!$A3015,Sheet2!$B$5:$H$29,3,FALSE),0)</x:f>
        <x:v>0</x:v>
      </x:c>
      <x:c r="E3015">
        <x:f>ROUND($C3015*10*VLOOKUP($B3015,Sheet2!$J$5:$K$7,2,FALSE)*VLOOKUP(Sheet1!$A3015,Sheet2!$B$5:$H$29,4,FALSE),0)</x:f>
        <x:v>56</x:v>
      </x:c>
      <x:c r="F3015">
        <x:f>ROUND($C3015*10*VLOOKUP($B3015,Sheet2!$J$5:$K$7,2,FALSE)*VLOOKUP(Sheet1!$A3015,Sheet2!$B$5:$H$29,5,FALSE),0)</x:f>
        <x:v>0</x:v>
      </x:c>
      <x:c r="G3015">
        <x:f>ROUND($C3015*10*VLOOKUP($B3015,Sheet2!$J$5:$K$7,2,FALSE)*VLOOKUP(Sheet1!$A3015,Sheet2!$B$5:$H$29,6,FALSE),0)</x:f>
        <x:v>134</x:v>
      </x:c>
      <x:c r="H3015">
        <x:f>ROUND($C3015*10*VLOOKUP($B3015,Sheet2!$J$5:$K$7,2,FALSE)*VLOOKUP(Sheet1!$A3015,Sheet2!$B$5:$H$29,7,FALSE),0)</x:f>
        <x:v>0</x:v>
      </x:c>
      <x:c r="I3015">
        <x:f t="shared" si="50"/>
        <x:v>12840</x:v>
      </x:c>
    </x:row>
    <x:row r="3016" spans="1:9" x14ac:dyDescent="0.15">
      <x:c r="A3016">
        <x:v>54152</x:v>
      </x:c>
      <x:c r="B3016">
        <x:v>3</x:v>
      </x:c>
      <x:c r="C3016">
        <x:v>15</x:v>
      </x:c>
      <x:c r="D3016">
        <x:f>ROUND($C3016*10*VLOOKUP($B3016,Sheet2!$J$5:$K$7,2,FALSE)*VLOOKUP(Sheet1!$A3016,Sheet2!$B$5:$H$29,3,FALSE),0)</x:f>
        <x:v>0</x:v>
      </x:c>
      <x:c r="E3016">
        <x:f>ROUND($C3016*10*VLOOKUP($B3016,Sheet2!$J$5:$K$7,2,FALSE)*VLOOKUP(Sheet1!$A3016,Sheet2!$B$5:$H$29,4,FALSE),0)</x:f>
        <x:v>60</x:v>
      </x:c>
      <x:c r="F3016">
        <x:f>ROUND($C3016*10*VLOOKUP($B3016,Sheet2!$J$5:$K$7,2,FALSE)*VLOOKUP(Sheet1!$A3016,Sheet2!$B$5:$H$29,5,FALSE),0)</x:f>
        <x:v>0</x:v>
      </x:c>
      <x:c r="G3016">
        <x:f>ROUND($C3016*10*VLOOKUP($B3016,Sheet2!$J$5:$K$7,2,FALSE)*VLOOKUP(Sheet1!$A3016,Sheet2!$B$5:$H$29,6,FALSE),0)</x:f>
        <x:v>144</x:v>
      </x:c>
      <x:c r="H3016">
        <x:f>ROUND($C3016*10*VLOOKUP($B3016,Sheet2!$J$5:$K$7,2,FALSE)*VLOOKUP(Sheet1!$A3016,Sheet2!$B$5:$H$29,7,FALSE),0)</x:f>
        <x:v>0</x:v>
      </x:c>
      <x:c r="I3016">
        <x:f t="shared" si="50"/>
        <x:v>14660</x:v>
      </x:c>
    </x:row>
    <x:row r="3017" spans="1:9" x14ac:dyDescent="0.15">
      <x:c r="A3017">
        <x:v>54152</x:v>
      </x:c>
      <x:c r="B3017">
        <x:v>3</x:v>
      </x:c>
      <x:c r="C3017">
        <x:v>16</x:v>
      </x:c>
      <x:c r="D3017">
        <x:f>ROUND($C3017*10*VLOOKUP($B3017,Sheet2!$J$5:$K$7,2,FALSE)*VLOOKUP(Sheet1!$A3017,Sheet2!$B$5:$H$29,3,FALSE),0)</x:f>
        <x:v>0</x:v>
      </x:c>
      <x:c r="E3017">
        <x:f>ROUND($C3017*10*VLOOKUP($B3017,Sheet2!$J$5:$K$7,2,FALSE)*VLOOKUP(Sheet1!$A3017,Sheet2!$B$5:$H$29,4,FALSE),0)</x:f>
        <x:v>64</x:v>
      </x:c>
      <x:c r="F3017">
        <x:f>ROUND($C3017*10*VLOOKUP($B3017,Sheet2!$J$5:$K$7,2,FALSE)*VLOOKUP(Sheet1!$A3017,Sheet2!$B$5:$H$29,5,FALSE),0)</x:f>
        <x:v>0</x:v>
      </x:c>
      <x:c r="G3017">
        <x:f>ROUND($C3017*10*VLOOKUP($B3017,Sheet2!$J$5:$K$7,2,FALSE)*VLOOKUP(Sheet1!$A3017,Sheet2!$B$5:$H$29,6,FALSE),0)</x:f>
        <x:v>154</x:v>
      </x:c>
      <x:c r="H3017">
        <x:f>ROUND($C3017*10*VLOOKUP($B3017,Sheet2!$J$5:$K$7,2,FALSE)*VLOOKUP(Sheet1!$A3017,Sheet2!$B$5:$H$29,7,FALSE),0)</x:f>
        <x:v>0</x:v>
      </x:c>
      <x:c r="I3017">
        <x:f t="shared" si="50"/>
        <x:v>16580</x:v>
      </x:c>
    </x:row>
    <x:row r="3018" spans="1:9" x14ac:dyDescent="0.15">
      <x:c r="A3018">
        <x:v>54152</x:v>
      </x:c>
      <x:c r="B3018">
        <x:v>3</x:v>
      </x:c>
      <x:c r="C3018">
        <x:v>17</x:v>
      </x:c>
      <x:c r="D3018">
        <x:f>ROUND($C3018*10*VLOOKUP($B3018,Sheet2!$J$5:$K$7,2,FALSE)*VLOOKUP(Sheet1!$A3018,Sheet2!$B$5:$H$29,3,FALSE),0)</x:f>
        <x:v>0</x:v>
      </x:c>
      <x:c r="E3018">
        <x:f>ROUND($C3018*10*VLOOKUP($B3018,Sheet2!$J$5:$K$7,2,FALSE)*VLOOKUP(Sheet1!$A3018,Sheet2!$B$5:$H$29,4,FALSE),0)</x:f>
        <x:v>68</x:v>
      </x:c>
      <x:c r="F3018">
        <x:f>ROUND($C3018*10*VLOOKUP($B3018,Sheet2!$J$5:$K$7,2,FALSE)*VLOOKUP(Sheet1!$A3018,Sheet2!$B$5:$H$29,5,FALSE),0)</x:f>
        <x:v>0</x:v>
      </x:c>
      <x:c r="G3018">
        <x:f>ROUND($C3018*10*VLOOKUP($B3018,Sheet2!$J$5:$K$7,2,FALSE)*VLOOKUP(Sheet1!$A3018,Sheet2!$B$5:$H$29,6,FALSE),0)</x:f>
        <x:v>163</x:v>
      </x:c>
      <x:c r="H3018">
        <x:f>ROUND($C3018*10*VLOOKUP($B3018,Sheet2!$J$5:$K$7,2,FALSE)*VLOOKUP(Sheet1!$A3018,Sheet2!$B$5:$H$29,7,FALSE),0)</x:f>
        <x:v>0</x:v>
      </x:c>
      <x:c r="I3018">
        <x:f t="shared" si="50"/>
        <x:v>18620</x:v>
      </x:c>
    </x:row>
    <x:row r="3019" spans="1:9" x14ac:dyDescent="0.15">
      <x:c r="A3019">
        <x:v>54152</x:v>
      </x:c>
      <x:c r="B3019">
        <x:v>3</x:v>
      </x:c>
      <x:c r="C3019">
        <x:v>18</x:v>
      </x:c>
      <x:c r="D3019">
        <x:f>ROUND($C3019*10*VLOOKUP($B3019,Sheet2!$J$5:$K$7,2,FALSE)*VLOOKUP(Sheet1!$A3019,Sheet2!$B$5:$H$29,3,FALSE),0)</x:f>
        <x:v>0</x:v>
      </x:c>
      <x:c r="E3019">
        <x:f>ROUND($C3019*10*VLOOKUP($B3019,Sheet2!$J$5:$K$7,2,FALSE)*VLOOKUP(Sheet1!$A3019,Sheet2!$B$5:$H$29,4,FALSE),0)</x:f>
        <x:v>72</x:v>
      </x:c>
      <x:c r="F3019">
        <x:f>ROUND($C3019*10*VLOOKUP($B3019,Sheet2!$J$5:$K$7,2,FALSE)*VLOOKUP(Sheet1!$A3019,Sheet2!$B$5:$H$29,5,FALSE),0)</x:f>
        <x:v>0</x:v>
      </x:c>
      <x:c r="G3019">
        <x:f>ROUND($C3019*10*VLOOKUP($B3019,Sheet2!$J$5:$K$7,2,FALSE)*VLOOKUP(Sheet1!$A3019,Sheet2!$B$5:$H$29,6,FALSE),0)</x:f>
        <x:v>173</x:v>
      </x:c>
      <x:c r="H3019">
        <x:f>ROUND($C3019*10*VLOOKUP($B3019,Sheet2!$J$5:$K$7,2,FALSE)*VLOOKUP(Sheet1!$A3019,Sheet2!$B$5:$H$29,7,FALSE),0)</x:f>
        <x:v>0</x:v>
      </x:c>
      <x:c r="I3019">
        <x:f t="shared" si="50"/>
        <x:v>20750</x:v>
      </x:c>
    </x:row>
    <x:row r="3020" spans="1:9" x14ac:dyDescent="0.15">
      <x:c r="A3020">
        <x:v>54152</x:v>
      </x:c>
      <x:c r="B3020">
        <x:v>3</x:v>
      </x:c>
      <x:c r="C3020">
        <x:v>19</x:v>
      </x:c>
      <x:c r="D3020">
        <x:f>ROUND($C3020*10*VLOOKUP($B3020,Sheet2!$J$5:$K$7,2,FALSE)*VLOOKUP(Sheet1!$A3020,Sheet2!$B$5:$H$29,3,FALSE),0)</x:f>
        <x:v>0</x:v>
      </x:c>
      <x:c r="E3020">
        <x:f>ROUND($C3020*10*VLOOKUP($B3020,Sheet2!$J$5:$K$7,2,FALSE)*VLOOKUP(Sheet1!$A3020,Sheet2!$B$5:$H$29,4,FALSE),0)</x:f>
        <x:v>76</x:v>
      </x:c>
      <x:c r="F3020">
        <x:f>ROUND($C3020*10*VLOOKUP($B3020,Sheet2!$J$5:$K$7,2,FALSE)*VLOOKUP(Sheet1!$A3020,Sheet2!$B$5:$H$29,5,FALSE),0)</x:f>
        <x:v>0</x:v>
      </x:c>
      <x:c r="G3020">
        <x:f>ROUND($C3020*10*VLOOKUP($B3020,Sheet2!$J$5:$K$7,2,FALSE)*VLOOKUP(Sheet1!$A3020,Sheet2!$B$5:$H$29,6,FALSE),0)</x:f>
        <x:v>182</x:v>
      </x:c>
      <x:c r="H3020">
        <x:f>ROUND($C3020*10*VLOOKUP($B3020,Sheet2!$J$5:$K$7,2,FALSE)*VLOOKUP(Sheet1!$A3020,Sheet2!$B$5:$H$29,7,FALSE),0)</x:f>
        <x:v>0</x:v>
      </x:c>
      <x:c r="I3020">
        <x:f t="shared" si="50"/>
        <x:v>22990</x:v>
      </x:c>
    </x:row>
    <x:row r="3021" spans="1:9" x14ac:dyDescent="0.15">
      <x:c r="A3021">
        <x:v>54152</x:v>
      </x:c>
      <x:c r="B3021">
        <x:v>3</x:v>
      </x:c>
      <x:c r="C3021">
        <x:v>20</x:v>
      </x:c>
      <x:c r="D3021">
        <x:f>ROUND($C3021*10*VLOOKUP($B3021,Sheet2!$J$5:$K$7,2,FALSE)*VLOOKUP(Sheet1!$A3021,Sheet2!$B$5:$H$29,3,FALSE),0)</x:f>
        <x:v>0</x:v>
      </x:c>
      <x:c r="E3021">
        <x:f>ROUND($C3021*10*VLOOKUP($B3021,Sheet2!$J$5:$K$7,2,FALSE)*VLOOKUP(Sheet1!$A3021,Sheet2!$B$5:$H$29,4,FALSE),0)</x:f>
        <x:v>80</x:v>
      </x:c>
      <x:c r="F3021">
        <x:f>ROUND($C3021*10*VLOOKUP($B3021,Sheet2!$J$5:$K$7,2,FALSE)*VLOOKUP(Sheet1!$A3021,Sheet2!$B$5:$H$29,5,FALSE),0)</x:f>
        <x:v>0</x:v>
      </x:c>
      <x:c r="G3021">
        <x:f>ROUND($C3021*10*VLOOKUP($B3021,Sheet2!$J$5:$K$7,2,FALSE)*VLOOKUP(Sheet1!$A3021,Sheet2!$B$5:$H$29,6,FALSE),0)</x:f>
        <x:v>192</x:v>
      </x:c>
      <x:c r="H3021">
        <x:f>ROUND($C3021*10*VLOOKUP($B3021,Sheet2!$J$5:$K$7,2,FALSE)*VLOOKUP(Sheet1!$A3021,Sheet2!$B$5:$H$29,7,FALSE),0)</x:f>
        <x:v>0</x:v>
      </x:c>
      <x:c r="I3021">
        <x:f t="shared" si="50"/>
        <x:v>25330</x:v>
      </x:c>
    </x:row>
    <x:row r="3022" spans="1:9" x14ac:dyDescent="0.15">
      <x:c r="A3022">
        <x:v>54152</x:v>
      </x:c>
      <x:c r="B3022">
        <x:v>3</x:v>
      </x:c>
      <x:c r="C3022">
        <x:v>21</x:v>
      </x:c>
      <x:c r="D3022">
        <x:f>ROUND($C3022*10*VLOOKUP($B3022,Sheet2!$J$5:$K$7,2,FALSE)*VLOOKUP(Sheet1!$A3022,Sheet2!$B$5:$H$29,3,FALSE),0)</x:f>
        <x:v>0</x:v>
      </x:c>
      <x:c r="E3022">
        <x:f>ROUND($C3022*10*VLOOKUP($B3022,Sheet2!$J$5:$K$7,2,FALSE)*VLOOKUP(Sheet1!$A3022,Sheet2!$B$5:$H$29,4,FALSE),0)</x:f>
        <x:v>84</x:v>
      </x:c>
      <x:c r="F3022">
        <x:f>ROUND($C3022*10*VLOOKUP($B3022,Sheet2!$J$5:$K$7,2,FALSE)*VLOOKUP(Sheet1!$A3022,Sheet2!$B$5:$H$29,5,FALSE),0)</x:f>
        <x:v>0</x:v>
      </x:c>
      <x:c r="G3022">
        <x:f>ROUND($C3022*10*VLOOKUP($B3022,Sheet2!$J$5:$K$7,2,FALSE)*VLOOKUP(Sheet1!$A3022,Sheet2!$B$5:$H$29,6,FALSE),0)</x:f>
        <x:v>202</x:v>
      </x:c>
      <x:c r="H3022">
        <x:f>ROUND($C3022*10*VLOOKUP($B3022,Sheet2!$J$5:$K$7,2,FALSE)*VLOOKUP(Sheet1!$A3022,Sheet2!$B$5:$H$29,7,FALSE),0)</x:f>
        <x:v>0</x:v>
      </x:c>
      <x:c r="I3022">
        <x:f t="shared" si="50"/>
        <x:v>27770</x:v>
      </x:c>
    </x:row>
    <x:row r="3023" spans="1:9" x14ac:dyDescent="0.15">
      <x:c r="A3023">
        <x:v>54152</x:v>
      </x:c>
      <x:c r="B3023">
        <x:v>3</x:v>
      </x:c>
      <x:c r="C3023">
        <x:v>22</x:v>
      </x:c>
      <x:c r="D3023">
        <x:f>ROUND($C3023*10*VLOOKUP($B3023,Sheet2!$J$5:$K$7,2,FALSE)*VLOOKUP(Sheet1!$A3023,Sheet2!$B$5:$H$29,3,FALSE),0)</x:f>
        <x:v>0</x:v>
      </x:c>
      <x:c r="E3023">
        <x:f>ROUND($C3023*10*VLOOKUP($B3023,Sheet2!$J$5:$K$7,2,FALSE)*VLOOKUP(Sheet1!$A3023,Sheet2!$B$5:$H$29,4,FALSE),0)</x:f>
        <x:v>88</x:v>
      </x:c>
      <x:c r="F3023">
        <x:f>ROUND($C3023*10*VLOOKUP($B3023,Sheet2!$J$5:$K$7,2,FALSE)*VLOOKUP(Sheet1!$A3023,Sheet2!$B$5:$H$29,5,FALSE),0)</x:f>
        <x:v>0</x:v>
      </x:c>
      <x:c r="G3023">
        <x:f>ROUND($C3023*10*VLOOKUP($B3023,Sheet2!$J$5:$K$7,2,FALSE)*VLOOKUP(Sheet1!$A3023,Sheet2!$B$5:$H$29,6,FALSE),0)</x:f>
        <x:v>211</x:v>
      </x:c>
      <x:c r="H3023">
        <x:f>ROUND($C3023*10*VLOOKUP($B3023,Sheet2!$J$5:$K$7,2,FALSE)*VLOOKUP(Sheet1!$A3023,Sheet2!$B$5:$H$29,7,FALSE),0)</x:f>
        <x:v>0</x:v>
      </x:c>
      <x:c r="I3023">
        <x:f t="shared" si="50"/>
        <x:v>30310</x:v>
      </x:c>
    </x:row>
    <x:row r="3024" spans="1:9" x14ac:dyDescent="0.15">
      <x:c r="A3024">
        <x:v>54152</x:v>
      </x:c>
      <x:c r="B3024">
        <x:v>3</x:v>
      </x:c>
      <x:c r="C3024">
        <x:v>23</x:v>
      </x:c>
      <x:c r="D3024">
        <x:f>ROUND($C3024*10*VLOOKUP($B3024,Sheet2!$J$5:$K$7,2,FALSE)*VLOOKUP(Sheet1!$A3024,Sheet2!$B$5:$H$29,3,FALSE),0)</x:f>
        <x:v>0</x:v>
      </x:c>
      <x:c r="E3024">
        <x:f>ROUND($C3024*10*VLOOKUP($B3024,Sheet2!$J$5:$K$7,2,FALSE)*VLOOKUP(Sheet1!$A3024,Sheet2!$B$5:$H$29,4,FALSE),0)</x:f>
        <x:v>92</x:v>
      </x:c>
      <x:c r="F3024">
        <x:f>ROUND($C3024*10*VLOOKUP($B3024,Sheet2!$J$5:$K$7,2,FALSE)*VLOOKUP(Sheet1!$A3024,Sheet2!$B$5:$H$29,5,FALSE),0)</x:f>
        <x:v>0</x:v>
      </x:c>
      <x:c r="G3024">
        <x:f>ROUND($C3024*10*VLOOKUP($B3024,Sheet2!$J$5:$K$7,2,FALSE)*VLOOKUP(Sheet1!$A3024,Sheet2!$B$5:$H$29,6,FALSE),0)</x:f>
        <x:v>221</x:v>
      </x:c>
      <x:c r="H3024">
        <x:f>ROUND($C3024*10*VLOOKUP($B3024,Sheet2!$J$5:$K$7,2,FALSE)*VLOOKUP(Sheet1!$A3024,Sheet2!$B$5:$H$29,7,FALSE),0)</x:f>
        <x:v>0</x:v>
      </x:c>
      <x:c r="I3024">
        <x:f t="shared" si="50"/>
        <x:v>32950</x:v>
      </x:c>
    </x:row>
    <x:row r="3025" spans="1:9" x14ac:dyDescent="0.15">
      <x:c r="A3025">
        <x:v>54152</x:v>
      </x:c>
      <x:c r="B3025">
        <x:v>3</x:v>
      </x:c>
      <x:c r="C3025">
        <x:v>24</x:v>
      </x:c>
      <x:c r="D3025">
        <x:f>ROUND($C3025*10*VLOOKUP($B3025,Sheet2!$J$5:$K$7,2,FALSE)*VLOOKUP(Sheet1!$A3025,Sheet2!$B$5:$H$29,3,FALSE),0)</x:f>
        <x:v>0</x:v>
      </x:c>
      <x:c r="E3025">
        <x:f>ROUND($C3025*10*VLOOKUP($B3025,Sheet2!$J$5:$K$7,2,FALSE)*VLOOKUP(Sheet1!$A3025,Sheet2!$B$5:$H$29,4,FALSE),0)</x:f>
        <x:v>96</x:v>
      </x:c>
      <x:c r="F3025">
        <x:f>ROUND($C3025*10*VLOOKUP($B3025,Sheet2!$J$5:$K$7,2,FALSE)*VLOOKUP(Sheet1!$A3025,Sheet2!$B$5:$H$29,5,FALSE),0)</x:f>
        <x:v>0</x:v>
      </x:c>
      <x:c r="G3025">
        <x:f>ROUND($C3025*10*VLOOKUP($B3025,Sheet2!$J$5:$K$7,2,FALSE)*VLOOKUP(Sheet1!$A3025,Sheet2!$B$5:$H$29,6,FALSE),0)</x:f>
        <x:v>230</x:v>
      </x:c>
      <x:c r="H3025">
        <x:f>ROUND($C3025*10*VLOOKUP($B3025,Sheet2!$J$5:$K$7,2,FALSE)*VLOOKUP(Sheet1!$A3025,Sheet2!$B$5:$H$29,7,FALSE),0)</x:f>
        <x:v>0</x:v>
      </x:c>
      <x:c r="I3025">
        <x:f t="shared" si="50"/>
        <x:v>35690</x:v>
      </x:c>
    </x:row>
    <x:row r="3026" spans="1:9" x14ac:dyDescent="0.15">
      <x:c r="A3026">
        <x:v>54152</x:v>
      </x:c>
      <x:c r="B3026">
        <x:v>3</x:v>
      </x:c>
      <x:c r="C3026">
        <x:v>25</x:v>
      </x:c>
      <x:c r="D3026">
        <x:f>ROUND($C3026*10*VLOOKUP($B3026,Sheet2!$J$5:$K$7,2,FALSE)*VLOOKUP(Sheet1!$A3026,Sheet2!$B$5:$H$29,3,FALSE),0)</x:f>
        <x:v>0</x:v>
      </x:c>
      <x:c r="E3026">
        <x:f>ROUND($C3026*10*VLOOKUP($B3026,Sheet2!$J$5:$K$7,2,FALSE)*VLOOKUP(Sheet1!$A3026,Sheet2!$B$5:$H$29,4,FALSE),0)</x:f>
        <x:v>100</x:v>
      </x:c>
      <x:c r="F3026">
        <x:f>ROUND($C3026*10*VLOOKUP($B3026,Sheet2!$J$5:$K$7,2,FALSE)*VLOOKUP(Sheet1!$A3026,Sheet2!$B$5:$H$29,5,FALSE),0)</x:f>
        <x:v>0</x:v>
      </x:c>
      <x:c r="G3026">
        <x:f>ROUND($C3026*10*VLOOKUP($B3026,Sheet2!$J$5:$K$7,2,FALSE)*VLOOKUP(Sheet1!$A3026,Sheet2!$B$5:$H$29,6,FALSE),0)</x:f>
        <x:v>240</x:v>
      </x:c>
      <x:c r="H3026">
        <x:f>ROUND($C3026*10*VLOOKUP($B3026,Sheet2!$J$5:$K$7,2,FALSE)*VLOOKUP(Sheet1!$A3026,Sheet2!$B$5:$H$29,7,FALSE),0)</x:f>
        <x:v>0</x:v>
      </x:c>
      <x:c r="I3026">
        <x:f t="shared" si="50"/>
        <x:v>38530</x:v>
      </x:c>
    </x:row>
    <x:row r="3027" spans="1:9" x14ac:dyDescent="0.15">
      <x:c r="A3027">
        <x:v>54152</x:v>
      </x:c>
      <x:c r="B3027">
        <x:v>3</x:v>
      </x:c>
      <x:c r="C3027">
        <x:v>26</x:v>
      </x:c>
      <x:c r="D3027">
        <x:f>ROUND($C3027*10*VLOOKUP($B3027,Sheet2!$J$5:$K$7,2,FALSE)*VLOOKUP(Sheet1!$A3027,Sheet2!$B$5:$H$29,3,FALSE),0)</x:f>
        <x:v>0</x:v>
      </x:c>
      <x:c r="E3027">
        <x:f>ROUND($C3027*10*VLOOKUP($B3027,Sheet2!$J$5:$K$7,2,FALSE)*VLOOKUP(Sheet1!$A3027,Sheet2!$B$5:$H$29,4,FALSE),0)</x:f>
        <x:v>104</x:v>
      </x:c>
      <x:c r="F3027">
        <x:f>ROUND($C3027*10*VLOOKUP($B3027,Sheet2!$J$5:$K$7,2,FALSE)*VLOOKUP(Sheet1!$A3027,Sheet2!$B$5:$H$29,5,FALSE),0)</x:f>
        <x:v>0</x:v>
      </x:c>
      <x:c r="G3027">
        <x:f>ROUND($C3027*10*VLOOKUP($B3027,Sheet2!$J$5:$K$7,2,FALSE)*VLOOKUP(Sheet1!$A3027,Sheet2!$B$5:$H$29,6,FALSE),0)</x:f>
        <x:v>250</x:v>
      </x:c>
      <x:c r="H3027">
        <x:f>ROUND($C3027*10*VLOOKUP($B3027,Sheet2!$J$5:$K$7,2,FALSE)*VLOOKUP(Sheet1!$A3027,Sheet2!$B$5:$H$29,7,FALSE),0)</x:f>
        <x:v>0</x:v>
      </x:c>
      <x:c r="I3027">
        <x:f t="shared" si="50"/>
        <x:v>41460</x:v>
      </x:c>
    </x:row>
    <x:row r="3028" spans="1:9" x14ac:dyDescent="0.15">
      <x:c r="A3028">
        <x:v>54152</x:v>
      </x:c>
      <x:c r="B3028">
        <x:v>3</x:v>
      </x:c>
      <x:c r="C3028">
        <x:v>27</x:v>
      </x:c>
      <x:c r="D3028">
        <x:f>ROUND($C3028*10*VLOOKUP($B3028,Sheet2!$J$5:$K$7,2,FALSE)*VLOOKUP(Sheet1!$A3028,Sheet2!$B$5:$H$29,3,FALSE),0)</x:f>
        <x:v>0</x:v>
      </x:c>
      <x:c r="E3028">
        <x:f>ROUND($C3028*10*VLOOKUP($B3028,Sheet2!$J$5:$K$7,2,FALSE)*VLOOKUP(Sheet1!$A3028,Sheet2!$B$5:$H$29,4,FALSE),0)</x:f>
        <x:v>108</x:v>
      </x:c>
      <x:c r="F3028">
        <x:f>ROUND($C3028*10*VLOOKUP($B3028,Sheet2!$J$5:$K$7,2,FALSE)*VLOOKUP(Sheet1!$A3028,Sheet2!$B$5:$H$29,5,FALSE),0)</x:f>
        <x:v>0</x:v>
      </x:c>
      <x:c r="G3028">
        <x:f>ROUND($C3028*10*VLOOKUP($B3028,Sheet2!$J$5:$K$7,2,FALSE)*VLOOKUP(Sheet1!$A3028,Sheet2!$B$5:$H$29,6,FALSE),0)</x:f>
        <x:v>259</x:v>
      </x:c>
      <x:c r="H3028">
        <x:f>ROUND($C3028*10*VLOOKUP($B3028,Sheet2!$J$5:$K$7,2,FALSE)*VLOOKUP(Sheet1!$A3028,Sheet2!$B$5:$H$29,7,FALSE),0)</x:f>
        <x:v>0</x:v>
      </x:c>
      <x:c r="I3028">
        <x:f t="shared" si="50"/>
        <x:v>44480</x:v>
      </x:c>
    </x:row>
    <x:row r="3029" spans="1:9" x14ac:dyDescent="0.15">
      <x:c r="A3029">
        <x:v>54152</x:v>
      </x:c>
      <x:c r="B3029">
        <x:v>3</x:v>
      </x:c>
      <x:c r="C3029">
        <x:v>28</x:v>
      </x:c>
      <x:c r="D3029">
        <x:f>ROUND($C3029*10*VLOOKUP($B3029,Sheet2!$J$5:$K$7,2,FALSE)*VLOOKUP(Sheet1!$A3029,Sheet2!$B$5:$H$29,3,FALSE),0)</x:f>
        <x:v>0</x:v>
      </x:c>
      <x:c r="E3029">
        <x:f>ROUND($C3029*10*VLOOKUP($B3029,Sheet2!$J$5:$K$7,2,FALSE)*VLOOKUP(Sheet1!$A3029,Sheet2!$B$5:$H$29,4,FALSE),0)</x:f>
        <x:v>112</x:v>
      </x:c>
      <x:c r="F3029">
        <x:f>ROUND($C3029*10*VLOOKUP($B3029,Sheet2!$J$5:$K$7,2,FALSE)*VLOOKUP(Sheet1!$A3029,Sheet2!$B$5:$H$29,5,FALSE),0)</x:f>
        <x:v>0</x:v>
      </x:c>
      <x:c r="G3029">
        <x:f>ROUND($C3029*10*VLOOKUP($B3029,Sheet2!$J$5:$K$7,2,FALSE)*VLOOKUP(Sheet1!$A3029,Sheet2!$B$5:$H$29,6,FALSE),0)</x:f>
        <x:v>269</x:v>
      </x:c>
      <x:c r="H3029">
        <x:f>ROUND($C3029*10*VLOOKUP($B3029,Sheet2!$J$5:$K$7,2,FALSE)*VLOOKUP(Sheet1!$A3029,Sheet2!$B$5:$H$29,7,FALSE),0)</x:f>
        <x:v>0</x:v>
      </x:c>
      <x:c r="I3029">
        <x:f t="shared" si="50"/>
        <x:v>47600</x:v>
      </x:c>
    </x:row>
    <x:row r="3030" spans="1:9" x14ac:dyDescent="0.15">
      <x:c r="A3030">
        <x:v>54152</x:v>
      </x:c>
      <x:c r="B3030">
        <x:v>3</x:v>
      </x:c>
      <x:c r="C3030">
        <x:v>29</x:v>
      </x:c>
      <x:c r="D3030">
        <x:f>ROUND($C3030*10*VLOOKUP($B3030,Sheet2!$J$5:$K$7,2,FALSE)*VLOOKUP(Sheet1!$A3030,Sheet2!$B$5:$H$29,3,FALSE),0)</x:f>
        <x:v>0</x:v>
      </x:c>
      <x:c r="E3030">
        <x:f>ROUND($C3030*10*VLOOKUP($B3030,Sheet2!$J$5:$K$7,2,FALSE)*VLOOKUP(Sheet1!$A3030,Sheet2!$B$5:$H$29,4,FALSE),0)</x:f>
        <x:v>116</x:v>
      </x:c>
      <x:c r="F3030">
        <x:f>ROUND($C3030*10*VLOOKUP($B3030,Sheet2!$J$5:$K$7,2,FALSE)*VLOOKUP(Sheet1!$A3030,Sheet2!$B$5:$H$29,5,FALSE),0)</x:f>
        <x:v>0</x:v>
      </x:c>
      <x:c r="G3030">
        <x:f>ROUND($C3030*10*VLOOKUP($B3030,Sheet2!$J$5:$K$7,2,FALSE)*VLOOKUP(Sheet1!$A3030,Sheet2!$B$5:$H$29,6,FALSE),0)</x:f>
        <x:v>278</x:v>
      </x:c>
      <x:c r="H3030">
        <x:f>ROUND($C3030*10*VLOOKUP($B3030,Sheet2!$J$5:$K$7,2,FALSE)*VLOOKUP(Sheet1!$A3030,Sheet2!$B$5:$H$29,7,FALSE),0)</x:f>
        <x:v>0</x:v>
      </x:c>
      <x:c r="I3030">
        <x:f t="shared" si="50"/>
        <x:v>50820</x:v>
      </x:c>
    </x:row>
    <x:row r="3031" spans="1:9" x14ac:dyDescent="0.15">
      <x:c r="A3031">
        <x:v>54152</x:v>
      </x:c>
      <x:c r="B3031">
        <x:v>3</x:v>
      </x:c>
      <x:c r="C3031">
        <x:v>30</x:v>
      </x:c>
      <x:c r="D3031">
        <x:f>ROUND($C3031*10*VLOOKUP($B3031,Sheet2!$J$5:$K$7,2,FALSE)*VLOOKUP(Sheet1!$A3031,Sheet2!$B$5:$H$29,3,FALSE),0)</x:f>
        <x:v>0</x:v>
      </x:c>
      <x:c r="E3031">
        <x:f>ROUND($C3031*10*VLOOKUP($B3031,Sheet2!$J$5:$K$7,2,FALSE)*VLOOKUP(Sheet1!$A3031,Sheet2!$B$5:$H$29,4,FALSE),0)</x:f>
        <x:v>120</x:v>
      </x:c>
      <x:c r="F3031">
        <x:f>ROUND($C3031*10*VLOOKUP($B3031,Sheet2!$J$5:$K$7,2,FALSE)*VLOOKUP(Sheet1!$A3031,Sheet2!$B$5:$H$29,5,FALSE),0)</x:f>
        <x:v>0</x:v>
      </x:c>
      <x:c r="G3031">
        <x:f>ROUND($C3031*10*VLOOKUP($B3031,Sheet2!$J$5:$K$7,2,FALSE)*VLOOKUP(Sheet1!$A3031,Sheet2!$B$5:$H$29,6,FALSE),0)</x:f>
        <x:v>288</x:v>
      </x:c>
      <x:c r="H3031">
        <x:f>ROUND($C3031*10*VLOOKUP($B3031,Sheet2!$J$5:$K$7,2,FALSE)*VLOOKUP(Sheet1!$A3031,Sheet2!$B$5:$H$29,7,FALSE),0)</x:f>
        <x:v>0</x:v>
      </x:c>
      <x:c r="I3031">
        <x:f t="shared" si="50"/>
        <x:v>54130</x:v>
      </x:c>
    </x:row>
    <x:row r="3032" spans="1:9" x14ac:dyDescent="0.15">
      <x:c r="A3032">
        <x:v>54152</x:v>
      </x:c>
      <x:c r="B3032">
        <x:v>3</x:v>
      </x:c>
      <x:c r="C3032">
        <x:v>31</x:v>
      </x:c>
      <x:c r="D3032">
        <x:f>ROUND($C3032*10*VLOOKUP($B3032,Sheet2!$J$5:$K$7,2,FALSE)*VLOOKUP(Sheet1!$A3032,Sheet2!$B$5:$H$29,3,FALSE),0)</x:f>
        <x:v>0</x:v>
      </x:c>
      <x:c r="E3032">
        <x:f>ROUND($C3032*10*VLOOKUP($B3032,Sheet2!$J$5:$K$7,2,FALSE)*VLOOKUP(Sheet1!$A3032,Sheet2!$B$5:$H$29,4,FALSE),0)</x:f>
        <x:v>124</x:v>
      </x:c>
      <x:c r="F3032">
        <x:f>ROUND($C3032*10*VLOOKUP($B3032,Sheet2!$J$5:$K$7,2,FALSE)*VLOOKUP(Sheet1!$A3032,Sheet2!$B$5:$H$29,5,FALSE),0)</x:f>
        <x:v>0</x:v>
      </x:c>
      <x:c r="G3032">
        <x:f>ROUND($C3032*10*VLOOKUP($B3032,Sheet2!$J$5:$K$7,2,FALSE)*VLOOKUP(Sheet1!$A3032,Sheet2!$B$5:$H$29,6,FALSE),0)</x:f>
        <x:v>298</x:v>
      </x:c>
      <x:c r="H3032">
        <x:f>ROUND($C3032*10*VLOOKUP($B3032,Sheet2!$J$5:$K$7,2,FALSE)*VLOOKUP(Sheet1!$A3032,Sheet2!$B$5:$H$29,7,FALSE),0)</x:f>
        <x:v>0</x:v>
      </x:c>
      <x:c r="I3032">
        <x:f t="shared" si="50"/>
        <x:v>57530</x:v>
      </x:c>
    </x:row>
    <x:row r="3033" spans="1:9" x14ac:dyDescent="0.15">
      <x:c r="A3033">
        <x:v>54152</x:v>
      </x:c>
      <x:c r="B3033">
        <x:v>3</x:v>
      </x:c>
      <x:c r="C3033">
        <x:v>32</x:v>
      </x:c>
      <x:c r="D3033">
        <x:f>ROUND($C3033*10*VLOOKUP($B3033,Sheet2!$J$5:$K$7,2,FALSE)*VLOOKUP(Sheet1!$A3033,Sheet2!$B$5:$H$29,3,FALSE),0)</x:f>
        <x:v>0</x:v>
      </x:c>
      <x:c r="E3033">
        <x:f>ROUND($C3033*10*VLOOKUP($B3033,Sheet2!$J$5:$K$7,2,FALSE)*VLOOKUP(Sheet1!$A3033,Sheet2!$B$5:$H$29,4,FALSE),0)</x:f>
        <x:v>128</x:v>
      </x:c>
      <x:c r="F3033">
        <x:f>ROUND($C3033*10*VLOOKUP($B3033,Sheet2!$J$5:$K$7,2,FALSE)*VLOOKUP(Sheet1!$A3033,Sheet2!$B$5:$H$29,5,FALSE),0)</x:f>
        <x:v>0</x:v>
      </x:c>
      <x:c r="G3033">
        <x:f>ROUND($C3033*10*VLOOKUP($B3033,Sheet2!$J$5:$K$7,2,FALSE)*VLOOKUP(Sheet1!$A3033,Sheet2!$B$5:$H$29,6,FALSE),0)</x:f>
        <x:v>307</x:v>
      </x:c>
      <x:c r="H3033">
        <x:f>ROUND($C3033*10*VLOOKUP($B3033,Sheet2!$J$5:$K$7,2,FALSE)*VLOOKUP(Sheet1!$A3033,Sheet2!$B$5:$H$29,7,FALSE),0)</x:f>
        <x:v>0</x:v>
      </x:c>
      <x:c r="I3033">
        <x:f t="shared" si="50"/>
        <x:v>61020</x:v>
      </x:c>
    </x:row>
    <x:row r="3034" spans="1:9" x14ac:dyDescent="0.15">
      <x:c r="A3034">
        <x:v>54152</x:v>
      </x:c>
      <x:c r="B3034">
        <x:v>3</x:v>
      </x:c>
      <x:c r="C3034">
        <x:v>33</x:v>
      </x:c>
      <x:c r="D3034">
        <x:f>ROUND($C3034*10*VLOOKUP($B3034,Sheet2!$J$5:$K$7,2,FALSE)*VLOOKUP(Sheet1!$A3034,Sheet2!$B$5:$H$29,3,FALSE),0)</x:f>
        <x:v>0</x:v>
      </x:c>
      <x:c r="E3034">
        <x:f>ROUND($C3034*10*VLOOKUP($B3034,Sheet2!$J$5:$K$7,2,FALSE)*VLOOKUP(Sheet1!$A3034,Sheet2!$B$5:$H$29,4,FALSE),0)</x:f>
        <x:v>132</x:v>
      </x:c>
      <x:c r="F3034">
        <x:f>ROUND($C3034*10*VLOOKUP($B3034,Sheet2!$J$5:$K$7,2,FALSE)*VLOOKUP(Sheet1!$A3034,Sheet2!$B$5:$H$29,5,FALSE),0)</x:f>
        <x:v>0</x:v>
      </x:c>
      <x:c r="G3034">
        <x:f>ROUND($C3034*10*VLOOKUP($B3034,Sheet2!$J$5:$K$7,2,FALSE)*VLOOKUP(Sheet1!$A3034,Sheet2!$B$5:$H$29,6,FALSE),0)</x:f>
        <x:v>317</x:v>
      </x:c>
      <x:c r="H3034">
        <x:f>ROUND($C3034*10*VLOOKUP($B3034,Sheet2!$J$5:$K$7,2,FALSE)*VLOOKUP(Sheet1!$A3034,Sheet2!$B$5:$H$29,7,FALSE),0)</x:f>
        <x:v>0</x:v>
      </x:c>
      <x:c r="I3034">
        <x:f t="shared" si="50"/>
        <x:v>64600</x:v>
      </x:c>
    </x:row>
    <x:row r="3035" spans="1:9" x14ac:dyDescent="0.15">
      <x:c r="A3035">
        <x:v>54152</x:v>
      </x:c>
      <x:c r="B3035">
        <x:v>3</x:v>
      </x:c>
      <x:c r="C3035">
        <x:v>34</x:v>
      </x:c>
      <x:c r="D3035">
        <x:f>ROUND($C3035*10*VLOOKUP($B3035,Sheet2!$J$5:$K$7,2,FALSE)*VLOOKUP(Sheet1!$A3035,Sheet2!$B$5:$H$29,3,FALSE),0)</x:f>
        <x:v>0</x:v>
      </x:c>
      <x:c r="E3035">
        <x:f>ROUND($C3035*10*VLOOKUP($B3035,Sheet2!$J$5:$K$7,2,FALSE)*VLOOKUP(Sheet1!$A3035,Sheet2!$B$5:$H$29,4,FALSE),0)</x:f>
        <x:v>136</x:v>
      </x:c>
      <x:c r="F3035">
        <x:f>ROUND($C3035*10*VLOOKUP($B3035,Sheet2!$J$5:$K$7,2,FALSE)*VLOOKUP(Sheet1!$A3035,Sheet2!$B$5:$H$29,5,FALSE),0)</x:f>
        <x:v>0</x:v>
      </x:c>
      <x:c r="G3035">
        <x:f>ROUND($C3035*10*VLOOKUP($B3035,Sheet2!$J$5:$K$7,2,FALSE)*VLOOKUP(Sheet1!$A3035,Sheet2!$B$5:$H$29,6,FALSE),0)</x:f>
        <x:v>326</x:v>
      </x:c>
      <x:c r="H3035">
        <x:f>ROUND($C3035*10*VLOOKUP($B3035,Sheet2!$J$5:$K$7,2,FALSE)*VLOOKUP(Sheet1!$A3035,Sheet2!$B$5:$H$29,7,FALSE),0)</x:f>
        <x:v>0</x:v>
      </x:c>
      <x:c r="I3035">
        <x:f t="shared" si="50"/>
        <x:v>68280</x:v>
      </x:c>
    </x:row>
    <x:row r="3036" spans="1:9" x14ac:dyDescent="0.15">
      <x:c r="A3036">
        <x:v>54152</x:v>
      </x:c>
      <x:c r="B3036">
        <x:v>3</x:v>
      </x:c>
      <x:c r="C3036">
        <x:v>35</x:v>
      </x:c>
      <x:c r="D3036">
        <x:f>ROUND($C3036*10*VLOOKUP($B3036,Sheet2!$J$5:$K$7,2,FALSE)*VLOOKUP(Sheet1!$A3036,Sheet2!$B$5:$H$29,3,FALSE),0)</x:f>
        <x:v>0</x:v>
      </x:c>
      <x:c r="E3036">
        <x:f>ROUND($C3036*10*VLOOKUP($B3036,Sheet2!$J$5:$K$7,2,FALSE)*VLOOKUP(Sheet1!$A3036,Sheet2!$B$5:$H$29,4,FALSE),0)</x:f>
        <x:v>140</x:v>
      </x:c>
      <x:c r="F3036">
        <x:f>ROUND($C3036*10*VLOOKUP($B3036,Sheet2!$J$5:$K$7,2,FALSE)*VLOOKUP(Sheet1!$A3036,Sheet2!$B$5:$H$29,5,FALSE),0)</x:f>
        <x:v>0</x:v>
      </x:c>
      <x:c r="G3036">
        <x:f>ROUND($C3036*10*VLOOKUP($B3036,Sheet2!$J$5:$K$7,2,FALSE)*VLOOKUP(Sheet1!$A3036,Sheet2!$B$5:$H$29,6,FALSE),0)</x:f>
        <x:v>336</x:v>
      </x:c>
      <x:c r="H3036">
        <x:f>ROUND($C3036*10*VLOOKUP($B3036,Sheet2!$J$5:$K$7,2,FALSE)*VLOOKUP(Sheet1!$A3036,Sheet2!$B$5:$H$29,7,FALSE),0)</x:f>
        <x:v>0</x:v>
      </x:c>
      <x:c r="I3036">
        <x:f t="shared" si="50"/>
        <x:v>72040</x:v>
      </x:c>
    </x:row>
    <x:row r="3037" spans="1:9" x14ac:dyDescent="0.15">
      <x:c r="A3037">
        <x:v>54152</x:v>
      </x:c>
      <x:c r="B3037">
        <x:v>3</x:v>
      </x:c>
      <x:c r="C3037">
        <x:v>36</x:v>
      </x:c>
      <x:c r="D3037">
        <x:f>ROUND($C3037*10*VLOOKUP($B3037,Sheet2!$J$5:$K$7,2,FALSE)*VLOOKUP(Sheet1!$A3037,Sheet2!$B$5:$H$29,3,FALSE),0)</x:f>
        <x:v>0</x:v>
      </x:c>
      <x:c r="E3037">
        <x:f>ROUND($C3037*10*VLOOKUP($B3037,Sheet2!$J$5:$K$7,2,FALSE)*VLOOKUP(Sheet1!$A3037,Sheet2!$B$5:$H$29,4,FALSE),0)</x:f>
        <x:v>144</x:v>
      </x:c>
      <x:c r="F3037">
        <x:f>ROUND($C3037*10*VLOOKUP($B3037,Sheet2!$J$5:$K$7,2,FALSE)*VLOOKUP(Sheet1!$A3037,Sheet2!$B$5:$H$29,5,FALSE),0)</x:f>
        <x:v>0</x:v>
      </x:c>
      <x:c r="G3037">
        <x:f>ROUND($C3037*10*VLOOKUP($B3037,Sheet2!$J$5:$K$7,2,FALSE)*VLOOKUP(Sheet1!$A3037,Sheet2!$B$5:$H$29,6,FALSE),0)</x:f>
        <x:v>346</x:v>
      </x:c>
      <x:c r="H3037">
        <x:f>ROUND($C3037*10*VLOOKUP($B3037,Sheet2!$J$5:$K$7,2,FALSE)*VLOOKUP(Sheet1!$A3037,Sheet2!$B$5:$H$29,7,FALSE),0)</x:f>
        <x:v>0</x:v>
      </x:c>
      <x:c r="I3037">
        <x:f t="shared" si="50"/>
        <x:v>75890</x:v>
      </x:c>
    </x:row>
    <x:row r="3038" spans="1:9" x14ac:dyDescent="0.15">
      <x:c r="A3038">
        <x:v>54152</x:v>
      </x:c>
      <x:c r="B3038">
        <x:v>3</x:v>
      </x:c>
      <x:c r="C3038">
        <x:v>37</x:v>
      </x:c>
      <x:c r="D3038">
        <x:f>ROUND($C3038*10*VLOOKUP($B3038,Sheet2!$J$5:$K$7,2,FALSE)*VLOOKUP(Sheet1!$A3038,Sheet2!$B$5:$H$29,3,FALSE),0)</x:f>
        <x:v>0</x:v>
      </x:c>
      <x:c r="E3038">
        <x:f>ROUND($C3038*10*VLOOKUP($B3038,Sheet2!$J$5:$K$7,2,FALSE)*VLOOKUP(Sheet1!$A3038,Sheet2!$B$5:$H$29,4,FALSE),0)</x:f>
        <x:v>148</x:v>
      </x:c>
      <x:c r="F3038">
        <x:f>ROUND($C3038*10*VLOOKUP($B3038,Sheet2!$J$5:$K$7,2,FALSE)*VLOOKUP(Sheet1!$A3038,Sheet2!$B$5:$H$29,5,FALSE),0)</x:f>
        <x:v>0</x:v>
      </x:c>
      <x:c r="G3038">
        <x:f>ROUND($C3038*10*VLOOKUP($B3038,Sheet2!$J$5:$K$7,2,FALSE)*VLOOKUP(Sheet1!$A3038,Sheet2!$B$5:$H$29,6,FALSE),0)</x:f>
        <x:v>355</x:v>
      </x:c>
      <x:c r="H3038">
        <x:f>ROUND($C3038*10*VLOOKUP($B3038,Sheet2!$J$5:$K$7,2,FALSE)*VLOOKUP(Sheet1!$A3038,Sheet2!$B$5:$H$29,7,FALSE),0)</x:f>
        <x:v>0</x:v>
      </x:c>
      <x:c r="I3038">
        <x:f t="shared" si="50"/>
        <x:v>79840</x:v>
      </x:c>
    </x:row>
    <x:row r="3039" spans="1:9" x14ac:dyDescent="0.15">
      <x:c r="A3039">
        <x:v>54152</x:v>
      </x:c>
      <x:c r="B3039">
        <x:v>3</x:v>
      </x:c>
      <x:c r="C3039">
        <x:v>38</x:v>
      </x:c>
      <x:c r="D3039">
        <x:f>ROUND($C3039*10*VLOOKUP($B3039,Sheet2!$J$5:$K$7,2,FALSE)*VLOOKUP(Sheet1!$A3039,Sheet2!$B$5:$H$29,3,FALSE),0)</x:f>
        <x:v>0</x:v>
      </x:c>
      <x:c r="E3039">
        <x:f>ROUND($C3039*10*VLOOKUP($B3039,Sheet2!$J$5:$K$7,2,FALSE)*VLOOKUP(Sheet1!$A3039,Sheet2!$B$5:$H$29,4,FALSE),0)</x:f>
        <x:v>152</x:v>
      </x:c>
      <x:c r="F3039">
        <x:f>ROUND($C3039*10*VLOOKUP($B3039,Sheet2!$J$5:$K$7,2,FALSE)*VLOOKUP(Sheet1!$A3039,Sheet2!$B$5:$H$29,5,FALSE),0)</x:f>
        <x:v>0</x:v>
      </x:c>
      <x:c r="G3039">
        <x:f>ROUND($C3039*10*VLOOKUP($B3039,Sheet2!$J$5:$K$7,2,FALSE)*VLOOKUP(Sheet1!$A3039,Sheet2!$B$5:$H$29,6,FALSE),0)</x:f>
        <x:v>365</x:v>
      </x:c>
      <x:c r="H3039">
        <x:f>ROUND($C3039*10*VLOOKUP($B3039,Sheet2!$J$5:$K$7,2,FALSE)*VLOOKUP(Sheet1!$A3039,Sheet2!$B$5:$H$29,7,FALSE),0)</x:f>
        <x:v>0</x:v>
      </x:c>
      <x:c r="I3039">
        <x:f t="shared" si="50"/>
        <x:v>83870</x:v>
      </x:c>
    </x:row>
    <x:row r="3040" spans="1:9" x14ac:dyDescent="0.15">
      <x:c r="A3040">
        <x:v>54152</x:v>
      </x:c>
      <x:c r="B3040">
        <x:v>3</x:v>
      </x:c>
      <x:c r="C3040">
        <x:v>39</x:v>
      </x:c>
      <x:c r="D3040">
        <x:f>ROUND($C3040*10*VLOOKUP($B3040,Sheet2!$J$5:$K$7,2,FALSE)*VLOOKUP(Sheet1!$A3040,Sheet2!$B$5:$H$29,3,FALSE),0)</x:f>
        <x:v>0</x:v>
      </x:c>
      <x:c r="E3040">
        <x:f>ROUND($C3040*10*VLOOKUP($B3040,Sheet2!$J$5:$K$7,2,FALSE)*VLOOKUP(Sheet1!$A3040,Sheet2!$B$5:$H$29,4,FALSE),0)</x:f>
        <x:v>156</x:v>
      </x:c>
      <x:c r="F3040">
        <x:f>ROUND($C3040*10*VLOOKUP($B3040,Sheet2!$J$5:$K$7,2,FALSE)*VLOOKUP(Sheet1!$A3040,Sheet2!$B$5:$H$29,5,FALSE),0)</x:f>
        <x:v>0</x:v>
      </x:c>
      <x:c r="G3040">
        <x:f>ROUND($C3040*10*VLOOKUP($B3040,Sheet2!$J$5:$K$7,2,FALSE)*VLOOKUP(Sheet1!$A3040,Sheet2!$B$5:$H$29,6,FALSE),0)</x:f>
        <x:v>374</x:v>
      </x:c>
      <x:c r="H3040">
        <x:f>ROUND($C3040*10*VLOOKUP($B3040,Sheet2!$J$5:$K$7,2,FALSE)*VLOOKUP(Sheet1!$A3040,Sheet2!$B$5:$H$29,7,FALSE),0)</x:f>
        <x:v>0</x:v>
      </x:c>
      <x:c r="I3040">
        <x:f t="shared" si="50"/>
        <x:v>87990</x:v>
      </x:c>
    </x:row>
    <x:row r="3041" spans="1:9" x14ac:dyDescent="0.15">
      <x:c r="A3041">
        <x:v>54152</x:v>
      </x:c>
      <x:c r="B3041">
        <x:v>3</x:v>
      </x:c>
      <x:c r="C3041">
        <x:v>40</x:v>
      </x:c>
      <x:c r="D3041">
        <x:f>ROUND($C3041*10*VLOOKUP($B3041,Sheet2!$J$5:$K$7,2,FALSE)*VLOOKUP(Sheet1!$A3041,Sheet2!$B$5:$H$29,3,FALSE),0)</x:f>
        <x:v>0</x:v>
      </x:c>
      <x:c r="E3041">
        <x:f>ROUND($C3041*10*VLOOKUP($B3041,Sheet2!$J$5:$K$7,2,FALSE)*VLOOKUP(Sheet1!$A3041,Sheet2!$B$5:$H$29,4,FALSE),0)</x:f>
        <x:v>160</x:v>
      </x:c>
      <x:c r="F3041">
        <x:f>ROUND($C3041*10*VLOOKUP($B3041,Sheet2!$J$5:$K$7,2,FALSE)*VLOOKUP(Sheet1!$A3041,Sheet2!$B$5:$H$29,5,FALSE),0)</x:f>
        <x:v>0</x:v>
      </x:c>
      <x:c r="G3041">
        <x:f>ROUND($C3041*10*VLOOKUP($B3041,Sheet2!$J$5:$K$7,2,FALSE)*VLOOKUP(Sheet1!$A3041,Sheet2!$B$5:$H$29,6,FALSE),0)</x:f>
        <x:v>384</x:v>
      </x:c>
      <x:c r="H3041">
        <x:f>ROUND($C3041*10*VLOOKUP($B3041,Sheet2!$J$5:$K$7,2,FALSE)*VLOOKUP(Sheet1!$A3041,Sheet2!$B$5:$H$29,7,FALSE),0)</x:f>
        <x:v>0</x:v>
      </x:c>
      <x:c r="I3041">
        <x:f t="shared" si="50"/>
        <x:v>92200</x:v>
      </x:c>
    </x:row>
    <x:row r="3042" spans="1:9" x14ac:dyDescent="0.15">
      <x:c r="A3042">
        <x:v>54152</x:v>
      </x:c>
      <x:c r="B3042">
        <x:v>3</x:v>
      </x:c>
      <x:c r="C3042">
        <x:v>41</x:v>
      </x:c>
      <x:c r="D3042">
        <x:f>ROUND($C3042*10*VLOOKUP($B3042,Sheet2!$J$5:$K$7,2,FALSE)*VLOOKUP(Sheet1!$A3042,Sheet2!$B$5:$H$29,3,FALSE),0)</x:f>
        <x:v>0</x:v>
      </x:c>
      <x:c r="E3042">
        <x:f>ROUND($C3042*10*VLOOKUP($B3042,Sheet2!$J$5:$K$7,2,FALSE)*VLOOKUP(Sheet1!$A3042,Sheet2!$B$5:$H$29,4,FALSE),0)</x:f>
        <x:v>164</x:v>
      </x:c>
      <x:c r="F3042">
        <x:f>ROUND($C3042*10*VLOOKUP($B3042,Sheet2!$J$5:$K$7,2,FALSE)*VLOOKUP(Sheet1!$A3042,Sheet2!$B$5:$H$29,5,FALSE),0)</x:f>
        <x:v>0</x:v>
      </x:c>
      <x:c r="G3042">
        <x:f>ROUND($C3042*10*VLOOKUP($B3042,Sheet2!$J$5:$K$7,2,FALSE)*VLOOKUP(Sheet1!$A3042,Sheet2!$B$5:$H$29,6,FALSE),0)</x:f>
        <x:v>394</x:v>
      </x:c>
      <x:c r="H3042">
        <x:f>ROUND($C3042*10*VLOOKUP($B3042,Sheet2!$J$5:$K$7,2,FALSE)*VLOOKUP(Sheet1!$A3042,Sheet2!$B$5:$H$29,7,FALSE),0)</x:f>
        <x:v>0</x:v>
      </x:c>
      <x:c r="I3042">
        <x:f t="shared" si="50"/>
        <x:v>96490</x:v>
      </x:c>
    </x:row>
    <x:row r="3043" spans="1:9" x14ac:dyDescent="0.15">
      <x:c r="A3043">
        <x:v>54152</x:v>
      </x:c>
      <x:c r="B3043">
        <x:v>3</x:v>
      </x:c>
      <x:c r="C3043">
        <x:v>42</x:v>
      </x:c>
      <x:c r="D3043">
        <x:f>ROUND($C3043*10*VLOOKUP($B3043,Sheet2!$J$5:$K$7,2,FALSE)*VLOOKUP(Sheet1!$A3043,Sheet2!$B$5:$H$29,3,FALSE),0)</x:f>
        <x:v>0</x:v>
      </x:c>
      <x:c r="E3043">
        <x:f>ROUND($C3043*10*VLOOKUP($B3043,Sheet2!$J$5:$K$7,2,FALSE)*VLOOKUP(Sheet1!$A3043,Sheet2!$B$5:$H$29,4,FALSE),0)</x:f>
        <x:v>168</x:v>
      </x:c>
      <x:c r="F3043">
        <x:f>ROUND($C3043*10*VLOOKUP($B3043,Sheet2!$J$5:$K$7,2,FALSE)*VLOOKUP(Sheet1!$A3043,Sheet2!$B$5:$H$29,5,FALSE),0)</x:f>
        <x:v>0</x:v>
      </x:c>
      <x:c r="G3043">
        <x:f>ROUND($C3043*10*VLOOKUP($B3043,Sheet2!$J$5:$K$7,2,FALSE)*VLOOKUP(Sheet1!$A3043,Sheet2!$B$5:$H$29,6,FALSE),0)</x:f>
        <x:v>403</x:v>
      </x:c>
      <x:c r="H3043">
        <x:f>ROUND($C3043*10*VLOOKUP($B3043,Sheet2!$J$5:$K$7,2,FALSE)*VLOOKUP(Sheet1!$A3043,Sheet2!$B$5:$H$29,7,FALSE),0)</x:f>
        <x:v>0</x:v>
      </x:c>
      <x:c r="I3043">
        <x:f t="shared" si="50"/>
        <x:v>100870</x:v>
      </x:c>
    </x:row>
    <x:row r="3044" spans="1:9" x14ac:dyDescent="0.15">
      <x:c r="A3044">
        <x:v>54152</x:v>
      </x:c>
      <x:c r="B3044">
        <x:v>3</x:v>
      </x:c>
      <x:c r="C3044">
        <x:v>43</x:v>
      </x:c>
      <x:c r="D3044">
        <x:f>ROUND($C3044*10*VLOOKUP($B3044,Sheet2!$J$5:$K$7,2,FALSE)*VLOOKUP(Sheet1!$A3044,Sheet2!$B$5:$H$29,3,FALSE),0)</x:f>
        <x:v>0</x:v>
      </x:c>
      <x:c r="E3044">
        <x:f>ROUND($C3044*10*VLOOKUP($B3044,Sheet2!$J$5:$K$7,2,FALSE)*VLOOKUP(Sheet1!$A3044,Sheet2!$B$5:$H$29,4,FALSE),0)</x:f>
        <x:v>172</x:v>
      </x:c>
      <x:c r="F3044">
        <x:f>ROUND($C3044*10*VLOOKUP($B3044,Sheet2!$J$5:$K$7,2,FALSE)*VLOOKUP(Sheet1!$A3044,Sheet2!$B$5:$H$29,5,FALSE),0)</x:f>
        <x:v>0</x:v>
      </x:c>
      <x:c r="G3044">
        <x:f>ROUND($C3044*10*VLOOKUP($B3044,Sheet2!$J$5:$K$7,2,FALSE)*VLOOKUP(Sheet1!$A3044,Sheet2!$B$5:$H$29,6,FALSE),0)</x:f>
        <x:v>413</x:v>
      </x:c>
      <x:c r="H3044">
        <x:f>ROUND($C3044*10*VLOOKUP($B3044,Sheet2!$J$5:$K$7,2,FALSE)*VLOOKUP(Sheet1!$A3044,Sheet2!$B$5:$H$29,7,FALSE),0)</x:f>
        <x:v>0</x:v>
      </x:c>
      <x:c r="I3044">
        <x:f t="shared" si="50"/>
        <x:v>105340</x:v>
      </x:c>
    </x:row>
    <x:row r="3045" spans="1:9" x14ac:dyDescent="0.15">
      <x:c r="A3045">
        <x:v>54152</x:v>
      </x:c>
      <x:c r="B3045">
        <x:v>3</x:v>
      </x:c>
      <x:c r="C3045">
        <x:v>44</x:v>
      </x:c>
      <x:c r="D3045">
        <x:f>ROUND($C3045*10*VLOOKUP($B3045,Sheet2!$J$5:$K$7,2,FALSE)*VLOOKUP(Sheet1!$A3045,Sheet2!$B$5:$H$29,3,FALSE),0)</x:f>
        <x:v>0</x:v>
      </x:c>
      <x:c r="E3045">
        <x:f>ROUND($C3045*10*VLOOKUP($B3045,Sheet2!$J$5:$K$7,2,FALSE)*VLOOKUP(Sheet1!$A3045,Sheet2!$B$5:$H$29,4,FALSE),0)</x:f>
        <x:v>176</x:v>
      </x:c>
      <x:c r="F3045">
        <x:f>ROUND($C3045*10*VLOOKUP($B3045,Sheet2!$J$5:$K$7,2,FALSE)*VLOOKUP(Sheet1!$A3045,Sheet2!$B$5:$H$29,5,FALSE),0)</x:f>
        <x:v>0</x:v>
      </x:c>
      <x:c r="G3045">
        <x:f>ROUND($C3045*10*VLOOKUP($B3045,Sheet2!$J$5:$K$7,2,FALSE)*VLOOKUP(Sheet1!$A3045,Sheet2!$B$5:$H$29,6,FALSE),0)</x:f>
        <x:v>422</x:v>
      </x:c>
      <x:c r="H3045">
        <x:f>ROUND($C3045*10*VLOOKUP($B3045,Sheet2!$J$5:$K$7,2,FALSE)*VLOOKUP(Sheet1!$A3045,Sheet2!$B$5:$H$29,7,FALSE),0)</x:f>
        <x:v>0</x:v>
      </x:c>
      <x:c r="I3045">
        <x:f t="shared" si="50"/>
        <x:v>109890</x:v>
      </x:c>
    </x:row>
    <x:row r="3046" spans="1:9" x14ac:dyDescent="0.15">
      <x:c r="A3046">
        <x:v>54152</x:v>
      </x:c>
      <x:c r="B3046">
        <x:v>3</x:v>
      </x:c>
      <x:c r="C3046">
        <x:v>45</x:v>
      </x:c>
      <x:c r="D3046">
        <x:f>ROUND($C3046*10*VLOOKUP($B3046,Sheet2!$J$5:$K$7,2,FALSE)*VLOOKUP(Sheet1!$A3046,Sheet2!$B$5:$H$29,3,FALSE),0)</x:f>
        <x:v>0</x:v>
      </x:c>
      <x:c r="E3046">
        <x:f>ROUND($C3046*10*VLOOKUP($B3046,Sheet2!$J$5:$K$7,2,FALSE)*VLOOKUP(Sheet1!$A3046,Sheet2!$B$5:$H$29,4,FALSE),0)</x:f>
        <x:v>180</x:v>
      </x:c>
      <x:c r="F3046">
        <x:f>ROUND($C3046*10*VLOOKUP($B3046,Sheet2!$J$5:$K$7,2,FALSE)*VLOOKUP(Sheet1!$A3046,Sheet2!$B$5:$H$29,5,FALSE),0)</x:f>
        <x:v>0</x:v>
      </x:c>
      <x:c r="G3046">
        <x:f>ROUND($C3046*10*VLOOKUP($B3046,Sheet2!$J$5:$K$7,2,FALSE)*VLOOKUP(Sheet1!$A3046,Sheet2!$B$5:$H$29,6,FALSE),0)</x:f>
        <x:v>432</x:v>
      </x:c>
      <x:c r="H3046">
        <x:f>ROUND($C3046*10*VLOOKUP($B3046,Sheet2!$J$5:$K$7,2,FALSE)*VLOOKUP(Sheet1!$A3046,Sheet2!$B$5:$H$29,7,FALSE),0)</x:f>
        <x:v>0</x:v>
      </x:c>
      <x:c r="I3046">
        <x:f t="shared" si="50"/>
        <x:v>114530</x:v>
      </x:c>
    </x:row>
    <x:row r="3047" spans="1:9" x14ac:dyDescent="0.15">
      <x:c r="A3047">
        <x:v>54152</x:v>
      </x:c>
      <x:c r="B3047">
        <x:v>3</x:v>
      </x:c>
      <x:c r="C3047">
        <x:v>46</x:v>
      </x:c>
      <x:c r="D3047">
        <x:f>ROUND($C3047*10*VLOOKUP($B3047,Sheet2!$J$5:$K$7,2,FALSE)*VLOOKUP(Sheet1!$A3047,Sheet2!$B$5:$H$29,3,FALSE),0)</x:f>
        <x:v>0</x:v>
      </x:c>
      <x:c r="E3047">
        <x:f>ROUND($C3047*10*VLOOKUP($B3047,Sheet2!$J$5:$K$7,2,FALSE)*VLOOKUP(Sheet1!$A3047,Sheet2!$B$5:$H$29,4,FALSE),0)</x:f>
        <x:v>184</x:v>
      </x:c>
      <x:c r="F3047">
        <x:f>ROUND($C3047*10*VLOOKUP($B3047,Sheet2!$J$5:$K$7,2,FALSE)*VLOOKUP(Sheet1!$A3047,Sheet2!$B$5:$H$29,5,FALSE),0)</x:f>
        <x:v>0</x:v>
      </x:c>
      <x:c r="G3047">
        <x:f>ROUND($C3047*10*VLOOKUP($B3047,Sheet2!$J$5:$K$7,2,FALSE)*VLOOKUP(Sheet1!$A3047,Sheet2!$B$5:$H$29,6,FALSE),0)</x:f>
        <x:v>442</x:v>
      </x:c>
      <x:c r="H3047">
        <x:f>ROUND($C3047*10*VLOOKUP($B3047,Sheet2!$J$5:$K$7,2,FALSE)*VLOOKUP(Sheet1!$A3047,Sheet2!$B$5:$H$29,7,FALSE),0)</x:f>
        <x:v>0</x:v>
      </x:c>
      <x:c r="I3047">
        <x:f t="shared" si="50"/>
        <x:v>119260</x:v>
      </x:c>
    </x:row>
    <x:row r="3048" spans="1:9" x14ac:dyDescent="0.15">
      <x:c r="A3048">
        <x:v>54152</x:v>
      </x:c>
      <x:c r="B3048">
        <x:v>3</x:v>
      </x:c>
      <x:c r="C3048">
        <x:v>47</x:v>
      </x:c>
      <x:c r="D3048">
        <x:f>ROUND($C3048*10*VLOOKUP($B3048,Sheet2!$J$5:$K$7,2,FALSE)*VLOOKUP(Sheet1!$A3048,Sheet2!$B$5:$H$29,3,FALSE),0)</x:f>
        <x:v>0</x:v>
      </x:c>
      <x:c r="E3048">
        <x:f>ROUND($C3048*10*VLOOKUP($B3048,Sheet2!$J$5:$K$7,2,FALSE)*VLOOKUP(Sheet1!$A3048,Sheet2!$B$5:$H$29,4,FALSE),0)</x:f>
        <x:v>188</x:v>
      </x:c>
      <x:c r="F3048">
        <x:f>ROUND($C3048*10*VLOOKUP($B3048,Sheet2!$J$5:$K$7,2,FALSE)*VLOOKUP(Sheet1!$A3048,Sheet2!$B$5:$H$29,5,FALSE),0)</x:f>
        <x:v>0</x:v>
      </x:c>
      <x:c r="G3048">
        <x:f>ROUND($C3048*10*VLOOKUP($B3048,Sheet2!$J$5:$K$7,2,FALSE)*VLOOKUP(Sheet1!$A3048,Sheet2!$B$5:$H$29,6,FALSE),0)</x:f>
        <x:v>451</x:v>
      </x:c>
      <x:c r="H3048">
        <x:f>ROUND($C3048*10*VLOOKUP($B3048,Sheet2!$J$5:$K$7,2,FALSE)*VLOOKUP(Sheet1!$A3048,Sheet2!$B$5:$H$29,7,FALSE),0)</x:f>
        <x:v>0</x:v>
      </x:c>
      <x:c r="I3048">
        <x:f t="shared" si="50"/>
        <x:v>124070</x:v>
      </x:c>
    </x:row>
    <x:row r="3049" spans="1:9" x14ac:dyDescent="0.15">
      <x:c r="A3049">
        <x:v>54152</x:v>
      </x:c>
      <x:c r="B3049">
        <x:v>3</x:v>
      </x:c>
      <x:c r="C3049">
        <x:v>48</x:v>
      </x:c>
      <x:c r="D3049">
        <x:f>ROUND($C3049*10*VLOOKUP($B3049,Sheet2!$J$5:$K$7,2,FALSE)*VLOOKUP(Sheet1!$A3049,Sheet2!$B$5:$H$29,3,FALSE),0)</x:f>
        <x:v>0</x:v>
      </x:c>
      <x:c r="E3049">
        <x:f>ROUND($C3049*10*VLOOKUP($B3049,Sheet2!$J$5:$K$7,2,FALSE)*VLOOKUP(Sheet1!$A3049,Sheet2!$B$5:$H$29,4,FALSE),0)</x:f>
        <x:v>192</x:v>
      </x:c>
      <x:c r="F3049">
        <x:f>ROUND($C3049*10*VLOOKUP($B3049,Sheet2!$J$5:$K$7,2,FALSE)*VLOOKUP(Sheet1!$A3049,Sheet2!$B$5:$H$29,5,FALSE),0)</x:f>
        <x:v>0</x:v>
      </x:c>
      <x:c r="G3049">
        <x:f>ROUND($C3049*10*VLOOKUP($B3049,Sheet2!$J$5:$K$7,2,FALSE)*VLOOKUP(Sheet1!$A3049,Sheet2!$B$5:$H$29,6,FALSE),0)</x:f>
        <x:v>461</x:v>
      </x:c>
      <x:c r="H3049">
        <x:f>ROUND($C3049*10*VLOOKUP($B3049,Sheet2!$J$5:$K$7,2,FALSE)*VLOOKUP(Sheet1!$A3049,Sheet2!$B$5:$H$29,7,FALSE),0)</x:f>
        <x:v>0</x:v>
      </x:c>
      <x:c r="I3049">
        <x:f t="shared" si="50"/>
        <x:v>128960</x:v>
      </x:c>
    </x:row>
    <x:row r="3050" spans="1:9" x14ac:dyDescent="0.15">
      <x:c r="A3050">
        <x:v>54152</x:v>
      </x:c>
      <x:c r="B3050">
        <x:v>3</x:v>
      </x:c>
      <x:c r="C3050">
        <x:v>49</x:v>
      </x:c>
      <x:c r="D3050">
        <x:f>ROUND($C3050*10*VLOOKUP($B3050,Sheet2!$J$5:$K$7,2,FALSE)*VLOOKUP(Sheet1!$A3050,Sheet2!$B$5:$H$29,3,FALSE),0)</x:f>
        <x:v>0</x:v>
      </x:c>
      <x:c r="E3050">
        <x:f>ROUND($C3050*10*VLOOKUP($B3050,Sheet2!$J$5:$K$7,2,FALSE)*VLOOKUP(Sheet1!$A3050,Sheet2!$B$5:$H$29,4,FALSE),0)</x:f>
        <x:v>196</x:v>
      </x:c>
      <x:c r="F3050">
        <x:f>ROUND($C3050*10*VLOOKUP($B3050,Sheet2!$J$5:$K$7,2,FALSE)*VLOOKUP(Sheet1!$A3050,Sheet2!$B$5:$H$29,5,FALSE),0)</x:f>
        <x:v>0</x:v>
      </x:c>
      <x:c r="G3050">
        <x:f>ROUND($C3050*10*VLOOKUP($B3050,Sheet2!$J$5:$K$7,2,FALSE)*VLOOKUP(Sheet1!$A3050,Sheet2!$B$5:$H$29,6,FALSE),0)</x:f>
        <x:v>470</x:v>
      </x:c>
      <x:c r="H3050">
        <x:f>ROUND($C3050*10*VLOOKUP($B3050,Sheet2!$J$5:$K$7,2,FALSE)*VLOOKUP(Sheet1!$A3050,Sheet2!$B$5:$H$29,7,FALSE),0)</x:f>
        <x:v>0</x:v>
      </x:c>
      <x:c r="I3050">
        <x:f t="shared" si="50"/>
        <x:v>133940</x:v>
      </x:c>
    </x:row>
    <x:row r="3051" spans="1:9" x14ac:dyDescent="0.15">
      <x:c r="A3051">
        <x:v>54152</x:v>
      </x:c>
      <x:c r="B3051">
        <x:v>3</x:v>
      </x:c>
      <x:c r="C3051">
        <x:v>50</x:v>
      </x:c>
      <x:c r="D3051">
        <x:f>ROUND($C3051*10*VLOOKUP($B3051,Sheet2!$J$5:$K$7,2,FALSE)*VLOOKUP(Sheet1!$A3051,Sheet2!$B$5:$H$29,3,FALSE),0)</x:f>
        <x:v>0</x:v>
      </x:c>
      <x:c r="E3051">
        <x:f>ROUND($C3051*10*VLOOKUP($B3051,Sheet2!$J$5:$K$7,2,FALSE)*VLOOKUP(Sheet1!$A3051,Sheet2!$B$5:$H$29,4,FALSE),0)</x:f>
        <x:v>200</x:v>
      </x:c>
      <x:c r="F3051">
        <x:f>ROUND($C3051*10*VLOOKUP($B3051,Sheet2!$J$5:$K$7,2,FALSE)*VLOOKUP(Sheet1!$A3051,Sheet2!$B$5:$H$29,5,FALSE),0)</x:f>
        <x:v>0</x:v>
      </x:c>
      <x:c r="G3051">
        <x:f>ROUND($C3051*10*VLOOKUP($B3051,Sheet2!$J$5:$K$7,2,FALSE)*VLOOKUP(Sheet1!$A3051,Sheet2!$B$5:$H$29,6,FALSE),0)</x:f>
        <x:v>480</x:v>
      </x:c>
      <x:c r="H3051">
        <x:f>ROUND($C3051*10*VLOOKUP($B3051,Sheet2!$J$5:$K$7,2,FALSE)*VLOOKUP(Sheet1!$A3051,Sheet2!$B$5:$H$29,7,FALSE),0)</x:f>
        <x:v>0</x:v>
      </x:c>
      <x:c r="I3051">
        <x:f t="shared" si="50"/>
        <x:v>139000</x:v>
      </x:c>
    </x:row>
    <x:row r="3052" spans="1:9" x14ac:dyDescent="0.15">
      <x:c r="A3052">
        <x:v>54152</x:v>
      </x:c>
      <x:c r="B3052">
        <x:v>3</x:v>
      </x:c>
      <x:c r="C3052">
        <x:v>51</x:v>
      </x:c>
      <x:c r="D3052">
        <x:f>ROUND($C3052*10*VLOOKUP($B3052,Sheet2!$J$5:$K$7,2,FALSE)*VLOOKUP(Sheet1!$A3052,Sheet2!$B$5:$H$29,3,FALSE),0)</x:f>
        <x:v>0</x:v>
      </x:c>
      <x:c r="E3052">
        <x:f>ROUND($C3052*10*VLOOKUP($B3052,Sheet2!$J$5:$K$7,2,FALSE)*VLOOKUP(Sheet1!$A3052,Sheet2!$B$5:$H$29,4,FALSE),0)</x:f>
        <x:v>204</x:v>
      </x:c>
      <x:c r="F3052">
        <x:f>ROUND($C3052*10*VLOOKUP($B3052,Sheet2!$J$5:$K$7,2,FALSE)*VLOOKUP(Sheet1!$A3052,Sheet2!$B$5:$H$29,5,FALSE),0)</x:f>
        <x:v>0</x:v>
      </x:c>
      <x:c r="G3052">
        <x:f>ROUND($C3052*10*VLOOKUP($B3052,Sheet2!$J$5:$K$7,2,FALSE)*VLOOKUP(Sheet1!$A3052,Sheet2!$B$5:$H$29,6,FALSE),0)</x:f>
        <x:v>490</x:v>
      </x:c>
      <x:c r="H3052">
        <x:f>ROUND($C3052*10*VLOOKUP($B3052,Sheet2!$J$5:$K$7,2,FALSE)*VLOOKUP(Sheet1!$A3052,Sheet2!$B$5:$H$29,7,FALSE),0)</x:f>
        <x:v>0</x:v>
      </x:c>
      <x:c r="I3052">
        <x:f t="shared" si="50"/>
        <x:v>144140</x:v>
      </x:c>
    </x:row>
    <x:row r="3053" spans="1:9" x14ac:dyDescent="0.15">
      <x:c r="A3053">
        <x:v>54152</x:v>
      </x:c>
      <x:c r="B3053">
        <x:v>3</x:v>
      </x:c>
      <x:c r="C3053">
        <x:v>52</x:v>
      </x:c>
      <x:c r="D3053">
        <x:f>ROUND($C3053*10*VLOOKUP($B3053,Sheet2!$J$5:$K$7,2,FALSE)*VLOOKUP(Sheet1!$A3053,Sheet2!$B$5:$H$29,3,FALSE),0)</x:f>
        <x:v>0</x:v>
      </x:c>
      <x:c r="E3053">
        <x:f>ROUND($C3053*10*VLOOKUP($B3053,Sheet2!$J$5:$K$7,2,FALSE)*VLOOKUP(Sheet1!$A3053,Sheet2!$B$5:$H$29,4,FALSE),0)</x:f>
        <x:v>208</x:v>
      </x:c>
      <x:c r="F3053">
        <x:f>ROUND($C3053*10*VLOOKUP($B3053,Sheet2!$J$5:$K$7,2,FALSE)*VLOOKUP(Sheet1!$A3053,Sheet2!$B$5:$H$29,5,FALSE),0)</x:f>
        <x:v>0</x:v>
      </x:c>
      <x:c r="G3053">
        <x:f>ROUND($C3053*10*VLOOKUP($B3053,Sheet2!$J$5:$K$7,2,FALSE)*VLOOKUP(Sheet1!$A3053,Sheet2!$B$5:$H$29,6,FALSE),0)</x:f>
        <x:v>499</x:v>
      </x:c>
      <x:c r="H3053">
        <x:f>ROUND($C3053*10*VLOOKUP($B3053,Sheet2!$J$5:$K$7,2,FALSE)*VLOOKUP(Sheet1!$A3053,Sheet2!$B$5:$H$29,7,FALSE),0)</x:f>
        <x:v>0</x:v>
      </x:c>
      <x:c r="I3053">
        <x:f t="shared" si="50"/>
        <x:v>149370</x:v>
      </x:c>
    </x:row>
    <x:row r="3054" spans="1:9" x14ac:dyDescent="0.15">
      <x:c r="A3054">
        <x:v>54152</x:v>
      </x:c>
      <x:c r="B3054">
        <x:v>3</x:v>
      </x:c>
      <x:c r="C3054">
        <x:v>53</x:v>
      </x:c>
      <x:c r="D3054">
        <x:f>ROUND($C3054*10*VLOOKUP($B3054,Sheet2!$J$5:$K$7,2,FALSE)*VLOOKUP(Sheet1!$A3054,Sheet2!$B$5:$H$29,3,FALSE),0)</x:f>
        <x:v>0</x:v>
      </x:c>
      <x:c r="E3054">
        <x:f>ROUND($C3054*10*VLOOKUP($B3054,Sheet2!$J$5:$K$7,2,FALSE)*VLOOKUP(Sheet1!$A3054,Sheet2!$B$5:$H$29,4,FALSE),0)</x:f>
        <x:v>212</x:v>
      </x:c>
      <x:c r="F3054">
        <x:f>ROUND($C3054*10*VLOOKUP($B3054,Sheet2!$J$5:$K$7,2,FALSE)*VLOOKUP(Sheet1!$A3054,Sheet2!$B$5:$H$29,5,FALSE),0)</x:f>
        <x:v>0</x:v>
      </x:c>
      <x:c r="G3054">
        <x:f>ROUND($C3054*10*VLOOKUP($B3054,Sheet2!$J$5:$K$7,2,FALSE)*VLOOKUP(Sheet1!$A3054,Sheet2!$B$5:$H$29,6,FALSE),0)</x:f>
        <x:v>509</x:v>
      </x:c>
      <x:c r="H3054">
        <x:f>ROUND($C3054*10*VLOOKUP($B3054,Sheet2!$J$5:$K$7,2,FALSE)*VLOOKUP(Sheet1!$A3054,Sheet2!$B$5:$H$29,7,FALSE),0)</x:f>
        <x:v>0</x:v>
      </x:c>
      <x:c r="I3054">
        <x:f t="shared" si="50"/>
        <x:v>154680</x:v>
      </x:c>
    </x:row>
    <x:row r="3055" spans="1:9" x14ac:dyDescent="0.15">
      <x:c r="A3055">
        <x:v>54152</x:v>
      </x:c>
      <x:c r="B3055">
        <x:v>3</x:v>
      </x:c>
      <x:c r="C3055">
        <x:v>54</x:v>
      </x:c>
      <x:c r="D3055">
        <x:f>ROUND($C3055*10*VLOOKUP($B3055,Sheet2!$J$5:$K$7,2,FALSE)*VLOOKUP(Sheet1!$A3055,Sheet2!$B$5:$H$29,3,FALSE),0)</x:f>
        <x:v>0</x:v>
      </x:c>
      <x:c r="E3055">
        <x:f>ROUND($C3055*10*VLOOKUP($B3055,Sheet2!$J$5:$K$7,2,FALSE)*VLOOKUP(Sheet1!$A3055,Sheet2!$B$5:$H$29,4,FALSE),0)</x:f>
        <x:v>216</x:v>
      </x:c>
      <x:c r="F3055">
        <x:f>ROUND($C3055*10*VLOOKUP($B3055,Sheet2!$J$5:$K$7,2,FALSE)*VLOOKUP(Sheet1!$A3055,Sheet2!$B$5:$H$29,5,FALSE),0)</x:f>
        <x:v>0</x:v>
      </x:c>
      <x:c r="G3055">
        <x:f>ROUND($C3055*10*VLOOKUP($B3055,Sheet2!$J$5:$K$7,2,FALSE)*VLOOKUP(Sheet1!$A3055,Sheet2!$B$5:$H$29,6,FALSE),0)</x:f>
        <x:v>518</x:v>
      </x:c>
      <x:c r="H3055">
        <x:f>ROUND($C3055*10*VLOOKUP($B3055,Sheet2!$J$5:$K$7,2,FALSE)*VLOOKUP(Sheet1!$A3055,Sheet2!$B$5:$H$29,7,FALSE),0)</x:f>
        <x:v>0</x:v>
      </x:c>
      <x:c r="I3055">
        <x:f t="shared" si="50"/>
        <x:v>160070</x:v>
      </x:c>
    </x:row>
    <x:row r="3056" spans="1:9" x14ac:dyDescent="0.15">
      <x:c r="A3056">
        <x:v>54152</x:v>
      </x:c>
      <x:c r="B3056">
        <x:v>3</x:v>
      </x:c>
      <x:c r="C3056">
        <x:v>55</x:v>
      </x:c>
      <x:c r="D3056">
        <x:f>ROUND($C3056*10*VLOOKUP($B3056,Sheet2!$J$5:$K$7,2,FALSE)*VLOOKUP(Sheet1!$A3056,Sheet2!$B$5:$H$29,3,FALSE),0)</x:f>
        <x:v>0</x:v>
      </x:c>
      <x:c r="E3056">
        <x:f>ROUND($C3056*10*VLOOKUP($B3056,Sheet2!$J$5:$K$7,2,FALSE)*VLOOKUP(Sheet1!$A3056,Sheet2!$B$5:$H$29,4,FALSE),0)</x:f>
        <x:v>220</x:v>
      </x:c>
      <x:c r="F3056">
        <x:f>ROUND($C3056*10*VLOOKUP($B3056,Sheet2!$J$5:$K$7,2,FALSE)*VLOOKUP(Sheet1!$A3056,Sheet2!$B$5:$H$29,5,FALSE),0)</x:f>
        <x:v>0</x:v>
      </x:c>
      <x:c r="G3056">
        <x:f>ROUND($C3056*10*VLOOKUP($B3056,Sheet2!$J$5:$K$7,2,FALSE)*VLOOKUP(Sheet1!$A3056,Sheet2!$B$5:$H$29,6,FALSE),0)</x:f>
        <x:v>528</x:v>
      </x:c>
      <x:c r="H3056">
        <x:f>ROUND($C3056*10*VLOOKUP($B3056,Sheet2!$J$5:$K$7,2,FALSE)*VLOOKUP(Sheet1!$A3056,Sheet2!$B$5:$H$29,7,FALSE),0)</x:f>
        <x:v>0</x:v>
      </x:c>
      <x:c r="I3056">
        <x:f t="shared" si="50"/>
        <x:v>165540</x:v>
      </x:c>
    </x:row>
    <x:row r="3057" spans="1:9" x14ac:dyDescent="0.15">
      <x:c r="A3057">
        <x:v>54152</x:v>
      </x:c>
      <x:c r="B3057">
        <x:v>3</x:v>
      </x:c>
      <x:c r="C3057">
        <x:v>56</x:v>
      </x:c>
      <x:c r="D3057">
        <x:f>ROUND($C3057*10*VLOOKUP($B3057,Sheet2!$J$5:$K$7,2,FALSE)*VLOOKUP(Sheet1!$A3057,Sheet2!$B$5:$H$29,3,FALSE),0)</x:f>
        <x:v>0</x:v>
      </x:c>
      <x:c r="E3057">
        <x:f>ROUND($C3057*10*VLOOKUP($B3057,Sheet2!$J$5:$K$7,2,FALSE)*VLOOKUP(Sheet1!$A3057,Sheet2!$B$5:$H$29,4,FALSE),0)</x:f>
        <x:v>224</x:v>
      </x:c>
      <x:c r="F3057">
        <x:f>ROUND($C3057*10*VLOOKUP($B3057,Sheet2!$J$5:$K$7,2,FALSE)*VLOOKUP(Sheet1!$A3057,Sheet2!$B$5:$H$29,5,FALSE),0)</x:f>
        <x:v>0</x:v>
      </x:c>
      <x:c r="G3057">
        <x:f>ROUND($C3057*10*VLOOKUP($B3057,Sheet2!$J$5:$K$7,2,FALSE)*VLOOKUP(Sheet1!$A3057,Sheet2!$B$5:$H$29,6,FALSE),0)</x:f>
        <x:v>538</x:v>
      </x:c>
      <x:c r="H3057">
        <x:f>ROUND($C3057*10*VLOOKUP($B3057,Sheet2!$J$5:$K$7,2,FALSE)*VLOOKUP(Sheet1!$A3057,Sheet2!$B$5:$H$29,7,FALSE),0)</x:f>
        <x:v>0</x:v>
      </x:c>
      <x:c r="I3057">
        <x:f t="shared" si="50"/>
        <x:v>171100</x:v>
      </x:c>
    </x:row>
    <x:row r="3058" spans="1:9" x14ac:dyDescent="0.15">
      <x:c r="A3058">
        <x:v>54152</x:v>
      </x:c>
      <x:c r="B3058">
        <x:v>3</x:v>
      </x:c>
      <x:c r="C3058">
        <x:v>57</x:v>
      </x:c>
      <x:c r="D3058">
        <x:f>ROUND($C3058*10*VLOOKUP($B3058,Sheet2!$J$5:$K$7,2,FALSE)*VLOOKUP(Sheet1!$A3058,Sheet2!$B$5:$H$29,3,FALSE),0)</x:f>
        <x:v>0</x:v>
      </x:c>
      <x:c r="E3058">
        <x:f>ROUND($C3058*10*VLOOKUP($B3058,Sheet2!$J$5:$K$7,2,FALSE)*VLOOKUP(Sheet1!$A3058,Sheet2!$B$5:$H$29,4,FALSE),0)</x:f>
        <x:v>228</x:v>
      </x:c>
      <x:c r="F3058">
        <x:f>ROUND($C3058*10*VLOOKUP($B3058,Sheet2!$J$5:$K$7,2,FALSE)*VLOOKUP(Sheet1!$A3058,Sheet2!$B$5:$H$29,5,FALSE),0)</x:f>
        <x:v>0</x:v>
      </x:c>
      <x:c r="G3058">
        <x:f>ROUND($C3058*10*VLOOKUP($B3058,Sheet2!$J$5:$K$7,2,FALSE)*VLOOKUP(Sheet1!$A3058,Sheet2!$B$5:$H$29,6,FALSE),0)</x:f>
        <x:v>547</x:v>
      </x:c>
      <x:c r="H3058">
        <x:f>ROUND($C3058*10*VLOOKUP($B3058,Sheet2!$J$5:$K$7,2,FALSE)*VLOOKUP(Sheet1!$A3058,Sheet2!$B$5:$H$29,7,FALSE),0)</x:f>
        <x:v>0</x:v>
      </x:c>
      <x:c r="I3058">
        <x:f t="shared" si="50"/>
        <x:v>176740</x:v>
      </x:c>
    </x:row>
    <x:row r="3059" spans="1:9" x14ac:dyDescent="0.15">
      <x:c r="A3059">
        <x:v>54152</x:v>
      </x:c>
      <x:c r="B3059">
        <x:v>3</x:v>
      </x:c>
      <x:c r="C3059">
        <x:v>58</x:v>
      </x:c>
      <x:c r="D3059">
        <x:f>ROUND($C3059*10*VLOOKUP($B3059,Sheet2!$J$5:$K$7,2,FALSE)*VLOOKUP(Sheet1!$A3059,Sheet2!$B$5:$H$29,3,FALSE),0)</x:f>
        <x:v>0</x:v>
      </x:c>
      <x:c r="E3059">
        <x:f>ROUND($C3059*10*VLOOKUP($B3059,Sheet2!$J$5:$K$7,2,FALSE)*VLOOKUP(Sheet1!$A3059,Sheet2!$B$5:$H$29,4,FALSE),0)</x:f>
        <x:v>232</x:v>
      </x:c>
      <x:c r="F3059">
        <x:f>ROUND($C3059*10*VLOOKUP($B3059,Sheet2!$J$5:$K$7,2,FALSE)*VLOOKUP(Sheet1!$A3059,Sheet2!$B$5:$H$29,5,FALSE),0)</x:f>
        <x:v>0</x:v>
      </x:c>
      <x:c r="G3059">
        <x:f>ROUND($C3059*10*VLOOKUP($B3059,Sheet2!$J$5:$K$7,2,FALSE)*VLOOKUP(Sheet1!$A3059,Sheet2!$B$5:$H$29,6,FALSE),0)</x:f>
        <x:v>557</x:v>
      </x:c>
      <x:c r="H3059">
        <x:f>ROUND($C3059*10*VLOOKUP($B3059,Sheet2!$J$5:$K$7,2,FALSE)*VLOOKUP(Sheet1!$A3059,Sheet2!$B$5:$H$29,7,FALSE),0)</x:f>
        <x:v>0</x:v>
      </x:c>
      <x:c r="I3059">
        <x:f t="shared" si="50"/>
        <x:v>182460</x:v>
      </x:c>
    </x:row>
    <x:row r="3060" spans="1:9" x14ac:dyDescent="0.15">
      <x:c r="A3060">
        <x:v>54152</x:v>
      </x:c>
      <x:c r="B3060">
        <x:v>3</x:v>
      </x:c>
      <x:c r="C3060">
        <x:v>59</x:v>
      </x:c>
      <x:c r="D3060">
        <x:f>ROUND($C3060*10*VLOOKUP($B3060,Sheet2!$J$5:$K$7,2,FALSE)*VLOOKUP(Sheet1!$A3060,Sheet2!$B$5:$H$29,3,FALSE),0)</x:f>
        <x:v>0</x:v>
      </x:c>
      <x:c r="E3060">
        <x:f>ROUND($C3060*10*VLOOKUP($B3060,Sheet2!$J$5:$K$7,2,FALSE)*VLOOKUP(Sheet1!$A3060,Sheet2!$B$5:$H$29,4,FALSE),0)</x:f>
        <x:v>236</x:v>
      </x:c>
      <x:c r="F3060">
        <x:f>ROUND($C3060*10*VLOOKUP($B3060,Sheet2!$J$5:$K$7,2,FALSE)*VLOOKUP(Sheet1!$A3060,Sheet2!$B$5:$H$29,5,FALSE),0)</x:f>
        <x:v>0</x:v>
      </x:c>
      <x:c r="G3060">
        <x:f>ROUND($C3060*10*VLOOKUP($B3060,Sheet2!$J$5:$K$7,2,FALSE)*VLOOKUP(Sheet1!$A3060,Sheet2!$B$5:$H$29,6,FALSE),0)</x:f>
        <x:v>566</x:v>
      </x:c>
      <x:c r="H3060">
        <x:f>ROUND($C3060*10*VLOOKUP($B3060,Sheet2!$J$5:$K$7,2,FALSE)*VLOOKUP(Sheet1!$A3060,Sheet2!$B$5:$H$29,7,FALSE),0)</x:f>
        <x:v>0</x:v>
      </x:c>
      <x:c r="I3060">
        <x:f t="shared" si="50"/>
        <x:v>188260</x:v>
      </x:c>
    </x:row>
    <x:row r="3061" spans="1:9" x14ac:dyDescent="0.15">
      <x:c r="A3061">
        <x:v>54152</x:v>
      </x:c>
      <x:c r="B3061">
        <x:v>3</x:v>
      </x:c>
      <x:c r="C3061">
        <x:v>60</x:v>
      </x:c>
      <x:c r="D3061">
        <x:f>ROUND($C3061*10*VLOOKUP($B3061,Sheet2!$J$5:$K$7,2,FALSE)*VLOOKUP(Sheet1!$A3061,Sheet2!$B$5:$H$29,3,FALSE),0)</x:f>
        <x:v>0</x:v>
      </x:c>
      <x:c r="E3061">
        <x:f>ROUND($C3061*10*VLOOKUP($B3061,Sheet2!$J$5:$K$7,2,FALSE)*VLOOKUP(Sheet1!$A3061,Sheet2!$B$5:$H$29,4,FALSE),0)</x:f>
        <x:v>240</x:v>
      </x:c>
      <x:c r="F3061">
        <x:f>ROUND($C3061*10*VLOOKUP($B3061,Sheet2!$J$5:$K$7,2,FALSE)*VLOOKUP(Sheet1!$A3061,Sheet2!$B$5:$H$29,5,FALSE),0)</x:f>
        <x:v>0</x:v>
      </x:c>
      <x:c r="G3061">
        <x:f>ROUND($C3061*10*VLOOKUP($B3061,Sheet2!$J$5:$K$7,2,FALSE)*VLOOKUP(Sheet1!$A3061,Sheet2!$B$5:$H$29,6,FALSE),0)</x:f>
        <x:v>576</x:v>
      </x:c>
      <x:c r="H3061">
        <x:f>ROUND($C3061*10*VLOOKUP($B3061,Sheet2!$J$5:$K$7,2,FALSE)*VLOOKUP(Sheet1!$A3061,Sheet2!$B$5:$H$29,7,FALSE),0)</x:f>
        <x:v>0</x:v>
      </x:c>
      <x:c r="I3061">
        <x:f t="shared" si="50"/>
        <x:v>194140</x:v>
      </x:c>
    </x:row>
    <x:row r="3062" spans="1:9" x14ac:dyDescent="0.15">
      <x:c r="A3062">
        <x:v>54153</x:v>
      </x:c>
      <x:c r="B3062">
        <x:v>1</x:v>
      </x:c>
      <x:c r="C3062">
        <x:v>1</x:v>
      </x:c>
      <x:c r="D3062">
        <x:f>ROUND($C3062*10*VLOOKUP($B3062,Sheet2!$J$5:$K$7,2,FALSE)*VLOOKUP(Sheet1!$A3062,Sheet2!$B$5:$H$29,3,FALSE),0)</x:f>
        <x:v>0</x:v>
      </x:c>
      <x:c r="E3062">
        <x:f>ROUND($C3062*10*VLOOKUP($B3062,Sheet2!$J$5:$K$7,2,FALSE)*VLOOKUP(Sheet1!$A3062,Sheet2!$B$5:$H$29,4,FALSE),0)</x:f>
        <x:v>0</x:v>
      </x:c>
      <x:c r="F3062">
        <x:f>ROUND($C3062*10*VLOOKUP($B3062,Sheet2!$J$5:$K$7,2,FALSE)*VLOOKUP(Sheet1!$A3062,Sheet2!$B$5:$H$29,5,FALSE),0)</x:f>
        <x:v>2</x:v>
      </x:c>
      <x:c r="G3062">
        <x:f>ROUND($C3062*10*VLOOKUP($B3062,Sheet2!$J$5:$K$7,2,FALSE)*VLOOKUP(Sheet1!$A3062,Sheet2!$B$5:$H$29,6,FALSE),0)</x:f>
        <x:v>5</x:v>
      </x:c>
      <x:c r="H3062">
        <x:f>ROUND($C3062*10*VLOOKUP($B3062,Sheet2!$J$5:$K$7,2,FALSE)*VLOOKUP(Sheet1!$A3062,Sheet2!$B$5:$H$29,7,FALSE),0)</x:f>
        <x:v>0</x:v>
      </x:c>
      <x:c r="I3062">
        <x:f t="shared" ref="I3062:I3121" si="51">ROUND(1.2*10*1.8*(C3062-1)^1.8+30,-1)</x:f>
        <x:v>30</x:v>
      </x:c>
    </x:row>
    <x:row r="3063" spans="1:9" x14ac:dyDescent="0.15">
      <x:c r="A3063">
        <x:v>54153</x:v>
      </x:c>
      <x:c r="B3063">
        <x:v>1</x:v>
      </x:c>
      <x:c r="C3063">
        <x:v>2</x:v>
      </x:c>
      <x:c r="D3063">
        <x:f>ROUND($C3063*10*VLOOKUP($B3063,Sheet2!$J$5:$K$7,2,FALSE)*VLOOKUP(Sheet1!$A3063,Sheet2!$B$5:$H$29,3,FALSE),0)</x:f>
        <x:v>0</x:v>
      </x:c>
      <x:c r="E3063">
        <x:f>ROUND($C3063*10*VLOOKUP($B3063,Sheet2!$J$5:$K$7,2,FALSE)*VLOOKUP(Sheet1!$A3063,Sheet2!$B$5:$H$29,4,FALSE),0)</x:f>
        <x:v>0</x:v>
      </x:c>
      <x:c r="F3063">
        <x:f>ROUND($C3063*10*VLOOKUP($B3063,Sheet2!$J$5:$K$7,2,FALSE)*VLOOKUP(Sheet1!$A3063,Sheet2!$B$5:$H$29,5,FALSE),0)</x:f>
        <x:v>3</x:v>
      </x:c>
      <x:c r="G3063">
        <x:f>ROUND($C3063*10*VLOOKUP($B3063,Sheet2!$J$5:$K$7,2,FALSE)*VLOOKUP(Sheet1!$A3063,Sheet2!$B$5:$H$29,6,FALSE),0)</x:f>
        <x:v>10</x:v>
      </x:c>
      <x:c r="H3063">
        <x:f>ROUND($C3063*10*VLOOKUP($B3063,Sheet2!$J$5:$K$7,2,FALSE)*VLOOKUP(Sheet1!$A3063,Sheet2!$B$5:$H$29,7,FALSE),0)</x:f>
        <x:v>0</x:v>
      </x:c>
      <x:c r="I3063">
        <x:f t="shared" si="51"/>
        <x:v>50</x:v>
      </x:c>
    </x:row>
    <x:row r="3064" spans="1:9" x14ac:dyDescent="0.15">
      <x:c r="A3064">
        <x:v>54153</x:v>
      </x:c>
      <x:c r="B3064">
        <x:v>1</x:v>
      </x:c>
      <x:c r="C3064">
        <x:v>3</x:v>
      </x:c>
      <x:c r="D3064">
        <x:f>ROUND($C3064*10*VLOOKUP($B3064,Sheet2!$J$5:$K$7,2,FALSE)*VLOOKUP(Sheet1!$A3064,Sheet2!$B$5:$H$29,3,FALSE),0)</x:f>
        <x:v>0</x:v>
      </x:c>
      <x:c r="E3064">
        <x:f>ROUND($C3064*10*VLOOKUP($B3064,Sheet2!$J$5:$K$7,2,FALSE)*VLOOKUP(Sheet1!$A3064,Sheet2!$B$5:$H$29,4,FALSE),0)</x:f>
        <x:v>0</x:v>
      </x:c>
      <x:c r="F3064">
        <x:f>ROUND($C3064*10*VLOOKUP($B3064,Sheet2!$J$5:$K$7,2,FALSE)*VLOOKUP(Sheet1!$A3064,Sheet2!$B$5:$H$29,5,FALSE),0)</x:f>
        <x:v>5</x:v>
      </x:c>
      <x:c r="G3064">
        <x:f>ROUND($C3064*10*VLOOKUP($B3064,Sheet2!$J$5:$K$7,2,FALSE)*VLOOKUP(Sheet1!$A3064,Sheet2!$B$5:$H$29,6,FALSE),0)</x:f>
        <x:v>14</x:v>
      </x:c>
      <x:c r="H3064">
        <x:f>ROUND($C3064*10*VLOOKUP($B3064,Sheet2!$J$5:$K$7,2,FALSE)*VLOOKUP(Sheet1!$A3064,Sheet2!$B$5:$H$29,7,FALSE),0)</x:f>
        <x:v>0</x:v>
      </x:c>
      <x:c r="I3064">
        <x:f t="shared" si="51"/>
        <x:v>110</x:v>
      </x:c>
    </x:row>
    <x:row r="3065" spans="1:9" x14ac:dyDescent="0.15">
      <x:c r="A3065">
        <x:v>54153</x:v>
      </x:c>
      <x:c r="B3065">
        <x:v>1</x:v>
      </x:c>
      <x:c r="C3065">
        <x:v>4</x:v>
      </x:c>
      <x:c r="D3065">
        <x:f>ROUND($C3065*10*VLOOKUP($B3065,Sheet2!$J$5:$K$7,2,FALSE)*VLOOKUP(Sheet1!$A3065,Sheet2!$B$5:$H$29,3,FALSE),0)</x:f>
        <x:v>0</x:v>
      </x:c>
      <x:c r="E3065">
        <x:f>ROUND($C3065*10*VLOOKUP($B3065,Sheet2!$J$5:$K$7,2,FALSE)*VLOOKUP(Sheet1!$A3065,Sheet2!$B$5:$H$29,4,FALSE),0)</x:f>
        <x:v>0</x:v>
      </x:c>
      <x:c r="F3065">
        <x:f>ROUND($C3065*10*VLOOKUP($B3065,Sheet2!$J$5:$K$7,2,FALSE)*VLOOKUP(Sheet1!$A3065,Sheet2!$B$5:$H$29,5,FALSE),0)</x:f>
        <x:v>6</x:v>
      </x:c>
      <x:c r="G3065">
        <x:f>ROUND($C3065*10*VLOOKUP($B3065,Sheet2!$J$5:$K$7,2,FALSE)*VLOOKUP(Sheet1!$A3065,Sheet2!$B$5:$H$29,6,FALSE),0)</x:f>
        <x:v>19</x:v>
      </x:c>
      <x:c r="H3065">
        <x:f>ROUND($C3065*10*VLOOKUP($B3065,Sheet2!$J$5:$K$7,2,FALSE)*VLOOKUP(Sheet1!$A3065,Sheet2!$B$5:$H$29,7,FALSE),0)</x:f>
        <x:v>0</x:v>
      </x:c>
      <x:c r="I3065">
        <x:f t="shared" si="51"/>
        <x:v>190</x:v>
      </x:c>
    </x:row>
    <x:row r="3066" spans="1:9" x14ac:dyDescent="0.15">
      <x:c r="A3066">
        <x:v>54153</x:v>
      </x:c>
      <x:c r="B3066">
        <x:v>1</x:v>
      </x:c>
      <x:c r="C3066">
        <x:v>5</x:v>
      </x:c>
      <x:c r="D3066">
        <x:f>ROUND($C3066*10*VLOOKUP($B3066,Sheet2!$J$5:$K$7,2,FALSE)*VLOOKUP(Sheet1!$A3066,Sheet2!$B$5:$H$29,3,FALSE),0)</x:f>
        <x:v>0</x:v>
      </x:c>
      <x:c r="E3066">
        <x:f>ROUND($C3066*10*VLOOKUP($B3066,Sheet2!$J$5:$K$7,2,FALSE)*VLOOKUP(Sheet1!$A3066,Sheet2!$B$5:$H$29,4,FALSE),0)</x:f>
        <x:v>0</x:v>
      </x:c>
      <x:c r="F3066">
        <x:f>ROUND($C3066*10*VLOOKUP($B3066,Sheet2!$J$5:$K$7,2,FALSE)*VLOOKUP(Sheet1!$A3066,Sheet2!$B$5:$H$29,5,FALSE),0)</x:f>
        <x:v>8</x:v>
      </x:c>
      <x:c r="G3066">
        <x:f>ROUND($C3066*10*VLOOKUP($B3066,Sheet2!$J$5:$K$7,2,FALSE)*VLOOKUP(Sheet1!$A3066,Sheet2!$B$5:$H$29,6,FALSE),0)</x:f>
        <x:v>24</x:v>
      </x:c>
      <x:c r="H3066">
        <x:f>ROUND($C3066*10*VLOOKUP($B3066,Sheet2!$J$5:$K$7,2,FALSE)*VLOOKUP(Sheet1!$A3066,Sheet2!$B$5:$H$29,7,FALSE),0)</x:f>
        <x:v>0</x:v>
      </x:c>
      <x:c r="I3066">
        <x:f t="shared" si="51"/>
        <x:v>290</x:v>
      </x:c>
    </x:row>
    <x:row r="3067" spans="1:9" x14ac:dyDescent="0.15">
      <x:c r="A3067">
        <x:v>54153</x:v>
      </x:c>
      <x:c r="B3067">
        <x:v>1</x:v>
      </x:c>
      <x:c r="C3067">
        <x:v>6</x:v>
      </x:c>
      <x:c r="D3067">
        <x:f>ROUND($C3067*10*VLOOKUP($B3067,Sheet2!$J$5:$K$7,2,FALSE)*VLOOKUP(Sheet1!$A3067,Sheet2!$B$5:$H$29,3,FALSE),0)</x:f>
        <x:v>0</x:v>
      </x:c>
      <x:c r="E3067">
        <x:f>ROUND($C3067*10*VLOOKUP($B3067,Sheet2!$J$5:$K$7,2,FALSE)*VLOOKUP(Sheet1!$A3067,Sheet2!$B$5:$H$29,4,FALSE),0)</x:f>
        <x:v>0</x:v>
      </x:c>
      <x:c r="F3067">
        <x:f>ROUND($C3067*10*VLOOKUP($B3067,Sheet2!$J$5:$K$7,2,FALSE)*VLOOKUP(Sheet1!$A3067,Sheet2!$B$5:$H$29,5,FALSE),0)</x:f>
        <x:v>10</x:v>
      </x:c>
      <x:c r="G3067">
        <x:f>ROUND($C3067*10*VLOOKUP($B3067,Sheet2!$J$5:$K$7,2,FALSE)*VLOOKUP(Sheet1!$A3067,Sheet2!$B$5:$H$29,6,FALSE),0)</x:f>
        <x:v>29</x:v>
      </x:c>
      <x:c r="H3067">
        <x:f>ROUND($C3067*10*VLOOKUP($B3067,Sheet2!$J$5:$K$7,2,FALSE)*VLOOKUP(Sheet1!$A3067,Sheet2!$B$5:$H$29,7,FALSE),0)</x:f>
        <x:v>0</x:v>
      </x:c>
      <x:c r="I3067">
        <x:f t="shared" si="51"/>
        <x:v>420</x:v>
      </x:c>
    </x:row>
    <x:row r="3068" spans="1:9" x14ac:dyDescent="0.15">
      <x:c r="A3068">
        <x:v>54153</x:v>
      </x:c>
      <x:c r="B3068">
        <x:v>1</x:v>
      </x:c>
      <x:c r="C3068">
        <x:v>7</x:v>
      </x:c>
      <x:c r="D3068">
        <x:f>ROUND($C3068*10*VLOOKUP($B3068,Sheet2!$J$5:$K$7,2,FALSE)*VLOOKUP(Sheet1!$A3068,Sheet2!$B$5:$H$29,3,FALSE),0)</x:f>
        <x:v>0</x:v>
      </x:c>
      <x:c r="E3068">
        <x:f>ROUND($C3068*10*VLOOKUP($B3068,Sheet2!$J$5:$K$7,2,FALSE)*VLOOKUP(Sheet1!$A3068,Sheet2!$B$5:$H$29,4,FALSE),0)</x:f>
        <x:v>0</x:v>
      </x:c>
      <x:c r="F3068">
        <x:f>ROUND($C3068*10*VLOOKUP($B3068,Sheet2!$J$5:$K$7,2,FALSE)*VLOOKUP(Sheet1!$A3068,Sheet2!$B$5:$H$29,5,FALSE),0)</x:f>
        <x:v>11</x:v>
      </x:c>
      <x:c r="G3068">
        <x:f>ROUND($C3068*10*VLOOKUP($B3068,Sheet2!$J$5:$K$7,2,FALSE)*VLOOKUP(Sheet1!$A3068,Sheet2!$B$5:$H$29,6,FALSE),0)</x:f>
        <x:v>34</x:v>
      </x:c>
      <x:c r="H3068">
        <x:f>ROUND($C3068*10*VLOOKUP($B3068,Sheet2!$J$5:$K$7,2,FALSE)*VLOOKUP(Sheet1!$A3068,Sheet2!$B$5:$H$29,7,FALSE),0)</x:f>
        <x:v>0</x:v>
      </x:c>
      <x:c r="I3068">
        <x:f t="shared" si="51"/>
        <x:v>570</x:v>
      </x:c>
    </x:row>
    <x:row r="3069" spans="1:9" x14ac:dyDescent="0.15">
      <x:c r="A3069">
        <x:v>54153</x:v>
      </x:c>
      <x:c r="B3069">
        <x:v>1</x:v>
      </x:c>
      <x:c r="C3069">
        <x:v>8</x:v>
      </x:c>
      <x:c r="D3069">
        <x:f>ROUND($C3069*10*VLOOKUP($B3069,Sheet2!$J$5:$K$7,2,FALSE)*VLOOKUP(Sheet1!$A3069,Sheet2!$B$5:$H$29,3,FALSE),0)</x:f>
        <x:v>0</x:v>
      </x:c>
      <x:c r="E3069">
        <x:f>ROUND($C3069*10*VLOOKUP($B3069,Sheet2!$J$5:$K$7,2,FALSE)*VLOOKUP(Sheet1!$A3069,Sheet2!$B$5:$H$29,4,FALSE),0)</x:f>
        <x:v>0</x:v>
      </x:c>
      <x:c r="F3069">
        <x:f>ROUND($C3069*10*VLOOKUP($B3069,Sheet2!$J$5:$K$7,2,FALSE)*VLOOKUP(Sheet1!$A3069,Sheet2!$B$5:$H$29,5,FALSE),0)</x:f>
        <x:v>13</x:v>
      </x:c>
      <x:c r="G3069">
        <x:f>ROUND($C3069*10*VLOOKUP($B3069,Sheet2!$J$5:$K$7,2,FALSE)*VLOOKUP(Sheet1!$A3069,Sheet2!$B$5:$H$29,6,FALSE),0)</x:f>
        <x:v>38</x:v>
      </x:c>
      <x:c r="H3069">
        <x:f>ROUND($C3069*10*VLOOKUP($B3069,Sheet2!$J$5:$K$7,2,FALSE)*VLOOKUP(Sheet1!$A3069,Sheet2!$B$5:$H$29,7,FALSE),0)</x:f>
        <x:v>0</x:v>
      </x:c>
      <x:c r="I3069">
        <x:f t="shared" si="51"/>
        <x:v>750</x:v>
      </x:c>
    </x:row>
    <x:row r="3070" spans="1:9" x14ac:dyDescent="0.15">
      <x:c r="A3070">
        <x:v>54153</x:v>
      </x:c>
      <x:c r="B3070">
        <x:v>1</x:v>
      </x:c>
      <x:c r="C3070">
        <x:v>9</x:v>
      </x:c>
      <x:c r="D3070">
        <x:f>ROUND($C3070*10*VLOOKUP($B3070,Sheet2!$J$5:$K$7,2,FALSE)*VLOOKUP(Sheet1!$A3070,Sheet2!$B$5:$H$29,3,FALSE),0)</x:f>
        <x:v>0</x:v>
      </x:c>
      <x:c r="E3070">
        <x:f>ROUND($C3070*10*VLOOKUP($B3070,Sheet2!$J$5:$K$7,2,FALSE)*VLOOKUP(Sheet1!$A3070,Sheet2!$B$5:$H$29,4,FALSE),0)</x:f>
        <x:v>0</x:v>
      </x:c>
      <x:c r="F3070">
        <x:f>ROUND($C3070*10*VLOOKUP($B3070,Sheet2!$J$5:$K$7,2,FALSE)*VLOOKUP(Sheet1!$A3070,Sheet2!$B$5:$H$29,5,FALSE),0)</x:f>
        <x:v>14</x:v>
      </x:c>
      <x:c r="G3070">
        <x:f>ROUND($C3070*10*VLOOKUP($B3070,Sheet2!$J$5:$K$7,2,FALSE)*VLOOKUP(Sheet1!$A3070,Sheet2!$B$5:$H$29,6,FALSE),0)</x:f>
        <x:v>43</x:v>
      </x:c>
      <x:c r="H3070">
        <x:f>ROUND($C3070*10*VLOOKUP($B3070,Sheet2!$J$5:$K$7,2,FALSE)*VLOOKUP(Sheet1!$A3070,Sheet2!$B$5:$H$29,7,FALSE),0)</x:f>
        <x:v>0</x:v>
      </x:c>
      <x:c r="I3070">
        <x:f t="shared" si="51"/>
        <x:v>940</x:v>
      </x:c>
    </x:row>
    <x:row r="3071" spans="1:9" x14ac:dyDescent="0.15">
      <x:c r="A3071">
        <x:v>54153</x:v>
      </x:c>
      <x:c r="B3071">
        <x:v>1</x:v>
      </x:c>
      <x:c r="C3071">
        <x:v>10</x:v>
      </x:c>
      <x:c r="D3071">
        <x:f>ROUND($C3071*10*VLOOKUP($B3071,Sheet2!$J$5:$K$7,2,FALSE)*VLOOKUP(Sheet1!$A3071,Sheet2!$B$5:$H$29,3,FALSE),0)</x:f>
        <x:v>0</x:v>
      </x:c>
      <x:c r="E3071">
        <x:f>ROUND($C3071*10*VLOOKUP($B3071,Sheet2!$J$5:$K$7,2,FALSE)*VLOOKUP(Sheet1!$A3071,Sheet2!$B$5:$H$29,4,FALSE),0)</x:f>
        <x:v>0</x:v>
      </x:c>
      <x:c r="F3071">
        <x:f>ROUND($C3071*10*VLOOKUP($B3071,Sheet2!$J$5:$K$7,2,FALSE)*VLOOKUP(Sheet1!$A3071,Sheet2!$B$5:$H$29,5,FALSE),0)</x:f>
        <x:v>16</x:v>
      </x:c>
      <x:c r="G3071">
        <x:f>ROUND($C3071*10*VLOOKUP($B3071,Sheet2!$J$5:$K$7,2,FALSE)*VLOOKUP(Sheet1!$A3071,Sheet2!$B$5:$H$29,6,FALSE),0)</x:f>
        <x:v>48</x:v>
      </x:c>
      <x:c r="H3071">
        <x:f>ROUND($C3071*10*VLOOKUP($B3071,Sheet2!$J$5:$K$7,2,FALSE)*VLOOKUP(Sheet1!$A3071,Sheet2!$B$5:$H$29,7,FALSE),0)</x:f>
        <x:v>0</x:v>
      </x:c>
      <x:c r="I3071">
        <x:f t="shared" si="51"/>
        <x:v>1160</x:v>
      </x:c>
    </x:row>
    <x:row r="3072" spans="1:9" x14ac:dyDescent="0.15">
      <x:c r="A3072">
        <x:v>54153</x:v>
      </x:c>
      <x:c r="B3072">
        <x:v>1</x:v>
      </x:c>
      <x:c r="C3072">
        <x:v>11</x:v>
      </x:c>
      <x:c r="D3072">
        <x:f>ROUND($C3072*10*VLOOKUP($B3072,Sheet2!$J$5:$K$7,2,FALSE)*VLOOKUP(Sheet1!$A3072,Sheet2!$B$5:$H$29,3,FALSE),0)</x:f>
        <x:v>0</x:v>
      </x:c>
      <x:c r="E3072">
        <x:f>ROUND($C3072*10*VLOOKUP($B3072,Sheet2!$J$5:$K$7,2,FALSE)*VLOOKUP(Sheet1!$A3072,Sheet2!$B$5:$H$29,4,FALSE),0)</x:f>
        <x:v>0</x:v>
      </x:c>
      <x:c r="F3072">
        <x:f>ROUND($C3072*10*VLOOKUP($B3072,Sheet2!$J$5:$K$7,2,FALSE)*VLOOKUP(Sheet1!$A3072,Sheet2!$B$5:$H$29,5,FALSE),0)</x:f>
        <x:v>18</x:v>
      </x:c>
      <x:c r="G3072">
        <x:f>ROUND($C3072*10*VLOOKUP($B3072,Sheet2!$J$5:$K$7,2,FALSE)*VLOOKUP(Sheet1!$A3072,Sheet2!$B$5:$H$29,6,FALSE),0)</x:f>
        <x:v>53</x:v>
      </x:c>
      <x:c r="H3072">
        <x:f>ROUND($C3072*10*VLOOKUP($B3072,Sheet2!$J$5:$K$7,2,FALSE)*VLOOKUP(Sheet1!$A3072,Sheet2!$B$5:$H$29,7,FALSE),0)</x:f>
        <x:v>0</x:v>
      </x:c>
      <x:c r="I3072">
        <x:f t="shared" si="51"/>
        <x:v>1390</x:v>
      </x:c>
    </x:row>
    <x:row r="3073" spans="1:9" x14ac:dyDescent="0.15">
      <x:c r="A3073">
        <x:v>54153</x:v>
      </x:c>
      <x:c r="B3073">
        <x:v>1</x:v>
      </x:c>
      <x:c r="C3073">
        <x:v>12</x:v>
      </x:c>
      <x:c r="D3073">
        <x:f>ROUND($C3073*10*VLOOKUP($B3073,Sheet2!$J$5:$K$7,2,FALSE)*VLOOKUP(Sheet1!$A3073,Sheet2!$B$5:$H$29,3,FALSE),0)</x:f>
        <x:v>0</x:v>
      </x:c>
      <x:c r="E3073">
        <x:f>ROUND($C3073*10*VLOOKUP($B3073,Sheet2!$J$5:$K$7,2,FALSE)*VLOOKUP(Sheet1!$A3073,Sheet2!$B$5:$H$29,4,FALSE),0)</x:f>
        <x:v>0</x:v>
      </x:c>
      <x:c r="F3073">
        <x:f>ROUND($C3073*10*VLOOKUP($B3073,Sheet2!$J$5:$K$7,2,FALSE)*VLOOKUP(Sheet1!$A3073,Sheet2!$B$5:$H$29,5,FALSE),0)</x:f>
        <x:v>19</x:v>
      </x:c>
      <x:c r="G3073">
        <x:f>ROUND($C3073*10*VLOOKUP($B3073,Sheet2!$J$5:$K$7,2,FALSE)*VLOOKUP(Sheet1!$A3073,Sheet2!$B$5:$H$29,6,FALSE),0)</x:f>
        <x:v>58</x:v>
      </x:c>
      <x:c r="H3073">
        <x:f>ROUND($C3073*10*VLOOKUP($B3073,Sheet2!$J$5:$K$7,2,FALSE)*VLOOKUP(Sheet1!$A3073,Sheet2!$B$5:$H$29,7,FALSE),0)</x:f>
        <x:v>0</x:v>
      </x:c>
      <x:c r="I3073">
        <x:f t="shared" si="51"/>
        <x:v>1650</x:v>
      </x:c>
    </x:row>
    <x:row r="3074" spans="1:9" x14ac:dyDescent="0.15">
      <x:c r="A3074">
        <x:v>54153</x:v>
      </x:c>
      <x:c r="B3074">
        <x:v>1</x:v>
      </x:c>
      <x:c r="C3074">
        <x:v>13</x:v>
      </x:c>
      <x:c r="D3074">
        <x:f>ROUND($C3074*10*VLOOKUP($B3074,Sheet2!$J$5:$K$7,2,FALSE)*VLOOKUP(Sheet1!$A3074,Sheet2!$B$5:$H$29,3,FALSE),0)</x:f>
        <x:v>0</x:v>
      </x:c>
      <x:c r="E3074">
        <x:f>ROUND($C3074*10*VLOOKUP($B3074,Sheet2!$J$5:$K$7,2,FALSE)*VLOOKUP(Sheet1!$A3074,Sheet2!$B$5:$H$29,4,FALSE),0)</x:f>
        <x:v>0</x:v>
      </x:c>
      <x:c r="F3074">
        <x:f>ROUND($C3074*10*VLOOKUP($B3074,Sheet2!$J$5:$K$7,2,FALSE)*VLOOKUP(Sheet1!$A3074,Sheet2!$B$5:$H$29,5,FALSE),0)</x:f>
        <x:v>21</x:v>
      </x:c>
      <x:c r="G3074">
        <x:f>ROUND($C3074*10*VLOOKUP($B3074,Sheet2!$J$5:$K$7,2,FALSE)*VLOOKUP(Sheet1!$A3074,Sheet2!$B$5:$H$29,6,FALSE),0)</x:f>
        <x:v>62</x:v>
      </x:c>
      <x:c r="H3074">
        <x:f>ROUND($C3074*10*VLOOKUP($B3074,Sheet2!$J$5:$K$7,2,FALSE)*VLOOKUP(Sheet1!$A3074,Sheet2!$B$5:$H$29,7,FALSE),0)</x:f>
        <x:v>0</x:v>
      </x:c>
      <x:c r="I3074">
        <x:f t="shared" si="51"/>
        <x:v>1920</x:v>
      </x:c>
    </x:row>
    <x:row r="3075" spans="1:9" x14ac:dyDescent="0.15">
      <x:c r="A3075">
        <x:v>54153</x:v>
      </x:c>
      <x:c r="B3075">
        <x:v>1</x:v>
      </x:c>
      <x:c r="C3075">
        <x:v>14</x:v>
      </x:c>
      <x:c r="D3075">
        <x:f>ROUND($C3075*10*VLOOKUP($B3075,Sheet2!$J$5:$K$7,2,FALSE)*VLOOKUP(Sheet1!$A3075,Sheet2!$B$5:$H$29,3,FALSE),0)</x:f>
        <x:v>0</x:v>
      </x:c>
      <x:c r="E3075">
        <x:f>ROUND($C3075*10*VLOOKUP($B3075,Sheet2!$J$5:$K$7,2,FALSE)*VLOOKUP(Sheet1!$A3075,Sheet2!$B$5:$H$29,4,FALSE),0)</x:f>
        <x:v>0</x:v>
      </x:c>
      <x:c r="F3075">
        <x:f>ROUND($C3075*10*VLOOKUP($B3075,Sheet2!$J$5:$K$7,2,FALSE)*VLOOKUP(Sheet1!$A3075,Sheet2!$B$5:$H$29,5,FALSE),0)</x:f>
        <x:v>22</x:v>
      </x:c>
      <x:c r="G3075">
        <x:f>ROUND($C3075*10*VLOOKUP($B3075,Sheet2!$J$5:$K$7,2,FALSE)*VLOOKUP(Sheet1!$A3075,Sheet2!$B$5:$H$29,6,FALSE),0)</x:f>
        <x:v>67</x:v>
      </x:c>
      <x:c r="H3075">
        <x:f>ROUND($C3075*10*VLOOKUP($B3075,Sheet2!$J$5:$K$7,2,FALSE)*VLOOKUP(Sheet1!$A3075,Sheet2!$B$5:$H$29,7,FALSE),0)</x:f>
        <x:v>0</x:v>
      </x:c>
      <x:c r="I3075">
        <x:f t="shared" si="51"/>
        <x:v>2220</x:v>
      </x:c>
    </x:row>
    <x:row r="3076" spans="1:9" x14ac:dyDescent="0.15">
      <x:c r="A3076">
        <x:v>54153</x:v>
      </x:c>
      <x:c r="B3076">
        <x:v>1</x:v>
      </x:c>
      <x:c r="C3076">
        <x:v>15</x:v>
      </x:c>
      <x:c r="D3076">
        <x:f>ROUND($C3076*10*VLOOKUP($B3076,Sheet2!$J$5:$K$7,2,FALSE)*VLOOKUP(Sheet1!$A3076,Sheet2!$B$5:$H$29,3,FALSE),0)</x:f>
        <x:v>0</x:v>
      </x:c>
      <x:c r="E3076">
        <x:f>ROUND($C3076*10*VLOOKUP($B3076,Sheet2!$J$5:$K$7,2,FALSE)*VLOOKUP(Sheet1!$A3076,Sheet2!$B$5:$H$29,4,FALSE),0)</x:f>
        <x:v>0</x:v>
      </x:c>
      <x:c r="F3076">
        <x:f>ROUND($C3076*10*VLOOKUP($B3076,Sheet2!$J$5:$K$7,2,FALSE)*VLOOKUP(Sheet1!$A3076,Sheet2!$B$5:$H$29,5,FALSE),0)</x:f>
        <x:v>24</x:v>
      </x:c>
      <x:c r="G3076">
        <x:f>ROUND($C3076*10*VLOOKUP($B3076,Sheet2!$J$5:$K$7,2,FALSE)*VLOOKUP(Sheet1!$A3076,Sheet2!$B$5:$H$29,6,FALSE),0)</x:f>
        <x:v>72</x:v>
      </x:c>
      <x:c r="H3076">
        <x:f>ROUND($C3076*10*VLOOKUP($B3076,Sheet2!$J$5:$K$7,2,FALSE)*VLOOKUP(Sheet1!$A3076,Sheet2!$B$5:$H$29,7,FALSE),0)</x:f>
        <x:v>0</x:v>
      </x:c>
      <x:c r="I3076">
        <x:f t="shared" si="51"/>
        <x:v>2530</x:v>
      </x:c>
    </x:row>
    <x:row r="3077" spans="1:9" x14ac:dyDescent="0.15">
      <x:c r="A3077">
        <x:v>54153</x:v>
      </x:c>
      <x:c r="B3077">
        <x:v>1</x:v>
      </x:c>
      <x:c r="C3077">
        <x:v>16</x:v>
      </x:c>
      <x:c r="D3077">
        <x:f>ROUND($C3077*10*VLOOKUP($B3077,Sheet2!$J$5:$K$7,2,FALSE)*VLOOKUP(Sheet1!$A3077,Sheet2!$B$5:$H$29,3,FALSE),0)</x:f>
        <x:v>0</x:v>
      </x:c>
      <x:c r="E3077">
        <x:f>ROUND($C3077*10*VLOOKUP($B3077,Sheet2!$J$5:$K$7,2,FALSE)*VLOOKUP(Sheet1!$A3077,Sheet2!$B$5:$H$29,4,FALSE),0)</x:f>
        <x:v>0</x:v>
      </x:c>
      <x:c r="F3077">
        <x:f>ROUND($C3077*10*VLOOKUP($B3077,Sheet2!$J$5:$K$7,2,FALSE)*VLOOKUP(Sheet1!$A3077,Sheet2!$B$5:$H$29,5,FALSE),0)</x:f>
        <x:v>26</x:v>
      </x:c>
      <x:c r="G3077">
        <x:f>ROUND($C3077*10*VLOOKUP($B3077,Sheet2!$J$5:$K$7,2,FALSE)*VLOOKUP(Sheet1!$A3077,Sheet2!$B$5:$H$29,6,FALSE),0)</x:f>
        <x:v>77</x:v>
      </x:c>
      <x:c r="H3077">
        <x:f>ROUND($C3077*10*VLOOKUP($B3077,Sheet2!$J$5:$K$7,2,FALSE)*VLOOKUP(Sheet1!$A3077,Sheet2!$B$5:$H$29,7,FALSE),0)</x:f>
        <x:v>0</x:v>
      </x:c>
      <x:c r="I3077">
        <x:f t="shared" si="51"/>
        <x:v>2860</x:v>
      </x:c>
    </x:row>
    <x:row r="3078" spans="1:9" x14ac:dyDescent="0.15">
      <x:c r="A3078">
        <x:v>54153</x:v>
      </x:c>
      <x:c r="B3078">
        <x:v>1</x:v>
      </x:c>
      <x:c r="C3078">
        <x:v>17</x:v>
      </x:c>
      <x:c r="D3078">
        <x:f>ROUND($C3078*10*VLOOKUP($B3078,Sheet2!$J$5:$K$7,2,FALSE)*VLOOKUP(Sheet1!$A3078,Sheet2!$B$5:$H$29,3,FALSE),0)</x:f>
        <x:v>0</x:v>
      </x:c>
      <x:c r="E3078">
        <x:f>ROUND($C3078*10*VLOOKUP($B3078,Sheet2!$J$5:$K$7,2,FALSE)*VLOOKUP(Sheet1!$A3078,Sheet2!$B$5:$H$29,4,FALSE),0)</x:f>
        <x:v>0</x:v>
      </x:c>
      <x:c r="F3078">
        <x:f>ROUND($C3078*10*VLOOKUP($B3078,Sheet2!$J$5:$K$7,2,FALSE)*VLOOKUP(Sheet1!$A3078,Sheet2!$B$5:$H$29,5,FALSE),0)</x:f>
        <x:v>27</x:v>
      </x:c>
      <x:c r="G3078">
        <x:f>ROUND($C3078*10*VLOOKUP($B3078,Sheet2!$J$5:$K$7,2,FALSE)*VLOOKUP(Sheet1!$A3078,Sheet2!$B$5:$H$29,6,FALSE),0)</x:f>
        <x:v>82</x:v>
      </x:c>
      <x:c r="H3078">
        <x:f>ROUND($C3078*10*VLOOKUP($B3078,Sheet2!$J$5:$K$7,2,FALSE)*VLOOKUP(Sheet1!$A3078,Sheet2!$B$5:$H$29,7,FALSE),0)</x:f>
        <x:v>0</x:v>
      </x:c>
      <x:c r="I3078">
        <x:f t="shared" si="51"/>
        <x:v>3210</x:v>
      </x:c>
    </x:row>
    <x:row r="3079" spans="1:9" x14ac:dyDescent="0.15">
      <x:c r="A3079">
        <x:v>54153</x:v>
      </x:c>
      <x:c r="B3079">
        <x:v>1</x:v>
      </x:c>
      <x:c r="C3079">
        <x:v>18</x:v>
      </x:c>
      <x:c r="D3079">
        <x:f>ROUND($C3079*10*VLOOKUP($B3079,Sheet2!$J$5:$K$7,2,FALSE)*VLOOKUP(Sheet1!$A3079,Sheet2!$B$5:$H$29,3,FALSE),0)</x:f>
        <x:v>0</x:v>
      </x:c>
      <x:c r="E3079">
        <x:f>ROUND($C3079*10*VLOOKUP($B3079,Sheet2!$J$5:$K$7,2,FALSE)*VLOOKUP(Sheet1!$A3079,Sheet2!$B$5:$H$29,4,FALSE),0)</x:f>
        <x:v>0</x:v>
      </x:c>
      <x:c r="F3079">
        <x:f>ROUND($C3079*10*VLOOKUP($B3079,Sheet2!$J$5:$K$7,2,FALSE)*VLOOKUP(Sheet1!$A3079,Sheet2!$B$5:$H$29,5,FALSE),0)</x:f>
        <x:v>29</x:v>
      </x:c>
      <x:c r="G3079">
        <x:f>ROUND($C3079*10*VLOOKUP($B3079,Sheet2!$J$5:$K$7,2,FALSE)*VLOOKUP(Sheet1!$A3079,Sheet2!$B$5:$H$29,6,FALSE),0)</x:f>
        <x:v>86</x:v>
      </x:c>
      <x:c r="H3079">
        <x:f>ROUND($C3079*10*VLOOKUP($B3079,Sheet2!$J$5:$K$7,2,FALSE)*VLOOKUP(Sheet1!$A3079,Sheet2!$B$5:$H$29,7,FALSE),0)</x:f>
        <x:v>0</x:v>
      </x:c>
      <x:c r="I3079">
        <x:f t="shared" si="51"/>
        <x:v>3570</x:v>
      </x:c>
    </x:row>
    <x:row r="3080" spans="1:9" x14ac:dyDescent="0.15">
      <x:c r="A3080">
        <x:v>54153</x:v>
      </x:c>
      <x:c r="B3080">
        <x:v>1</x:v>
      </x:c>
      <x:c r="C3080">
        <x:v>19</x:v>
      </x:c>
      <x:c r="D3080">
        <x:f>ROUND($C3080*10*VLOOKUP($B3080,Sheet2!$J$5:$K$7,2,FALSE)*VLOOKUP(Sheet1!$A3080,Sheet2!$B$5:$H$29,3,FALSE),0)</x:f>
        <x:v>0</x:v>
      </x:c>
      <x:c r="E3080">
        <x:f>ROUND($C3080*10*VLOOKUP($B3080,Sheet2!$J$5:$K$7,2,FALSE)*VLOOKUP(Sheet1!$A3080,Sheet2!$B$5:$H$29,4,FALSE),0)</x:f>
        <x:v>0</x:v>
      </x:c>
      <x:c r="F3080">
        <x:f>ROUND($C3080*10*VLOOKUP($B3080,Sheet2!$J$5:$K$7,2,FALSE)*VLOOKUP(Sheet1!$A3080,Sheet2!$B$5:$H$29,5,FALSE),0)</x:f>
        <x:v>30</x:v>
      </x:c>
      <x:c r="G3080">
        <x:f>ROUND($C3080*10*VLOOKUP($B3080,Sheet2!$J$5:$K$7,2,FALSE)*VLOOKUP(Sheet1!$A3080,Sheet2!$B$5:$H$29,6,FALSE),0)</x:f>
        <x:v>91</x:v>
      </x:c>
      <x:c r="H3080">
        <x:f>ROUND($C3080*10*VLOOKUP($B3080,Sheet2!$J$5:$K$7,2,FALSE)*VLOOKUP(Sheet1!$A3080,Sheet2!$B$5:$H$29,7,FALSE),0)</x:f>
        <x:v>0</x:v>
      </x:c>
      <x:c r="I3080">
        <x:f t="shared" si="51"/>
        <x:v>3960</x:v>
      </x:c>
    </x:row>
    <x:row r="3081" spans="1:9" x14ac:dyDescent="0.15">
      <x:c r="A3081">
        <x:v>54153</x:v>
      </x:c>
      <x:c r="B3081">
        <x:v>1</x:v>
      </x:c>
      <x:c r="C3081">
        <x:v>20</x:v>
      </x:c>
      <x:c r="D3081">
        <x:f>ROUND($C3081*10*VLOOKUP($B3081,Sheet2!$J$5:$K$7,2,FALSE)*VLOOKUP(Sheet1!$A3081,Sheet2!$B$5:$H$29,3,FALSE),0)</x:f>
        <x:v>0</x:v>
      </x:c>
      <x:c r="E3081">
        <x:f>ROUND($C3081*10*VLOOKUP($B3081,Sheet2!$J$5:$K$7,2,FALSE)*VLOOKUP(Sheet1!$A3081,Sheet2!$B$5:$H$29,4,FALSE),0)</x:f>
        <x:v>0</x:v>
      </x:c>
      <x:c r="F3081">
        <x:f>ROUND($C3081*10*VLOOKUP($B3081,Sheet2!$J$5:$K$7,2,FALSE)*VLOOKUP(Sheet1!$A3081,Sheet2!$B$5:$H$29,5,FALSE),0)</x:f>
        <x:v>32</x:v>
      </x:c>
      <x:c r="G3081">
        <x:f>ROUND($C3081*10*VLOOKUP($B3081,Sheet2!$J$5:$K$7,2,FALSE)*VLOOKUP(Sheet1!$A3081,Sheet2!$B$5:$H$29,6,FALSE),0)</x:f>
        <x:v>96</x:v>
      </x:c>
      <x:c r="H3081">
        <x:f>ROUND($C3081*10*VLOOKUP($B3081,Sheet2!$J$5:$K$7,2,FALSE)*VLOOKUP(Sheet1!$A3081,Sheet2!$B$5:$H$29,7,FALSE),0)</x:f>
        <x:v>0</x:v>
      </x:c>
      <x:c r="I3081">
        <x:f t="shared" si="51"/>
        <x:v>4360</x:v>
      </x:c>
    </x:row>
    <x:row r="3082" spans="1:9" x14ac:dyDescent="0.15">
      <x:c r="A3082">
        <x:v>54153</x:v>
      </x:c>
      <x:c r="B3082">
        <x:v>1</x:v>
      </x:c>
      <x:c r="C3082">
        <x:v>21</x:v>
      </x:c>
      <x:c r="D3082">
        <x:f>ROUND($C3082*10*VLOOKUP($B3082,Sheet2!$J$5:$K$7,2,FALSE)*VLOOKUP(Sheet1!$A3082,Sheet2!$B$5:$H$29,3,FALSE),0)</x:f>
        <x:v>0</x:v>
      </x:c>
      <x:c r="E3082">
        <x:f>ROUND($C3082*10*VLOOKUP($B3082,Sheet2!$J$5:$K$7,2,FALSE)*VLOOKUP(Sheet1!$A3082,Sheet2!$B$5:$H$29,4,FALSE),0)</x:f>
        <x:v>0</x:v>
      </x:c>
      <x:c r="F3082">
        <x:f>ROUND($C3082*10*VLOOKUP($B3082,Sheet2!$J$5:$K$7,2,FALSE)*VLOOKUP(Sheet1!$A3082,Sheet2!$B$5:$H$29,5,FALSE),0)</x:f>
        <x:v>34</x:v>
      </x:c>
      <x:c r="G3082">
        <x:f>ROUND($C3082*10*VLOOKUP($B3082,Sheet2!$J$5:$K$7,2,FALSE)*VLOOKUP(Sheet1!$A3082,Sheet2!$B$5:$H$29,6,FALSE),0)</x:f>
        <x:v>101</x:v>
      </x:c>
      <x:c r="H3082">
        <x:f>ROUND($C3082*10*VLOOKUP($B3082,Sheet2!$J$5:$K$7,2,FALSE)*VLOOKUP(Sheet1!$A3082,Sheet2!$B$5:$H$29,7,FALSE),0)</x:f>
        <x:v>0</x:v>
      </x:c>
      <x:c r="I3082">
        <x:f t="shared" si="51"/>
        <x:v>4780</x:v>
      </x:c>
    </x:row>
    <x:row r="3083" spans="1:9" x14ac:dyDescent="0.15">
      <x:c r="A3083">
        <x:v>54153</x:v>
      </x:c>
      <x:c r="B3083">
        <x:v>1</x:v>
      </x:c>
      <x:c r="C3083">
        <x:v>22</x:v>
      </x:c>
      <x:c r="D3083">
        <x:f>ROUND($C3083*10*VLOOKUP($B3083,Sheet2!$J$5:$K$7,2,FALSE)*VLOOKUP(Sheet1!$A3083,Sheet2!$B$5:$H$29,3,FALSE),0)</x:f>
        <x:v>0</x:v>
      </x:c>
      <x:c r="E3083">
        <x:f>ROUND($C3083*10*VLOOKUP($B3083,Sheet2!$J$5:$K$7,2,FALSE)*VLOOKUP(Sheet1!$A3083,Sheet2!$B$5:$H$29,4,FALSE),0)</x:f>
        <x:v>0</x:v>
      </x:c>
      <x:c r="F3083">
        <x:f>ROUND($C3083*10*VLOOKUP($B3083,Sheet2!$J$5:$K$7,2,FALSE)*VLOOKUP(Sheet1!$A3083,Sheet2!$B$5:$H$29,5,FALSE),0)</x:f>
        <x:v>35</x:v>
      </x:c>
      <x:c r="G3083">
        <x:f>ROUND($C3083*10*VLOOKUP($B3083,Sheet2!$J$5:$K$7,2,FALSE)*VLOOKUP(Sheet1!$A3083,Sheet2!$B$5:$H$29,6,FALSE),0)</x:f>
        <x:v>106</x:v>
      </x:c>
      <x:c r="H3083">
        <x:f>ROUND($C3083*10*VLOOKUP($B3083,Sheet2!$J$5:$K$7,2,FALSE)*VLOOKUP(Sheet1!$A3083,Sheet2!$B$5:$H$29,7,FALSE),0)</x:f>
        <x:v>0</x:v>
      </x:c>
      <x:c r="I3083">
        <x:f t="shared" si="51"/>
        <x:v>5210</x:v>
      </x:c>
    </x:row>
    <x:row r="3084" spans="1:9" x14ac:dyDescent="0.15">
      <x:c r="A3084">
        <x:v>54153</x:v>
      </x:c>
      <x:c r="B3084">
        <x:v>1</x:v>
      </x:c>
      <x:c r="C3084">
        <x:v>23</x:v>
      </x:c>
      <x:c r="D3084">
        <x:f>ROUND($C3084*10*VLOOKUP($B3084,Sheet2!$J$5:$K$7,2,FALSE)*VLOOKUP(Sheet1!$A3084,Sheet2!$B$5:$H$29,3,FALSE),0)</x:f>
        <x:v>0</x:v>
      </x:c>
      <x:c r="E3084">
        <x:f>ROUND($C3084*10*VLOOKUP($B3084,Sheet2!$J$5:$K$7,2,FALSE)*VLOOKUP(Sheet1!$A3084,Sheet2!$B$5:$H$29,4,FALSE),0)</x:f>
        <x:v>0</x:v>
      </x:c>
      <x:c r="F3084">
        <x:f>ROUND($C3084*10*VLOOKUP($B3084,Sheet2!$J$5:$K$7,2,FALSE)*VLOOKUP(Sheet1!$A3084,Sheet2!$B$5:$H$29,5,FALSE),0)</x:f>
        <x:v>37</x:v>
      </x:c>
      <x:c r="G3084">
        <x:f>ROUND($C3084*10*VLOOKUP($B3084,Sheet2!$J$5:$K$7,2,FALSE)*VLOOKUP(Sheet1!$A3084,Sheet2!$B$5:$H$29,6,FALSE),0)</x:f>
        <x:v>110</x:v>
      </x:c>
      <x:c r="H3084">
        <x:f>ROUND($C3084*10*VLOOKUP($B3084,Sheet2!$J$5:$K$7,2,FALSE)*VLOOKUP(Sheet1!$A3084,Sheet2!$B$5:$H$29,7,FALSE),0)</x:f>
        <x:v>0</x:v>
      </x:c>
      <x:c r="I3084">
        <x:f t="shared" si="51"/>
        <x:v>5660</x:v>
      </x:c>
    </x:row>
    <x:row r="3085" spans="1:9" x14ac:dyDescent="0.15">
      <x:c r="A3085">
        <x:v>54153</x:v>
      </x:c>
      <x:c r="B3085">
        <x:v>1</x:v>
      </x:c>
      <x:c r="C3085">
        <x:v>24</x:v>
      </x:c>
      <x:c r="D3085">
        <x:f>ROUND($C3085*10*VLOOKUP($B3085,Sheet2!$J$5:$K$7,2,FALSE)*VLOOKUP(Sheet1!$A3085,Sheet2!$B$5:$H$29,3,FALSE),0)</x:f>
        <x:v>0</x:v>
      </x:c>
      <x:c r="E3085">
        <x:f>ROUND($C3085*10*VLOOKUP($B3085,Sheet2!$J$5:$K$7,2,FALSE)*VLOOKUP(Sheet1!$A3085,Sheet2!$B$5:$H$29,4,FALSE),0)</x:f>
        <x:v>0</x:v>
      </x:c>
      <x:c r="F3085">
        <x:f>ROUND($C3085*10*VLOOKUP($B3085,Sheet2!$J$5:$K$7,2,FALSE)*VLOOKUP(Sheet1!$A3085,Sheet2!$B$5:$H$29,5,FALSE),0)</x:f>
        <x:v>38</x:v>
      </x:c>
      <x:c r="G3085">
        <x:f>ROUND($C3085*10*VLOOKUP($B3085,Sheet2!$J$5:$K$7,2,FALSE)*VLOOKUP(Sheet1!$A3085,Sheet2!$B$5:$H$29,6,FALSE),0)</x:f>
        <x:v>115</x:v>
      </x:c>
      <x:c r="H3085">
        <x:f>ROUND($C3085*10*VLOOKUP($B3085,Sheet2!$J$5:$K$7,2,FALSE)*VLOOKUP(Sheet1!$A3085,Sheet2!$B$5:$H$29,7,FALSE),0)</x:f>
        <x:v>0</x:v>
      </x:c>
      <x:c r="I3085">
        <x:f t="shared" si="51"/>
        <x:v>6130</x:v>
      </x:c>
    </x:row>
    <x:row r="3086" spans="1:9" x14ac:dyDescent="0.15">
      <x:c r="A3086">
        <x:v>54153</x:v>
      </x:c>
      <x:c r="B3086">
        <x:v>1</x:v>
      </x:c>
      <x:c r="C3086">
        <x:v>25</x:v>
      </x:c>
      <x:c r="D3086">
        <x:f>ROUND($C3086*10*VLOOKUP($B3086,Sheet2!$J$5:$K$7,2,FALSE)*VLOOKUP(Sheet1!$A3086,Sheet2!$B$5:$H$29,3,FALSE),0)</x:f>
        <x:v>0</x:v>
      </x:c>
      <x:c r="E3086">
        <x:f>ROUND($C3086*10*VLOOKUP($B3086,Sheet2!$J$5:$K$7,2,FALSE)*VLOOKUP(Sheet1!$A3086,Sheet2!$B$5:$H$29,4,FALSE),0)</x:f>
        <x:v>0</x:v>
      </x:c>
      <x:c r="F3086">
        <x:f>ROUND($C3086*10*VLOOKUP($B3086,Sheet2!$J$5:$K$7,2,FALSE)*VLOOKUP(Sheet1!$A3086,Sheet2!$B$5:$H$29,5,FALSE),0)</x:f>
        <x:v>40</x:v>
      </x:c>
      <x:c r="G3086">
        <x:f>ROUND($C3086*10*VLOOKUP($B3086,Sheet2!$J$5:$K$7,2,FALSE)*VLOOKUP(Sheet1!$A3086,Sheet2!$B$5:$H$29,6,FALSE),0)</x:f>
        <x:v>120</x:v>
      </x:c>
      <x:c r="H3086">
        <x:f>ROUND($C3086*10*VLOOKUP($B3086,Sheet2!$J$5:$K$7,2,FALSE)*VLOOKUP(Sheet1!$A3086,Sheet2!$B$5:$H$29,7,FALSE),0)</x:f>
        <x:v>0</x:v>
      </x:c>
      <x:c r="I3086">
        <x:f t="shared" si="51"/>
        <x:v>6620</x:v>
      </x:c>
    </x:row>
    <x:row r="3087" spans="1:9" x14ac:dyDescent="0.15">
      <x:c r="A3087">
        <x:v>54153</x:v>
      </x:c>
      <x:c r="B3087">
        <x:v>1</x:v>
      </x:c>
      <x:c r="C3087">
        <x:v>26</x:v>
      </x:c>
      <x:c r="D3087">
        <x:f>ROUND($C3087*10*VLOOKUP($B3087,Sheet2!$J$5:$K$7,2,FALSE)*VLOOKUP(Sheet1!$A3087,Sheet2!$B$5:$H$29,3,FALSE),0)</x:f>
        <x:v>0</x:v>
      </x:c>
      <x:c r="E3087">
        <x:f>ROUND($C3087*10*VLOOKUP($B3087,Sheet2!$J$5:$K$7,2,FALSE)*VLOOKUP(Sheet1!$A3087,Sheet2!$B$5:$H$29,4,FALSE),0)</x:f>
        <x:v>0</x:v>
      </x:c>
      <x:c r="F3087">
        <x:f>ROUND($C3087*10*VLOOKUP($B3087,Sheet2!$J$5:$K$7,2,FALSE)*VLOOKUP(Sheet1!$A3087,Sheet2!$B$5:$H$29,5,FALSE),0)</x:f>
        <x:v>42</x:v>
      </x:c>
      <x:c r="G3087">
        <x:f>ROUND($C3087*10*VLOOKUP($B3087,Sheet2!$J$5:$K$7,2,FALSE)*VLOOKUP(Sheet1!$A3087,Sheet2!$B$5:$H$29,6,FALSE),0)</x:f>
        <x:v>125</x:v>
      </x:c>
      <x:c r="H3087">
        <x:f>ROUND($C3087*10*VLOOKUP($B3087,Sheet2!$J$5:$K$7,2,FALSE)*VLOOKUP(Sheet1!$A3087,Sheet2!$B$5:$H$29,7,FALSE),0)</x:f>
        <x:v>0</x:v>
      </x:c>
      <x:c r="I3087">
        <x:f t="shared" si="51"/>
        <x:v>7120</x:v>
      </x:c>
    </x:row>
    <x:row r="3088" spans="1:9" x14ac:dyDescent="0.15">
      <x:c r="A3088">
        <x:v>54153</x:v>
      </x:c>
      <x:c r="B3088">
        <x:v>1</x:v>
      </x:c>
      <x:c r="C3088">
        <x:v>27</x:v>
      </x:c>
      <x:c r="D3088">
        <x:f>ROUND($C3088*10*VLOOKUP($B3088,Sheet2!$J$5:$K$7,2,FALSE)*VLOOKUP(Sheet1!$A3088,Sheet2!$B$5:$H$29,3,FALSE),0)</x:f>
        <x:v>0</x:v>
      </x:c>
      <x:c r="E3088">
        <x:f>ROUND($C3088*10*VLOOKUP($B3088,Sheet2!$J$5:$K$7,2,FALSE)*VLOOKUP(Sheet1!$A3088,Sheet2!$B$5:$H$29,4,FALSE),0)</x:f>
        <x:v>0</x:v>
      </x:c>
      <x:c r="F3088">
        <x:f>ROUND($C3088*10*VLOOKUP($B3088,Sheet2!$J$5:$K$7,2,FALSE)*VLOOKUP(Sheet1!$A3088,Sheet2!$B$5:$H$29,5,FALSE),0)</x:f>
        <x:v>43</x:v>
      </x:c>
      <x:c r="G3088">
        <x:f>ROUND($C3088*10*VLOOKUP($B3088,Sheet2!$J$5:$K$7,2,FALSE)*VLOOKUP(Sheet1!$A3088,Sheet2!$B$5:$H$29,6,FALSE),0)</x:f>
        <x:v>130</x:v>
      </x:c>
      <x:c r="H3088">
        <x:f>ROUND($C3088*10*VLOOKUP($B3088,Sheet2!$J$5:$K$7,2,FALSE)*VLOOKUP(Sheet1!$A3088,Sheet2!$B$5:$H$29,7,FALSE),0)</x:f>
        <x:v>0</x:v>
      </x:c>
      <x:c r="I3088">
        <x:f t="shared" si="51"/>
        <x:v>7640</x:v>
      </x:c>
    </x:row>
    <x:row r="3089" spans="1:9" x14ac:dyDescent="0.15">
      <x:c r="A3089">
        <x:v>54153</x:v>
      </x:c>
      <x:c r="B3089">
        <x:v>1</x:v>
      </x:c>
      <x:c r="C3089">
        <x:v>28</x:v>
      </x:c>
      <x:c r="D3089">
        <x:f>ROUND($C3089*10*VLOOKUP($B3089,Sheet2!$J$5:$K$7,2,FALSE)*VLOOKUP(Sheet1!$A3089,Sheet2!$B$5:$H$29,3,FALSE),0)</x:f>
        <x:v>0</x:v>
      </x:c>
      <x:c r="E3089">
        <x:f>ROUND($C3089*10*VLOOKUP($B3089,Sheet2!$J$5:$K$7,2,FALSE)*VLOOKUP(Sheet1!$A3089,Sheet2!$B$5:$H$29,4,FALSE),0)</x:f>
        <x:v>0</x:v>
      </x:c>
      <x:c r="F3089">
        <x:f>ROUND($C3089*10*VLOOKUP($B3089,Sheet2!$J$5:$K$7,2,FALSE)*VLOOKUP(Sheet1!$A3089,Sheet2!$B$5:$H$29,5,FALSE),0)</x:f>
        <x:v>45</x:v>
      </x:c>
      <x:c r="G3089">
        <x:f>ROUND($C3089*10*VLOOKUP($B3089,Sheet2!$J$5:$K$7,2,FALSE)*VLOOKUP(Sheet1!$A3089,Sheet2!$B$5:$H$29,6,FALSE),0)</x:f>
        <x:v>134</x:v>
      </x:c>
      <x:c r="H3089">
        <x:f>ROUND($C3089*10*VLOOKUP($B3089,Sheet2!$J$5:$K$7,2,FALSE)*VLOOKUP(Sheet1!$A3089,Sheet2!$B$5:$H$29,7,FALSE),0)</x:f>
        <x:v>0</x:v>
      </x:c>
      <x:c r="I3089">
        <x:f t="shared" si="51"/>
        <x:v>8180</x:v>
      </x:c>
    </x:row>
    <x:row r="3090" spans="1:9" x14ac:dyDescent="0.15">
      <x:c r="A3090">
        <x:v>54153</x:v>
      </x:c>
      <x:c r="B3090">
        <x:v>1</x:v>
      </x:c>
      <x:c r="C3090">
        <x:v>29</x:v>
      </x:c>
      <x:c r="D3090">
        <x:f>ROUND($C3090*10*VLOOKUP($B3090,Sheet2!$J$5:$K$7,2,FALSE)*VLOOKUP(Sheet1!$A3090,Sheet2!$B$5:$H$29,3,FALSE),0)</x:f>
        <x:v>0</x:v>
      </x:c>
      <x:c r="E3090">
        <x:f>ROUND($C3090*10*VLOOKUP($B3090,Sheet2!$J$5:$K$7,2,FALSE)*VLOOKUP(Sheet1!$A3090,Sheet2!$B$5:$H$29,4,FALSE),0)</x:f>
        <x:v>0</x:v>
      </x:c>
      <x:c r="F3090">
        <x:f>ROUND($C3090*10*VLOOKUP($B3090,Sheet2!$J$5:$K$7,2,FALSE)*VLOOKUP(Sheet1!$A3090,Sheet2!$B$5:$H$29,5,FALSE),0)</x:f>
        <x:v>46</x:v>
      </x:c>
      <x:c r="G3090">
        <x:f>ROUND($C3090*10*VLOOKUP($B3090,Sheet2!$J$5:$K$7,2,FALSE)*VLOOKUP(Sheet1!$A3090,Sheet2!$B$5:$H$29,6,FALSE),0)</x:f>
        <x:v>139</x:v>
      </x:c>
      <x:c r="H3090">
        <x:f>ROUND($C3090*10*VLOOKUP($B3090,Sheet2!$J$5:$K$7,2,FALSE)*VLOOKUP(Sheet1!$A3090,Sheet2!$B$5:$H$29,7,FALSE),0)</x:f>
        <x:v>0</x:v>
      </x:c>
      <x:c r="I3090">
        <x:f t="shared" si="51"/>
        <x:v>8730</x:v>
      </x:c>
    </x:row>
    <x:row r="3091" spans="1:9" x14ac:dyDescent="0.15">
      <x:c r="A3091">
        <x:v>54153</x:v>
      </x:c>
      <x:c r="B3091">
        <x:v>1</x:v>
      </x:c>
      <x:c r="C3091">
        <x:v>30</x:v>
      </x:c>
      <x:c r="D3091">
        <x:f>ROUND($C3091*10*VLOOKUP($B3091,Sheet2!$J$5:$K$7,2,FALSE)*VLOOKUP(Sheet1!$A3091,Sheet2!$B$5:$H$29,3,FALSE),0)</x:f>
        <x:v>0</x:v>
      </x:c>
      <x:c r="E3091">
        <x:f>ROUND($C3091*10*VLOOKUP($B3091,Sheet2!$J$5:$K$7,2,FALSE)*VLOOKUP(Sheet1!$A3091,Sheet2!$B$5:$H$29,4,FALSE),0)</x:f>
        <x:v>0</x:v>
      </x:c>
      <x:c r="F3091">
        <x:f>ROUND($C3091*10*VLOOKUP($B3091,Sheet2!$J$5:$K$7,2,FALSE)*VLOOKUP(Sheet1!$A3091,Sheet2!$B$5:$H$29,5,FALSE),0)</x:f>
        <x:v>48</x:v>
      </x:c>
      <x:c r="G3091">
        <x:f>ROUND($C3091*10*VLOOKUP($B3091,Sheet2!$J$5:$K$7,2,FALSE)*VLOOKUP(Sheet1!$A3091,Sheet2!$B$5:$H$29,6,FALSE),0)</x:f>
        <x:v>144</x:v>
      </x:c>
      <x:c r="H3091">
        <x:f>ROUND($C3091*10*VLOOKUP($B3091,Sheet2!$J$5:$K$7,2,FALSE)*VLOOKUP(Sheet1!$A3091,Sheet2!$B$5:$H$29,7,FALSE),0)</x:f>
        <x:v>0</x:v>
      </x:c>
      <x:c r="I3091">
        <x:f t="shared" si="51"/>
        <x:v>9290</x:v>
      </x:c>
    </x:row>
    <x:row r="3092" spans="1:9" x14ac:dyDescent="0.15">
      <x:c r="A3092">
        <x:v>54153</x:v>
      </x:c>
      <x:c r="B3092">
        <x:v>1</x:v>
      </x:c>
      <x:c r="C3092">
        <x:v>31</x:v>
      </x:c>
      <x:c r="D3092">
        <x:f>ROUND($C3092*10*VLOOKUP($B3092,Sheet2!$J$5:$K$7,2,FALSE)*VLOOKUP(Sheet1!$A3092,Sheet2!$B$5:$H$29,3,FALSE),0)</x:f>
        <x:v>0</x:v>
      </x:c>
      <x:c r="E3092">
        <x:f>ROUND($C3092*10*VLOOKUP($B3092,Sheet2!$J$5:$K$7,2,FALSE)*VLOOKUP(Sheet1!$A3092,Sheet2!$B$5:$H$29,4,FALSE),0)</x:f>
        <x:v>0</x:v>
      </x:c>
      <x:c r="F3092">
        <x:f>ROUND($C3092*10*VLOOKUP($B3092,Sheet2!$J$5:$K$7,2,FALSE)*VLOOKUP(Sheet1!$A3092,Sheet2!$B$5:$H$29,5,FALSE),0)</x:f>
        <x:v>50</x:v>
      </x:c>
      <x:c r="G3092">
        <x:f>ROUND($C3092*10*VLOOKUP($B3092,Sheet2!$J$5:$K$7,2,FALSE)*VLOOKUP(Sheet1!$A3092,Sheet2!$B$5:$H$29,6,FALSE),0)</x:f>
        <x:v>149</x:v>
      </x:c>
      <x:c r="H3092">
        <x:f>ROUND($C3092*10*VLOOKUP($B3092,Sheet2!$J$5:$K$7,2,FALSE)*VLOOKUP(Sheet1!$A3092,Sheet2!$B$5:$H$29,7,FALSE),0)</x:f>
        <x:v>0</x:v>
      </x:c>
      <x:c r="I3092">
        <x:f t="shared" si="51"/>
        <x:v>9880</x:v>
      </x:c>
    </x:row>
    <x:row r="3093" spans="1:9" x14ac:dyDescent="0.15">
      <x:c r="A3093">
        <x:v>54153</x:v>
      </x:c>
      <x:c r="B3093">
        <x:v>1</x:v>
      </x:c>
      <x:c r="C3093">
        <x:v>32</x:v>
      </x:c>
      <x:c r="D3093">
        <x:f>ROUND($C3093*10*VLOOKUP($B3093,Sheet2!$J$5:$K$7,2,FALSE)*VLOOKUP(Sheet1!$A3093,Sheet2!$B$5:$H$29,3,FALSE),0)</x:f>
        <x:v>0</x:v>
      </x:c>
      <x:c r="E3093">
        <x:f>ROUND($C3093*10*VLOOKUP($B3093,Sheet2!$J$5:$K$7,2,FALSE)*VLOOKUP(Sheet1!$A3093,Sheet2!$B$5:$H$29,4,FALSE),0)</x:f>
        <x:v>0</x:v>
      </x:c>
      <x:c r="F3093">
        <x:f>ROUND($C3093*10*VLOOKUP($B3093,Sheet2!$J$5:$K$7,2,FALSE)*VLOOKUP(Sheet1!$A3093,Sheet2!$B$5:$H$29,5,FALSE),0)</x:f>
        <x:v>51</x:v>
      </x:c>
      <x:c r="G3093">
        <x:f>ROUND($C3093*10*VLOOKUP($B3093,Sheet2!$J$5:$K$7,2,FALSE)*VLOOKUP(Sheet1!$A3093,Sheet2!$B$5:$H$29,6,FALSE),0)</x:f>
        <x:v>154</x:v>
      </x:c>
      <x:c r="H3093">
        <x:f>ROUND($C3093*10*VLOOKUP($B3093,Sheet2!$J$5:$K$7,2,FALSE)*VLOOKUP(Sheet1!$A3093,Sheet2!$B$5:$H$29,7,FALSE),0)</x:f>
        <x:v>0</x:v>
      </x:c>
      <x:c r="I3093">
        <x:f t="shared" si="51"/>
        <x:v>10470</x:v>
      </x:c>
    </x:row>
    <x:row r="3094" spans="1:9" x14ac:dyDescent="0.15">
      <x:c r="A3094">
        <x:v>54153</x:v>
      </x:c>
      <x:c r="B3094">
        <x:v>1</x:v>
      </x:c>
      <x:c r="C3094">
        <x:v>33</x:v>
      </x:c>
      <x:c r="D3094">
        <x:f>ROUND($C3094*10*VLOOKUP($B3094,Sheet2!$J$5:$K$7,2,FALSE)*VLOOKUP(Sheet1!$A3094,Sheet2!$B$5:$H$29,3,FALSE),0)</x:f>
        <x:v>0</x:v>
      </x:c>
      <x:c r="E3094">
        <x:f>ROUND($C3094*10*VLOOKUP($B3094,Sheet2!$J$5:$K$7,2,FALSE)*VLOOKUP(Sheet1!$A3094,Sheet2!$B$5:$H$29,4,FALSE),0)</x:f>
        <x:v>0</x:v>
      </x:c>
      <x:c r="F3094">
        <x:f>ROUND($C3094*10*VLOOKUP($B3094,Sheet2!$J$5:$K$7,2,FALSE)*VLOOKUP(Sheet1!$A3094,Sheet2!$B$5:$H$29,5,FALSE),0)</x:f>
        <x:v>53</x:v>
      </x:c>
      <x:c r="G3094">
        <x:f>ROUND($C3094*10*VLOOKUP($B3094,Sheet2!$J$5:$K$7,2,FALSE)*VLOOKUP(Sheet1!$A3094,Sheet2!$B$5:$H$29,6,FALSE),0)</x:f>
        <x:v>158</x:v>
      </x:c>
      <x:c r="H3094">
        <x:f>ROUND($C3094*10*VLOOKUP($B3094,Sheet2!$J$5:$K$7,2,FALSE)*VLOOKUP(Sheet1!$A3094,Sheet2!$B$5:$H$29,7,FALSE),0)</x:f>
        <x:v>0</x:v>
      </x:c>
      <x:c r="I3094">
        <x:f t="shared" si="51"/>
        <x:v>11090</x:v>
      </x:c>
    </x:row>
    <x:row r="3095" spans="1:9" x14ac:dyDescent="0.15">
      <x:c r="A3095">
        <x:v>54153</x:v>
      </x:c>
      <x:c r="B3095">
        <x:v>1</x:v>
      </x:c>
      <x:c r="C3095">
        <x:v>34</x:v>
      </x:c>
      <x:c r="D3095">
        <x:f>ROUND($C3095*10*VLOOKUP($B3095,Sheet2!$J$5:$K$7,2,FALSE)*VLOOKUP(Sheet1!$A3095,Sheet2!$B$5:$H$29,3,FALSE),0)</x:f>
        <x:v>0</x:v>
      </x:c>
      <x:c r="E3095">
        <x:f>ROUND($C3095*10*VLOOKUP($B3095,Sheet2!$J$5:$K$7,2,FALSE)*VLOOKUP(Sheet1!$A3095,Sheet2!$B$5:$H$29,4,FALSE),0)</x:f>
        <x:v>0</x:v>
      </x:c>
      <x:c r="F3095">
        <x:f>ROUND($C3095*10*VLOOKUP($B3095,Sheet2!$J$5:$K$7,2,FALSE)*VLOOKUP(Sheet1!$A3095,Sheet2!$B$5:$H$29,5,FALSE),0)</x:f>
        <x:v>54</x:v>
      </x:c>
      <x:c r="G3095">
        <x:f>ROUND($C3095*10*VLOOKUP($B3095,Sheet2!$J$5:$K$7,2,FALSE)*VLOOKUP(Sheet1!$A3095,Sheet2!$B$5:$H$29,6,FALSE),0)</x:f>
        <x:v>163</x:v>
      </x:c>
      <x:c r="H3095">
        <x:f>ROUND($C3095*10*VLOOKUP($B3095,Sheet2!$J$5:$K$7,2,FALSE)*VLOOKUP(Sheet1!$A3095,Sheet2!$B$5:$H$29,7,FALSE),0)</x:f>
        <x:v>0</x:v>
      </x:c>
      <x:c r="I3095">
        <x:f t="shared" si="51"/>
        <x:v>11720</x:v>
      </x:c>
    </x:row>
    <x:row r="3096" spans="1:9" x14ac:dyDescent="0.15">
      <x:c r="A3096">
        <x:v>54153</x:v>
      </x:c>
      <x:c r="B3096">
        <x:v>1</x:v>
      </x:c>
      <x:c r="C3096">
        <x:v>35</x:v>
      </x:c>
      <x:c r="D3096">
        <x:f>ROUND($C3096*10*VLOOKUP($B3096,Sheet2!$J$5:$K$7,2,FALSE)*VLOOKUP(Sheet1!$A3096,Sheet2!$B$5:$H$29,3,FALSE),0)</x:f>
        <x:v>0</x:v>
      </x:c>
      <x:c r="E3096">
        <x:f>ROUND($C3096*10*VLOOKUP($B3096,Sheet2!$J$5:$K$7,2,FALSE)*VLOOKUP(Sheet1!$A3096,Sheet2!$B$5:$H$29,4,FALSE),0)</x:f>
        <x:v>0</x:v>
      </x:c>
      <x:c r="F3096">
        <x:f>ROUND($C3096*10*VLOOKUP($B3096,Sheet2!$J$5:$K$7,2,FALSE)*VLOOKUP(Sheet1!$A3096,Sheet2!$B$5:$H$29,5,FALSE),0)</x:f>
        <x:v>56</x:v>
      </x:c>
      <x:c r="G3096">
        <x:f>ROUND($C3096*10*VLOOKUP($B3096,Sheet2!$J$5:$K$7,2,FALSE)*VLOOKUP(Sheet1!$A3096,Sheet2!$B$5:$H$29,6,FALSE),0)</x:f>
        <x:v>168</x:v>
      </x:c>
      <x:c r="H3096">
        <x:f>ROUND($C3096*10*VLOOKUP($B3096,Sheet2!$J$5:$K$7,2,FALSE)*VLOOKUP(Sheet1!$A3096,Sheet2!$B$5:$H$29,7,FALSE),0)</x:f>
        <x:v>0</x:v>
      </x:c>
      <x:c r="I3096">
        <x:f t="shared" si="51"/>
        <x:v>12360</x:v>
      </x:c>
    </x:row>
    <x:row r="3097" spans="1:9" x14ac:dyDescent="0.15">
      <x:c r="A3097">
        <x:v>54153</x:v>
      </x:c>
      <x:c r="B3097">
        <x:v>1</x:v>
      </x:c>
      <x:c r="C3097">
        <x:v>36</x:v>
      </x:c>
      <x:c r="D3097">
        <x:f>ROUND($C3097*10*VLOOKUP($B3097,Sheet2!$J$5:$K$7,2,FALSE)*VLOOKUP(Sheet1!$A3097,Sheet2!$B$5:$H$29,3,FALSE),0)</x:f>
        <x:v>0</x:v>
      </x:c>
      <x:c r="E3097">
        <x:f>ROUND($C3097*10*VLOOKUP($B3097,Sheet2!$J$5:$K$7,2,FALSE)*VLOOKUP(Sheet1!$A3097,Sheet2!$B$5:$H$29,4,FALSE),0)</x:f>
        <x:v>0</x:v>
      </x:c>
      <x:c r="F3097">
        <x:f>ROUND($C3097*10*VLOOKUP($B3097,Sheet2!$J$5:$K$7,2,FALSE)*VLOOKUP(Sheet1!$A3097,Sheet2!$B$5:$H$29,5,FALSE),0)</x:f>
        <x:v>58</x:v>
      </x:c>
      <x:c r="G3097">
        <x:f>ROUND($C3097*10*VLOOKUP($B3097,Sheet2!$J$5:$K$7,2,FALSE)*VLOOKUP(Sheet1!$A3097,Sheet2!$B$5:$H$29,6,FALSE),0)</x:f>
        <x:v>173</x:v>
      </x:c>
      <x:c r="H3097">
        <x:f>ROUND($C3097*10*VLOOKUP($B3097,Sheet2!$J$5:$K$7,2,FALSE)*VLOOKUP(Sheet1!$A3097,Sheet2!$B$5:$H$29,7,FALSE),0)</x:f>
        <x:v>0</x:v>
      </x:c>
      <x:c r="I3097">
        <x:f t="shared" si="51"/>
        <x:v>13020</x:v>
      </x:c>
    </x:row>
    <x:row r="3098" spans="1:9" x14ac:dyDescent="0.15">
      <x:c r="A3098">
        <x:v>54153</x:v>
      </x:c>
      <x:c r="B3098">
        <x:v>1</x:v>
      </x:c>
      <x:c r="C3098">
        <x:v>37</x:v>
      </x:c>
      <x:c r="D3098">
        <x:f>ROUND($C3098*10*VLOOKUP($B3098,Sheet2!$J$5:$K$7,2,FALSE)*VLOOKUP(Sheet1!$A3098,Sheet2!$B$5:$H$29,3,FALSE),0)</x:f>
        <x:v>0</x:v>
      </x:c>
      <x:c r="E3098">
        <x:f>ROUND($C3098*10*VLOOKUP($B3098,Sheet2!$J$5:$K$7,2,FALSE)*VLOOKUP(Sheet1!$A3098,Sheet2!$B$5:$H$29,4,FALSE),0)</x:f>
        <x:v>0</x:v>
      </x:c>
      <x:c r="F3098">
        <x:f>ROUND($C3098*10*VLOOKUP($B3098,Sheet2!$J$5:$K$7,2,FALSE)*VLOOKUP(Sheet1!$A3098,Sheet2!$B$5:$H$29,5,FALSE),0)</x:f>
        <x:v>59</x:v>
      </x:c>
      <x:c r="G3098">
        <x:f>ROUND($C3098*10*VLOOKUP($B3098,Sheet2!$J$5:$K$7,2,FALSE)*VLOOKUP(Sheet1!$A3098,Sheet2!$B$5:$H$29,6,FALSE),0)</x:f>
        <x:v>178</x:v>
      </x:c>
      <x:c r="H3098">
        <x:f>ROUND($C3098*10*VLOOKUP($B3098,Sheet2!$J$5:$K$7,2,FALSE)*VLOOKUP(Sheet1!$A3098,Sheet2!$B$5:$H$29,7,FALSE),0)</x:f>
        <x:v>0</x:v>
      </x:c>
      <x:c r="I3098">
        <x:f t="shared" si="51"/>
        <x:v>13700</x:v>
      </x:c>
    </x:row>
    <x:row r="3099" spans="1:9" x14ac:dyDescent="0.15">
      <x:c r="A3099">
        <x:v>54153</x:v>
      </x:c>
      <x:c r="B3099">
        <x:v>1</x:v>
      </x:c>
      <x:c r="C3099">
        <x:v>38</x:v>
      </x:c>
      <x:c r="D3099">
        <x:f>ROUND($C3099*10*VLOOKUP($B3099,Sheet2!$J$5:$K$7,2,FALSE)*VLOOKUP(Sheet1!$A3099,Sheet2!$B$5:$H$29,3,FALSE),0)</x:f>
        <x:v>0</x:v>
      </x:c>
      <x:c r="E3099">
        <x:f>ROUND($C3099*10*VLOOKUP($B3099,Sheet2!$J$5:$K$7,2,FALSE)*VLOOKUP(Sheet1!$A3099,Sheet2!$B$5:$H$29,4,FALSE),0)</x:f>
        <x:v>0</x:v>
      </x:c>
      <x:c r="F3099">
        <x:f>ROUND($C3099*10*VLOOKUP($B3099,Sheet2!$J$5:$K$7,2,FALSE)*VLOOKUP(Sheet1!$A3099,Sheet2!$B$5:$H$29,5,FALSE),0)</x:f>
        <x:v>61</x:v>
      </x:c>
      <x:c r="G3099">
        <x:f>ROUND($C3099*10*VLOOKUP($B3099,Sheet2!$J$5:$K$7,2,FALSE)*VLOOKUP(Sheet1!$A3099,Sheet2!$B$5:$H$29,6,FALSE),0)</x:f>
        <x:v>182</x:v>
      </x:c>
      <x:c r="H3099">
        <x:f>ROUND($C3099*10*VLOOKUP($B3099,Sheet2!$J$5:$K$7,2,FALSE)*VLOOKUP(Sheet1!$A3099,Sheet2!$B$5:$H$29,7,FALSE),0)</x:f>
        <x:v>0</x:v>
      </x:c>
      <x:c r="I3099">
        <x:f t="shared" si="51"/>
        <x:v>14390</x:v>
      </x:c>
    </x:row>
    <x:row r="3100" spans="1:9" x14ac:dyDescent="0.15">
      <x:c r="A3100">
        <x:v>54153</x:v>
      </x:c>
      <x:c r="B3100">
        <x:v>1</x:v>
      </x:c>
      <x:c r="C3100">
        <x:v>39</x:v>
      </x:c>
      <x:c r="D3100">
        <x:f>ROUND($C3100*10*VLOOKUP($B3100,Sheet2!$J$5:$K$7,2,FALSE)*VLOOKUP(Sheet1!$A3100,Sheet2!$B$5:$H$29,3,FALSE),0)</x:f>
        <x:v>0</x:v>
      </x:c>
      <x:c r="E3100">
        <x:f>ROUND($C3100*10*VLOOKUP($B3100,Sheet2!$J$5:$K$7,2,FALSE)*VLOOKUP(Sheet1!$A3100,Sheet2!$B$5:$H$29,4,FALSE),0)</x:f>
        <x:v>0</x:v>
      </x:c>
      <x:c r="F3100">
        <x:f>ROUND($C3100*10*VLOOKUP($B3100,Sheet2!$J$5:$K$7,2,FALSE)*VLOOKUP(Sheet1!$A3100,Sheet2!$B$5:$H$29,5,FALSE),0)</x:f>
        <x:v>62</x:v>
      </x:c>
      <x:c r="G3100">
        <x:f>ROUND($C3100*10*VLOOKUP($B3100,Sheet2!$J$5:$K$7,2,FALSE)*VLOOKUP(Sheet1!$A3100,Sheet2!$B$5:$H$29,6,FALSE),0)</x:f>
        <x:v>187</x:v>
      </x:c>
      <x:c r="H3100">
        <x:f>ROUND($C3100*10*VLOOKUP($B3100,Sheet2!$J$5:$K$7,2,FALSE)*VLOOKUP(Sheet1!$A3100,Sheet2!$B$5:$H$29,7,FALSE),0)</x:f>
        <x:v>0</x:v>
      </x:c>
      <x:c r="I3100">
        <x:f t="shared" si="51"/>
        <x:v>15100</x:v>
      </x:c>
    </x:row>
    <x:row r="3101" spans="1:9" x14ac:dyDescent="0.15">
      <x:c r="A3101">
        <x:v>54153</x:v>
      </x:c>
      <x:c r="B3101">
        <x:v>1</x:v>
      </x:c>
      <x:c r="C3101">
        <x:v>40</x:v>
      </x:c>
      <x:c r="D3101">
        <x:f>ROUND($C3101*10*VLOOKUP($B3101,Sheet2!$J$5:$K$7,2,FALSE)*VLOOKUP(Sheet1!$A3101,Sheet2!$B$5:$H$29,3,FALSE),0)</x:f>
        <x:v>0</x:v>
      </x:c>
      <x:c r="E3101">
        <x:f>ROUND($C3101*10*VLOOKUP($B3101,Sheet2!$J$5:$K$7,2,FALSE)*VLOOKUP(Sheet1!$A3101,Sheet2!$B$5:$H$29,4,FALSE),0)</x:f>
        <x:v>0</x:v>
      </x:c>
      <x:c r="F3101">
        <x:f>ROUND($C3101*10*VLOOKUP($B3101,Sheet2!$J$5:$K$7,2,FALSE)*VLOOKUP(Sheet1!$A3101,Sheet2!$B$5:$H$29,5,FALSE),0)</x:f>
        <x:v>64</x:v>
      </x:c>
      <x:c r="G3101">
        <x:f>ROUND($C3101*10*VLOOKUP($B3101,Sheet2!$J$5:$K$7,2,FALSE)*VLOOKUP(Sheet1!$A3101,Sheet2!$B$5:$H$29,6,FALSE),0)</x:f>
        <x:v>192</x:v>
      </x:c>
      <x:c r="H3101">
        <x:f>ROUND($C3101*10*VLOOKUP($B3101,Sheet2!$J$5:$K$7,2,FALSE)*VLOOKUP(Sheet1!$A3101,Sheet2!$B$5:$H$29,7,FALSE),0)</x:f>
        <x:v>0</x:v>
      </x:c>
      <x:c r="I3101">
        <x:f t="shared" si="51"/>
        <x:v>15820</x:v>
      </x:c>
    </x:row>
    <x:row r="3102" spans="1:9" x14ac:dyDescent="0.15">
      <x:c r="A3102">
        <x:v>54153</x:v>
      </x:c>
      <x:c r="B3102">
        <x:v>1</x:v>
      </x:c>
      <x:c r="C3102">
        <x:v>41</x:v>
      </x:c>
      <x:c r="D3102">
        <x:f>ROUND($C3102*10*VLOOKUP($B3102,Sheet2!$J$5:$K$7,2,FALSE)*VLOOKUP(Sheet1!$A3102,Sheet2!$B$5:$H$29,3,FALSE),0)</x:f>
        <x:v>0</x:v>
      </x:c>
      <x:c r="E3102">
        <x:f>ROUND($C3102*10*VLOOKUP($B3102,Sheet2!$J$5:$K$7,2,FALSE)*VLOOKUP(Sheet1!$A3102,Sheet2!$B$5:$H$29,4,FALSE),0)</x:f>
        <x:v>0</x:v>
      </x:c>
      <x:c r="F3102">
        <x:f>ROUND($C3102*10*VLOOKUP($B3102,Sheet2!$J$5:$K$7,2,FALSE)*VLOOKUP(Sheet1!$A3102,Sheet2!$B$5:$H$29,5,FALSE),0)</x:f>
        <x:v>66</x:v>
      </x:c>
      <x:c r="G3102">
        <x:f>ROUND($C3102*10*VLOOKUP($B3102,Sheet2!$J$5:$K$7,2,FALSE)*VLOOKUP(Sheet1!$A3102,Sheet2!$B$5:$H$29,6,FALSE),0)</x:f>
        <x:v>197</x:v>
      </x:c>
      <x:c r="H3102">
        <x:f>ROUND($C3102*10*VLOOKUP($B3102,Sheet2!$J$5:$K$7,2,FALSE)*VLOOKUP(Sheet1!$A3102,Sheet2!$B$5:$H$29,7,FALSE),0)</x:f>
        <x:v>0</x:v>
      </x:c>
      <x:c r="I3102">
        <x:f t="shared" si="51"/>
        <x:v>16560</x:v>
      </x:c>
    </x:row>
    <x:row r="3103" spans="1:9" x14ac:dyDescent="0.15">
      <x:c r="A3103">
        <x:v>54153</x:v>
      </x:c>
      <x:c r="B3103">
        <x:v>1</x:v>
      </x:c>
      <x:c r="C3103">
        <x:v>42</x:v>
      </x:c>
      <x:c r="D3103">
        <x:f>ROUND($C3103*10*VLOOKUP($B3103,Sheet2!$J$5:$K$7,2,FALSE)*VLOOKUP(Sheet1!$A3103,Sheet2!$B$5:$H$29,3,FALSE),0)</x:f>
        <x:v>0</x:v>
      </x:c>
      <x:c r="E3103">
        <x:f>ROUND($C3103*10*VLOOKUP($B3103,Sheet2!$J$5:$K$7,2,FALSE)*VLOOKUP(Sheet1!$A3103,Sheet2!$B$5:$H$29,4,FALSE),0)</x:f>
        <x:v>0</x:v>
      </x:c>
      <x:c r="F3103">
        <x:f>ROUND($C3103*10*VLOOKUP($B3103,Sheet2!$J$5:$K$7,2,FALSE)*VLOOKUP(Sheet1!$A3103,Sheet2!$B$5:$H$29,5,FALSE),0)</x:f>
        <x:v>67</x:v>
      </x:c>
      <x:c r="G3103">
        <x:f>ROUND($C3103*10*VLOOKUP($B3103,Sheet2!$J$5:$K$7,2,FALSE)*VLOOKUP(Sheet1!$A3103,Sheet2!$B$5:$H$29,6,FALSE),0)</x:f>
        <x:v>202</x:v>
      </x:c>
      <x:c r="H3103">
        <x:f>ROUND($C3103*10*VLOOKUP($B3103,Sheet2!$J$5:$K$7,2,FALSE)*VLOOKUP(Sheet1!$A3103,Sheet2!$B$5:$H$29,7,FALSE),0)</x:f>
        <x:v>0</x:v>
      </x:c>
      <x:c r="I3103">
        <x:f t="shared" si="51"/>
        <x:v>17310</x:v>
      </x:c>
    </x:row>
    <x:row r="3104" spans="1:9" x14ac:dyDescent="0.15">
      <x:c r="A3104">
        <x:v>54153</x:v>
      </x:c>
      <x:c r="B3104">
        <x:v>1</x:v>
      </x:c>
      <x:c r="C3104">
        <x:v>43</x:v>
      </x:c>
      <x:c r="D3104">
        <x:f>ROUND($C3104*10*VLOOKUP($B3104,Sheet2!$J$5:$K$7,2,FALSE)*VLOOKUP(Sheet1!$A3104,Sheet2!$B$5:$H$29,3,FALSE),0)</x:f>
        <x:v>0</x:v>
      </x:c>
      <x:c r="E3104">
        <x:f>ROUND($C3104*10*VLOOKUP($B3104,Sheet2!$J$5:$K$7,2,FALSE)*VLOOKUP(Sheet1!$A3104,Sheet2!$B$5:$H$29,4,FALSE),0)</x:f>
        <x:v>0</x:v>
      </x:c>
      <x:c r="F3104">
        <x:f>ROUND($C3104*10*VLOOKUP($B3104,Sheet2!$J$5:$K$7,2,FALSE)*VLOOKUP(Sheet1!$A3104,Sheet2!$B$5:$H$29,5,FALSE),0)</x:f>
        <x:v>69</x:v>
      </x:c>
      <x:c r="G3104">
        <x:f>ROUND($C3104*10*VLOOKUP($B3104,Sheet2!$J$5:$K$7,2,FALSE)*VLOOKUP(Sheet1!$A3104,Sheet2!$B$5:$H$29,6,FALSE),0)</x:f>
        <x:v>206</x:v>
      </x:c>
      <x:c r="H3104">
        <x:f>ROUND($C3104*10*VLOOKUP($B3104,Sheet2!$J$5:$K$7,2,FALSE)*VLOOKUP(Sheet1!$A3104,Sheet2!$B$5:$H$29,7,FALSE),0)</x:f>
        <x:v>0</x:v>
      </x:c>
      <x:c r="I3104">
        <x:f t="shared" si="51"/>
        <x:v>18070</x:v>
      </x:c>
    </x:row>
    <x:row r="3105" spans="1:9" x14ac:dyDescent="0.15">
      <x:c r="A3105">
        <x:v>54153</x:v>
      </x:c>
      <x:c r="B3105">
        <x:v>1</x:v>
      </x:c>
      <x:c r="C3105">
        <x:v>44</x:v>
      </x:c>
      <x:c r="D3105">
        <x:f>ROUND($C3105*10*VLOOKUP($B3105,Sheet2!$J$5:$K$7,2,FALSE)*VLOOKUP(Sheet1!$A3105,Sheet2!$B$5:$H$29,3,FALSE),0)</x:f>
        <x:v>0</x:v>
      </x:c>
      <x:c r="E3105">
        <x:f>ROUND($C3105*10*VLOOKUP($B3105,Sheet2!$J$5:$K$7,2,FALSE)*VLOOKUP(Sheet1!$A3105,Sheet2!$B$5:$H$29,4,FALSE),0)</x:f>
        <x:v>0</x:v>
      </x:c>
      <x:c r="F3105">
        <x:f>ROUND($C3105*10*VLOOKUP($B3105,Sheet2!$J$5:$K$7,2,FALSE)*VLOOKUP(Sheet1!$A3105,Sheet2!$B$5:$H$29,5,FALSE),0)</x:f>
        <x:v>70</x:v>
      </x:c>
      <x:c r="G3105">
        <x:f>ROUND($C3105*10*VLOOKUP($B3105,Sheet2!$J$5:$K$7,2,FALSE)*VLOOKUP(Sheet1!$A3105,Sheet2!$B$5:$H$29,6,FALSE),0)</x:f>
        <x:v>211</x:v>
      </x:c>
      <x:c r="H3105">
        <x:f>ROUND($C3105*10*VLOOKUP($B3105,Sheet2!$J$5:$K$7,2,FALSE)*VLOOKUP(Sheet1!$A3105,Sheet2!$B$5:$H$29,7,FALSE),0)</x:f>
        <x:v>0</x:v>
      </x:c>
      <x:c r="I3105">
        <x:f t="shared" si="51"/>
        <x:v>18850</x:v>
      </x:c>
    </x:row>
    <x:row r="3106" spans="1:9" x14ac:dyDescent="0.15">
      <x:c r="A3106">
        <x:v>54153</x:v>
      </x:c>
      <x:c r="B3106">
        <x:v>1</x:v>
      </x:c>
      <x:c r="C3106">
        <x:v>45</x:v>
      </x:c>
      <x:c r="D3106">
        <x:f>ROUND($C3106*10*VLOOKUP($B3106,Sheet2!$J$5:$K$7,2,FALSE)*VLOOKUP(Sheet1!$A3106,Sheet2!$B$5:$H$29,3,FALSE),0)</x:f>
        <x:v>0</x:v>
      </x:c>
      <x:c r="E3106">
        <x:f>ROUND($C3106*10*VLOOKUP($B3106,Sheet2!$J$5:$K$7,2,FALSE)*VLOOKUP(Sheet1!$A3106,Sheet2!$B$5:$H$29,4,FALSE),0)</x:f>
        <x:v>0</x:v>
      </x:c>
      <x:c r="F3106">
        <x:f>ROUND($C3106*10*VLOOKUP($B3106,Sheet2!$J$5:$K$7,2,FALSE)*VLOOKUP(Sheet1!$A3106,Sheet2!$B$5:$H$29,5,FALSE),0)</x:f>
        <x:v>72</x:v>
      </x:c>
      <x:c r="G3106">
        <x:f>ROUND($C3106*10*VLOOKUP($B3106,Sheet2!$J$5:$K$7,2,FALSE)*VLOOKUP(Sheet1!$A3106,Sheet2!$B$5:$H$29,6,FALSE),0)</x:f>
        <x:v>216</x:v>
      </x:c>
      <x:c r="H3106">
        <x:f>ROUND($C3106*10*VLOOKUP($B3106,Sheet2!$J$5:$K$7,2,FALSE)*VLOOKUP(Sheet1!$A3106,Sheet2!$B$5:$H$29,7,FALSE),0)</x:f>
        <x:v>0</x:v>
      </x:c>
      <x:c r="I3106">
        <x:f t="shared" si="51"/>
        <x:v>19650</x:v>
      </x:c>
    </x:row>
    <x:row r="3107" spans="1:9" x14ac:dyDescent="0.15">
      <x:c r="A3107">
        <x:v>54153</x:v>
      </x:c>
      <x:c r="B3107">
        <x:v>1</x:v>
      </x:c>
      <x:c r="C3107">
        <x:v>46</x:v>
      </x:c>
      <x:c r="D3107">
        <x:f>ROUND($C3107*10*VLOOKUP($B3107,Sheet2!$J$5:$K$7,2,FALSE)*VLOOKUP(Sheet1!$A3107,Sheet2!$B$5:$H$29,3,FALSE),0)</x:f>
        <x:v>0</x:v>
      </x:c>
      <x:c r="E3107">
        <x:f>ROUND($C3107*10*VLOOKUP($B3107,Sheet2!$J$5:$K$7,2,FALSE)*VLOOKUP(Sheet1!$A3107,Sheet2!$B$5:$H$29,4,FALSE),0)</x:f>
        <x:v>0</x:v>
      </x:c>
      <x:c r="F3107">
        <x:f>ROUND($C3107*10*VLOOKUP($B3107,Sheet2!$J$5:$K$7,2,FALSE)*VLOOKUP(Sheet1!$A3107,Sheet2!$B$5:$H$29,5,FALSE),0)</x:f>
        <x:v>74</x:v>
      </x:c>
      <x:c r="G3107">
        <x:f>ROUND($C3107*10*VLOOKUP($B3107,Sheet2!$J$5:$K$7,2,FALSE)*VLOOKUP(Sheet1!$A3107,Sheet2!$B$5:$H$29,6,FALSE),0)</x:f>
        <x:v>221</x:v>
      </x:c>
      <x:c r="H3107">
        <x:f>ROUND($C3107*10*VLOOKUP($B3107,Sheet2!$J$5:$K$7,2,FALSE)*VLOOKUP(Sheet1!$A3107,Sheet2!$B$5:$H$29,7,FALSE),0)</x:f>
        <x:v>0</x:v>
      </x:c>
      <x:c r="I3107">
        <x:f t="shared" si="51"/>
        <x:v>20460</x:v>
      </x:c>
    </x:row>
    <x:row r="3108" spans="1:9" x14ac:dyDescent="0.15">
      <x:c r="A3108">
        <x:v>54153</x:v>
      </x:c>
      <x:c r="B3108">
        <x:v>1</x:v>
      </x:c>
      <x:c r="C3108">
        <x:v>47</x:v>
      </x:c>
      <x:c r="D3108">
        <x:f>ROUND($C3108*10*VLOOKUP($B3108,Sheet2!$J$5:$K$7,2,FALSE)*VLOOKUP(Sheet1!$A3108,Sheet2!$B$5:$H$29,3,FALSE),0)</x:f>
        <x:v>0</x:v>
      </x:c>
      <x:c r="E3108">
        <x:f>ROUND($C3108*10*VLOOKUP($B3108,Sheet2!$J$5:$K$7,2,FALSE)*VLOOKUP(Sheet1!$A3108,Sheet2!$B$5:$H$29,4,FALSE),0)</x:f>
        <x:v>0</x:v>
      </x:c>
      <x:c r="F3108">
        <x:f>ROUND($C3108*10*VLOOKUP($B3108,Sheet2!$J$5:$K$7,2,FALSE)*VLOOKUP(Sheet1!$A3108,Sheet2!$B$5:$H$29,5,FALSE),0)</x:f>
        <x:v>75</x:v>
      </x:c>
      <x:c r="G3108">
        <x:f>ROUND($C3108*10*VLOOKUP($B3108,Sheet2!$J$5:$K$7,2,FALSE)*VLOOKUP(Sheet1!$A3108,Sheet2!$B$5:$H$29,6,FALSE),0)</x:f>
        <x:v>226</x:v>
      </x:c>
      <x:c r="H3108">
        <x:f>ROUND($C3108*10*VLOOKUP($B3108,Sheet2!$J$5:$K$7,2,FALSE)*VLOOKUP(Sheet1!$A3108,Sheet2!$B$5:$H$29,7,FALSE),0)</x:f>
        <x:v>0</x:v>
      </x:c>
      <x:c r="I3108">
        <x:f t="shared" si="51"/>
        <x:v>21280</x:v>
      </x:c>
    </x:row>
    <x:row r="3109" spans="1:9" x14ac:dyDescent="0.15">
      <x:c r="A3109">
        <x:v>54153</x:v>
      </x:c>
      <x:c r="B3109">
        <x:v>1</x:v>
      </x:c>
      <x:c r="C3109">
        <x:v>48</x:v>
      </x:c>
      <x:c r="D3109">
        <x:f>ROUND($C3109*10*VLOOKUP($B3109,Sheet2!$J$5:$K$7,2,FALSE)*VLOOKUP(Sheet1!$A3109,Sheet2!$B$5:$H$29,3,FALSE),0)</x:f>
        <x:v>0</x:v>
      </x:c>
      <x:c r="E3109">
        <x:f>ROUND($C3109*10*VLOOKUP($B3109,Sheet2!$J$5:$K$7,2,FALSE)*VLOOKUP(Sheet1!$A3109,Sheet2!$B$5:$H$29,4,FALSE),0)</x:f>
        <x:v>0</x:v>
      </x:c>
      <x:c r="F3109">
        <x:f>ROUND($C3109*10*VLOOKUP($B3109,Sheet2!$J$5:$K$7,2,FALSE)*VLOOKUP(Sheet1!$A3109,Sheet2!$B$5:$H$29,5,FALSE),0)</x:f>
        <x:v>77</x:v>
      </x:c>
      <x:c r="G3109">
        <x:f>ROUND($C3109*10*VLOOKUP($B3109,Sheet2!$J$5:$K$7,2,FALSE)*VLOOKUP(Sheet1!$A3109,Sheet2!$B$5:$H$29,6,FALSE),0)</x:f>
        <x:v>230</x:v>
      </x:c>
      <x:c r="H3109">
        <x:f>ROUND($C3109*10*VLOOKUP($B3109,Sheet2!$J$5:$K$7,2,FALSE)*VLOOKUP(Sheet1!$A3109,Sheet2!$B$5:$H$29,7,FALSE),0)</x:f>
        <x:v>0</x:v>
      </x:c>
      <x:c r="I3109">
        <x:f t="shared" si="51"/>
        <x:v>22120</x:v>
      </x:c>
    </x:row>
    <x:row r="3110" spans="1:9" x14ac:dyDescent="0.15">
      <x:c r="A3110">
        <x:v>54153</x:v>
      </x:c>
      <x:c r="B3110">
        <x:v>1</x:v>
      </x:c>
      <x:c r="C3110">
        <x:v>49</x:v>
      </x:c>
      <x:c r="D3110">
        <x:f>ROUND($C3110*10*VLOOKUP($B3110,Sheet2!$J$5:$K$7,2,FALSE)*VLOOKUP(Sheet1!$A3110,Sheet2!$B$5:$H$29,3,FALSE),0)</x:f>
        <x:v>0</x:v>
      </x:c>
      <x:c r="E3110">
        <x:f>ROUND($C3110*10*VLOOKUP($B3110,Sheet2!$J$5:$K$7,2,FALSE)*VLOOKUP(Sheet1!$A3110,Sheet2!$B$5:$H$29,4,FALSE),0)</x:f>
        <x:v>0</x:v>
      </x:c>
      <x:c r="F3110">
        <x:f>ROUND($C3110*10*VLOOKUP($B3110,Sheet2!$J$5:$K$7,2,FALSE)*VLOOKUP(Sheet1!$A3110,Sheet2!$B$5:$H$29,5,FALSE),0)</x:f>
        <x:v>78</x:v>
      </x:c>
      <x:c r="G3110">
        <x:f>ROUND($C3110*10*VLOOKUP($B3110,Sheet2!$J$5:$K$7,2,FALSE)*VLOOKUP(Sheet1!$A3110,Sheet2!$B$5:$H$29,6,FALSE),0)</x:f>
        <x:v>235</x:v>
      </x:c>
      <x:c r="H3110">
        <x:f>ROUND($C3110*10*VLOOKUP($B3110,Sheet2!$J$5:$K$7,2,FALSE)*VLOOKUP(Sheet1!$A3110,Sheet2!$B$5:$H$29,7,FALSE),0)</x:f>
        <x:v>0</x:v>
      </x:c>
      <x:c r="I3110">
        <x:f t="shared" si="51"/>
        <x:v>22970</x:v>
      </x:c>
    </x:row>
    <x:row r="3111" spans="1:9" x14ac:dyDescent="0.15">
      <x:c r="A3111">
        <x:v>54153</x:v>
      </x:c>
      <x:c r="B3111">
        <x:v>1</x:v>
      </x:c>
      <x:c r="C3111">
        <x:v>50</x:v>
      </x:c>
      <x:c r="D3111">
        <x:f>ROUND($C3111*10*VLOOKUP($B3111,Sheet2!$J$5:$K$7,2,FALSE)*VLOOKUP(Sheet1!$A3111,Sheet2!$B$5:$H$29,3,FALSE),0)</x:f>
        <x:v>0</x:v>
      </x:c>
      <x:c r="E3111">
        <x:f>ROUND($C3111*10*VLOOKUP($B3111,Sheet2!$J$5:$K$7,2,FALSE)*VLOOKUP(Sheet1!$A3111,Sheet2!$B$5:$H$29,4,FALSE),0)</x:f>
        <x:v>0</x:v>
      </x:c>
      <x:c r="F3111">
        <x:f>ROUND($C3111*10*VLOOKUP($B3111,Sheet2!$J$5:$K$7,2,FALSE)*VLOOKUP(Sheet1!$A3111,Sheet2!$B$5:$H$29,5,FALSE),0)</x:f>
        <x:v>80</x:v>
      </x:c>
      <x:c r="G3111">
        <x:f>ROUND($C3111*10*VLOOKUP($B3111,Sheet2!$J$5:$K$7,2,FALSE)*VLOOKUP(Sheet1!$A3111,Sheet2!$B$5:$H$29,6,FALSE),0)</x:f>
        <x:v>240</x:v>
      </x:c>
      <x:c r="H3111">
        <x:f>ROUND($C3111*10*VLOOKUP($B3111,Sheet2!$J$5:$K$7,2,FALSE)*VLOOKUP(Sheet1!$A3111,Sheet2!$B$5:$H$29,7,FALSE),0)</x:f>
        <x:v>0</x:v>
      </x:c>
      <x:c r="I3111">
        <x:f t="shared" si="51"/>
        <x:v>23840</x:v>
      </x:c>
    </x:row>
    <x:row r="3112" spans="1:9" x14ac:dyDescent="0.15">
      <x:c r="A3112">
        <x:v>54153</x:v>
      </x:c>
      <x:c r="B3112">
        <x:v>1</x:v>
      </x:c>
      <x:c r="C3112">
        <x:v>51</x:v>
      </x:c>
      <x:c r="D3112">
        <x:f>ROUND($C3112*10*VLOOKUP($B3112,Sheet2!$J$5:$K$7,2,FALSE)*VLOOKUP(Sheet1!$A3112,Sheet2!$B$5:$H$29,3,FALSE),0)</x:f>
        <x:v>0</x:v>
      </x:c>
      <x:c r="E3112">
        <x:f>ROUND($C3112*10*VLOOKUP($B3112,Sheet2!$J$5:$K$7,2,FALSE)*VLOOKUP(Sheet1!$A3112,Sheet2!$B$5:$H$29,4,FALSE),0)</x:f>
        <x:v>0</x:v>
      </x:c>
      <x:c r="F3112">
        <x:f>ROUND($C3112*10*VLOOKUP($B3112,Sheet2!$J$5:$K$7,2,FALSE)*VLOOKUP(Sheet1!$A3112,Sheet2!$B$5:$H$29,5,FALSE),0)</x:f>
        <x:v>82</x:v>
      </x:c>
      <x:c r="G3112">
        <x:f>ROUND($C3112*10*VLOOKUP($B3112,Sheet2!$J$5:$K$7,2,FALSE)*VLOOKUP(Sheet1!$A3112,Sheet2!$B$5:$H$29,6,FALSE),0)</x:f>
        <x:v>245</x:v>
      </x:c>
      <x:c r="H3112">
        <x:f>ROUND($C3112*10*VLOOKUP($B3112,Sheet2!$J$5:$K$7,2,FALSE)*VLOOKUP(Sheet1!$A3112,Sheet2!$B$5:$H$29,7,FALSE),0)</x:f>
        <x:v>0</x:v>
      </x:c>
      <x:c r="I3112">
        <x:f t="shared" si="51"/>
        <x:v>24720</x:v>
      </x:c>
    </x:row>
    <x:row r="3113" spans="1:9" x14ac:dyDescent="0.15">
      <x:c r="A3113">
        <x:v>54153</x:v>
      </x:c>
      <x:c r="B3113">
        <x:v>1</x:v>
      </x:c>
      <x:c r="C3113">
        <x:v>52</x:v>
      </x:c>
      <x:c r="D3113">
        <x:f>ROUND($C3113*10*VLOOKUP($B3113,Sheet2!$J$5:$K$7,2,FALSE)*VLOOKUP(Sheet1!$A3113,Sheet2!$B$5:$H$29,3,FALSE),0)</x:f>
        <x:v>0</x:v>
      </x:c>
      <x:c r="E3113">
        <x:f>ROUND($C3113*10*VLOOKUP($B3113,Sheet2!$J$5:$K$7,2,FALSE)*VLOOKUP(Sheet1!$A3113,Sheet2!$B$5:$H$29,4,FALSE),0)</x:f>
        <x:v>0</x:v>
      </x:c>
      <x:c r="F3113">
        <x:f>ROUND($C3113*10*VLOOKUP($B3113,Sheet2!$J$5:$K$7,2,FALSE)*VLOOKUP(Sheet1!$A3113,Sheet2!$B$5:$H$29,5,FALSE),0)</x:f>
        <x:v>83</x:v>
      </x:c>
      <x:c r="G3113">
        <x:f>ROUND($C3113*10*VLOOKUP($B3113,Sheet2!$J$5:$K$7,2,FALSE)*VLOOKUP(Sheet1!$A3113,Sheet2!$B$5:$H$29,6,FALSE),0)</x:f>
        <x:v>250</x:v>
      </x:c>
      <x:c r="H3113">
        <x:f>ROUND($C3113*10*VLOOKUP($B3113,Sheet2!$J$5:$K$7,2,FALSE)*VLOOKUP(Sheet1!$A3113,Sheet2!$B$5:$H$29,7,FALSE),0)</x:f>
        <x:v>0</x:v>
      </x:c>
      <x:c r="I3113">
        <x:f t="shared" si="51"/>
        <x:v>25620</x:v>
      </x:c>
    </x:row>
    <x:row r="3114" spans="1:9" x14ac:dyDescent="0.15">
      <x:c r="A3114">
        <x:v>54153</x:v>
      </x:c>
      <x:c r="B3114">
        <x:v>1</x:v>
      </x:c>
      <x:c r="C3114">
        <x:v>53</x:v>
      </x:c>
      <x:c r="D3114">
        <x:f>ROUND($C3114*10*VLOOKUP($B3114,Sheet2!$J$5:$K$7,2,FALSE)*VLOOKUP(Sheet1!$A3114,Sheet2!$B$5:$H$29,3,FALSE),0)</x:f>
        <x:v>0</x:v>
      </x:c>
      <x:c r="E3114">
        <x:f>ROUND($C3114*10*VLOOKUP($B3114,Sheet2!$J$5:$K$7,2,FALSE)*VLOOKUP(Sheet1!$A3114,Sheet2!$B$5:$H$29,4,FALSE),0)</x:f>
        <x:v>0</x:v>
      </x:c>
      <x:c r="F3114">
        <x:f>ROUND($C3114*10*VLOOKUP($B3114,Sheet2!$J$5:$K$7,2,FALSE)*VLOOKUP(Sheet1!$A3114,Sheet2!$B$5:$H$29,5,FALSE),0)</x:f>
        <x:v>85</x:v>
      </x:c>
      <x:c r="G3114">
        <x:f>ROUND($C3114*10*VLOOKUP($B3114,Sheet2!$J$5:$K$7,2,FALSE)*VLOOKUP(Sheet1!$A3114,Sheet2!$B$5:$H$29,6,FALSE),0)</x:f>
        <x:v>254</x:v>
      </x:c>
      <x:c r="H3114">
        <x:f>ROUND($C3114*10*VLOOKUP($B3114,Sheet2!$J$5:$K$7,2,FALSE)*VLOOKUP(Sheet1!$A3114,Sheet2!$B$5:$H$29,7,FALSE),0)</x:f>
        <x:v>0</x:v>
      </x:c>
      <x:c r="I3114">
        <x:f t="shared" si="51"/>
        <x:v>26530</x:v>
      </x:c>
    </x:row>
    <x:row r="3115" spans="1:9" x14ac:dyDescent="0.15">
      <x:c r="A3115">
        <x:v>54153</x:v>
      </x:c>
      <x:c r="B3115">
        <x:v>1</x:v>
      </x:c>
      <x:c r="C3115">
        <x:v>54</x:v>
      </x:c>
      <x:c r="D3115">
        <x:f>ROUND($C3115*10*VLOOKUP($B3115,Sheet2!$J$5:$K$7,2,FALSE)*VLOOKUP(Sheet1!$A3115,Sheet2!$B$5:$H$29,3,FALSE),0)</x:f>
        <x:v>0</x:v>
      </x:c>
      <x:c r="E3115">
        <x:f>ROUND($C3115*10*VLOOKUP($B3115,Sheet2!$J$5:$K$7,2,FALSE)*VLOOKUP(Sheet1!$A3115,Sheet2!$B$5:$H$29,4,FALSE),0)</x:f>
        <x:v>0</x:v>
      </x:c>
      <x:c r="F3115">
        <x:f>ROUND($C3115*10*VLOOKUP($B3115,Sheet2!$J$5:$K$7,2,FALSE)*VLOOKUP(Sheet1!$A3115,Sheet2!$B$5:$H$29,5,FALSE),0)</x:f>
        <x:v>86</x:v>
      </x:c>
      <x:c r="G3115">
        <x:f>ROUND($C3115*10*VLOOKUP($B3115,Sheet2!$J$5:$K$7,2,FALSE)*VLOOKUP(Sheet1!$A3115,Sheet2!$B$5:$H$29,6,FALSE),0)</x:f>
        <x:v>259</x:v>
      </x:c>
      <x:c r="H3115">
        <x:f>ROUND($C3115*10*VLOOKUP($B3115,Sheet2!$J$5:$K$7,2,FALSE)*VLOOKUP(Sheet1!$A3115,Sheet2!$B$5:$H$29,7,FALSE),0)</x:f>
        <x:v>0</x:v>
      </x:c>
      <x:c r="I3115">
        <x:f t="shared" si="51"/>
        <x:v>27460</x:v>
      </x:c>
    </x:row>
    <x:row r="3116" spans="1:9" x14ac:dyDescent="0.15">
      <x:c r="A3116">
        <x:v>54153</x:v>
      </x:c>
      <x:c r="B3116">
        <x:v>1</x:v>
      </x:c>
      <x:c r="C3116">
        <x:v>55</x:v>
      </x:c>
      <x:c r="D3116">
        <x:f>ROUND($C3116*10*VLOOKUP($B3116,Sheet2!$J$5:$K$7,2,FALSE)*VLOOKUP(Sheet1!$A3116,Sheet2!$B$5:$H$29,3,FALSE),0)</x:f>
        <x:v>0</x:v>
      </x:c>
      <x:c r="E3116">
        <x:f>ROUND($C3116*10*VLOOKUP($B3116,Sheet2!$J$5:$K$7,2,FALSE)*VLOOKUP(Sheet1!$A3116,Sheet2!$B$5:$H$29,4,FALSE),0)</x:f>
        <x:v>0</x:v>
      </x:c>
      <x:c r="F3116">
        <x:f>ROUND($C3116*10*VLOOKUP($B3116,Sheet2!$J$5:$K$7,2,FALSE)*VLOOKUP(Sheet1!$A3116,Sheet2!$B$5:$H$29,5,FALSE),0)</x:f>
        <x:v>88</x:v>
      </x:c>
      <x:c r="G3116">
        <x:f>ROUND($C3116*10*VLOOKUP($B3116,Sheet2!$J$5:$K$7,2,FALSE)*VLOOKUP(Sheet1!$A3116,Sheet2!$B$5:$H$29,6,FALSE),0)</x:f>
        <x:v>264</x:v>
      </x:c>
      <x:c r="H3116">
        <x:f>ROUND($C3116*10*VLOOKUP($B3116,Sheet2!$J$5:$K$7,2,FALSE)*VLOOKUP(Sheet1!$A3116,Sheet2!$B$5:$H$29,7,FALSE),0)</x:f>
        <x:v>0</x:v>
      </x:c>
      <x:c r="I3116">
        <x:f t="shared" si="51"/>
        <x:v>28390</x:v>
      </x:c>
    </x:row>
    <x:row r="3117" spans="1:9" x14ac:dyDescent="0.15">
      <x:c r="A3117">
        <x:v>54153</x:v>
      </x:c>
      <x:c r="B3117">
        <x:v>1</x:v>
      </x:c>
      <x:c r="C3117">
        <x:v>56</x:v>
      </x:c>
      <x:c r="D3117">
        <x:f>ROUND($C3117*10*VLOOKUP($B3117,Sheet2!$J$5:$K$7,2,FALSE)*VLOOKUP(Sheet1!$A3117,Sheet2!$B$5:$H$29,3,FALSE),0)</x:f>
        <x:v>0</x:v>
      </x:c>
      <x:c r="E3117">
        <x:f>ROUND($C3117*10*VLOOKUP($B3117,Sheet2!$J$5:$K$7,2,FALSE)*VLOOKUP(Sheet1!$A3117,Sheet2!$B$5:$H$29,4,FALSE),0)</x:f>
        <x:v>0</x:v>
      </x:c>
      <x:c r="F3117">
        <x:f>ROUND($C3117*10*VLOOKUP($B3117,Sheet2!$J$5:$K$7,2,FALSE)*VLOOKUP(Sheet1!$A3117,Sheet2!$B$5:$H$29,5,FALSE),0)</x:f>
        <x:v>90</x:v>
      </x:c>
      <x:c r="G3117">
        <x:f>ROUND($C3117*10*VLOOKUP($B3117,Sheet2!$J$5:$K$7,2,FALSE)*VLOOKUP(Sheet1!$A3117,Sheet2!$B$5:$H$29,6,FALSE),0)</x:f>
        <x:v>269</x:v>
      </x:c>
      <x:c r="H3117">
        <x:f>ROUND($C3117*10*VLOOKUP($B3117,Sheet2!$J$5:$K$7,2,FALSE)*VLOOKUP(Sheet1!$A3117,Sheet2!$B$5:$H$29,7,FALSE),0)</x:f>
        <x:v>0</x:v>
      </x:c>
      <x:c r="I3117">
        <x:f t="shared" si="51"/>
        <x:v>29350</x:v>
      </x:c>
    </x:row>
    <x:row r="3118" spans="1:9" x14ac:dyDescent="0.15">
      <x:c r="A3118">
        <x:v>54153</x:v>
      </x:c>
      <x:c r="B3118">
        <x:v>1</x:v>
      </x:c>
      <x:c r="C3118">
        <x:v>57</x:v>
      </x:c>
      <x:c r="D3118">
        <x:f>ROUND($C3118*10*VLOOKUP($B3118,Sheet2!$J$5:$K$7,2,FALSE)*VLOOKUP(Sheet1!$A3118,Sheet2!$B$5:$H$29,3,FALSE),0)</x:f>
        <x:v>0</x:v>
      </x:c>
      <x:c r="E3118">
        <x:f>ROUND($C3118*10*VLOOKUP($B3118,Sheet2!$J$5:$K$7,2,FALSE)*VLOOKUP(Sheet1!$A3118,Sheet2!$B$5:$H$29,4,FALSE),0)</x:f>
        <x:v>0</x:v>
      </x:c>
      <x:c r="F3118">
        <x:f>ROUND($C3118*10*VLOOKUP($B3118,Sheet2!$J$5:$K$7,2,FALSE)*VLOOKUP(Sheet1!$A3118,Sheet2!$B$5:$H$29,5,FALSE),0)</x:f>
        <x:v>91</x:v>
      </x:c>
      <x:c r="G3118">
        <x:f>ROUND($C3118*10*VLOOKUP($B3118,Sheet2!$J$5:$K$7,2,FALSE)*VLOOKUP(Sheet1!$A3118,Sheet2!$B$5:$H$29,6,FALSE),0)</x:f>
        <x:v>274</x:v>
      </x:c>
      <x:c r="H3118">
        <x:f>ROUND($C3118*10*VLOOKUP($B3118,Sheet2!$J$5:$K$7,2,FALSE)*VLOOKUP(Sheet1!$A3118,Sheet2!$B$5:$H$29,7,FALSE),0)</x:f>
        <x:v>0</x:v>
      </x:c>
      <x:c r="I3118">
        <x:f t="shared" si="51"/>
        <x:v>30310</x:v>
      </x:c>
    </x:row>
    <x:row r="3119" spans="1:9" x14ac:dyDescent="0.15">
      <x:c r="A3119">
        <x:v>54153</x:v>
      </x:c>
      <x:c r="B3119">
        <x:v>1</x:v>
      </x:c>
      <x:c r="C3119">
        <x:v>58</x:v>
      </x:c>
      <x:c r="D3119">
        <x:f>ROUND($C3119*10*VLOOKUP($B3119,Sheet2!$J$5:$K$7,2,FALSE)*VLOOKUP(Sheet1!$A3119,Sheet2!$B$5:$H$29,3,FALSE),0)</x:f>
        <x:v>0</x:v>
      </x:c>
      <x:c r="E3119">
        <x:f>ROUND($C3119*10*VLOOKUP($B3119,Sheet2!$J$5:$K$7,2,FALSE)*VLOOKUP(Sheet1!$A3119,Sheet2!$B$5:$H$29,4,FALSE),0)</x:f>
        <x:v>0</x:v>
      </x:c>
      <x:c r="F3119">
        <x:f>ROUND($C3119*10*VLOOKUP($B3119,Sheet2!$J$5:$K$7,2,FALSE)*VLOOKUP(Sheet1!$A3119,Sheet2!$B$5:$H$29,5,FALSE),0)</x:f>
        <x:v>93</x:v>
      </x:c>
      <x:c r="G3119">
        <x:f>ROUND($C3119*10*VLOOKUP($B3119,Sheet2!$J$5:$K$7,2,FALSE)*VLOOKUP(Sheet1!$A3119,Sheet2!$B$5:$H$29,6,FALSE),0)</x:f>
        <x:v>278</x:v>
      </x:c>
      <x:c r="H3119">
        <x:f>ROUND($C3119*10*VLOOKUP($B3119,Sheet2!$J$5:$K$7,2,FALSE)*VLOOKUP(Sheet1!$A3119,Sheet2!$B$5:$H$29,7,FALSE),0)</x:f>
        <x:v>0</x:v>
      </x:c>
      <x:c r="I3119">
        <x:f t="shared" si="51"/>
        <x:v>31290</x:v>
      </x:c>
    </x:row>
    <x:row r="3120" spans="1:9" x14ac:dyDescent="0.15">
      <x:c r="A3120">
        <x:v>54153</x:v>
      </x:c>
      <x:c r="B3120">
        <x:v>1</x:v>
      </x:c>
      <x:c r="C3120">
        <x:v>59</x:v>
      </x:c>
      <x:c r="D3120">
        <x:f>ROUND($C3120*10*VLOOKUP($B3120,Sheet2!$J$5:$K$7,2,FALSE)*VLOOKUP(Sheet1!$A3120,Sheet2!$B$5:$H$29,3,FALSE),0)</x:f>
        <x:v>0</x:v>
      </x:c>
      <x:c r="E3120">
        <x:f>ROUND($C3120*10*VLOOKUP($B3120,Sheet2!$J$5:$K$7,2,FALSE)*VLOOKUP(Sheet1!$A3120,Sheet2!$B$5:$H$29,4,FALSE),0)</x:f>
        <x:v>0</x:v>
      </x:c>
      <x:c r="F3120">
        <x:f>ROUND($C3120*10*VLOOKUP($B3120,Sheet2!$J$5:$K$7,2,FALSE)*VLOOKUP(Sheet1!$A3120,Sheet2!$B$5:$H$29,5,FALSE),0)</x:f>
        <x:v>94</x:v>
      </x:c>
      <x:c r="G3120">
        <x:f>ROUND($C3120*10*VLOOKUP($B3120,Sheet2!$J$5:$K$7,2,FALSE)*VLOOKUP(Sheet1!$A3120,Sheet2!$B$5:$H$29,6,FALSE),0)</x:f>
        <x:v>283</x:v>
      </x:c>
      <x:c r="H3120">
        <x:f>ROUND($C3120*10*VLOOKUP($B3120,Sheet2!$J$5:$K$7,2,FALSE)*VLOOKUP(Sheet1!$A3120,Sheet2!$B$5:$H$29,7,FALSE),0)</x:f>
        <x:v>0</x:v>
      </x:c>
      <x:c r="I3120">
        <x:f t="shared" si="51"/>
        <x:v>32290</x:v>
      </x:c>
    </x:row>
    <x:row r="3121" spans="1:9" x14ac:dyDescent="0.15">
      <x:c r="A3121">
        <x:v>54153</x:v>
      </x:c>
      <x:c r="B3121">
        <x:v>1</x:v>
      </x:c>
      <x:c r="C3121">
        <x:v>60</x:v>
      </x:c>
      <x:c r="D3121">
        <x:f>ROUND($C3121*10*VLOOKUP($B3121,Sheet2!$J$5:$K$7,2,FALSE)*VLOOKUP(Sheet1!$A3121,Sheet2!$B$5:$H$29,3,FALSE),0)</x:f>
        <x:v>0</x:v>
      </x:c>
      <x:c r="E3121">
        <x:f>ROUND($C3121*10*VLOOKUP($B3121,Sheet2!$J$5:$K$7,2,FALSE)*VLOOKUP(Sheet1!$A3121,Sheet2!$B$5:$H$29,4,FALSE),0)</x:f>
        <x:v>0</x:v>
      </x:c>
      <x:c r="F3121">
        <x:f>ROUND($C3121*10*VLOOKUP($B3121,Sheet2!$J$5:$K$7,2,FALSE)*VLOOKUP(Sheet1!$A3121,Sheet2!$B$5:$H$29,5,FALSE),0)</x:f>
        <x:v>96</x:v>
      </x:c>
      <x:c r="G3121">
        <x:f>ROUND($C3121*10*VLOOKUP($B3121,Sheet2!$J$5:$K$7,2,FALSE)*VLOOKUP(Sheet1!$A3121,Sheet2!$B$5:$H$29,6,FALSE),0)</x:f>
        <x:v>288</x:v>
      </x:c>
      <x:c r="H3121">
        <x:f>ROUND($C3121*10*VLOOKUP($B3121,Sheet2!$J$5:$K$7,2,FALSE)*VLOOKUP(Sheet1!$A3121,Sheet2!$B$5:$H$29,7,FALSE),0)</x:f>
        <x:v>0</x:v>
      </x:c>
      <x:c r="I3121">
        <x:f t="shared" si="51"/>
        <x:v>33290</x:v>
      </x:c>
    </x:row>
    <x:row r="3122" spans="1:9" x14ac:dyDescent="0.15">
      <x:c r="A3122">
        <x:v>54153</x:v>
      </x:c>
      <x:c r="B3122">
        <x:v>2</x:v>
      </x:c>
      <x:c r="C3122">
        <x:v>1</x:v>
      </x:c>
      <x:c r="D3122">
        <x:f>ROUND($C3122*10*VLOOKUP($B3122,Sheet2!$J$5:$K$7,2,FALSE)*VLOOKUP(Sheet1!$A3122,Sheet2!$B$5:$H$29,3,FALSE),0)</x:f>
        <x:v>0</x:v>
      </x:c>
      <x:c r="E3122">
        <x:f>ROUND($C3122*10*VLOOKUP($B3122,Sheet2!$J$5:$K$7,2,FALSE)*VLOOKUP(Sheet1!$A3122,Sheet2!$B$5:$H$29,4,FALSE),0)</x:f>
        <x:v>0</x:v>
      </x:c>
      <x:c r="F3122">
        <x:f>ROUND($C3122*10*VLOOKUP($B3122,Sheet2!$J$5:$K$7,2,FALSE)*VLOOKUP(Sheet1!$A3122,Sheet2!$B$5:$H$29,5,FALSE),0)</x:f>
        <x:v>2</x:v>
      </x:c>
      <x:c r="G3122">
        <x:f>ROUND($C3122*10*VLOOKUP($B3122,Sheet2!$J$5:$K$7,2,FALSE)*VLOOKUP(Sheet1!$A3122,Sheet2!$B$5:$H$29,6,FALSE),0)</x:f>
        <x:v>6</x:v>
      </x:c>
      <x:c r="H3122">
        <x:f>ROUND($C3122*10*VLOOKUP($B3122,Sheet2!$J$5:$K$7,2,FALSE)*VLOOKUP(Sheet1!$A3122,Sheet2!$B$5:$H$29,7,FALSE),0)</x:f>
        <x:v>0</x:v>
      </x:c>
      <x:c r="I3122">
        <x:f t="shared" ref="I3122:I3181" si="52">ROUND(1.2*10*3.5*(C3122-1)^1.8+60,-1)</x:f>
        <x:v>60</x:v>
      </x:c>
    </x:row>
    <x:row r="3123" spans="1:9" x14ac:dyDescent="0.15">
      <x:c r="A3123">
        <x:v>54153</x:v>
      </x:c>
      <x:c r="B3123">
        <x:v>2</x:v>
      </x:c>
      <x:c r="C3123">
        <x:v>2</x:v>
      </x:c>
      <x:c r="D3123">
        <x:f>ROUND($C3123*10*VLOOKUP($B3123,Sheet2!$J$5:$K$7,2,FALSE)*VLOOKUP(Sheet1!$A3123,Sheet2!$B$5:$H$29,3,FALSE),0)</x:f>
        <x:v>0</x:v>
      </x:c>
      <x:c r="E3123">
        <x:f>ROUND($C3123*10*VLOOKUP($B3123,Sheet2!$J$5:$K$7,2,FALSE)*VLOOKUP(Sheet1!$A3123,Sheet2!$B$5:$H$29,4,FALSE),0)</x:f>
        <x:v>0</x:v>
      </x:c>
      <x:c r="F3123">
        <x:f>ROUND($C3123*10*VLOOKUP($B3123,Sheet2!$J$5:$K$7,2,FALSE)*VLOOKUP(Sheet1!$A3123,Sheet2!$B$5:$H$29,5,FALSE),0)</x:f>
        <x:v>4</x:v>
      </x:c>
      <x:c r="G3123">
        <x:f>ROUND($C3123*10*VLOOKUP($B3123,Sheet2!$J$5:$K$7,2,FALSE)*VLOOKUP(Sheet1!$A3123,Sheet2!$B$5:$H$29,6,FALSE),0)</x:f>
        <x:v>12</x:v>
      </x:c>
      <x:c r="H3123">
        <x:f>ROUND($C3123*10*VLOOKUP($B3123,Sheet2!$J$5:$K$7,2,FALSE)*VLOOKUP(Sheet1!$A3123,Sheet2!$B$5:$H$29,7,FALSE),0)</x:f>
        <x:v>0</x:v>
      </x:c>
      <x:c r="I3123">
        <x:f t="shared" si="52"/>
        <x:v>100</x:v>
      </x:c>
    </x:row>
    <x:row r="3124" spans="1:9" x14ac:dyDescent="0.15">
      <x:c r="A3124">
        <x:v>54153</x:v>
      </x:c>
      <x:c r="B3124">
        <x:v>2</x:v>
      </x:c>
      <x:c r="C3124">
        <x:v>3</x:v>
      </x:c>
      <x:c r="D3124">
        <x:f>ROUND($C3124*10*VLOOKUP($B3124,Sheet2!$J$5:$K$7,2,FALSE)*VLOOKUP(Sheet1!$A3124,Sheet2!$B$5:$H$29,3,FALSE),0)</x:f>
        <x:v>0</x:v>
      </x:c>
      <x:c r="E3124">
        <x:f>ROUND($C3124*10*VLOOKUP($B3124,Sheet2!$J$5:$K$7,2,FALSE)*VLOOKUP(Sheet1!$A3124,Sheet2!$B$5:$H$29,4,FALSE),0)</x:f>
        <x:v>0</x:v>
      </x:c>
      <x:c r="F3124">
        <x:f>ROUND($C3124*10*VLOOKUP($B3124,Sheet2!$J$5:$K$7,2,FALSE)*VLOOKUP(Sheet1!$A3124,Sheet2!$B$5:$H$29,5,FALSE),0)</x:f>
        <x:v>6</x:v>
      </x:c>
      <x:c r="G3124">
        <x:f>ROUND($C3124*10*VLOOKUP($B3124,Sheet2!$J$5:$K$7,2,FALSE)*VLOOKUP(Sheet1!$A3124,Sheet2!$B$5:$H$29,6,FALSE),0)</x:f>
        <x:v>17</x:v>
      </x:c>
      <x:c r="H3124">
        <x:f>ROUND($C3124*10*VLOOKUP($B3124,Sheet2!$J$5:$K$7,2,FALSE)*VLOOKUP(Sheet1!$A3124,Sheet2!$B$5:$H$29,7,FALSE),0)</x:f>
        <x:v>0</x:v>
      </x:c>
      <x:c r="I3124">
        <x:f t="shared" si="52"/>
        <x:v>210</x:v>
      </x:c>
    </x:row>
    <x:row r="3125" spans="1:9" x14ac:dyDescent="0.15">
      <x:c r="A3125">
        <x:v>54153</x:v>
      </x:c>
      <x:c r="B3125">
        <x:v>2</x:v>
      </x:c>
      <x:c r="C3125">
        <x:v>4</x:v>
      </x:c>
      <x:c r="D3125">
        <x:f>ROUND($C3125*10*VLOOKUP($B3125,Sheet2!$J$5:$K$7,2,FALSE)*VLOOKUP(Sheet1!$A3125,Sheet2!$B$5:$H$29,3,FALSE),0)</x:f>
        <x:v>0</x:v>
      </x:c>
      <x:c r="E3125">
        <x:f>ROUND($C3125*10*VLOOKUP($B3125,Sheet2!$J$5:$K$7,2,FALSE)*VLOOKUP(Sheet1!$A3125,Sheet2!$B$5:$H$29,4,FALSE),0)</x:f>
        <x:v>0</x:v>
      </x:c>
      <x:c r="F3125">
        <x:f>ROUND($C3125*10*VLOOKUP($B3125,Sheet2!$J$5:$K$7,2,FALSE)*VLOOKUP(Sheet1!$A3125,Sheet2!$B$5:$H$29,5,FALSE),0)</x:f>
        <x:v>8</x:v>
      </x:c>
      <x:c r="G3125">
        <x:f>ROUND($C3125*10*VLOOKUP($B3125,Sheet2!$J$5:$K$7,2,FALSE)*VLOOKUP(Sheet1!$A3125,Sheet2!$B$5:$H$29,6,FALSE),0)</x:f>
        <x:v>23</x:v>
      </x:c>
      <x:c r="H3125">
        <x:f>ROUND($C3125*10*VLOOKUP($B3125,Sheet2!$J$5:$K$7,2,FALSE)*VLOOKUP(Sheet1!$A3125,Sheet2!$B$5:$H$29,7,FALSE),0)</x:f>
        <x:v>0</x:v>
      </x:c>
      <x:c r="I3125">
        <x:f t="shared" si="52"/>
        <x:v>360</x:v>
      </x:c>
    </x:row>
    <x:row r="3126" spans="1:9" x14ac:dyDescent="0.15">
      <x:c r="A3126">
        <x:v>54153</x:v>
      </x:c>
      <x:c r="B3126">
        <x:v>2</x:v>
      </x:c>
      <x:c r="C3126">
        <x:v>5</x:v>
      </x:c>
      <x:c r="D3126">
        <x:f>ROUND($C3126*10*VLOOKUP($B3126,Sheet2!$J$5:$K$7,2,FALSE)*VLOOKUP(Sheet1!$A3126,Sheet2!$B$5:$H$29,3,FALSE),0)</x:f>
        <x:v>0</x:v>
      </x:c>
      <x:c r="E3126">
        <x:f>ROUND($C3126*10*VLOOKUP($B3126,Sheet2!$J$5:$K$7,2,FALSE)*VLOOKUP(Sheet1!$A3126,Sheet2!$B$5:$H$29,4,FALSE),0)</x:f>
        <x:v>0</x:v>
      </x:c>
      <x:c r="F3126">
        <x:f>ROUND($C3126*10*VLOOKUP($B3126,Sheet2!$J$5:$K$7,2,FALSE)*VLOOKUP(Sheet1!$A3126,Sheet2!$B$5:$H$29,5,FALSE),0)</x:f>
        <x:v>10</x:v>
      </x:c>
      <x:c r="G3126">
        <x:f>ROUND($C3126*10*VLOOKUP($B3126,Sheet2!$J$5:$K$7,2,FALSE)*VLOOKUP(Sheet1!$A3126,Sheet2!$B$5:$H$29,6,FALSE),0)</x:f>
        <x:v>29</x:v>
      </x:c>
      <x:c r="H3126">
        <x:f>ROUND($C3126*10*VLOOKUP($B3126,Sheet2!$J$5:$K$7,2,FALSE)*VLOOKUP(Sheet1!$A3126,Sheet2!$B$5:$H$29,7,FALSE),0)</x:f>
        <x:v>0</x:v>
      </x:c>
      <x:c r="I3126">
        <x:f t="shared" si="52"/>
        <x:v>570</x:v>
      </x:c>
    </x:row>
    <x:row r="3127" spans="1:9" x14ac:dyDescent="0.15">
      <x:c r="A3127">
        <x:v>54153</x:v>
      </x:c>
      <x:c r="B3127">
        <x:v>2</x:v>
      </x:c>
      <x:c r="C3127">
        <x:v>6</x:v>
      </x:c>
      <x:c r="D3127">
        <x:f>ROUND($C3127*10*VLOOKUP($B3127,Sheet2!$J$5:$K$7,2,FALSE)*VLOOKUP(Sheet1!$A3127,Sheet2!$B$5:$H$29,3,FALSE),0)</x:f>
        <x:v>0</x:v>
      </x:c>
      <x:c r="E3127">
        <x:f>ROUND($C3127*10*VLOOKUP($B3127,Sheet2!$J$5:$K$7,2,FALSE)*VLOOKUP(Sheet1!$A3127,Sheet2!$B$5:$H$29,4,FALSE),0)</x:f>
        <x:v>0</x:v>
      </x:c>
      <x:c r="F3127">
        <x:f>ROUND($C3127*10*VLOOKUP($B3127,Sheet2!$J$5:$K$7,2,FALSE)*VLOOKUP(Sheet1!$A3127,Sheet2!$B$5:$H$29,5,FALSE),0)</x:f>
        <x:v>12</x:v>
      </x:c>
      <x:c r="G3127">
        <x:f>ROUND($C3127*10*VLOOKUP($B3127,Sheet2!$J$5:$K$7,2,FALSE)*VLOOKUP(Sheet1!$A3127,Sheet2!$B$5:$H$29,6,FALSE),0)</x:f>
        <x:v>35</x:v>
      </x:c>
      <x:c r="H3127">
        <x:f>ROUND($C3127*10*VLOOKUP($B3127,Sheet2!$J$5:$K$7,2,FALSE)*VLOOKUP(Sheet1!$A3127,Sheet2!$B$5:$H$29,7,FALSE),0)</x:f>
        <x:v>0</x:v>
      </x:c>
      <x:c r="I3127">
        <x:f t="shared" si="52"/>
        <x:v>820</x:v>
      </x:c>
    </x:row>
    <x:row r="3128" spans="1:9" x14ac:dyDescent="0.15">
      <x:c r="A3128">
        <x:v>54153</x:v>
      </x:c>
      <x:c r="B3128">
        <x:v>2</x:v>
      </x:c>
      <x:c r="C3128">
        <x:v>7</x:v>
      </x:c>
      <x:c r="D3128">
        <x:f>ROUND($C3128*10*VLOOKUP($B3128,Sheet2!$J$5:$K$7,2,FALSE)*VLOOKUP(Sheet1!$A3128,Sheet2!$B$5:$H$29,3,FALSE),0)</x:f>
        <x:v>0</x:v>
      </x:c>
      <x:c r="E3128">
        <x:f>ROUND($C3128*10*VLOOKUP($B3128,Sheet2!$J$5:$K$7,2,FALSE)*VLOOKUP(Sheet1!$A3128,Sheet2!$B$5:$H$29,4,FALSE),0)</x:f>
        <x:v>0</x:v>
      </x:c>
      <x:c r="F3128">
        <x:f>ROUND($C3128*10*VLOOKUP($B3128,Sheet2!$J$5:$K$7,2,FALSE)*VLOOKUP(Sheet1!$A3128,Sheet2!$B$5:$H$29,5,FALSE),0)</x:f>
        <x:v>13</x:v>
      </x:c>
      <x:c r="G3128">
        <x:f>ROUND($C3128*10*VLOOKUP($B3128,Sheet2!$J$5:$K$7,2,FALSE)*VLOOKUP(Sheet1!$A3128,Sheet2!$B$5:$H$29,6,FALSE),0)</x:f>
        <x:v>40</x:v>
      </x:c>
      <x:c r="H3128">
        <x:f>ROUND($C3128*10*VLOOKUP($B3128,Sheet2!$J$5:$K$7,2,FALSE)*VLOOKUP(Sheet1!$A3128,Sheet2!$B$5:$H$29,7,FALSE),0)</x:f>
        <x:v>0</x:v>
      </x:c>
      <x:c r="I3128">
        <x:f t="shared" si="52"/>
        <x:v>1120</x:v>
      </x:c>
    </x:row>
    <x:row r="3129" spans="1:9" x14ac:dyDescent="0.15">
      <x:c r="A3129">
        <x:v>54153</x:v>
      </x:c>
      <x:c r="B3129">
        <x:v>2</x:v>
      </x:c>
      <x:c r="C3129">
        <x:v>8</x:v>
      </x:c>
      <x:c r="D3129">
        <x:f>ROUND($C3129*10*VLOOKUP($B3129,Sheet2!$J$5:$K$7,2,FALSE)*VLOOKUP(Sheet1!$A3129,Sheet2!$B$5:$H$29,3,FALSE),0)</x:f>
        <x:v>0</x:v>
      </x:c>
      <x:c r="E3129">
        <x:f>ROUND($C3129*10*VLOOKUP($B3129,Sheet2!$J$5:$K$7,2,FALSE)*VLOOKUP(Sheet1!$A3129,Sheet2!$B$5:$H$29,4,FALSE),0)</x:f>
        <x:v>0</x:v>
      </x:c>
      <x:c r="F3129">
        <x:f>ROUND($C3129*10*VLOOKUP($B3129,Sheet2!$J$5:$K$7,2,FALSE)*VLOOKUP(Sheet1!$A3129,Sheet2!$B$5:$H$29,5,FALSE),0)</x:f>
        <x:v>15</x:v>
      </x:c>
      <x:c r="G3129">
        <x:f>ROUND($C3129*10*VLOOKUP($B3129,Sheet2!$J$5:$K$7,2,FALSE)*VLOOKUP(Sheet1!$A3129,Sheet2!$B$5:$H$29,6,FALSE),0)</x:f>
        <x:v>46</x:v>
      </x:c>
      <x:c r="H3129">
        <x:f>ROUND($C3129*10*VLOOKUP($B3129,Sheet2!$J$5:$K$7,2,FALSE)*VLOOKUP(Sheet1!$A3129,Sheet2!$B$5:$H$29,7,FALSE),0)</x:f>
        <x:v>0</x:v>
      </x:c>
      <x:c r="I3129">
        <x:f t="shared" si="52"/>
        <x:v>1450</x:v>
      </x:c>
    </x:row>
    <x:row r="3130" spans="1:9" x14ac:dyDescent="0.15">
      <x:c r="A3130">
        <x:v>54153</x:v>
      </x:c>
      <x:c r="B3130">
        <x:v>2</x:v>
      </x:c>
      <x:c r="C3130">
        <x:v>9</x:v>
      </x:c>
      <x:c r="D3130">
        <x:f>ROUND($C3130*10*VLOOKUP($B3130,Sheet2!$J$5:$K$7,2,FALSE)*VLOOKUP(Sheet1!$A3130,Sheet2!$B$5:$H$29,3,FALSE),0)</x:f>
        <x:v>0</x:v>
      </x:c>
      <x:c r="E3130">
        <x:f>ROUND($C3130*10*VLOOKUP($B3130,Sheet2!$J$5:$K$7,2,FALSE)*VLOOKUP(Sheet1!$A3130,Sheet2!$B$5:$H$29,4,FALSE),0)</x:f>
        <x:v>0</x:v>
      </x:c>
      <x:c r="F3130">
        <x:f>ROUND($C3130*10*VLOOKUP($B3130,Sheet2!$J$5:$K$7,2,FALSE)*VLOOKUP(Sheet1!$A3130,Sheet2!$B$5:$H$29,5,FALSE),0)</x:f>
        <x:v>17</x:v>
      </x:c>
      <x:c r="G3130">
        <x:f>ROUND($C3130*10*VLOOKUP($B3130,Sheet2!$J$5:$K$7,2,FALSE)*VLOOKUP(Sheet1!$A3130,Sheet2!$B$5:$H$29,6,FALSE),0)</x:f>
        <x:v>52</x:v>
      </x:c>
      <x:c r="H3130">
        <x:f>ROUND($C3130*10*VLOOKUP($B3130,Sheet2!$J$5:$K$7,2,FALSE)*VLOOKUP(Sheet1!$A3130,Sheet2!$B$5:$H$29,7,FALSE),0)</x:f>
        <x:v>0</x:v>
      </x:c>
      <x:c r="I3130">
        <x:f t="shared" si="52"/>
        <x:v>1830</x:v>
      </x:c>
    </x:row>
    <x:row r="3131" spans="1:9" x14ac:dyDescent="0.15">
      <x:c r="A3131">
        <x:v>54153</x:v>
      </x:c>
      <x:c r="B3131">
        <x:v>2</x:v>
      </x:c>
      <x:c r="C3131">
        <x:v>10</x:v>
      </x:c>
      <x:c r="D3131">
        <x:f>ROUND($C3131*10*VLOOKUP($B3131,Sheet2!$J$5:$K$7,2,FALSE)*VLOOKUP(Sheet1!$A3131,Sheet2!$B$5:$H$29,3,FALSE),0)</x:f>
        <x:v>0</x:v>
      </x:c>
      <x:c r="E3131">
        <x:f>ROUND($C3131*10*VLOOKUP($B3131,Sheet2!$J$5:$K$7,2,FALSE)*VLOOKUP(Sheet1!$A3131,Sheet2!$B$5:$H$29,4,FALSE),0)</x:f>
        <x:v>0</x:v>
      </x:c>
      <x:c r="F3131">
        <x:f>ROUND($C3131*10*VLOOKUP($B3131,Sheet2!$J$5:$K$7,2,FALSE)*VLOOKUP(Sheet1!$A3131,Sheet2!$B$5:$H$29,5,FALSE),0)</x:f>
        <x:v>19</x:v>
      </x:c>
      <x:c r="G3131">
        <x:f>ROUND($C3131*10*VLOOKUP($B3131,Sheet2!$J$5:$K$7,2,FALSE)*VLOOKUP(Sheet1!$A3131,Sheet2!$B$5:$H$29,6,FALSE),0)</x:f>
        <x:v>58</x:v>
      </x:c>
      <x:c r="H3131">
        <x:f>ROUND($C3131*10*VLOOKUP($B3131,Sheet2!$J$5:$K$7,2,FALSE)*VLOOKUP(Sheet1!$A3131,Sheet2!$B$5:$H$29,7,FALSE),0)</x:f>
        <x:v>0</x:v>
      </x:c>
      <x:c r="I3131">
        <x:f t="shared" si="52"/>
        <x:v>2250</x:v>
      </x:c>
    </x:row>
    <x:row r="3132" spans="1:9" x14ac:dyDescent="0.15">
      <x:c r="A3132">
        <x:v>54153</x:v>
      </x:c>
      <x:c r="B3132">
        <x:v>2</x:v>
      </x:c>
      <x:c r="C3132">
        <x:v>11</x:v>
      </x:c>
      <x:c r="D3132">
        <x:f>ROUND($C3132*10*VLOOKUP($B3132,Sheet2!$J$5:$K$7,2,FALSE)*VLOOKUP(Sheet1!$A3132,Sheet2!$B$5:$H$29,3,FALSE),0)</x:f>
        <x:v>0</x:v>
      </x:c>
      <x:c r="E3132">
        <x:f>ROUND($C3132*10*VLOOKUP($B3132,Sheet2!$J$5:$K$7,2,FALSE)*VLOOKUP(Sheet1!$A3132,Sheet2!$B$5:$H$29,4,FALSE),0)</x:f>
        <x:v>0</x:v>
      </x:c>
      <x:c r="F3132">
        <x:f>ROUND($C3132*10*VLOOKUP($B3132,Sheet2!$J$5:$K$7,2,FALSE)*VLOOKUP(Sheet1!$A3132,Sheet2!$B$5:$H$29,5,FALSE),0)</x:f>
        <x:v>21</x:v>
      </x:c>
      <x:c r="G3132">
        <x:f>ROUND($C3132*10*VLOOKUP($B3132,Sheet2!$J$5:$K$7,2,FALSE)*VLOOKUP(Sheet1!$A3132,Sheet2!$B$5:$H$29,6,FALSE),0)</x:f>
        <x:v>63</x:v>
      </x:c>
      <x:c r="H3132">
        <x:f>ROUND($C3132*10*VLOOKUP($B3132,Sheet2!$J$5:$K$7,2,FALSE)*VLOOKUP(Sheet1!$A3132,Sheet2!$B$5:$H$29,7,FALSE),0)</x:f>
        <x:v>0</x:v>
      </x:c>
      <x:c r="I3132">
        <x:f t="shared" si="52"/>
        <x:v>2710</x:v>
      </x:c>
    </x:row>
    <x:row r="3133" spans="1:9" x14ac:dyDescent="0.15">
      <x:c r="A3133">
        <x:v>54153</x:v>
      </x:c>
      <x:c r="B3133">
        <x:v>2</x:v>
      </x:c>
      <x:c r="C3133">
        <x:v>12</x:v>
      </x:c>
      <x:c r="D3133">
        <x:f>ROUND($C3133*10*VLOOKUP($B3133,Sheet2!$J$5:$K$7,2,FALSE)*VLOOKUP(Sheet1!$A3133,Sheet2!$B$5:$H$29,3,FALSE),0)</x:f>
        <x:v>0</x:v>
      </x:c>
      <x:c r="E3133">
        <x:f>ROUND($C3133*10*VLOOKUP($B3133,Sheet2!$J$5:$K$7,2,FALSE)*VLOOKUP(Sheet1!$A3133,Sheet2!$B$5:$H$29,4,FALSE),0)</x:f>
        <x:v>0</x:v>
      </x:c>
      <x:c r="F3133">
        <x:f>ROUND($C3133*10*VLOOKUP($B3133,Sheet2!$J$5:$K$7,2,FALSE)*VLOOKUP(Sheet1!$A3133,Sheet2!$B$5:$H$29,5,FALSE),0)</x:f>
        <x:v>23</x:v>
      </x:c>
      <x:c r="G3133">
        <x:f>ROUND($C3133*10*VLOOKUP($B3133,Sheet2!$J$5:$K$7,2,FALSE)*VLOOKUP(Sheet1!$A3133,Sheet2!$B$5:$H$29,6,FALSE),0)</x:f>
        <x:v>69</x:v>
      </x:c>
      <x:c r="H3133">
        <x:f>ROUND($C3133*10*VLOOKUP($B3133,Sheet2!$J$5:$K$7,2,FALSE)*VLOOKUP(Sheet1!$A3133,Sheet2!$B$5:$H$29,7,FALSE),0)</x:f>
        <x:v>0</x:v>
      </x:c>
      <x:c r="I3133">
        <x:f t="shared" si="52"/>
        <x:v>3210</x:v>
      </x:c>
    </x:row>
    <x:row r="3134" spans="1:9" x14ac:dyDescent="0.15">
      <x:c r="A3134">
        <x:v>54153</x:v>
      </x:c>
      <x:c r="B3134">
        <x:v>2</x:v>
      </x:c>
      <x:c r="C3134">
        <x:v>13</x:v>
      </x:c>
      <x:c r="D3134">
        <x:f>ROUND($C3134*10*VLOOKUP($B3134,Sheet2!$J$5:$K$7,2,FALSE)*VLOOKUP(Sheet1!$A3134,Sheet2!$B$5:$H$29,3,FALSE),0)</x:f>
        <x:v>0</x:v>
      </x:c>
      <x:c r="E3134">
        <x:f>ROUND($C3134*10*VLOOKUP($B3134,Sheet2!$J$5:$K$7,2,FALSE)*VLOOKUP(Sheet1!$A3134,Sheet2!$B$5:$H$29,4,FALSE),0)</x:f>
        <x:v>0</x:v>
      </x:c>
      <x:c r="F3134">
        <x:f>ROUND($C3134*10*VLOOKUP($B3134,Sheet2!$J$5:$K$7,2,FALSE)*VLOOKUP(Sheet1!$A3134,Sheet2!$B$5:$H$29,5,FALSE),0)</x:f>
        <x:v>25</x:v>
      </x:c>
      <x:c r="G3134">
        <x:f>ROUND($C3134*10*VLOOKUP($B3134,Sheet2!$J$5:$K$7,2,FALSE)*VLOOKUP(Sheet1!$A3134,Sheet2!$B$5:$H$29,6,FALSE),0)</x:f>
        <x:v>75</x:v>
      </x:c>
      <x:c r="H3134">
        <x:f>ROUND($C3134*10*VLOOKUP($B3134,Sheet2!$J$5:$K$7,2,FALSE)*VLOOKUP(Sheet1!$A3134,Sheet2!$B$5:$H$29,7,FALSE),0)</x:f>
        <x:v>0</x:v>
      </x:c>
      <x:c r="I3134">
        <x:f t="shared" si="52"/>
        <x:v>3740</x:v>
      </x:c>
    </x:row>
    <x:row r="3135" spans="1:9" x14ac:dyDescent="0.15">
      <x:c r="A3135">
        <x:v>54153</x:v>
      </x:c>
      <x:c r="B3135">
        <x:v>2</x:v>
      </x:c>
      <x:c r="C3135">
        <x:v>14</x:v>
      </x:c>
      <x:c r="D3135">
        <x:f>ROUND($C3135*10*VLOOKUP($B3135,Sheet2!$J$5:$K$7,2,FALSE)*VLOOKUP(Sheet1!$A3135,Sheet2!$B$5:$H$29,3,FALSE),0)</x:f>
        <x:v>0</x:v>
      </x:c>
      <x:c r="E3135">
        <x:f>ROUND($C3135*10*VLOOKUP($B3135,Sheet2!$J$5:$K$7,2,FALSE)*VLOOKUP(Sheet1!$A3135,Sheet2!$B$5:$H$29,4,FALSE),0)</x:f>
        <x:v>0</x:v>
      </x:c>
      <x:c r="F3135">
        <x:f>ROUND($C3135*10*VLOOKUP($B3135,Sheet2!$J$5:$K$7,2,FALSE)*VLOOKUP(Sheet1!$A3135,Sheet2!$B$5:$H$29,5,FALSE),0)</x:f>
        <x:v>27</x:v>
      </x:c>
      <x:c r="G3135">
        <x:f>ROUND($C3135*10*VLOOKUP($B3135,Sheet2!$J$5:$K$7,2,FALSE)*VLOOKUP(Sheet1!$A3135,Sheet2!$B$5:$H$29,6,FALSE),0)</x:f>
        <x:v>81</x:v>
      </x:c>
      <x:c r="H3135">
        <x:f>ROUND($C3135*10*VLOOKUP($B3135,Sheet2!$J$5:$K$7,2,FALSE)*VLOOKUP(Sheet1!$A3135,Sheet2!$B$5:$H$29,7,FALSE),0)</x:f>
        <x:v>0</x:v>
      </x:c>
      <x:c r="I3135">
        <x:f t="shared" si="52"/>
        <x:v>4310</x:v>
      </x:c>
    </x:row>
    <x:row r="3136" spans="1:9" x14ac:dyDescent="0.15">
      <x:c r="A3136">
        <x:v>54153</x:v>
      </x:c>
      <x:c r="B3136">
        <x:v>2</x:v>
      </x:c>
      <x:c r="C3136">
        <x:v>15</x:v>
      </x:c>
      <x:c r="D3136">
        <x:f>ROUND($C3136*10*VLOOKUP($B3136,Sheet2!$J$5:$K$7,2,FALSE)*VLOOKUP(Sheet1!$A3136,Sheet2!$B$5:$H$29,3,FALSE),0)</x:f>
        <x:v>0</x:v>
      </x:c>
      <x:c r="E3136">
        <x:f>ROUND($C3136*10*VLOOKUP($B3136,Sheet2!$J$5:$K$7,2,FALSE)*VLOOKUP(Sheet1!$A3136,Sheet2!$B$5:$H$29,4,FALSE),0)</x:f>
        <x:v>0</x:v>
      </x:c>
      <x:c r="F3136">
        <x:f>ROUND($C3136*10*VLOOKUP($B3136,Sheet2!$J$5:$K$7,2,FALSE)*VLOOKUP(Sheet1!$A3136,Sheet2!$B$5:$H$29,5,FALSE),0)</x:f>
        <x:v>29</x:v>
      </x:c>
      <x:c r="G3136">
        <x:f>ROUND($C3136*10*VLOOKUP($B3136,Sheet2!$J$5:$K$7,2,FALSE)*VLOOKUP(Sheet1!$A3136,Sheet2!$B$5:$H$29,6,FALSE),0)</x:f>
        <x:v>86</x:v>
      </x:c>
      <x:c r="H3136">
        <x:f>ROUND($C3136*10*VLOOKUP($B3136,Sheet2!$J$5:$K$7,2,FALSE)*VLOOKUP(Sheet1!$A3136,Sheet2!$B$5:$H$29,7,FALSE),0)</x:f>
        <x:v>0</x:v>
      </x:c>
      <x:c r="I3136">
        <x:f t="shared" si="52"/>
        <x:v>4920</x:v>
      </x:c>
    </x:row>
    <x:row r="3137" spans="1:9" x14ac:dyDescent="0.15">
      <x:c r="A3137">
        <x:v>54153</x:v>
      </x:c>
      <x:c r="B3137">
        <x:v>2</x:v>
      </x:c>
      <x:c r="C3137">
        <x:v>16</x:v>
      </x:c>
      <x:c r="D3137">
        <x:f>ROUND($C3137*10*VLOOKUP($B3137,Sheet2!$J$5:$K$7,2,FALSE)*VLOOKUP(Sheet1!$A3137,Sheet2!$B$5:$H$29,3,FALSE),0)</x:f>
        <x:v>0</x:v>
      </x:c>
      <x:c r="E3137">
        <x:f>ROUND($C3137*10*VLOOKUP($B3137,Sheet2!$J$5:$K$7,2,FALSE)*VLOOKUP(Sheet1!$A3137,Sheet2!$B$5:$H$29,4,FALSE),0)</x:f>
        <x:v>0</x:v>
      </x:c>
      <x:c r="F3137">
        <x:f>ROUND($C3137*10*VLOOKUP($B3137,Sheet2!$J$5:$K$7,2,FALSE)*VLOOKUP(Sheet1!$A3137,Sheet2!$B$5:$H$29,5,FALSE),0)</x:f>
        <x:v>31</x:v>
      </x:c>
      <x:c r="G3137">
        <x:f>ROUND($C3137*10*VLOOKUP($B3137,Sheet2!$J$5:$K$7,2,FALSE)*VLOOKUP(Sheet1!$A3137,Sheet2!$B$5:$H$29,6,FALSE),0)</x:f>
        <x:v>92</x:v>
      </x:c>
      <x:c r="H3137">
        <x:f>ROUND($C3137*10*VLOOKUP($B3137,Sheet2!$J$5:$K$7,2,FALSE)*VLOOKUP(Sheet1!$A3137,Sheet2!$B$5:$H$29,7,FALSE),0)</x:f>
        <x:v>0</x:v>
      </x:c>
      <x:c r="I3137">
        <x:f t="shared" si="52"/>
        <x:v>5560</x:v>
      </x:c>
    </x:row>
    <x:row r="3138" spans="1:9" x14ac:dyDescent="0.15">
      <x:c r="A3138">
        <x:v>54153</x:v>
      </x:c>
      <x:c r="B3138">
        <x:v>2</x:v>
      </x:c>
      <x:c r="C3138">
        <x:v>17</x:v>
      </x:c>
      <x:c r="D3138">
        <x:f>ROUND($C3138*10*VLOOKUP($B3138,Sheet2!$J$5:$K$7,2,FALSE)*VLOOKUP(Sheet1!$A3138,Sheet2!$B$5:$H$29,3,FALSE),0)</x:f>
        <x:v>0</x:v>
      </x:c>
      <x:c r="E3138">
        <x:f>ROUND($C3138*10*VLOOKUP($B3138,Sheet2!$J$5:$K$7,2,FALSE)*VLOOKUP(Sheet1!$A3138,Sheet2!$B$5:$H$29,4,FALSE),0)</x:f>
        <x:v>0</x:v>
      </x:c>
      <x:c r="F3138">
        <x:f>ROUND($C3138*10*VLOOKUP($B3138,Sheet2!$J$5:$K$7,2,FALSE)*VLOOKUP(Sheet1!$A3138,Sheet2!$B$5:$H$29,5,FALSE),0)</x:f>
        <x:v>33</x:v>
      </x:c>
      <x:c r="G3138">
        <x:f>ROUND($C3138*10*VLOOKUP($B3138,Sheet2!$J$5:$K$7,2,FALSE)*VLOOKUP(Sheet1!$A3138,Sheet2!$B$5:$H$29,6,FALSE),0)</x:f>
        <x:v>98</x:v>
      </x:c>
      <x:c r="H3138">
        <x:f>ROUND($C3138*10*VLOOKUP($B3138,Sheet2!$J$5:$K$7,2,FALSE)*VLOOKUP(Sheet1!$A3138,Sheet2!$B$5:$H$29,7,FALSE),0)</x:f>
        <x:v>0</x:v>
      </x:c>
      <x:c r="I3138">
        <x:f t="shared" si="52"/>
        <x:v>6240</x:v>
      </x:c>
    </x:row>
    <x:row r="3139" spans="1:9" x14ac:dyDescent="0.15">
      <x:c r="A3139">
        <x:v>54153</x:v>
      </x:c>
      <x:c r="B3139">
        <x:v>2</x:v>
      </x:c>
      <x:c r="C3139">
        <x:v>18</x:v>
      </x:c>
      <x:c r="D3139">
        <x:f>ROUND($C3139*10*VLOOKUP($B3139,Sheet2!$J$5:$K$7,2,FALSE)*VLOOKUP(Sheet1!$A3139,Sheet2!$B$5:$H$29,3,FALSE),0)</x:f>
        <x:v>0</x:v>
      </x:c>
      <x:c r="E3139">
        <x:f>ROUND($C3139*10*VLOOKUP($B3139,Sheet2!$J$5:$K$7,2,FALSE)*VLOOKUP(Sheet1!$A3139,Sheet2!$B$5:$H$29,4,FALSE),0)</x:f>
        <x:v>0</x:v>
      </x:c>
      <x:c r="F3139">
        <x:f>ROUND($C3139*10*VLOOKUP($B3139,Sheet2!$J$5:$K$7,2,FALSE)*VLOOKUP(Sheet1!$A3139,Sheet2!$B$5:$H$29,5,FALSE),0)</x:f>
        <x:v>35</x:v>
      </x:c>
      <x:c r="G3139">
        <x:f>ROUND($C3139*10*VLOOKUP($B3139,Sheet2!$J$5:$K$7,2,FALSE)*VLOOKUP(Sheet1!$A3139,Sheet2!$B$5:$H$29,6,FALSE),0)</x:f>
        <x:v>104</x:v>
      </x:c>
      <x:c r="H3139">
        <x:f>ROUND($C3139*10*VLOOKUP($B3139,Sheet2!$J$5:$K$7,2,FALSE)*VLOOKUP(Sheet1!$A3139,Sheet2!$B$5:$H$29,7,FALSE),0)</x:f>
        <x:v>0</x:v>
      </x:c>
      <x:c r="I3139">
        <x:f t="shared" si="52"/>
        <x:v>6950</x:v>
      </x:c>
    </x:row>
    <x:row r="3140" spans="1:9" x14ac:dyDescent="0.15">
      <x:c r="A3140">
        <x:v>54153</x:v>
      </x:c>
      <x:c r="B3140">
        <x:v>2</x:v>
      </x:c>
      <x:c r="C3140">
        <x:v>19</x:v>
      </x:c>
      <x:c r="D3140">
        <x:f>ROUND($C3140*10*VLOOKUP($B3140,Sheet2!$J$5:$K$7,2,FALSE)*VLOOKUP(Sheet1!$A3140,Sheet2!$B$5:$H$29,3,FALSE),0)</x:f>
        <x:v>0</x:v>
      </x:c>
      <x:c r="E3140">
        <x:f>ROUND($C3140*10*VLOOKUP($B3140,Sheet2!$J$5:$K$7,2,FALSE)*VLOOKUP(Sheet1!$A3140,Sheet2!$B$5:$H$29,4,FALSE),0)</x:f>
        <x:v>0</x:v>
      </x:c>
      <x:c r="F3140">
        <x:f>ROUND($C3140*10*VLOOKUP($B3140,Sheet2!$J$5:$K$7,2,FALSE)*VLOOKUP(Sheet1!$A3140,Sheet2!$B$5:$H$29,5,FALSE),0)</x:f>
        <x:v>36</x:v>
      </x:c>
      <x:c r="G3140">
        <x:f>ROUND($C3140*10*VLOOKUP($B3140,Sheet2!$J$5:$K$7,2,FALSE)*VLOOKUP(Sheet1!$A3140,Sheet2!$B$5:$H$29,6,FALSE),0)</x:f>
        <x:v>109</x:v>
      </x:c>
      <x:c r="H3140">
        <x:f>ROUND($C3140*10*VLOOKUP($B3140,Sheet2!$J$5:$K$7,2,FALSE)*VLOOKUP(Sheet1!$A3140,Sheet2!$B$5:$H$29,7,FALSE),0)</x:f>
        <x:v>0</x:v>
      </x:c>
      <x:c r="I3140">
        <x:f t="shared" si="52"/>
        <x:v>7690</x:v>
      </x:c>
    </x:row>
    <x:row r="3141" spans="1:9" x14ac:dyDescent="0.15">
      <x:c r="A3141">
        <x:v>54153</x:v>
      </x:c>
      <x:c r="B3141">
        <x:v>2</x:v>
      </x:c>
      <x:c r="C3141">
        <x:v>20</x:v>
      </x:c>
      <x:c r="D3141">
        <x:f>ROUND($C3141*10*VLOOKUP($B3141,Sheet2!$J$5:$K$7,2,FALSE)*VLOOKUP(Sheet1!$A3141,Sheet2!$B$5:$H$29,3,FALSE),0)</x:f>
        <x:v>0</x:v>
      </x:c>
      <x:c r="E3141">
        <x:f>ROUND($C3141*10*VLOOKUP($B3141,Sheet2!$J$5:$K$7,2,FALSE)*VLOOKUP(Sheet1!$A3141,Sheet2!$B$5:$H$29,4,FALSE),0)</x:f>
        <x:v>0</x:v>
      </x:c>
      <x:c r="F3141">
        <x:f>ROUND($C3141*10*VLOOKUP($B3141,Sheet2!$J$5:$K$7,2,FALSE)*VLOOKUP(Sheet1!$A3141,Sheet2!$B$5:$H$29,5,FALSE),0)</x:f>
        <x:v>38</x:v>
      </x:c>
      <x:c r="G3141">
        <x:f>ROUND($C3141*10*VLOOKUP($B3141,Sheet2!$J$5:$K$7,2,FALSE)*VLOOKUP(Sheet1!$A3141,Sheet2!$B$5:$H$29,6,FALSE),0)</x:f>
        <x:v>115</x:v>
      </x:c>
      <x:c r="H3141">
        <x:f>ROUND($C3141*10*VLOOKUP($B3141,Sheet2!$J$5:$K$7,2,FALSE)*VLOOKUP(Sheet1!$A3141,Sheet2!$B$5:$H$29,7,FALSE),0)</x:f>
        <x:v>0</x:v>
      </x:c>
      <x:c r="I3141">
        <x:f t="shared" si="52"/>
        <x:v>8470</x:v>
      </x:c>
    </x:row>
    <x:row r="3142" spans="1:9" x14ac:dyDescent="0.15">
      <x:c r="A3142">
        <x:v>54153</x:v>
      </x:c>
      <x:c r="B3142">
        <x:v>2</x:v>
      </x:c>
      <x:c r="C3142">
        <x:v>21</x:v>
      </x:c>
      <x:c r="D3142">
        <x:f>ROUND($C3142*10*VLOOKUP($B3142,Sheet2!$J$5:$K$7,2,FALSE)*VLOOKUP(Sheet1!$A3142,Sheet2!$B$5:$H$29,3,FALSE),0)</x:f>
        <x:v>0</x:v>
      </x:c>
      <x:c r="E3142">
        <x:f>ROUND($C3142*10*VLOOKUP($B3142,Sheet2!$J$5:$K$7,2,FALSE)*VLOOKUP(Sheet1!$A3142,Sheet2!$B$5:$H$29,4,FALSE),0)</x:f>
        <x:v>0</x:v>
      </x:c>
      <x:c r="F3142">
        <x:f>ROUND($C3142*10*VLOOKUP($B3142,Sheet2!$J$5:$K$7,2,FALSE)*VLOOKUP(Sheet1!$A3142,Sheet2!$B$5:$H$29,5,FALSE),0)</x:f>
        <x:v>40</x:v>
      </x:c>
      <x:c r="G3142">
        <x:f>ROUND($C3142*10*VLOOKUP($B3142,Sheet2!$J$5:$K$7,2,FALSE)*VLOOKUP(Sheet1!$A3142,Sheet2!$B$5:$H$29,6,FALSE),0)</x:f>
        <x:v>121</x:v>
      </x:c>
      <x:c r="H3142">
        <x:f>ROUND($C3142*10*VLOOKUP($B3142,Sheet2!$J$5:$K$7,2,FALSE)*VLOOKUP(Sheet1!$A3142,Sheet2!$B$5:$H$29,7,FALSE),0)</x:f>
        <x:v>0</x:v>
      </x:c>
      <x:c r="I3142">
        <x:f t="shared" si="52"/>
        <x:v>9290</x:v>
      </x:c>
    </x:row>
    <x:row r="3143" spans="1:9" x14ac:dyDescent="0.15">
      <x:c r="A3143">
        <x:v>54153</x:v>
      </x:c>
      <x:c r="B3143">
        <x:v>2</x:v>
      </x:c>
      <x:c r="C3143">
        <x:v>22</x:v>
      </x:c>
      <x:c r="D3143">
        <x:f>ROUND($C3143*10*VLOOKUP($B3143,Sheet2!$J$5:$K$7,2,FALSE)*VLOOKUP(Sheet1!$A3143,Sheet2!$B$5:$H$29,3,FALSE),0)</x:f>
        <x:v>0</x:v>
      </x:c>
      <x:c r="E3143">
        <x:f>ROUND($C3143*10*VLOOKUP($B3143,Sheet2!$J$5:$K$7,2,FALSE)*VLOOKUP(Sheet1!$A3143,Sheet2!$B$5:$H$29,4,FALSE),0)</x:f>
        <x:v>0</x:v>
      </x:c>
      <x:c r="F3143">
        <x:f>ROUND($C3143*10*VLOOKUP($B3143,Sheet2!$J$5:$K$7,2,FALSE)*VLOOKUP(Sheet1!$A3143,Sheet2!$B$5:$H$29,5,FALSE),0)</x:f>
        <x:v>42</x:v>
      </x:c>
      <x:c r="G3143">
        <x:f>ROUND($C3143*10*VLOOKUP($B3143,Sheet2!$J$5:$K$7,2,FALSE)*VLOOKUP(Sheet1!$A3143,Sheet2!$B$5:$H$29,6,FALSE),0)</x:f>
        <x:v>127</x:v>
      </x:c>
      <x:c r="H3143">
        <x:f>ROUND($C3143*10*VLOOKUP($B3143,Sheet2!$J$5:$K$7,2,FALSE)*VLOOKUP(Sheet1!$A3143,Sheet2!$B$5:$H$29,7,FALSE),0)</x:f>
        <x:v>0</x:v>
      </x:c>
      <x:c r="I3143">
        <x:f t="shared" si="52"/>
        <x:v>10130</x:v>
      </x:c>
    </x:row>
    <x:row r="3144" spans="1:9" x14ac:dyDescent="0.15">
      <x:c r="A3144">
        <x:v>54153</x:v>
      </x:c>
      <x:c r="B3144">
        <x:v>2</x:v>
      </x:c>
      <x:c r="C3144">
        <x:v>23</x:v>
      </x:c>
      <x:c r="D3144">
        <x:f>ROUND($C3144*10*VLOOKUP($B3144,Sheet2!$J$5:$K$7,2,FALSE)*VLOOKUP(Sheet1!$A3144,Sheet2!$B$5:$H$29,3,FALSE),0)</x:f>
        <x:v>0</x:v>
      </x:c>
      <x:c r="E3144">
        <x:f>ROUND($C3144*10*VLOOKUP($B3144,Sheet2!$J$5:$K$7,2,FALSE)*VLOOKUP(Sheet1!$A3144,Sheet2!$B$5:$H$29,4,FALSE),0)</x:f>
        <x:v>0</x:v>
      </x:c>
      <x:c r="F3144">
        <x:f>ROUND($C3144*10*VLOOKUP($B3144,Sheet2!$J$5:$K$7,2,FALSE)*VLOOKUP(Sheet1!$A3144,Sheet2!$B$5:$H$29,5,FALSE),0)</x:f>
        <x:v>44</x:v>
      </x:c>
      <x:c r="G3144">
        <x:f>ROUND($C3144*10*VLOOKUP($B3144,Sheet2!$J$5:$K$7,2,FALSE)*VLOOKUP(Sheet1!$A3144,Sheet2!$B$5:$H$29,6,FALSE),0)</x:f>
        <x:v>132</x:v>
      </x:c>
      <x:c r="H3144">
        <x:f>ROUND($C3144*10*VLOOKUP($B3144,Sheet2!$J$5:$K$7,2,FALSE)*VLOOKUP(Sheet1!$A3144,Sheet2!$B$5:$H$29,7,FALSE),0)</x:f>
        <x:v>0</x:v>
      </x:c>
      <x:c r="I3144">
        <x:f t="shared" si="52"/>
        <x:v>11010</x:v>
      </x:c>
    </x:row>
    <x:row r="3145" spans="1:9" x14ac:dyDescent="0.15">
      <x:c r="A3145">
        <x:v>54153</x:v>
      </x:c>
      <x:c r="B3145">
        <x:v>2</x:v>
      </x:c>
      <x:c r="C3145">
        <x:v>24</x:v>
      </x:c>
      <x:c r="D3145">
        <x:f>ROUND($C3145*10*VLOOKUP($B3145,Sheet2!$J$5:$K$7,2,FALSE)*VLOOKUP(Sheet1!$A3145,Sheet2!$B$5:$H$29,3,FALSE),0)</x:f>
        <x:v>0</x:v>
      </x:c>
      <x:c r="E3145">
        <x:f>ROUND($C3145*10*VLOOKUP($B3145,Sheet2!$J$5:$K$7,2,FALSE)*VLOOKUP(Sheet1!$A3145,Sheet2!$B$5:$H$29,4,FALSE),0)</x:f>
        <x:v>0</x:v>
      </x:c>
      <x:c r="F3145">
        <x:f>ROUND($C3145*10*VLOOKUP($B3145,Sheet2!$J$5:$K$7,2,FALSE)*VLOOKUP(Sheet1!$A3145,Sheet2!$B$5:$H$29,5,FALSE),0)</x:f>
        <x:v>46</x:v>
      </x:c>
      <x:c r="G3145">
        <x:f>ROUND($C3145*10*VLOOKUP($B3145,Sheet2!$J$5:$K$7,2,FALSE)*VLOOKUP(Sheet1!$A3145,Sheet2!$B$5:$H$29,6,FALSE),0)</x:f>
        <x:v>138</x:v>
      </x:c>
      <x:c r="H3145">
        <x:f>ROUND($C3145*10*VLOOKUP($B3145,Sheet2!$J$5:$K$7,2,FALSE)*VLOOKUP(Sheet1!$A3145,Sheet2!$B$5:$H$29,7,FALSE),0)</x:f>
        <x:v>0</x:v>
      </x:c>
      <x:c r="I3145">
        <x:f t="shared" si="52"/>
        <x:v>11930</x:v>
      </x:c>
    </x:row>
    <x:row r="3146" spans="1:9" x14ac:dyDescent="0.15">
      <x:c r="A3146">
        <x:v>54153</x:v>
      </x:c>
      <x:c r="B3146">
        <x:v>2</x:v>
      </x:c>
      <x:c r="C3146">
        <x:v>25</x:v>
      </x:c>
      <x:c r="D3146">
        <x:f>ROUND($C3146*10*VLOOKUP($B3146,Sheet2!$J$5:$K$7,2,FALSE)*VLOOKUP(Sheet1!$A3146,Sheet2!$B$5:$H$29,3,FALSE),0)</x:f>
        <x:v>0</x:v>
      </x:c>
      <x:c r="E3146">
        <x:f>ROUND($C3146*10*VLOOKUP($B3146,Sheet2!$J$5:$K$7,2,FALSE)*VLOOKUP(Sheet1!$A3146,Sheet2!$B$5:$H$29,4,FALSE),0)</x:f>
        <x:v>0</x:v>
      </x:c>
      <x:c r="F3146">
        <x:f>ROUND($C3146*10*VLOOKUP($B3146,Sheet2!$J$5:$K$7,2,FALSE)*VLOOKUP(Sheet1!$A3146,Sheet2!$B$5:$H$29,5,FALSE),0)</x:f>
        <x:v>48</x:v>
      </x:c>
      <x:c r="G3146">
        <x:f>ROUND($C3146*10*VLOOKUP($B3146,Sheet2!$J$5:$K$7,2,FALSE)*VLOOKUP(Sheet1!$A3146,Sheet2!$B$5:$H$29,6,FALSE),0)</x:f>
        <x:v>144</x:v>
      </x:c>
      <x:c r="H3146">
        <x:f>ROUND($C3146*10*VLOOKUP($B3146,Sheet2!$J$5:$K$7,2,FALSE)*VLOOKUP(Sheet1!$A3146,Sheet2!$B$5:$H$29,7,FALSE),0)</x:f>
        <x:v>0</x:v>
      </x:c>
      <x:c r="I3146">
        <x:f t="shared" si="52"/>
        <x:v>12870</x:v>
      </x:c>
    </x:row>
    <x:row r="3147" spans="1:9" x14ac:dyDescent="0.15">
      <x:c r="A3147">
        <x:v>54153</x:v>
      </x:c>
      <x:c r="B3147">
        <x:v>2</x:v>
      </x:c>
      <x:c r="C3147">
        <x:v>26</x:v>
      </x:c>
      <x:c r="D3147">
        <x:f>ROUND($C3147*10*VLOOKUP($B3147,Sheet2!$J$5:$K$7,2,FALSE)*VLOOKUP(Sheet1!$A3147,Sheet2!$B$5:$H$29,3,FALSE),0)</x:f>
        <x:v>0</x:v>
      </x:c>
      <x:c r="E3147">
        <x:f>ROUND($C3147*10*VLOOKUP($B3147,Sheet2!$J$5:$K$7,2,FALSE)*VLOOKUP(Sheet1!$A3147,Sheet2!$B$5:$H$29,4,FALSE),0)</x:f>
        <x:v>0</x:v>
      </x:c>
      <x:c r="F3147">
        <x:f>ROUND($C3147*10*VLOOKUP($B3147,Sheet2!$J$5:$K$7,2,FALSE)*VLOOKUP(Sheet1!$A3147,Sheet2!$B$5:$H$29,5,FALSE),0)</x:f>
        <x:v>50</x:v>
      </x:c>
      <x:c r="G3147">
        <x:f>ROUND($C3147*10*VLOOKUP($B3147,Sheet2!$J$5:$K$7,2,FALSE)*VLOOKUP(Sheet1!$A3147,Sheet2!$B$5:$H$29,6,FALSE),0)</x:f>
        <x:v>150</x:v>
      </x:c>
      <x:c r="H3147">
        <x:f>ROUND($C3147*10*VLOOKUP($B3147,Sheet2!$J$5:$K$7,2,FALSE)*VLOOKUP(Sheet1!$A3147,Sheet2!$B$5:$H$29,7,FALSE),0)</x:f>
        <x:v>0</x:v>
      </x:c>
      <x:c r="I3147">
        <x:f t="shared" si="52"/>
        <x:v>13850</x:v>
      </x:c>
    </x:row>
    <x:row r="3148" spans="1:9" x14ac:dyDescent="0.15">
      <x:c r="A3148">
        <x:v>54153</x:v>
      </x:c>
      <x:c r="B3148">
        <x:v>2</x:v>
      </x:c>
      <x:c r="C3148">
        <x:v>27</x:v>
      </x:c>
      <x:c r="D3148">
        <x:f>ROUND($C3148*10*VLOOKUP($B3148,Sheet2!$J$5:$K$7,2,FALSE)*VLOOKUP(Sheet1!$A3148,Sheet2!$B$5:$H$29,3,FALSE),0)</x:f>
        <x:v>0</x:v>
      </x:c>
      <x:c r="E3148">
        <x:f>ROUND($C3148*10*VLOOKUP($B3148,Sheet2!$J$5:$K$7,2,FALSE)*VLOOKUP(Sheet1!$A3148,Sheet2!$B$5:$H$29,4,FALSE),0)</x:f>
        <x:v>0</x:v>
      </x:c>
      <x:c r="F3148">
        <x:f>ROUND($C3148*10*VLOOKUP($B3148,Sheet2!$J$5:$K$7,2,FALSE)*VLOOKUP(Sheet1!$A3148,Sheet2!$B$5:$H$29,5,FALSE),0)</x:f>
        <x:v>52</x:v>
      </x:c>
      <x:c r="G3148">
        <x:f>ROUND($C3148*10*VLOOKUP($B3148,Sheet2!$J$5:$K$7,2,FALSE)*VLOOKUP(Sheet1!$A3148,Sheet2!$B$5:$H$29,6,FALSE),0)</x:f>
        <x:v>156</x:v>
      </x:c>
      <x:c r="H3148">
        <x:f>ROUND($C3148*10*VLOOKUP($B3148,Sheet2!$J$5:$K$7,2,FALSE)*VLOOKUP(Sheet1!$A3148,Sheet2!$B$5:$H$29,7,FALSE),0)</x:f>
        <x:v>0</x:v>
      </x:c>
      <x:c r="I3148">
        <x:f t="shared" si="52"/>
        <x:v>14860</x:v>
      </x:c>
    </x:row>
    <x:row r="3149" spans="1:9" x14ac:dyDescent="0.15">
      <x:c r="A3149">
        <x:v>54153</x:v>
      </x:c>
      <x:c r="B3149">
        <x:v>2</x:v>
      </x:c>
      <x:c r="C3149">
        <x:v>28</x:v>
      </x:c>
      <x:c r="D3149">
        <x:f>ROUND($C3149*10*VLOOKUP($B3149,Sheet2!$J$5:$K$7,2,FALSE)*VLOOKUP(Sheet1!$A3149,Sheet2!$B$5:$H$29,3,FALSE),0)</x:f>
        <x:v>0</x:v>
      </x:c>
      <x:c r="E3149">
        <x:f>ROUND($C3149*10*VLOOKUP($B3149,Sheet2!$J$5:$K$7,2,FALSE)*VLOOKUP(Sheet1!$A3149,Sheet2!$B$5:$H$29,4,FALSE),0)</x:f>
        <x:v>0</x:v>
      </x:c>
      <x:c r="F3149">
        <x:f>ROUND($C3149*10*VLOOKUP($B3149,Sheet2!$J$5:$K$7,2,FALSE)*VLOOKUP(Sheet1!$A3149,Sheet2!$B$5:$H$29,5,FALSE),0)</x:f>
        <x:v>54</x:v>
      </x:c>
      <x:c r="G3149">
        <x:f>ROUND($C3149*10*VLOOKUP($B3149,Sheet2!$J$5:$K$7,2,FALSE)*VLOOKUP(Sheet1!$A3149,Sheet2!$B$5:$H$29,6,FALSE),0)</x:f>
        <x:v>161</x:v>
      </x:c>
      <x:c r="H3149">
        <x:f>ROUND($C3149*10*VLOOKUP($B3149,Sheet2!$J$5:$K$7,2,FALSE)*VLOOKUP(Sheet1!$A3149,Sheet2!$B$5:$H$29,7,FALSE),0)</x:f>
        <x:v>0</x:v>
      </x:c>
      <x:c r="I3149">
        <x:f t="shared" si="52"/>
        <x:v>15900</x:v>
      </x:c>
    </x:row>
    <x:row r="3150" spans="1:9" x14ac:dyDescent="0.15">
      <x:c r="A3150">
        <x:v>54153</x:v>
      </x:c>
      <x:c r="B3150">
        <x:v>2</x:v>
      </x:c>
      <x:c r="C3150">
        <x:v>29</x:v>
      </x:c>
      <x:c r="D3150">
        <x:f>ROUND($C3150*10*VLOOKUP($B3150,Sheet2!$J$5:$K$7,2,FALSE)*VLOOKUP(Sheet1!$A3150,Sheet2!$B$5:$H$29,3,FALSE),0)</x:f>
        <x:v>0</x:v>
      </x:c>
      <x:c r="E3150">
        <x:f>ROUND($C3150*10*VLOOKUP($B3150,Sheet2!$J$5:$K$7,2,FALSE)*VLOOKUP(Sheet1!$A3150,Sheet2!$B$5:$H$29,4,FALSE),0)</x:f>
        <x:v>0</x:v>
      </x:c>
      <x:c r="F3150">
        <x:f>ROUND($C3150*10*VLOOKUP($B3150,Sheet2!$J$5:$K$7,2,FALSE)*VLOOKUP(Sheet1!$A3150,Sheet2!$B$5:$H$29,5,FALSE),0)</x:f>
        <x:v>56</x:v>
      </x:c>
      <x:c r="G3150">
        <x:f>ROUND($C3150*10*VLOOKUP($B3150,Sheet2!$J$5:$K$7,2,FALSE)*VLOOKUP(Sheet1!$A3150,Sheet2!$B$5:$H$29,6,FALSE),0)</x:f>
        <x:v>167</x:v>
      </x:c>
      <x:c r="H3150">
        <x:f>ROUND($C3150*10*VLOOKUP($B3150,Sheet2!$J$5:$K$7,2,FALSE)*VLOOKUP(Sheet1!$A3150,Sheet2!$B$5:$H$29,7,FALSE),0)</x:f>
        <x:v>0</x:v>
      </x:c>
      <x:c r="I3150">
        <x:f t="shared" si="52"/>
        <x:v>16970</x:v>
      </x:c>
    </x:row>
    <x:row r="3151" spans="1:9" x14ac:dyDescent="0.15">
      <x:c r="A3151">
        <x:v>54153</x:v>
      </x:c>
      <x:c r="B3151">
        <x:v>2</x:v>
      </x:c>
      <x:c r="C3151">
        <x:v>30</x:v>
      </x:c>
      <x:c r="D3151">
        <x:f>ROUND($C3151*10*VLOOKUP($B3151,Sheet2!$J$5:$K$7,2,FALSE)*VLOOKUP(Sheet1!$A3151,Sheet2!$B$5:$H$29,3,FALSE),0)</x:f>
        <x:v>0</x:v>
      </x:c>
      <x:c r="E3151">
        <x:f>ROUND($C3151*10*VLOOKUP($B3151,Sheet2!$J$5:$K$7,2,FALSE)*VLOOKUP(Sheet1!$A3151,Sheet2!$B$5:$H$29,4,FALSE),0)</x:f>
        <x:v>0</x:v>
      </x:c>
      <x:c r="F3151">
        <x:f>ROUND($C3151*10*VLOOKUP($B3151,Sheet2!$J$5:$K$7,2,FALSE)*VLOOKUP(Sheet1!$A3151,Sheet2!$B$5:$H$29,5,FALSE),0)</x:f>
        <x:v>58</x:v>
      </x:c>
      <x:c r="G3151">
        <x:f>ROUND($C3151*10*VLOOKUP($B3151,Sheet2!$J$5:$K$7,2,FALSE)*VLOOKUP(Sheet1!$A3151,Sheet2!$B$5:$H$29,6,FALSE),0)</x:f>
        <x:v>173</x:v>
      </x:c>
      <x:c r="H3151">
        <x:f>ROUND($C3151*10*VLOOKUP($B3151,Sheet2!$J$5:$K$7,2,FALSE)*VLOOKUP(Sheet1!$A3151,Sheet2!$B$5:$H$29,7,FALSE),0)</x:f>
        <x:v>0</x:v>
      </x:c>
      <x:c r="I3151">
        <x:f t="shared" si="52"/>
        <x:v>18070</x:v>
      </x:c>
    </x:row>
    <x:row r="3152" spans="1:9" x14ac:dyDescent="0.15">
      <x:c r="A3152">
        <x:v>54153</x:v>
      </x:c>
      <x:c r="B3152">
        <x:v>2</x:v>
      </x:c>
      <x:c r="C3152">
        <x:v>31</x:v>
      </x:c>
      <x:c r="D3152">
        <x:f>ROUND($C3152*10*VLOOKUP($B3152,Sheet2!$J$5:$K$7,2,FALSE)*VLOOKUP(Sheet1!$A3152,Sheet2!$B$5:$H$29,3,FALSE),0)</x:f>
        <x:v>0</x:v>
      </x:c>
      <x:c r="E3152">
        <x:f>ROUND($C3152*10*VLOOKUP($B3152,Sheet2!$J$5:$K$7,2,FALSE)*VLOOKUP(Sheet1!$A3152,Sheet2!$B$5:$H$29,4,FALSE),0)</x:f>
        <x:v>0</x:v>
      </x:c>
      <x:c r="F3152">
        <x:f>ROUND($C3152*10*VLOOKUP($B3152,Sheet2!$J$5:$K$7,2,FALSE)*VLOOKUP(Sheet1!$A3152,Sheet2!$B$5:$H$29,5,FALSE),0)</x:f>
        <x:v>60</x:v>
      </x:c>
      <x:c r="G3152">
        <x:f>ROUND($C3152*10*VLOOKUP($B3152,Sheet2!$J$5:$K$7,2,FALSE)*VLOOKUP(Sheet1!$A3152,Sheet2!$B$5:$H$29,6,FALSE),0)</x:f>
        <x:v>179</x:v>
      </x:c>
      <x:c r="H3152">
        <x:f>ROUND($C3152*10*VLOOKUP($B3152,Sheet2!$J$5:$K$7,2,FALSE)*VLOOKUP(Sheet1!$A3152,Sheet2!$B$5:$H$29,7,FALSE),0)</x:f>
        <x:v>0</x:v>
      </x:c>
      <x:c r="I3152">
        <x:f t="shared" si="52"/>
        <x:v>19210</x:v>
      </x:c>
    </x:row>
    <x:row r="3153" spans="1:9" x14ac:dyDescent="0.15">
      <x:c r="A3153">
        <x:v>54153</x:v>
      </x:c>
      <x:c r="B3153">
        <x:v>2</x:v>
      </x:c>
      <x:c r="C3153">
        <x:v>32</x:v>
      </x:c>
      <x:c r="D3153">
        <x:f>ROUND($C3153*10*VLOOKUP($B3153,Sheet2!$J$5:$K$7,2,FALSE)*VLOOKUP(Sheet1!$A3153,Sheet2!$B$5:$H$29,3,FALSE),0)</x:f>
        <x:v>0</x:v>
      </x:c>
      <x:c r="E3153">
        <x:f>ROUND($C3153*10*VLOOKUP($B3153,Sheet2!$J$5:$K$7,2,FALSE)*VLOOKUP(Sheet1!$A3153,Sheet2!$B$5:$H$29,4,FALSE),0)</x:f>
        <x:v>0</x:v>
      </x:c>
      <x:c r="F3153">
        <x:f>ROUND($C3153*10*VLOOKUP($B3153,Sheet2!$J$5:$K$7,2,FALSE)*VLOOKUP(Sheet1!$A3153,Sheet2!$B$5:$H$29,5,FALSE),0)</x:f>
        <x:v>61</x:v>
      </x:c>
      <x:c r="G3153">
        <x:f>ROUND($C3153*10*VLOOKUP($B3153,Sheet2!$J$5:$K$7,2,FALSE)*VLOOKUP(Sheet1!$A3153,Sheet2!$B$5:$H$29,6,FALSE),0)</x:f>
        <x:v>184</x:v>
      </x:c>
      <x:c r="H3153">
        <x:f>ROUND($C3153*10*VLOOKUP($B3153,Sheet2!$J$5:$K$7,2,FALSE)*VLOOKUP(Sheet1!$A3153,Sheet2!$B$5:$H$29,7,FALSE),0)</x:f>
        <x:v>0</x:v>
      </x:c>
      <x:c r="I3153">
        <x:f t="shared" si="52"/>
        <x:v>20370</x:v>
      </x:c>
    </x:row>
    <x:row r="3154" spans="1:9" x14ac:dyDescent="0.15">
      <x:c r="A3154">
        <x:v>54153</x:v>
      </x:c>
      <x:c r="B3154">
        <x:v>2</x:v>
      </x:c>
      <x:c r="C3154">
        <x:v>33</x:v>
      </x:c>
      <x:c r="D3154">
        <x:f>ROUND($C3154*10*VLOOKUP($B3154,Sheet2!$J$5:$K$7,2,FALSE)*VLOOKUP(Sheet1!$A3154,Sheet2!$B$5:$H$29,3,FALSE),0)</x:f>
        <x:v>0</x:v>
      </x:c>
      <x:c r="E3154">
        <x:f>ROUND($C3154*10*VLOOKUP($B3154,Sheet2!$J$5:$K$7,2,FALSE)*VLOOKUP(Sheet1!$A3154,Sheet2!$B$5:$H$29,4,FALSE),0)</x:f>
        <x:v>0</x:v>
      </x:c>
      <x:c r="F3154">
        <x:f>ROUND($C3154*10*VLOOKUP($B3154,Sheet2!$J$5:$K$7,2,FALSE)*VLOOKUP(Sheet1!$A3154,Sheet2!$B$5:$H$29,5,FALSE),0)</x:f>
        <x:v>63</x:v>
      </x:c>
      <x:c r="G3154">
        <x:f>ROUND($C3154*10*VLOOKUP($B3154,Sheet2!$J$5:$K$7,2,FALSE)*VLOOKUP(Sheet1!$A3154,Sheet2!$B$5:$H$29,6,FALSE),0)</x:f>
        <x:v>190</x:v>
      </x:c>
      <x:c r="H3154">
        <x:f>ROUND($C3154*10*VLOOKUP($B3154,Sheet2!$J$5:$K$7,2,FALSE)*VLOOKUP(Sheet1!$A3154,Sheet2!$B$5:$H$29,7,FALSE),0)</x:f>
        <x:v>0</x:v>
      </x:c>
      <x:c r="I3154">
        <x:f t="shared" si="52"/>
        <x:v>21560</x:v>
      </x:c>
    </x:row>
    <x:row r="3155" spans="1:9" x14ac:dyDescent="0.15">
      <x:c r="A3155">
        <x:v>54153</x:v>
      </x:c>
      <x:c r="B3155">
        <x:v>2</x:v>
      </x:c>
      <x:c r="C3155">
        <x:v>34</x:v>
      </x:c>
      <x:c r="D3155">
        <x:f>ROUND($C3155*10*VLOOKUP($B3155,Sheet2!$J$5:$K$7,2,FALSE)*VLOOKUP(Sheet1!$A3155,Sheet2!$B$5:$H$29,3,FALSE),0)</x:f>
        <x:v>0</x:v>
      </x:c>
      <x:c r="E3155">
        <x:f>ROUND($C3155*10*VLOOKUP($B3155,Sheet2!$J$5:$K$7,2,FALSE)*VLOOKUP(Sheet1!$A3155,Sheet2!$B$5:$H$29,4,FALSE),0)</x:f>
        <x:v>0</x:v>
      </x:c>
      <x:c r="F3155">
        <x:f>ROUND($C3155*10*VLOOKUP($B3155,Sheet2!$J$5:$K$7,2,FALSE)*VLOOKUP(Sheet1!$A3155,Sheet2!$B$5:$H$29,5,FALSE),0)</x:f>
        <x:v>65</x:v>
      </x:c>
      <x:c r="G3155">
        <x:f>ROUND($C3155*10*VLOOKUP($B3155,Sheet2!$J$5:$K$7,2,FALSE)*VLOOKUP(Sheet1!$A3155,Sheet2!$B$5:$H$29,6,FALSE),0)</x:f>
        <x:v>196</x:v>
      </x:c>
      <x:c r="H3155">
        <x:f>ROUND($C3155*10*VLOOKUP($B3155,Sheet2!$J$5:$K$7,2,FALSE)*VLOOKUP(Sheet1!$A3155,Sheet2!$B$5:$H$29,7,FALSE),0)</x:f>
        <x:v>0</x:v>
      </x:c>
      <x:c r="I3155">
        <x:f t="shared" si="52"/>
        <x:v>22790</x:v>
      </x:c>
    </x:row>
    <x:row r="3156" spans="1:9" x14ac:dyDescent="0.15">
      <x:c r="A3156">
        <x:v>54153</x:v>
      </x:c>
      <x:c r="B3156">
        <x:v>2</x:v>
      </x:c>
      <x:c r="C3156">
        <x:v>35</x:v>
      </x:c>
      <x:c r="D3156">
        <x:f>ROUND($C3156*10*VLOOKUP($B3156,Sheet2!$J$5:$K$7,2,FALSE)*VLOOKUP(Sheet1!$A3156,Sheet2!$B$5:$H$29,3,FALSE),0)</x:f>
        <x:v>0</x:v>
      </x:c>
      <x:c r="E3156">
        <x:f>ROUND($C3156*10*VLOOKUP($B3156,Sheet2!$J$5:$K$7,2,FALSE)*VLOOKUP(Sheet1!$A3156,Sheet2!$B$5:$H$29,4,FALSE),0)</x:f>
        <x:v>0</x:v>
      </x:c>
      <x:c r="F3156">
        <x:f>ROUND($C3156*10*VLOOKUP($B3156,Sheet2!$J$5:$K$7,2,FALSE)*VLOOKUP(Sheet1!$A3156,Sheet2!$B$5:$H$29,5,FALSE),0)</x:f>
        <x:v>67</x:v>
      </x:c>
      <x:c r="G3156">
        <x:f>ROUND($C3156*10*VLOOKUP($B3156,Sheet2!$J$5:$K$7,2,FALSE)*VLOOKUP(Sheet1!$A3156,Sheet2!$B$5:$H$29,6,FALSE),0)</x:f>
        <x:v>202</x:v>
      </x:c>
      <x:c r="H3156">
        <x:f>ROUND($C3156*10*VLOOKUP($B3156,Sheet2!$J$5:$K$7,2,FALSE)*VLOOKUP(Sheet1!$A3156,Sheet2!$B$5:$H$29,7,FALSE),0)</x:f>
        <x:v>0</x:v>
      </x:c>
      <x:c r="I3156">
        <x:f t="shared" si="52"/>
        <x:v>24040</x:v>
      </x:c>
    </x:row>
    <x:row r="3157" spans="1:9" x14ac:dyDescent="0.15">
      <x:c r="A3157">
        <x:v>54153</x:v>
      </x:c>
      <x:c r="B3157">
        <x:v>2</x:v>
      </x:c>
      <x:c r="C3157">
        <x:v>36</x:v>
      </x:c>
      <x:c r="D3157">
        <x:f>ROUND($C3157*10*VLOOKUP($B3157,Sheet2!$J$5:$K$7,2,FALSE)*VLOOKUP(Sheet1!$A3157,Sheet2!$B$5:$H$29,3,FALSE),0)</x:f>
        <x:v>0</x:v>
      </x:c>
      <x:c r="E3157">
        <x:f>ROUND($C3157*10*VLOOKUP($B3157,Sheet2!$J$5:$K$7,2,FALSE)*VLOOKUP(Sheet1!$A3157,Sheet2!$B$5:$H$29,4,FALSE),0)</x:f>
        <x:v>0</x:v>
      </x:c>
      <x:c r="F3157">
        <x:f>ROUND($C3157*10*VLOOKUP($B3157,Sheet2!$J$5:$K$7,2,FALSE)*VLOOKUP(Sheet1!$A3157,Sheet2!$B$5:$H$29,5,FALSE),0)</x:f>
        <x:v>69</x:v>
      </x:c>
      <x:c r="G3157">
        <x:f>ROUND($C3157*10*VLOOKUP($B3157,Sheet2!$J$5:$K$7,2,FALSE)*VLOOKUP(Sheet1!$A3157,Sheet2!$B$5:$H$29,6,FALSE),0)</x:f>
        <x:v>207</x:v>
      </x:c>
      <x:c r="H3157">
        <x:f>ROUND($C3157*10*VLOOKUP($B3157,Sheet2!$J$5:$K$7,2,FALSE)*VLOOKUP(Sheet1!$A3157,Sheet2!$B$5:$H$29,7,FALSE),0)</x:f>
        <x:v>0</x:v>
      </x:c>
      <x:c r="I3157">
        <x:f t="shared" si="52"/>
        <x:v>25330</x:v>
      </x:c>
    </x:row>
    <x:row r="3158" spans="1:9" x14ac:dyDescent="0.15">
      <x:c r="A3158">
        <x:v>54153</x:v>
      </x:c>
      <x:c r="B3158">
        <x:v>2</x:v>
      </x:c>
      <x:c r="C3158">
        <x:v>37</x:v>
      </x:c>
      <x:c r="D3158">
        <x:f>ROUND($C3158*10*VLOOKUP($B3158,Sheet2!$J$5:$K$7,2,FALSE)*VLOOKUP(Sheet1!$A3158,Sheet2!$B$5:$H$29,3,FALSE),0)</x:f>
        <x:v>0</x:v>
      </x:c>
      <x:c r="E3158">
        <x:f>ROUND($C3158*10*VLOOKUP($B3158,Sheet2!$J$5:$K$7,2,FALSE)*VLOOKUP(Sheet1!$A3158,Sheet2!$B$5:$H$29,4,FALSE),0)</x:f>
        <x:v>0</x:v>
      </x:c>
      <x:c r="F3158">
        <x:f>ROUND($C3158*10*VLOOKUP($B3158,Sheet2!$J$5:$K$7,2,FALSE)*VLOOKUP(Sheet1!$A3158,Sheet2!$B$5:$H$29,5,FALSE),0)</x:f>
        <x:v>71</x:v>
      </x:c>
      <x:c r="G3158">
        <x:f>ROUND($C3158*10*VLOOKUP($B3158,Sheet2!$J$5:$K$7,2,FALSE)*VLOOKUP(Sheet1!$A3158,Sheet2!$B$5:$H$29,6,FALSE),0)</x:f>
        <x:v>213</x:v>
      </x:c>
      <x:c r="H3158">
        <x:f>ROUND($C3158*10*VLOOKUP($B3158,Sheet2!$J$5:$K$7,2,FALSE)*VLOOKUP(Sheet1!$A3158,Sheet2!$B$5:$H$29,7,FALSE),0)</x:f>
        <x:v>0</x:v>
      </x:c>
      <x:c r="I3158">
        <x:f t="shared" si="52"/>
        <x:v>26640</x:v>
      </x:c>
    </x:row>
    <x:row r="3159" spans="1:9" x14ac:dyDescent="0.15">
      <x:c r="A3159">
        <x:v>54153</x:v>
      </x:c>
      <x:c r="B3159">
        <x:v>2</x:v>
      </x:c>
      <x:c r="C3159">
        <x:v>38</x:v>
      </x:c>
      <x:c r="D3159">
        <x:f>ROUND($C3159*10*VLOOKUP($B3159,Sheet2!$J$5:$K$7,2,FALSE)*VLOOKUP(Sheet1!$A3159,Sheet2!$B$5:$H$29,3,FALSE),0)</x:f>
        <x:v>0</x:v>
      </x:c>
      <x:c r="E3159">
        <x:f>ROUND($C3159*10*VLOOKUP($B3159,Sheet2!$J$5:$K$7,2,FALSE)*VLOOKUP(Sheet1!$A3159,Sheet2!$B$5:$H$29,4,FALSE),0)</x:f>
        <x:v>0</x:v>
      </x:c>
      <x:c r="F3159">
        <x:f>ROUND($C3159*10*VLOOKUP($B3159,Sheet2!$J$5:$K$7,2,FALSE)*VLOOKUP(Sheet1!$A3159,Sheet2!$B$5:$H$29,5,FALSE),0)</x:f>
        <x:v>73</x:v>
      </x:c>
      <x:c r="G3159">
        <x:f>ROUND($C3159*10*VLOOKUP($B3159,Sheet2!$J$5:$K$7,2,FALSE)*VLOOKUP(Sheet1!$A3159,Sheet2!$B$5:$H$29,6,FALSE),0)</x:f>
        <x:v>219</x:v>
      </x:c>
      <x:c r="H3159">
        <x:f>ROUND($C3159*10*VLOOKUP($B3159,Sheet2!$J$5:$K$7,2,FALSE)*VLOOKUP(Sheet1!$A3159,Sheet2!$B$5:$H$29,7,FALSE),0)</x:f>
        <x:v>0</x:v>
      </x:c>
      <x:c r="I3159">
        <x:f t="shared" si="52"/>
        <x:v>27990</x:v>
      </x:c>
    </x:row>
    <x:row r="3160" spans="1:9" x14ac:dyDescent="0.15">
      <x:c r="A3160">
        <x:v>54153</x:v>
      </x:c>
      <x:c r="B3160">
        <x:v>2</x:v>
      </x:c>
      <x:c r="C3160">
        <x:v>39</x:v>
      </x:c>
      <x:c r="D3160">
        <x:f>ROUND($C3160*10*VLOOKUP($B3160,Sheet2!$J$5:$K$7,2,FALSE)*VLOOKUP(Sheet1!$A3160,Sheet2!$B$5:$H$29,3,FALSE),0)</x:f>
        <x:v>0</x:v>
      </x:c>
      <x:c r="E3160">
        <x:f>ROUND($C3160*10*VLOOKUP($B3160,Sheet2!$J$5:$K$7,2,FALSE)*VLOOKUP(Sheet1!$A3160,Sheet2!$B$5:$H$29,4,FALSE),0)</x:f>
        <x:v>0</x:v>
      </x:c>
      <x:c r="F3160">
        <x:f>ROUND($C3160*10*VLOOKUP($B3160,Sheet2!$J$5:$K$7,2,FALSE)*VLOOKUP(Sheet1!$A3160,Sheet2!$B$5:$H$29,5,FALSE),0)</x:f>
        <x:v>75</x:v>
      </x:c>
      <x:c r="G3160">
        <x:f>ROUND($C3160*10*VLOOKUP($B3160,Sheet2!$J$5:$K$7,2,FALSE)*VLOOKUP(Sheet1!$A3160,Sheet2!$B$5:$H$29,6,FALSE),0)</x:f>
        <x:v>225</x:v>
      </x:c>
      <x:c r="H3160">
        <x:f>ROUND($C3160*10*VLOOKUP($B3160,Sheet2!$J$5:$K$7,2,FALSE)*VLOOKUP(Sheet1!$A3160,Sheet2!$B$5:$H$29,7,FALSE),0)</x:f>
        <x:v>0</x:v>
      </x:c>
      <x:c r="I3160">
        <x:f t="shared" si="52"/>
        <x:v>29360</x:v>
      </x:c>
    </x:row>
    <x:row r="3161" spans="1:9" x14ac:dyDescent="0.15">
      <x:c r="A3161">
        <x:v>54153</x:v>
      </x:c>
      <x:c r="B3161">
        <x:v>2</x:v>
      </x:c>
      <x:c r="C3161">
        <x:v>40</x:v>
      </x:c>
      <x:c r="D3161">
        <x:f>ROUND($C3161*10*VLOOKUP($B3161,Sheet2!$J$5:$K$7,2,FALSE)*VLOOKUP(Sheet1!$A3161,Sheet2!$B$5:$H$29,3,FALSE),0)</x:f>
        <x:v>0</x:v>
      </x:c>
      <x:c r="E3161">
        <x:f>ROUND($C3161*10*VLOOKUP($B3161,Sheet2!$J$5:$K$7,2,FALSE)*VLOOKUP(Sheet1!$A3161,Sheet2!$B$5:$H$29,4,FALSE),0)</x:f>
        <x:v>0</x:v>
      </x:c>
      <x:c r="F3161">
        <x:f>ROUND($C3161*10*VLOOKUP($B3161,Sheet2!$J$5:$K$7,2,FALSE)*VLOOKUP(Sheet1!$A3161,Sheet2!$B$5:$H$29,5,FALSE),0)</x:f>
        <x:v>77</x:v>
      </x:c>
      <x:c r="G3161">
        <x:f>ROUND($C3161*10*VLOOKUP($B3161,Sheet2!$J$5:$K$7,2,FALSE)*VLOOKUP(Sheet1!$A3161,Sheet2!$B$5:$H$29,6,FALSE),0)</x:f>
        <x:v>230</x:v>
      </x:c>
      <x:c r="H3161">
        <x:f>ROUND($C3161*10*VLOOKUP($B3161,Sheet2!$J$5:$K$7,2,FALSE)*VLOOKUP(Sheet1!$A3161,Sheet2!$B$5:$H$29,7,FALSE),0)</x:f>
        <x:v>0</x:v>
      </x:c>
      <x:c r="I3161">
        <x:f t="shared" si="52"/>
        <x:v>30760</x:v>
      </x:c>
    </x:row>
    <x:row r="3162" spans="1:9" x14ac:dyDescent="0.15">
      <x:c r="A3162">
        <x:v>54153</x:v>
      </x:c>
      <x:c r="B3162">
        <x:v>2</x:v>
      </x:c>
      <x:c r="C3162">
        <x:v>41</x:v>
      </x:c>
      <x:c r="D3162">
        <x:f>ROUND($C3162*10*VLOOKUP($B3162,Sheet2!$J$5:$K$7,2,FALSE)*VLOOKUP(Sheet1!$A3162,Sheet2!$B$5:$H$29,3,FALSE),0)</x:f>
        <x:v>0</x:v>
      </x:c>
      <x:c r="E3162">
        <x:f>ROUND($C3162*10*VLOOKUP($B3162,Sheet2!$J$5:$K$7,2,FALSE)*VLOOKUP(Sheet1!$A3162,Sheet2!$B$5:$H$29,4,FALSE),0)</x:f>
        <x:v>0</x:v>
      </x:c>
      <x:c r="F3162">
        <x:f>ROUND($C3162*10*VLOOKUP($B3162,Sheet2!$J$5:$K$7,2,FALSE)*VLOOKUP(Sheet1!$A3162,Sheet2!$B$5:$H$29,5,FALSE),0)</x:f>
        <x:v>79</x:v>
      </x:c>
      <x:c r="G3162">
        <x:f>ROUND($C3162*10*VLOOKUP($B3162,Sheet2!$J$5:$K$7,2,FALSE)*VLOOKUP(Sheet1!$A3162,Sheet2!$B$5:$H$29,6,FALSE),0)</x:f>
        <x:v>236</x:v>
      </x:c>
      <x:c r="H3162">
        <x:f>ROUND($C3162*10*VLOOKUP($B3162,Sheet2!$J$5:$K$7,2,FALSE)*VLOOKUP(Sheet1!$A3162,Sheet2!$B$5:$H$29,7,FALSE),0)</x:f>
        <x:v>0</x:v>
      </x:c>
      <x:c r="I3162">
        <x:f t="shared" si="52"/>
        <x:v>32190</x:v>
      </x:c>
    </x:row>
    <x:row r="3163" spans="1:9" x14ac:dyDescent="0.15">
      <x:c r="A3163">
        <x:v>54153</x:v>
      </x:c>
      <x:c r="B3163">
        <x:v>2</x:v>
      </x:c>
      <x:c r="C3163">
        <x:v>42</x:v>
      </x:c>
      <x:c r="D3163">
        <x:f>ROUND($C3163*10*VLOOKUP($B3163,Sheet2!$J$5:$K$7,2,FALSE)*VLOOKUP(Sheet1!$A3163,Sheet2!$B$5:$H$29,3,FALSE),0)</x:f>
        <x:v>0</x:v>
      </x:c>
      <x:c r="E3163">
        <x:f>ROUND($C3163*10*VLOOKUP($B3163,Sheet2!$J$5:$K$7,2,FALSE)*VLOOKUP(Sheet1!$A3163,Sheet2!$B$5:$H$29,4,FALSE),0)</x:f>
        <x:v>0</x:v>
      </x:c>
      <x:c r="F3163">
        <x:f>ROUND($C3163*10*VLOOKUP($B3163,Sheet2!$J$5:$K$7,2,FALSE)*VLOOKUP(Sheet1!$A3163,Sheet2!$B$5:$H$29,5,FALSE),0)</x:f>
        <x:v>81</x:v>
      </x:c>
      <x:c r="G3163">
        <x:f>ROUND($C3163*10*VLOOKUP($B3163,Sheet2!$J$5:$K$7,2,FALSE)*VLOOKUP(Sheet1!$A3163,Sheet2!$B$5:$H$29,6,FALSE),0)</x:f>
        <x:v>242</x:v>
      </x:c>
      <x:c r="H3163">
        <x:f>ROUND($C3163*10*VLOOKUP($B3163,Sheet2!$J$5:$K$7,2,FALSE)*VLOOKUP(Sheet1!$A3163,Sheet2!$B$5:$H$29,7,FALSE),0)</x:f>
        <x:v>0</x:v>
      </x:c>
      <x:c r="I3163">
        <x:f t="shared" si="52"/>
        <x:v>33650</x:v>
      </x:c>
    </x:row>
    <x:row r="3164" spans="1:9" x14ac:dyDescent="0.15">
      <x:c r="A3164">
        <x:v>54153</x:v>
      </x:c>
      <x:c r="B3164">
        <x:v>2</x:v>
      </x:c>
      <x:c r="C3164">
        <x:v>43</x:v>
      </x:c>
      <x:c r="D3164">
        <x:f>ROUND($C3164*10*VLOOKUP($B3164,Sheet2!$J$5:$K$7,2,FALSE)*VLOOKUP(Sheet1!$A3164,Sheet2!$B$5:$H$29,3,FALSE),0)</x:f>
        <x:v>0</x:v>
      </x:c>
      <x:c r="E3164">
        <x:f>ROUND($C3164*10*VLOOKUP($B3164,Sheet2!$J$5:$K$7,2,FALSE)*VLOOKUP(Sheet1!$A3164,Sheet2!$B$5:$H$29,4,FALSE),0)</x:f>
        <x:v>0</x:v>
      </x:c>
      <x:c r="F3164">
        <x:f>ROUND($C3164*10*VLOOKUP($B3164,Sheet2!$J$5:$K$7,2,FALSE)*VLOOKUP(Sheet1!$A3164,Sheet2!$B$5:$H$29,5,FALSE),0)</x:f>
        <x:v>83</x:v>
      </x:c>
      <x:c r="G3164">
        <x:f>ROUND($C3164*10*VLOOKUP($B3164,Sheet2!$J$5:$K$7,2,FALSE)*VLOOKUP(Sheet1!$A3164,Sheet2!$B$5:$H$29,6,FALSE),0)</x:f>
        <x:v>248</x:v>
      </x:c>
      <x:c r="H3164">
        <x:f>ROUND($C3164*10*VLOOKUP($B3164,Sheet2!$J$5:$K$7,2,FALSE)*VLOOKUP(Sheet1!$A3164,Sheet2!$B$5:$H$29,7,FALSE),0)</x:f>
        <x:v>0</x:v>
      </x:c>
      <x:c r="I3164">
        <x:f t="shared" si="52"/>
        <x:v>35140</x:v>
      </x:c>
    </x:row>
    <x:row r="3165" spans="1:9" x14ac:dyDescent="0.15">
      <x:c r="A3165">
        <x:v>54153</x:v>
      </x:c>
      <x:c r="B3165">
        <x:v>2</x:v>
      </x:c>
      <x:c r="C3165">
        <x:v>44</x:v>
      </x:c>
      <x:c r="D3165">
        <x:f>ROUND($C3165*10*VLOOKUP($B3165,Sheet2!$J$5:$K$7,2,FALSE)*VLOOKUP(Sheet1!$A3165,Sheet2!$B$5:$H$29,3,FALSE),0)</x:f>
        <x:v>0</x:v>
      </x:c>
      <x:c r="E3165">
        <x:f>ROUND($C3165*10*VLOOKUP($B3165,Sheet2!$J$5:$K$7,2,FALSE)*VLOOKUP(Sheet1!$A3165,Sheet2!$B$5:$H$29,4,FALSE),0)</x:f>
        <x:v>0</x:v>
      </x:c>
      <x:c r="F3165">
        <x:f>ROUND($C3165*10*VLOOKUP($B3165,Sheet2!$J$5:$K$7,2,FALSE)*VLOOKUP(Sheet1!$A3165,Sheet2!$B$5:$H$29,5,FALSE),0)</x:f>
        <x:v>84</x:v>
      </x:c>
      <x:c r="G3165">
        <x:f>ROUND($C3165*10*VLOOKUP($B3165,Sheet2!$J$5:$K$7,2,FALSE)*VLOOKUP(Sheet1!$A3165,Sheet2!$B$5:$H$29,6,FALSE),0)</x:f>
        <x:v>253</x:v>
      </x:c>
      <x:c r="H3165">
        <x:f>ROUND($C3165*10*VLOOKUP($B3165,Sheet2!$J$5:$K$7,2,FALSE)*VLOOKUP(Sheet1!$A3165,Sheet2!$B$5:$H$29,7,FALSE),0)</x:f>
        <x:v>0</x:v>
      </x:c>
      <x:c r="I3165">
        <x:f t="shared" si="52"/>
        <x:v>36660</x:v>
      </x:c>
    </x:row>
    <x:row r="3166" spans="1:9" x14ac:dyDescent="0.15">
      <x:c r="A3166">
        <x:v>54153</x:v>
      </x:c>
      <x:c r="B3166">
        <x:v>2</x:v>
      </x:c>
      <x:c r="C3166">
        <x:v>45</x:v>
      </x:c>
      <x:c r="D3166">
        <x:f>ROUND($C3166*10*VLOOKUP($B3166,Sheet2!$J$5:$K$7,2,FALSE)*VLOOKUP(Sheet1!$A3166,Sheet2!$B$5:$H$29,3,FALSE),0)</x:f>
        <x:v>0</x:v>
      </x:c>
      <x:c r="E3166">
        <x:f>ROUND($C3166*10*VLOOKUP($B3166,Sheet2!$J$5:$K$7,2,FALSE)*VLOOKUP(Sheet1!$A3166,Sheet2!$B$5:$H$29,4,FALSE),0)</x:f>
        <x:v>0</x:v>
      </x:c>
      <x:c r="F3166">
        <x:f>ROUND($C3166*10*VLOOKUP($B3166,Sheet2!$J$5:$K$7,2,FALSE)*VLOOKUP(Sheet1!$A3166,Sheet2!$B$5:$H$29,5,FALSE),0)</x:f>
        <x:v>86</x:v>
      </x:c>
      <x:c r="G3166">
        <x:f>ROUND($C3166*10*VLOOKUP($B3166,Sheet2!$J$5:$K$7,2,FALSE)*VLOOKUP(Sheet1!$A3166,Sheet2!$B$5:$H$29,6,FALSE),0)</x:f>
        <x:v>259</x:v>
      </x:c>
      <x:c r="H3166">
        <x:f>ROUND($C3166*10*VLOOKUP($B3166,Sheet2!$J$5:$K$7,2,FALSE)*VLOOKUP(Sheet1!$A3166,Sheet2!$B$5:$H$29,7,FALSE),0)</x:f>
        <x:v>0</x:v>
      </x:c>
      <x:c r="I3166">
        <x:f t="shared" si="52"/>
        <x:v>38210</x:v>
      </x:c>
    </x:row>
    <x:row r="3167" spans="1:9" x14ac:dyDescent="0.15">
      <x:c r="A3167">
        <x:v>54153</x:v>
      </x:c>
      <x:c r="B3167">
        <x:v>2</x:v>
      </x:c>
      <x:c r="C3167">
        <x:v>46</x:v>
      </x:c>
      <x:c r="D3167">
        <x:f>ROUND($C3167*10*VLOOKUP($B3167,Sheet2!$J$5:$K$7,2,FALSE)*VLOOKUP(Sheet1!$A3167,Sheet2!$B$5:$H$29,3,FALSE),0)</x:f>
        <x:v>0</x:v>
      </x:c>
      <x:c r="E3167">
        <x:f>ROUND($C3167*10*VLOOKUP($B3167,Sheet2!$J$5:$K$7,2,FALSE)*VLOOKUP(Sheet1!$A3167,Sheet2!$B$5:$H$29,4,FALSE),0)</x:f>
        <x:v>0</x:v>
      </x:c>
      <x:c r="F3167">
        <x:f>ROUND($C3167*10*VLOOKUP($B3167,Sheet2!$J$5:$K$7,2,FALSE)*VLOOKUP(Sheet1!$A3167,Sheet2!$B$5:$H$29,5,FALSE),0)</x:f>
        <x:v>88</x:v>
      </x:c>
      <x:c r="G3167">
        <x:f>ROUND($C3167*10*VLOOKUP($B3167,Sheet2!$J$5:$K$7,2,FALSE)*VLOOKUP(Sheet1!$A3167,Sheet2!$B$5:$H$29,6,FALSE),0)</x:f>
        <x:v>265</x:v>
      </x:c>
      <x:c r="H3167">
        <x:f>ROUND($C3167*10*VLOOKUP($B3167,Sheet2!$J$5:$K$7,2,FALSE)*VLOOKUP(Sheet1!$A3167,Sheet2!$B$5:$H$29,7,FALSE),0)</x:f>
        <x:v>0</x:v>
      </x:c>
      <x:c r="I3167">
        <x:f t="shared" si="52"/>
        <x:v>39780</x:v>
      </x:c>
    </x:row>
    <x:row r="3168" spans="1:9" x14ac:dyDescent="0.15">
      <x:c r="A3168">
        <x:v>54153</x:v>
      </x:c>
      <x:c r="B3168">
        <x:v>2</x:v>
      </x:c>
      <x:c r="C3168">
        <x:v>47</x:v>
      </x:c>
      <x:c r="D3168">
        <x:f>ROUND($C3168*10*VLOOKUP($B3168,Sheet2!$J$5:$K$7,2,FALSE)*VLOOKUP(Sheet1!$A3168,Sheet2!$B$5:$H$29,3,FALSE),0)</x:f>
        <x:v>0</x:v>
      </x:c>
      <x:c r="E3168">
        <x:f>ROUND($C3168*10*VLOOKUP($B3168,Sheet2!$J$5:$K$7,2,FALSE)*VLOOKUP(Sheet1!$A3168,Sheet2!$B$5:$H$29,4,FALSE),0)</x:f>
        <x:v>0</x:v>
      </x:c>
      <x:c r="F3168">
        <x:f>ROUND($C3168*10*VLOOKUP($B3168,Sheet2!$J$5:$K$7,2,FALSE)*VLOOKUP(Sheet1!$A3168,Sheet2!$B$5:$H$29,5,FALSE),0)</x:f>
        <x:v>90</x:v>
      </x:c>
      <x:c r="G3168">
        <x:f>ROUND($C3168*10*VLOOKUP($B3168,Sheet2!$J$5:$K$7,2,FALSE)*VLOOKUP(Sheet1!$A3168,Sheet2!$B$5:$H$29,6,FALSE),0)</x:f>
        <x:v>271</x:v>
      </x:c>
      <x:c r="H3168">
        <x:f>ROUND($C3168*10*VLOOKUP($B3168,Sheet2!$J$5:$K$7,2,FALSE)*VLOOKUP(Sheet1!$A3168,Sheet2!$B$5:$H$29,7,FALSE),0)</x:f>
        <x:v>0</x:v>
      </x:c>
      <x:c r="I3168">
        <x:f t="shared" si="52"/>
        <x:v>41390</x:v>
      </x:c>
    </x:row>
    <x:row r="3169" spans="1:9" x14ac:dyDescent="0.15">
      <x:c r="A3169">
        <x:v>54153</x:v>
      </x:c>
      <x:c r="B3169">
        <x:v>2</x:v>
      </x:c>
      <x:c r="C3169">
        <x:v>48</x:v>
      </x:c>
      <x:c r="D3169">
        <x:f>ROUND($C3169*10*VLOOKUP($B3169,Sheet2!$J$5:$K$7,2,FALSE)*VLOOKUP(Sheet1!$A3169,Sheet2!$B$5:$H$29,3,FALSE),0)</x:f>
        <x:v>0</x:v>
      </x:c>
      <x:c r="E3169">
        <x:f>ROUND($C3169*10*VLOOKUP($B3169,Sheet2!$J$5:$K$7,2,FALSE)*VLOOKUP(Sheet1!$A3169,Sheet2!$B$5:$H$29,4,FALSE),0)</x:f>
        <x:v>0</x:v>
      </x:c>
      <x:c r="F3169">
        <x:f>ROUND($C3169*10*VLOOKUP($B3169,Sheet2!$J$5:$K$7,2,FALSE)*VLOOKUP(Sheet1!$A3169,Sheet2!$B$5:$H$29,5,FALSE),0)</x:f>
        <x:v>92</x:v>
      </x:c>
      <x:c r="G3169">
        <x:f>ROUND($C3169*10*VLOOKUP($B3169,Sheet2!$J$5:$K$7,2,FALSE)*VLOOKUP(Sheet1!$A3169,Sheet2!$B$5:$H$29,6,FALSE),0)</x:f>
        <x:v>276</x:v>
      </x:c>
      <x:c r="H3169">
        <x:f>ROUND($C3169*10*VLOOKUP($B3169,Sheet2!$J$5:$K$7,2,FALSE)*VLOOKUP(Sheet1!$A3169,Sheet2!$B$5:$H$29,7,FALSE),0)</x:f>
        <x:v>0</x:v>
      </x:c>
      <x:c r="I3169">
        <x:f t="shared" si="52"/>
        <x:v>43020</x:v>
      </x:c>
    </x:row>
    <x:row r="3170" spans="1:9" x14ac:dyDescent="0.15">
      <x:c r="A3170">
        <x:v>54153</x:v>
      </x:c>
      <x:c r="B3170">
        <x:v>2</x:v>
      </x:c>
      <x:c r="C3170">
        <x:v>49</x:v>
      </x:c>
      <x:c r="D3170">
        <x:f>ROUND($C3170*10*VLOOKUP($B3170,Sheet2!$J$5:$K$7,2,FALSE)*VLOOKUP(Sheet1!$A3170,Sheet2!$B$5:$H$29,3,FALSE),0)</x:f>
        <x:v>0</x:v>
      </x:c>
      <x:c r="E3170">
        <x:f>ROUND($C3170*10*VLOOKUP($B3170,Sheet2!$J$5:$K$7,2,FALSE)*VLOOKUP(Sheet1!$A3170,Sheet2!$B$5:$H$29,4,FALSE),0)</x:f>
        <x:v>0</x:v>
      </x:c>
      <x:c r="F3170">
        <x:f>ROUND($C3170*10*VLOOKUP($B3170,Sheet2!$J$5:$K$7,2,FALSE)*VLOOKUP(Sheet1!$A3170,Sheet2!$B$5:$H$29,5,FALSE),0)</x:f>
        <x:v>94</x:v>
      </x:c>
      <x:c r="G3170">
        <x:f>ROUND($C3170*10*VLOOKUP($B3170,Sheet2!$J$5:$K$7,2,FALSE)*VLOOKUP(Sheet1!$A3170,Sheet2!$B$5:$H$29,6,FALSE),0)</x:f>
        <x:v>282</x:v>
      </x:c>
      <x:c r="H3170">
        <x:f>ROUND($C3170*10*VLOOKUP($B3170,Sheet2!$J$5:$K$7,2,FALSE)*VLOOKUP(Sheet1!$A3170,Sheet2!$B$5:$H$29,7,FALSE),0)</x:f>
        <x:v>0</x:v>
      </x:c>
      <x:c r="I3170">
        <x:f t="shared" si="52"/>
        <x:v>44680</x:v>
      </x:c>
    </x:row>
    <x:row r="3171" spans="1:9" x14ac:dyDescent="0.15">
      <x:c r="A3171">
        <x:v>54153</x:v>
      </x:c>
      <x:c r="B3171">
        <x:v>2</x:v>
      </x:c>
      <x:c r="C3171">
        <x:v>50</x:v>
      </x:c>
      <x:c r="D3171">
        <x:f>ROUND($C3171*10*VLOOKUP($B3171,Sheet2!$J$5:$K$7,2,FALSE)*VLOOKUP(Sheet1!$A3171,Sheet2!$B$5:$H$29,3,FALSE),0)</x:f>
        <x:v>0</x:v>
      </x:c>
      <x:c r="E3171">
        <x:f>ROUND($C3171*10*VLOOKUP($B3171,Sheet2!$J$5:$K$7,2,FALSE)*VLOOKUP(Sheet1!$A3171,Sheet2!$B$5:$H$29,4,FALSE),0)</x:f>
        <x:v>0</x:v>
      </x:c>
      <x:c r="F3171">
        <x:f>ROUND($C3171*10*VLOOKUP($B3171,Sheet2!$J$5:$K$7,2,FALSE)*VLOOKUP(Sheet1!$A3171,Sheet2!$B$5:$H$29,5,FALSE),0)</x:f>
        <x:v>96</x:v>
      </x:c>
      <x:c r="G3171">
        <x:f>ROUND($C3171*10*VLOOKUP($B3171,Sheet2!$J$5:$K$7,2,FALSE)*VLOOKUP(Sheet1!$A3171,Sheet2!$B$5:$H$29,6,FALSE),0)</x:f>
        <x:v>288</x:v>
      </x:c>
      <x:c r="H3171">
        <x:f>ROUND($C3171*10*VLOOKUP($B3171,Sheet2!$J$5:$K$7,2,FALSE)*VLOOKUP(Sheet1!$A3171,Sheet2!$B$5:$H$29,7,FALSE),0)</x:f>
        <x:v>0</x:v>
      </x:c>
      <x:c r="I3171">
        <x:f t="shared" si="52"/>
        <x:v>46360</x:v>
      </x:c>
    </x:row>
    <x:row r="3172" spans="1:9" x14ac:dyDescent="0.15">
      <x:c r="A3172">
        <x:v>54153</x:v>
      </x:c>
      <x:c r="B3172">
        <x:v>2</x:v>
      </x:c>
      <x:c r="C3172">
        <x:v>51</x:v>
      </x:c>
      <x:c r="D3172">
        <x:f>ROUND($C3172*10*VLOOKUP($B3172,Sheet2!$J$5:$K$7,2,FALSE)*VLOOKUP(Sheet1!$A3172,Sheet2!$B$5:$H$29,3,FALSE),0)</x:f>
        <x:v>0</x:v>
      </x:c>
      <x:c r="E3172">
        <x:f>ROUND($C3172*10*VLOOKUP($B3172,Sheet2!$J$5:$K$7,2,FALSE)*VLOOKUP(Sheet1!$A3172,Sheet2!$B$5:$H$29,4,FALSE),0)</x:f>
        <x:v>0</x:v>
      </x:c>
      <x:c r="F3172">
        <x:f>ROUND($C3172*10*VLOOKUP($B3172,Sheet2!$J$5:$K$7,2,FALSE)*VLOOKUP(Sheet1!$A3172,Sheet2!$B$5:$H$29,5,FALSE),0)</x:f>
        <x:v>98</x:v>
      </x:c>
      <x:c r="G3172">
        <x:f>ROUND($C3172*10*VLOOKUP($B3172,Sheet2!$J$5:$K$7,2,FALSE)*VLOOKUP(Sheet1!$A3172,Sheet2!$B$5:$H$29,6,FALSE),0)</x:f>
        <x:v>294</x:v>
      </x:c>
      <x:c r="H3172">
        <x:f>ROUND($C3172*10*VLOOKUP($B3172,Sheet2!$J$5:$K$7,2,FALSE)*VLOOKUP(Sheet1!$A3172,Sheet2!$B$5:$H$29,7,FALSE),0)</x:f>
        <x:v>0</x:v>
      </x:c>
      <x:c r="I3172">
        <x:f t="shared" si="52"/>
        <x:v>48080</x:v>
      </x:c>
    </x:row>
    <x:row r="3173" spans="1:9" x14ac:dyDescent="0.15">
      <x:c r="A3173">
        <x:v>54153</x:v>
      </x:c>
      <x:c r="B3173">
        <x:v>2</x:v>
      </x:c>
      <x:c r="C3173">
        <x:v>52</x:v>
      </x:c>
      <x:c r="D3173">
        <x:f>ROUND($C3173*10*VLOOKUP($B3173,Sheet2!$J$5:$K$7,2,FALSE)*VLOOKUP(Sheet1!$A3173,Sheet2!$B$5:$H$29,3,FALSE),0)</x:f>
        <x:v>0</x:v>
      </x:c>
      <x:c r="E3173">
        <x:f>ROUND($C3173*10*VLOOKUP($B3173,Sheet2!$J$5:$K$7,2,FALSE)*VLOOKUP(Sheet1!$A3173,Sheet2!$B$5:$H$29,4,FALSE),0)</x:f>
        <x:v>0</x:v>
      </x:c>
      <x:c r="F3173">
        <x:f>ROUND($C3173*10*VLOOKUP($B3173,Sheet2!$J$5:$K$7,2,FALSE)*VLOOKUP(Sheet1!$A3173,Sheet2!$B$5:$H$29,5,FALSE),0)</x:f>
        <x:v>100</x:v>
      </x:c>
      <x:c r="G3173">
        <x:f>ROUND($C3173*10*VLOOKUP($B3173,Sheet2!$J$5:$K$7,2,FALSE)*VLOOKUP(Sheet1!$A3173,Sheet2!$B$5:$H$29,6,FALSE),0)</x:f>
        <x:v>300</x:v>
      </x:c>
      <x:c r="H3173">
        <x:f>ROUND($C3173*10*VLOOKUP($B3173,Sheet2!$J$5:$K$7,2,FALSE)*VLOOKUP(Sheet1!$A3173,Sheet2!$B$5:$H$29,7,FALSE),0)</x:f>
        <x:v>0</x:v>
      </x:c>
      <x:c r="I3173">
        <x:f t="shared" si="52"/>
        <x:v>49820</x:v>
      </x:c>
    </x:row>
    <x:row r="3174" spans="1:9" x14ac:dyDescent="0.15">
      <x:c r="A3174">
        <x:v>54153</x:v>
      </x:c>
      <x:c r="B3174">
        <x:v>2</x:v>
      </x:c>
      <x:c r="C3174">
        <x:v>53</x:v>
      </x:c>
      <x:c r="D3174">
        <x:f>ROUND($C3174*10*VLOOKUP($B3174,Sheet2!$J$5:$K$7,2,FALSE)*VLOOKUP(Sheet1!$A3174,Sheet2!$B$5:$H$29,3,FALSE),0)</x:f>
        <x:v>0</x:v>
      </x:c>
      <x:c r="E3174">
        <x:f>ROUND($C3174*10*VLOOKUP($B3174,Sheet2!$J$5:$K$7,2,FALSE)*VLOOKUP(Sheet1!$A3174,Sheet2!$B$5:$H$29,4,FALSE),0)</x:f>
        <x:v>0</x:v>
      </x:c>
      <x:c r="F3174">
        <x:f>ROUND($C3174*10*VLOOKUP($B3174,Sheet2!$J$5:$K$7,2,FALSE)*VLOOKUP(Sheet1!$A3174,Sheet2!$B$5:$H$29,5,FALSE),0)</x:f>
        <x:v>102</x:v>
      </x:c>
      <x:c r="G3174">
        <x:f>ROUND($C3174*10*VLOOKUP($B3174,Sheet2!$J$5:$K$7,2,FALSE)*VLOOKUP(Sheet1!$A3174,Sheet2!$B$5:$H$29,6,FALSE),0)</x:f>
        <x:v>305</x:v>
      </x:c>
      <x:c r="H3174">
        <x:f>ROUND($C3174*10*VLOOKUP($B3174,Sheet2!$J$5:$K$7,2,FALSE)*VLOOKUP(Sheet1!$A3174,Sheet2!$B$5:$H$29,7,FALSE),0)</x:f>
        <x:v>0</x:v>
      </x:c>
      <x:c r="I3174">
        <x:f t="shared" si="52"/>
        <x:v>51590</x:v>
      </x:c>
    </x:row>
    <x:row r="3175" spans="1:9" x14ac:dyDescent="0.15">
      <x:c r="A3175">
        <x:v>54153</x:v>
      </x:c>
      <x:c r="B3175">
        <x:v>2</x:v>
      </x:c>
      <x:c r="C3175">
        <x:v>54</x:v>
      </x:c>
      <x:c r="D3175">
        <x:f>ROUND($C3175*10*VLOOKUP($B3175,Sheet2!$J$5:$K$7,2,FALSE)*VLOOKUP(Sheet1!$A3175,Sheet2!$B$5:$H$29,3,FALSE),0)</x:f>
        <x:v>0</x:v>
      </x:c>
      <x:c r="E3175">
        <x:f>ROUND($C3175*10*VLOOKUP($B3175,Sheet2!$J$5:$K$7,2,FALSE)*VLOOKUP(Sheet1!$A3175,Sheet2!$B$5:$H$29,4,FALSE),0)</x:f>
        <x:v>0</x:v>
      </x:c>
      <x:c r="F3175">
        <x:f>ROUND($C3175*10*VLOOKUP($B3175,Sheet2!$J$5:$K$7,2,FALSE)*VLOOKUP(Sheet1!$A3175,Sheet2!$B$5:$H$29,5,FALSE),0)</x:f>
        <x:v>104</x:v>
      </x:c>
      <x:c r="G3175">
        <x:f>ROUND($C3175*10*VLOOKUP($B3175,Sheet2!$J$5:$K$7,2,FALSE)*VLOOKUP(Sheet1!$A3175,Sheet2!$B$5:$H$29,6,FALSE),0)</x:f>
        <x:v>311</x:v>
      </x:c>
      <x:c r="H3175">
        <x:f>ROUND($C3175*10*VLOOKUP($B3175,Sheet2!$J$5:$K$7,2,FALSE)*VLOOKUP(Sheet1!$A3175,Sheet2!$B$5:$H$29,7,FALSE),0)</x:f>
        <x:v>0</x:v>
      </x:c>
      <x:c r="I3175">
        <x:f t="shared" si="52"/>
        <x:v>53390</x:v>
      </x:c>
    </x:row>
    <x:row r="3176" spans="1:9" x14ac:dyDescent="0.15">
      <x:c r="A3176">
        <x:v>54153</x:v>
      </x:c>
      <x:c r="B3176">
        <x:v>2</x:v>
      </x:c>
      <x:c r="C3176">
        <x:v>55</x:v>
      </x:c>
      <x:c r="D3176">
        <x:f>ROUND($C3176*10*VLOOKUP($B3176,Sheet2!$J$5:$K$7,2,FALSE)*VLOOKUP(Sheet1!$A3176,Sheet2!$B$5:$H$29,3,FALSE),0)</x:f>
        <x:v>0</x:v>
      </x:c>
      <x:c r="E3176">
        <x:f>ROUND($C3176*10*VLOOKUP($B3176,Sheet2!$J$5:$K$7,2,FALSE)*VLOOKUP(Sheet1!$A3176,Sheet2!$B$5:$H$29,4,FALSE),0)</x:f>
        <x:v>0</x:v>
      </x:c>
      <x:c r="F3176">
        <x:f>ROUND($C3176*10*VLOOKUP($B3176,Sheet2!$J$5:$K$7,2,FALSE)*VLOOKUP(Sheet1!$A3176,Sheet2!$B$5:$H$29,5,FALSE),0)</x:f>
        <x:v>106</x:v>
      </x:c>
      <x:c r="G3176">
        <x:f>ROUND($C3176*10*VLOOKUP($B3176,Sheet2!$J$5:$K$7,2,FALSE)*VLOOKUP(Sheet1!$A3176,Sheet2!$B$5:$H$29,6,FALSE),0)</x:f>
        <x:v>317</x:v>
      </x:c>
      <x:c r="H3176">
        <x:f>ROUND($C3176*10*VLOOKUP($B3176,Sheet2!$J$5:$K$7,2,FALSE)*VLOOKUP(Sheet1!$A3176,Sheet2!$B$5:$H$29,7,FALSE),0)</x:f>
        <x:v>0</x:v>
      </x:c>
      <x:c r="I3176">
        <x:f t="shared" si="52"/>
        <x:v>55210</x:v>
      </x:c>
    </x:row>
    <x:row r="3177" spans="1:9" x14ac:dyDescent="0.15">
      <x:c r="A3177">
        <x:v>54153</x:v>
      </x:c>
      <x:c r="B3177">
        <x:v>2</x:v>
      </x:c>
      <x:c r="C3177">
        <x:v>56</x:v>
      </x:c>
      <x:c r="D3177">
        <x:f>ROUND($C3177*10*VLOOKUP($B3177,Sheet2!$J$5:$K$7,2,FALSE)*VLOOKUP(Sheet1!$A3177,Sheet2!$B$5:$H$29,3,FALSE),0)</x:f>
        <x:v>0</x:v>
      </x:c>
      <x:c r="E3177">
        <x:f>ROUND($C3177*10*VLOOKUP($B3177,Sheet2!$J$5:$K$7,2,FALSE)*VLOOKUP(Sheet1!$A3177,Sheet2!$B$5:$H$29,4,FALSE),0)</x:f>
        <x:v>0</x:v>
      </x:c>
      <x:c r="F3177">
        <x:f>ROUND($C3177*10*VLOOKUP($B3177,Sheet2!$J$5:$K$7,2,FALSE)*VLOOKUP(Sheet1!$A3177,Sheet2!$B$5:$H$29,5,FALSE),0)</x:f>
        <x:v>108</x:v>
      </x:c>
      <x:c r="G3177">
        <x:f>ROUND($C3177*10*VLOOKUP($B3177,Sheet2!$J$5:$K$7,2,FALSE)*VLOOKUP(Sheet1!$A3177,Sheet2!$B$5:$H$29,6,FALSE),0)</x:f>
        <x:v>323</x:v>
      </x:c>
      <x:c r="H3177">
        <x:f>ROUND($C3177*10*VLOOKUP($B3177,Sheet2!$J$5:$K$7,2,FALSE)*VLOOKUP(Sheet1!$A3177,Sheet2!$B$5:$H$29,7,FALSE),0)</x:f>
        <x:v>0</x:v>
      </x:c>
      <x:c r="I3177">
        <x:f t="shared" si="52"/>
        <x:v>57060</x:v>
      </x:c>
    </x:row>
    <x:row r="3178" spans="1:9" x14ac:dyDescent="0.15">
      <x:c r="A3178">
        <x:v>54153</x:v>
      </x:c>
      <x:c r="B3178">
        <x:v>2</x:v>
      </x:c>
      <x:c r="C3178">
        <x:v>57</x:v>
      </x:c>
      <x:c r="D3178">
        <x:f>ROUND($C3178*10*VLOOKUP($B3178,Sheet2!$J$5:$K$7,2,FALSE)*VLOOKUP(Sheet1!$A3178,Sheet2!$B$5:$H$29,3,FALSE),0)</x:f>
        <x:v>0</x:v>
      </x:c>
      <x:c r="E3178">
        <x:f>ROUND($C3178*10*VLOOKUP($B3178,Sheet2!$J$5:$K$7,2,FALSE)*VLOOKUP(Sheet1!$A3178,Sheet2!$B$5:$H$29,4,FALSE),0)</x:f>
        <x:v>0</x:v>
      </x:c>
      <x:c r="F3178">
        <x:f>ROUND($C3178*10*VLOOKUP($B3178,Sheet2!$J$5:$K$7,2,FALSE)*VLOOKUP(Sheet1!$A3178,Sheet2!$B$5:$H$29,5,FALSE),0)</x:f>
        <x:v>109</x:v>
      </x:c>
      <x:c r="G3178">
        <x:f>ROUND($C3178*10*VLOOKUP($B3178,Sheet2!$J$5:$K$7,2,FALSE)*VLOOKUP(Sheet1!$A3178,Sheet2!$B$5:$H$29,6,FALSE),0)</x:f>
        <x:v>328</x:v>
      </x:c>
      <x:c r="H3178">
        <x:f>ROUND($C3178*10*VLOOKUP($B3178,Sheet2!$J$5:$K$7,2,FALSE)*VLOOKUP(Sheet1!$A3178,Sheet2!$B$5:$H$29,7,FALSE),0)</x:f>
        <x:v>0</x:v>
      </x:c>
      <x:c r="I3178">
        <x:f t="shared" si="52"/>
        <x:v>58940</x:v>
      </x:c>
    </x:row>
    <x:row r="3179" spans="1:9" x14ac:dyDescent="0.15">
      <x:c r="A3179">
        <x:v>54153</x:v>
      </x:c>
      <x:c r="B3179">
        <x:v>2</x:v>
      </x:c>
      <x:c r="C3179">
        <x:v>58</x:v>
      </x:c>
      <x:c r="D3179">
        <x:f>ROUND($C3179*10*VLOOKUP($B3179,Sheet2!$J$5:$K$7,2,FALSE)*VLOOKUP(Sheet1!$A3179,Sheet2!$B$5:$H$29,3,FALSE),0)</x:f>
        <x:v>0</x:v>
      </x:c>
      <x:c r="E3179">
        <x:f>ROUND($C3179*10*VLOOKUP($B3179,Sheet2!$J$5:$K$7,2,FALSE)*VLOOKUP(Sheet1!$A3179,Sheet2!$B$5:$H$29,4,FALSE),0)</x:f>
        <x:v>0</x:v>
      </x:c>
      <x:c r="F3179">
        <x:f>ROUND($C3179*10*VLOOKUP($B3179,Sheet2!$J$5:$K$7,2,FALSE)*VLOOKUP(Sheet1!$A3179,Sheet2!$B$5:$H$29,5,FALSE),0)</x:f>
        <x:v>111</x:v>
      </x:c>
      <x:c r="G3179">
        <x:f>ROUND($C3179*10*VLOOKUP($B3179,Sheet2!$J$5:$K$7,2,FALSE)*VLOOKUP(Sheet1!$A3179,Sheet2!$B$5:$H$29,6,FALSE),0)</x:f>
        <x:v>334</x:v>
      </x:c>
      <x:c r="H3179">
        <x:f>ROUND($C3179*10*VLOOKUP($B3179,Sheet2!$J$5:$K$7,2,FALSE)*VLOOKUP(Sheet1!$A3179,Sheet2!$B$5:$H$29,7,FALSE),0)</x:f>
        <x:v>0</x:v>
      </x:c>
      <x:c r="I3179">
        <x:f t="shared" si="52"/>
        <x:v>60850</x:v>
      </x:c>
    </x:row>
    <x:row r="3180" spans="1:9" x14ac:dyDescent="0.15">
      <x:c r="A3180">
        <x:v>54153</x:v>
      </x:c>
      <x:c r="B3180">
        <x:v>2</x:v>
      </x:c>
      <x:c r="C3180">
        <x:v>59</x:v>
      </x:c>
      <x:c r="D3180">
        <x:f>ROUND($C3180*10*VLOOKUP($B3180,Sheet2!$J$5:$K$7,2,FALSE)*VLOOKUP(Sheet1!$A3180,Sheet2!$B$5:$H$29,3,FALSE),0)</x:f>
        <x:v>0</x:v>
      </x:c>
      <x:c r="E3180">
        <x:f>ROUND($C3180*10*VLOOKUP($B3180,Sheet2!$J$5:$K$7,2,FALSE)*VLOOKUP(Sheet1!$A3180,Sheet2!$B$5:$H$29,4,FALSE),0)</x:f>
        <x:v>0</x:v>
      </x:c>
      <x:c r="F3180">
        <x:f>ROUND($C3180*10*VLOOKUP($B3180,Sheet2!$J$5:$K$7,2,FALSE)*VLOOKUP(Sheet1!$A3180,Sheet2!$B$5:$H$29,5,FALSE),0)</x:f>
        <x:v>113</x:v>
      </x:c>
      <x:c r="G3180">
        <x:f>ROUND($C3180*10*VLOOKUP($B3180,Sheet2!$J$5:$K$7,2,FALSE)*VLOOKUP(Sheet1!$A3180,Sheet2!$B$5:$H$29,6,FALSE),0)</x:f>
        <x:v>340</x:v>
      </x:c>
      <x:c r="H3180">
        <x:f>ROUND($C3180*10*VLOOKUP($B3180,Sheet2!$J$5:$K$7,2,FALSE)*VLOOKUP(Sheet1!$A3180,Sheet2!$B$5:$H$29,7,FALSE),0)</x:f>
        <x:v>0</x:v>
      </x:c>
      <x:c r="I3180">
        <x:f t="shared" si="52"/>
        <x:v>62780</x:v>
      </x:c>
    </x:row>
    <x:row r="3181" spans="1:9" x14ac:dyDescent="0.15">
      <x:c r="A3181">
        <x:v>54153</x:v>
      </x:c>
      <x:c r="B3181">
        <x:v>2</x:v>
      </x:c>
      <x:c r="C3181">
        <x:v>60</x:v>
      </x:c>
      <x:c r="D3181">
        <x:f>ROUND($C3181*10*VLOOKUP($B3181,Sheet2!$J$5:$K$7,2,FALSE)*VLOOKUP(Sheet1!$A3181,Sheet2!$B$5:$H$29,3,FALSE),0)</x:f>
        <x:v>0</x:v>
      </x:c>
      <x:c r="E3181">
        <x:f>ROUND($C3181*10*VLOOKUP($B3181,Sheet2!$J$5:$K$7,2,FALSE)*VLOOKUP(Sheet1!$A3181,Sheet2!$B$5:$H$29,4,FALSE),0)</x:f>
        <x:v>0</x:v>
      </x:c>
      <x:c r="F3181">
        <x:f>ROUND($C3181*10*VLOOKUP($B3181,Sheet2!$J$5:$K$7,2,FALSE)*VLOOKUP(Sheet1!$A3181,Sheet2!$B$5:$H$29,5,FALSE),0)</x:f>
        <x:v>115</x:v>
      </x:c>
      <x:c r="G3181">
        <x:f>ROUND($C3181*10*VLOOKUP($B3181,Sheet2!$J$5:$K$7,2,FALSE)*VLOOKUP(Sheet1!$A3181,Sheet2!$B$5:$H$29,6,FALSE),0)</x:f>
        <x:v>346</x:v>
      </x:c>
      <x:c r="H3181">
        <x:f>ROUND($C3181*10*VLOOKUP($B3181,Sheet2!$J$5:$K$7,2,FALSE)*VLOOKUP(Sheet1!$A3181,Sheet2!$B$5:$H$29,7,FALSE),0)</x:f>
        <x:v>0</x:v>
      </x:c>
      <x:c r="I3181">
        <x:f t="shared" si="52"/>
        <x:v>64740</x:v>
      </x:c>
    </x:row>
    <x:row r="3182" spans="1:9" x14ac:dyDescent="0.15">
      <x:c r="A3182">
        <x:v>54153</x:v>
      </x:c>
      <x:c r="B3182">
        <x:v>3</x:v>
      </x:c>
      <x:c r="C3182">
        <x:v>1</x:v>
      </x:c>
      <x:c r="D3182">
        <x:f>ROUND($C3182*10*VLOOKUP($B3182,Sheet2!$J$5:$K$7,2,FALSE)*VLOOKUP(Sheet1!$A3182,Sheet2!$B$5:$H$29,3,FALSE),0)</x:f>
        <x:v>0</x:v>
      </x:c>
      <x:c r="E3182">
        <x:f>ROUND($C3182*10*VLOOKUP($B3182,Sheet2!$J$5:$K$7,2,FALSE)*VLOOKUP(Sheet1!$A3182,Sheet2!$B$5:$H$29,4,FALSE),0)</x:f>
        <x:v>0</x:v>
      </x:c>
      <x:c r="F3182">
        <x:f>ROUND($C3182*10*VLOOKUP($B3182,Sheet2!$J$5:$K$7,2,FALSE)*VLOOKUP(Sheet1!$A3182,Sheet2!$B$5:$H$29,5,FALSE),0)</x:f>
        <x:v>3</x:v>
      </x:c>
      <x:c r="G3182">
        <x:f>ROUND($C3182*10*VLOOKUP($B3182,Sheet2!$J$5:$K$7,2,FALSE)*VLOOKUP(Sheet1!$A3182,Sheet2!$B$5:$H$29,6,FALSE),0)</x:f>
        <x:v>10</x:v>
      </x:c>
      <x:c r="H3182">
        <x:f>ROUND($C3182*10*VLOOKUP($B3182,Sheet2!$J$5:$K$7,2,FALSE)*VLOOKUP(Sheet1!$A3182,Sheet2!$B$5:$H$29,7,FALSE),0)</x:f>
        <x:v>0</x:v>
      </x:c>
      <x:c r="I3182">
        <x:f t="shared" ref="I3182:I3241" si="53">ROUND(1.2*10*10.5*(C3182-1)^1.8+90,-1)</x:f>
        <x:v>90</x:v>
      </x:c>
    </x:row>
    <x:row r="3183" spans="1:9" x14ac:dyDescent="0.15">
      <x:c r="A3183">
        <x:v>54153</x:v>
      </x:c>
      <x:c r="B3183">
        <x:v>3</x:v>
      </x:c>
      <x:c r="C3183">
        <x:v>2</x:v>
      </x:c>
      <x:c r="D3183">
        <x:f>ROUND($C3183*10*VLOOKUP($B3183,Sheet2!$J$5:$K$7,2,FALSE)*VLOOKUP(Sheet1!$A3183,Sheet2!$B$5:$H$29,3,FALSE),0)</x:f>
        <x:v>0</x:v>
      </x:c>
      <x:c r="E3183">
        <x:f>ROUND($C3183*10*VLOOKUP($B3183,Sheet2!$J$5:$K$7,2,FALSE)*VLOOKUP(Sheet1!$A3183,Sheet2!$B$5:$H$29,4,FALSE),0)</x:f>
        <x:v>0</x:v>
      </x:c>
      <x:c r="F3183">
        <x:f>ROUND($C3183*10*VLOOKUP($B3183,Sheet2!$J$5:$K$7,2,FALSE)*VLOOKUP(Sheet1!$A3183,Sheet2!$B$5:$H$29,5,FALSE),0)</x:f>
        <x:v>6</x:v>
      </x:c>
      <x:c r="G3183">
        <x:f>ROUND($C3183*10*VLOOKUP($B3183,Sheet2!$J$5:$K$7,2,FALSE)*VLOOKUP(Sheet1!$A3183,Sheet2!$B$5:$H$29,6,FALSE),0)</x:f>
        <x:v>19</x:v>
      </x:c>
      <x:c r="H3183">
        <x:f>ROUND($C3183*10*VLOOKUP($B3183,Sheet2!$J$5:$K$7,2,FALSE)*VLOOKUP(Sheet1!$A3183,Sheet2!$B$5:$H$29,7,FALSE),0)</x:f>
        <x:v>0</x:v>
      </x:c>
      <x:c r="I3183">
        <x:f t="shared" si="53"/>
        <x:v>220</x:v>
      </x:c>
    </x:row>
    <x:row r="3184" spans="1:9" x14ac:dyDescent="0.15">
      <x:c r="A3184">
        <x:v>54153</x:v>
      </x:c>
      <x:c r="B3184">
        <x:v>3</x:v>
      </x:c>
      <x:c r="C3184">
        <x:v>3</x:v>
      </x:c>
      <x:c r="D3184">
        <x:f>ROUND($C3184*10*VLOOKUP($B3184,Sheet2!$J$5:$K$7,2,FALSE)*VLOOKUP(Sheet1!$A3184,Sheet2!$B$5:$H$29,3,FALSE),0)</x:f>
        <x:v>0</x:v>
      </x:c>
      <x:c r="E3184">
        <x:f>ROUND($C3184*10*VLOOKUP($B3184,Sheet2!$J$5:$K$7,2,FALSE)*VLOOKUP(Sheet1!$A3184,Sheet2!$B$5:$H$29,4,FALSE),0)</x:f>
        <x:v>0</x:v>
      </x:c>
      <x:c r="F3184">
        <x:f>ROUND($C3184*10*VLOOKUP($B3184,Sheet2!$J$5:$K$7,2,FALSE)*VLOOKUP(Sheet1!$A3184,Sheet2!$B$5:$H$29,5,FALSE),0)</x:f>
        <x:v>10</x:v>
      </x:c>
      <x:c r="G3184">
        <x:f>ROUND($C3184*10*VLOOKUP($B3184,Sheet2!$J$5:$K$7,2,FALSE)*VLOOKUP(Sheet1!$A3184,Sheet2!$B$5:$H$29,6,FALSE),0)</x:f>
        <x:v>29</x:v>
      </x:c>
      <x:c r="H3184">
        <x:f>ROUND($C3184*10*VLOOKUP($B3184,Sheet2!$J$5:$K$7,2,FALSE)*VLOOKUP(Sheet1!$A3184,Sheet2!$B$5:$H$29,7,FALSE),0)</x:f>
        <x:v>0</x:v>
      </x:c>
      <x:c r="I3184">
        <x:f t="shared" si="53"/>
        <x:v>530</x:v>
      </x:c>
    </x:row>
    <x:row r="3185" spans="1:9" x14ac:dyDescent="0.15">
      <x:c r="A3185">
        <x:v>54153</x:v>
      </x:c>
      <x:c r="B3185">
        <x:v>3</x:v>
      </x:c>
      <x:c r="C3185">
        <x:v>4</x:v>
      </x:c>
      <x:c r="D3185">
        <x:f>ROUND($C3185*10*VLOOKUP($B3185,Sheet2!$J$5:$K$7,2,FALSE)*VLOOKUP(Sheet1!$A3185,Sheet2!$B$5:$H$29,3,FALSE),0)</x:f>
        <x:v>0</x:v>
      </x:c>
      <x:c r="E3185">
        <x:f>ROUND($C3185*10*VLOOKUP($B3185,Sheet2!$J$5:$K$7,2,FALSE)*VLOOKUP(Sheet1!$A3185,Sheet2!$B$5:$H$29,4,FALSE),0)</x:f>
        <x:v>0</x:v>
      </x:c>
      <x:c r="F3185">
        <x:f>ROUND($C3185*10*VLOOKUP($B3185,Sheet2!$J$5:$K$7,2,FALSE)*VLOOKUP(Sheet1!$A3185,Sheet2!$B$5:$H$29,5,FALSE),0)</x:f>
        <x:v>13</x:v>
      </x:c>
      <x:c r="G3185">
        <x:f>ROUND($C3185*10*VLOOKUP($B3185,Sheet2!$J$5:$K$7,2,FALSE)*VLOOKUP(Sheet1!$A3185,Sheet2!$B$5:$H$29,6,FALSE),0)</x:f>
        <x:v>38</x:v>
      </x:c>
      <x:c r="H3185">
        <x:f>ROUND($C3185*10*VLOOKUP($B3185,Sheet2!$J$5:$K$7,2,FALSE)*VLOOKUP(Sheet1!$A3185,Sheet2!$B$5:$H$29,7,FALSE),0)</x:f>
        <x:v>0</x:v>
      </x:c>
      <x:c r="I3185">
        <x:f t="shared" si="53"/>
        <x:v>1000</x:v>
      </x:c>
    </x:row>
    <x:row r="3186" spans="1:9" x14ac:dyDescent="0.15">
      <x:c r="A3186">
        <x:v>54153</x:v>
      </x:c>
      <x:c r="B3186">
        <x:v>3</x:v>
      </x:c>
      <x:c r="C3186">
        <x:v>5</x:v>
      </x:c>
      <x:c r="D3186">
        <x:f>ROUND($C3186*10*VLOOKUP($B3186,Sheet2!$J$5:$K$7,2,FALSE)*VLOOKUP(Sheet1!$A3186,Sheet2!$B$5:$H$29,3,FALSE),0)</x:f>
        <x:v>0</x:v>
      </x:c>
      <x:c r="E3186">
        <x:f>ROUND($C3186*10*VLOOKUP($B3186,Sheet2!$J$5:$K$7,2,FALSE)*VLOOKUP(Sheet1!$A3186,Sheet2!$B$5:$H$29,4,FALSE),0)</x:f>
        <x:v>0</x:v>
      </x:c>
      <x:c r="F3186">
        <x:f>ROUND($C3186*10*VLOOKUP($B3186,Sheet2!$J$5:$K$7,2,FALSE)*VLOOKUP(Sheet1!$A3186,Sheet2!$B$5:$H$29,5,FALSE),0)</x:f>
        <x:v>16</x:v>
      </x:c>
      <x:c r="G3186">
        <x:f>ROUND($C3186*10*VLOOKUP($B3186,Sheet2!$J$5:$K$7,2,FALSE)*VLOOKUP(Sheet1!$A3186,Sheet2!$B$5:$H$29,6,FALSE),0)</x:f>
        <x:v>48</x:v>
      </x:c>
      <x:c r="H3186">
        <x:f>ROUND($C3186*10*VLOOKUP($B3186,Sheet2!$J$5:$K$7,2,FALSE)*VLOOKUP(Sheet1!$A3186,Sheet2!$B$5:$H$29,7,FALSE),0)</x:f>
        <x:v>0</x:v>
      </x:c>
      <x:c r="I3186">
        <x:f t="shared" si="53"/>
        <x:v>1620</x:v>
      </x:c>
    </x:row>
    <x:row r="3187" spans="1:9" x14ac:dyDescent="0.15">
      <x:c r="A3187">
        <x:v>54153</x:v>
      </x:c>
      <x:c r="B3187">
        <x:v>3</x:v>
      </x:c>
      <x:c r="C3187">
        <x:v>6</x:v>
      </x:c>
      <x:c r="D3187">
        <x:f>ROUND($C3187*10*VLOOKUP($B3187,Sheet2!$J$5:$K$7,2,FALSE)*VLOOKUP(Sheet1!$A3187,Sheet2!$B$5:$H$29,3,FALSE),0)</x:f>
        <x:v>0</x:v>
      </x:c>
      <x:c r="E3187">
        <x:f>ROUND($C3187*10*VLOOKUP($B3187,Sheet2!$J$5:$K$7,2,FALSE)*VLOOKUP(Sheet1!$A3187,Sheet2!$B$5:$H$29,4,FALSE),0)</x:f>
        <x:v>0</x:v>
      </x:c>
      <x:c r="F3187">
        <x:f>ROUND($C3187*10*VLOOKUP($B3187,Sheet2!$J$5:$K$7,2,FALSE)*VLOOKUP(Sheet1!$A3187,Sheet2!$B$5:$H$29,5,FALSE),0)</x:f>
        <x:v>19</x:v>
      </x:c>
      <x:c r="G3187">
        <x:f>ROUND($C3187*10*VLOOKUP($B3187,Sheet2!$J$5:$K$7,2,FALSE)*VLOOKUP(Sheet1!$A3187,Sheet2!$B$5:$H$29,6,FALSE),0)</x:f>
        <x:v>58</x:v>
      </x:c>
      <x:c r="H3187">
        <x:f>ROUND($C3187*10*VLOOKUP($B3187,Sheet2!$J$5:$K$7,2,FALSE)*VLOOKUP(Sheet1!$A3187,Sheet2!$B$5:$H$29,7,FALSE),0)</x:f>
        <x:v>0</x:v>
      </x:c>
      <x:c r="I3187">
        <x:f t="shared" si="53"/>
        <x:v>2370</x:v>
      </x:c>
    </x:row>
    <x:row r="3188" spans="1:9" x14ac:dyDescent="0.15">
      <x:c r="A3188">
        <x:v>54153</x:v>
      </x:c>
      <x:c r="B3188">
        <x:v>3</x:v>
      </x:c>
      <x:c r="C3188">
        <x:v>7</x:v>
      </x:c>
      <x:c r="D3188">
        <x:f>ROUND($C3188*10*VLOOKUP($B3188,Sheet2!$J$5:$K$7,2,FALSE)*VLOOKUP(Sheet1!$A3188,Sheet2!$B$5:$H$29,3,FALSE),0)</x:f>
        <x:v>0</x:v>
      </x:c>
      <x:c r="E3188">
        <x:f>ROUND($C3188*10*VLOOKUP($B3188,Sheet2!$J$5:$K$7,2,FALSE)*VLOOKUP(Sheet1!$A3188,Sheet2!$B$5:$H$29,4,FALSE),0)</x:f>
        <x:v>0</x:v>
      </x:c>
      <x:c r="F3188">
        <x:f>ROUND($C3188*10*VLOOKUP($B3188,Sheet2!$J$5:$K$7,2,FALSE)*VLOOKUP(Sheet1!$A3188,Sheet2!$B$5:$H$29,5,FALSE),0)</x:f>
        <x:v>22</x:v>
      </x:c>
      <x:c r="G3188">
        <x:f>ROUND($C3188*10*VLOOKUP($B3188,Sheet2!$J$5:$K$7,2,FALSE)*VLOOKUP(Sheet1!$A3188,Sheet2!$B$5:$H$29,6,FALSE),0)</x:f>
        <x:v>67</x:v>
      </x:c>
      <x:c r="H3188">
        <x:f>ROUND($C3188*10*VLOOKUP($B3188,Sheet2!$J$5:$K$7,2,FALSE)*VLOOKUP(Sheet1!$A3188,Sheet2!$B$5:$H$29,7,FALSE),0)</x:f>
        <x:v>0</x:v>
      </x:c>
      <x:c r="I3188">
        <x:f t="shared" si="53"/>
        <x:v>3260</x:v>
      </x:c>
    </x:row>
    <x:row r="3189" spans="1:9" x14ac:dyDescent="0.15">
      <x:c r="A3189">
        <x:v>54153</x:v>
      </x:c>
      <x:c r="B3189">
        <x:v>3</x:v>
      </x:c>
      <x:c r="C3189">
        <x:v>8</x:v>
      </x:c>
      <x:c r="D3189">
        <x:f>ROUND($C3189*10*VLOOKUP($B3189,Sheet2!$J$5:$K$7,2,FALSE)*VLOOKUP(Sheet1!$A3189,Sheet2!$B$5:$H$29,3,FALSE),0)</x:f>
        <x:v>0</x:v>
      </x:c>
      <x:c r="E3189">
        <x:f>ROUND($C3189*10*VLOOKUP($B3189,Sheet2!$J$5:$K$7,2,FALSE)*VLOOKUP(Sheet1!$A3189,Sheet2!$B$5:$H$29,4,FALSE),0)</x:f>
        <x:v>0</x:v>
      </x:c>
      <x:c r="F3189">
        <x:f>ROUND($C3189*10*VLOOKUP($B3189,Sheet2!$J$5:$K$7,2,FALSE)*VLOOKUP(Sheet1!$A3189,Sheet2!$B$5:$H$29,5,FALSE),0)</x:f>
        <x:v>26</x:v>
      </x:c>
      <x:c r="G3189">
        <x:f>ROUND($C3189*10*VLOOKUP($B3189,Sheet2!$J$5:$K$7,2,FALSE)*VLOOKUP(Sheet1!$A3189,Sheet2!$B$5:$H$29,6,FALSE),0)</x:f>
        <x:v>77</x:v>
      </x:c>
      <x:c r="H3189">
        <x:f>ROUND($C3189*10*VLOOKUP($B3189,Sheet2!$J$5:$K$7,2,FALSE)*VLOOKUP(Sheet1!$A3189,Sheet2!$B$5:$H$29,7,FALSE),0)</x:f>
        <x:v>0</x:v>
      </x:c>
      <x:c r="I3189">
        <x:f t="shared" si="53"/>
        <x:v>4270</x:v>
      </x:c>
    </x:row>
    <x:row r="3190" spans="1:9" x14ac:dyDescent="0.15">
      <x:c r="A3190">
        <x:v>54153</x:v>
      </x:c>
      <x:c r="B3190">
        <x:v>3</x:v>
      </x:c>
      <x:c r="C3190">
        <x:v>9</x:v>
      </x:c>
      <x:c r="D3190">
        <x:f>ROUND($C3190*10*VLOOKUP($B3190,Sheet2!$J$5:$K$7,2,FALSE)*VLOOKUP(Sheet1!$A3190,Sheet2!$B$5:$H$29,3,FALSE),0)</x:f>
        <x:v>0</x:v>
      </x:c>
      <x:c r="E3190">
        <x:f>ROUND($C3190*10*VLOOKUP($B3190,Sheet2!$J$5:$K$7,2,FALSE)*VLOOKUP(Sheet1!$A3190,Sheet2!$B$5:$H$29,4,FALSE),0)</x:f>
        <x:v>0</x:v>
      </x:c>
      <x:c r="F3190">
        <x:f>ROUND($C3190*10*VLOOKUP($B3190,Sheet2!$J$5:$K$7,2,FALSE)*VLOOKUP(Sheet1!$A3190,Sheet2!$B$5:$H$29,5,FALSE),0)</x:f>
        <x:v>29</x:v>
      </x:c>
      <x:c r="G3190">
        <x:f>ROUND($C3190*10*VLOOKUP($B3190,Sheet2!$J$5:$K$7,2,FALSE)*VLOOKUP(Sheet1!$A3190,Sheet2!$B$5:$H$29,6,FALSE),0)</x:f>
        <x:v>86</x:v>
      </x:c>
      <x:c r="H3190">
        <x:f>ROUND($C3190*10*VLOOKUP($B3190,Sheet2!$J$5:$K$7,2,FALSE)*VLOOKUP(Sheet1!$A3190,Sheet2!$B$5:$H$29,7,FALSE),0)</x:f>
        <x:v>0</x:v>
      </x:c>
      <x:c r="I3190">
        <x:f t="shared" si="53"/>
        <x:v>5410</x:v>
      </x:c>
    </x:row>
    <x:row r="3191" spans="1:9" x14ac:dyDescent="0.15">
      <x:c r="A3191">
        <x:v>54153</x:v>
      </x:c>
      <x:c r="B3191">
        <x:v>3</x:v>
      </x:c>
      <x:c r="C3191">
        <x:v>10</x:v>
      </x:c>
      <x:c r="D3191">
        <x:f>ROUND($C3191*10*VLOOKUP($B3191,Sheet2!$J$5:$K$7,2,FALSE)*VLOOKUP(Sheet1!$A3191,Sheet2!$B$5:$H$29,3,FALSE),0)</x:f>
        <x:v>0</x:v>
      </x:c>
      <x:c r="E3191">
        <x:f>ROUND($C3191*10*VLOOKUP($B3191,Sheet2!$J$5:$K$7,2,FALSE)*VLOOKUP(Sheet1!$A3191,Sheet2!$B$5:$H$29,4,FALSE),0)</x:f>
        <x:v>0</x:v>
      </x:c>
      <x:c r="F3191">
        <x:f>ROUND($C3191*10*VLOOKUP($B3191,Sheet2!$J$5:$K$7,2,FALSE)*VLOOKUP(Sheet1!$A3191,Sheet2!$B$5:$H$29,5,FALSE),0)</x:f>
        <x:v>32</x:v>
      </x:c>
      <x:c r="G3191">
        <x:f>ROUND($C3191*10*VLOOKUP($B3191,Sheet2!$J$5:$K$7,2,FALSE)*VLOOKUP(Sheet1!$A3191,Sheet2!$B$5:$H$29,6,FALSE),0)</x:f>
        <x:v>96</x:v>
      </x:c>
      <x:c r="H3191">
        <x:f>ROUND($C3191*10*VLOOKUP($B3191,Sheet2!$J$5:$K$7,2,FALSE)*VLOOKUP(Sheet1!$A3191,Sheet2!$B$5:$H$29,7,FALSE),0)</x:f>
        <x:v>0</x:v>
      </x:c>
      <x:c r="I3191">
        <x:f t="shared" si="53"/>
        <x:v>6670</x:v>
      </x:c>
    </x:row>
    <x:row r="3192" spans="1:9" x14ac:dyDescent="0.15">
      <x:c r="A3192">
        <x:v>54153</x:v>
      </x:c>
      <x:c r="B3192">
        <x:v>3</x:v>
      </x:c>
      <x:c r="C3192">
        <x:v>11</x:v>
      </x:c>
      <x:c r="D3192">
        <x:f>ROUND($C3192*10*VLOOKUP($B3192,Sheet2!$J$5:$K$7,2,FALSE)*VLOOKUP(Sheet1!$A3192,Sheet2!$B$5:$H$29,3,FALSE),0)</x:f>
        <x:v>0</x:v>
      </x:c>
      <x:c r="E3192">
        <x:f>ROUND($C3192*10*VLOOKUP($B3192,Sheet2!$J$5:$K$7,2,FALSE)*VLOOKUP(Sheet1!$A3192,Sheet2!$B$5:$H$29,4,FALSE),0)</x:f>
        <x:v>0</x:v>
      </x:c>
      <x:c r="F3192">
        <x:f>ROUND($C3192*10*VLOOKUP($B3192,Sheet2!$J$5:$K$7,2,FALSE)*VLOOKUP(Sheet1!$A3192,Sheet2!$B$5:$H$29,5,FALSE),0)</x:f>
        <x:v>35</x:v>
      </x:c>
      <x:c r="G3192">
        <x:f>ROUND($C3192*10*VLOOKUP($B3192,Sheet2!$J$5:$K$7,2,FALSE)*VLOOKUP(Sheet1!$A3192,Sheet2!$B$5:$H$29,6,FALSE),0)</x:f>
        <x:v>106</x:v>
      </x:c>
      <x:c r="H3192">
        <x:f>ROUND($C3192*10*VLOOKUP($B3192,Sheet2!$J$5:$K$7,2,FALSE)*VLOOKUP(Sheet1!$A3192,Sheet2!$B$5:$H$29,7,FALSE),0)</x:f>
        <x:v>0</x:v>
      </x:c>
      <x:c r="I3192">
        <x:f t="shared" si="53"/>
        <x:v>8040</x:v>
      </x:c>
    </x:row>
    <x:row r="3193" spans="1:9" x14ac:dyDescent="0.15">
      <x:c r="A3193">
        <x:v>54153</x:v>
      </x:c>
      <x:c r="B3193">
        <x:v>3</x:v>
      </x:c>
      <x:c r="C3193">
        <x:v>12</x:v>
      </x:c>
      <x:c r="D3193">
        <x:f>ROUND($C3193*10*VLOOKUP($B3193,Sheet2!$J$5:$K$7,2,FALSE)*VLOOKUP(Sheet1!$A3193,Sheet2!$B$5:$H$29,3,FALSE),0)</x:f>
        <x:v>0</x:v>
      </x:c>
      <x:c r="E3193">
        <x:f>ROUND($C3193*10*VLOOKUP($B3193,Sheet2!$J$5:$K$7,2,FALSE)*VLOOKUP(Sheet1!$A3193,Sheet2!$B$5:$H$29,4,FALSE),0)</x:f>
        <x:v>0</x:v>
      </x:c>
      <x:c r="F3193">
        <x:f>ROUND($C3193*10*VLOOKUP($B3193,Sheet2!$J$5:$K$7,2,FALSE)*VLOOKUP(Sheet1!$A3193,Sheet2!$B$5:$H$29,5,FALSE),0)</x:f>
        <x:v>38</x:v>
      </x:c>
      <x:c r="G3193">
        <x:f>ROUND($C3193*10*VLOOKUP($B3193,Sheet2!$J$5:$K$7,2,FALSE)*VLOOKUP(Sheet1!$A3193,Sheet2!$B$5:$H$29,6,FALSE),0)</x:f>
        <x:v>115</x:v>
      </x:c>
      <x:c r="H3193">
        <x:f>ROUND($C3193*10*VLOOKUP($B3193,Sheet2!$J$5:$K$7,2,FALSE)*VLOOKUP(Sheet1!$A3193,Sheet2!$B$5:$H$29,7,FALSE),0)</x:f>
        <x:v>0</x:v>
      </x:c>
      <x:c r="I3193">
        <x:f t="shared" si="53"/>
        <x:v>9530</x:v>
      </x:c>
    </x:row>
    <x:row r="3194" spans="1:9" x14ac:dyDescent="0.15">
      <x:c r="A3194">
        <x:v>54153</x:v>
      </x:c>
      <x:c r="B3194">
        <x:v>3</x:v>
      </x:c>
      <x:c r="C3194">
        <x:v>13</x:v>
      </x:c>
      <x:c r="D3194">
        <x:f>ROUND($C3194*10*VLOOKUP($B3194,Sheet2!$J$5:$K$7,2,FALSE)*VLOOKUP(Sheet1!$A3194,Sheet2!$B$5:$H$29,3,FALSE),0)</x:f>
        <x:v>0</x:v>
      </x:c>
      <x:c r="E3194">
        <x:f>ROUND($C3194*10*VLOOKUP($B3194,Sheet2!$J$5:$K$7,2,FALSE)*VLOOKUP(Sheet1!$A3194,Sheet2!$B$5:$H$29,4,FALSE),0)</x:f>
        <x:v>0</x:v>
      </x:c>
      <x:c r="F3194">
        <x:f>ROUND($C3194*10*VLOOKUP($B3194,Sheet2!$J$5:$K$7,2,FALSE)*VLOOKUP(Sheet1!$A3194,Sheet2!$B$5:$H$29,5,FALSE),0)</x:f>
        <x:v>42</x:v>
      </x:c>
      <x:c r="G3194">
        <x:f>ROUND($C3194*10*VLOOKUP($B3194,Sheet2!$J$5:$K$7,2,FALSE)*VLOOKUP(Sheet1!$A3194,Sheet2!$B$5:$H$29,6,FALSE),0)</x:f>
        <x:v>125</x:v>
      </x:c>
      <x:c r="H3194">
        <x:f>ROUND($C3194*10*VLOOKUP($B3194,Sheet2!$J$5:$K$7,2,FALSE)*VLOOKUP(Sheet1!$A3194,Sheet2!$B$5:$H$29,7,FALSE),0)</x:f>
        <x:v>0</x:v>
      </x:c>
      <x:c r="I3194">
        <x:f t="shared" si="53"/>
        <x:v>11130</x:v>
      </x:c>
    </x:row>
    <x:row r="3195" spans="1:9" x14ac:dyDescent="0.15">
      <x:c r="A3195">
        <x:v>54153</x:v>
      </x:c>
      <x:c r="B3195">
        <x:v>3</x:v>
      </x:c>
      <x:c r="C3195">
        <x:v>14</x:v>
      </x:c>
      <x:c r="D3195">
        <x:f>ROUND($C3195*10*VLOOKUP($B3195,Sheet2!$J$5:$K$7,2,FALSE)*VLOOKUP(Sheet1!$A3195,Sheet2!$B$5:$H$29,3,FALSE),0)</x:f>
        <x:v>0</x:v>
      </x:c>
      <x:c r="E3195">
        <x:f>ROUND($C3195*10*VLOOKUP($B3195,Sheet2!$J$5:$K$7,2,FALSE)*VLOOKUP(Sheet1!$A3195,Sheet2!$B$5:$H$29,4,FALSE),0)</x:f>
        <x:v>0</x:v>
      </x:c>
      <x:c r="F3195">
        <x:f>ROUND($C3195*10*VLOOKUP($B3195,Sheet2!$J$5:$K$7,2,FALSE)*VLOOKUP(Sheet1!$A3195,Sheet2!$B$5:$H$29,5,FALSE),0)</x:f>
        <x:v>45</x:v>
      </x:c>
      <x:c r="G3195">
        <x:f>ROUND($C3195*10*VLOOKUP($B3195,Sheet2!$J$5:$K$7,2,FALSE)*VLOOKUP(Sheet1!$A3195,Sheet2!$B$5:$H$29,6,FALSE),0)</x:f>
        <x:v>134</x:v>
      </x:c>
      <x:c r="H3195">
        <x:f>ROUND($C3195*10*VLOOKUP($B3195,Sheet2!$J$5:$K$7,2,FALSE)*VLOOKUP(Sheet1!$A3195,Sheet2!$B$5:$H$29,7,FALSE),0)</x:f>
        <x:v>0</x:v>
      </x:c>
      <x:c r="I3195">
        <x:f t="shared" si="53"/>
        <x:v>12840</x:v>
      </x:c>
    </x:row>
    <x:row r="3196" spans="1:9" x14ac:dyDescent="0.15">
      <x:c r="A3196">
        <x:v>54153</x:v>
      </x:c>
      <x:c r="B3196">
        <x:v>3</x:v>
      </x:c>
      <x:c r="C3196">
        <x:v>15</x:v>
      </x:c>
      <x:c r="D3196">
        <x:f>ROUND($C3196*10*VLOOKUP($B3196,Sheet2!$J$5:$K$7,2,FALSE)*VLOOKUP(Sheet1!$A3196,Sheet2!$B$5:$H$29,3,FALSE),0)</x:f>
        <x:v>0</x:v>
      </x:c>
      <x:c r="E3196">
        <x:f>ROUND($C3196*10*VLOOKUP($B3196,Sheet2!$J$5:$K$7,2,FALSE)*VLOOKUP(Sheet1!$A3196,Sheet2!$B$5:$H$29,4,FALSE),0)</x:f>
        <x:v>0</x:v>
      </x:c>
      <x:c r="F3196">
        <x:f>ROUND($C3196*10*VLOOKUP($B3196,Sheet2!$J$5:$K$7,2,FALSE)*VLOOKUP(Sheet1!$A3196,Sheet2!$B$5:$H$29,5,FALSE),0)</x:f>
        <x:v>48</x:v>
      </x:c>
      <x:c r="G3196">
        <x:f>ROUND($C3196*10*VLOOKUP($B3196,Sheet2!$J$5:$K$7,2,FALSE)*VLOOKUP(Sheet1!$A3196,Sheet2!$B$5:$H$29,6,FALSE),0)</x:f>
        <x:v>144</x:v>
      </x:c>
      <x:c r="H3196">
        <x:f>ROUND($C3196*10*VLOOKUP($B3196,Sheet2!$J$5:$K$7,2,FALSE)*VLOOKUP(Sheet1!$A3196,Sheet2!$B$5:$H$29,7,FALSE),0)</x:f>
        <x:v>0</x:v>
      </x:c>
      <x:c r="I3196">
        <x:f t="shared" si="53"/>
        <x:v>14660</x:v>
      </x:c>
    </x:row>
    <x:row r="3197" spans="1:9" x14ac:dyDescent="0.15">
      <x:c r="A3197">
        <x:v>54153</x:v>
      </x:c>
      <x:c r="B3197">
        <x:v>3</x:v>
      </x:c>
      <x:c r="C3197">
        <x:v>16</x:v>
      </x:c>
      <x:c r="D3197">
        <x:f>ROUND($C3197*10*VLOOKUP($B3197,Sheet2!$J$5:$K$7,2,FALSE)*VLOOKUP(Sheet1!$A3197,Sheet2!$B$5:$H$29,3,FALSE),0)</x:f>
        <x:v>0</x:v>
      </x:c>
      <x:c r="E3197">
        <x:f>ROUND($C3197*10*VLOOKUP($B3197,Sheet2!$J$5:$K$7,2,FALSE)*VLOOKUP(Sheet1!$A3197,Sheet2!$B$5:$H$29,4,FALSE),0)</x:f>
        <x:v>0</x:v>
      </x:c>
      <x:c r="F3197">
        <x:f>ROUND($C3197*10*VLOOKUP($B3197,Sheet2!$J$5:$K$7,2,FALSE)*VLOOKUP(Sheet1!$A3197,Sheet2!$B$5:$H$29,5,FALSE),0)</x:f>
        <x:v>51</x:v>
      </x:c>
      <x:c r="G3197">
        <x:f>ROUND($C3197*10*VLOOKUP($B3197,Sheet2!$J$5:$K$7,2,FALSE)*VLOOKUP(Sheet1!$A3197,Sheet2!$B$5:$H$29,6,FALSE),0)</x:f>
        <x:v>154</x:v>
      </x:c>
      <x:c r="H3197">
        <x:f>ROUND($C3197*10*VLOOKUP($B3197,Sheet2!$J$5:$K$7,2,FALSE)*VLOOKUP(Sheet1!$A3197,Sheet2!$B$5:$H$29,7,FALSE),0)</x:f>
        <x:v>0</x:v>
      </x:c>
      <x:c r="I3197">
        <x:f t="shared" si="53"/>
        <x:v>16580</x:v>
      </x:c>
    </x:row>
    <x:row r="3198" spans="1:9" x14ac:dyDescent="0.15">
      <x:c r="A3198">
        <x:v>54153</x:v>
      </x:c>
      <x:c r="B3198">
        <x:v>3</x:v>
      </x:c>
      <x:c r="C3198">
        <x:v>17</x:v>
      </x:c>
      <x:c r="D3198">
        <x:f>ROUND($C3198*10*VLOOKUP($B3198,Sheet2!$J$5:$K$7,2,FALSE)*VLOOKUP(Sheet1!$A3198,Sheet2!$B$5:$H$29,3,FALSE),0)</x:f>
        <x:v>0</x:v>
      </x:c>
      <x:c r="E3198">
        <x:f>ROUND($C3198*10*VLOOKUP($B3198,Sheet2!$J$5:$K$7,2,FALSE)*VLOOKUP(Sheet1!$A3198,Sheet2!$B$5:$H$29,4,FALSE),0)</x:f>
        <x:v>0</x:v>
      </x:c>
      <x:c r="F3198">
        <x:f>ROUND($C3198*10*VLOOKUP($B3198,Sheet2!$J$5:$K$7,2,FALSE)*VLOOKUP(Sheet1!$A3198,Sheet2!$B$5:$H$29,5,FALSE),0)</x:f>
        <x:v>54</x:v>
      </x:c>
      <x:c r="G3198">
        <x:f>ROUND($C3198*10*VLOOKUP($B3198,Sheet2!$J$5:$K$7,2,FALSE)*VLOOKUP(Sheet1!$A3198,Sheet2!$B$5:$H$29,6,FALSE),0)</x:f>
        <x:v>163</x:v>
      </x:c>
      <x:c r="H3198">
        <x:f>ROUND($C3198*10*VLOOKUP($B3198,Sheet2!$J$5:$K$7,2,FALSE)*VLOOKUP(Sheet1!$A3198,Sheet2!$B$5:$H$29,7,FALSE),0)</x:f>
        <x:v>0</x:v>
      </x:c>
      <x:c r="I3198">
        <x:f t="shared" si="53"/>
        <x:v>18620</x:v>
      </x:c>
    </x:row>
    <x:row r="3199" spans="1:9" x14ac:dyDescent="0.15">
      <x:c r="A3199">
        <x:v>54153</x:v>
      </x:c>
      <x:c r="B3199">
        <x:v>3</x:v>
      </x:c>
      <x:c r="C3199">
        <x:v>18</x:v>
      </x:c>
      <x:c r="D3199">
        <x:f>ROUND($C3199*10*VLOOKUP($B3199,Sheet2!$J$5:$K$7,2,FALSE)*VLOOKUP(Sheet1!$A3199,Sheet2!$B$5:$H$29,3,FALSE),0)</x:f>
        <x:v>0</x:v>
      </x:c>
      <x:c r="E3199">
        <x:f>ROUND($C3199*10*VLOOKUP($B3199,Sheet2!$J$5:$K$7,2,FALSE)*VLOOKUP(Sheet1!$A3199,Sheet2!$B$5:$H$29,4,FALSE),0)</x:f>
        <x:v>0</x:v>
      </x:c>
      <x:c r="F3199">
        <x:f>ROUND($C3199*10*VLOOKUP($B3199,Sheet2!$J$5:$K$7,2,FALSE)*VLOOKUP(Sheet1!$A3199,Sheet2!$B$5:$H$29,5,FALSE),0)</x:f>
        <x:v>58</x:v>
      </x:c>
      <x:c r="G3199">
        <x:f>ROUND($C3199*10*VLOOKUP($B3199,Sheet2!$J$5:$K$7,2,FALSE)*VLOOKUP(Sheet1!$A3199,Sheet2!$B$5:$H$29,6,FALSE),0)</x:f>
        <x:v>173</x:v>
      </x:c>
      <x:c r="H3199">
        <x:f>ROUND($C3199*10*VLOOKUP($B3199,Sheet2!$J$5:$K$7,2,FALSE)*VLOOKUP(Sheet1!$A3199,Sheet2!$B$5:$H$29,7,FALSE),0)</x:f>
        <x:v>0</x:v>
      </x:c>
      <x:c r="I3199">
        <x:f t="shared" si="53"/>
        <x:v>20750</x:v>
      </x:c>
    </x:row>
    <x:row r="3200" spans="1:9" x14ac:dyDescent="0.15">
      <x:c r="A3200">
        <x:v>54153</x:v>
      </x:c>
      <x:c r="B3200">
        <x:v>3</x:v>
      </x:c>
      <x:c r="C3200">
        <x:v>19</x:v>
      </x:c>
      <x:c r="D3200">
        <x:f>ROUND($C3200*10*VLOOKUP($B3200,Sheet2!$J$5:$K$7,2,FALSE)*VLOOKUP(Sheet1!$A3200,Sheet2!$B$5:$H$29,3,FALSE),0)</x:f>
        <x:v>0</x:v>
      </x:c>
      <x:c r="E3200">
        <x:f>ROUND($C3200*10*VLOOKUP($B3200,Sheet2!$J$5:$K$7,2,FALSE)*VLOOKUP(Sheet1!$A3200,Sheet2!$B$5:$H$29,4,FALSE),0)</x:f>
        <x:v>0</x:v>
      </x:c>
      <x:c r="F3200">
        <x:f>ROUND($C3200*10*VLOOKUP($B3200,Sheet2!$J$5:$K$7,2,FALSE)*VLOOKUP(Sheet1!$A3200,Sheet2!$B$5:$H$29,5,FALSE),0)</x:f>
        <x:v>61</x:v>
      </x:c>
      <x:c r="G3200">
        <x:f>ROUND($C3200*10*VLOOKUP($B3200,Sheet2!$J$5:$K$7,2,FALSE)*VLOOKUP(Sheet1!$A3200,Sheet2!$B$5:$H$29,6,FALSE),0)</x:f>
        <x:v>182</x:v>
      </x:c>
      <x:c r="H3200">
        <x:f>ROUND($C3200*10*VLOOKUP($B3200,Sheet2!$J$5:$K$7,2,FALSE)*VLOOKUP(Sheet1!$A3200,Sheet2!$B$5:$H$29,7,FALSE),0)</x:f>
        <x:v>0</x:v>
      </x:c>
      <x:c r="I3200">
        <x:f t="shared" si="53"/>
        <x:v>22990</x:v>
      </x:c>
    </x:row>
    <x:row r="3201" spans="1:9" x14ac:dyDescent="0.15">
      <x:c r="A3201">
        <x:v>54153</x:v>
      </x:c>
      <x:c r="B3201">
        <x:v>3</x:v>
      </x:c>
      <x:c r="C3201">
        <x:v>20</x:v>
      </x:c>
      <x:c r="D3201">
        <x:f>ROUND($C3201*10*VLOOKUP($B3201,Sheet2!$J$5:$K$7,2,FALSE)*VLOOKUP(Sheet1!$A3201,Sheet2!$B$5:$H$29,3,FALSE),0)</x:f>
        <x:v>0</x:v>
      </x:c>
      <x:c r="E3201">
        <x:f>ROUND($C3201*10*VLOOKUP($B3201,Sheet2!$J$5:$K$7,2,FALSE)*VLOOKUP(Sheet1!$A3201,Sheet2!$B$5:$H$29,4,FALSE),0)</x:f>
        <x:v>0</x:v>
      </x:c>
      <x:c r="F3201">
        <x:f>ROUND($C3201*10*VLOOKUP($B3201,Sheet2!$J$5:$K$7,2,FALSE)*VLOOKUP(Sheet1!$A3201,Sheet2!$B$5:$H$29,5,FALSE),0)</x:f>
        <x:v>64</x:v>
      </x:c>
      <x:c r="G3201">
        <x:f>ROUND($C3201*10*VLOOKUP($B3201,Sheet2!$J$5:$K$7,2,FALSE)*VLOOKUP(Sheet1!$A3201,Sheet2!$B$5:$H$29,6,FALSE),0)</x:f>
        <x:v>192</x:v>
      </x:c>
      <x:c r="H3201">
        <x:f>ROUND($C3201*10*VLOOKUP($B3201,Sheet2!$J$5:$K$7,2,FALSE)*VLOOKUP(Sheet1!$A3201,Sheet2!$B$5:$H$29,7,FALSE),0)</x:f>
        <x:v>0</x:v>
      </x:c>
      <x:c r="I3201">
        <x:f t="shared" si="53"/>
        <x:v>25330</x:v>
      </x:c>
    </x:row>
    <x:row r="3202" spans="1:9" x14ac:dyDescent="0.15">
      <x:c r="A3202">
        <x:v>54153</x:v>
      </x:c>
      <x:c r="B3202">
        <x:v>3</x:v>
      </x:c>
      <x:c r="C3202">
        <x:v>21</x:v>
      </x:c>
      <x:c r="D3202">
        <x:f>ROUND($C3202*10*VLOOKUP($B3202,Sheet2!$J$5:$K$7,2,FALSE)*VLOOKUP(Sheet1!$A3202,Sheet2!$B$5:$H$29,3,FALSE),0)</x:f>
        <x:v>0</x:v>
      </x:c>
      <x:c r="E3202">
        <x:f>ROUND($C3202*10*VLOOKUP($B3202,Sheet2!$J$5:$K$7,2,FALSE)*VLOOKUP(Sheet1!$A3202,Sheet2!$B$5:$H$29,4,FALSE),0)</x:f>
        <x:v>0</x:v>
      </x:c>
      <x:c r="F3202">
        <x:f>ROUND($C3202*10*VLOOKUP($B3202,Sheet2!$J$5:$K$7,2,FALSE)*VLOOKUP(Sheet1!$A3202,Sheet2!$B$5:$H$29,5,FALSE),0)</x:f>
        <x:v>67</x:v>
      </x:c>
      <x:c r="G3202">
        <x:f>ROUND($C3202*10*VLOOKUP($B3202,Sheet2!$J$5:$K$7,2,FALSE)*VLOOKUP(Sheet1!$A3202,Sheet2!$B$5:$H$29,6,FALSE),0)</x:f>
        <x:v>202</x:v>
      </x:c>
      <x:c r="H3202">
        <x:f>ROUND($C3202*10*VLOOKUP($B3202,Sheet2!$J$5:$K$7,2,FALSE)*VLOOKUP(Sheet1!$A3202,Sheet2!$B$5:$H$29,7,FALSE),0)</x:f>
        <x:v>0</x:v>
      </x:c>
      <x:c r="I3202">
        <x:f t="shared" si="53"/>
        <x:v>27770</x:v>
      </x:c>
    </x:row>
    <x:row r="3203" spans="1:9" x14ac:dyDescent="0.15">
      <x:c r="A3203">
        <x:v>54153</x:v>
      </x:c>
      <x:c r="B3203">
        <x:v>3</x:v>
      </x:c>
      <x:c r="C3203">
        <x:v>22</x:v>
      </x:c>
      <x:c r="D3203">
        <x:f>ROUND($C3203*10*VLOOKUP($B3203,Sheet2!$J$5:$K$7,2,FALSE)*VLOOKUP(Sheet1!$A3203,Sheet2!$B$5:$H$29,3,FALSE),0)</x:f>
        <x:v>0</x:v>
      </x:c>
      <x:c r="E3203">
        <x:f>ROUND($C3203*10*VLOOKUP($B3203,Sheet2!$J$5:$K$7,2,FALSE)*VLOOKUP(Sheet1!$A3203,Sheet2!$B$5:$H$29,4,FALSE),0)</x:f>
        <x:v>0</x:v>
      </x:c>
      <x:c r="F3203">
        <x:f>ROUND($C3203*10*VLOOKUP($B3203,Sheet2!$J$5:$K$7,2,FALSE)*VLOOKUP(Sheet1!$A3203,Sheet2!$B$5:$H$29,5,FALSE),0)</x:f>
        <x:v>70</x:v>
      </x:c>
      <x:c r="G3203">
        <x:f>ROUND($C3203*10*VLOOKUP($B3203,Sheet2!$J$5:$K$7,2,FALSE)*VLOOKUP(Sheet1!$A3203,Sheet2!$B$5:$H$29,6,FALSE),0)</x:f>
        <x:v>211</x:v>
      </x:c>
      <x:c r="H3203">
        <x:f>ROUND($C3203*10*VLOOKUP($B3203,Sheet2!$J$5:$K$7,2,FALSE)*VLOOKUP(Sheet1!$A3203,Sheet2!$B$5:$H$29,7,FALSE),0)</x:f>
        <x:v>0</x:v>
      </x:c>
      <x:c r="I3203">
        <x:f t="shared" si="53"/>
        <x:v>30310</x:v>
      </x:c>
    </x:row>
    <x:row r="3204" spans="1:9" x14ac:dyDescent="0.15">
      <x:c r="A3204">
        <x:v>54153</x:v>
      </x:c>
      <x:c r="B3204">
        <x:v>3</x:v>
      </x:c>
      <x:c r="C3204">
        <x:v>23</x:v>
      </x:c>
      <x:c r="D3204">
        <x:f>ROUND($C3204*10*VLOOKUP($B3204,Sheet2!$J$5:$K$7,2,FALSE)*VLOOKUP(Sheet1!$A3204,Sheet2!$B$5:$H$29,3,FALSE),0)</x:f>
        <x:v>0</x:v>
      </x:c>
      <x:c r="E3204">
        <x:f>ROUND($C3204*10*VLOOKUP($B3204,Sheet2!$J$5:$K$7,2,FALSE)*VLOOKUP(Sheet1!$A3204,Sheet2!$B$5:$H$29,4,FALSE),0)</x:f>
        <x:v>0</x:v>
      </x:c>
      <x:c r="F3204">
        <x:f>ROUND($C3204*10*VLOOKUP($B3204,Sheet2!$J$5:$K$7,2,FALSE)*VLOOKUP(Sheet1!$A3204,Sheet2!$B$5:$H$29,5,FALSE),0)</x:f>
        <x:v>74</x:v>
      </x:c>
      <x:c r="G3204">
        <x:f>ROUND($C3204*10*VLOOKUP($B3204,Sheet2!$J$5:$K$7,2,FALSE)*VLOOKUP(Sheet1!$A3204,Sheet2!$B$5:$H$29,6,FALSE),0)</x:f>
        <x:v>221</x:v>
      </x:c>
      <x:c r="H3204">
        <x:f>ROUND($C3204*10*VLOOKUP($B3204,Sheet2!$J$5:$K$7,2,FALSE)*VLOOKUP(Sheet1!$A3204,Sheet2!$B$5:$H$29,7,FALSE),0)</x:f>
        <x:v>0</x:v>
      </x:c>
      <x:c r="I3204">
        <x:f t="shared" si="53"/>
        <x:v>32950</x:v>
      </x:c>
    </x:row>
    <x:row r="3205" spans="1:9" x14ac:dyDescent="0.15">
      <x:c r="A3205">
        <x:v>54153</x:v>
      </x:c>
      <x:c r="B3205">
        <x:v>3</x:v>
      </x:c>
      <x:c r="C3205">
        <x:v>24</x:v>
      </x:c>
      <x:c r="D3205">
        <x:f>ROUND($C3205*10*VLOOKUP($B3205,Sheet2!$J$5:$K$7,2,FALSE)*VLOOKUP(Sheet1!$A3205,Sheet2!$B$5:$H$29,3,FALSE),0)</x:f>
        <x:v>0</x:v>
      </x:c>
      <x:c r="E3205">
        <x:f>ROUND($C3205*10*VLOOKUP($B3205,Sheet2!$J$5:$K$7,2,FALSE)*VLOOKUP(Sheet1!$A3205,Sheet2!$B$5:$H$29,4,FALSE),0)</x:f>
        <x:v>0</x:v>
      </x:c>
      <x:c r="F3205">
        <x:f>ROUND($C3205*10*VLOOKUP($B3205,Sheet2!$J$5:$K$7,2,FALSE)*VLOOKUP(Sheet1!$A3205,Sheet2!$B$5:$H$29,5,FALSE),0)</x:f>
        <x:v>77</x:v>
      </x:c>
      <x:c r="G3205">
        <x:f>ROUND($C3205*10*VLOOKUP($B3205,Sheet2!$J$5:$K$7,2,FALSE)*VLOOKUP(Sheet1!$A3205,Sheet2!$B$5:$H$29,6,FALSE),0)</x:f>
        <x:v>230</x:v>
      </x:c>
      <x:c r="H3205">
        <x:f>ROUND($C3205*10*VLOOKUP($B3205,Sheet2!$J$5:$K$7,2,FALSE)*VLOOKUP(Sheet1!$A3205,Sheet2!$B$5:$H$29,7,FALSE),0)</x:f>
        <x:v>0</x:v>
      </x:c>
      <x:c r="I3205">
        <x:f t="shared" si="53"/>
        <x:v>35690</x:v>
      </x:c>
    </x:row>
    <x:row r="3206" spans="1:9" x14ac:dyDescent="0.15">
      <x:c r="A3206">
        <x:v>54153</x:v>
      </x:c>
      <x:c r="B3206">
        <x:v>3</x:v>
      </x:c>
      <x:c r="C3206">
        <x:v>25</x:v>
      </x:c>
      <x:c r="D3206">
        <x:f>ROUND($C3206*10*VLOOKUP($B3206,Sheet2!$J$5:$K$7,2,FALSE)*VLOOKUP(Sheet1!$A3206,Sheet2!$B$5:$H$29,3,FALSE),0)</x:f>
        <x:v>0</x:v>
      </x:c>
      <x:c r="E3206">
        <x:f>ROUND($C3206*10*VLOOKUP($B3206,Sheet2!$J$5:$K$7,2,FALSE)*VLOOKUP(Sheet1!$A3206,Sheet2!$B$5:$H$29,4,FALSE),0)</x:f>
        <x:v>0</x:v>
      </x:c>
      <x:c r="F3206">
        <x:f>ROUND($C3206*10*VLOOKUP($B3206,Sheet2!$J$5:$K$7,2,FALSE)*VLOOKUP(Sheet1!$A3206,Sheet2!$B$5:$H$29,5,FALSE),0)</x:f>
        <x:v>80</x:v>
      </x:c>
      <x:c r="G3206">
        <x:f>ROUND($C3206*10*VLOOKUP($B3206,Sheet2!$J$5:$K$7,2,FALSE)*VLOOKUP(Sheet1!$A3206,Sheet2!$B$5:$H$29,6,FALSE),0)</x:f>
        <x:v>240</x:v>
      </x:c>
      <x:c r="H3206">
        <x:f>ROUND($C3206*10*VLOOKUP($B3206,Sheet2!$J$5:$K$7,2,FALSE)*VLOOKUP(Sheet1!$A3206,Sheet2!$B$5:$H$29,7,FALSE),0)</x:f>
        <x:v>0</x:v>
      </x:c>
      <x:c r="I3206">
        <x:f t="shared" si="53"/>
        <x:v>38530</x:v>
      </x:c>
    </x:row>
    <x:row r="3207" spans="1:9" x14ac:dyDescent="0.15">
      <x:c r="A3207">
        <x:v>54153</x:v>
      </x:c>
      <x:c r="B3207">
        <x:v>3</x:v>
      </x:c>
      <x:c r="C3207">
        <x:v>26</x:v>
      </x:c>
      <x:c r="D3207">
        <x:f>ROUND($C3207*10*VLOOKUP($B3207,Sheet2!$J$5:$K$7,2,FALSE)*VLOOKUP(Sheet1!$A3207,Sheet2!$B$5:$H$29,3,FALSE),0)</x:f>
        <x:v>0</x:v>
      </x:c>
      <x:c r="E3207">
        <x:f>ROUND($C3207*10*VLOOKUP($B3207,Sheet2!$J$5:$K$7,2,FALSE)*VLOOKUP(Sheet1!$A3207,Sheet2!$B$5:$H$29,4,FALSE),0)</x:f>
        <x:v>0</x:v>
      </x:c>
      <x:c r="F3207">
        <x:f>ROUND($C3207*10*VLOOKUP($B3207,Sheet2!$J$5:$K$7,2,FALSE)*VLOOKUP(Sheet1!$A3207,Sheet2!$B$5:$H$29,5,FALSE),0)</x:f>
        <x:v>83</x:v>
      </x:c>
      <x:c r="G3207">
        <x:f>ROUND($C3207*10*VLOOKUP($B3207,Sheet2!$J$5:$K$7,2,FALSE)*VLOOKUP(Sheet1!$A3207,Sheet2!$B$5:$H$29,6,FALSE),0)</x:f>
        <x:v>250</x:v>
      </x:c>
      <x:c r="H3207">
        <x:f>ROUND($C3207*10*VLOOKUP($B3207,Sheet2!$J$5:$K$7,2,FALSE)*VLOOKUP(Sheet1!$A3207,Sheet2!$B$5:$H$29,7,FALSE),0)</x:f>
        <x:v>0</x:v>
      </x:c>
      <x:c r="I3207">
        <x:f t="shared" si="53"/>
        <x:v>41460</x:v>
      </x:c>
    </x:row>
    <x:row r="3208" spans="1:9" x14ac:dyDescent="0.15">
      <x:c r="A3208">
        <x:v>54153</x:v>
      </x:c>
      <x:c r="B3208">
        <x:v>3</x:v>
      </x:c>
      <x:c r="C3208">
        <x:v>27</x:v>
      </x:c>
      <x:c r="D3208">
        <x:f>ROUND($C3208*10*VLOOKUP($B3208,Sheet2!$J$5:$K$7,2,FALSE)*VLOOKUP(Sheet1!$A3208,Sheet2!$B$5:$H$29,3,FALSE),0)</x:f>
        <x:v>0</x:v>
      </x:c>
      <x:c r="E3208">
        <x:f>ROUND($C3208*10*VLOOKUP($B3208,Sheet2!$J$5:$K$7,2,FALSE)*VLOOKUP(Sheet1!$A3208,Sheet2!$B$5:$H$29,4,FALSE),0)</x:f>
        <x:v>0</x:v>
      </x:c>
      <x:c r="F3208">
        <x:f>ROUND($C3208*10*VLOOKUP($B3208,Sheet2!$J$5:$K$7,2,FALSE)*VLOOKUP(Sheet1!$A3208,Sheet2!$B$5:$H$29,5,FALSE),0)</x:f>
        <x:v>86</x:v>
      </x:c>
      <x:c r="G3208">
        <x:f>ROUND($C3208*10*VLOOKUP($B3208,Sheet2!$J$5:$K$7,2,FALSE)*VLOOKUP(Sheet1!$A3208,Sheet2!$B$5:$H$29,6,FALSE),0)</x:f>
        <x:v>259</x:v>
      </x:c>
      <x:c r="H3208">
        <x:f>ROUND($C3208*10*VLOOKUP($B3208,Sheet2!$J$5:$K$7,2,FALSE)*VLOOKUP(Sheet1!$A3208,Sheet2!$B$5:$H$29,7,FALSE),0)</x:f>
        <x:v>0</x:v>
      </x:c>
      <x:c r="I3208">
        <x:f t="shared" si="53"/>
        <x:v>44480</x:v>
      </x:c>
    </x:row>
    <x:row r="3209" spans="1:9" x14ac:dyDescent="0.15">
      <x:c r="A3209">
        <x:v>54153</x:v>
      </x:c>
      <x:c r="B3209">
        <x:v>3</x:v>
      </x:c>
      <x:c r="C3209">
        <x:v>28</x:v>
      </x:c>
      <x:c r="D3209">
        <x:f>ROUND($C3209*10*VLOOKUP($B3209,Sheet2!$J$5:$K$7,2,FALSE)*VLOOKUP(Sheet1!$A3209,Sheet2!$B$5:$H$29,3,FALSE),0)</x:f>
        <x:v>0</x:v>
      </x:c>
      <x:c r="E3209">
        <x:f>ROUND($C3209*10*VLOOKUP($B3209,Sheet2!$J$5:$K$7,2,FALSE)*VLOOKUP(Sheet1!$A3209,Sheet2!$B$5:$H$29,4,FALSE),0)</x:f>
        <x:v>0</x:v>
      </x:c>
      <x:c r="F3209">
        <x:f>ROUND($C3209*10*VLOOKUP($B3209,Sheet2!$J$5:$K$7,2,FALSE)*VLOOKUP(Sheet1!$A3209,Sheet2!$B$5:$H$29,5,FALSE),0)</x:f>
        <x:v>90</x:v>
      </x:c>
      <x:c r="G3209">
        <x:f>ROUND($C3209*10*VLOOKUP($B3209,Sheet2!$J$5:$K$7,2,FALSE)*VLOOKUP(Sheet1!$A3209,Sheet2!$B$5:$H$29,6,FALSE),0)</x:f>
        <x:v>269</x:v>
      </x:c>
      <x:c r="H3209">
        <x:f>ROUND($C3209*10*VLOOKUP($B3209,Sheet2!$J$5:$K$7,2,FALSE)*VLOOKUP(Sheet1!$A3209,Sheet2!$B$5:$H$29,7,FALSE),0)</x:f>
        <x:v>0</x:v>
      </x:c>
      <x:c r="I3209">
        <x:f t="shared" si="53"/>
        <x:v>47600</x:v>
      </x:c>
    </x:row>
    <x:row r="3210" spans="1:9" x14ac:dyDescent="0.15">
      <x:c r="A3210">
        <x:v>54153</x:v>
      </x:c>
      <x:c r="B3210">
        <x:v>3</x:v>
      </x:c>
      <x:c r="C3210">
        <x:v>29</x:v>
      </x:c>
      <x:c r="D3210">
        <x:f>ROUND($C3210*10*VLOOKUP($B3210,Sheet2!$J$5:$K$7,2,FALSE)*VLOOKUP(Sheet1!$A3210,Sheet2!$B$5:$H$29,3,FALSE),0)</x:f>
        <x:v>0</x:v>
      </x:c>
      <x:c r="E3210">
        <x:f>ROUND($C3210*10*VLOOKUP($B3210,Sheet2!$J$5:$K$7,2,FALSE)*VLOOKUP(Sheet1!$A3210,Sheet2!$B$5:$H$29,4,FALSE),0)</x:f>
        <x:v>0</x:v>
      </x:c>
      <x:c r="F3210">
        <x:f>ROUND($C3210*10*VLOOKUP($B3210,Sheet2!$J$5:$K$7,2,FALSE)*VLOOKUP(Sheet1!$A3210,Sheet2!$B$5:$H$29,5,FALSE),0)</x:f>
        <x:v>93</x:v>
      </x:c>
      <x:c r="G3210">
        <x:f>ROUND($C3210*10*VLOOKUP($B3210,Sheet2!$J$5:$K$7,2,FALSE)*VLOOKUP(Sheet1!$A3210,Sheet2!$B$5:$H$29,6,FALSE),0)</x:f>
        <x:v>278</x:v>
      </x:c>
      <x:c r="H3210">
        <x:f>ROUND($C3210*10*VLOOKUP($B3210,Sheet2!$J$5:$K$7,2,FALSE)*VLOOKUP(Sheet1!$A3210,Sheet2!$B$5:$H$29,7,FALSE),0)</x:f>
        <x:v>0</x:v>
      </x:c>
      <x:c r="I3210">
        <x:f t="shared" si="53"/>
        <x:v>50820</x:v>
      </x:c>
    </x:row>
    <x:row r="3211" spans="1:9" x14ac:dyDescent="0.15">
      <x:c r="A3211">
        <x:v>54153</x:v>
      </x:c>
      <x:c r="B3211">
        <x:v>3</x:v>
      </x:c>
      <x:c r="C3211">
        <x:v>30</x:v>
      </x:c>
      <x:c r="D3211">
        <x:f>ROUND($C3211*10*VLOOKUP($B3211,Sheet2!$J$5:$K$7,2,FALSE)*VLOOKUP(Sheet1!$A3211,Sheet2!$B$5:$H$29,3,FALSE),0)</x:f>
        <x:v>0</x:v>
      </x:c>
      <x:c r="E3211">
        <x:f>ROUND($C3211*10*VLOOKUP($B3211,Sheet2!$J$5:$K$7,2,FALSE)*VLOOKUP(Sheet1!$A3211,Sheet2!$B$5:$H$29,4,FALSE),0)</x:f>
        <x:v>0</x:v>
      </x:c>
      <x:c r="F3211">
        <x:f>ROUND($C3211*10*VLOOKUP($B3211,Sheet2!$J$5:$K$7,2,FALSE)*VLOOKUP(Sheet1!$A3211,Sheet2!$B$5:$H$29,5,FALSE),0)</x:f>
        <x:v>96</x:v>
      </x:c>
      <x:c r="G3211">
        <x:f>ROUND($C3211*10*VLOOKUP($B3211,Sheet2!$J$5:$K$7,2,FALSE)*VLOOKUP(Sheet1!$A3211,Sheet2!$B$5:$H$29,6,FALSE),0)</x:f>
        <x:v>288</x:v>
      </x:c>
      <x:c r="H3211">
        <x:f>ROUND($C3211*10*VLOOKUP($B3211,Sheet2!$J$5:$K$7,2,FALSE)*VLOOKUP(Sheet1!$A3211,Sheet2!$B$5:$H$29,7,FALSE),0)</x:f>
        <x:v>0</x:v>
      </x:c>
      <x:c r="I3211">
        <x:f t="shared" si="53"/>
        <x:v>54130</x:v>
      </x:c>
    </x:row>
    <x:row r="3212" spans="1:9" x14ac:dyDescent="0.15">
      <x:c r="A3212">
        <x:v>54153</x:v>
      </x:c>
      <x:c r="B3212">
        <x:v>3</x:v>
      </x:c>
      <x:c r="C3212">
        <x:v>31</x:v>
      </x:c>
      <x:c r="D3212">
        <x:f>ROUND($C3212*10*VLOOKUP($B3212,Sheet2!$J$5:$K$7,2,FALSE)*VLOOKUP(Sheet1!$A3212,Sheet2!$B$5:$H$29,3,FALSE),0)</x:f>
        <x:v>0</x:v>
      </x:c>
      <x:c r="E3212">
        <x:f>ROUND($C3212*10*VLOOKUP($B3212,Sheet2!$J$5:$K$7,2,FALSE)*VLOOKUP(Sheet1!$A3212,Sheet2!$B$5:$H$29,4,FALSE),0)</x:f>
        <x:v>0</x:v>
      </x:c>
      <x:c r="F3212">
        <x:f>ROUND($C3212*10*VLOOKUP($B3212,Sheet2!$J$5:$K$7,2,FALSE)*VLOOKUP(Sheet1!$A3212,Sheet2!$B$5:$H$29,5,FALSE),0)</x:f>
        <x:v>99</x:v>
      </x:c>
      <x:c r="G3212">
        <x:f>ROUND($C3212*10*VLOOKUP($B3212,Sheet2!$J$5:$K$7,2,FALSE)*VLOOKUP(Sheet1!$A3212,Sheet2!$B$5:$H$29,6,FALSE),0)</x:f>
        <x:v>298</x:v>
      </x:c>
      <x:c r="H3212">
        <x:f>ROUND($C3212*10*VLOOKUP($B3212,Sheet2!$J$5:$K$7,2,FALSE)*VLOOKUP(Sheet1!$A3212,Sheet2!$B$5:$H$29,7,FALSE),0)</x:f>
        <x:v>0</x:v>
      </x:c>
      <x:c r="I3212">
        <x:f t="shared" si="53"/>
        <x:v>57530</x:v>
      </x:c>
    </x:row>
    <x:row r="3213" spans="1:9" x14ac:dyDescent="0.15">
      <x:c r="A3213">
        <x:v>54153</x:v>
      </x:c>
      <x:c r="B3213">
        <x:v>3</x:v>
      </x:c>
      <x:c r="C3213">
        <x:v>32</x:v>
      </x:c>
      <x:c r="D3213">
        <x:f>ROUND($C3213*10*VLOOKUP($B3213,Sheet2!$J$5:$K$7,2,FALSE)*VLOOKUP(Sheet1!$A3213,Sheet2!$B$5:$H$29,3,FALSE),0)</x:f>
        <x:v>0</x:v>
      </x:c>
      <x:c r="E3213">
        <x:f>ROUND($C3213*10*VLOOKUP($B3213,Sheet2!$J$5:$K$7,2,FALSE)*VLOOKUP(Sheet1!$A3213,Sheet2!$B$5:$H$29,4,FALSE),0)</x:f>
        <x:v>0</x:v>
      </x:c>
      <x:c r="F3213">
        <x:f>ROUND($C3213*10*VLOOKUP($B3213,Sheet2!$J$5:$K$7,2,FALSE)*VLOOKUP(Sheet1!$A3213,Sheet2!$B$5:$H$29,5,FALSE),0)</x:f>
        <x:v>102</x:v>
      </x:c>
      <x:c r="G3213">
        <x:f>ROUND($C3213*10*VLOOKUP($B3213,Sheet2!$J$5:$K$7,2,FALSE)*VLOOKUP(Sheet1!$A3213,Sheet2!$B$5:$H$29,6,FALSE),0)</x:f>
        <x:v>307</x:v>
      </x:c>
      <x:c r="H3213">
        <x:f>ROUND($C3213*10*VLOOKUP($B3213,Sheet2!$J$5:$K$7,2,FALSE)*VLOOKUP(Sheet1!$A3213,Sheet2!$B$5:$H$29,7,FALSE),0)</x:f>
        <x:v>0</x:v>
      </x:c>
      <x:c r="I3213">
        <x:f t="shared" si="53"/>
        <x:v>61020</x:v>
      </x:c>
    </x:row>
    <x:row r="3214" spans="1:9" x14ac:dyDescent="0.15">
      <x:c r="A3214">
        <x:v>54153</x:v>
      </x:c>
      <x:c r="B3214">
        <x:v>3</x:v>
      </x:c>
      <x:c r="C3214">
        <x:v>33</x:v>
      </x:c>
      <x:c r="D3214">
        <x:f>ROUND($C3214*10*VLOOKUP($B3214,Sheet2!$J$5:$K$7,2,FALSE)*VLOOKUP(Sheet1!$A3214,Sheet2!$B$5:$H$29,3,FALSE),0)</x:f>
        <x:v>0</x:v>
      </x:c>
      <x:c r="E3214">
        <x:f>ROUND($C3214*10*VLOOKUP($B3214,Sheet2!$J$5:$K$7,2,FALSE)*VLOOKUP(Sheet1!$A3214,Sheet2!$B$5:$H$29,4,FALSE),0)</x:f>
        <x:v>0</x:v>
      </x:c>
      <x:c r="F3214">
        <x:f>ROUND($C3214*10*VLOOKUP($B3214,Sheet2!$J$5:$K$7,2,FALSE)*VLOOKUP(Sheet1!$A3214,Sheet2!$B$5:$H$29,5,FALSE),0)</x:f>
        <x:v>106</x:v>
      </x:c>
      <x:c r="G3214">
        <x:f>ROUND($C3214*10*VLOOKUP($B3214,Sheet2!$J$5:$K$7,2,FALSE)*VLOOKUP(Sheet1!$A3214,Sheet2!$B$5:$H$29,6,FALSE),0)</x:f>
        <x:v>317</x:v>
      </x:c>
      <x:c r="H3214">
        <x:f>ROUND($C3214*10*VLOOKUP($B3214,Sheet2!$J$5:$K$7,2,FALSE)*VLOOKUP(Sheet1!$A3214,Sheet2!$B$5:$H$29,7,FALSE),0)</x:f>
        <x:v>0</x:v>
      </x:c>
      <x:c r="I3214">
        <x:f t="shared" si="53"/>
        <x:v>64600</x:v>
      </x:c>
    </x:row>
    <x:row r="3215" spans="1:9" x14ac:dyDescent="0.15">
      <x:c r="A3215">
        <x:v>54153</x:v>
      </x:c>
      <x:c r="B3215">
        <x:v>3</x:v>
      </x:c>
      <x:c r="C3215">
        <x:v>34</x:v>
      </x:c>
      <x:c r="D3215">
        <x:f>ROUND($C3215*10*VLOOKUP($B3215,Sheet2!$J$5:$K$7,2,FALSE)*VLOOKUP(Sheet1!$A3215,Sheet2!$B$5:$H$29,3,FALSE),0)</x:f>
        <x:v>0</x:v>
      </x:c>
      <x:c r="E3215">
        <x:f>ROUND($C3215*10*VLOOKUP($B3215,Sheet2!$J$5:$K$7,2,FALSE)*VLOOKUP(Sheet1!$A3215,Sheet2!$B$5:$H$29,4,FALSE),0)</x:f>
        <x:v>0</x:v>
      </x:c>
      <x:c r="F3215">
        <x:f>ROUND($C3215*10*VLOOKUP($B3215,Sheet2!$J$5:$K$7,2,FALSE)*VLOOKUP(Sheet1!$A3215,Sheet2!$B$5:$H$29,5,FALSE),0)</x:f>
        <x:v>109</x:v>
      </x:c>
      <x:c r="G3215">
        <x:f>ROUND($C3215*10*VLOOKUP($B3215,Sheet2!$J$5:$K$7,2,FALSE)*VLOOKUP(Sheet1!$A3215,Sheet2!$B$5:$H$29,6,FALSE),0)</x:f>
        <x:v>326</x:v>
      </x:c>
      <x:c r="H3215">
        <x:f>ROUND($C3215*10*VLOOKUP($B3215,Sheet2!$J$5:$K$7,2,FALSE)*VLOOKUP(Sheet1!$A3215,Sheet2!$B$5:$H$29,7,FALSE),0)</x:f>
        <x:v>0</x:v>
      </x:c>
      <x:c r="I3215">
        <x:f t="shared" si="53"/>
        <x:v>68280</x:v>
      </x:c>
    </x:row>
    <x:row r="3216" spans="1:9" x14ac:dyDescent="0.15">
      <x:c r="A3216">
        <x:v>54153</x:v>
      </x:c>
      <x:c r="B3216">
        <x:v>3</x:v>
      </x:c>
      <x:c r="C3216">
        <x:v>35</x:v>
      </x:c>
      <x:c r="D3216">
        <x:f>ROUND($C3216*10*VLOOKUP($B3216,Sheet2!$J$5:$K$7,2,FALSE)*VLOOKUP(Sheet1!$A3216,Sheet2!$B$5:$H$29,3,FALSE),0)</x:f>
        <x:v>0</x:v>
      </x:c>
      <x:c r="E3216">
        <x:f>ROUND($C3216*10*VLOOKUP($B3216,Sheet2!$J$5:$K$7,2,FALSE)*VLOOKUP(Sheet1!$A3216,Sheet2!$B$5:$H$29,4,FALSE),0)</x:f>
        <x:v>0</x:v>
      </x:c>
      <x:c r="F3216">
        <x:f>ROUND($C3216*10*VLOOKUP($B3216,Sheet2!$J$5:$K$7,2,FALSE)*VLOOKUP(Sheet1!$A3216,Sheet2!$B$5:$H$29,5,FALSE),0)</x:f>
        <x:v>112</x:v>
      </x:c>
      <x:c r="G3216">
        <x:f>ROUND($C3216*10*VLOOKUP($B3216,Sheet2!$J$5:$K$7,2,FALSE)*VLOOKUP(Sheet1!$A3216,Sheet2!$B$5:$H$29,6,FALSE),0)</x:f>
        <x:v>336</x:v>
      </x:c>
      <x:c r="H3216">
        <x:f>ROUND($C3216*10*VLOOKUP($B3216,Sheet2!$J$5:$K$7,2,FALSE)*VLOOKUP(Sheet1!$A3216,Sheet2!$B$5:$H$29,7,FALSE),0)</x:f>
        <x:v>0</x:v>
      </x:c>
      <x:c r="I3216">
        <x:f t="shared" si="53"/>
        <x:v>72040</x:v>
      </x:c>
    </x:row>
    <x:row r="3217" spans="1:9" x14ac:dyDescent="0.15">
      <x:c r="A3217">
        <x:v>54153</x:v>
      </x:c>
      <x:c r="B3217">
        <x:v>3</x:v>
      </x:c>
      <x:c r="C3217">
        <x:v>36</x:v>
      </x:c>
      <x:c r="D3217">
        <x:f>ROUND($C3217*10*VLOOKUP($B3217,Sheet2!$J$5:$K$7,2,FALSE)*VLOOKUP(Sheet1!$A3217,Sheet2!$B$5:$H$29,3,FALSE),0)</x:f>
        <x:v>0</x:v>
      </x:c>
      <x:c r="E3217">
        <x:f>ROUND($C3217*10*VLOOKUP($B3217,Sheet2!$J$5:$K$7,2,FALSE)*VLOOKUP(Sheet1!$A3217,Sheet2!$B$5:$H$29,4,FALSE),0)</x:f>
        <x:v>0</x:v>
      </x:c>
      <x:c r="F3217">
        <x:f>ROUND($C3217*10*VLOOKUP($B3217,Sheet2!$J$5:$K$7,2,FALSE)*VLOOKUP(Sheet1!$A3217,Sheet2!$B$5:$H$29,5,FALSE),0)</x:f>
        <x:v>115</x:v>
      </x:c>
      <x:c r="G3217">
        <x:f>ROUND($C3217*10*VLOOKUP($B3217,Sheet2!$J$5:$K$7,2,FALSE)*VLOOKUP(Sheet1!$A3217,Sheet2!$B$5:$H$29,6,FALSE),0)</x:f>
        <x:v>346</x:v>
      </x:c>
      <x:c r="H3217">
        <x:f>ROUND($C3217*10*VLOOKUP($B3217,Sheet2!$J$5:$K$7,2,FALSE)*VLOOKUP(Sheet1!$A3217,Sheet2!$B$5:$H$29,7,FALSE),0)</x:f>
        <x:v>0</x:v>
      </x:c>
      <x:c r="I3217">
        <x:f t="shared" si="53"/>
        <x:v>75890</x:v>
      </x:c>
    </x:row>
    <x:row r="3218" spans="1:9" x14ac:dyDescent="0.15">
      <x:c r="A3218">
        <x:v>54153</x:v>
      </x:c>
      <x:c r="B3218">
        <x:v>3</x:v>
      </x:c>
      <x:c r="C3218">
        <x:v>37</x:v>
      </x:c>
      <x:c r="D3218">
        <x:f>ROUND($C3218*10*VLOOKUP($B3218,Sheet2!$J$5:$K$7,2,FALSE)*VLOOKUP(Sheet1!$A3218,Sheet2!$B$5:$H$29,3,FALSE),0)</x:f>
        <x:v>0</x:v>
      </x:c>
      <x:c r="E3218">
        <x:f>ROUND($C3218*10*VLOOKUP($B3218,Sheet2!$J$5:$K$7,2,FALSE)*VLOOKUP(Sheet1!$A3218,Sheet2!$B$5:$H$29,4,FALSE),0)</x:f>
        <x:v>0</x:v>
      </x:c>
      <x:c r="F3218">
        <x:f>ROUND($C3218*10*VLOOKUP($B3218,Sheet2!$J$5:$K$7,2,FALSE)*VLOOKUP(Sheet1!$A3218,Sheet2!$B$5:$H$29,5,FALSE),0)</x:f>
        <x:v>118</x:v>
      </x:c>
      <x:c r="G3218">
        <x:f>ROUND($C3218*10*VLOOKUP($B3218,Sheet2!$J$5:$K$7,2,FALSE)*VLOOKUP(Sheet1!$A3218,Sheet2!$B$5:$H$29,6,FALSE),0)</x:f>
        <x:v>355</x:v>
      </x:c>
      <x:c r="H3218">
        <x:f>ROUND($C3218*10*VLOOKUP($B3218,Sheet2!$J$5:$K$7,2,FALSE)*VLOOKUP(Sheet1!$A3218,Sheet2!$B$5:$H$29,7,FALSE),0)</x:f>
        <x:v>0</x:v>
      </x:c>
      <x:c r="I3218">
        <x:f t="shared" si="53"/>
        <x:v>79840</x:v>
      </x:c>
    </x:row>
    <x:row r="3219" spans="1:9" x14ac:dyDescent="0.15">
      <x:c r="A3219">
        <x:v>54153</x:v>
      </x:c>
      <x:c r="B3219">
        <x:v>3</x:v>
      </x:c>
      <x:c r="C3219">
        <x:v>38</x:v>
      </x:c>
      <x:c r="D3219">
        <x:f>ROUND($C3219*10*VLOOKUP($B3219,Sheet2!$J$5:$K$7,2,FALSE)*VLOOKUP(Sheet1!$A3219,Sheet2!$B$5:$H$29,3,FALSE),0)</x:f>
        <x:v>0</x:v>
      </x:c>
      <x:c r="E3219">
        <x:f>ROUND($C3219*10*VLOOKUP($B3219,Sheet2!$J$5:$K$7,2,FALSE)*VLOOKUP(Sheet1!$A3219,Sheet2!$B$5:$H$29,4,FALSE),0)</x:f>
        <x:v>0</x:v>
      </x:c>
      <x:c r="F3219">
        <x:f>ROUND($C3219*10*VLOOKUP($B3219,Sheet2!$J$5:$K$7,2,FALSE)*VLOOKUP(Sheet1!$A3219,Sheet2!$B$5:$H$29,5,FALSE),0)</x:f>
        <x:v>122</x:v>
      </x:c>
      <x:c r="G3219">
        <x:f>ROUND($C3219*10*VLOOKUP($B3219,Sheet2!$J$5:$K$7,2,FALSE)*VLOOKUP(Sheet1!$A3219,Sheet2!$B$5:$H$29,6,FALSE),0)</x:f>
        <x:v>365</x:v>
      </x:c>
      <x:c r="H3219">
        <x:f>ROUND($C3219*10*VLOOKUP($B3219,Sheet2!$J$5:$K$7,2,FALSE)*VLOOKUP(Sheet1!$A3219,Sheet2!$B$5:$H$29,7,FALSE),0)</x:f>
        <x:v>0</x:v>
      </x:c>
      <x:c r="I3219">
        <x:f t="shared" si="53"/>
        <x:v>83870</x:v>
      </x:c>
    </x:row>
    <x:row r="3220" spans="1:9" x14ac:dyDescent="0.15">
      <x:c r="A3220">
        <x:v>54153</x:v>
      </x:c>
      <x:c r="B3220">
        <x:v>3</x:v>
      </x:c>
      <x:c r="C3220">
        <x:v>39</x:v>
      </x:c>
      <x:c r="D3220">
        <x:f>ROUND($C3220*10*VLOOKUP($B3220,Sheet2!$J$5:$K$7,2,FALSE)*VLOOKUP(Sheet1!$A3220,Sheet2!$B$5:$H$29,3,FALSE),0)</x:f>
        <x:v>0</x:v>
      </x:c>
      <x:c r="E3220">
        <x:f>ROUND($C3220*10*VLOOKUP($B3220,Sheet2!$J$5:$K$7,2,FALSE)*VLOOKUP(Sheet1!$A3220,Sheet2!$B$5:$H$29,4,FALSE),0)</x:f>
        <x:v>0</x:v>
      </x:c>
      <x:c r="F3220">
        <x:f>ROUND($C3220*10*VLOOKUP($B3220,Sheet2!$J$5:$K$7,2,FALSE)*VLOOKUP(Sheet1!$A3220,Sheet2!$B$5:$H$29,5,FALSE),0)</x:f>
        <x:v>125</x:v>
      </x:c>
      <x:c r="G3220">
        <x:f>ROUND($C3220*10*VLOOKUP($B3220,Sheet2!$J$5:$K$7,2,FALSE)*VLOOKUP(Sheet1!$A3220,Sheet2!$B$5:$H$29,6,FALSE),0)</x:f>
        <x:v>374</x:v>
      </x:c>
      <x:c r="H3220">
        <x:f>ROUND($C3220*10*VLOOKUP($B3220,Sheet2!$J$5:$K$7,2,FALSE)*VLOOKUP(Sheet1!$A3220,Sheet2!$B$5:$H$29,7,FALSE),0)</x:f>
        <x:v>0</x:v>
      </x:c>
      <x:c r="I3220">
        <x:f t="shared" si="53"/>
        <x:v>87990</x:v>
      </x:c>
    </x:row>
    <x:row r="3221" spans="1:9" x14ac:dyDescent="0.15">
      <x:c r="A3221">
        <x:v>54153</x:v>
      </x:c>
      <x:c r="B3221">
        <x:v>3</x:v>
      </x:c>
      <x:c r="C3221">
        <x:v>40</x:v>
      </x:c>
      <x:c r="D3221">
        <x:f>ROUND($C3221*10*VLOOKUP($B3221,Sheet2!$J$5:$K$7,2,FALSE)*VLOOKUP(Sheet1!$A3221,Sheet2!$B$5:$H$29,3,FALSE),0)</x:f>
        <x:v>0</x:v>
      </x:c>
      <x:c r="E3221">
        <x:f>ROUND($C3221*10*VLOOKUP($B3221,Sheet2!$J$5:$K$7,2,FALSE)*VLOOKUP(Sheet1!$A3221,Sheet2!$B$5:$H$29,4,FALSE),0)</x:f>
        <x:v>0</x:v>
      </x:c>
      <x:c r="F3221">
        <x:f>ROUND($C3221*10*VLOOKUP($B3221,Sheet2!$J$5:$K$7,2,FALSE)*VLOOKUP(Sheet1!$A3221,Sheet2!$B$5:$H$29,5,FALSE),0)</x:f>
        <x:v>128</x:v>
      </x:c>
      <x:c r="G3221">
        <x:f>ROUND($C3221*10*VLOOKUP($B3221,Sheet2!$J$5:$K$7,2,FALSE)*VLOOKUP(Sheet1!$A3221,Sheet2!$B$5:$H$29,6,FALSE),0)</x:f>
        <x:v>384</x:v>
      </x:c>
      <x:c r="H3221">
        <x:f>ROUND($C3221*10*VLOOKUP($B3221,Sheet2!$J$5:$K$7,2,FALSE)*VLOOKUP(Sheet1!$A3221,Sheet2!$B$5:$H$29,7,FALSE),0)</x:f>
        <x:v>0</x:v>
      </x:c>
      <x:c r="I3221">
        <x:f t="shared" si="53"/>
        <x:v>92200</x:v>
      </x:c>
    </x:row>
    <x:row r="3222" spans="1:9" x14ac:dyDescent="0.15">
      <x:c r="A3222">
        <x:v>54153</x:v>
      </x:c>
      <x:c r="B3222">
        <x:v>3</x:v>
      </x:c>
      <x:c r="C3222">
        <x:v>41</x:v>
      </x:c>
      <x:c r="D3222">
        <x:f>ROUND($C3222*10*VLOOKUP($B3222,Sheet2!$J$5:$K$7,2,FALSE)*VLOOKUP(Sheet1!$A3222,Sheet2!$B$5:$H$29,3,FALSE),0)</x:f>
        <x:v>0</x:v>
      </x:c>
      <x:c r="E3222">
        <x:f>ROUND($C3222*10*VLOOKUP($B3222,Sheet2!$J$5:$K$7,2,FALSE)*VLOOKUP(Sheet1!$A3222,Sheet2!$B$5:$H$29,4,FALSE),0)</x:f>
        <x:v>0</x:v>
      </x:c>
      <x:c r="F3222">
        <x:f>ROUND($C3222*10*VLOOKUP($B3222,Sheet2!$J$5:$K$7,2,FALSE)*VLOOKUP(Sheet1!$A3222,Sheet2!$B$5:$H$29,5,FALSE),0)</x:f>
        <x:v>131</x:v>
      </x:c>
      <x:c r="G3222">
        <x:f>ROUND($C3222*10*VLOOKUP($B3222,Sheet2!$J$5:$K$7,2,FALSE)*VLOOKUP(Sheet1!$A3222,Sheet2!$B$5:$H$29,6,FALSE),0)</x:f>
        <x:v>394</x:v>
      </x:c>
      <x:c r="H3222">
        <x:f>ROUND($C3222*10*VLOOKUP($B3222,Sheet2!$J$5:$K$7,2,FALSE)*VLOOKUP(Sheet1!$A3222,Sheet2!$B$5:$H$29,7,FALSE),0)</x:f>
        <x:v>0</x:v>
      </x:c>
      <x:c r="I3222">
        <x:f t="shared" si="53"/>
        <x:v>96490</x:v>
      </x:c>
    </x:row>
    <x:row r="3223" spans="1:9" x14ac:dyDescent="0.15">
      <x:c r="A3223">
        <x:v>54153</x:v>
      </x:c>
      <x:c r="B3223">
        <x:v>3</x:v>
      </x:c>
      <x:c r="C3223">
        <x:v>42</x:v>
      </x:c>
      <x:c r="D3223">
        <x:f>ROUND($C3223*10*VLOOKUP($B3223,Sheet2!$J$5:$K$7,2,FALSE)*VLOOKUP(Sheet1!$A3223,Sheet2!$B$5:$H$29,3,FALSE),0)</x:f>
        <x:v>0</x:v>
      </x:c>
      <x:c r="E3223">
        <x:f>ROUND($C3223*10*VLOOKUP($B3223,Sheet2!$J$5:$K$7,2,FALSE)*VLOOKUP(Sheet1!$A3223,Sheet2!$B$5:$H$29,4,FALSE),0)</x:f>
        <x:v>0</x:v>
      </x:c>
      <x:c r="F3223">
        <x:f>ROUND($C3223*10*VLOOKUP($B3223,Sheet2!$J$5:$K$7,2,FALSE)*VLOOKUP(Sheet1!$A3223,Sheet2!$B$5:$H$29,5,FALSE),0)</x:f>
        <x:v>134</x:v>
      </x:c>
      <x:c r="G3223">
        <x:f>ROUND($C3223*10*VLOOKUP($B3223,Sheet2!$J$5:$K$7,2,FALSE)*VLOOKUP(Sheet1!$A3223,Sheet2!$B$5:$H$29,6,FALSE),0)</x:f>
        <x:v>403</x:v>
      </x:c>
      <x:c r="H3223">
        <x:f>ROUND($C3223*10*VLOOKUP($B3223,Sheet2!$J$5:$K$7,2,FALSE)*VLOOKUP(Sheet1!$A3223,Sheet2!$B$5:$H$29,7,FALSE),0)</x:f>
        <x:v>0</x:v>
      </x:c>
      <x:c r="I3223">
        <x:f t="shared" si="53"/>
        <x:v>100870</x:v>
      </x:c>
    </x:row>
    <x:row r="3224" spans="1:9" x14ac:dyDescent="0.15">
      <x:c r="A3224">
        <x:v>54153</x:v>
      </x:c>
      <x:c r="B3224">
        <x:v>3</x:v>
      </x:c>
      <x:c r="C3224">
        <x:v>43</x:v>
      </x:c>
      <x:c r="D3224">
        <x:f>ROUND($C3224*10*VLOOKUP($B3224,Sheet2!$J$5:$K$7,2,FALSE)*VLOOKUP(Sheet1!$A3224,Sheet2!$B$5:$H$29,3,FALSE),0)</x:f>
        <x:v>0</x:v>
      </x:c>
      <x:c r="E3224">
        <x:f>ROUND($C3224*10*VLOOKUP($B3224,Sheet2!$J$5:$K$7,2,FALSE)*VLOOKUP(Sheet1!$A3224,Sheet2!$B$5:$H$29,4,FALSE),0)</x:f>
        <x:v>0</x:v>
      </x:c>
      <x:c r="F3224">
        <x:f>ROUND($C3224*10*VLOOKUP($B3224,Sheet2!$J$5:$K$7,2,FALSE)*VLOOKUP(Sheet1!$A3224,Sheet2!$B$5:$H$29,5,FALSE),0)</x:f>
        <x:v>138</x:v>
      </x:c>
      <x:c r="G3224">
        <x:f>ROUND($C3224*10*VLOOKUP($B3224,Sheet2!$J$5:$K$7,2,FALSE)*VLOOKUP(Sheet1!$A3224,Sheet2!$B$5:$H$29,6,FALSE),0)</x:f>
        <x:v>413</x:v>
      </x:c>
      <x:c r="H3224">
        <x:f>ROUND($C3224*10*VLOOKUP($B3224,Sheet2!$J$5:$K$7,2,FALSE)*VLOOKUP(Sheet1!$A3224,Sheet2!$B$5:$H$29,7,FALSE),0)</x:f>
        <x:v>0</x:v>
      </x:c>
      <x:c r="I3224">
        <x:f t="shared" si="53"/>
        <x:v>105340</x:v>
      </x:c>
    </x:row>
    <x:row r="3225" spans="1:9" x14ac:dyDescent="0.15">
      <x:c r="A3225">
        <x:v>54153</x:v>
      </x:c>
      <x:c r="B3225">
        <x:v>3</x:v>
      </x:c>
      <x:c r="C3225">
        <x:v>44</x:v>
      </x:c>
      <x:c r="D3225">
        <x:f>ROUND($C3225*10*VLOOKUP($B3225,Sheet2!$J$5:$K$7,2,FALSE)*VLOOKUP(Sheet1!$A3225,Sheet2!$B$5:$H$29,3,FALSE),0)</x:f>
        <x:v>0</x:v>
      </x:c>
      <x:c r="E3225">
        <x:f>ROUND($C3225*10*VLOOKUP($B3225,Sheet2!$J$5:$K$7,2,FALSE)*VLOOKUP(Sheet1!$A3225,Sheet2!$B$5:$H$29,4,FALSE),0)</x:f>
        <x:v>0</x:v>
      </x:c>
      <x:c r="F3225">
        <x:f>ROUND($C3225*10*VLOOKUP($B3225,Sheet2!$J$5:$K$7,2,FALSE)*VLOOKUP(Sheet1!$A3225,Sheet2!$B$5:$H$29,5,FALSE),0)</x:f>
        <x:v>141</x:v>
      </x:c>
      <x:c r="G3225">
        <x:f>ROUND($C3225*10*VLOOKUP($B3225,Sheet2!$J$5:$K$7,2,FALSE)*VLOOKUP(Sheet1!$A3225,Sheet2!$B$5:$H$29,6,FALSE),0)</x:f>
        <x:v>422</x:v>
      </x:c>
      <x:c r="H3225">
        <x:f>ROUND($C3225*10*VLOOKUP($B3225,Sheet2!$J$5:$K$7,2,FALSE)*VLOOKUP(Sheet1!$A3225,Sheet2!$B$5:$H$29,7,FALSE),0)</x:f>
        <x:v>0</x:v>
      </x:c>
      <x:c r="I3225">
        <x:f t="shared" si="53"/>
        <x:v>109890</x:v>
      </x:c>
    </x:row>
    <x:row r="3226" spans="1:9" x14ac:dyDescent="0.15">
      <x:c r="A3226">
        <x:v>54153</x:v>
      </x:c>
      <x:c r="B3226">
        <x:v>3</x:v>
      </x:c>
      <x:c r="C3226">
        <x:v>45</x:v>
      </x:c>
      <x:c r="D3226">
        <x:f>ROUND($C3226*10*VLOOKUP($B3226,Sheet2!$J$5:$K$7,2,FALSE)*VLOOKUP(Sheet1!$A3226,Sheet2!$B$5:$H$29,3,FALSE),0)</x:f>
        <x:v>0</x:v>
      </x:c>
      <x:c r="E3226">
        <x:f>ROUND($C3226*10*VLOOKUP($B3226,Sheet2!$J$5:$K$7,2,FALSE)*VLOOKUP(Sheet1!$A3226,Sheet2!$B$5:$H$29,4,FALSE),0)</x:f>
        <x:v>0</x:v>
      </x:c>
      <x:c r="F3226">
        <x:f>ROUND($C3226*10*VLOOKUP($B3226,Sheet2!$J$5:$K$7,2,FALSE)*VLOOKUP(Sheet1!$A3226,Sheet2!$B$5:$H$29,5,FALSE),0)</x:f>
        <x:v>144</x:v>
      </x:c>
      <x:c r="G3226">
        <x:f>ROUND($C3226*10*VLOOKUP($B3226,Sheet2!$J$5:$K$7,2,FALSE)*VLOOKUP(Sheet1!$A3226,Sheet2!$B$5:$H$29,6,FALSE),0)</x:f>
        <x:v>432</x:v>
      </x:c>
      <x:c r="H3226">
        <x:f>ROUND($C3226*10*VLOOKUP($B3226,Sheet2!$J$5:$K$7,2,FALSE)*VLOOKUP(Sheet1!$A3226,Sheet2!$B$5:$H$29,7,FALSE),0)</x:f>
        <x:v>0</x:v>
      </x:c>
      <x:c r="I3226">
        <x:f t="shared" si="53"/>
        <x:v>114530</x:v>
      </x:c>
    </x:row>
    <x:row r="3227" spans="1:9" x14ac:dyDescent="0.15">
      <x:c r="A3227">
        <x:v>54153</x:v>
      </x:c>
      <x:c r="B3227">
        <x:v>3</x:v>
      </x:c>
      <x:c r="C3227">
        <x:v>46</x:v>
      </x:c>
      <x:c r="D3227">
        <x:f>ROUND($C3227*10*VLOOKUP($B3227,Sheet2!$J$5:$K$7,2,FALSE)*VLOOKUP(Sheet1!$A3227,Sheet2!$B$5:$H$29,3,FALSE),0)</x:f>
        <x:v>0</x:v>
      </x:c>
      <x:c r="E3227">
        <x:f>ROUND($C3227*10*VLOOKUP($B3227,Sheet2!$J$5:$K$7,2,FALSE)*VLOOKUP(Sheet1!$A3227,Sheet2!$B$5:$H$29,4,FALSE),0)</x:f>
        <x:v>0</x:v>
      </x:c>
      <x:c r="F3227">
        <x:f>ROUND($C3227*10*VLOOKUP($B3227,Sheet2!$J$5:$K$7,2,FALSE)*VLOOKUP(Sheet1!$A3227,Sheet2!$B$5:$H$29,5,FALSE),0)</x:f>
        <x:v>147</x:v>
      </x:c>
      <x:c r="G3227">
        <x:f>ROUND($C3227*10*VLOOKUP($B3227,Sheet2!$J$5:$K$7,2,FALSE)*VLOOKUP(Sheet1!$A3227,Sheet2!$B$5:$H$29,6,FALSE),0)</x:f>
        <x:v>442</x:v>
      </x:c>
      <x:c r="H3227">
        <x:f>ROUND($C3227*10*VLOOKUP($B3227,Sheet2!$J$5:$K$7,2,FALSE)*VLOOKUP(Sheet1!$A3227,Sheet2!$B$5:$H$29,7,FALSE),0)</x:f>
        <x:v>0</x:v>
      </x:c>
      <x:c r="I3227">
        <x:f t="shared" si="53"/>
        <x:v>119260</x:v>
      </x:c>
    </x:row>
    <x:row r="3228" spans="1:9" x14ac:dyDescent="0.15">
      <x:c r="A3228">
        <x:v>54153</x:v>
      </x:c>
      <x:c r="B3228">
        <x:v>3</x:v>
      </x:c>
      <x:c r="C3228">
        <x:v>47</x:v>
      </x:c>
      <x:c r="D3228">
        <x:f>ROUND($C3228*10*VLOOKUP($B3228,Sheet2!$J$5:$K$7,2,FALSE)*VLOOKUP(Sheet1!$A3228,Sheet2!$B$5:$H$29,3,FALSE),0)</x:f>
        <x:v>0</x:v>
      </x:c>
      <x:c r="E3228">
        <x:f>ROUND($C3228*10*VLOOKUP($B3228,Sheet2!$J$5:$K$7,2,FALSE)*VLOOKUP(Sheet1!$A3228,Sheet2!$B$5:$H$29,4,FALSE),0)</x:f>
        <x:v>0</x:v>
      </x:c>
      <x:c r="F3228">
        <x:f>ROUND($C3228*10*VLOOKUP($B3228,Sheet2!$J$5:$K$7,2,FALSE)*VLOOKUP(Sheet1!$A3228,Sheet2!$B$5:$H$29,5,FALSE),0)</x:f>
        <x:v>150</x:v>
      </x:c>
      <x:c r="G3228">
        <x:f>ROUND($C3228*10*VLOOKUP($B3228,Sheet2!$J$5:$K$7,2,FALSE)*VLOOKUP(Sheet1!$A3228,Sheet2!$B$5:$H$29,6,FALSE),0)</x:f>
        <x:v>451</x:v>
      </x:c>
      <x:c r="H3228">
        <x:f>ROUND($C3228*10*VLOOKUP($B3228,Sheet2!$J$5:$K$7,2,FALSE)*VLOOKUP(Sheet1!$A3228,Sheet2!$B$5:$H$29,7,FALSE),0)</x:f>
        <x:v>0</x:v>
      </x:c>
      <x:c r="I3228">
        <x:f t="shared" si="53"/>
        <x:v>124070</x:v>
      </x:c>
    </x:row>
    <x:row r="3229" spans="1:9" x14ac:dyDescent="0.15">
      <x:c r="A3229">
        <x:v>54153</x:v>
      </x:c>
      <x:c r="B3229">
        <x:v>3</x:v>
      </x:c>
      <x:c r="C3229">
        <x:v>48</x:v>
      </x:c>
      <x:c r="D3229">
        <x:f>ROUND($C3229*10*VLOOKUP($B3229,Sheet2!$J$5:$K$7,2,FALSE)*VLOOKUP(Sheet1!$A3229,Sheet2!$B$5:$H$29,3,FALSE),0)</x:f>
        <x:v>0</x:v>
      </x:c>
      <x:c r="E3229">
        <x:f>ROUND($C3229*10*VLOOKUP($B3229,Sheet2!$J$5:$K$7,2,FALSE)*VLOOKUP(Sheet1!$A3229,Sheet2!$B$5:$H$29,4,FALSE),0)</x:f>
        <x:v>0</x:v>
      </x:c>
      <x:c r="F3229">
        <x:f>ROUND($C3229*10*VLOOKUP($B3229,Sheet2!$J$5:$K$7,2,FALSE)*VLOOKUP(Sheet1!$A3229,Sheet2!$B$5:$H$29,5,FALSE),0)</x:f>
        <x:v>154</x:v>
      </x:c>
      <x:c r="G3229">
        <x:f>ROUND($C3229*10*VLOOKUP($B3229,Sheet2!$J$5:$K$7,2,FALSE)*VLOOKUP(Sheet1!$A3229,Sheet2!$B$5:$H$29,6,FALSE),0)</x:f>
        <x:v>461</x:v>
      </x:c>
      <x:c r="H3229">
        <x:f>ROUND($C3229*10*VLOOKUP($B3229,Sheet2!$J$5:$K$7,2,FALSE)*VLOOKUP(Sheet1!$A3229,Sheet2!$B$5:$H$29,7,FALSE),0)</x:f>
        <x:v>0</x:v>
      </x:c>
      <x:c r="I3229">
        <x:f t="shared" si="53"/>
        <x:v>128960</x:v>
      </x:c>
    </x:row>
    <x:row r="3230" spans="1:9" x14ac:dyDescent="0.15">
      <x:c r="A3230">
        <x:v>54153</x:v>
      </x:c>
      <x:c r="B3230">
        <x:v>3</x:v>
      </x:c>
      <x:c r="C3230">
        <x:v>49</x:v>
      </x:c>
      <x:c r="D3230">
        <x:f>ROUND($C3230*10*VLOOKUP($B3230,Sheet2!$J$5:$K$7,2,FALSE)*VLOOKUP(Sheet1!$A3230,Sheet2!$B$5:$H$29,3,FALSE),0)</x:f>
        <x:v>0</x:v>
      </x:c>
      <x:c r="E3230">
        <x:f>ROUND($C3230*10*VLOOKUP($B3230,Sheet2!$J$5:$K$7,2,FALSE)*VLOOKUP(Sheet1!$A3230,Sheet2!$B$5:$H$29,4,FALSE),0)</x:f>
        <x:v>0</x:v>
      </x:c>
      <x:c r="F3230">
        <x:f>ROUND($C3230*10*VLOOKUP($B3230,Sheet2!$J$5:$K$7,2,FALSE)*VLOOKUP(Sheet1!$A3230,Sheet2!$B$5:$H$29,5,FALSE),0)</x:f>
        <x:v>157</x:v>
      </x:c>
      <x:c r="G3230">
        <x:f>ROUND($C3230*10*VLOOKUP($B3230,Sheet2!$J$5:$K$7,2,FALSE)*VLOOKUP(Sheet1!$A3230,Sheet2!$B$5:$H$29,6,FALSE),0)</x:f>
        <x:v>470</x:v>
      </x:c>
      <x:c r="H3230">
        <x:f>ROUND($C3230*10*VLOOKUP($B3230,Sheet2!$J$5:$K$7,2,FALSE)*VLOOKUP(Sheet1!$A3230,Sheet2!$B$5:$H$29,7,FALSE),0)</x:f>
        <x:v>0</x:v>
      </x:c>
      <x:c r="I3230">
        <x:f t="shared" si="53"/>
        <x:v>133940</x:v>
      </x:c>
    </x:row>
    <x:row r="3231" spans="1:9" x14ac:dyDescent="0.15">
      <x:c r="A3231">
        <x:v>54153</x:v>
      </x:c>
      <x:c r="B3231">
        <x:v>3</x:v>
      </x:c>
      <x:c r="C3231">
        <x:v>50</x:v>
      </x:c>
      <x:c r="D3231">
        <x:f>ROUND($C3231*10*VLOOKUP($B3231,Sheet2!$J$5:$K$7,2,FALSE)*VLOOKUP(Sheet1!$A3231,Sheet2!$B$5:$H$29,3,FALSE),0)</x:f>
        <x:v>0</x:v>
      </x:c>
      <x:c r="E3231">
        <x:f>ROUND($C3231*10*VLOOKUP($B3231,Sheet2!$J$5:$K$7,2,FALSE)*VLOOKUP(Sheet1!$A3231,Sheet2!$B$5:$H$29,4,FALSE),0)</x:f>
        <x:v>0</x:v>
      </x:c>
      <x:c r="F3231">
        <x:f>ROUND($C3231*10*VLOOKUP($B3231,Sheet2!$J$5:$K$7,2,FALSE)*VLOOKUP(Sheet1!$A3231,Sheet2!$B$5:$H$29,5,FALSE),0)</x:f>
        <x:v>160</x:v>
      </x:c>
      <x:c r="G3231">
        <x:f>ROUND($C3231*10*VLOOKUP($B3231,Sheet2!$J$5:$K$7,2,FALSE)*VLOOKUP(Sheet1!$A3231,Sheet2!$B$5:$H$29,6,FALSE),0)</x:f>
        <x:v>480</x:v>
      </x:c>
      <x:c r="H3231">
        <x:f>ROUND($C3231*10*VLOOKUP($B3231,Sheet2!$J$5:$K$7,2,FALSE)*VLOOKUP(Sheet1!$A3231,Sheet2!$B$5:$H$29,7,FALSE),0)</x:f>
        <x:v>0</x:v>
      </x:c>
      <x:c r="I3231">
        <x:f t="shared" si="53"/>
        <x:v>139000</x:v>
      </x:c>
    </x:row>
    <x:row r="3232" spans="1:9" x14ac:dyDescent="0.15">
      <x:c r="A3232">
        <x:v>54153</x:v>
      </x:c>
      <x:c r="B3232">
        <x:v>3</x:v>
      </x:c>
      <x:c r="C3232">
        <x:v>51</x:v>
      </x:c>
      <x:c r="D3232">
        <x:f>ROUND($C3232*10*VLOOKUP($B3232,Sheet2!$J$5:$K$7,2,FALSE)*VLOOKUP(Sheet1!$A3232,Sheet2!$B$5:$H$29,3,FALSE),0)</x:f>
        <x:v>0</x:v>
      </x:c>
      <x:c r="E3232">
        <x:f>ROUND($C3232*10*VLOOKUP($B3232,Sheet2!$J$5:$K$7,2,FALSE)*VLOOKUP(Sheet1!$A3232,Sheet2!$B$5:$H$29,4,FALSE),0)</x:f>
        <x:v>0</x:v>
      </x:c>
      <x:c r="F3232">
        <x:f>ROUND($C3232*10*VLOOKUP($B3232,Sheet2!$J$5:$K$7,2,FALSE)*VLOOKUP(Sheet1!$A3232,Sheet2!$B$5:$H$29,5,FALSE),0)</x:f>
        <x:v>163</x:v>
      </x:c>
      <x:c r="G3232">
        <x:f>ROUND($C3232*10*VLOOKUP($B3232,Sheet2!$J$5:$K$7,2,FALSE)*VLOOKUP(Sheet1!$A3232,Sheet2!$B$5:$H$29,6,FALSE),0)</x:f>
        <x:v>490</x:v>
      </x:c>
      <x:c r="H3232">
        <x:f>ROUND($C3232*10*VLOOKUP($B3232,Sheet2!$J$5:$K$7,2,FALSE)*VLOOKUP(Sheet1!$A3232,Sheet2!$B$5:$H$29,7,FALSE),0)</x:f>
        <x:v>0</x:v>
      </x:c>
      <x:c r="I3232">
        <x:f t="shared" si="53"/>
        <x:v>144140</x:v>
      </x:c>
    </x:row>
    <x:row r="3233" spans="1:9" x14ac:dyDescent="0.15">
      <x:c r="A3233">
        <x:v>54153</x:v>
      </x:c>
      <x:c r="B3233">
        <x:v>3</x:v>
      </x:c>
      <x:c r="C3233">
        <x:v>52</x:v>
      </x:c>
      <x:c r="D3233">
        <x:f>ROUND($C3233*10*VLOOKUP($B3233,Sheet2!$J$5:$K$7,2,FALSE)*VLOOKUP(Sheet1!$A3233,Sheet2!$B$5:$H$29,3,FALSE),0)</x:f>
        <x:v>0</x:v>
      </x:c>
      <x:c r="E3233">
        <x:f>ROUND($C3233*10*VLOOKUP($B3233,Sheet2!$J$5:$K$7,2,FALSE)*VLOOKUP(Sheet1!$A3233,Sheet2!$B$5:$H$29,4,FALSE),0)</x:f>
        <x:v>0</x:v>
      </x:c>
      <x:c r="F3233">
        <x:f>ROUND($C3233*10*VLOOKUP($B3233,Sheet2!$J$5:$K$7,2,FALSE)*VLOOKUP(Sheet1!$A3233,Sheet2!$B$5:$H$29,5,FALSE),0)</x:f>
        <x:v>166</x:v>
      </x:c>
      <x:c r="G3233">
        <x:f>ROUND($C3233*10*VLOOKUP($B3233,Sheet2!$J$5:$K$7,2,FALSE)*VLOOKUP(Sheet1!$A3233,Sheet2!$B$5:$H$29,6,FALSE),0)</x:f>
        <x:v>499</x:v>
      </x:c>
      <x:c r="H3233">
        <x:f>ROUND($C3233*10*VLOOKUP($B3233,Sheet2!$J$5:$K$7,2,FALSE)*VLOOKUP(Sheet1!$A3233,Sheet2!$B$5:$H$29,7,FALSE),0)</x:f>
        <x:v>0</x:v>
      </x:c>
      <x:c r="I3233">
        <x:f t="shared" si="53"/>
        <x:v>149370</x:v>
      </x:c>
    </x:row>
    <x:row r="3234" spans="1:9" x14ac:dyDescent="0.15">
      <x:c r="A3234">
        <x:v>54153</x:v>
      </x:c>
      <x:c r="B3234">
        <x:v>3</x:v>
      </x:c>
      <x:c r="C3234">
        <x:v>53</x:v>
      </x:c>
      <x:c r="D3234">
        <x:f>ROUND($C3234*10*VLOOKUP($B3234,Sheet2!$J$5:$K$7,2,FALSE)*VLOOKUP(Sheet1!$A3234,Sheet2!$B$5:$H$29,3,FALSE),0)</x:f>
        <x:v>0</x:v>
      </x:c>
      <x:c r="E3234">
        <x:f>ROUND($C3234*10*VLOOKUP($B3234,Sheet2!$J$5:$K$7,2,FALSE)*VLOOKUP(Sheet1!$A3234,Sheet2!$B$5:$H$29,4,FALSE),0)</x:f>
        <x:v>0</x:v>
      </x:c>
      <x:c r="F3234">
        <x:f>ROUND($C3234*10*VLOOKUP($B3234,Sheet2!$J$5:$K$7,2,FALSE)*VLOOKUP(Sheet1!$A3234,Sheet2!$B$5:$H$29,5,FALSE),0)</x:f>
        <x:v>170</x:v>
      </x:c>
      <x:c r="G3234">
        <x:f>ROUND($C3234*10*VLOOKUP($B3234,Sheet2!$J$5:$K$7,2,FALSE)*VLOOKUP(Sheet1!$A3234,Sheet2!$B$5:$H$29,6,FALSE),0)</x:f>
        <x:v>509</x:v>
      </x:c>
      <x:c r="H3234">
        <x:f>ROUND($C3234*10*VLOOKUP($B3234,Sheet2!$J$5:$K$7,2,FALSE)*VLOOKUP(Sheet1!$A3234,Sheet2!$B$5:$H$29,7,FALSE),0)</x:f>
        <x:v>0</x:v>
      </x:c>
      <x:c r="I3234">
        <x:f t="shared" si="53"/>
        <x:v>154680</x:v>
      </x:c>
    </x:row>
    <x:row r="3235" spans="1:9" x14ac:dyDescent="0.15">
      <x:c r="A3235">
        <x:v>54153</x:v>
      </x:c>
      <x:c r="B3235">
        <x:v>3</x:v>
      </x:c>
      <x:c r="C3235">
        <x:v>54</x:v>
      </x:c>
      <x:c r="D3235">
        <x:f>ROUND($C3235*10*VLOOKUP($B3235,Sheet2!$J$5:$K$7,2,FALSE)*VLOOKUP(Sheet1!$A3235,Sheet2!$B$5:$H$29,3,FALSE),0)</x:f>
        <x:v>0</x:v>
      </x:c>
      <x:c r="E3235">
        <x:f>ROUND($C3235*10*VLOOKUP($B3235,Sheet2!$J$5:$K$7,2,FALSE)*VLOOKUP(Sheet1!$A3235,Sheet2!$B$5:$H$29,4,FALSE),0)</x:f>
        <x:v>0</x:v>
      </x:c>
      <x:c r="F3235">
        <x:f>ROUND($C3235*10*VLOOKUP($B3235,Sheet2!$J$5:$K$7,2,FALSE)*VLOOKUP(Sheet1!$A3235,Sheet2!$B$5:$H$29,5,FALSE),0)</x:f>
        <x:v>173</x:v>
      </x:c>
      <x:c r="G3235">
        <x:f>ROUND($C3235*10*VLOOKUP($B3235,Sheet2!$J$5:$K$7,2,FALSE)*VLOOKUP(Sheet1!$A3235,Sheet2!$B$5:$H$29,6,FALSE),0)</x:f>
        <x:v>518</x:v>
      </x:c>
      <x:c r="H3235">
        <x:f>ROUND($C3235*10*VLOOKUP($B3235,Sheet2!$J$5:$K$7,2,FALSE)*VLOOKUP(Sheet1!$A3235,Sheet2!$B$5:$H$29,7,FALSE),0)</x:f>
        <x:v>0</x:v>
      </x:c>
      <x:c r="I3235">
        <x:f t="shared" si="53"/>
        <x:v>160070</x:v>
      </x:c>
    </x:row>
    <x:row r="3236" spans="1:9" x14ac:dyDescent="0.15">
      <x:c r="A3236">
        <x:v>54153</x:v>
      </x:c>
      <x:c r="B3236">
        <x:v>3</x:v>
      </x:c>
      <x:c r="C3236">
        <x:v>55</x:v>
      </x:c>
      <x:c r="D3236">
        <x:f>ROUND($C3236*10*VLOOKUP($B3236,Sheet2!$J$5:$K$7,2,FALSE)*VLOOKUP(Sheet1!$A3236,Sheet2!$B$5:$H$29,3,FALSE),0)</x:f>
        <x:v>0</x:v>
      </x:c>
      <x:c r="E3236">
        <x:f>ROUND($C3236*10*VLOOKUP($B3236,Sheet2!$J$5:$K$7,2,FALSE)*VLOOKUP(Sheet1!$A3236,Sheet2!$B$5:$H$29,4,FALSE),0)</x:f>
        <x:v>0</x:v>
      </x:c>
      <x:c r="F3236">
        <x:f>ROUND($C3236*10*VLOOKUP($B3236,Sheet2!$J$5:$K$7,2,FALSE)*VLOOKUP(Sheet1!$A3236,Sheet2!$B$5:$H$29,5,FALSE),0)</x:f>
        <x:v>176</x:v>
      </x:c>
      <x:c r="G3236">
        <x:f>ROUND($C3236*10*VLOOKUP($B3236,Sheet2!$J$5:$K$7,2,FALSE)*VLOOKUP(Sheet1!$A3236,Sheet2!$B$5:$H$29,6,FALSE),0)</x:f>
        <x:v>528</x:v>
      </x:c>
      <x:c r="H3236">
        <x:f>ROUND($C3236*10*VLOOKUP($B3236,Sheet2!$J$5:$K$7,2,FALSE)*VLOOKUP(Sheet1!$A3236,Sheet2!$B$5:$H$29,7,FALSE),0)</x:f>
        <x:v>0</x:v>
      </x:c>
      <x:c r="I3236">
        <x:f t="shared" si="53"/>
        <x:v>165540</x:v>
      </x:c>
    </x:row>
    <x:row r="3237" spans="1:9" x14ac:dyDescent="0.15">
      <x:c r="A3237">
        <x:v>54153</x:v>
      </x:c>
      <x:c r="B3237">
        <x:v>3</x:v>
      </x:c>
      <x:c r="C3237">
        <x:v>56</x:v>
      </x:c>
      <x:c r="D3237">
        <x:f>ROUND($C3237*10*VLOOKUP($B3237,Sheet2!$J$5:$K$7,2,FALSE)*VLOOKUP(Sheet1!$A3237,Sheet2!$B$5:$H$29,3,FALSE),0)</x:f>
        <x:v>0</x:v>
      </x:c>
      <x:c r="E3237">
        <x:f>ROUND($C3237*10*VLOOKUP($B3237,Sheet2!$J$5:$K$7,2,FALSE)*VLOOKUP(Sheet1!$A3237,Sheet2!$B$5:$H$29,4,FALSE),0)</x:f>
        <x:v>0</x:v>
      </x:c>
      <x:c r="F3237">
        <x:f>ROUND($C3237*10*VLOOKUP($B3237,Sheet2!$J$5:$K$7,2,FALSE)*VLOOKUP(Sheet1!$A3237,Sheet2!$B$5:$H$29,5,FALSE),0)</x:f>
        <x:v>179</x:v>
      </x:c>
      <x:c r="G3237">
        <x:f>ROUND($C3237*10*VLOOKUP($B3237,Sheet2!$J$5:$K$7,2,FALSE)*VLOOKUP(Sheet1!$A3237,Sheet2!$B$5:$H$29,6,FALSE),0)</x:f>
        <x:v>538</x:v>
      </x:c>
      <x:c r="H3237">
        <x:f>ROUND($C3237*10*VLOOKUP($B3237,Sheet2!$J$5:$K$7,2,FALSE)*VLOOKUP(Sheet1!$A3237,Sheet2!$B$5:$H$29,7,FALSE),0)</x:f>
        <x:v>0</x:v>
      </x:c>
      <x:c r="I3237">
        <x:f t="shared" si="53"/>
        <x:v>171100</x:v>
      </x:c>
    </x:row>
    <x:row r="3238" spans="1:9" x14ac:dyDescent="0.15">
      <x:c r="A3238">
        <x:v>54153</x:v>
      </x:c>
      <x:c r="B3238">
        <x:v>3</x:v>
      </x:c>
      <x:c r="C3238">
        <x:v>57</x:v>
      </x:c>
      <x:c r="D3238">
        <x:f>ROUND($C3238*10*VLOOKUP($B3238,Sheet2!$J$5:$K$7,2,FALSE)*VLOOKUP(Sheet1!$A3238,Sheet2!$B$5:$H$29,3,FALSE),0)</x:f>
        <x:v>0</x:v>
      </x:c>
      <x:c r="E3238">
        <x:f>ROUND($C3238*10*VLOOKUP($B3238,Sheet2!$J$5:$K$7,2,FALSE)*VLOOKUP(Sheet1!$A3238,Sheet2!$B$5:$H$29,4,FALSE),0)</x:f>
        <x:v>0</x:v>
      </x:c>
      <x:c r="F3238">
        <x:f>ROUND($C3238*10*VLOOKUP($B3238,Sheet2!$J$5:$K$7,2,FALSE)*VLOOKUP(Sheet1!$A3238,Sheet2!$B$5:$H$29,5,FALSE),0)</x:f>
        <x:v>182</x:v>
      </x:c>
      <x:c r="G3238">
        <x:f>ROUND($C3238*10*VLOOKUP($B3238,Sheet2!$J$5:$K$7,2,FALSE)*VLOOKUP(Sheet1!$A3238,Sheet2!$B$5:$H$29,6,FALSE),0)</x:f>
        <x:v>547</x:v>
      </x:c>
      <x:c r="H3238">
        <x:f>ROUND($C3238*10*VLOOKUP($B3238,Sheet2!$J$5:$K$7,2,FALSE)*VLOOKUP(Sheet1!$A3238,Sheet2!$B$5:$H$29,7,FALSE),0)</x:f>
        <x:v>0</x:v>
      </x:c>
      <x:c r="I3238">
        <x:f t="shared" si="53"/>
        <x:v>176740</x:v>
      </x:c>
    </x:row>
    <x:row r="3239" spans="1:9" x14ac:dyDescent="0.15">
      <x:c r="A3239">
        <x:v>54153</x:v>
      </x:c>
      <x:c r="B3239">
        <x:v>3</x:v>
      </x:c>
      <x:c r="C3239">
        <x:v>58</x:v>
      </x:c>
      <x:c r="D3239">
        <x:f>ROUND($C3239*10*VLOOKUP($B3239,Sheet2!$J$5:$K$7,2,FALSE)*VLOOKUP(Sheet1!$A3239,Sheet2!$B$5:$H$29,3,FALSE),0)</x:f>
        <x:v>0</x:v>
      </x:c>
      <x:c r="E3239">
        <x:f>ROUND($C3239*10*VLOOKUP($B3239,Sheet2!$J$5:$K$7,2,FALSE)*VLOOKUP(Sheet1!$A3239,Sheet2!$B$5:$H$29,4,FALSE),0)</x:f>
        <x:v>0</x:v>
      </x:c>
      <x:c r="F3239">
        <x:f>ROUND($C3239*10*VLOOKUP($B3239,Sheet2!$J$5:$K$7,2,FALSE)*VLOOKUP(Sheet1!$A3239,Sheet2!$B$5:$H$29,5,FALSE),0)</x:f>
        <x:v>186</x:v>
      </x:c>
      <x:c r="G3239">
        <x:f>ROUND($C3239*10*VLOOKUP($B3239,Sheet2!$J$5:$K$7,2,FALSE)*VLOOKUP(Sheet1!$A3239,Sheet2!$B$5:$H$29,6,FALSE),0)</x:f>
        <x:v>557</x:v>
      </x:c>
      <x:c r="H3239">
        <x:f>ROUND($C3239*10*VLOOKUP($B3239,Sheet2!$J$5:$K$7,2,FALSE)*VLOOKUP(Sheet1!$A3239,Sheet2!$B$5:$H$29,7,FALSE),0)</x:f>
        <x:v>0</x:v>
      </x:c>
      <x:c r="I3239">
        <x:f t="shared" si="53"/>
        <x:v>182460</x:v>
      </x:c>
    </x:row>
    <x:row r="3240" spans="1:9" x14ac:dyDescent="0.15">
      <x:c r="A3240">
        <x:v>54153</x:v>
      </x:c>
      <x:c r="B3240">
        <x:v>3</x:v>
      </x:c>
      <x:c r="C3240">
        <x:v>59</x:v>
      </x:c>
      <x:c r="D3240">
        <x:f>ROUND($C3240*10*VLOOKUP($B3240,Sheet2!$J$5:$K$7,2,FALSE)*VLOOKUP(Sheet1!$A3240,Sheet2!$B$5:$H$29,3,FALSE),0)</x:f>
        <x:v>0</x:v>
      </x:c>
      <x:c r="E3240">
        <x:f>ROUND($C3240*10*VLOOKUP($B3240,Sheet2!$J$5:$K$7,2,FALSE)*VLOOKUP(Sheet1!$A3240,Sheet2!$B$5:$H$29,4,FALSE),0)</x:f>
        <x:v>0</x:v>
      </x:c>
      <x:c r="F3240">
        <x:f>ROUND($C3240*10*VLOOKUP($B3240,Sheet2!$J$5:$K$7,2,FALSE)*VLOOKUP(Sheet1!$A3240,Sheet2!$B$5:$H$29,5,FALSE),0)</x:f>
        <x:v>189</x:v>
      </x:c>
      <x:c r="G3240">
        <x:f>ROUND($C3240*10*VLOOKUP($B3240,Sheet2!$J$5:$K$7,2,FALSE)*VLOOKUP(Sheet1!$A3240,Sheet2!$B$5:$H$29,6,FALSE),0)</x:f>
        <x:v>566</x:v>
      </x:c>
      <x:c r="H3240">
        <x:f>ROUND($C3240*10*VLOOKUP($B3240,Sheet2!$J$5:$K$7,2,FALSE)*VLOOKUP(Sheet1!$A3240,Sheet2!$B$5:$H$29,7,FALSE),0)</x:f>
        <x:v>0</x:v>
      </x:c>
      <x:c r="I3240">
        <x:f t="shared" si="53"/>
        <x:v>188260</x:v>
      </x:c>
    </x:row>
    <x:row r="3241" spans="1:9" x14ac:dyDescent="0.15">
      <x:c r="A3241">
        <x:v>54153</x:v>
      </x:c>
      <x:c r="B3241">
        <x:v>3</x:v>
      </x:c>
      <x:c r="C3241">
        <x:v>60</x:v>
      </x:c>
      <x:c r="D3241">
        <x:f>ROUND($C3241*10*VLOOKUP($B3241,Sheet2!$J$5:$K$7,2,FALSE)*VLOOKUP(Sheet1!$A3241,Sheet2!$B$5:$H$29,3,FALSE),0)</x:f>
        <x:v>0</x:v>
      </x:c>
      <x:c r="E3241">
        <x:f>ROUND($C3241*10*VLOOKUP($B3241,Sheet2!$J$5:$K$7,2,FALSE)*VLOOKUP(Sheet1!$A3241,Sheet2!$B$5:$H$29,4,FALSE),0)</x:f>
        <x:v>0</x:v>
      </x:c>
      <x:c r="F3241">
        <x:f>ROUND($C3241*10*VLOOKUP($B3241,Sheet2!$J$5:$K$7,2,FALSE)*VLOOKUP(Sheet1!$A3241,Sheet2!$B$5:$H$29,5,FALSE),0)</x:f>
        <x:v>192</x:v>
      </x:c>
      <x:c r="G3241">
        <x:f>ROUND($C3241*10*VLOOKUP($B3241,Sheet2!$J$5:$K$7,2,FALSE)*VLOOKUP(Sheet1!$A3241,Sheet2!$B$5:$H$29,6,FALSE),0)</x:f>
        <x:v>576</x:v>
      </x:c>
      <x:c r="H3241">
        <x:f>ROUND($C3241*10*VLOOKUP($B3241,Sheet2!$J$5:$K$7,2,FALSE)*VLOOKUP(Sheet1!$A3241,Sheet2!$B$5:$H$29,7,FALSE),0)</x:f>
        <x:v>0</x:v>
      </x:c>
      <x:c r="I3241">
        <x:f t="shared" si="53"/>
        <x:v>194140</x:v>
      </x:c>
    </x:row>
    <x:row r="3242" spans="1:9" x14ac:dyDescent="0.15">
      <x:c r="A3242">
        <x:v>54154</x:v>
      </x:c>
      <x:c r="B3242">
        <x:v>1</x:v>
      </x:c>
      <x:c r="C3242">
        <x:v>1</x:v>
      </x:c>
      <x:c r="D3242">
        <x:f>ROUND($C3242*10*VLOOKUP($B3242,Sheet2!$J$5:$K$7,2,FALSE)*VLOOKUP(Sheet1!$A3242,Sheet2!$B$5:$H$29,3,FALSE),0)</x:f>
        <x:v>0</x:v>
      </x:c>
      <x:c r="E3242">
        <x:f>ROUND($C3242*10*VLOOKUP($B3242,Sheet2!$J$5:$K$7,2,FALSE)*VLOOKUP(Sheet1!$A3242,Sheet2!$B$5:$H$29,4,FALSE),0)</x:f>
        <x:v>0</x:v>
      </x:c>
      <x:c r="F3242">
        <x:f>ROUND($C3242*10*VLOOKUP($B3242,Sheet2!$J$5:$K$7,2,FALSE)*VLOOKUP(Sheet1!$A3242,Sheet2!$B$5:$H$29,5,FALSE),0)</x:f>
        <x:v>0</x:v>
      </x:c>
      <x:c r="G3242">
        <x:f>ROUND($C3242*10*VLOOKUP($B3242,Sheet2!$J$5:$K$7,2,FALSE)*VLOOKUP(Sheet1!$A3242,Sheet2!$B$5:$H$29,6,FALSE),0)</x:f>
        <x:v>8</x:v>
      </x:c>
      <x:c r="H3242">
        <x:f>ROUND($C3242*10*VLOOKUP($B3242,Sheet2!$J$5:$K$7,2,FALSE)*VLOOKUP(Sheet1!$A3242,Sheet2!$B$5:$H$29,7,FALSE),0)</x:f>
        <x:v>0</x:v>
      </x:c>
      <x:c r="I3242">
        <x:f t="shared" ref="I3242:I3301" si="54">ROUND(1.2*10*1.8*(C3242-1)^1.8+30,-1)</x:f>
        <x:v>30</x:v>
      </x:c>
    </x:row>
    <x:row r="3243" spans="1:9" x14ac:dyDescent="0.15">
      <x:c r="A3243">
        <x:v>54154</x:v>
      </x:c>
      <x:c r="B3243">
        <x:v>1</x:v>
      </x:c>
      <x:c r="C3243">
        <x:v>2</x:v>
      </x:c>
      <x:c r="D3243">
        <x:f>ROUND($C3243*10*VLOOKUP($B3243,Sheet2!$J$5:$K$7,2,FALSE)*VLOOKUP(Sheet1!$A3243,Sheet2!$B$5:$H$29,3,FALSE),0)</x:f>
        <x:v>0</x:v>
      </x:c>
      <x:c r="E3243">
        <x:f>ROUND($C3243*10*VLOOKUP($B3243,Sheet2!$J$5:$K$7,2,FALSE)*VLOOKUP(Sheet1!$A3243,Sheet2!$B$5:$H$29,4,FALSE),0)</x:f>
        <x:v>0</x:v>
      </x:c>
      <x:c r="F3243">
        <x:f>ROUND($C3243*10*VLOOKUP($B3243,Sheet2!$J$5:$K$7,2,FALSE)*VLOOKUP(Sheet1!$A3243,Sheet2!$B$5:$H$29,5,FALSE),0)</x:f>
        <x:v>0</x:v>
      </x:c>
      <x:c r="G3243">
        <x:f>ROUND($C3243*10*VLOOKUP($B3243,Sheet2!$J$5:$K$7,2,FALSE)*VLOOKUP(Sheet1!$A3243,Sheet2!$B$5:$H$29,6,FALSE),0)</x:f>
        <x:v>16</x:v>
      </x:c>
      <x:c r="H3243">
        <x:f>ROUND($C3243*10*VLOOKUP($B3243,Sheet2!$J$5:$K$7,2,FALSE)*VLOOKUP(Sheet1!$A3243,Sheet2!$B$5:$H$29,7,FALSE),0)</x:f>
        <x:v>0</x:v>
      </x:c>
      <x:c r="I3243">
        <x:f t="shared" si="54"/>
        <x:v>50</x:v>
      </x:c>
    </x:row>
    <x:row r="3244" spans="1:9" x14ac:dyDescent="0.15">
      <x:c r="A3244">
        <x:v>54154</x:v>
      </x:c>
      <x:c r="B3244">
        <x:v>1</x:v>
      </x:c>
      <x:c r="C3244">
        <x:v>3</x:v>
      </x:c>
      <x:c r="D3244">
        <x:f>ROUND($C3244*10*VLOOKUP($B3244,Sheet2!$J$5:$K$7,2,FALSE)*VLOOKUP(Sheet1!$A3244,Sheet2!$B$5:$H$29,3,FALSE),0)</x:f>
        <x:v>0</x:v>
      </x:c>
      <x:c r="E3244">
        <x:f>ROUND($C3244*10*VLOOKUP($B3244,Sheet2!$J$5:$K$7,2,FALSE)*VLOOKUP(Sheet1!$A3244,Sheet2!$B$5:$H$29,4,FALSE),0)</x:f>
        <x:v>0</x:v>
      </x:c>
      <x:c r="F3244">
        <x:f>ROUND($C3244*10*VLOOKUP($B3244,Sheet2!$J$5:$K$7,2,FALSE)*VLOOKUP(Sheet1!$A3244,Sheet2!$B$5:$H$29,5,FALSE),0)</x:f>
        <x:v>0</x:v>
      </x:c>
      <x:c r="G3244">
        <x:f>ROUND($C3244*10*VLOOKUP($B3244,Sheet2!$J$5:$K$7,2,FALSE)*VLOOKUP(Sheet1!$A3244,Sheet2!$B$5:$H$29,6,FALSE),0)</x:f>
        <x:v>24</x:v>
      </x:c>
      <x:c r="H3244">
        <x:f>ROUND($C3244*10*VLOOKUP($B3244,Sheet2!$J$5:$K$7,2,FALSE)*VLOOKUP(Sheet1!$A3244,Sheet2!$B$5:$H$29,7,FALSE),0)</x:f>
        <x:v>0</x:v>
      </x:c>
      <x:c r="I3244">
        <x:f t="shared" si="54"/>
        <x:v>110</x:v>
      </x:c>
    </x:row>
    <x:row r="3245" spans="1:9" x14ac:dyDescent="0.15">
      <x:c r="A3245">
        <x:v>54154</x:v>
      </x:c>
      <x:c r="B3245">
        <x:v>1</x:v>
      </x:c>
      <x:c r="C3245">
        <x:v>4</x:v>
      </x:c>
      <x:c r="D3245">
        <x:f>ROUND($C3245*10*VLOOKUP($B3245,Sheet2!$J$5:$K$7,2,FALSE)*VLOOKUP(Sheet1!$A3245,Sheet2!$B$5:$H$29,3,FALSE),0)</x:f>
        <x:v>0</x:v>
      </x:c>
      <x:c r="E3245">
        <x:f>ROUND($C3245*10*VLOOKUP($B3245,Sheet2!$J$5:$K$7,2,FALSE)*VLOOKUP(Sheet1!$A3245,Sheet2!$B$5:$H$29,4,FALSE),0)</x:f>
        <x:v>0</x:v>
      </x:c>
      <x:c r="F3245">
        <x:f>ROUND($C3245*10*VLOOKUP($B3245,Sheet2!$J$5:$K$7,2,FALSE)*VLOOKUP(Sheet1!$A3245,Sheet2!$B$5:$H$29,5,FALSE),0)</x:f>
        <x:v>0</x:v>
      </x:c>
      <x:c r="G3245">
        <x:f>ROUND($C3245*10*VLOOKUP($B3245,Sheet2!$J$5:$K$7,2,FALSE)*VLOOKUP(Sheet1!$A3245,Sheet2!$B$5:$H$29,6,FALSE),0)</x:f>
        <x:v>32</x:v>
      </x:c>
      <x:c r="H3245">
        <x:f>ROUND($C3245*10*VLOOKUP($B3245,Sheet2!$J$5:$K$7,2,FALSE)*VLOOKUP(Sheet1!$A3245,Sheet2!$B$5:$H$29,7,FALSE),0)</x:f>
        <x:v>0</x:v>
      </x:c>
      <x:c r="I3245">
        <x:f t="shared" si="54"/>
        <x:v>190</x:v>
      </x:c>
    </x:row>
    <x:row r="3246" spans="1:9" x14ac:dyDescent="0.15">
      <x:c r="A3246">
        <x:v>54154</x:v>
      </x:c>
      <x:c r="B3246">
        <x:v>1</x:v>
      </x:c>
      <x:c r="C3246">
        <x:v>5</x:v>
      </x:c>
      <x:c r="D3246">
        <x:f>ROUND($C3246*10*VLOOKUP($B3246,Sheet2!$J$5:$K$7,2,FALSE)*VLOOKUP(Sheet1!$A3246,Sheet2!$B$5:$H$29,3,FALSE),0)</x:f>
        <x:v>0</x:v>
      </x:c>
      <x:c r="E3246">
        <x:f>ROUND($C3246*10*VLOOKUP($B3246,Sheet2!$J$5:$K$7,2,FALSE)*VLOOKUP(Sheet1!$A3246,Sheet2!$B$5:$H$29,4,FALSE),0)</x:f>
        <x:v>0</x:v>
      </x:c>
      <x:c r="F3246">
        <x:f>ROUND($C3246*10*VLOOKUP($B3246,Sheet2!$J$5:$K$7,2,FALSE)*VLOOKUP(Sheet1!$A3246,Sheet2!$B$5:$H$29,5,FALSE),0)</x:f>
        <x:v>0</x:v>
      </x:c>
      <x:c r="G3246">
        <x:f>ROUND($C3246*10*VLOOKUP($B3246,Sheet2!$J$5:$K$7,2,FALSE)*VLOOKUP(Sheet1!$A3246,Sheet2!$B$5:$H$29,6,FALSE),0)</x:f>
        <x:v>40</x:v>
      </x:c>
      <x:c r="H3246">
        <x:f>ROUND($C3246*10*VLOOKUP($B3246,Sheet2!$J$5:$K$7,2,FALSE)*VLOOKUP(Sheet1!$A3246,Sheet2!$B$5:$H$29,7,FALSE),0)</x:f>
        <x:v>0</x:v>
      </x:c>
      <x:c r="I3246">
        <x:f t="shared" si="54"/>
        <x:v>290</x:v>
      </x:c>
    </x:row>
    <x:row r="3247" spans="1:9" x14ac:dyDescent="0.15">
      <x:c r="A3247">
        <x:v>54154</x:v>
      </x:c>
      <x:c r="B3247">
        <x:v>1</x:v>
      </x:c>
      <x:c r="C3247">
        <x:v>6</x:v>
      </x:c>
      <x:c r="D3247">
        <x:f>ROUND($C3247*10*VLOOKUP($B3247,Sheet2!$J$5:$K$7,2,FALSE)*VLOOKUP(Sheet1!$A3247,Sheet2!$B$5:$H$29,3,FALSE),0)</x:f>
        <x:v>0</x:v>
      </x:c>
      <x:c r="E3247">
        <x:f>ROUND($C3247*10*VLOOKUP($B3247,Sheet2!$J$5:$K$7,2,FALSE)*VLOOKUP(Sheet1!$A3247,Sheet2!$B$5:$H$29,4,FALSE),0)</x:f>
        <x:v>0</x:v>
      </x:c>
      <x:c r="F3247">
        <x:f>ROUND($C3247*10*VLOOKUP($B3247,Sheet2!$J$5:$K$7,2,FALSE)*VLOOKUP(Sheet1!$A3247,Sheet2!$B$5:$H$29,5,FALSE),0)</x:f>
        <x:v>0</x:v>
      </x:c>
      <x:c r="G3247">
        <x:f>ROUND($C3247*10*VLOOKUP($B3247,Sheet2!$J$5:$K$7,2,FALSE)*VLOOKUP(Sheet1!$A3247,Sheet2!$B$5:$H$29,6,FALSE),0)</x:f>
        <x:v>48</x:v>
      </x:c>
      <x:c r="H3247">
        <x:f>ROUND($C3247*10*VLOOKUP($B3247,Sheet2!$J$5:$K$7,2,FALSE)*VLOOKUP(Sheet1!$A3247,Sheet2!$B$5:$H$29,7,FALSE),0)</x:f>
        <x:v>0</x:v>
      </x:c>
      <x:c r="I3247">
        <x:f t="shared" si="54"/>
        <x:v>420</x:v>
      </x:c>
    </x:row>
    <x:row r="3248" spans="1:9" x14ac:dyDescent="0.15">
      <x:c r="A3248">
        <x:v>54154</x:v>
      </x:c>
      <x:c r="B3248">
        <x:v>1</x:v>
      </x:c>
      <x:c r="C3248">
        <x:v>7</x:v>
      </x:c>
      <x:c r="D3248">
        <x:f>ROUND($C3248*10*VLOOKUP($B3248,Sheet2!$J$5:$K$7,2,FALSE)*VLOOKUP(Sheet1!$A3248,Sheet2!$B$5:$H$29,3,FALSE),0)</x:f>
        <x:v>0</x:v>
      </x:c>
      <x:c r="E3248">
        <x:f>ROUND($C3248*10*VLOOKUP($B3248,Sheet2!$J$5:$K$7,2,FALSE)*VLOOKUP(Sheet1!$A3248,Sheet2!$B$5:$H$29,4,FALSE),0)</x:f>
        <x:v>0</x:v>
      </x:c>
      <x:c r="F3248">
        <x:f>ROUND($C3248*10*VLOOKUP($B3248,Sheet2!$J$5:$K$7,2,FALSE)*VLOOKUP(Sheet1!$A3248,Sheet2!$B$5:$H$29,5,FALSE),0)</x:f>
        <x:v>0</x:v>
      </x:c>
      <x:c r="G3248">
        <x:f>ROUND($C3248*10*VLOOKUP($B3248,Sheet2!$J$5:$K$7,2,FALSE)*VLOOKUP(Sheet1!$A3248,Sheet2!$B$5:$H$29,6,FALSE),0)</x:f>
        <x:v>56</x:v>
      </x:c>
      <x:c r="H3248">
        <x:f>ROUND($C3248*10*VLOOKUP($B3248,Sheet2!$J$5:$K$7,2,FALSE)*VLOOKUP(Sheet1!$A3248,Sheet2!$B$5:$H$29,7,FALSE),0)</x:f>
        <x:v>0</x:v>
      </x:c>
      <x:c r="I3248">
        <x:f t="shared" si="54"/>
        <x:v>570</x:v>
      </x:c>
    </x:row>
    <x:row r="3249" spans="1:9" x14ac:dyDescent="0.15">
      <x:c r="A3249">
        <x:v>54154</x:v>
      </x:c>
      <x:c r="B3249">
        <x:v>1</x:v>
      </x:c>
      <x:c r="C3249">
        <x:v>8</x:v>
      </x:c>
      <x:c r="D3249">
        <x:f>ROUND($C3249*10*VLOOKUP($B3249,Sheet2!$J$5:$K$7,2,FALSE)*VLOOKUP(Sheet1!$A3249,Sheet2!$B$5:$H$29,3,FALSE),0)</x:f>
        <x:v>0</x:v>
      </x:c>
      <x:c r="E3249">
        <x:f>ROUND($C3249*10*VLOOKUP($B3249,Sheet2!$J$5:$K$7,2,FALSE)*VLOOKUP(Sheet1!$A3249,Sheet2!$B$5:$H$29,4,FALSE),0)</x:f>
        <x:v>0</x:v>
      </x:c>
      <x:c r="F3249">
        <x:f>ROUND($C3249*10*VLOOKUP($B3249,Sheet2!$J$5:$K$7,2,FALSE)*VLOOKUP(Sheet1!$A3249,Sheet2!$B$5:$H$29,5,FALSE),0)</x:f>
        <x:v>0</x:v>
      </x:c>
      <x:c r="G3249">
        <x:f>ROUND($C3249*10*VLOOKUP($B3249,Sheet2!$J$5:$K$7,2,FALSE)*VLOOKUP(Sheet1!$A3249,Sheet2!$B$5:$H$29,6,FALSE),0)</x:f>
        <x:v>64</x:v>
      </x:c>
      <x:c r="H3249">
        <x:f>ROUND($C3249*10*VLOOKUP($B3249,Sheet2!$J$5:$K$7,2,FALSE)*VLOOKUP(Sheet1!$A3249,Sheet2!$B$5:$H$29,7,FALSE),0)</x:f>
        <x:v>0</x:v>
      </x:c>
      <x:c r="I3249">
        <x:f t="shared" si="54"/>
        <x:v>750</x:v>
      </x:c>
    </x:row>
    <x:row r="3250" spans="1:9" x14ac:dyDescent="0.15">
      <x:c r="A3250">
        <x:v>54154</x:v>
      </x:c>
      <x:c r="B3250">
        <x:v>1</x:v>
      </x:c>
      <x:c r="C3250">
        <x:v>9</x:v>
      </x:c>
      <x:c r="D3250">
        <x:f>ROUND($C3250*10*VLOOKUP($B3250,Sheet2!$J$5:$K$7,2,FALSE)*VLOOKUP(Sheet1!$A3250,Sheet2!$B$5:$H$29,3,FALSE),0)</x:f>
        <x:v>0</x:v>
      </x:c>
      <x:c r="E3250">
        <x:f>ROUND($C3250*10*VLOOKUP($B3250,Sheet2!$J$5:$K$7,2,FALSE)*VLOOKUP(Sheet1!$A3250,Sheet2!$B$5:$H$29,4,FALSE),0)</x:f>
        <x:v>0</x:v>
      </x:c>
      <x:c r="F3250">
        <x:f>ROUND($C3250*10*VLOOKUP($B3250,Sheet2!$J$5:$K$7,2,FALSE)*VLOOKUP(Sheet1!$A3250,Sheet2!$B$5:$H$29,5,FALSE),0)</x:f>
        <x:v>0</x:v>
      </x:c>
      <x:c r="G3250">
        <x:f>ROUND($C3250*10*VLOOKUP($B3250,Sheet2!$J$5:$K$7,2,FALSE)*VLOOKUP(Sheet1!$A3250,Sheet2!$B$5:$H$29,6,FALSE),0)</x:f>
        <x:v>72</x:v>
      </x:c>
      <x:c r="H3250">
        <x:f>ROUND($C3250*10*VLOOKUP($B3250,Sheet2!$J$5:$K$7,2,FALSE)*VLOOKUP(Sheet1!$A3250,Sheet2!$B$5:$H$29,7,FALSE),0)</x:f>
        <x:v>0</x:v>
      </x:c>
      <x:c r="I3250">
        <x:f t="shared" si="54"/>
        <x:v>940</x:v>
      </x:c>
    </x:row>
    <x:row r="3251" spans="1:9" x14ac:dyDescent="0.15">
      <x:c r="A3251">
        <x:v>54154</x:v>
      </x:c>
      <x:c r="B3251">
        <x:v>1</x:v>
      </x:c>
      <x:c r="C3251">
        <x:v>10</x:v>
      </x:c>
      <x:c r="D3251">
        <x:f>ROUND($C3251*10*VLOOKUP($B3251,Sheet2!$J$5:$K$7,2,FALSE)*VLOOKUP(Sheet1!$A3251,Sheet2!$B$5:$H$29,3,FALSE),0)</x:f>
        <x:v>0</x:v>
      </x:c>
      <x:c r="E3251">
        <x:f>ROUND($C3251*10*VLOOKUP($B3251,Sheet2!$J$5:$K$7,2,FALSE)*VLOOKUP(Sheet1!$A3251,Sheet2!$B$5:$H$29,4,FALSE),0)</x:f>
        <x:v>0</x:v>
      </x:c>
      <x:c r="F3251">
        <x:f>ROUND($C3251*10*VLOOKUP($B3251,Sheet2!$J$5:$K$7,2,FALSE)*VLOOKUP(Sheet1!$A3251,Sheet2!$B$5:$H$29,5,FALSE),0)</x:f>
        <x:v>0</x:v>
      </x:c>
      <x:c r="G3251">
        <x:f>ROUND($C3251*10*VLOOKUP($B3251,Sheet2!$J$5:$K$7,2,FALSE)*VLOOKUP(Sheet1!$A3251,Sheet2!$B$5:$H$29,6,FALSE),0)</x:f>
        <x:v>80</x:v>
      </x:c>
      <x:c r="H3251">
        <x:f>ROUND($C3251*10*VLOOKUP($B3251,Sheet2!$J$5:$K$7,2,FALSE)*VLOOKUP(Sheet1!$A3251,Sheet2!$B$5:$H$29,7,FALSE),0)</x:f>
        <x:v>0</x:v>
      </x:c>
      <x:c r="I3251">
        <x:f t="shared" si="54"/>
        <x:v>1160</x:v>
      </x:c>
    </x:row>
    <x:row r="3252" spans="1:9" x14ac:dyDescent="0.15">
      <x:c r="A3252">
        <x:v>54154</x:v>
      </x:c>
      <x:c r="B3252">
        <x:v>1</x:v>
      </x:c>
      <x:c r="C3252">
        <x:v>11</x:v>
      </x:c>
      <x:c r="D3252">
        <x:f>ROUND($C3252*10*VLOOKUP($B3252,Sheet2!$J$5:$K$7,2,FALSE)*VLOOKUP(Sheet1!$A3252,Sheet2!$B$5:$H$29,3,FALSE),0)</x:f>
        <x:v>0</x:v>
      </x:c>
      <x:c r="E3252">
        <x:f>ROUND($C3252*10*VLOOKUP($B3252,Sheet2!$J$5:$K$7,2,FALSE)*VLOOKUP(Sheet1!$A3252,Sheet2!$B$5:$H$29,4,FALSE),0)</x:f>
        <x:v>0</x:v>
      </x:c>
      <x:c r="F3252">
        <x:f>ROUND($C3252*10*VLOOKUP($B3252,Sheet2!$J$5:$K$7,2,FALSE)*VLOOKUP(Sheet1!$A3252,Sheet2!$B$5:$H$29,5,FALSE),0)</x:f>
        <x:v>0</x:v>
      </x:c>
      <x:c r="G3252">
        <x:f>ROUND($C3252*10*VLOOKUP($B3252,Sheet2!$J$5:$K$7,2,FALSE)*VLOOKUP(Sheet1!$A3252,Sheet2!$B$5:$H$29,6,FALSE),0)</x:f>
        <x:v>88</x:v>
      </x:c>
      <x:c r="H3252">
        <x:f>ROUND($C3252*10*VLOOKUP($B3252,Sheet2!$J$5:$K$7,2,FALSE)*VLOOKUP(Sheet1!$A3252,Sheet2!$B$5:$H$29,7,FALSE),0)</x:f>
        <x:v>0</x:v>
      </x:c>
      <x:c r="I3252">
        <x:f t="shared" si="54"/>
        <x:v>1390</x:v>
      </x:c>
    </x:row>
    <x:row r="3253" spans="1:9" x14ac:dyDescent="0.15">
      <x:c r="A3253">
        <x:v>54154</x:v>
      </x:c>
      <x:c r="B3253">
        <x:v>1</x:v>
      </x:c>
      <x:c r="C3253">
        <x:v>12</x:v>
      </x:c>
      <x:c r="D3253">
        <x:f>ROUND($C3253*10*VLOOKUP($B3253,Sheet2!$J$5:$K$7,2,FALSE)*VLOOKUP(Sheet1!$A3253,Sheet2!$B$5:$H$29,3,FALSE),0)</x:f>
        <x:v>0</x:v>
      </x:c>
      <x:c r="E3253">
        <x:f>ROUND($C3253*10*VLOOKUP($B3253,Sheet2!$J$5:$K$7,2,FALSE)*VLOOKUP(Sheet1!$A3253,Sheet2!$B$5:$H$29,4,FALSE),0)</x:f>
        <x:v>0</x:v>
      </x:c>
      <x:c r="F3253">
        <x:f>ROUND($C3253*10*VLOOKUP($B3253,Sheet2!$J$5:$K$7,2,FALSE)*VLOOKUP(Sheet1!$A3253,Sheet2!$B$5:$H$29,5,FALSE),0)</x:f>
        <x:v>0</x:v>
      </x:c>
      <x:c r="G3253">
        <x:f>ROUND($C3253*10*VLOOKUP($B3253,Sheet2!$J$5:$K$7,2,FALSE)*VLOOKUP(Sheet1!$A3253,Sheet2!$B$5:$H$29,6,FALSE),0)</x:f>
        <x:v>96</x:v>
      </x:c>
      <x:c r="H3253">
        <x:f>ROUND($C3253*10*VLOOKUP($B3253,Sheet2!$J$5:$K$7,2,FALSE)*VLOOKUP(Sheet1!$A3253,Sheet2!$B$5:$H$29,7,FALSE),0)</x:f>
        <x:v>0</x:v>
      </x:c>
      <x:c r="I3253">
        <x:f t="shared" si="54"/>
        <x:v>1650</x:v>
      </x:c>
    </x:row>
    <x:row r="3254" spans="1:9" x14ac:dyDescent="0.15">
      <x:c r="A3254">
        <x:v>54154</x:v>
      </x:c>
      <x:c r="B3254">
        <x:v>1</x:v>
      </x:c>
      <x:c r="C3254">
        <x:v>13</x:v>
      </x:c>
      <x:c r="D3254">
        <x:f>ROUND($C3254*10*VLOOKUP($B3254,Sheet2!$J$5:$K$7,2,FALSE)*VLOOKUP(Sheet1!$A3254,Sheet2!$B$5:$H$29,3,FALSE),0)</x:f>
        <x:v>0</x:v>
      </x:c>
      <x:c r="E3254">
        <x:f>ROUND($C3254*10*VLOOKUP($B3254,Sheet2!$J$5:$K$7,2,FALSE)*VLOOKUP(Sheet1!$A3254,Sheet2!$B$5:$H$29,4,FALSE),0)</x:f>
        <x:v>0</x:v>
      </x:c>
      <x:c r="F3254">
        <x:f>ROUND($C3254*10*VLOOKUP($B3254,Sheet2!$J$5:$K$7,2,FALSE)*VLOOKUP(Sheet1!$A3254,Sheet2!$B$5:$H$29,5,FALSE),0)</x:f>
        <x:v>0</x:v>
      </x:c>
      <x:c r="G3254">
        <x:f>ROUND($C3254*10*VLOOKUP($B3254,Sheet2!$J$5:$K$7,2,FALSE)*VLOOKUP(Sheet1!$A3254,Sheet2!$B$5:$H$29,6,FALSE),0)</x:f>
        <x:v>104</x:v>
      </x:c>
      <x:c r="H3254">
        <x:f>ROUND($C3254*10*VLOOKUP($B3254,Sheet2!$J$5:$K$7,2,FALSE)*VLOOKUP(Sheet1!$A3254,Sheet2!$B$5:$H$29,7,FALSE),0)</x:f>
        <x:v>0</x:v>
      </x:c>
      <x:c r="I3254">
        <x:f t="shared" si="54"/>
        <x:v>1920</x:v>
      </x:c>
    </x:row>
    <x:row r="3255" spans="1:9" x14ac:dyDescent="0.15">
      <x:c r="A3255">
        <x:v>54154</x:v>
      </x:c>
      <x:c r="B3255">
        <x:v>1</x:v>
      </x:c>
      <x:c r="C3255">
        <x:v>14</x:v>
      </x:c>
      <x:c r="D3255">
        <x:f>ROUND($C3255*10*VLOOKUP($B3255,Sheet2!$J$5:$K$7,2,FALSE)*VLOOKUP(Sheet1!$A3255,Sheet2!$B$5:$H$29,3,FALSE),0)</x:f>
        <x:v>0</x:v>
      </x:c>
      <x:c r="E3255">
        <x:f>ROUND($C3255*10*VLOOKUP($B3255,Sheet2!$J$5:$K$7,2,FALSE)*VLOOKUP(Sheet1!$A3255,Sheet2!$B$5:$H$29,4,FALSE),0)</x:f>
        <x:v>0</x:v>
      </x:c>
      <x:c r="F3255">
        <x:f>ROUND($C3255*10*VLOOKUP($B3255,Sheet2!$J$5:$K$7,2,FALSE)*VLOOKUP(Sheet1!$A3255,Sheet2!$B$5:$H$29,5,FALSE),0)</x:f>
        <x:v>0</x:v>
      </x:c>
      <x:c r="G3255">
        <x:f>ROUND($C3255*10*VLOOKUP($B3255,Sheet2!$J$5:$K$7,2,FALSE)*VLOOKUP(Sheet1!$A3255,Sheet2!$B$5:$H$29,6,FALSE),0)</x:f>
        <x:v>112</x:v>
      </x:c>
      <x:c r="H3255">
        <x:f>ROUND($C3255*10*VLOOKUP($B3255,Sheet2!$J$5:$K$7,2,FALSE)*VLOOKUP(Sheet1!$A3255,Sheet2!$B$5:$H$29,7,FALSE),0)</x:f>
        <x:v>0</x:v>
      </x:c>
      <x:c r="I3255">
        <x:f t="shared" si="54"/>
        <x:v>2220</x:v>
      </x:c>
    </x:row>
    <x:row r="3256" spans="1:9" x14ac:dyDescent="0.15">
      <x:c r="A3256">
        <x:v>54154</x:v>
      </x:c>
      <x:c r="B3256">
        <x:v>1</x:v>
      </x:c>
      <x:c r="C3256">
        <x:v>15</x:v>
      </x:c>
      <x:c r="D3256">
        <x:f>ROUND($C3256*10*VLOOKUP($B3256,Sheet2!$J$5:$K$7,2,FALSE)*VLOOKUP(Sheet1!$A3256,Sheet2!$B$5:$H$29,3,FALSE),0)</x:f>
        <x:v>0</x:v>
      </x:c>
      <x:c r="E3256">
        <x:f>ROUND($C3256*10*VLOOKUP($B3256,Sheet2!$J$5:$K$7,2,FALSE)*VLOOKUP(Sheet1!$A3256,Sheet2!$B$5:$H$29,4,FALSE),0)</x:f>
        <x:v>0</x:v>
      </x:c>
      <x:c r="F3256">
        <x:f>ROUND($C3256*10*VLOOKUP($B3256,Sheet2!$J$5:$K$7,2,FALSE)*VLOOKUP(Sheet1!$A3256,Sheet2!$B$5:$H$29,5,FALSE),0)</x:f>
        <x:v>0</x:v>
      </x:c>
      <x:c r="G3256">
        <x:f>ROUND($C3256*10*VLOOKUP($B3256,Sheet2!$J$5:$K$7,2,FALSE)*VLOOKUP(Sheet1!$A3256,Sheet2!$B$5:$H$29,6,FALSE),0)</x:f>
        <x:v>120</x:v>
      </x:c>
      <x:c r="H3256">
        <x:f>ROUND($C3256*10*VLOOKUP($B3256,Sheet2!$J$5:$K$7,2,FALSE)*VLOOKUP(Sheet1!$A3256,Sheet2!$B$5:$H$29,7,FALSE),0)</x:f>
        <x:v>0</x:v>
      </x:c>
      <x:c r="I3256">
        <x:f t="shared" si="54"/>
        <x:v>2530</x:v>
      </x:c>
    </x:row>
    <x:row r="3257" spans="1:9" x14ac:dyDescent="0.15">
      <x:c r="A3257">
        <x:v>54154</x:v>
      </x:c>
      <x:c r="B3257">
        <x:v>1</x:v>
      </x:c>
      <x:c r="C3257">
        <x:v>16</x:v>
      </x:c>
      <x:c r="D3257">
        <x:f>ROUND($C3257*10*VLOOKUP($B3257,Sheet2!$J$5:$K$7,2,FALSE)*VLOOKUP(Sheet1!$A3257,Sheet2!$B$5:$H$29,3,FALSE),0)</x:f>
        <x:v>0</x:v>
      </x:c>
      <x:c r="E3257">
        <x:f>ROUND($C3257*10*VLOOKUP($B3257,Sheet2!$J$5:$K$7,2,FALSE)*VLOOKUP(Sheet1!$A3257,Sheet2!$B$5:$H$29,4,FALSE),0)</x:f>
        <x:v>0</x:v>
      </x:c>
      <x:c r="F3257">
        <x:f>ROUND($C3257*10*VLOOKUP($B3257,Sheet2!$J$5:$K$7,2,FALSE)*VLOOKUP(Sheet1!$A3257,Sheet2!$B$5:$H$29,5,FALSE),0)</x:f>
        <x:v>0</x:v>
      </x:c>
      <x:c r="G3257">
        <x:f>ROUND($C3257*10*VLOOKUP($B3257,Sheet2!$J$5:$K$7,2,FALSE)*VLOOKUP(Sheet1!$A3257,Sheet2!$B$5:$H$29,6,FALSE),0)</x:f>
        <x:v>128</x:v>
      </x:c>
      <x:c r="H3257">
        <x:f>ROUND($C3257*10*VLOOKUP($B3257,Sheet2!$J$5:$K$7,2,FALSE)*VLOOKUP(Sheet1!$A3257,Sheet2!$B$5:$H$29,7,FALSE),0)</x:f>
        <x:v>0</x:v>
      </x:c>
      <x:c r="I3257">
        <x:f t="shared" si="54"/>
        <x:v>2860</x:v>
      </x:c>
    </x:row>
    <x:row r="3258" spans="1:9" x14ac:dyDescent="0.15">
      <x:c r="A3258">
        <x:v>54154</x:v>
      </x:c>
      <x:c r="B3258">
        <x:v>1</x:v>
      </x:c>
      <x:c r="C3258">
        <x:v>17</x:v>
      </x:c>
      <x:c r="D3258">
        <x:f>ROUND($C3258*10*VLOOKUP($B3258,Sheet2!$J$5:$K$7,2,FALSE)*VLOOKUP(Sheet1!$A3258,Sheet2!$B$5:$H$29,3,FALSE),0)</x:f>
        <x:v>0</x:v>
      </x:c>
      <x:c r="E3258">
        <x:f>ROUND($C3258*10*VLOOKUP($B3258,Sheet2!$J$5:$K$7,2,FALSE)*VLOOKUP(Sheet1!$A3258,Sheet2!$B$5:$H$29,4,FALSE),0)</x:f>
        <x:v>0</x:v>
      </x:c>
      <x:c r="F3258">
        <x:f>ROUND($C3258*10*VLOOKUP($B3258,Sheet2!$J$5:$K$7,2,FALSE)*VLOOKUP(Sheet1!$A3258,Sheet2!$B$5:$H$29,5,FALSE),0)</x:f>
        <x:v>0</x:v>
      </x:c>
      <x:c r="G3258">
        <x:f>ROUND($C3258*10*VLOOKUP($B3258,Sheet2!$J$5:$K$7,2,FALSE)*VLOOKUP(Sheet1!$A3258,Sheet2!$B$5:$H$29,6,FALSE),0)</x:f>
        <x:v>136</x:v>
      </x:c>
      <x:c r="H3258">
        <x:f>ROUND($C3258*10*VLOOKUP($B3258,Sheet2!$J$5:$K$7,2,FALSE)*VLOOKUP(Sheet1!$A3258,Sheet2!$B$5:$H$29,7,FALSE),0)</x:f>
        <x:v>0</x:v>
      </x:c>
      <x:c r="I3258">
        <x:f t="shared" si="54"/>
        <x:v>3210</x:v>
      </x:c>
    </x:row>
    <x:row r="3259" spans="1:9" x14ac:dyDescent="0.15">
      <x:c r="A3259">
        <x:v>54154</x:v>
      </x:c>
      <x:c r="B3259">
        <x:v>1</x:v>
      </x:c>
      <x:c r="C3259">
        <x:v>18</x:v>
      </x:c>
      <x:c r="D3259">
        <x:f>ROUND($C3259*10*VLOOKUP($B3259,Sheet2!$J$5:$K$7,2,FALSE)*VLOOKUP(Sheet1!$A3259,Sheet2!$B$5:$H$29,3,FALSE),0)</x:f>
        <x:v>0</x:v>
      </x:c>
      <x:c r="E3259">
        <x:f>ROUND($C3259*10*VLOOKUP($B3259,Sheet2!$J$5:$K$7,2,FALSE)*VLOOKUP(Sheet1!$A3259,Sheet2!$B$5:$H$29,4,FALSE),0)</x:f>
        <x:v>0</x:v>
      </x:c>
      <x:c r="F3259">
        <x:f>ROUND($C3259*10*VLOOKUP($B3259,Sheet2!$J$5:$K$7,2,FALSE)*VLOOKUP(Sheet1!$A3259,Sheet2!$B$5:$H$29,5,FALSE),0)</x:f>
        <x:v>0</x:v>
      </x:c>
      <x:c r="G3259">
        <x:f>ROUND($C3259*10*VLOOKUP($B3259,Sheet2!$J$5:$K$7,2,FALSE)*VLOOKUP(Sheet1!$A3259,Sheet2!$B$5:$H$29,6,FALSE),0)</x:f>
        <x:v>144</x:v>
      </x:c>
      <x:c r="H3259">
        <x:f>ROUND($C3259*10*VLOOKUP($B3259,Sheet2!$J$5:$K$7,2,FALSE)*VLOOKUP(Sheet1!$A3259,Sheet2!$B$5:$H$29,7,FALSE),0)</x:f>
        <x:v>0</x:v>
      </x:c>
      <x:c r="I3259">
        <x:f t="shared" si="54"/>
        <x:v>3570</x:v>
      </x:c>
    </x:row>
    <x:row r="3260" spans="1:9" x14ac:dyDescent="0.15">
      <x:c r="A3260">
        <x:v>54154</x:v>
      </x:c>
      <x:c r="B3260">
        <x:v>1</x:v>
      </x:c>
      <x:c r="C3260">
        <x:v>19</x:v>
      </x:c>
      <x:c r="D3260">
        <x:f>ROUND($C3260*10*VLOOKUP($B3260,Sheet2!$J$5:$K$7,2,FALSE)*VLOOKUP(Sheet1!$A3260,Sheet2!$B$5:$H$29,3,FALSE),0)</x:f>
        <x:v>0</x:v>
      </x:c>
      <x:c r="E3260">
        <x:f>ROUND($C3260*10*VLOOKUP($B3260,Sheet2!$J$5:$K$7,2,FALSE)*VLOOKUP(Sheet1!$A3260,Sheet2!$B$5:$H$29,4,FALSE),0)</x:f>
        <x:v>0</x:v>
      </x:c>
      <x:c r="F3260">
        <x:f>ROUND($C3260*10*VLOOKUP($B3260,Sheet2!$J$5:$K$7,2,FALSE)*VLOOKUP(Sheet1!$A3260,Sheet2!$B$5:$H$29,5,FALSE),0)</x:f>
        <x:v>0</x:v>
      </x:c>
      <x:c r="G3260">
        <x:f>ROUND($C3260*10*VLOOKUP($B3260,Sheet2!$J$5:$K$7,2,FALSE)*VLOOKUP(Sheet1!$A3260,Sheet2!$B$5:$H$29,6,FALSE),0)</x:f>
        <x:v>152</x:v>
      </x:c>
      <x:c r="H3260">
        <x:f>ROUND($C3260*10*VLOOKUP($B3260,Sheet2!$J$5:$K$7,2,FALSE)*VLOOKUP(Sheet1!$A3260,Sheet2!$B$5:$H$29,7,FALSE),0)</x:f>
        <x:v>0</x:v>
      </x:c>
      <x:c r="I3260">
        <x:f t="shared" si="54"/>
        <x:v>3960</x:v>
      </x:c>
    </x:row>
    <x:row r="3261" spans="1:9" x14ac:dyDescent="0.15">
      <x:c r="A3261">
        <x:v>54154</x:v>
      </x:c>
      <x:c r="B3261">
        <x:v>1</x:v>
      </x:c>
      <x:c r="C3261">
        <x:v>20</x:v>
      </x:c>
      <x:c r="D3261">
        <x:f>ROUND($C3261*10*VLOOKUP($B3261,Sheet2!$J$5:$K$7,2,FALSE)*VLOOKUP(Sheet1!$A3261,Sheet2!$B$5:$H$29,3,FALSE),0)</x:f>
        <x:v>0</x:v>
      </x:c>
      <x:c r="E3261">
        <x:f>ROUND($C3261*10*VLOOKUP($B3261,Sheet2!$J$5:$K$7,2,FALSE)*VLOOKUP(Sheet1!$A3261,Sheet2!$B$5:$H$29,4,FALSE),0)</x:f>
        <x:v>0</x:v>
      </x:c>
      <x:c r="F3261">
        <x:f>ROUND($C3261*10*VLOOKUP($B3261,Sheet2!$J$5:$K$7,2,FALSE)*VLOOKUP(Sheet1!$A3261,Sheet2!$B$5:$H$29,5,FALSE),0)</x:f>
        <x:v>0</x:v>
      </x:c>
      <x:c r="G3261">
        <x:f>ROUND($C3261*10*VLOOKUP($B3261,Sheet2!$J$5:$K$7,2,FALSE)*VLOOKUP(Sheet1!$A3261,Sheet2!$B$5:$H$29,6,FALSE),0)</x:f>
        <x:v>160</x:v>
      </x:c>
      <x:c r="H3261">
        <x:f>ROUND($C3261*10*VLOOKUP($B3261,Sheet2!$J$5:$K$7,2,FALSE)*VLOOKUP(Sheet1!$A3261,Sheet2!$B$5:$H$29,7,FALSE),0)</x:f>
        <x:v>0</x:v>
      </x:c>
      <x:c r="I3261">
        <x:f t="shared" si="54"/>
        <x:v>4360</x:v>
      </x:c>
    </x:row>
    <x:row r="3262" spans="1:9" x14ac:dyDescent="0.15">
      <x:c r="A3262">
        <x:v>54154</x:v>
      </x:c>
      <x:c r="B3262">
        <x:v>1</x:v>
      </x:c>
      <x:c r="C3262">
        <x:v>21</x:v>
      </x:c>
      <x:c r="D3262">
        <x:f>ROUND($C3262*10*VLOOKUP($B3262,Sheet2!$J$5:$K$7,2,FALSE)*VLOOKUP(Sheet1!$A3262,Sheet2!$B$5:$H$29,3,FALSE),0)</x:f>
        <x:v>0</x:v>
      </x:c>
      <x:c r="E3262">
        <x:f>ROUND($C3262*10*VLOOKUP($B3262,Sheet2!$J$5:$K$7,2,FALSE)*VLOOKUP(Sheet1!$A3262,Sheet2!$B$5:$H$29,4,FALSE),0)</x:f>
        <x:v>0</x:v>
      </x:c>
      <x:c r="F3262">
        <x:f>ROUND($C3262*10*VLOOKUP($B3262,Sheet2!$J$5:$K$7,2,FALSE)*VLOOKUP(Sheet1!$A3262,Sheet2!$B$5:$H$29,5,FALSE),0)</x:f>
        <x:v>0</x:v>
      </x:c>
      <x:c r="G3262">
        <x:f>ROUND($C3262*10*VLOOKUP($B3262,Sheet2!$J$5:$K$7,2,FALSE)*VLOOKUP(Sheet1!$A3262,Sheet2!$B$5:$H$29,6,FALSE),0)</x:f>
        <x:v>168</x:v>
      </x:c>
      <x:c r="H3262">
        <x:f>ROUND($C3262*10*VLOOKUP($B3262,Sheet2!$J$5:$K$7,2,FALSE)*VLOOKUP(Sheet1!$A3262,Sheet2!$B$5:$H$29,7,FALSE),0)</x:f>
        <x:v>0</x:v>
      </x:c>
      <x:c r="I3262">
        <x:f t="shared" si="54"/>
        <x:v>4780</x:v>
      </x:c>
    </x:row>
    <x:row r="3263" spans="1:9" x14ac:dyDescent="0.15">
      <x:c r="A3263">
        <x:v>54154</x:v>
      </x:c>
      <x:c r="B3263">
        <x:v>1</x:v>
      </x:c>
      <x:c r="C3263">
        <x:v>22</x:v>
      </x:c>
      <x:c r="D3263">
        <x:f>ROUND($C3263*10*VLOOKUP($B3263,Sheet2!$J$5:$K$7,2,FALSE)*VLOOKUP(Sheet1!$A3263,Sheet2!$B$5:$H$29,3,FALSE),0)</x:f>
        <x:v>0</x:v>
      </x:c>
      <x:c r="E3263">
        <x:f>ROUND($C3263*10*VLOOKUP($B3263,Sheet2!$J$5:$K$7,2,FALSE)*VLOOKUP(Sheet1!$A3263,Sheet2!$B$5:$H$29,4,FALSE),0)</x:f>
        <x:v>0</x:v>
      </x:c>
      <x:c r="F3263">
        <x:f>ROUND($C3263*10*VLOOKUP($B3263,Sheet2!$J$5:$K$7,2,FALSE)*VLOOKUP(Sheet1!$A3263,Sheet2!$B$5:$H$29,5,FALSE),0)</x:f>
        <x:v>0</x:v>
      </x:c>
      <x:c r="G3263">
        <x:f>ROUND($C3263*10*VLOOKUP($B3263,Sheet2!$J$5:$K$7,2,FALSE)*VLOOKUP(Sheet1!$A3263,Sheet2!$B$5:$H$29,6,FALSE),0)</x:f>
        <x:v>176</x:v>
      </x:c>
      <x:c r="H3263">
        <x:f>ROUND($C3263*10*VLOOKUP($B3263,Sheet2!$J$5:$K$7,2,FALSE)*VLOOKUP(Sheet1!$A3263,Sheet2!$B$5:$H$29,7,FALSE),0)</x:f>
        <x:v>0</x:v>
      </x:c>
      <x:c r="I3263">
        <x:f t="shared" si="54"/>
        <x:v>5210</x:v>
      </x:c>
    </x:row>
    <x:row r="3264" spans="1:9" x14ac:dyDescent="0.15">
      <x:c r="A3264">
        <x:v>54154</x:v>
      </x:c>
      <x:c r="B3264">
        <x:v>1</x:v>
      </x:c>
      <x:c r="C3264">
        <x:v>23</x:v>
      </x:c>
      <x:c r="D3264">
        <x:f>ROUND($C3264*10*VLOOKUP($B3264,Sheet2!$J$5:$K$7,2,FALSE)*VLOOKUP(Sheet1!$A3264,Sheet2!$B$5:$H$29,3,FALSE),0)</x:f>
        <x:v>0</x:v>
      </x:c>
      <x:c r="E3264">
        <x:f>ROUND($C3264*10*VLOOKUP($B3264,Sheet2!$J$5:$K$7,2,FALSE)*VLOOKUP(Sheet1!$A3264,Sheet2!$B$5:$H$29,4,FALSE),0)</x:f>
        <x:v>0</x:v>
      </x:c>
      <x:c r="F3264">
        <x:f>ROUND($C3264*10*VLOOKUP($B3264,Sheet2!$J$5:$K$7,2,FALSE)*VLOOKUP(Sheet1!$A3264,Sheet2!$B$5:$H$29,5,FALSE),0)</x:f>
        <x:v>0</x:v>
      </x:c>
      <x:c r="G3264">
        <x:f>ROUND($C3264*10*VLOOKUP($B3264,Sheet2!$J$5:$K$7,2,FALSE)*VLOOKUP(Sheet1!$A3264,Sheet2!$B$5:$H$29,6,FALSE),0)</x:f>
        <x:v>184</x:v>
      </x:c>
      <x:c r="H3264">
        <x:f>ROUND($C3264*10*VLOOKUP($B3264,Sheet2!$J$5:$K$7,2,FALSE)*VLOOKUP(Sheet1!$A3264,Sheet2!$B$5:$H$29,7,FALSE),0)</x:f>
        <x:v>0</x:v>
      </x:c>
      <x:c r="I3264">
        <x:f t="shared" si="54"/>
        <x:v>5660</x:v>
      </x:c>
    </x:row>
    <x:row r="3265" spans="1:9" x14ac:dyDescent="0.15">
      <x:c r="A3265">
        <x:v>54154</x:v>
      </x:c>
      <x:c r="B3265">
        <x:v>1</x:v>
      </x:c>
      <x:c r="C3265">
        <x:v>24</x:v>
      </x:c>
      <x:c r="D3265">
        <x:f>ROUND($C3265*10*VLOOKUP($B3265,Sheet2!$J$5:$K$7,2,FALSE)*VLOOKUP(Sheet1!$A3265,Sheet2!$B$5:$H$29,3,FALSE),0)</x:f>
        <x:v>0</x:v>
      </x:c>
      <x:c r="E3265">
        <x:f>ROUND($C3265*10*VLOOKUP($B3265,Sheet2!$J$5:$K$7,2,FALSE)*VLOOKUP(Sheet1!$A3265,Sheet2!$B$5:$H$29,4,FALSE),0)</x:f>
        <x:v>0</x:v>
      </x:c>
      <x:c r="F3265">
        <x:f>ROUND($C3265*10*VLOOKUP($B3265,Sheet2!$J$5:$K$7,2,FALSE)*VLOOKUP(Sheet1!$A3265,Sheet2!$B$5:$H$29,5,FALSE),0)</x:f>
        <x:v>0</x:v>
      </x:c>
      <x:c r="G3265">
        <x:f>ROUND($C3265*10*VLOOKUP($B3265,Sheet2!$J$5:$K$7,2,FALSE)*VLOOKUP(Sheet1!$A3265,Sheet2!$B$5:$H$29,6,FALSE),0)</x:f>
        <x:v>192</x:v>
      </x:c>
      <x:c r="H3265">
        <x:f>ROUND($C3265*10*VLOOKUP($B3265,Sheet2!$J$5:$K$7,2,FALSE)*VLOOKUP(Sheet1!$A3265,Sheet2!$B$5:$H$29,7,FALSE),0)</x:f>
        <x:v>0</x:v>
      </x:c>
      <x:c r="I3265">
        <x:f t="shared" si="54"/>
        <x:v>6130</x:v>
      </x:c>
    </x:row>
    <x:row r="3266" spans="1:9" x14ac:dyDescent="0.15">
      <x:c r="A3266">
        <x:v>54154</x:v>
      </x:c>
      <x:c r="B3266">
        <x:v>1</x:v>
      </x:c>
      <x:c r="C3266">
        <x:v>25</x:v>
      </x:c>
      <x:c r="D3266">
        <x:f>ROUND($C3266*10*VLOOKUP($B3266,Sheet2!$J$5:$K$7,2,FALSE)*VLOOKUP(Sheet1!$A3266,Sheet2!$B$5:$H$29,3,FALSE),0)</x:f>
        <x:v>0</x:v>
      </x:c>
      <x:c r="E3266">
        <x:f>ROUND($C3266*10*VLOOKUP($B3266,Sheet2!$J$5:$K$7,2,FALSE)*VLOOKUP(Sheet1!$A3266,Sheet2!$B$5:$H$29,4,FALSE),0)</x:f>
        <x:v>0</x:v>
      </x:c>
      <x:c r="F3266">
        <x:f>ROUND($C3266*10*VLOOKUP($B3266,Sheet2!$J$5:$K$7,2,FALSE)*VLOOKUP(Sheet1!$A3266,Sheet2!$B$5:$H$29,5,FALSE),0)</x:f>
        <x:v>0</x:v>
      </x:c>
      <x:c r="G3266">
        <x:f>ROUND($C3266*10*VLOOKUP($B3266,Sheet2!$J$5:$K$7,2,FALSE)*VLOOKUP(Sheet1!$A3266,Sheet2!$B$5:$H$29,6,FALSE),0)</x:f>
        <x:v>200</x:v>
      </x:c>
      <x:c r="H3266">
        <x:f>ROUND($C3266*10*VLOOKUP($B3266,Sheet2!$J$5:$K$7,2,FALSE)*VLOOKUP(Sheet1!$A3266,Sheet2!$B$5:$H$29,7,FALSE),0)</x:f>
        <x:v>0</x:v>
      </x:c>
      <x:c r="I3266">
        <x:f t="shared" si="54"/>
        <x:v>6620</x:v>
      </x:c>
    </x:row>
    <x:row r="3267" spans="1:9" x14ac:dyDescent="0.15">
      <x:c r="A3267">
        <x:v>54154</x:v>
      </x:c>
      <x:c r="B3267">
        <x:v>1</x:v>
      </x:c>
      <x:c r="C3267">
        <x:v>26</x:v>
      </x:c>
      <x:c r="D3267">
        <x:f>ROUND($C3267*10*VLOOKUP($B3267,Sheet2!$J$5:$K$7,2,FALSE)*VLOOKUP(Sheet1!$A3267,Sheet2!$B$5:$H$29,3,FALSE),0)</x:f>
        <x:v>0</x:v>
      </x:c>
      <x:c r="E3267">
        <x:f>ROUND($C3267*10*VLOOKUP($B3267,Sheet2!$J$5:$K$7,2,FALSE)*VLOOKUP(Sheet1!$A3267,Sheet2!$B$5:$H$29,4,FALSE),0)</x:f>
        <x:v>0</x:v>
      </x:c>
      <x:c r="F3267">
        <x:f>ROUND($C3267*10*VLOOKUP($B3267,Sheet2!$J$5:$K$7,2,FALSE)*VLOOKUP(Sheet1!$A3267,Sheet2!$B$5:$H$29,5,FALSE),0)</x:f>
        <x:v>0</x:v>
      </x:c>
      <x:c r="G3267">
        <x:f>ROUND($C3267*10*VLOOKUP($B3267,Sheet2!$J$5:$K$7,2,FALSE)*VLOOKUP(Sheet1!$A3267,Sheet2!$B$5:$H$29,6,FALSE),0)</x:f>
        <x:v>208</x:v>
      </x:c>
      <x:c r="H3267">
        <x:f>ROUND($C3267*10*VLOOKUP($B3267,Sheet2!$J$5:$K$7,2,FALSE)*VLOOKUP(Sheet1!$A3267,Sheet2!$B$5:$H$29,7,FALSE),0)</x:f>
        <x:v>0</x:v>
      </x:c>
      <x:c r="I3267">
        <x:f t="shared" si="54"/>
        <x:v>7120</x:v>
      </x:c>
    </x:row>
    <x:row r="3268" spans="1:9" x14ac:dyDescent="0.15">
      <x:c r="A3268">
        <x:v>54154</x:v>
      </x:c>
      <x:c r="B3268">
        <x:v>1</x:v>
      </x:c>
      <x:c r="C3268">
        <x:v>27</x:v>
      </x:c>
      <x:c r="D3268">
        <x:f>ROUND($C3268*10*VLOOKUP($B3268,Sheet2!$J$5:$K$7,2,FALSE)*VLOOKUP(Sheet1!$A3268,Sheet2!$B$5:$H$29,3,FALSE),0)</x:f>
        <x:v>0</x:v>
      </x:c>
      <x:c r="E3268">
        <x:f>ROUND($C3268*10*VLOOKUP($B3268,Sheet2!$J$5:$K$7,2,FALSE)*VLOOKUP(Sheet1!$A3268,Sheet2!$B$5:$H$29,4,FALSE),0)</x:f>
        <x:v>0</x:v>
      </x:c>
      <x:c r="F3268">
        <x:f>ROUND($C3268*10*VLOOKUP($B3268,Sheet2!$J$5:$K$7,2,FALSE)*VLOOKUP(Sheet1!$A3268,Sheet2!$B$5:$H$29,5,FALSE),0)</x:f>
        <x:v>0</x:v>
      </x:c>
      <x:c r="G3268">
        <x:f>ROUND($C3268*10*VLOOKUP($B3268,Sheet2!$J$5:$K$7,2,FALSE)*VLOOKUP(Sheet1!$A3268,Sheet2!$B$5:$H$29,6,FALSE),0)</x:f>
        <x:v>216</x:v>
      </x:c>
      <x:c r="H3268">
        <x:f>ROUND($C3268*10*VLOOKUP($B3268,Sheet2!$J$5:$K$7,2,FALSE)*VLOOKUP(Sheet1!$A3268,Sheet2!$B$5:$H$29,7,FALSE),0)</x:f>
        <x:v>0</x:v>
      </x:c>
      <x:c r="I3268">
        <x:f t="shared" si="54"/>
        <x:v>7640</x:v>
      </x:c>
    </x:row>
    <x:row r="3269" spans="1:9" x14ac:dyDescent="0.15">
      <x:c r="A3269">
        <x:v>54154</x:v>
      </x:c>
      <x:c r="B3269">
        <x:v>1</x:v>
      </x:c>
      <x:c r="C3269">
        <x:v>28</x:v>
      </x:c>
      <x:c r="D3269">
        <x:f>ROUND($C3269*10*VLOOKUP($B3269,Sheet2!$J$5:$K$7,2,FALSE)*VLOOKUP(Sheet1!$A3269,Sheet2!$B$5:$H$29,3,FALSE),0)</x:f>
        <x:v>0</x:v>
      </x:c>
      <x:c r="E3269">
        <x:f>ROUND($C3269*10*VLOOKUP($B3269,Sheet2!$J$5:$K$7,2,FALSE)*VLOOKUP(Sheet1!$A3269,Sheet2!$B$5:$H$29,4,FALSE),0)</x:f>
        <x:v>0</x:v>
      </x:c>
      <x:c r="F3269">
        <x:f>ROUND($C3269*10*VLOOKUP($B3269,Sheet2!$J$5:$K$7,2,FALSE)*VLOOKUP(Sheet1!$A3269,Sheet2!$B$5:$H$29,5,FALSE),0)</x:f>
        <x:v>0</x:v>
      </x:c>
      <x:c r="G3269">
        <x:f>ROUND($C3269*10*VLOOKUP($B3269,Sheet2!$J$5:$K$7,2,FALSE)*VLOOKUP(Sheet1!$A3269,Sheet2!$B$5:$H$29,6,FALSE),0)</x:f>
        <x:v>224</x:v>
      </x:c>
      <x:c r="H3269">
        <x:f>ROUND($C3269*10*VLOOKUP($B3269,Sheet2!$J$5:$K$7,2,FALSE)*VLOOKUP(Sheet1!$A3269,Sheet2!$B$5:$H$29,7,FALSE),0)</x:f>
        <x:v>0</x:v>
      </x:c>
      <x:c r="I3269">
        <x:f t="shared" si="54"/>
        <x:v>8180</x:v>
      </x:c>
    </x:row>
    <x:row r="3270" spans="1:9" x14ac:dyDescent="0.15">
      <x:c r="A3270">
        <x:v>54154</x:v>
      </x:c>
      <x:c r="B3270">
        <x:v>1</x:v>
      </x:c>
      <x:c r="C3270">
        <x:v>29</x:v>
      </x:c>
      <x:c r="D3270">
        <x:f>ROUND($C3270*10*VLOOKUP($B3270,Sheet2!$J$5:$K$7,2,FALSE)*VLOOKUP(Sheet1!$A3270,Sheet2!$B$5:$H$29,3,FALSE),0)</x:f>
        <x:v>0</x:v>
      </x:c>
      <x:c r="E3270">
        <x:f>ROUND($C3270*10*VLOOKUP($B3270,Sheet2!$J$5:$K$7,2,FALSE)*VLOOKUP(Sheet1!$A3270,Sheet2!$B$5:$H$29,4,FALSE),0)</x:f>
        <x:v>0</x:v>
      </x:c>
      <x:c r="F3270">
        <x:f>ROUND($C3270*10*VLOOKUP($B3270,Sheet2!$J$5:$K$7,2,FALSE)*VLOOKUP(Sheet1!$A3270,Sheet2!$B$5:$H$29,5,FALSE),0)</x:f>
        <x:v>0</x:v>
      </x:c>
      <x:c r="G3270">
        <x:f>ROUND($C3270*10*VLOOKUP($B3270,Sheet2!$J$5:$K$7,2,FALSE)*VLOOKUP(Sheet1!$A3270,Sheet2!$B$5:$H$29,6,FALSE),0)</x:f>
        <x:v>232</x:v>
      </x:c>
      <x:c r="H3270">
        <x:f>ROUND($C3270*10*VLOOKUP($B3270,Sheet2!$J$5:$K$7,2,FALSE)*VLOOKUP(Sheet1!$A3270,Sheet2!$B$5:$H$29,7,FALSE),0)</x:f>
        <x:v>0</x:v>
      </x:c>
      <x:c r="I3270">
        <x:f t="shared" si="54"/>
        <x:v>8730</x:v>
      </x:c>
    </x:row>
    <x:row r="3271" spans="1:9" x14ac:dyDescent="0.15">
      <x:c r="A3271">
        <x:v>54154</x:v>
      </x:c>
      <x:c r="B3271">
        <x:v>1</x:v>
      </x:c>
      <x:c r="C3271">
        <x:v>30</x:v>
      </x:c>
      <x:c r="D3271">
        <x:f>ROUND($C3271*10*VLOOKUP($B3271,Sheet2!$J$5:$K$7,2,FALSE)*VLOOKUP(Sheet1!$A3271,Sheet2!$B$5:$H$29,3,FALSE),0)</x:f>
        <x:v>0</x:v>
      </x:c>
      <x:c r="E3271">
        <x:f>ROUND($C3271*10*VLOOKUP($B3271,Sheet2!$J$5:$K$7,2,FALSE)*VLOOKUP(Sheet1!$A3271,Sheet2!$B$5:$H$29,4,FALSE),0)</x:f>
        <x:v>0</x:v>
      </x:c>
      <x:c r="F3271">
        <x:f>ROUND($C3271*10*VLOOKUP($B3271,Sheet2!$J$5:$K$7,2,FALSE)*VLOOKUP(Sheet1!$A3271,Sheet2!$B$5:$H$29,5,FALSE),0)</x:f>
        <x:v>0</x:v>
      </x:c>
      <x:c r="G3271">
        <x:f>ROUND($C3271*10*VLOOKUP($B3271,Sheet2!$J$5:$K$7,2,FALSE)*VLOOKUP(Sheet1!$A3271,Sheet2!$B$5:$H$29,6,FALSE),0)</x:f>
        <x:v>240</x:v>
      </x:c>
      <x:c r="H3271">
        <x:f>ROUND($C3271*10*VLOOKUP($B3271,Sheet2!$J$5:$K$7,2,FALSE)*VLOOKUP(Sheet1!$A3271,Sheet2!$B$5:$H$29,7,FALSE),0)</x:f>
        <x:v>0</x:v>
      </x:c>
      <x:c r="I3271">
        <x:f t="shared" si="54"/>
        <x:v>9290</x:v>
      </x:c>
    </x:row>
    <x:row r="3272" spans="1:9" x14ac:dyDescent="0.15">
      <x:c r="A3272">
        <x:v>54154</x:v>
      </x:c>
      <x:c r="B3272">
        <x:v>1</x:v>
      </x:c>
      <x:c r="C3272">
        <x:v>31</x:v>
      </x:c>
      <x:c r="D3272">
        <x:f>ROUND($C3272*10*VLOOKUP($B3272,Sheet2!$J$5:$K$7,2,FALSE)*VLOOKUP(Sheet1!$A3272,Sheet2!$B$5:$H$29,3,FALSE),0)</x:f>
        <x:v>0</x:v>
      </x:c>
      <x:c r="E3272">
        <x:f>ROUND($C3272*10*VLOOKUP($B3272,Sheet2!$J$5:$K$7,2,FALSE)*VLOOKUP(Sheet1!$A3272,Sheet2!$B$5:$H$29,4,FALSE),0)</x:f>
        <x:v>0</x:v>
      </x:c>
      <x:c r="F3272">
        <x:f>ROUND($C3272*10*VLOOKUP($B3272,Sheet2!$J$5:$K$7,2,FALSE)*VLOOKUP(Sheet1!$A3272,Sheet2!$B$5:$H$29,5,FALSE),0)</x:f>
        <x:v>0</x:v>
      </x:c>
      <x:c r="G3272">
        <x:f>ROUND($C3272*10*VLOOKUP($B3272,Sheet2!$J$5:$K$7,2,FALSE)*VLOOKUP(Sheet1!$A3272,Sheet2!$B$5:$H$29,6,FALSE),0)</x:f>
        <x:v>248</x:v>
      </x:c>
      <x:c r="H3272">
        <x:f>ROUND($C3272*10*VLOOKUP($B3272,Sheet2!$J$5:$K$7,2,FALSE)*VLOOKUP(Sheet1!$A3272,Sheet2!$B$5:$H$29,7,FALSE),0)</x:f>
        <x:v>0</x:v>
      </x:c>
      <x:c r="I3272">
        <x:f t="shared" si="54"/>
        <x:v>9880</x:v>
      </x:c>
    </x:row>
    <x:row r="3273" spans="1:9" x14ac:dyDescent="0.15">
      <x:c r="A3273">
        <x:v>54154</x:v>
      </x:c>
      <x:c r="B3273">
        <x:v>1</x:v>
      </x:c>
      <x:c r="C3273">
        <x:v>32</x:v>
      </x:c>
      <x:c r="D3273">
        <x:f>ROUND($C3273*10*VLOOKUP($B3273,Sheet2!$J$5:$K$7,2,FALSE)*VLOOKUP(Sheet1!$A3273,Sheet2!$B$5:$H$29,3,FALSE),0)</x:f>
        <x:v>0</x:v>
      </x:c>
      <x:c r="E3273">
        <x:f>ROUND($C3273*10*VLOOKUP($B3273,Sheet2!$J$5:$K$7,2,FALSE)*VLOOKUP(Sheet1!$A3273,Sheet2!$B$5:$H$29,4,FALSE),0)</x:f>
        <x:v>0</x:v>
      </x:c>
      <x:c r="F3273">
        <x:f>ROUND($C3273*10*VLOOKUP($B3273,Sheet2!$J$5:$K$7,2,FALSE)*VLOOKUP(Sheet1!$A3273,Sheet2!$B$5:$H$29,5,FALSE),0)</x:f>
        <x:v>0</x:v>
      </x:c>
      <x:c r="G3273">
        <x:f>ROUND($C3273*10*VLOOKUP($B3273,Sheet2!$J$5:$K$7,2,FALSE)*VLOOKUP(Sheet1!$A3273,Sheet2!$B$5:$H$29,6,FALSE),0)</x:f>
        <x:v>256</x:v>
      </x:c>
      <x:c r="H3273">
        <x:f>ROUND($C3273*10*VLOOKUP($B3273,Sheet2!$J$5:$K$7,2,FALSE)*VLOOKUP(Sheet1!$A3273,Sheet2!$B$5:$H$29,7,FALSE),0)</x:f>
        <x:v>0</x:v>
      </x:c>
      <x:c r="I3273">
        <x:f t="shared" si="54"/>
        <x:v>10470</x:v>
      </x:c>
    </x:row>
    <x:row r="3274" spans="1:9" x14ac:dyDescent="0.15">
      <x:c r="A3274">
        <x:v>54154</x:v>
      </x:c>
      <x:c r="B3274">
        <x:v>1</x:v>
      </x:c>
      <x:c r="C3274">
        <x:v>33</x:v>
      </x:c>
      <x:c r="D3274">
        <x:f>ROUND($C3274*10*VLOOKUP($B3274,Sheet2!$J$5:$K$7,2,FALSE)*VLOOKUP(Sheet1!$A3274,Sheet2!$B$5:$H$29,3,FALSE),0)</x:f>
        <x:v>0</x:v>
      </x:c>
      <x:c r="E3274">
        <x:f>ROUND($C3274*10*VLOOKUP($B3274,Sheet2!$J$5:$K$7,2,FALSE)*VLOOKUP(Sheet1!$A3274,Sheet2!$B$5:$H$29,4,FALSE),0)</x:f>
        <x:v>0</x:v>
      </x:c>
      <x:c r="F3274">
        <x:f>ROUND($C3274*10*VLOOKUP($B3274,Sheet2!$J$5:$K$7,2,FALSE)*VLOOKUP(Sheet1!$A3274,Sheet2!$B$5:$H$29,5,FALSE),0)</x:f>
        <x:v>0</x:v>
      </x:c>
      <x:c r="G3274">
        <x:f>ROUND($C3274*10*VLOOKUP($B3274,Sheet2!$J$5:$K$7,2,FALSE)*VLOOKUP(Sheet1!$A3274,Sheet2!$B$5:$H$29,6,FALSE),0)</x:f>
        <x:v>264</x:v>
      </x:c>
      <x:c r="H3274">
        <x:f>ROUND($C3274*10*VLOOKUP($B3274,Sheet2!$J$5:$K$7,2,FALSE)*VLOOKUP(Sheet1!$A3274,Sheet2!$B$5:$H$29,7,FALSE),0)</x:f>
        <x:v>0</x:v>
      </x:c>
      <x:c r="I3274">
        <x:f t="shared" si="54"/>
        <x:v>11090</x:v>
      </x:c>
    </x:row>
    <x:row r="3275" spans="1:9" x14ac:dyDescent="0.15">
      <x:c r="A3275">
        <x:v>54154</x:v>
      </x:c>
      <x:c r="B3275">
        <x:v>1</x:v>
      </x:c>
      <x:c r="C3275">
        <x:v>34</x:v>
      </x:c>
      <x:c r="D3275">
        <x:f>ROUND($C3275*10*VLOOKUP($B3275,Sheet2!$J$5:$K$7,2,FALSE)*VLOOKUP(Sheet1!$A3275,Sheet2!$B$5:$H$29,3,FALSE),0)</x:f>
        <x:v>0</x:v>
      </x:c>
      <x:c r="E3275">
        <x:f>ROUND($C3275*10*VLOOKUP($B3275,Sheet2!$J$5:$K$7,2,FALSE)*VLOOKUP(Sheet1!$A3275,Sheet2!$B$5:$H$29,4,FALSE),0)</x:f>
        <x:v>0</x:v>
      </x:c>
      <x:c r="F3275">
        <x:f>ROUND($C3275*10*VLOOKUP($B3275,Sheet2!$J$5:$K$7,2,FALSE)*VLOOKUP(Sheet1!$A3275,Sheet2!$B$5:$H$29,5,FALSE),0)</x:f>
        <x:v>0</x:v>
      </x:c>
      <x:c r="G3275">
        <x:f>ROUND($C3275*10*VLOOKUP($B3275,Sheet2!$J$5:$K$7,2,FALSE)*VLOOKUP(Sheet1!$A3275,Sheet2!$B$5:$H$29,6,FALSE),0)</x:f>
        <x:v>272</x:v>
      </x:c>
      <x:c r="H3275">
        <x:f>ROUND($C3275*10*VLOOKUP($B3275,Sheet2!$J$5:$K$7,2,FALSE)*VLOOKUP(Sheet1!$A3275,Sheet2!$B$5:$H$29,7,FALSE),0)</x:f>
        <x:v>0</x:v>
      </x:c>
      <x:c r="I3275">
        <x:f t="shared" si="54"/>
        <x:v>11720</x:v>
      </x:c>
    </x:row>
    <x:row r="3276" spans="1:9" x14ac:dyDescent="0.15">
      <x:c r="A3276">
        <x:v>54154</x:v>
      </x:c>
      <x:c r="B3276">
        <x:v>1</x:v>
      </x:c>
      <x:c r="C3276">
        <x:v>35</x:v>
      </x:c>
      <x:c r="D3276">
        <x:f>ROUND($C3276*10*VLOOKUP($B3276,Sheet2!$J$5:$K$7,2,FALSE)*VLOOKUP(Sheet1!$A3276,Sheet2!$B$5:$H$29,3,FALSE),0)</x:f>
        <x:v>0</x:v>
      </x:c>
      <x:c r="E3276">
        <x:f>ROUND($C3276*10*VLOOKUP($B3276,Sheet2!$J$5:$K$7,2,FALSE)*VLOOKUP(Sheet1!$A3276,Sheet2!$B$5:$H$29,4,FALSE),0)</x:f>
        <x:v>0</x:v>
      </x:c>
      <x:c r="F3276">
        <x:f>ROUND($C3276*10*VLOOKUP($B3276,Sheet2!$J$5:$K$7,2,FALSE)*VLOOKUP(Sheet1!$A3276,Sheet2!$B$5:$H$29,5,FALSE),0)</x:f>
        <x:v>0</x:v>
      </x:c>
      <x:c r="G3276">
        <x:f>ROUND($C3276*10*VLOOKUP($B3276,Sheet2!$J$5:$K$7,2,FALSE)*VLOOKUP(Sheet1!$A3276,Sheet2!$B$5:$H$29,6,FALSE),0)</x:f>
        <x:v>280</x:v>
      </x:c>
      <x:c r="H3276">
        <x:f>ROUND($C3276*10*VLOOKUP($B3276,Sheet2!$J$5:$K$7,2,FALSE)*VLOOKUP(Sheet1!$A3276,Sheet2!$B$5:$H$29,7,FALSE),0)</x:f>
        <x:v>0</x:v>
      </x:c>
      <x:c r="I3276">
        <x:f t="shared" si="54"/>
        <x:v>12360</x:v>
      </x:c>
    </x:row>
    <x:row r="3277" spans="1:9" x14ac:dyDescent="0.15">
      <x:c r="A3277">
        <x:v>54154</x:v>
      </x:c>
      <x:c r="B3277">
        <x:v>1</x:v>
      </x:c>
      <x:c r="C3277">
        <x:v>36</x:v>
      </x:c>
      <x:c r="D3277">
        <x:f>ROUND($C3277*10*VLOOKUP($B3277,Sheet2!$J$5:$K$7,2,FALSE)*VLOOKUP(Sheet1!$A3277,Sheet2!$B$5:$H$29,3,FALSE),0)</x:f>
        <x:v>0</x:v>
      </x:c>
      <x:c r="E3277">
        <x:f>ROUND($C3277*10*VLOOKUP($B3277,Sheet2!$J$5:$K$7,2,FALSE)*VLOOKUP(Sheet1!$A3277,Sheet2!$B$5:$H$29,4,FALSE),0)</x:f>
        <x:v>0</x:v>
      </x:c>
      <x:c r="F3277">
        <x:f>ROUND($C3277*10*VLOOKUP($B3277,Sheet2!$J$5:$K$7,2,FALSE)*VLOOKUP(Sheet1!$A3277,Sheet2!$B$5:$H$29,5,FALSE),0)</x:f>
        <x:v>0</x:v>
      </x:c>
      <x:c r="G3277">
        <x:f>ROUND($C3277*10*VLOOKUP($B3277,Sheet2!$J$5:$K$7,2,FALSE)*VLOOKUP(Sheet1!$A3277,Sheet2!$B$5:$H$29,6,FALSE),0)</x:f>
        <x:v>288</x:v>
      </x:c>
      <x:c r="H3277">
        <x:f>ROUND($C3277*10*VLOOKUP($B3277,Sheet2!$J$5:$K$7,2,FALSE)*VLOOKUP(Sheet1!$A3277,Sheet2!$B$5:$H$29,7,FALSE),0)</x:f>
        <x:v>0</x:v>
      </x:c>
      <x:c r="I3277">
        <x:f t="shared" si="54"/>
        <x:v>13020</x:v>
      </x:c>
    </x:row>
    <x:row r="3278" spans="1:9" x14ac:dyDescent="0.15">
      <x:c r="A3278">
        <x:v>54154</x:v>
      </x:c>
      <x:c r="B3278">
        <x:v>1</x:v>
      </x:c>
      <x:c r="C3278">
        <x:v>37</x:v>
      </x:c>
      <x:c r="D3278">
        <x:f>ROUND($C3278*10*VLOOKUP($B3278,Sheet2!$J$5:$K$7,2,FALSE)*VLOOKUP(Sheet1!$A3278,Sheet2!$B$5:$H$29,3,FALSE),0)</x:f>
        <x:v>0</x:v>
      </x:c>
      <x:c r="E3278">
        <x:f>ROUND($C3278*10*VLOOKUP($B3278,Sheet2!$J$5:$K$7,2,FALSE)*VLOOKUP(Sheet1!$A3278,Sheet2!$B$5:$H$29,4,FALSE),0)</x:f>
        <x:v>0</x:v>
      </x:c>
      <x:c r="F3278">
        <x:f>ROUND($C3278*10*VLOOKUP($B3278,Sheet2!$J$5:$K$7,2,FALSE)*VLOOKUP(Sheet1!$A3278,Sheet2!$B$5:$H$29,5,FALSE),0)</x:f>
        <x:v>0</x:v>
      </x:c>
      <x:c r="G3278">
        <x:f>ROUND($C3278*10*VLOOKUP($B3278,Sheet2!$J$5:$K$7,2,FALSE)*VLOOKUP(Sheet1!$A3278,Sheet2!$B$5:$H$29,6,FALSE),0)</x:f>
        <x:v>296</x:v>
      </x:c>
      <x:c r="H3278">
        <x:f>ROUND($C3278*10*VLOOKUP($B3278,Sheet2!$J$5:$K$7,2,FALSE)*VLOOKUP(Sheet1!$A3278,Sheet2!$B$5:$H$29,7,FALSE),0)</x:f>
        <x:v>0</x:v>
      </x:c>
      <x:c r="I3278">
        <x:f t="shared" si="54"/>
        <x:v>13700</x:v>
      </x:c>
    </x:row>
    <x:row r="3279" spans="1:9" x14ac:dyDescent="0.15">
      <x:c r="A3279">
        <x:v>54154</x:v>
      </x:c>
      <x:c r="B3279">
        <x:v>1</x:v>
      </x:c>
      <x:c r="C3279">
        <x:v>38</x:v>
      </x:c>
      <x:c r="D3279">
        <x:f>ROUND($C3279*10*VLOOKUP($B3279,Sheet2!$J$5:$K$7,2,FALSE)*VLOOKUP(Sheet1!$A3279,Sheet2!$B$5:$H$29,3,FALSE),0)</x:f>
        <x:v>0</x:v>
      </x:c>
      <x:c r="E3279">
        <x:f>ROUND($C3279*10*VLOOKUP($B3279,Sheet2!$J$5:$K$7,2,FALSE)*VLOOKUP(Sheet1!$A3279,Sheet2!$B$5:$H$29,4,FALSE),0)</x:f>
        <x:v>0</x:v>
      </x:c>
      <x:c r="F3279">
        <x:f>ROUND($C3279*10*VLOOKUP($B3279,Sheet2!$J$5:$K$7,2,FALSE)*VLOOKUP(Sheet1!$A3279,Sheet2!$B$5:$H$29,5,FALSE),0)</x:f>
        <x:v>0</x:v>
      </x:c>
      <x:c r="G3279">
        <x:f>ROUND($C3279*10*VLOOKUP($B3279,Sheet2!$J$5:$K$7,2,FALSE)*VLOOKUP(Sheet1!$A3279,Sheet2!$B$5:$H$29,6,FALSE),0)</x:f>
        <x:v>304</x:v>
      </x:c>
      <x:c r="H3279">
        <x:f>ROUND($C3279*10*VLOOKUP($B3279,Sheet2!$J$5:$K$7,2,FALSE)*VLOOKUP(Sheet1!$A3279,Sheet2!$B$5:$H$29,7,FALSE),0)</x:f>
        <x:v>0</x:v>
      </x:c>
      <x:c r="I3279">
        <x:f t="shared" si="54"/>
        <x:v>14390</x:v>
      </x:c>
    </x:row>
    <x:row r="3280" spans="1:9" x14ac:dyDescent="0.15">
      <x:c r="A3280">
        <x:v>54154</x:v>
      </x:c>
      <x:c r="B3280">
        <x:v>1</x:v>
      </x:c>
      <x:c r="C3280">
        <x:v>39</x:v>
      </x:c>
      <x:c r="D3280">
        <x:f>ROUND($C3280*10*VLOOKUP($B3280,Sheet2!$J$5:$K$7,2,FALSE)*VLOOKUP(Sheet1!$A3280,Sheet2!$B$5:$H$29,3,FALSE),0)</x:f>
        <x:v>0</x:v>
      </x:c>
      <x:c r="E3280">
        <x:f>ROUND($C3280*10*VLOOKUP($B3280,Sheet2!$J$5:$K$7,2,FALSE)*VLOOKUP(Sheet1!$A3280,Sheet2!$B$5:$H$29,4,FALSE),0)</x:f>
        <x:v>0</x:v>
      </x:c>
      <x:c r="F3280">
        <x:f>ROUND($C3280*10*VLOOKUP($B3280,Sheet2!$J$5:$K$7,2,FALSE)*VLOOKUP(Sheet1!$A3280,Sheet2!$B$5:$H$29,5,FALSE),0)</x:f>
        <x:v>0</x:v>
      </x:c>
      <x:c r="G3280">
        <x:f>ROUND($C3280*10*VLOOKUP($B3280,Sheet2!$J$5:$K$7,2,FALSE)*VLOOKUP(Sheet1!$A3280,Sheet2!$B$5:$H$29,6,FALSE),0)</x:f>
        <x:v>312</x:v>
      </x:c>
      <x:c r="H3280">
        <x:f>ROUND($C3280*10*VLOOKUP($B3280,Sheet2!$J$5:$K$7,2,FALSE)*VLOOKUP(Sheet1!$A3280,Sheet2!$B$5:$H$29,7,FALSE),0)</x:f>
        <x:v>0</x:v>
      </x:c>
      <x:c r="I3280">
        <x:f t="shared" si="54"/>
        <x:v>15100</x:v>
      </x:c>
    </x:row>
    <x:row r="3281" spans="1:9" x14ac:dyDescent="0.15">
      <x:c r="A3281">
        <x:v>54154</x:v>
      </x:c>
      <x:c r="B3281">
        <x:v>1</x:v>
      </x:c>
      <x:c r="C3281">
        <x:v>40</x:v>
      </x:c>
      <x:c r="D3281">
        <x:f>ROUND($C3281*10*VLOOKUP($B3281,Sheet2!$J$5:$K$7,2,FALSE)*VLOOKUP(Sheet1!$A3281,Sheet2!$B$5:$H$29,3,FALSE),0)</x:f>
        <x:v>0</x:v>
      </x:c>
      <x:c r="E3281">
        <x:f>ROUND($C3281*10*VLOOKUP($B3281,Sheet2!$J$5:$K$7,2,FALSE)*VLOOKUP(Sheet1!$A3281,Sheet2!$B$5:$H$29,4,FALSE),0)</x:f>
        <x:v>0</x:v>
      </x:c>
      <x:c r="F3281">
        <x:f>ROUND($C3281*10*VLOOKUP($B3281,Sheet2!$J$5:$K$7,2,FALSE)*VLOOKUP(Sheet1!$A3281,Sheet2!$B$5:$H$29,5,FALSE),0)</x:f>
        <x:v>0</x:v>
      </x:c>
      <x:c r="G3281">
        <x:f>ROUND($C3281*10*VLOOKUP($B3281,Sheet2!$J$5:$K$7,2,FALSE)*VLOOKUP(Sheet1!$A3281,Sheet2!$B$5:$H$29,6,FALSE),0)</x:f>
        <x:v>320</x:v>
      </x:c>
      <x:c r="H3281">
        <x:f>ROUND($C3281*10*VLOOKUP($B3281,Sheet2!$J$5:$K$7,2,FALSE)*VLOOKUP(Sheet1!$A3281,Sheet2!$B$5:$H$29,7,FALSE),0)</x:f>
        <x:v>0</x:v>
      </x:c>
      <x:c r="I3281">
        <x:f t="shared" si="54"/>
        <x:v>15820</x:v>
      </x:c>
    </x:row>
    <x:row r="3282" spans="1:9" x14ac:dyDescent="0.15">
      <x:c r="A3282">
        <x:v>54154</x:v>
      </x:c>
      <x:c r="B3282">
        <x:v>1</x:v>
      </x:c>
      <x:c r="C3282">
        <x:v>41</x:v>
      </x:c>
      <x:c r="D3282">
        <x:f>ROUND($C3282*10*VLOOKUP($B3282,Sheet2!$J$5:$K$7,2,FALSE)*VLOOKUP(Sheet1!$A3282,Sheet2!$B$5:$H$29,3,FALSE),0)</x:f>
        <x:v>0</x:v>
      </x:c>
      <x:c r="E3282">
        <x:f>ROUND($C3282*10*VLOOKUP($B3282,Sheet2!$J$5:$K$7,2,FALSE)*VLOOKUP(Sheet1!$A3282,Sheet2!$B$5:$H$29,4,FALSE),0)</x:f>
        <x:v>0</x:v>
      </x:c>
      <x:c r="F3282">
        <x:f>ROUND($C3282*10*VLOOKUP($B3282,Sheet2!$J$5:$K$7,2,FALSE)*VLOOKUP(Sheet1!$A3282,Sheet2!$B$5:$H$29,5,FALSE),0)</x:f>
        <x:v>0</x:v>
      </x:c>
      <x:c r="G3282">
        <x:f>ROUND($C3282*10*VLOOKUP($B3282,Sheet2!$J$5:$K$7,2,FALSE)*VLOOKUP(Sheet1!$A3282,Sheet2!$B$5:$H$29,6,FALSE),0)</x:f>
        <x:v>328</x:v>
      </x:c>
      <x:c r="H3282">
        <x:f>ROUND($C3282*10*VLOOKUP($B3282,Sheet2!$J$5:$K$7,2,FALSE)*VLOOKUP(Sheet1!$A3282,Sheet2!$B$5:$H$29,7,FALSE),0)</x:f>
        <x:v>0</x:v>
      </x:c>
      <x:c r="I3282">
        <x:f t="shared" si="54"/>
        <x:v>16560</x:v>
      </x:c>
    </x:row>
    <x:row r="3283" spans="1:9" x14ac:dyDescent="0.15">
      <x:c r="A3283">
        <x:v>54154</x:v>
      </x:c>
      <x:c r="B3283">
        <x:v>1</x:v>
      </x:c>
      <x:c r="C3283">
        <x:v>42</x:v>
      </x:c>
      <x:c r="D3283">
        <x:f>ROUND($C3283*10*VLOOKUP($B3283,Sheet2!$J$5:$K$7,2,FALSE)*VLOOKUP(Sheet1!$A3283,Sheet2!$B$5:$H$29,3,FALSE),0)</x:f>
        <x:v>0</x:v>
      </x:c>
      <x:c r="E3283">
        <x:f>ROUND($C3283*10*VLOOKUP($B3283,Sheet2!$J$5:$K$7,2,FALSE)*VLOOKUP(Sheet1!$A3283,Sheet2!$B$5:$H$29,4,FALSE),0)</x:f>
        <x:v>0</x:v>
      </x:c>
      <x:c r="F3283">
        <x:f>ROUND($C3283*10*VLOOKUP($B3283,Sheet2!$J$5:$K$7,2,FALSE)*VLOOKUP(Sheet1!$A3283,Sheet2!$B$5:$H$29,5,FALSE),0)</x:f>
        <x:v>0</x:v>
      </x:c>
      <x:c r="G3283">
        <x:f>ROUND($C3283*10*VLOOKUP($B3283,Sheet2!$J$5:$K$7,2,FALSE)*VLOOKUP(Sheet1!$A3283,Sheet2!$B$5:$H$29,6,FALSE),0)</x:f>
        <x:v>336</x:v>
      </x:c>
      <x:c r="H3283">
        <x:f>ROUND($C3283*10*VLOOKUP($B3283,Sheet2!$J$5:$K$7,2,FALSE)*VLOOKUP(Sheet1!$A3283,Sheet2!$B$5:$H$29,7,FALSE),0)</x:f>
        <x:v>0</x:v>
      </x:c>
      <x:c r="I3283">
        <x:f t="shared" si="54"/>
        <x:v>17310</x:v>
      </x:c>
    </x:row>
    <x:row r="3284" spans="1:9" x14ac:dyDescent="0.15">
      <x:c r="A3284">
        <x:v>54154</x:v>
      </x:c>
      <x:c r="B3284">
        <x:v>1</x:v>
      </x:c>
      <x:c r="C3284">
        <x:v>43</x:v>
      </x:c>
      <x:c r="D3284">
        <x:f>ROUND($C3284*10*VLOOKUP($B3284,Sheet2!$J$5:$K$7,2,FALSE)*VLOOKUP(Sheet1!$A3284,Sheet2!$B$5:$H$29,3,FALSE),0)</x:f>
        <x:v>0</x:v>
      </x:c>
      <x:c r="E3284">
        <x:f>ROUND($C3284*10*VLOOKUP($B3284,Sheet2!$J$5:$K$7,2,FALSE)*VLOOKUP(Sheet1!$A3284,Sheet2!$B$5:$H$29,4,FALSE),0)</x:f>
        <x:v>0</x:v>
      </x:c>
      <x:c r="F3284">
        <x:f>ROUND($C3284*10*VLOOKUP($B3284,Sheet2!$J$5:$K$7,2,FALSE)*VLOOKUP(Sheet1!$A3284,Sheet2!$B$5:$H$29,5,FALSE),0)</x:f>
        <x:v>0</x:v>
      </x:c>
      <x:c r="G3284">
        <x:f>ROUND($C3284*10*VLOOKUP($B3284,Sheet2!$J$5:$K$7,2,FALSE)*VLOOKUP(Sheet1!$A3284,Sheet2!$B$5:$H$29,6,FALSE),0)</x:f>
        <x:v>344</x:v>
      </x:c>
      <x:c r="H3284">
        <x:f>ROUND($C3284*10*VLOOKUP($B3284,Sheet2!$J$5:$K$7,2,FALSE)*VLOOKUP(Sheet1!$A3284,Sheet2!$B$5:$H$29,7,FALSE),0)</x:f>
        <x:v>0</x:v>
      </x:c>
      <x:c r="I3284">
        <x:f t="shared" si="54"/>
        <x:v>18070</x:v>
      </x:c>
    </x:row>
    <x:row r="3285" spans="1:9" x14ac:dyDescent="0.15">
      <x:c r="A3285">
        <x:v>54154</x:v>
      </x:c>
      <x:c r="B3285">
        <x:v>1</x:v>
      </x:c>
      <x:c r="C3285">
        <x:v>44</x:v>
      </x:c>
      <x:c r="D3285">
        <x:f>ROUND($C3285*10*VLOOKUP($B3285,Sheet2!$J$5:$K$7,2,FALSE)*VLOOKUP(Sheet1!$A3285,Sheet2!$B$5:$H$29,3,FALSE),0)</x:f>
        <x:v>0</x:v>
      </x:c>
      <x:c r="E3285">
        <x:f>ROUND($C3285*10*VLOOKUP($B3285,Sheet2!$J$5:$K$7,2,FALSE)*VLOOKUP(Sheet1!$A3285,Sheet2!$B$5:$H$29,4,FALSE),0)</x:f>
        <x:v>0</x:v>
      </x:c>
      <x:c r="F3285">
        <x:f>ROUND($C3285*10*VLOOKUP($B3285,Sheet2!$J$5:$K$7,2,FALSE)*VLOOKUP(Sheet1!$A3285,Sheet2!$B$5:$H$29,5,FALSE),0)</x:f>
        <x:v>0</x:v>
      </x:c>
      <x:c r="G3285">
        <x:f>ROUND($C3285*10*VLOOKUP($B3285,Sheet2!$J$5:$K$7,2,FALSE)*VLOOKUP(Sheet1!$A3285,Sheet2!$B$5:$H$29,6,FALSE),0)</x:f>
        <x:v>352</x:v>
      </x:c>
      <x:c r="H3285">
        <x:f>ROUND($C3285*10*VLOOKUP($B3285,Sheet2!$J$5:$K$7,2,FALSE)*VLOOKUP(Sheet1!$A3285,Sheet2!$B$5:$H$29,7,FALSE),0)</x:f>
        <x:v>0</x:v>
      </x:c>
      <x:c r="I3285">
        <x:f t="shared" si="54"/>
        <x:v>18850</x:v>
      </x:c>
    </x:row>
    <x:row r="3286" spans="1:9" x14ac:dyDescent="0.15">
      <x:c r="A3286">
        <x:v>54154</x:v>
      </x:c>
      <x:c r="B3286">
        <x:v>1</x:v>
      </x:c>
      <x:c r="C3286">
        <x:v>45</x:v>
      </x:c>
      <x:c r="D3286">
        <x:f>ROUND($C3286*10*VLOOKUP($B3286,Sheet2!$J$5:$K$7,2,FALSE)*VLOOKUP(Sheet1!$A3286,Sheet2!$B$5:$H$29,3,FALSE),0)</x:f>
        <x:v>0</x:v>
      </x:c>
      <x:c r="E3286">
        <x:f>ROUND($C3286*10*VLOOKUP($B3286,Sheet2!$J$5:$K$7,2,FALSE)*VLOOKUP(Sheet1!$A3286,Sheet2!$B$5:$H$29,4,FALSE),0)</x:f>
        <x:v>0</x:v>
      </x:c>
      <x:c r="F3286">
        <x:f>ROUND($C3286*10*VLOOKUP($B3286,Sheet2!$J$5:$K$7,2,FALSE)*VLOOKUP(Sheet1!$A3286,Sheet2!$B$5:$H$29,5,FALSE),0)</x:f>
        <x:v>0</x:v>
      </x:c>
      <x:c r="G3286">
        <x:f>ROUND($C3286*10*VLOOKUP($B3286,Sheet2!$J$5:$K$7,2,FALSE)*VLOOKUP(Sheet1!$A3286,Sheet2!$B$5:$H$29,6,FALSE),0)</x:f>
        <x:v>360</x:v>
      </x:c>
      <x:c r="H3286">
        <x:f>ROUND($C3286*10*VLOOKUP($B3286,Sheet2!$J$5:$K$7,2,FALSE)*VLOOKUP(Sheet1!$A3286,Sheet2!$B$5:$H$29,7,FALSE),0)</x:f>
        <x:v>0</x:v>
      </x:c>
      <x:c r="I3286">
        <x:f t="shared" si="54"/>
        <x:v>19650</x:v>
      </x:c>
    </x:row>
    <x:row r="3287" spans="1:9" x14ac:dyDescent="0.15">
      <x:c r="A3287">
        <x:v>54154</x:v>
      </x:c>
      <x:c r="B3287">
        <x:v>1</x:v>
      </x:c>
      <x:c r="C3287">
        <x:v>46</x:v>
      </x:c>
      <x:c r="D3287">
        <x:f>ROUND($C3287*10*VLOOKUP($B3287,Sheet2!$J$5:$K$7,2,FALSE)*VLOOKUP(Sheet1!$A3287,Sheet2!$B$5:$H$29,3,FALSE),0)</x:f>
        <x:v>0</x:v>
      </x:c>
      <x:c r="E3287">
        <x:f>ROUND($C3287*10*VLOOKUP($B3287,Sheet2!$J$5:$K$7,2,FALSE)*VLOOKUP(Sheet1!$A3287,Sheet2!$B$5:$H$29,4,FALSE),0)</x:f>
        <x:v>0</x:v>
      </x:c>
      <x:c r="F3287">
        <x:f>ROUND($C3287*10*VLOOKUP($B3287,Sheet2!$J$5:$K$7,2,FALSE)*VLOOKUP(Sheet1!$A3287,Sheet2!$B$5:$H$29,5,FALSE),0)</x:f>
        <x:v>0</x:v>
      </x:c>
      <x:c r="G3287">
        <x:f>ROUND($C3287*10*VLOOKUP($B3287,Sheet2!$J$5:$K$7,2,FALSE)*VLOOKUP(Sheet1!$A3287,Sheet2!$B$5:$H$29,6,FALSE),0)</x:f>
        <x:v>368</x:v>
      </x:c>
      <x:c r="H3287">
        <x:f>ROUND($C3287*10*VLOOKUP($B3287,Sheet2!$J$5:$K$7,2,FALSE)*VLOOKUP(Sheet1!$A3287,Sheet2!$B$5:$H$29,7,FALSE),0)</x:f>
        <x:v>0</x:v>
      </x:c>
      <x:c r="I3287">
        <x:f t="shared" si="54"/>
        <x:v>20460</x:v>
      </x:c>
    </x:row>
    <x:row r="3288" spans="1:9" x14ac:dyDescent="0.15">
      <x:c r="A3288">
        <x:v>54154</x:v>
      </x:c>
      <x:c r="B3288">
        <x:v>1</x:v>
      </x:c>
      <x:c r="C3288">
        <x:v>47</x:v>
      </x:c>
      <x:c r="D3288">
        <x:f>ROUND($C3288*10*VLOOKUP($B3288,Sheet2!$J$5:$K$7,2,FALSE)*VLOOKUP(Sheet1!$A3288,Sheet2!$B$5:$H$29,3,FALSE),0)</x:f>
        <x:v>0</x:v>
      </x:c>
      <x:c r="E3288">
        <x:f>ROUND($C3288*10*VLOOKUP($B3288,Sheet2!$J$5:$K$7,2,FALSE)*VLOOKUP(Sheet1!$A3288,Sheet2!$B$5:$H$29,4,FALSE),0)</x:f>
        <x:v>0</x:v>
      </x:c>
      <x:c r="F3288">
        <x:f>ROUND($C3288*10*VLOOKUP($B3288,Sheet2!$J$5:$K$7,2,FALSE)*VLOOKUP(Sheet1!$A3288,Sheet2!$B$5:$H$29,5,FALSE),0)</x:f>
        <x:v>0</x:v>
      </x:c>
      <x:c r="G3288">
        <x:f>ROUND($C3288*10*VLOOKUP($B3288,Sheet2!$J$5:$K$7,2,FALSE)*VLOOKUP(Sheet1!$A3288,Sheet2!$B$5:$H$29,6,FALSE),0)</x:f>
        <x:v>376</x:v>
      </x:c>
      <x:c r="H3288">
        <x:f>ROUND($C3288*10*VLOOKUP($B3288,Sheet2!$J$5:$K$7,2,FALSE)*VLOOKUP(Sheet1!$A3288,Sheet2!$B$5:$H$29,7,FALSE),0)</x:f>
        <x:v>0</x:v>
      </x:c>
      <x:c r="I3288">
        <x:f t="shared" si="54"/>
        <x:v>21280</x:v>
      </x:c>
    </x:row>
    <x:row r="3289" spans="1:9" x14ac:dyDescent="0.15">
      <x:c r="A3289">
        <x:v>54154</x:v>
      </x:c>
      <x:c r="B3289">
        <x:v>1</x:v>
      </x:c>
      <x:c r="C3289">
        <x:v>48</x:v>
      </x:c>
      <x:c r="D3289">
        <x:f>ROUND($C3289*10*VLOOKUP($B3289,Sheet2!$J$5:$K$7,2,FALSE)*VLOOKUP(Sheet1!$A3289,Sheet2!$B$5:$H$29,3,FALSE),0)</x:f>
        <x:v>0</x:v>
      </x:c>
      <x:c r="E3289">
        <x:f>ROUND($C3289*10*VLOOKUP($B3289,Sheet2!$J$5:$K$7,2,FALSE)*VLOOKUP(Sheet1!$A3289,Sheet2!$B$5:$H$29,4,FALSE),0)</x:f>
        <x:v>0</x:v>
      </x:c>
      <x:c r="F3289">
        <x:f>ROUND($C3289*10*VLOOKUP($B3289,Sheet2!$J$5:$K$7,2,FALSE)*VLOOKUP(Sheet1!$A3289,Sheet2!$B$5:$H$29,5,FALSE),0)</x:f>
        <x:v>0</x:v>
      </x:c>
      <x:c r="G3289">
        <x:f>ROUND($C3289*10*VLOOKUP($B3289,Sheet2!$J$5:$K$7,2,FALSE)*VLOOKUP(Sheet1!$A3289,Sheet2!$B$5:$H$29,6,FALSE),0)</x:f>
        <x:v>384</x:v>
      </x:c>
      <x:c r="H3289">
        <x:f>ROUND($C3289*10*VLOOKUP($B3289,Sheet2!$J$5:$K$7,2,FALSE)*VLOOKUP(Sheet1!$A3289,Sheet2!$B$5:$H$29,7,FALSE),0)</x:f>
        <x:v>0</x:v>
      </x:c>
      <x:c r="I3289">
        <x:f t="shared" si="54"/>
        <x:v>22120</x:v>
      </x:c>
    </x:row>
    <x:row r="3290" spans="1:9" x14ac:dyDescent="0.15">
      <x:c r="A3290">
        <x:v>54154</x:v>
      </x:c>
      <x:c r="B3290">
        <x:v>1</x:v>
      </x:c>
      <x:c r="C3290">
        <x:v>49</x:v>
      </x:c>
      <x:c r="D3290">
        <x:f>ROUND($C3290*10*VLOOKUP($B3290,Sheet2!$J$5:$K$7,2,FALSE)*VLOOKUP(Sheet1!$A3290,Sheet2!$B$5:$H$29,3,FALSE),0)</x:f>
        <x:v>0</x:v>
      </x:c>
      <x:c r="E3290">
        <x:f>ROUND($C3290*10*VLOOKUP($B3290,Sheet2!$J$5:$K$7,2,FALSE)*VLOOKUP(Sheet1!$A3290,Sheet2!$B$5:$H$29,4,FALSE),0)</x:f>
        <x:v>0</x:v>
      </x:c>
      <x:c r="F3290">
        <x:f>ROUND($C3290*10*VLOOKUP($B3290,Sheet2!$J$5:$K$7,2,FALSE)*VLOOKUP(Sheet1!$A3290,Sheet2!$B$5:$H$29,5,FALSE),0)</x:f>
        <x:v>0</x:v>
      </x:c>
      <x:c r="G3290">
        <x:f>ROUND($C3290*10*VLOOKUP($B3290,Sheet2!$J$5:$K$7,2,FALSE)*VLOOKUP(Sheet1!$A3290,Sheet2!$B$5:$H$29,6,FALSE),0)</x:f>
        <x:v>392</x:v>
      </x:c>
      <x:c r="H3290">
        <x:f>ROUND($C3290*10*VLOOKUP($B3290,Sheet2!$J$5:$K$7,2,FALSE)*VLOOKUP(Sheet1!$A3290,Sheet2!$B$5:$H$29,7,FALSE),0)</x:f>
        <x:v>0</x:v>
      </x:c>
      <x:c r="I3290">
        <x:f t="shared" si="54"/>
        <x:v>22970</x:v>
      </x:c>
    </x:row>
    <x:row r="3291" spans="1:9" x14ac:dyDescent="0.15">
      <x:c r="A3291">
        <x:v>54154</x:v>
      </x:c>
      <x:c r="B3291">
        <x:v>1</x:v>
      </x:c>
      <x:c r="C3291">
        <x:v>50</x:v>
      </x:c>
      <x:c r="D3291">
        <x:f>ROUND($C3291*10*VLOOKUP($B3291,Sheet2!$J$5:$K$7,2,FALSE)*VLOOKUP(Sheet1!$A3291,Sheet2!$B$5:$H$29,3,FALSE),0)</x:f>
        <x:v>0</x:v>
      </x:c>
      <x:c r="E3291">
        <x:f>ROUND($C3291*10*VLOOKUP($B3291,Sheet2!$J$5:$K$7,2,FALSE)*VLOOKUP(Sheet1!$A3291,Sheet2!$B$5:$H$29,4,FALSE),0)</x:f>
        <x:v>0</x:v>
      </x:c>
      <x:c r="F3291">
        <x:f>ROUND($C3291*10*VLOOKUP($B3291,Sheet2!$J$5:$K$7,2,FALSE)*VLOOKUP(Sheet1!$A3291,Sheet2!$B$5:$H$29,5,FALSE),0)</x:f>
        <x:v>0</x:v>
      </x:c>
      <x:c r="G3291">
        <x:f>ROUND($C3291*10*VLOOKUP($B3291,Sheet2!$J$5:$K$7,2,FALSE)*VLOOKUP(Sheet1!$A3291,Sheet2!$B$5:$H$29,6,FALSE),0)</x:f>
        <x:v>400</x:v>
      </x:c>
      <x:c r="H3291">
        <x:f>ROUND($C3291*10*VLOOKUP($B3291,Sheet2!$J$5:$K$7,2,FALSE)*VLOOKUP(Sheet1!$A3291,Sheet2!$B$5:$H$29,7,FALSE),0)</x:f>
        <x:v>0</x:v>
      </x:c>
      <x:c r="I3291">
        <x:f t="shared" si="54"/>
        <x:v>23840</x:v>
      </x:c>
    </x:row>
    <x:row r="3292" spans="1:9" x14ac:dyDescent="0.15">
      <x:c r="A3292">
        <x:v>54154</x:v>
      </x:c>
      <x:c r="B3292">
        <x:v>1</x:v>
      </x:c>
      <x:c r="C3292">
        <x:v>51</x:v>
      </x:c>
      <x:c r="D3292">
        <x:f>ROUND($C3292*10*VLOOKUP($B3292,Sheet2!$J$5:$K$7,2,FALSE)*VLOOKUP(Sheet1!$A3292,Sheet2!$B$5:$H$29,3,FALSE),0)</x:f>
        <x:v>0</x:v>
      </x:c>
      <x:c r="E3292">
        <x:f>ROUND($C3292*10*VLOOKUP($B3292,Sheet2!$J$5:$K$7,2,FALSE)*VLOOKUP(Sheet1!$A3292,Sheet2!$B$5:$H$29,4,FALSE),0)</x:f>
        <x:v>0</x:v>
      </x:c>
      <x:c r="F3292">
        <x:f>ROUND($C3292*10*VLOOKUP($B3292,Sheet2!$J$5:$K$7,2,FALSE)*VLOOKUP(Sheet1!$A3292,Sheet2!$B$5:$H$29,5,FALSE),0)</x:f>
        <x:v>0</x:v>
      </x:c>
      <x:c r="G3292">
        <x:f>ROUND($C3292*10*VLOOKUP($B3292,Sheet2!$J$5:$K$7,2,FALSE)*VLOOKUP(Sheet1!$A3292,Sheet2!$B$5:$H$29,6,FALSE),0)</x:f>
        <x:v>408</x:v>
      </x:c>
      <x:c r="H3292">
        <x:f>ROUND($C3292*10*VLOOKUP($B3292,Sheet2!$J$5:$K$7,2,FALSE)*VLOOKUP(Sheet1!$A3292,Sheet2!$B$5:$H$29,7,FALSE),0)</x:f>
        <x:v>0</x:v>
      </x:c>
      <x:c r="I3292">
        <x:f t="shared" si="54"/>
        <x:v>24720</x:v>
      </x:c>
    </x:row>
    <x:row r="3293" spans="1:9" x14ac:dyDescent="0.15">
      <x:c r="A3293">
        <x:v>54154</x:v>
      </x:c>
      <x:c r="B3293">
        <x:v>1</x:v>
      </x:c>
      <x:c r="C3293">
        <x:v>52</x:v>
      </x:c>
      <x:c r="D3293">
        <x:f>ROUND($C3293*10*VLOOKUP($B3293,Sheet2!$J$5:$K$7,2,FALSE)*VLOOKUP(Sheet1!$A3293,Sheet2!$B$5:$H$29,3,FALSE),0)</x:f>
        <x:v>0</x:v>
      </x:c>
      <x:c r="E3293">
        <x:f>ROUND($C3293*10*VLOOKUP($B3293,Sheet2!$J$5:$K$7,2,FALSE)*VLOOKUP(Sheet1!$A3293,Sheet2!$B$5:$H$29,4,FALSE),0)</x:f>
        <x:v>0</x:v>
      </x:c>
      <x:c r="F3293">
        <x:f>ROUND($C3293*10*VLOOKUP($B3293,Sheet2!$J$5:$K$7,2,FALSE)*VLOOKUP(Sheet1!$A3293,Sheet2!$B$5:$H$29,5,FALSE),0)</x:f>
        <x:v>0</x:v>
      </x:c>
      <x:c r="G3293">
        <x:f>ROUND($C3293*10*VLOOKUP($B3293,Sheet2!$J$5:$K$7,2,FALSE)*VLOOKUP(Sheet1!$A3293,Sheet2!$B$5:$H$29,6,FALSE),0)</x:f>
        <x:v>416</x:v>
      </x:c>
      <x:c r="H3293">
        <x:f>ROUND($C3293*10*VLOOKUP($B3293,Sheet2!$J$5:$K$7,2,FALSE)*VLOOKUP(Sheet1!$A3293,Sheet2!$B$5:$H$29,7,FALSE),0)</x:f>
        <x:v>0</x:v>
      </x:c>
      <x:c r="I3293">
        <x:f t="shared" si="54"/>
        <x:v>25620</x:v>
      </x:c>
    </x:row>
    <x:row r="3294" spans="1:9" x14ac:dyDescent="0.15">
      <x:c r="A3294">
        <x:v>54154</x:v>
      </x:c>
      <x:c r="B3294">
        <x:v>1</x:v>
      </x:c>
      <x:c r="C3294">
        <x:v>53</x:v>
      </x:c>
      <x:c r="D3294">
        <x:f>ROUND($C3294*10*VLOOKUP($B3294,Sheet2!$J$5:$K$7,2,FALSE)*VLOOKUP(Sheet1!$A3294,Sheet2!$B$5:$H$29,3,FALSE),0)</x:f>
        <x:v>0</x:v>
      </x:c>
      <x:c r="E3294">
        <x:f>ROUND($C3294*10*VLOOKUP($B3294,Sheet2!$J$5:$K$7,2,FALSE)*VLOOKUP(Sheet1!$A3294,Sheet2!$B$5:$H$29,4,FALSE),0)</x:f>
        <x:v>0</x:v>
      </x:c>
      <x:c r="F3294">
        <x:f>ROUND($C3294*10*VLOOKUP($B3294,Sheet2!$J$5:$K$7,2,FALSE)*VLOOKUP(Sheet1!$A3294,Sheet2!$B$5:$H$29,5,FALSE),0)</x:f>
        <x:v>0</x:v>
      </x:c>
      <x:c r="G3294">
        <x:f>ROUND($C3294*10*VLOOKUP($B3294,Sheet2!$J$5:$K$7,2,FALSE)*VLOOKUP(Sheet1!$A3294,Sheet2!$B$5:$H$29,6,FALSE),0)</x:f>
        <x:v>424</x:v>
      </x:c>
      <x:c r="H3294">
        <x:f>ROUND($C3294*10*VLOOKUP($B3294,Sheet2!$J$5:$K$7,2,FALSE)*VLOOKUP(Sheet1!$A3294,Sheet2!$B$5:$H$29,7,FALSE),0)</x:f>
        <x:v>0</x:v>
      </x:c>
      <x:c r="I3294">
        <x:f t="shared" si="54"/>
        <x:v>26530</x:v>
      </x:c>
    </x:row>
    <x:row r="3295" spans="1:9" x14ac:dyDescent="0.15">
      <x:c r="A3295">
        <x:v>54154</x:v>
      </x:c>
      <x:c r="B3295">
        <x:v>1</x:v>
      </x:c>
      <x:c r="C3295">
        <x:v>54</x:v>
      </x:c>
      <x:c r="D3295">
        <x:f>ROUND($C3295*10*VLOOKUP($B3295,Sheet2!$J$5:$K$7,2,FALSE)*VLOOKUP(Sheet1!$A3295,Sheet2!$B$5:$H$29,3,FALSE),0)</x:f>
        <x:v>0</x:v>
      </x:c>
      <x:c r="E3295">
        <x:f>ROUND($C3295*10*VLOOKUP($B3295,Sheet2!$J$5:$K$7,2,FALSE)*VLOOKUP(Sheet1!$A3295,Sheet2!$B$5:$H$29,4,FALSE),0)</x:f>
        <x:v>0</x:v>
      </x:c>
      <x:c r="F3295">
        <x:f>ROUND($C3295*10*VLOOKUP($B3295,Sheet2!$J$5:$K$7,2,FALSE)*VLOOKUP(Sheet1!$A3295,Sheet2!$B$5:$H$29,5,FALSE),0)</x:f>
        <x:v>0</x:v>
      </x:c>
      <x:c r="G3295">
        <x:f>ROUND($C3295*10*VLOOKUP($B3295,Sheet2!$J$5:$K$7,2,FALSE)*VLOOKUP(Sheet1!$A3295,Sheet2!$B$5:$H$29,6,FALSE),0)</x:f>
        <x:v>432</x:v>
      </x:c>
      <x:c r="H3295">
        <x:f>ROUND($C3295*10*VLOOKUP($B3295,Sheet2!$J$5:$K$7,2,FALSE)*VLOOKUP(Sheet1!$A3295,Sheet2!$B$5:$H$29,7,FALSE),0)</x:f>
        <x:v>0</x:v>
      </x:c>
      <x:c r="I3295">
        <x:f t="shared" si="54"/>
        <x:v>27460</x:v>
      </x:c>
    </x:row>
    <x:row r="3296" spans="1:9" x14ac:dyDescent="0.15">
      <x:c r="A3296">
        <x:v>54154</x:v>
      </x:c>
      <x:c r="B3296">
        <x:v>1</x:v>
      </x:c>
      <x:c r="C3296">
        <x:v>55</x:v>
      </x:c>
      <x:c r="D3296">
        <x:f>ROUND($C3296*10*VLOOKUP($B3296,Sheet2!$J$5:$K$7,2,FALSE)*VLOOKUP(Sheet1!$A3296,Sheet2!$B$5:$H$29,3,FALSE),0)</x:f>
        <x:v>0</x:v>
      </x:c>
      <x:c r="E3296">
        <x:f>ROUND($C3296*10*VLOOKUP($B3296,Sheet2!$J$5:$K$7,2,FALSE)*VLOOKUP(Sheet1!$A3296,Sheet2!$B$5:$H$29,4,FALSE),0)</x:f>
        <x:v>0</x:v>
      </x:c>
      <x:c r="F3296">
        <x:f>ROUND($C3296*10*VLOOKUP($B3296,Sheet2!$J$5:$K$7,2,FALSE)*VLOOKUP(Sheet1!$A3296,Sheet2!$B$5:$H$29,5,FALSE),0)</x:f>
        <x:v>0</x:v>
      </x:c>
      <x:c r="G3296">
        <x:f>ROUND($C3296*10*VLOOKUP($B3296,Sheet2!$J$5:$K$7,2,FALSE)*VLOOKUP(Sheet1!$A3296,Sheet2!$B$5:$H$29,6,FALSE),0)</x:f>
        <x:v>440</x:v>
      </x:c>
      <x:c r="H3296">
        <x:f>ROUND($C3296*10*VLOOKUP($B3296,Sheet2!$J$5:$K$7,2,FALSE)*VLOOKUP(Sheet1!$A3296,Sheet2!$B$5:$H$29,7,FALSE),0)</x:f>
        <x:v>0</x:v>
      </x:c>
      <x:c r="I3296">
        <x:f t="shared" si="54"/>
        <x:v>28390</x:v>
      </x:c>
    </x:row>
    <x:row r="3297" spans="1:9" x14ac:dyDescent="0.15">
      <x:c r="A3297">
        <x:v>54154</x:v>
      </x:c>
      <x:c r="B3297">
        <x:v>1</x:v>
      </x:c>
      <x:c r="C3297">
        <x:v>56</x:v>
      </x:c>
      <x:c r="D3297">
        <x:f>ROUND($C3297*10*VLOOKUP($B3297,Sheet2!$J$5:$K$7,2,FALSE)*VLOOKUP(Sheet1!$A3297,Sheet2!$B$5:$H$29,3,FALSE),0)</x:f>
        <x:v>0</x:v>
      </x:c>
      <x:c r="E3297">
        <x:f>ROUND($C3297*10*VLOOKUP($B3297,Sheet2!$J$5:$K$7,2,FALSE)*VLOOKUP(Sheet1!$A3297,Sheet2!$B$5:$H$29,4,FALSE),0)</x:f>
        <x:v>0</x:v>
      </x:c>
      <x:c r="F3297">
        <x:f>ROUND($C3297*10*VLOOKUP($B3297,Sheet2!$J$5:$K$7,2,FALSE)*VLOOKUP(Sheet1!$A3297,Sheet2!$B$5:$H$29,5,FALSE),0)</x:f>
        <x:v>0</x:v>
      </x:c>
      <x:c r="G3297">
        <x:f>ROUND($C3297*10*VLOOKUP($B3297,Sheet2!$J$5:$K$7,2,FALSE)*VLOOKUP(Sheet1!$A3297,Sheet2!$B$5:$H$29,6,FALSE),0)</x:f>
        <x:v>448</x:v>
      </x:c>
      <x:c r="H3297">
        <x:f>ROUND($C3297*10*VLOOKUP($B3297,Sheet2!$J$5:$K$7,2,FALSE)*VLOOKUP(Sheet1!$A3297,Sheet2!$B$5:$H$29,7,FALSE),0)</x:f>
        <x:v>0</x:v>
      </x:c>
      <x:c r="I3297">
        <x:f t="shared" si="54"/>
        <x:v>29350</x:v>
      </x:c>
    </x:row>
    <x:row r="3298" spans="1:9" x14ac:dyDescent="0.15">
      <x:c r="A3298">
        <x:v>54154</x:v>
      </x:c>
      <x:c r="B3298">
        <x:v>1</x:v>
      </x:c>
      <x:c r="C3298">
        <x:v>57</x:v>
      </x:c>
      <x:c r="D3298">
        <x:f>ROUND($C3298*10*VLOOKUP($B3298,Sheet2!$J$5:$K$7,2,FALSE)*VLOOKUP(Sheet1!$A3298,Sheet2!$B$5:$H$29,3,FALSE),0)</x:f>
        <x:v>0</x:v>
      </x:c>
      <x:c r="E3298">
        <x:f>ROUND($C3298*10*VLOOKUP($B3298,Sheet2!$J$5:$K$7,2,FALSE)*VLOOKUP(Sheet1!$A3298,Sheet2!$B$5:$H$29,4,FALSE),0)</x:f>
        <x:v>0</x:v>
      </x:c>
      <x:c r="F3298">
        <x:f>ROUND($C3298*10*VLOOKUP($B3298,Sheet2!$J$5:$K$7,2,FALSE)*VLOOKUP(Sheet1!$A3298,Sheet2!$B$5:$H$29,5,FALSE),0)</x:f>
        <x:v>0</x:v>
      </x:c>
      <x:c r="G3298">
        <x:f>ROUND($C3298*10*VLOOKUP($B3298,Sheet2!$J$5:$K$7,2,FALSE)*VLOOKUP(Sheet1!$A3298,Sheet2!$B$5:$H$29,6,FALSE),0)</x:f>
        <x:v>456</x:v>
      </x:c>
      <x:c r="H3298">
        <x:f>ROUND($C3298*10*VLOOKUP($B3298,Sheet2!$J$5:$K$7,2,FALSE)*VLOOKUP(Sheet1!$A3298,Sheet2!$B$5:$H$29,7,FALSE),0)</x:f>
        <x:v>0</x:v>
      </x:c>
      <x:c r="I3298">
        <x:f t="shared" si="54"/>
        <x:v>30310</x:v>
      </x:c>
    </x:row>
    <x:row r="3299" spans="1:9" x14ac:dyDescent="0.15">
      <x:c r="A3299">
        <x:v>54154</x:v>
      </x:c>
      <x:c r="B3299">
        <x:v>1</x:v>
      </x:c>
      <x:c r="C3299">
        <x:v>58</x:v>
      </x:c>
      <x:c r="D3299">
        <x:f>ROUND($C3299*10*VLOOKUP($B3299,Sheet2!$J$5:$K$7,2,FALSE)*VLOOKUP(Sheet1!$A3299,Sheet2!$B$5:$H$29,3,FALSE),0)</x:f>
        <x:v>0</x:v>
      </x:c>
      <x:c r="E3299">
        <x:f>ROUND($C3299*10*VLOOKUP($B3299,Sheet2!$J$5:$K$7,2,FALSE)*VLOOKUP(Sheet1!$A3299,Sheet2!$B$5:$H$29,4,FALSE),0)</x:f>
        <x:v>0</x:v>
      </x:c>
      <x:c r="F3299">
        <x:f>ROUND($C3299*10*VLOOKUP($B3299,Sheet2!$J$5:$K$7,2,FALSE)*VLOOKUP(Sheet1!$A3299,Sheet2!$B$5:$H$29,5,FALSE),0)</x:f>
        <x:v>0</x:v>
      </x:c>
      <x:c r="G3299">
        <x:f>ROUND($C3299*10*VLOOKUP($B3299,Sheet2!$J$5:$K$7,2,FALSE)*VLOOKUP(Sheet1!$A3299,Sheet2!$B$5:$H$29,6,FALSE),0)</x:f>
        <x:v>464</x:v>
      </x:c>
      <x:c r="H3299">
        <x:f>ROUND($C3299*10*VLOOKUP($B3299,Sheet2!$J$5:$K$7,2,FALSE)*VLOOKUP(Sheet1!$A3299,Sheet2!$B$5:$H$29,7,FALSE),0)</x:f>
        <x:v>0</x:v>
      </x:c>
      <x:c r="I3299">
        <x:f t="shared" si="54"/>
        <x:v>31290</x:v>
      </x:c>
    </x:row>
    <x:row r="3300" spans="1:9" x14ac:dyDescent="0.15">
      <x:c r="A3300">
        <x:v>54154</x:v>
      </x:c>
      <x:c r="B3300">
        <x:v>1</x:v>
      </x:c>
      <x:c r="C3300">
        <x:v>59</x:v>
      </x:c>
      <x:c r="D3300">
        <x:f>ROUND($C3300*10*VLOOKUP($B3300,Sheet2!$J$5:$K$7,2,FALSE)*VLOOKUP(Sheet1!$A3300,Sheet2!$B$5:$H$29,3,FALSE),0)</x:f>
        <x:v>0</x:v>
      </x:c>
      <x:c r="E3300">
        <x:f>ROUND($C3300*10*VLOOKUP($B3300,Sheet2!$J$5:$K$7,2,FALSE)*VLOOKUP(Sheet1!$A3300,Sheet2!$B$5:$H$29,4,FALSE),0)</x:f>
        <x:v>0</x:v>
      </x:c>
      <x:c r="F3300">
        <x:f>ROUND($C3300*10*VLOOKUP($B3300,Sheet2!$J$5:$K$7,2,FALSE)*VLOOKUP(Sheet1!$A3300,Sheet2!$B$5:$H$29,5,FALSE),0)</x:f>
        <x:v>0</x:v>
      </x:c>
      <x:c r="G3300">
        <x:f>ROUND($C3300*10*VLOOKUP($B3300,Sheet2!$J$5:$K$7,2,FALSE)*VLOOKUP(Sheet1!$A3300,Sheet2!$B$5:$H$29,6,FALSE),0)</x:f>
        <x:v>472</x:v>
      </x:c>
      <x:c r="H3300">
        <x:f>ROUND($C3300*10*VLOOKUP($B3300,Sheet2!$J$5:$K$7,2,FALSE)*VLOOKUP(Sheet1!$A3300,Sheet2!$B$5:$H$29,7,FALSE),0)</x:f>
        <x:v>0</x:v>
      </x:c>
      <x:c r="I3300">
        <x:f t="shared" si="54"/>
        <x:v>32290</x:v>
      </x:c>
    </x:row>
    <x:row r="3301" spans="1:9" x14ac:dyDescent="0.15">
      <x:c r="A3301">
        <x:v>54154</x:v>
      </x:c>
      <x:c r="B3301">
        <x:v>1</x:v>
      </x:c>
      <x:c r="C3301">
        <x:v>60</x:v>
      </x:c>
      <x:c r="D3301">
        <x:f>ROUND($C3301*10*VLOOKUP($B3301,Sheet2!$J$5:$K$7,2,FALSE)*VLOOKUP(Sheet1!$A3301,Sheet2!$B$5:$H$29,3,FALSE),0)</x:f>
        <x:v>0</x:v>
      </x:c>
      <x:c r="E3301">
        <x:f>ROUND($C3301*10*VLOOKUP($B3301,Sheet2!$J$5:$K$7,2,FALSE)*VLOOKUP(Sheet1!$A3301,Sheet2!$B$5:$H$29,4,FALSE),0)</x:f>
        <x:v>0</x:v>
      </x:c>
      <x:c r="F3301">
        <x:f>ROUND($C3301*10*VLOOKUP($B3301,Sheet2!$J$5:$K$7,2,FALSE)*VLOOKUP(Sheet1!$A3301,Sheet2!$B$5:$H$29,5,FALSE),0)</x:f>
        <x:v>0</x:v>
      </x:c>
      <x:c r="G3301">
        <x:f>ROUND($C3301*10*VLOOKUP($B3301,Sheet2!$J$5:$K$7,2,FALSE)*VLOOKUP(Sheet1!$A3301,Sheet2!$B$5:$H$29,6,FALSE),0)</x:f>
        <x:v>480</x:v>
      </x:c>
      <x:c r="H3301">
        <x:f>ROUND($C3301*10*VLOOKUP($B3301,Sheet2!$J$5:$K$7,2,FALSE)*VLOOKUP(Sheet1!$A3301,Sheet2!$B$5:$H$29,7,FALSE),0)</x:f>
        <x:v>0</x:v>
      </x:c>
      <x:c r="I3301">
        <x:f t="shared" si="54"/>
        <x:v>33290</x:v>
      </x:c>
    </x:row>
    <x:row r="3302" spans="1:9" x14ac:dyDescent="0.15">
      <x:c r="A3302">
        <x:v>54154</x:v>
      </x:c>
      <x:c r="B3302">
        <x:v>2</x:v>
      </x:c>
      <x:c r="C3302">
        <x:v>1</x:v>
      </x:c>
      <x:c r="D3302">
        <x:f>ROUND($C3302*10*VLOOKUP($B3302,Sheet2!$J$5:$K$7,2,FALSE)*VLOOKUP(Sheet1!$A3302,Sheet2!$B$5:$H$29,3,FALSE),0)</x:f>
        <x:v>0</x:v>
      </x:c>
      <x:c r="E3302">
        <x:f>ROUND($C3302*10*VLOOKUP($B3302,Sheet2!$J$5:$K$7,2,FALSE)*VLOOKUP(Sheet1!$A3302,Sheet2!$B$5:$H$29,4,FALSE),0)</x:f>
        <x:v>0</x:v>
      </x:c>
      <x:c r="F3302">
        <x:f>ROUND($C3302*10*VLOOKUP($B3302,Sheet2!$J$5:$K$7,2,FALSE)*VLOOKUP(Sheet1!$A3302,Sheet2!$B$5:$H$29,5,FALSE),0)</x:f>
        <x:v>0</x:v>
      </x:c>
      <x:c r="G3302">
        <x:f>ROUND($C3302*10*VLOOKUP($B3302,Sheet2!$J$5:$K$7,2,FALSE)*VLOOKUP(Sheet1!$A3302,Sheet2!$B$5:$H$29,6,FALSE),0)</x:f>
        <x:v>10</x:v>
      </x:c>
      <x:c r="H3302">
        <x:f>ROUND($C3302*10*VLOOKUP($B3302,Sheet2!$J$5:$K$7,2,FALSE)*VLOOKUP(Sheet1!$A3302,Sheet2!$B$5:$H$29,7,FALSE),0)</x:f>
        <x:v>0</x:v>
      </x:c>
      <x:c r="I3302">
        <x:f t="shared" ref="I3302:I3361" si="55">ROUND(1.2*10*3.5*(C3302-1)^1.8+60,-1)</x:f>
        <x:v>60</x:v>
      </x:c>
    </x:row>
    <x:row r="3303" spans="1:9" x14ac:dyDescent="0.15">
      <x:c r="A3303">
        <x:v>54154</x:v>
      </x:c>
      <x:c r="B3303">
        <x:v>2</x:v>
      </x:c>
      <x:c r="C3303">
        <x:v>2</x:v>
      </x:c>
      <x:c r="D3303">
        <x:f>ROUND($C3303*10*VLOOKUP($B3303,Sheet2!$J$5:$K$7,2,FALSE)*VLOOKUP(Sheet1!$A3303,Sheet2!$B$5:$H$29,3,FALSE),0)</x:f>
        <x:v>0</x:v>
      </x:c>
      <x:c r="E3303">
        <x:f>ROUND($C3303*10*VLOOKUP($B3303,Sheet2!$J$5:$K$7,2,FALSE)*VLOOKUP(Sheet1!$A3303,Sheet2!$B$5:$H$29,4,FALSE),0)</x:f>
        <x:v>0</x:v>
      </x:c>
      <x:c r="F3303">
        <x:f>ROUND($C3303*10*VLOOKUP($B3303,Sheet2!$J$5:$K$7,2,FALSE)*VLOOKUP(Sheet1!$A3303,Sheet2!$B$5:$H$29,5,FALSE),0)</x:f>
        <x:v>0</x:v>
      </x:c>
      <x:c r="G3303">
        <x:f>ROUND($C3303*10*VLOOKUP($B3303,Sheet2!$J$5:$K$7,2,FALSE)*VLOOKUP(Sheet1!$A3303,Sheet2!$B$5:$H$29,6,FALSE),0)</x:f>
        <x:v>19</x:v>
      </x:c>
      <x:c r="H3303">
        <x:f>ROUND($C3303*10*VLOOKUP($B3303,Sheet2!$J$5:$K$7,2,FALSE)*VLOOKUP(Sheet1!$A3303,Sheet2!$B$5:$H$29,7,FALSE),0)</x:f>
        <x:v>0</x:v>
      </x:c>
      <x:c r="I3303">
        <x:f t="shared" si="55"/>
        <x:v>100</x:v>
      </x:c>
    </x:row>
    <x:row r="3304" spans="1:9" x14ac:dyDescent="0.15">
      <x:c r="A3304">
        <x:v>54154</x:v>
      </x:c>
      <x:c r="B3304">
        <x:v>2</x:v>
      </x:c>
      <x:c r="C3304">
        <x:v>3</x:v>
      </x:c>
      <x:c r="D3304">
        <x:f>ROUND($C3304*10*VLOOKUP($B3304,Sheet2!$J$5:$K$7,2,FALSE)*VLOOKUP(Sheet1!$A3304,Sheet2!$B$5:$H$29,3,FALSE),0)</x:f>
        <x:v>0</x:v>
      </x:c>
      <x:c r="E3304">
        <x:f>ROUND($C3304*10*VLOOKUP($B3304,Sheet2!$J$5:$K$7,2,FALSE)*VLOOKUP(Sheet1!$A3304,Sheet2!$B$5:$H$29,4,FALSE),0)</x:f>
        <x:v>0</x:v>
      </x:c>
      <x:c r="F3304">
        <x:f>ROUND($C3304*10*VLOOKUP($B3304,Sheet2!$J$5:$K$7,2,FALSE)*VLOOKUP(Sheet1!$A3304,Sheet2!$B$5:$H$29,5,FALSE),0)</x:f>
        <x:v>0</x:v>
      </x:c>
      <x:c r="G3304">
        <x:f>ROUND($C3304*10*VLOOKUP($B3304,Sheet2!$J$5:$K$7,2,FALSE)*VLOOKUP(Sheet1!$A3304,Sheet2!$B$5:$H$29,6,FALSE),0)</x:f>
        <x:v>29</x:v>
      </x:c>
      <x:c r="H3304">
        <x:f>ROUND($C3304*10*VLOOKUP($B3304,Sheet2!$J$5:$K$7,2,FALSE)*VLOOKUP(Sheet1!$A3304,Sheet2!$B$5:$H$29,7,FALSE),0)</x:f>
        <x:v>0</x:v>
      </x:c>
      <x:c r="I3304">
        <x:f t="shared" si="55"/>
        <x:v>210</x:v>
      </x:c>
    </x:row>
    <x:row r="3305" spans="1:9" x14ac:dyDescent="0.15">
      <x:c r="A3305">
        <x:v>54154</x:v>
      </x:c>
      <x:c r="B3305">
        <x:v>2</x:v>
      </x:c>
      <x:c r="C3305">
        <x:v>4</x:v>
      </x:c>
      <x:c r="D3305">
        <x:f>ROUND($C3305*10*VLOOKUP($B3305,Sheet2!$J$5:$K$7,2,FALSE)*VLOOKUP(Sheet1!$A3305,Sheet2!$B$5:$H$29,3,FALSE),0)</x:f>
        <x:v>0</x:v>
      </x:c>
      <x:c r="E3305">
        <x:f>ROUND($C3305*10*VLOOKUP($B3305,Sheet2!$J$5:$K$7,2,FALSE)*VLOOKUP(Sheet1!$A3305,Sheet2!$B$5:$H$29,4,FALSE),0)</x:f>
        <x:v>0</x:v>
      </x:c>
      <x:c r="F3305">
        <x:f>ROUND($C3305*10*VLOOKUP($B3305,Sheet2!$J$5:$K$7,2,FALSE)*VLOOKUP(Sheet1!$A3305,Sheet2!$B$5:$H$29,5,FALSE),0)</x:f>
        <x:v>0</x:v>
      </x:c>
      <x:c r="G3305">
        <x:f>ROUND($C3305*10*VLOOKUP($B3305,Sheet2!$J$5:$K$7,2,FALSE)*VLOOKUP(Sheet1!$A3305,Sheet2!$B$5:$H$29,6,FALSE),0)</x:f>
        <x:v>38</x:v>
      </x:c>
      <x:c r="H3305">
        <x:f>ROUND($C3305*10*VLOOKUP($B3305,Sheet2!$J$5:$K$7,2,FALSE)*VLOOKUP(Sheet1!$A3305,Sheet2!$B$5:$H$29,7,FALSE),0)</x:f>
        <x:v>0</x:v>
      </x:c>
      <x:c r="I3305">
        <x:f t="shared" si="55"/>
        <x:v>360</x:v>
      </x:c>
    </x:row>
    <x:row r="3306" spans="1:9" x14ac:dyDescent="0.15">
      <x:c r="A3306">
        <x:v>54154</x:v>
      </x:c>
      <x:c r="B3306">
        <x:v>2</x:v>
      </x:c>
      <x:c r="C3306">
        <x:v>5</x:v>
      </x:c>
      <x:c r="D3306">
        <x:f>ROUND($C3306*10*VLOOKUP($B3306,Sheet2!$J$5:$K$7,2,FALSE)*VLOOKUP(Sheet1!$A3306,Sheet2!$B$5:$H$29,3,FALSE),0)</x:f>
        <x:v>0</x:v>
      </x:c>
      <x:c r="E3306">
        <x:f>ROUND($C3306*10*VLOOKUP($B3306,Sheet2!$J$5:$K$7,2,FALSE)*VLOOKUP(Sheet1!$A3306,Sheet2!$B$5:$H$29,4,FALSE),0)</x:f>
        <x:v>0</x:v>
      </x:c>
      <x:c r="F3306">
        <x:f>ROUND($C3306*10*VLOOKUP($B3306,Sheet2!$J$5:$K$7,2,FALSE)*VLOOKUP(Sheet1!$A3306,Sheet2!$B$5:$H$29,5,FALSE),0)</x:f>
        <x:v>0</x:v>
      </x:c>
      <x:c r="G3306">
        <x:f>ROUND($C3306*10*VLOOKUP($B3306,Sheet2!$J$5:$K$7,2,FALSE)*VLOOKUP(Sheet1!$A3306,Sheet2!$B$5:$H$29,6,FALSE),0)</x:f>
        <x:v>48</x:v>
      </x:c>
      <x:c r="H3306">
        <x:f>ROUND($C3306*10*VLOOKUP($B3306,Sheet2!$J$5:$K$7,2,FALSE)*VLOOKUP(Sheet1!$A3306,Sheet2!$B$5:$H$29,7,FALSE),0)</x:f>
        <x:v>0</x:v>
      </x:c>
      <x:c r="I3306">
        <x:f t="shared" si="55"/>
        <x:v>570</x:v>
      </x:c>
    </x:row>
    <x:row r="3307" spans="1:9" x14ac:dyDescent="0.15">
      <x:c r="A3307">
        <x:v>54154</x:v>
      </x:c>
      <x:c r="B3307">
        <x:v>2</x:v>
      </x:c>
      <x:c r="C3307">
        <x:v>6</x:v>
      </x:c>
      <x:c r="D3307">
        <x:f>ROUND($C3307*10*VLOOKUP($B3307,Sheet2!$J$5:$K$7,2,FALSE)*VLOOKUP(Sheet1!$A3307,Sheet2!$B$5:$H$29,3,FALSE),0)</x:f>
        <x:v>0</x:v>
      </x:c>
      <x:c r="E3307">
        <x:f>ROUND($C3307*10*VLOOKUP($B3307,Sheet2!$J$5:$K$7,2,FALSE)*VLOOKUP(Sheet1!$A3307,Sheet2!$B$5:$H$29,4,FALSE),0)</x:f>
        <x:v>0</x:v>
      </x:c>
      <x:c r="F3307">
        <x:f>ROUND($C3307*10*VLOOKUP($B3307,Sheet2!$J$5:$K$7,2,FALSE)*VLOOKUP(Sheet1!$A3307,Sheet2!$B$5:$H$29,5,FALSE),0)</x:f>
        <x:v>0</x:v>
      </x:c>
      <x:c r="G3307">
        <x:f>ROUND($C3307*10*VLOOKUP($B3307,Sheet2!$J$5:$K$7,2,FALSE)*VLOOKUP(Sheet1!$A3307,Sheet2!$B$5:$H$29,6,FALSE),0)</x:f>
        <x:v>58</x:v>
      </x:c>
      <x:c r="H3307">
        <x:f>ROUND($C3307*10*VLOOKUP($B3307,Sheet2!$J$5:$K$7,2,FALSE)*VLOOKUP(Sheet1!$A3307,Sheet2!$B$5:$H$29,7,FALSE),0)</x:f>
        <x:v>0</x:v>
      </x:c>
      <x:c r="I3307">
        <x:f t="shared" si="55"/>
        <x:v>820</x:v>
      </x:c>
    </x:row>
    <x:row r="3308" spans="1:9" x14ac:dyDescent="0.15">
      <x:c r="A3308">
        <x:v>54154</x:v>
      </x:c>
      <x:c r="B3308">
        <x:v>2</x:v>
      </x:c>
      <x:c r="C3308">
        <x:v>7</x:v>
      </x:c>
      <x:c r="D3308">
        <x:f>ROUND($C3308*10*VLOOKUP($B3308,Sheet2!$J$5:$K$7,2,FALSE)*VLOOKUP(Sheet1!$A3308,Sheet2!$B$5:$H$29,3,FALSE),0)</x:f>
        <x:v>0</x:v>
      </x:c>
      <x:c r="E3308">
        <x:f>ROUND($C3308*10*VLOOKUP($B3308,Sheet2!$J$5:$K$7,2,FALSE)*VLOOKUP(Sheet1!$A3308,Sheet2!$B$5:$H$29,4,FALSE),0)</x:f>
        <x:v>0</x:v>
      </x:c>
      <x:c r="F3308">
        <x:f>ROUND($C3308*10*VLOOKUP($B3308,Sheet2!$J$5:$K$7,2,FALSE)*VLOOKUP(Sheet1!$A3308,Sheet2!$B$5:$H$29,5,FALSE),0)</x:f>
        <x:v>0</x:v>
      </x:c>
      <x:c r="G3308">
        <x:f>ROUND($C3308*10*VLOOKUP($B3308,Sheet2!$J$5:$K$7,2,FALSE)*VLOOKUP(Sheet1!$A3308,Sheet2!$B$5:$H$29,6,FALSE),0)</x:f>
        <x:v>67</x:v>
      </x:c>
      <x:c r="H3308">
        <x:f>ROUND($C3308*10*VLOOKUP($B3308,Sheet2!$J$5:$K$7,2,FALSE)*VLOOKUP(Sheet1!$A3308,Sheet2!$B$5:$H$29,7,FALSE),0)</x:f>
        <x:v>0</x:v>
      </x:c>
      <x:c r="I3308">
        <x:f t="shared" si="55"/>
        <x:v>1120</x:v>
      </x:c>
    </x:row>
    <x:row r="3309" spans="1:9" x14ac:dyDescent="0.15">
      <x:c r="A3309">
        <x:v>54154</x:v>
      </x:c>
      <x:c r="B3309">
        <x:v>2</x:v>
      </x:c>
      <x:c r="C3309">
        <x:v>8</x:v>
      </x:c>
      <x:c r="D3309">
        <x:f>ROUND($C3309*10*VLOOKUP($B3309,Sheet2!$J$5:$K$7,2,FALSE)*VLOOKUP(Sheet1!$A3309,Sheet2!$B$5:$H$29,3,FALSE),0)</x:f>
        <x:v>0</x:v>
      </x:c>
      <x:c r="E3309">
        <x:f>ROUND($C3309*10*VLOOKUP($B3309,Sheet2!$J$5:$K$7,2,FALSE)*VLOOKUP(Sheet1!$A3309,Sheet2!$B$5:$H$29,4,FALSE),0)</x:f>
        <x:v>0</x:v>
      </x:c>
      <x:c r="F3309">
        <x:f>ROUND($C3309*10*VLOOKUP($B3309,Sheet2!$J$5:$K$7,2,FALSE)*VLOOKUP(Sheet1!$A3309,Sheet2!$B$5:$H$29,5,FALSE),0)</x:f>
        <x:v>0</x:v>
      </x:c>
      <x:c r="G3309">
        <x:f>ROUND($C3309*10*VLOOKUP($B3309,Sheet2!$J$5:$K$7,2,FALSE)*VLOOKUP(Sheet1!$A3309,Sheet2!$B$5:$H$29,6,FALSE),0)</x:f>
        <x:v>77</x:v>
      </x:c>
      <x:c r="H3309">
        <x:f>ROUND($C3309*10*VLOOKUP($B3309,Sheet2!$J$5:$K$7,2,FALSE)*VLOOKUP(Sheet1!$A3309,Sheet2!$B$5:$H$29,7,FALSE),0)</x:f>
        <x:v>0</x:v>
      </x:c>
      <x:c r="I3309">
        <x:f t="shared" si="55"/>
        <x:v>1450</x:v>
      </x:c>
    </x:row>
    <x:row r="3310" spans="1:9" x14ac:dyDescent="0.15">
      <x:c r="A3310">
        <x:v>54154</x:v>
      </x:c>
      <x:c r="B3310">
        <x:v>2</x:v>
      </x:c>
      <x:c r="C3310">
        <x:v>9</x:v>
      </x:c>
      <x:c r="D3310">
        <x:f>ROUND($C3310*10*VLOOKUP($B3310,Sheet2!$J$5:$K$7,2,FALSE)*VLOOKUP(Sheet1!$A3310,Sheet2!$B$5:$H$29,3,FALSE),0)</x:f>
        <x:v>0</x:v>
      </x:c>
      <x:c r="E3310">
        <x:f>ROUND($C3310*10*VLOOKUP($B3310,Sheet2!$J$5:$K$7,2,FALSE)*VLOOKUP(Sheet1!$A3310,Sheet2!$B$5:$H$29,4,FALSE),0)</x:f>
        <x:v>0</x:v>
      </x:c>
      <x:c r="F3310">
        <x:f>ROUND($C3310*10*VLOOKUP($B3310,Sheet2!$J$5:$K$7,2,FALSE)*VLOOKUP(Sheet1!$A3310,Sheet2!$B$5:$H$29,5,FALSE),0)</x:f>
        <x:v>0</x:v>
      </x:c>
      <x:c r="G3310">
        <x:f>ROUND($C3310*10*VLOOKUP($B3310,Sheet2!$J$5:$K$7,2,FALSE)*VLOOKUP(Sheet1!$A3310,Sheet2!$B$5:$H$29,6,FALSE),0)</x:f>
        <x:v>86</x:v>
      </x:c>
      <x:c r="H3310">
        <x:f>ROUND($C3310*10*VLOOKUP($B3310,Sheet2!$J$5:$K$7,2,FALSE)*VLOOKUP(Sheet1!$A3310,Sheet2!$B$5:$H$29,7,FALSE),0)</x:f>
        <x:v>0</x:v>
      </x:c>
      <x:c r="I3310">
        <x:f t="shared" si="55"/>
        <x:v>1830</x:v>
      </x:c>
    </x:row>
    <x:row r="3311" spans="1:9" x14ac:dyDescent="0.15">
      <x:c r="A3311">
        <x:v>54154</x:v>
      </x:c>
      <x:c r="B3311">
        <x:v>2</x:v>
      </x:c>
      <x:c r="C3311">
        <x:v>10</x:v>
      </x:c>
      <x:c r="D3311">
        <x:f>ROUND($C3311*10*VLOOKUP($B3311,Sheet2!$J$5:$K$7,2,FALSE)*VLOOKUP(Sheet1!$A3311,Sheet2!$B$5:$H$29,3,FALSE),0)</x:f>
        <x:v>0</x:v>
      </x:c>
      <x:c r="E3311">
        <x:f>ROUND($C3311*10*VLOOKUP($B3311,Sheet2!$J$5:$K$7,2,FALSE)*VLOOKUP(Sheet1!$A3311,Sheet2!$B$5:$H$29,4,FALSE),0)</x:f>
        <x:v>0</x:v>
      </x:c>
      <x:c r="F3311">
        <x:f>ROUND($C3311*10*VLOOKUP($B3311,Sheet2!$J$5:$K$7,2,FALSE)*VLOOKUP(Sheet1!$A3311,Sheet2!$B$5:$H$29,5,FALSE),0)</x:f>
        <x:v>0</x:v>
      </x:c>
      <x:c r="G3311">
        <x:f>ROUND($C3311*10*VLOOKUP($B3311,Sheet2!$J$5:$K$7,2,FALSE)*VLOOKUP(Sheet1!$A3311,Sheet2!$B$5:$H$29,6,FALSE),0)</x:f>
        <x:v>96</x:v>
      </x:c>
      <x:c r="H3311">
        <x:f>ROUND($C3311*10*VLOOKUP($B3311,Sheet2!$J$5:$K$7,2,FALSE)*VLOOKUP(Sheet1!$A3311,Sheet2!$B$5:$H$29,7,FALSE),0)</x:f>
        <x:v>0</x:v>
      </x:c>
      <x:c r="I3311">
        <x:f t="shared" si="55"/>
        <x:v>2250</x:v>
      </x:c>
    </x:row>
    <x:row r="3312" spans="1:9" x14ac:dyDescent="0.15">
      <x:c r="A3312">
        <x:v>54154</x:v>
      </x:c>
      <x:c r="B3312">
        <x:v>2</x:v>
      </x:c>
      <x:c r="C3312">
        <x:v>11</x:v>
      </x:c>
      <x:c r="D3312">
        <x:f>ROUND($C3312*10*VLOOKUP($B3312,Sheet2!$J$5:$K$7,2,FALSE)*VLOOKUP(Sheet1!$A3312,Sheet2!$B$5:$H$29,3,FALSE),0)</x:f>
        <x:v>0</x:v>
      </x:c>
      <x:c r="E3312">
        <x:f>ROUND($C3312*10*VLOOKUP($B3312,Sheet2!$J$5:$K$7,2,FALSE)*VLOOKUP(Sheet1!$A3312,Sheet2!$B$5:$H$29,4,FALSE),0)</x:f>
        <x:v>0</x:v>
      </x:c>
      <x:c r="F3312">
        <x:f>ROUND($C3312*10*VLOOKUP($B3312,Sheet2!$J$5:$K$7,2,FALSE)*VLOOKUP(Sheet1!$A3312,Sheet2!$B$5:$H$29,5,FALSE),0)</x:f>
        <x:v>0</x:v>
      </x:c>
      <x:c r="G3312">
        <x:f>ROUND($C3312*10*VLOOKUP($B3312,Sheet2!$J$5:$K$7,2,FALSE)*VLOOKUP(Sheet1!$A3312,Sheet2!$B$5:$H$29,6,FALSE),0)</x:f>
        <x:v>106</x:v>
      </x:c>
      <x:c r="H3312">
        <x:f>ROUND($C3312*10*VLOOKUP($B3312,Sheet2!$J$5:$K$7,2,FALSE)*VLOOKUP(Sheet1!$A3312,Sheet2!$B$5:$H$29,7,FALSE),0)</x:f>
        <x:v>0</x:v>
      </x:c>
      <x:c r="I3312">
        <x:f t="shared" si="55"/>
        <x:v>2710</x:v>
      </x:c>
    </x:row>
    <x:row r="3313" spans="1:9" x14ac:dyDescent="0.15">
      <x:c r="A3313">
        <x:v>54154</x:v>
      </x:c>
      <x:c r="B3313">
        <x:v>2</x:v>
      </x:c>
      <x:c r="C3313">
        <x:v>12</x:v>
      </x:c>
      <x:c r="D3313">
        <x:f>ROUND($C3313*10*VLOOKUP($B3313,Sheet2!$J$5:$K$7,2,FALSE)*VLOOKUP(Sheet1!$A3313,Sheet2!$B$5:$H$29,3,FALSE),0)</x:f>
        <x:v>0</x:v>
      </x:c>
      <x:c r="E3313">
        <x:f>ROUND($C3313*10*VLOOKUP($B3313,Sheet2!$J$5:$K$7,2,FALSE)*VLOOKUP(Sheet1!$A3313,Sheet2!$B$5:$H$29,4,FALSE),0)</x:f>
        <x:v>0</x:v>
      </x:c>
      <x:c r="F3313">
        <x:f>ROUND($C3313*10*VLOOKUP($B3313,Sheet2!$J$5:$K$7,2,FALSE)*VLOOKUP(Sheet1!$A3313,Sheet2!$B$5:$H$29,5,FALSE),0)</x:f>
        <x:v>0</x:v>
      </x:c>
      <x:c r="G3313">
        <x:f>ROUND($C3313*10*VLOOKUP($B3313,Sheet2!$J$5:$K$7,2,FALSE)*VLOOKUP(Sheet1!$A3313,Sheet2!$B$5:$H$29,6,FALSE),0)</x:f>
        <x:v>115</x:v>
      </x:c>
      <x:c r="H3313">
        <x:f>ROUND($C3313*10*VLOOKUP($B3313,Sheet2!$J$5:$K$7,2,FALSE)*VLOOKUP(Sheet1!$A3313,Sheet2!$B$5:$H$29,7,FALSE),0)</x:f>
        <x:v>0</x:v>
      </x:c>
      <x:c r="I3313">
        <x:f t="shared" si="55"/>
        <x:v>3210</x:v>
      </x:c>
    </x:row>
    <x:row r="3314" spans="1:9" x14ac:dyDescent="0.15">
      <x:c r="A3314">
        <x:v>54154</x:v>
      </x:c>
      <x:c r="B3314">
        <x:v>2</x:v>
      </x:c>
      <x:c r="C3314">
        <x:v>13</x:v>
      </x:c>
      <x:c r="D3314">
        <x:f>ROUND($C3314*10*VLOOKUP($B3314,Sheet2!$J$5:$K$7,2,FALSE)*VLOOKUP(Sheet1!$A3314,Sheet2!$B$5:$H$29,3,FALSE),0)</x:f>
        <x:v>0</x:v>
      </x:c>
      <x:c r="E3314">
        <x:f>ROUND($C3314*10*VLOOKUP($B3314,Sheet2!$J$5:$K$7,2,FALSE)*VLOOKUP(Sheet1!$A3314,Sheet2!$B$5:$H$29,4,FALSE),0)</x:f>
        <x:v>0</x:v>
      </x:c>
      <x:c r="F3314">
        <x:f>ROUND($C3314*10*VLOOKUP($B3314,Sheet2!$J$5:$K$7,2,FALSE)*VLOOKUP(Sheet1!$A3314,Sheet2!$B$5:$H$29,5,FALSE),0)</x:f>
        <x:v>0</x:v>
      </x:c>
      <x:c r="G3314">
        <x:f>ROUND($C3314*10*VLOOKUP($B3314,Sheet2!$J$5:$K$7,2,FALSE)*VLOOKUP(Sheet1!$A3314,Sheet2!$B$5:$H$29,6,FALSE),0)</x:f>
        <x:v>125</x:v>
      </x:c>
      <x:c r="H3314">
        <x:f>ROUND($C3314*10*VLOOKUP($B3314,Sheet2!$J$5:$K$7,2,FALSE)*VLOOKUP(Sheet1!$A3314,Sheet2!$B$5:$H$29,7,FALSE),0)</x:f>
        <x:v>0</x:v>
      </x:c>
      <x:c r="I3314">
        <x:f t="shared" si="55"/>
        <x:v>3740</x:v>
      </x:c>
    </x:row>
    <x:row r="3315" spans="1:9" x14ac:dyDescent="0.15">
      <x:c r="A3315">
        <x:v>54154</x:v>
      </x:c>
      <x:c r="B3315">
        <x:v>2</x:v>
      </x:c>
      <x:c r="C3315">
        <x:v>14</x:v>
      </x:c>
      <x:c r="D3315">
        <x:f>ROUND($C3315*10*VLOOKUP($B3315,Sheet2!$J$5:$K$7,2,FALSE)*VLOOKUP(Sheet1!$A3315,Sheet2!$B$5:$H$29,3,FALSE),0)</x:f>
        <x:v>0</x:v>
      </x:c>
      <x:c r="E3315">
        <x:f>ROUND($C3315*10*VLOOKUP($B3315,Sheet2!$J$5:$K$7,2,FALSE)*VLOOKUP(Sheet1!$A3315,Sheet2!$B$5:$H$29,4,FALSE),0)</x:f>
        <x:v>0</x:v>
      </x:c>
      <x:c r="F3315">
        <x:f>ROUND($C3315*10*VLOOKUP($B3315,Sheet2!$J$5:$K$7,2,FALSE)*VLOOKUP(Sheet1!$A3315,Sheet2!$B$5:$H$29,5,FALSE),0)</x:f>
        <x:v>0</x:v>
      </x:c>
      <x:c r="G3315">
        <x:f>ROUND($C3315*10*VLOOKUP($B3315,Sheet2!$J$5:$K$7,2,FALSE)*VLOOKUP(Sheet1!$A3315,Sheet2!$B$5:$H$29,6,FALSE),0)</x:f>
        <x:v>134</x:v>
      </x:c>
      <x:c r="H3315">
        <x:f>ROUND($C3315*10*VLOOKUP($B3315,Sheet2!$J$5:$K$7,2,FALSE)*VLOOKUP(Sheet1!$A3315,Sheet2!$B$5:$H$29,7,FALSE),0)</x:f>
        <x:v>0</x:v>
      </x:c>
      <x:c r="I3315">
        <x:f t="shared" si="55"/>
        <x:v>4310</x:v>
      </x:c>
    </x:row>
    <x:row r="3316" spans="1:9" x14ac:dyDescent="0.15">
      <x:c r="A3316">
        <x:v>54154</x:v>
      </x:c>
      <x:c r="B3316">
        <x:v>2</x:v>
      </x:c>
      <x:c r="C3316">
        <x:v>15</x:v>
      </x:c>
      <x:c r="D3316">
        <x:f>ROUND($C3316*10*VLOOKUP($B3316,Sheet2!$J$5:$K$7,2,FALSE)*VLOOKUP(Sheet1!$A3316,Sheet2!$B$5:$H$29,3,FALSE),0)</x:f>
        <x:v>0</x:v>
      </x:c>
      <x:c r="E3316">
        <x:f>ROUND($C3316*10*VLOOKUP($B3316,Sheet2!$J$5:$K$7,2,FALSE)*VLOOKUP(Sheet1!$A3316,Sheet2!$B$5:$H$29,4,FALSE),0)</x:f>
        <x:v>0</x:v>
      </x:c>
      <x:c r="F3316">
        <x:f>ROUND($C3316*10*VLOOKUP($B3316,Sheet2!$J$5:$K$7,2,FALSE)*VLOOKUP(Sheet1!$A3316,Sheet2!$B$5:$H$29,5,FALSE),0)</x:f>
        <x:v>0</x:v>
      </x:c>
      <x:c r="G3316">
        <x:f>ROUND($C3316*10*VLOOKUP($B3316,Sheet2!$J$5:$K$7,2,FALSE)*VLOOKUP(Sheet1!$A3316,Sheet2!$B$5:$H$29,6,FALSE),0)</x:f>
        <x:v>144</x:v>
      </x:c>
      <x:c r="H3316">
        <x:f>ROUND($C3316*10*VLOOKUP($B3316,Sheet2!$J$5:$K$7,2,FALSE)*VLOOKUP(Sheet1!$A3316,Sheet2!$B$5:$H$29,7,FALSE),0)</x:f>
        <x:v>0</x:v>
      </x:c>
      <x:c r="I3316">
        <x:f t="shared" si="55"/>
        <x:v>4920</x:v>
      </x:c>
    </x:row>
    <x:row r="3317" spans="1:9" x14ac:dyDescent="0.15">
      <x:c r="A3317">
        <x:v>54154</x:v>
      </x:c>
      <x:c r="B3317">
        <x:v>2</x:v>
      </x:c>
      <x:c r="C3317">
        <x:v>16</x:v>
      </x:c>
      <x:c r="D3317">
        <x:f>ROUND($C3317*10*VLOOKUP($B3317,Sheet2!$J$5:$K$7,2,FALSE)*VLOOKUP(Sheet1!$A3317,Sheet2!$B$5:$H$29,3,FALSE),0)</x:f>
        <x:v>0</x:v>
      </x:c>
      <x:c r="E3317">
        <x:f>ROUND($C3317*10*VLOOKUP($B3317,Sheet2!$J$5:$K$7,2,FALSE)*VLOOKUP(Sheet1!$A3317,Sheet2!$B$5:$H$29,4,FALSE),0)</x:f>
        <x:v>0</x:v>
      </x:c>
      <x:c r="F3317">
        <x:f>ROUND($C3317*10*VLOOKUP($B3317,Sheet2!$J$5:$K$7,2,FALSE)*VLOOKUP(Sheet1!$A3317,Sheet2!$B$5:$H$29,5,FALSE),0)</x:f>
        <x:v>0</x:v>
      </x:c>
      <x:c r="G3317">
        <x:f>ROUND($C3317*10*VLOOKUP($B3317,Sheet2!$J$5:$K$7,2,FALSE)*VLOOKUP(Sheet1!$A3317,Sheet2!$B$5:$H$29,6,FALSE),0)</x:f>
        <x:v>154</x:v>
      </x:c>
      <x:c r="H3317">
        <x:f>ROUND($C3317*10*VLOOKUP($B3317,Sheet2!$J$5:$K$7,2,FALSE)*VLOOKUP(Sheet1!$A3317,Sheet2!$B$5:$H$29,7,FALSE),0)</x:f>
        <x:v>0</x:v>
      </x:c>
      <x:c r="I3317">
        <x:f t="shared" si="55"/>
        <x:v>5560</x:v>
      </x:c>
    </x:row>
    <x:row r="3318" spans="1:9" x14ac:dyDescent="0.15">
      <x:c r="A3318">
        <x:v>54154</x:v>
      </x:c>
      <x:c r="B3318">
        <x:v>2</x:v>
      </x:c>
      <x:c r="C3318">
        <x:v>17</x:v>
      </x:c>
      <x:c r="D3318">
        <x:f>ROUND($C3318*10*VLOOKUP($B3318,Sheet2!$J$5:$K$7,2,FALSE)*VLOOKUP(Sheet1!$A3318,Sheet2!$B$5:$H$29,3,FALSE),0)</x:f>
        <x:v>0</x:v>
      </x:c>
      <x:c r="E3318">
        <x:f>ROUND($C3318*10*VLOOKUP($B3318,Sheet2!$J$5:$K$7,2,FALSE)*VLOOKUP(Sheet1!$A3318,Sheet2!$B$5:$H$29,4,FALSE),0)</x:f>
        <x:v>0</x:v>
      </x:c>
      <x:c r="F3318">
        <x:f>ROUND($C3318*10*VLOOKUP($B3318,Sheet2!$J$5:$K$7,2,FALSE)*VLOOKUP(Sheet1!$A3318,Sheet2!$B$5:$H$29,5,FALSE),0)</x:f>
        <x:v>0</x:v>
      </x:c>
      <x:c r="G3318">
        <x:f>ROUND($C3318*10*VLOOKUP($B3318,Sheet2!$J$5:$K$7,2,FALSE)*VLOOKUP(Sheet1!$A3318,Sheet2!$B$5:$H$29,6,FALSE),0)</x:f>
        <x:v>163</x:v>
      </x:c>
      <x:c r="H3318">
        <x:f>ROUND($C3318*10*VLOOKUP($B3318,Sheet2!$J$5:$K$7,2,FALSE)*VLOOKUP(Sheet1!$A3318,Sheet2!$B$5:$H$29,7,FALSE),0)</x:f>
        <x:v>0</x:v>
      </x:c>
      <x:c r="I3318">
        <x:f t="shared" si="55"/>
        <x:v>6240</x:v>
      </x:c>
    </x:row>
    <x:row r="3319" spans="1:9" x14ac:dyDescent="0.15">
      <x:c r="A3319">
        <x:v>54154</x:v>
      </x:c>
      <x:c r="B3319">
        <x:v>2</x:v>
      </x:c>
      <x:c r="C3319">
        <x:v>18</x:v>
      </x:c>
      <x:c r="D3319">
        <x:f>ROUND($C3319*10*VLOOKUP($B3319,Sheet2!$J$5:$K$7,2,FALSE)*VLOOKUP(Sheet1!$A3319,Sheet2!$B$5:$H$29,3,FALSE),0)</x:f>
        <x:v>0</x:v>
      </x:c>
      <x:c r="E3319">
        <x:f>ROUND($C3319*10*VLOOKUP($B3319,Sheet2!$J$5:$K$7,2,FALSE)*VLOOKUP(Sheet1!$A3319,Sheet2!$B$5:$H$29,4,FALSE),0)</x:f>
        <x:v>0</x:v>
      </x:c>
      <x:c r="F3319">
        <x:f>ROUND($C3319*10*VLOOKUP($B3319,Sheet2!$J$5:$K$7,2,FALSE)*VLOOKUP(Sheet1!$A3319,Sheet2!$B$5:$H$29,5,FALSE),0)</x:f>
        <x:v>0</x:v>
      </x:c>
      <x:c r="G3319">
        <x:f>ROUND($C3319*10*VLOOKUP($B3319,Sheet2!$J$5:$K$7,2,FALSE)*VLOOKUP(Sheet1!$A3319,Sheet2!$B$5:$H$29,6,FALSE),0)</x:f>
        <x:v>173</x:v>
      </x:c>
      <x:c r="H3319">
        <x:f>ROUND($C3319*10*VLOOKUP($B3319,Sheet2!$J$5:$K$7,2,FALSE)*VLOOKUP(Sheet1!$A3319,Sheet2!$B$5:$H$29,7,FALSE),0)</x:f>
        <x:v>0</x:v>
      </x:c>
      <x:c r="I3319">
        <x:f t="shared" si="55"/>
        <x:v>6950</x:v>
      </x:c>
    </x:row>
    <x:row r="3320" spans="1:9" x14ac:dyDescent="0.15">
      <x:c r="A3320">
        <x:v>54154</x:v>
      </x:c>
      <x:c r="B3320">
        <x:v>2</x:v>
      </x:c>
      <x:c r="C3320">
        <x:v>19</x:v>
      </x:c>
      <x:c r="D3320">
        <x:f>ROUND($C3320*10*VLOOKUP($B3320,Sheet2!$J$5:$K$7,2,FALSE)*VLOOKUP(Sheet1!$A3320,Sheet2!$B$5:$H$29,3,FALSE),0)</x:f>
        <x:v>0</x:v>
      </x:c>
      <x:c r="E3320">
        <x:f>ROUND($C3320*10*VLOOKUP($B3320,Sheet2!$J$5:$K$7,2,FALSE)*VLOOKUP(Sheet1!$A3320,Sheet2!$B$5:$H$29,4,FALSE),0)</x:f>
        <x:v>0</x:v>
      </x:c>
      <x:c r="F3320">
        <x:f>ROUND($C3320*10*VLOOKUP($B3320,Sheet2!$J$5:$K$7,2,FALSE)*VLOOKUP(Sheet1!$A3320,Sheet2!$B$5:$H$29,5,FALSE),0)</x:f>
        <x:v>0</x:v>
      </x:c>
      <x:c r="G3320">
        <x:f>ROUND($C3320*10*VLOOKUP($B3320,Sheet2!$J$5:$K$7,2,FALSE)*VLOOKUP(Sheet1!$A3320,Sheet2!$B$5:$H$29,6,FALSE),0)</x:f>
        <x:v>182</x:v>
      </x:c>
      <x:c r="H3320">
        <x:f>ROUND($C3320*10*VLOOKUP($B3320,Sheet2!$J$5:$K$7,2,FALSE)*VLOOKUP(Sheet1!$A3320,Sheet2!$B$5:$H$29,7,FALSE),0)</x:f>
        <x:v>0</x:v>
      </x:c>
      <x:c r="I3320">
        <x:f t="shared" si="55"/>
        <x:v>7690</x:v>
      </x:c>
    </x:row>
    <x:row r="3321" spans="1:9" x14ac:dyDescent="0.15">
      <x:c r="A3321">
        <x:v>54154</x:v>
      </x:c>
      <x:c r="B3321">
        <x:v>2</x:v>
      </x:c>
      <x:c r="C3321">
        <x:v>20</x:v>
      </x:c>
      <x:c r="D3321">
        <x:f>ROUND($C3321*10*VLOOKUP($B3321,Sheet2!$J$5:$K$7,2,FALSE)*VLOOKUP(Sheet1!$A3321,Sheet2!$B$5:$H$29,3,FALSE),0)</x:f>
        <x:v>0</x:v>
      </x:c>
      <x:c r="E3321">
        <x:f>ROUND($C3321*10*VLOOKUP($B3321,Sheet2!$J$5:$K$7,2,FALSE)*VLOOKUP(Sheet1!$A3321,Sheet2!$B$5:$H$29,4,FALSE),0)</x:f>
        <x:v>0</x:v>
      </x:c>
      <x:c r="F3321">
        <x:f>ROUND($C3321*10*VLOOKUP($B3321,Sheet2!$J$5:$K$7,2,FALSE)*VLOOKUP(Sheet1!$A3321,Sheet2!$B$5:$H$29,5,FALSE),0)</x:f>
        <x:v>0</x:v>
      </x:c>
      <x:c r="G3321">
        <x:f>ROUND($C3321*10*VLOOKUP($B3321,Sheet2!$J$5:$K$7,2,FALSE)*VLOOKUP(Sheet1!$A3321,Sheet2!$B$5:$H$29,6,FALSE),0)</x:f>
        <x:v>192</x:v>
      </x:c>
      <x:c r="H3321">
        <x:f>ROUND($C3321*10*VLOOKUP($B3321,Sheet2!$J$5:$K$7,2,FALSE)*VLOOKUP(Sheet1!$A3321,Sheet2!$B$5:$H$29,7,FALSE),0)</x:f>
        <x:v>0</x:v>
      </x:c>
      <x:c r="I3321">
        <x:f t="shared" si="55"/>
        <x:v>8470</x:v>
      </x:c>
    </x:row>
    <x:row r="3322" spans="1:9" x14ac:dyDescent="0.15">
      <x:c r="A3322">
        <x:v>54154</x:v>
      </x:c>
      <x:c r="B3322">
        <x:v>2</x:v>
      </x:c>
      <x:c r="C3322">
        <x:v>21</x:v>
      </x:c>
      <x:c r="D3322">
        <x:f>ROUND($C3322*10*VLOOKUP($B3322,Sheet2!$J$5:$K$7,2,FALSE)*VLOOKUP(Sheet1!$A3322,Sheet2!$B$5:$H$29,3,FALSE),0)</x:f>
        <x:v>0</x:v>
      </x:c>
      <x:c r="E3322">
        <x:f>ROUND($C3322*10*VLOOKUP($B3322,Sheet2!$J$5:$K$7,2,FALSE)*VLOOKUP(Sheet1!$A3322,Sheet2!$B$5:$H$29,4,FALSE),0)</x:f>
        <x:v>0</x:v>
      </x:c>
      <x:c r="F3322">
        <x:f>ROUND($C3322*10*VLOOKUP($B3322,Sheet2!$J$5:$K$7,2,FALSE)*VLOOKUP(Sheet1!$A3322,Sheet2!$B$5:$H$29,5,FALSE),0)</x:f>
        <x:v>0</x:v>
      </x:c>
      <x:c r="G3322">
        <x:f>ROUND($C3322*10*VLOOKUP($B3322,Sheet2!$J$5:$K$7,2,FALSE)*VLOOKUP(Sheet1!$A3322,Sheet2!$B$5:$H$29,6,FALSE),0)</x:f>
        <x:v>202</x:v>
      </x:c>
      <x:c r="H3322">
        <x:f>ROUND($C3322*10*VLOOKUP($B3322,Sheet2!$J$5:$K$7,2,FALSE)*VLOOKUP(Sheet1!$A3322,Sheet2!$B$5:$H$29,7,FALSE),0)</x:f>
        <x:v>0</x:v>
      </x:c>
      <x:c r="I3322">
        <x:f t="shared" si="55"/>
        <x:v>9290</x:v>
      </x:c>
    </x:row>
    <x:row r="3323" spans="1:9" x14ac:dyDescent="0.15">
      <x:c r="A3323">
        <x:v>54154</x:v>
      </x:c>
      <x:c r="B3323">
        <x:v>2</x:v>
      </x:c>
      <x:c r="C3323">
        <x:v>22</x:v>
      </x:c>
      <x:c r="D3323">
        <x:f>ROUND($C3323*10*VLOOKUP($B3323,Sheet2!$J$5:$K$7,2,FALSE)*VLOOKUP(Sheet1!$A3323,Sheet2!$B$5:$H$29,3,FALSE),0)</x:f>
        <x:v>0</x:v>
      </x:c>
      <x:c r="E3323">
        <x:f>ROUND($C3323*10*VLOOKUP($B3323,Sheet2!$J$5:$K$7,2,FALSE)*VLOOKUP(Sheet1!$A3323,Sheet2!$B$5:$H$29,4,FALSE),0)</x:f>
        <x:v>0</x:v>
      </x:c>
      <x:c r="F3323">
        <x:f>ROUND($C3323*10*VLOOKUP($B3323,Sheet2!$J$5:$K$7,2,FALSE)*VLOOKUP(Sheet1!$A3323,Sheet2!$B$5:$H$29,5,FALSE),0)</x:f>
        <x:v>0</x:v>
      </x:c>
      <x:c r="G3323">
        <x:f>ROUND($C3323*10*VLOOKUP($B3323,Sheet2!$J$5:$K$7,2,FALSE)*VLOOKUP(Sheet1!$A3323,Sheet2!$B$5:$H$29,6,FALSE),0)</x:f>
        <x:v>211</x:v>
      </x:c>
      <x:c r="H3323">
        <x:f>ROUND($C3323*10*VLOOKUP($B3323,Sheet2!$J$5:$K$7,2,FALSE)*VLOOKUP(Sheet1!$A3323,Sheet2!$B$5:$H$29,7,FALSE),0)</x:f>
        <x:v>0</x:v>
      </x:c>
      <x:c r="I3323">
        <x:f t="shared" si="55"/>
        <x:v>10130</x:v>
      </x:c>
    </x:row>
    <x:row r="3324" spans="1:9" x14ac:dyDescent="0.15">
      <x:c r="A3324">
        <x:v>54154</x:v>
      </x:c>
      <x:c r="B3324">
        <x:v>2</x:v>
      </x:c>
      <x:c r="C3324">
        <x:v>23</x:v>
      </x:c>
      <x:c r="D3324">
        <x:f>ROUND($C3324*10*VLOOKUP($B3324,Sheet2!$J$5:$K$7,2,FALSE)*VLOOKUP(Sheet1!$A3324,Sheet2!$B$5:$H$29,3,FALSE),0)</x:f>
        <x:v>0</x:v>
      </x:c>
      <x:c r="E3324">
        <x:f>ROUND($C3324*10*VLOOKUP($B3324,Sheet2!$J$5:$K$7,2,FALSE)*VLOOKUP(Sheet1!$A3324,Sheet2!$B$5:$H$29,4,FALSE),0)</x:f>
        <x:v>0</x:v>
      </x:c>
      <x:c r="F3324">
        <x:f>ROUND($C3324*10*VLOOKUP($B3324,Sheet2!$J$5:$K$7,2,FALSE)*VLOOKUP(Sheet1!$A3324,Sheet2!$B$5:$H$29,5,FALSE),0)</x:f>
        <x:v>0</x:v>
      </x:c>
      <x:c r="G3324">
        <x:f>ROUND($C3324*10*VLOOKUP($B3324,Sheet2!$J$5:$K$7,2,FALSE)*VLOOKUP(Sheet1!$A3324,Sheet2!$B$5:$H$29,6,FALSE),0)</x:f>
        <x:v>221</x:v>
      </x:c>
      <x:c r="H3324">
        <x:f>ROUND($C3324*10*VLOOKUP($B3324,Sheet2!$J$5:$K$7,2,FALSE)*VLOOKUP(Sheet1!$A3324,Sheet2!$B$5:$H$29,7,FALSE),0)</x:f>
        <x:v>0</x:v>
      </x:c>
      <x:c r="I3324">
        <x:f t="shared" si="55"/>
        <x:v>11010</x:v>
      </x:c>
    </x:row>
    <x:row r="3325" spans="1:9" x14ac:dyDescent="0.15">
      <x:c r="A3325">
        <x:v>54154</x:v>
      </x:c>
      <x:c r="B3325">
        <x:v>2</x:v>
      </x:c>
      <x:c r="C3325">
        <x:v>24</x:v>
      </x:c>
      <x:c r="D3325">
        <x:f>ROUND($C3325*10*VLOOKUP($B3325,Sheet2!$J$5:$K$7,2,FALSE)*VLOOKUP(Sheet1!$A3325,Sheet2!$B$5:$H$29,3,FALSE),0)</x:f>
        <x:v>0</x:v>
      </x:c>
      <x:c r="E3325">
        <x:f>ROUND($C3325*10*VLOOKUP($B3325,Sheet2!$J$5:$K$7,2,FALSE)*VLOOKUP(Sheet1!$A3325,Sheet2!$B$5:$H$29,4,FALSE),0)</x:f>
        <x:v>0</x:v>
      </x:c>
      <x:c r="F3325">
        <x:f>ROUND($C3325*10*VLOOKUP($B3325,Sheet2!$J$5:$K$7,2,FALSE)*VLOOKUP(Sheet1!$A3325,Sheet2!$B$5:$H$29,5,FALSE),0)</x:f>
        <x:v>0</x:v>
      </x:c>
      <x:c r="G3325">
        <x:f>ROUND($C3325*10*VLOOKUP($B3325,Sheet2!$J$5:$K$7,2,FALSE)*VLOOKUP(Sheet1!$A3325,Sheet2!$B$5:$H$29,6,FALSE),0)</x:f>
        <x:v>230</x:v>
      </x:c>
      <x:c r="H3325">
        <x:f>ROUND($C3325*10*VLOOKUP($B3325,Sheet2!$J$5:$K$7,2,FALSE)*VLOOKUP(Sheet1!$A3325,Sheet2!$B$5:$H$29,7,FALSE),0)</x:f>
        <x:v>0</x:v>
      </x:c>
      <x:c r="I3325">
        <x:f t="shared" si="55"/>
        <x:v>11930</x:v>
      </x:c>
    </x:row>
    <x:row r="3326" spans="1:9" x14ac:dyDescent="0.15">
      <x:c r="A3326">
        <x:v>54154</x:v>
      </x:c>
      <x:c r="B3326">
        <x:v>2</x:v>
      </x:c>
      <x:c r="C3326">
        <x:v>25</x:v>
      </x:c>
      <x:c r="D3326">
        <x:f>ROUND($C3326*10*VLOOKUP($B3326,Sheet2!$J$5:$K$7,2,FALSE)*VLOOKUP(Sheet1!$A3326,Sheet2!$B$5:$H$29,3,FALSE),0)</x:f>
        <x:v>0</x:v>
      </x:c>
      <x:c r="E3326">
        <x:f>ROUND($C3326*10*VLOOKUP($B3326,Sheet2!$J$5:$K$7,2,FALSE)*VLOOKUP(Sheet1!$A3326,Sheet2!$B$5:$H$29,4,FALSE),0)</x:f>
        <x:v>0</x:v>
      </x:c>
      <x:c r="F3326">
        <x:f>ROUND($C3326*10*VLOOKUP($B3326,Sheet2!$J$5:$K$7,2,FALSE)*VLOOKUP(Sheet1!$A3326,Sheet2!$B$5:$H$29,5,FALSE),0)</x:f>
        <x:v>0</x:v>
      </x:c>
      <x:c r="G3326">
        <x:f>ROUND($C3326*10*VLOOKUP($B3326,Sheet2!$J$5:$K$7,2,FALSE)*VLOOKUP(Sheet1!$A3326,Sheet2!$B$5:$H$29,6,FALSE),0)</x:f>
        <x:v>240</x:v>
      </x:c>
      <x:c r="H3326">
        <x:f>ROUND($C3326*10*VLOOKUP($B3326,Sheet2!$J$5:$K$7,2,FALSE)*VLOOKUP(Sheet1!$A3326,Sheet2!$B$5:$H$29,7,FALSE),0)</x:f>
        <x:v>0</x:v>
      </x:c>
      <x:c r="I3326">
        <x:f t="shared" si="55"/>
        <x:v>12870</x:v>
      </x:c>
    </x:row>
    <x:row r="3327" spans="1:9" x14ac:dyDescent="0.15">
      <x:c r="A3327">
        <x:v>54154</x:v>
      </x:c>
      <x:c r="B3327">
        <x:v>2</x:v>
      </x:c>
      <x:c r="C3327">
        <x:v>26</x:v>
      </x:c>
      <x:c r="D3327">
        <x:f>ROUND($C3327*10*VLOOKUP($B3327,Sheet2!$J$5:$K$7,2,FALSE)*VLOOKUP(Sheet1!$A3327,Sheet2!$B$5:$H$29,3,FALSE),0)</x:f>
        <x:v>0</x:v>
      </x:c>
      <x:c r="E3327">
        <x:f>ROUND($C3327*10*VLOOKUP($B3327,Sheet2!$J$5:$K$7,2,FALSE)*VLOOKUP(Sheet1!$A3327,Sheet2!$B$5:$H$29,4,FALSE),0)</x:f>
        <x:v>0</x:v>
      </x:c>
      <x:c r="F3327">
        <x:f>ROUND($C3327*10*VLOOKUP($B3327,Sheet2!$J$5:$K$7,2,FALSE)*VLOOKUP(Sheet1!$A3327,Sheet2!$B$5:$H$29,5,FALSE),0)</x:f>
        <x:v>0</x:v>
      </x:c>
      <x:c r="G3327">
        <x:f>ROUND($C3327*10*VLOOKUP($B3327,Sheet2!$J$5:$K$7,2,FALSE)*VLOOKUP(Sheet1!$A3327,Sheet2!$B$5:$H$29,6,FALSE),0)</x:f>
        <x:v>250</x:v>
      </x:c>
      <x:c r="H3327">
        <x:f>ROUND($C3327*10*VLOOKUP($B3327,Sheet2!$J$5:$K$7,2,FALSE)*VLOOKUP(Sheet1!$A3327,Sheet2!$B$5:$H$29,7,FALSE),0)</x:f>
        <x:v>0</x:v>
      </x:c>
      <x:c r="I3327">
        <x:f t="shared" si="55"/>
        <x:v>13850</x:v>
      </x:c>
    </x:row>
    <x:row r="3328" spans="1:9" x14ac:dyDescent="0.15">
      <x:c r="A3328">
        <x:v>54154</x:v>
      </x:c>
      <x:c r="B3328">
        <x:v>2</x:v>
      </x:c>
      <x:c r="C3328">
        <x:v>27</x:v>
      </x:c>
      <x:c r="D3328">
        <x:f>ROUND($C3328*10*VLOOKUP($B3328,Sheet2!$J$5:$K$7,2,FALSE)*VLOOKUP(Sheet1!$A3328,Sheet2!$B$5:$H$29,3,FALSE),0)</x:f>
        <x:v>0</x:v>
      </x:c>
      <x:c r="E3328">
        <x:f>ROUND($C3328*10*VLOOKUP($B3328,Sheet2!$J$5:$K$7,2,FALSE)*VLOOKUP(Sheet1!$A3328,Sheet2!$B$5:$H$29,4,FALSE),0)</x:f>
        <x:v>0</x:v>
      </x:c>
      <x:c r="F3328">
        <x:f>ROUND($C3328*10*VLOOKUP($B3328,Sheet2!$J$5:$K$7,2,FALSE)*VLOOKUP(Sheet1!$A3328,Sheet2!$B$5:$H$29,5,FALSE),0)</x:f>
        <x:v>0</x:v>
      </x:c>
      <x:c r="G3328">
        <x:f>ROUND($C3328*10*VLOOKUP($B3328,Sheet2!$J$5:$K$7,2,FALSE)*VLOOKUP(Sheet1!$A3328,Sheet2!$B$5:$H$29,6,FALSE),0)</x:f>
        <x:v>259</x:v>
      </x:c>
      <x:c r="H3328">
        <x:f>ROUND($C3328*10*VLOOKUP($B3328,Sheet2!$J$5:$K$7,2,FALSE)*VLOOKUP(Sheet1!$A3328,Sheet2!$B$5:$H$29,7,FALSE),0)</x:f>
        <x:v>0</x:v>
      </x:c>
      <x:c r="I3328">
        <x:f t="shared" si="55"/>
        <x:v>14860</x:v>
      </x:c>
    </x:row>
    <x:row r="3329" spans="1:9" x14ac:dyDescent="0.15">
      <x:c r="A3329">
        <x:v>54154</x:v>
      </x:c>
      <x:c r="B3329">
        <x:v>2</x:v>
      </x:c>
      <x:c r="C3329">
        <x:v>28</x:v>
      </x:c>
      <x:c r="D3329">
        <x:f>ROUND($C3329*10*VLOOKUP($B3329,Sheet2!$J$5:$K$7,2,FALSE)*VLOOKUP(Sheet1!$A3329,Sheet2!$B$5:$H$29,3,FALSE),0)</x:f>
        <x:v>0</x:v>
      </x:c>
      <x:c r="E3329">
        <x:f>ROUND($C3329*10*VLOOKUP($B3329,Sheet2!$J$5:$K$7,2,FALSE)*VLOOKUP(Sheet1!$A3329,Sheet2!$B$5:$H$29,4,FALSE),0)</x:f>
        <x:v>0</x:v>
      </x:c>
      <x:c r="F3329">
        <x:f>ROUND($C3329*10*VLOOKUP($B3329,Sheet2!$J$5:$K$7,2,FALSE)*VLOOKUP(Sheet1!$A3329,Sheet2!$B$5:$H$29,5,FALSE),0)</x:f>
        <x:v>0</x:v>
      </x:c>
      <x:c r="G3329">
        <x:f>ROUND($C3329*10*VLOOKUP($B3329,Sheet2!$J$5:$K$7,2,FALSE)*VLOOKUP(Sheet1!$A3329,Sheet2!$B$5:$H$29,6,FALSE),0)</x:f>
        <x:v>269</x:v>
      </x:c>
      <x:c r="H3329">
        <x:f>ROUND($C3329*10*VLOOKUP($B3329,Sheet2!$J$5:$K$7,2,FALSE)*VLOOKUP(Sheet1!$A3329,Sheet2!$B$5:$H$29,7,FALSE),0)</x:f>
        <x:v>0</x:v>
      </x:c>
      <x:c r="I3329">
        <x:f t="shared" si="55"/>
        <x:v>15900</x:v>
      </x:c>
    </x:row>
    <x:row r="3330" spans="1:9" x14ac:dyDescent="0.15">
      <x:c r="A3330">
        <x:v>54154</x:v>
      </x:c>
      <x:c r="B3330">
        <x:v>2</x:v>
      </x:c>
      <x:c r="C3330">
        <x:v>29</x:v>
      </x:c>
      <x:c r="D3330">
        <x:f>ROUND($C3330*10*VLOOKUP($B3330,Sheet2!$J$5:$K$7,2,FALSE)*VLOOKUP(Sheet1!$A3330,Sheet2!$B$5:$H$29,3,FALSE),0)</x:f>
        <x:v>0</x:v>
      </x:c>
      <x:c r="E3330">
        <x:f>ROUND($C3330*10*VLOOKUP($B3330,Sheet2!$J$5:$K$7,2,FALSE)*VLOOKUP(Sheet1!$A3330,Sheet2!$B$5:$H$29,4,FALSE),0)</x:f>
        <x:v>0</x:v>
      </x:c>
      <x:c r="F3330">
        <x:f>ROUND($C3330*10*VLOOKUP($B3330,Sheet2!$J$5:$K$7,2,FALSE)*VLOOKUP(Sheet1!$A3330,Sheet2!$B$5:$H$29,5,FALSE),0)</x:f>
        <x:v>0</x:v>
      </x:c>
      <x:c r="G3330">
        <x:f>ROUND($C3330*10*VLOOKUP($B3330,Sheet2!$J$5:$K$7,2,FALSE)*VLOOKUP(Sheet1!$A3330,Sheet2!$B$5:$H$29,6,FALSE),0)</x:f>
        <x:v>278</x:v>
      </x:c>
      <x:c r="H3330">
        <x:f>ROUND($C3330*10*VLOOKUP($B3330,Sheet2!$J$5:$K$7,2,FALSE)*VLOOKUP(Sheet1!$A3330,Sheet2!$B$5:$H$29,7,FALSE),0)</x:f>
        <x:v>0</x:v>
      </x:c>
      <x:c r="I3330">
        <x:f t="shared" si="55"/>
        <x:v>16970</x:v>
      </x:c>
    </x:row>
    <x:row r="3331" spans="1:9" x14ac:dyDescent="0.15">
      <x:c r="A3331">
        <x:v>54154</x:v>
      </x:c>
      <x:c r="B3331">
        <x:v>2</x:v>
      </x:c>
      <x:c r="C3331">
        <x:v>30</x:v>
      </x:c>
      <x:c r="D3331">
        <x:f>ROUND($C3331*10*VLOOKUP($B3331,Sheet2!$J$5:$K$7,2,FALSE)*VLOOKUP(Sheet1!$A3331,Sheet2!$B$5:$H$29,3,FALSE),0)</x:f>
        <x:v>0</x:v>
      </x:c>
      <x:c r="E3331">
        <x:f>ROUND($C3331*10*VLOOKUP($B3331,Sheet2!$J$5:$K$7,2,FALSE)*VLOOKUP(Sheet1!$A3331,Sheet2!$B$5:$H$29,4,FALSE),0)</x:f>
        <x:v>0</x:v>
      </x:c>
      <x:c r="F3331">
        <x:f>ROUND($C3331*10*VLOOKUP($B3331,Sheet2!$J$5:$K$7,2,FALSE)*VLOOKUP(Sheet1!$A3331,Sheet2!$B$5:$H$29,5,FALSE),0)</x:f>
        <x:v>0</x:v>
      </x:c>
      <x:c r="G3331">
        <x:f>ROUND($C3331*10*VLOOKUP($B3331,Sheet2!$J$5:$K$7,2,FALSE)*VLOOKUP(Sheet1!$A3331,Sheet2!$B$5:$H$29,6,FALSE),0)</x:f>
        <x:v>288</x:v>
      </x:c>
      <x:c r="H3331">
        <x:f>ROUND($C3331*10*VLOOKUP($B3331,Sheet2!$J$5:$K$7,2,FALSE)*VLOOKUP(Sheet1!$A3331,Sheet2!$B$5:$H$29,7,FALSE),0)</x:f>
        <x:v>0</x:v>
      </x:c>
      <x:c r="I3331">
        <x:f t="shared" si="55"/>
        <x:v>18070</x:v>
      </x:c>
    </x:row>
    <x:row r="3332" spans="1:9" x14ac:dyDescent="0.15">
      <x:c r="A3332">
        <x:v>54154</x:v>
      </x:c>
      <x:c r="B3332">
        <x:v>2</x:v>
      </x:c>
      <x:c r="C3332">
        <x:v>31</x:v>
      </x:c>
      <x:c r="D3332">
        <x:f>ROUND($C3332*10*VLOOKUP($B3332,Sheet2!$J$5:$K$7,2,FALSE)*VLOOKUP(Sheet1!$A3332,Sheet2!$B$5:$H$29,3,FALSE),0)</x:f>
        <x:v>0</x:v>
      </x:c>
      <x:c r="E3332">
        <x:f>ROUND($C3332*10*VLOOKUP($B3332,Sheet2!$J$5:$K$7,2,FALSE)*VLOOKUP(Sheet1!$A3332,Sheet2!$B$5:$H$29,4,FALSE),0)</x:f>
        <x:v>0</x:v>
      </x:c>
      <x:c r="F3332">
        <x:f>ROUND($C3332*10*VLOOKUP($B3332,Sheet2!$J$5:$K$7,2,FALSE)*VLOOKUP(Sheet1!$A3332,Sheet2!$B$5:$H$29,5,FALSE),0)</x:f>
        <x:v>0</x:v>
      </x:c>
      <x:c r="G3332">
        <x:f>ROUND($C3332*10*VLOOKUP($B3332,Sheet2!$J$5:$K$7,2,FALSE)*VLOOKUP(Sheet1!$A3332,Sheet2!$B$5:$H$29,6,FALSE),0)</x:f>
        <x:v>298</x:v>
      </x:c>
      <x:c r="H3332">
        <x:f>ROUND($C3332*10*VLOOKUP($B3332,Sheet2!$J$5:$K$7,2,FALSE)*VLOOKUP(Sheet1!$A3332,Sheet2!$B$5:$H$29,7,FALSE),0)</x:f>
        <x:v>0</x:v>
      </x:c>
      <x:c r="I3332">
        <x:f t="shared" si="55"/>
        <x:v>19210</x:v>
      </x:c>
    </x:row>
    <x:row r="3333" spans="1:9" x14ac:dyDescent="0.15">
      <x:c r="A3333">
        <x:v>54154</x:v>
      </x:c>
      <x:c r="B3333">
        <x:v>2</x:v>
      </x:c>
      <x:c r="C3333">
        <x:v>32</x:v>
      </x:c>
      <x:c r="D3333">
        <x:f>ROUND($C3333*10*VLOOKUP($B3333,Sheet2!$J$5:$K$7,2,FALSE)*VLOOKUP(Sheet1!$A3333,Sheet2!$B$5:$H$29,3,FALSE),0)</x:f>
        <x:v>0</x:v>
      </x:c>
      <x:c r="E3333">
        <x:f>ROUND($C3333*10*VLOOKUP($B3333,Sheet2!$J$5:$K$7,2,FALSE)*VLOOKUP(Sheet1!$A3333,Sheet2!$B$5:$H$29,4,FALSE),0)</x:f>
        <x:v>0</x:v>
      </x:c>
      <x:c r="F3333">
        <x:f>ROUND($C3333*10*VLOOKUP($B3333,Sheet2!$J$5:$K$7,2,FALSE)*VLOOKUP(Sheet1!$A3333,Sheet2!$B$5:$H$29,5,FALSE),0)</x:f>
        <x:v>0</x:v>
      </x:c>
      <x:c r="G3333">
        <x:f>ROUND($C3333*10*VLOOKUP($B3333,Sheet2!$J$5:$K$7,2,FALSE)*VLOOKUP(Sheet1!$A3333,Sheet2!$B$5:$H$29,6,FALSE),0)</x:f>
        <x:v>307</x:v>
      </x:c>
      <x:c r="H3333">
        <x:f>ROUND($C3333*10*VLOOKUP($B3333,Sheet2!$J$5:$K$7,2,FALSE)*VLOOKUP(Sheet1!$A3333,Sheet2!$B$5:$H$29,7,FALSE),0)</x:f>
        <x:v>0</x:v>
      </x:c>
      <x:c r="I3333">
        <x:f t="shared" si="55"/>
        <x:v>20370</x:v>
      </x:c>
    </x:row>
    <x:row r="3334" spans="1:9" x14ac:dyDescent="0.15">
      <x:c r="A3334">
        <x:v>54154</x:v>
      </x:c>
      <x:c r="B3334">
        <x:v>2</x:v>
      </x:c>
      <x:c r="C3334">
        <x:v>33</x:v>
      </x:c>
      <x:c r="D3334">
        <x:f>ROUND($C3334*10*VLOOKUP($B3334,Sheet2!$J$5:$K$7,2,FALSE)*VLOOKUP(Sheet1!$A3334,Sheet2!$B$5:$H$29,3,FALSE),0)</x:f>
        <x:v>0</x:v>
      </x:c>
      <x:c r="E3334">
        <x:f>ROUND($C3334*10*VLOOKUP($B3334,Sheet2!$J$5:$K$7,2,FALSE)*VLOOKUP(Sheet1!$A3334,Sheet2!$B$5:$H$29,4,FALSE),0)</x:f>
        <x:v>0</x:v>
      </x:c>
      <x:c r="F3334">
        <x:f>ROUND($C3334*10*VLOOKUP($B3334,Sheet2!$J$5:$K$7,2,FALSE)*VLOOKUP(Sheet1!$A3334,Sheet2!$B$5:$H$29,5,FALSE),0)</x:f>
        <x:v>0</x:v>
      </x:c>
      <x:c r="G3334">
        <x:f>ROUND($C3334*10*VLOOKUP($B3334,Sheet2!$J$5:$K$7,2,FALSE)*VLOOKUP(Sheet1!$A3334,Sheet2!$B$5:$H$29,6,FALSE),0)</x:f>
        <x:v>317</x:v>
      </x:c>
      <x:c r="H3334">
        <x:f>ROUND($C3334*10*VLOOKUP($B3334,Sheet2!$J$5:$K$7,2,FALSE)*VLOOKUP(Sheet1!$A3334,Sheet2!$B$5:$H$29,7,FALSE),0)</x:f>
        <x:v>0</x:v>
      </x:c>
      <x:c r="I3334">
        <x:f t="shared" si="55"/>
        <x:v>21560</x:v>
      </x:c>
    </x:row>
    <x:row r="3335" spans="1:9" x14ac:dyDescent="0.15">
      <x:c r="A3335">
        <x:v>54154</x:v>
      </x:c>
      <x:c r="B3335">
        <x:v>2</x:v>
      </x:c>
      <x:c r="C3335">
        <x:v>34</x:v>
      </x:c>
      <x:c r="D3335">
        <x:f>ROUND($C3335*10*VLOOKUP($B3335,Sheet2!$J$5:$K$7,2,FALSE)*VLOOKUP(Sheet1!$A3335,Sheet2!$B$5:$H$29,3,FALSE),0)</x:f>
        <x:v>0</x:v>
      </x:c>
      <x:c r="E3335">
        <x:f>ROUND($C3335*10*VLOOKUP($B3335,Sheet2!$J$5:$K$7,2,FALSE)*VLOOKUP(Sheet1!$A3335,Sheet2!$B$5:$H$29,4,FALSE),0)</x:f>
        <x:v>0</x:v>
      </x:c>
      <x:c r="F3335">
        <x:f>ROUND($C3335*10*VLOOKUP($B3335,Sheet2!$J$5:$K$7,2,FALSE)*VLOOKUP(Sheet1!$A3335,Sheet2!$B$5:$H$29,5,FALSE),0)</x:f>
        <x:v>0</x:v>
      </x:c>
      <x:c r="G3335">
        <x:f>ROUND($C3335*10*VLOOKUP($B3335,Sheet2!$J$5:$K$7,2,FALSE)*VLOOKUP(Sheet1!$A3335,Sheet2!$B$5:$H$29,6,FALSE),0)</x:f>
        <x:v>326</x:v>
      </x:c>
      <x:c r="H3335">
        <x:f>ROUND($C3335*10*VLOOKUP($B3335,Sheet2!$J$5:$K$7,2,FALSE)*VLOOKUP(Sheet1!$A3335,Sheet2!$B$5:$H$29,7,FALSE),0)</x:f>
        <x:v>0</x:v>
      </x:c>
      <x:c r="I3335">
        <x:f t="shared" si="55"/>
        <x:v>22790</x:v>
      </x:c>
    </x:row>
    <x:row r="3336" spans="1:9" x14ac:dyDescent="0.15">
      <x:c r="A3336">
        <x:v>54154</x:v>
      </x:c>
      <x:c r="B3336">
        <x:v>2</x:v>
      </x:c>
      <x:c r="C3336">
        <x:v>35</x:v>
      </x:c>
      <x:c r="D3336">
        <x:f>ROUND($C3336*10*VLOOKUP($B3336,Sheet2!$J$5:$K$7,2,FALSE)*VLOOKUP(Sheet1!$A3336,Sheet2!$B$5:$H$29,3,FALSE),0)</x:f>
        <x:v>0</x:v>
      </x:c>
      <x:c r="E3336">
        <x:f>ROUND($C3336*10*VLOOKUP($B3336,Sheet2!$J$5:$K$7,2,FALSE)*VLOOKUP(Sheet1!$A3336,Sheet2!$B$5:$H$29,4,FALSE),0)</x:f>
        <x:v>0</x:v>
      </x:c>
      <x:c r="F3336">
        <x:f>ROUND($C3336*10*VLOOKUP($B3336,Sheet2!$J$5:$K$7,2,FALSE)*VLOOKUP(Sheet1!$A3336,Sheet2!$B$5:$H$29,5,FALSE),0)</x:f>
        <x:v>0</x:v>
      </x:c>
      <x:c r="G3336">
        <x:f>ROUND($C3336*10*VLOOKUP($B3336,Sheet2!$J$5:$K$7,2,FALSE)*VLOOKUP(Sheet1!$A3336,Sheet2!$B$5:$H$29,6,FALSE),0)</x:f>
        <x:v>336</x:v>
      </x:c>
      <x:c r="H3336">
        <x:f>ROUND($C3336*10*VLOOKUP($B3336,Sheet2!$J$5:$K$7,2,FALSE)*VLOOKUP(Sheet1!$A3336,Sheet2!$B$5:$H$29,7,FALSE),0)</x:f>
        <x:v>0</x:v>
      </x:c>
      <x:c r="I3336">
        <x:f t="shared" si="55"/>
        <x:v>24040</x:v>
      </x:c>
    </x:row>
    <x:row r="3337" spans="1:9" x14ac:dyDescent="0.15">
      <x:c r="A3337">
        <x:v>54154</x:v>
      </x:c>
      <x:c r="B3337">
        <x:v>2</x:v>
      </x:c>
      <x:c r="C3337">
        <x:v>36</x:v>
      </x:c>
      <x:c r="D3337">
        <x:f>ROUND($C3337*10*VLOOKUP($B3337,Sheet2!$J$5:$K$7,2,FALSE)*VLOOKUP(Sheet1!$A3337,Sheet2!$B$5:$H$29,3,FALSE),0)</x:f>
        <x:v>0</x:v>
      </x:c>
      <x:c r="E3337">
        <x:f>ROUND($C3337*10*VLOOKUP($B3337,Sheet2!$J$5:$K$7,2,FALSE)*VLOOKUP(Sheet1!$A3337,Sheet2!$B$5:$H$29,4,FALSE),0)</x:f>
        <x:v>0</x:v>
      </x:c>
      <x:c r="F3337">
        <x:f>ROUND($C3337*10*VLOOKUP($B3337,Sheet2!$J$5:$K$7,2,FALSE)*VLOOKUP(Sheet1!$A3337,Sheet2!$B$5:$H$29,5,FALSE),0)</x:f>
        <x:v>0</x:v>
      </x:c>
      <x:c r="G3337">
        <x:f>ROUND($C3337*10*VLOOKUP($B3337,Sheet2!$J$5:$K$7,2,FALSE)*VLOOKUP(Sheet1!$A3337,Sheet2!$B$5:$H$29,6,FALSE),0)</x:f>
        <x:v>346</x:v>
      </x:c>
      <x:c r="H3337">
        <x:f>ROUND($C3337*10*VLOOKUP($B3337,Sheet2!$J$5:$K$7,2,FALSE)*VLOOKUP(Sheet1!$A3337,Sheet2!$B$5:$H$29,7,FALSE),0)</x:f>
        <x:v>0</x:v>
      </x:c>
      <x:c r="I3337">
        <x:f t="shared" si="55"/>
        <x:v>25330</x:v>
      </x:c>
    </x:row>
    <x:row r="3338" spans="1:9" x14ac:dyDescent="0.15">
      <x:c r="A3338">
        <x:v>54154</x:v>
      </x:c>
      <x:c r="B3338">
        <x:v>2</x:v>
      </x:c>
      <x:c r="C3338">
        <x:v>37</x:v>
      </x:c>
      <x:c r="D3338">
        <x:f>ROUND($C3338*10*VLOOKUP($B3338,Sheet2!$J$5:$K$7,2,FALSE)*VLOOKUP(Sheet1!$A3338,Sheet2!$B$5:$H$29,3,FALSE),0)</x:f>
        <x:v>0</x:v>
      </x:c>
      <x:c r="E3338">
        <x:f>ROUND($C3338*10*VLOOKUP($B3338,Sheet2!$J$5:$K$7,2,FALSE)*VLOOKUP(Sheet1!$A3338,Sheet2!$B$5:$H$29,4,FALSE),0)</x:f>
        <x:v>0</x:v>
      </x:c>
      <x:c r="F3338">
        <x:f>ROUND($C3338*10*VLOOKUP($B3338,Sheet2!$J$5:$K$7,2,FALSE)*VLOOKUP(Sheet1!$A3338,Sheet2!$B$5:$H$29,5,FALSE),0)</x:f>
        <x:v>0</x:v>
      </x:c>
      <x:c r="G3338">
        <x:f>ROUND($C3338*10*VLOOKUP($B3338,Sheet2!$J$5:$K$7,2,FALSE)*VLOOKUP(Sheet1!$A3338,Sheet2!$B$5:$H$29,6,FALSE),0)</x:f>
        <x:v>355</x:v>
      </x:c>
      <x:c r="H3338">
        <x:f>ROUND($C3338*10*VLOOKUP($B3338,Sheet2!$J$5:$K$7,2,FALSE)*VLOOKUP(Sheet1!$A3338,Sheet2!$B$5:$H$29,7,FALSE),0)</x:f>
        <x:v>0</x:v>
      </x:c>
      <x:c r="I3338">
        <x:f t="shared" si="55"/>
        <x:v>26640</x:v>
      </x:c>
    </x:row>
    <x:row r="3339" spans="1:9" x14ac:dyDescent="0.15">
      <x:c r="A3339">
        <x:v>54154</x:v>
      </x:c>
      <x:c r="B3339">
        <x:v>2</x:v>
      </x:c>
      <x:c r="C3339">
        <x:v>38</x:v>
      </x:c>
      <x:c r="D3339">
        <x:f>ROUND($C3339*10*VLOOKUP($B3339,Sheet2!$J$5:$K$7,2,FALSE)*VLOOKUP(Sheet1!$A3339,Sheet2!$B$5:$H$29,3,FALSE),0)</x:f>
        <x:v>0</x:v>
      </x:c>
      <x:c r="E3339">
        <x:f>ROUND($C3339*10*VLOOKUP($B3339,Sheet2!$J$5:$K$7,2,FALSE)*VLOOKUP(Sheet1!$A3339,Sheet2!$B$5:$H$29,4,FALSE),0)</x:f>
        <x:v>0</x:v>
      </x:c>
      <x:c r="F3339">
        <x:f>ROUND($C3339*10*VLOOKUP($B3339,Sheet2!$J$5:$K$7,2,FALSE)*VLOOKUP(Sheet1!$A3339,Sheet2!$B$5:$H$29,5,FALSE),0)</x:f>
        <x:v>0</x:v>
      </x:c>
      <x:c r="G3339">
        <x:f>ROUND($C3339*10*VLOOKUP($B3339,Sheet2!$J$5:$K$7,2,FALSE)*VLOOKUP(Sheet1!$A3339,Sheet2!$B$5:$H$29,6,FALSE),0)</x:f>
        <x:v>365</x:v>
      </x:c>
      <x:c r="H3339">
        <x:f>ROUND($C3339*10*VLOOKUP($B3339,Sheet2!$J$5:$K$7,2,FALSE)*VLOOKUP(Sheet1!$A3339,Sheet2!$B$5:$H$29,7,FALSE),0)</x:f>
        <x:v>0</x:v>
      </x:c>
      <x:c r="I3339">
        <x:f t="shared" si="55"/>
        <x:v>27990</x:v>
      </x:c>
    </x:row>
    <x:row r="3340" spans="1:9" x14ac:dyDescent="0.15">
      <x:c r="A3340">
        <x:v>54154</x:v>
      </x:c>
      <x:c r="B3340">
        <x:v>2</x:v>
      </x:c>
      <x:c r="C3340">
        <x:v>39</x:v>
      </x:c>
      <x:c r="D3340">
        <x:f>ROUND($C3340*10*VLOOKUP($B3340,Sheet2!$J$5:$K$7,2,FALSE)*VLOOKUP(Sheet1!$A3340,Sheet2!$B$5:$H$29,3,FALSE),0)</x:f>
        <x:v>0</x:v>
      </x:c>
      <x:c r="E3340">
        <x:f>ROUND($C3340*10*VLOOKUP($B3340,Sheet2!$J$5:$K$7,2,FALSE)*VLOOKUP(Sheet1!$A3340,Sheet2!$B$5:$H$29,4,FALSE),0)</x:f>
        <x:v>0</x:v>
      </x:c>
      <x:c r="F3340">
        <x:f>ROUND($C3340*10*VLOOKUP($B3340,Sheet2!$J$5:$K$7,2,FALSE)*VLOOKUP(Sheet1!$A3340,Sheet2!$B$5:$H$29,5,FALSE),0)</x:f>
        <x:v>0</x:v>
      </x:c>
      <x:c r="G3340">
        <x:f>ROUND($C3340*10*VLOOKUP($B3340,Sheet2!$J$5:$K$7,2,FALSE)*VLOOKUP(Sheet1!$A3340,Sheet2!$B$5:$H$29,6,FALSE),0)</x:f>
        <x:v>374</x:v>
      </x:c>
      <x:c r="H3340">
        <x:f>ROUND($C3340*10*VLOOKUP($B3340,Sheet2!$J$5:$K$7,2,FALSE)*VLOOKUP(Sheet1!$A3340,Sheet2!$B$5:$H$29,7,FALSE),0)</x:f>
        <x:v>0</x:v>
      </x:c>
      <x:c r="I3340">
        <x:f t="shared" si="55"/>
        <x:v>29360</x:v>
      </x:c>
    </x:row>
    <x:row r="3341" spans="1:9" x14ac:dyDescent="0.15">
      <x:c r="A3341">
        <x:v>54154</x:v>
      </x:c>
      <x:c r="B3341">
        <x:v>2</x:v>
      </x:c>
      <x:c r="C3341">
        <x:v>40</x:v>
      </x:c>
      <x:c r="D3341">
        <x:f>ROUND($C3341*10*VLOOKUP($B3341,Sheet2!$J$5:$K$7,2,FALSE)*VLOOKUP(Sheet1!$A3341,Sheet2!$B$5:$H$29,3,FALSE),0)</x:f>
        <x:v>0</x:v>
      </x:c>
      <x:c r="E3341">
        <x:f>ROUND($C3341*10*VLOOKUP($B3341,Sheet2!$J$5:$K$7,2,FALSE)*VLOOKUP(Sheet1!$A3341,Sheet2!$B$5:$H$29,4,FALSE),0)</x:f>
        <x:v>0</x:v>
      </x:c>
      <x:c r="F3341">
        <x:f>ROUND($C3341*10*VLOOKUP($B3341,Sheet2!$J$5:$K$7,2,FALSE)*VLOOKUP(Sheet1!$A3341,Sheet2!$B$5:$H$29,5,FALSE),0)</x:f>
        <x:v>0</x:v>
      </x:c>
      <x:c r="G3341">
        <x:f>ROUND($C3341*10*VLOOKUP($B3341,Sheet2!$J$5:$K$7,2,FALSE)*VLOOKUP(Sheet1!$A3341,Sheet2!$B$5:$H$29,6,FALSE),0)</x:f>
        <x:v>384</x:v>
      </x:c>
      <x:c r="H3341">
        <x:f>ROUND($C3341*10*VLOOKUP($B3341,Sheet2!$J$5:$K$7,2,FALSE)*VLOOKUP(Sheet1!$A3341,Sheet2!$B$5:$H$29,7,FALSE),0)</x:f>
        <x:v>0</x:v>
      </x:c>
      <x:c r="I3341">
        <x:f t="shared" si="55"/>
        <x:v>30760</x:v>
      </x:c>
    </x:row>
    <x:row r="3342" spans="1:9" x14ac:dyDescent="0.15">
      <x:c r="A3342">
        <x:v>54154</x:v>
      </x:c>
      <x:c r="B3342">
        <x:v>2</x:v>
      </x:c>
      <x:c r="C3342">
        <x:v>41</x:v>
      </x:c>
      <x:c r="D3342">
        <x:f>ROUND($C3342*10*VLOOKUP($B3342,Sheet2!$J$5:$K$7,2,FALSE)*VLOOKUP(Sheet1!$A3342,Sheet2!$B$5:$H$29,3,FALSE),0)</x:f>
        <x:v>0</x:v>
      </x:c>
      <x:c r="E3342">
        <x:f>ROUND($C3342*10*VLOOKUP($B3342,Sheet2!$J$5:$K$7,2,FALSE)*VLOOKUP(Sheet1!$A3342,Sheet2!$B$5:$H$29,4,FALSE),0)</x:f>
        <x:v>0</x:v>
      </x:c>
      <x:c r="F3342">
        <x:f>ROUND($C3342*10*VLOOKUP($B3342,Sheet2!$J$5:$K$7,2,FALSE)*VLOOKUP(Sheet1!$A3342,Sheet2!$B$5:$H$29,5,FALSE),0)</x:f>
        <x:v>0</x:v>
      </x:c>
      <x:c r="G3342">
        <x:f>ROUND($C3342*10*VLOOKUP($B3342,Sheet2!$J$5:$K$7,2,FALSE)*VLOOKUP(Sheet1!$A3342,Sheet2!$B$5:$H$29,6,FALSE),0)</x:f>
        <x:v>394</x:v>
      </x:c>
      <x:c r="H3342">
        <x:f>ROUND($C3342*10*VLOOKUP($B3342,Sheet2!$J$5:$K$7,2,FALSE)*VLOOKUP(Sheet1!$A3342,Sheet2!$B$5:$H$29,7,FALSE),0)</x:f>
        <x:v>0</x:v>
      </x:c>
      <x:c r="I3342">
        <x:f t="shared" si="55"/>
        <x:v>32190</x:v>
      </x:c>
    </x:row>
    <x:row r="3343" spans="1:9" x14ac:dyDescent="0.15">
      <x:c r="A3343">
        <x:v>54154</x:v>
      </x:c>
      <x:c r="B3343">
        <x:v>2</x:v>
      </x:c>
      <x:c r="C3343">
        <x:v>42</x:v>
      </x:c>
      <x:c r="D3343">
        <x:f>ROUND($C3343*10*VLOOKUP($B3343,Sheet2!$J$5:$K$7,2,FALSE)*VLOOKUP(Sheet1!$A3343,Sheet2!$B$5:$H$29,3,FALSE),0)</x:f>
        <x:v>0</x:v>
      </x:c>
      <x:c r="E3343">
        <x:f>ROUND($C3343*10*VLOOKUP($B3343,Sheet2!$J$5:$K$7,2,FALSE)*VLOOKUP(Sheet1!$A3343,Sheet2!$B$5:$H$29,4,FALSE),0)</x:f>
        <x:v>0</x:v>
      </x:c>
      <x:c r="F3343">
        <x:f>ROUND($C3343*10*VLOOKUP($B3343,Sheet2!$J$5:$K$7,2,FALSE)*VLOOKUP(Sheet1!$A3343,Sheet2!$B$5:$H$29,5,FALSE),0)</x:f>
        <x:v>0</x:v>
      </x:c>
      <x:c r="G3343">
        <x:f>ROUND($C3343*10*VLOOKUP($B3343,Sheet2!$J$5:$K$7,2,FALSE)*VLOOKUP(Sheet1!$A3343,Sheet2!$B$5:$H$29,6,FALSE),0)</x:f>
        <x:v>403</x:v>
      </x:c>
      <x:c r="H3343">
        <x:f>ROUND($C3343*10*VLOOKUP($B3343,Sheet2!$J$5:$K$7,2,FALSE)*VLOOKUP(Sheet1!$A3343,Sheet2!$B$5:$H$29,7,FALSE),0)</x:f>
        <x:v>0</x:v>
      </x:c>
      <x:c r="I3343">
        <x:f t="shared" si="55"/>
        <x:v>33650</x:v>
      </x:c>
    </x:row>
    <x:row r="3344" spans="1:9" x14ac:dyDescent="0.15">
      <x:c r="A3344">
        <x:v>54154</x:v>
      </x:c>
      <x:c r="B3344">
        <x:v>2</x:v>
      </x:c>
      <x:c r="C3344">
        <x:v>43</x:v>
      </x:c>
      <x:c r="D3344">
        <x:f>ROUND($C3344*10*VLOOKUP($B3344,Sheet2!$J$5:$K$7,2,FALSE)*VLOOKUP(Sheet1!$A3344,Sheet2!$B$5:$H$29,3,FALSE),0)</x:f>
        <x:v>0</x:v>
      </x:c>
      <x:c r="E3344">
        <x:f>ROUND($C3344*10*VLOOKUP($B3344,Sheet2!$J$5:$K$7,2,FALSE)*VLOOKUP(Sheet1!$A3344,Sheet2!$B$5:$H$29,4,FALSE),0)</x:f>
        <x:v>0</x:v>
      </x:c>
      <x:c r="F3344">
        <x:f>ROUND($C3344*10*VLOOKUP($B3344,Sheet2!$J$5:$K$7,2,FALSE)*VLOOKUP(Sheet1!$A3344,Sheet2!$B$5:$H$29,5,FALSE),0)</x:f>
        <x:v>0</x:v>
      </x:c>
      <x:c r="G3344">
        <x:f>ROUND($C3344*10*VLOOKUP($B3344,Sheet2!$J$5:$K$7,2,FALSE)*VLOOKUP(Sheet1!$A3344,Sheet2!$B$5:$H$29,6,FALSE),0)</x:f>
        <x:v>413</x:v>
      </x:c>
      <x:c r="H3344">
        <x:f>ROUND($C3344*10*VLOOKUP($B3344,Sheet2!$J$5:$K$7,2,FALSE)*VLOOKUP(Sheet1!$A3344,Sheet2!$B$5:$H$29,7,FALSE),0)</x:f>
        <x:v>0</x:v>
      </x:c>
      <x:c r="I3344">
        <x:f t="shared" si="55"/>
        <x:v>35140</x:v>
      </x:c>
    </x:row>
    <x:row r="3345" spans="1:9" x14ac:dyDescent="0.15">
      <x:c r="A3345">
        <x:v>54154</x:v>
      </x:c>
      <x:c r="B3345">
        <x:v>2</x:v>
      </x:c>
      <x:c r="C3345">
        <x:v>44</x:v>
      </x:c>
      <x:c r="D3345">
        <x:f>ROUND($C3345*10*VLOOKUP($B3345,Sheet2!$J$5:$K$7,2,FALSE)*VLOOKUP(Sheet1!$A3345,Sheet2!$B$5:$H$29,3,FALSE),0)</x:f>
        <x:v>0</x:v>
      </x:c>
      <x:c r="E3345">
        <x:f>ROUND($C3345*10*VLOOKUP($B3345,Sheet2!$J$5:$K$7,2,FALSE)*VLOOKUP(Sheet1!$A3345,Sheet2!$B$5:$H$29,4,FALSE),0)</x:f>
        <x:v>0</x:v>
      </x:c>
      <x:c r="F3345">
        <x:f>ROUND($C3345*10*VLOOKUP($B3345,Sheet2!$J$5:$K$7,2,FALSE)*VLOOKUP(Sheet1!$A3345,Sheet2!$B$5:$H$29,5,FALSE),0)</x:f>
        <x:v>0</x:v>
      </x:c>
      <x:c r="G3345">
        <x:f>ROUND($C3345*10*VLOOKUP($B3345,Sheet2!$J$5:$K$7,2,FALSE)*VLOOKUP(Sheet1!$A3345,Sheet2!$B$5:$H$29,6,FALSE),0)</x:f>
        <x:v>422</x:v>
      </x:c>
      <x:c r="H3345">
        <x:f>ROUND($C3345*10*VLOOKUP($B3345,Sheet2!$J$5:$K$7,2,FALSE)*VLOOKUP(Sheet1!$A3345,Sheet2!$B$5:$H$29,7,FALSE),0)</x:f>
        <x:v>0</x:v>
      </x:c>
      <x:c r="I3345">
        <x:f t="shared" si="55"/>
        <x:v>36660</x:v>
      </x:c>
    </x:row>
    <x:row r="3346" spans="1:9" x14ac:dyDescent="0.15">
      <x:c r="A3346">
        <x:v>54154</x:v>
      </x:c>
      <x:c r="B3346">
        <x:v>2</x:v>
      </x:c>
      <x:c r="C3346">
        <x:v>45</x:v>
      </x:c>
      <x:c r="D3346">
        <x:f>ROUND($C3346*10*VLOOKUP($B3346,Sheet2!$J$5:$K$7,2,FALSE)*VLOOKUP(Sheet1!$A3346,Sheet2!$B$5:$H$29,3,FALSE),0)</x:f>
        <x:v>0</x:v>
      </x:c>
      <x:c r="E3346">
        <x:f>ROUND($C3346*10*VLOOKUP($B3346,Sheet2!$J$5:$K$7,2,FALSE)*VLOOKUP(Sheet1!$A3346,Sheet2!$B$5:$H$29,4,FALSE),0)</x:f>
        <x:v>0</x:v>
      </x:c>
      <x:c r="F3346">
        <x:f>ROUND($C3346*10*VLOOKUP($B3346,Sheet2!$J$5:$K$7,2,FALSE)*VLOOKUP(Sheet1!$A3346,Sheet2!$B$5:$H$29,5,FALSE),0)</x:f>
        <x:v>0</x:v>
      </x:c>
      <x:c r="G3346">
        <x:f>ROUND($C3346*10*VLOOKUP($B3346,Sheet2!$J$5:$K$7,2,FALSE)*VLOOKUP(Sheet1!$A3346,Sheet2!$B$5:$H$29,6,FALSE),0)</x:f>
        <x:v>432</x:v>
      </x:c>
      <x:c r="H3346">
        <x:f>ROUND($C3346*10*VLOOKUP($B3346,Sheet2!$J$5:$K$7,2,FALSE)*VLOOKUP(Sheet1!$A3346,Sheet2!$B$5:$H$29,7,FALSE),0)</x:f>
        <x:v>0</x:v>
      </x:c>
      <x:c r="I3346">
        <x:f t="shared" si="55"/>
        <x:v>38210</x:v>
      </x:c>
    </x:row>
    <x:row r="3347" spans="1:9" x14ac:dyDescent="0.15">
      <x:c r="A3347">
        <x:v>54154</x:v>
      </x:c>
      <x:c r="B3347">
        <x:v>2</x:v>
      </x:c>
      <x:c r="C3347">
        <x:v>46</x:v>
      </x:c>
      <x:c r="D3347">
        <x:f>ROUND($C3347*10*VLOOKUP($B3347,Sheet2!$J$5:$K$7,2,FALSE)*VLOOKUP(Sheet1!$A3347,Sheet2!$B$5:$H$29,3,FALSE),0)</x:f>
        <x:v>0</x:v>
      </x:c>
      <x:c r="E3347">
        <x:f>ROUND($C3347*10*VLOOKUP($B3347,Sheet2!$J$5:$K$7,2,FALSE)*VLOOKUP(Sheet1!$A3347,Sheet2!$B$5:$H$29,4,FALSE),0)</x:f>
        <x:v>0</x:v>
      </x:c>
      <x:c r="F3347">
        <x:f>ROUND($C3347*10*VLOOKUP($B3347,Sheet2!$J$5:$K$7,2,FALSE)*VLOOKUP(Sheet1!$A3347,Sheet2!$B$5:$H$29,5,FALSE),0)</x:f>
        <x:v>0</x:v>
      </x:c>
      <x:c r="G3347">
        <x:f>ROUND($C3347*10*VLOOKUP($B3347,Sheet2!$J$5:$K$7,2,FALSE)*VLOOKUP(Sheet1!$A3347,Sheet2!$B$5:$H$29,6,FALSE),0)</x:f>
        <x:v>442</x:v>
      </x:c>
      <x:c r="H3347">
        <x:f>ROUND($C3347*10*VLOOKUP($B3347,Sheet2!$J$5:$K$7,2,FALSE)*VLOOKUP(Sheet1!$A3347,Sheet2!$B$5:$H$29,7,FALSE),0)</x:f>
        <x:v>0</x:v>
      </x:c>
      <x:c r="I3347">
        <x:f t="shared" si="55"/>
        <x:v>39780</x:v>
      </x:c>
    </x:row>
    <x:row r="3348" spans="1:9" x14ac:dyDescent="0.15">
      <x:c r="A3348">
        <x:v>54154</x:v>
      </x:c>
      <x:c r="B3348">
        <x:v>2</x:v>
      </x:c>
      <x:c r="C3348">
        <x:v>47</x:v>
      </x:c>
      <x:c r="D3348">
        <x:f>ROUND($C3348*10*VLOOKUP($B3348,Sheet2!$J$5:$K$7,2,FALSE)*VLOOKUP(Sheet1!$A3348,Sheet2!$B$5:$H$29,3,FALSE),0)</x:f>
        <x:v>0</x:v>
      </x:c>
      <x:c r="E3348">
        <x:f>ROUND($C3348*10*VLOOKUP($B3348,Sheet2!$J$5:$K$7,2,FALSE)*VLOOKUP(Sheet1!$A3348,Sheet2!$B$5:$H$29,4,FALSE),0)</x:f>
        <x:v>0</x:v>
      </x:c>
      <x:c r="F3348">
        <x:f>ROUND($C3348*10*VLOOKUP($B3348,Sheet2!$J$5:$K$7,2,FALSE)*VLOOKUP(Sheet1!$A3348,Sheet2!$B$5:$H$29,5,FALSE),0)</x:f>
        <x:v>0</x:v>
      </x:c>
      <x:c r="G3348">
        <x:f>ROUND($C3348*10*VLOOKUP($B3348,Sheet2!$J$5:$K$7,2,FALSE)*VLOOKUP(Sheet1!$A3348,Sheet2!$B$5:$H$29,6,FALSE),0)</x:f>
        <x:v>451</x:v>
      </x:c>
      <x:c r="H3348">
        <x:f>ROUND($C3348*10*VLOOKUP($B3348,Sheet2!$J$5:$K$7,2,FALSE)*VLOOKUP(Sheet1!$A3348,Sheet2!$B$5:$H$29,7,FALSE),0)</x:f>
        <x:v>0</x:v>
      </x:c>
      <x:c r="I3348">
        <x:f t="shared" si="55"/>
        <x:v>41390</x:v>
      </x:c>
    </x:row>
    <x:row r="3349" spans="1:9" x14ac:dyDescent="0.15">
      <x:c r="A3349">
        <x:v>54154</x:v>
      </x:c>
      <x:c r="B3349">
        <x:v>2</x:v>
      </x:c>
      <x:c r="C3349">
        <x:v>48</x:v>
      </x:c>
      <x:c r="D3349">
        <x:f>ROUND($C3349*10*VLOOKUP($B3349,Sheet2!$J$5:$K$7,2,FALSE)*VLOOKUP(Sheet1!$A3349,Sheet2!$B$5:$H$29,3,FALSE),0)</x:f>
        <x:v>0</x:v>
      </x:c>
      <x:c r="E3349">
        <x:f>ROUND($C3349*10*VLOOKUP($B3349,Sheet2!$J$5:$K$7,2,FALSE)*VLOOKUP(Sheet1!$A3349,Sheet2!$B$5:$H$29,4,FALSE),0)</x:f>
        <x:v>0</x:v>
      </x:c>
      <x:c r="F3349">
        <x:f>ROUND($C3349*10*VLOOKUP($B3349,Sheet2!$J$5:$K$7,2,FALSE)*VLOOKUP(Sheet1!$A3349,Sheet2!$B$5:$H$29,5,FALSE),0)</x:f>
        <x:v>0</x:v>
      </x:c>
      <x:c r="G3349">
        <x:f>ROUND($C3349*10*VLOOKUP($B3349,Sheet2!$J$5:$K$7,2,FALSE)*VLOOKUP(Sheet1!$A3349,Sheet2!$B$5:$H$29,6,FALSE),0)</x:f>
        <x:v>461</x:v>
      </x:c>
      <x:c r="H3349">
        <x:f>ROUND($C3349*10*VLOOKUP($B3349,Sheet2!$J$5:$K$7,2,FALSE)*VLOOKUP(Sheet1!$A3349,Sheet2!$B$5:$H$29,7,FALSE),0)</x:f>
        <x:v>0</x:v>
      </x:c>
      <x:c r="I3349">
        <x:f t="shared" si="55"/>
        <x:v>43020</x:v>
      </x:c>
    </x:row>
    <x:row r="3350" spans="1:9" x14ac:dyDescent="0.15">
      <x:c r="A3350">
        <x:v>54154</x:v>
      </x:c>
      <x:c r="B3350">
        <x:v>2</x:v>
      </x:c>
      <x:c r="C3350">
        <x:v>49</x:v>
      </x:c>
      <x:c r="D3350">
        <x:f>ROUND($C3350*10*VLOOKUP($B3350,Sheet2!$J$5:$K$7,2,FALSE)*VLOOKUP(Sheet1!$A3350,Sheet2!$B$5:$H$29,3,FALSE),0)</x:f>
        <x:v>0</x:v>
      </x:c>
      <x:c r="E3350">
        <x:f>ROUND($C3350*10*VLOOKUP($B3350,Sheet2!$J$5:$K$7,2,FALSE)*VLOOKUP(Sheet1!$A3350,Sheet2!$B$5:$H$29,4,FALSE),0)</x:f>
        <x:v>0</x:v>
      </x:c>
      <x:c r="F3350">
        <x:f>ROUND($C3350*10*VLOOKUP($B3350,Sheet2!$J$5:$K$7,2,FALSE)*VLOOKUP(Sheet1!$A3350,Sheet2!$B$5:$H$29,5,FALSE),0)</x:f>
        <x:v>0</x:v>
      </x:c>
      <x:c r="G3350">
        <x:f>ROUND($C3350*10*VLOOKUP($B3350,Sheet2!$J$5:$K$7,2,FALSE)*VLOOKUP(Sheet1!$A3350,Sheet2!$B$5:$H$29,6,FALSE),0)</x:f>
        <x:v>470</x:v>
      </x:c>
      <x:c r="H3350">
        <x:f>ROUND($C3350*10*VLOOKUP($B3350,Sheet2!$J$5:$K$7,2,FALSE)*VLOOKUP(Sheet1!$A3350,Sheet2!$B$5:$H$29,7,FALSE),0)</x:f>
        <x:v>0</x:v>
      </x:c>
      <x:c r="I3350">
        <x:f t="shared" si="55"/>
        <x:v>44680</x:v>
      </x:c>
    </x:row>
    <x:row r="3351" spans="1:9" x14ac:dyDescent="0.15">
      <x:c r="A3351">
        <x:v>54154</x:v>
      </x:c>
      <x:c r="B3351">
        <x:v>2</x:v>
      </x:c>
      <x:c r="C3351">
        <x:v>50</x:v>
      </x:c>
      <x:c r="D3351">
        <x:f>ROUND($C3351*10*VLOOKUP($B3351,Sheet2!$J$5:$K$7,2,FALSE)*VLOOKUP(Sheet1!$A3351,Sheet2!$B$5:$H$29,3,FALSE),0)</x:f>
        <x:v>0</x:v>
      </x:c>
      <x:c r="E3351">
        <x:f>ROUND($C3351*10*VLOOKUP($B3351,Sheet2!$J$5:$K$7,2,FALSE)*VLOOKUP(Sheet1!$A3351,Sheet2!$B$5:$H$29,4,FALSE),0)</x:f>
        <x:v>0</x:v>
      </x:c>
      <x:c r="F3351">
        <x:f>ROUND($C3351*10*VLOOKUP($B3351,Sheet2!$J$5:$K$7,2,FALSE)*VLOOKUP(Sheet1!$A3351,Sheet2!$B$5:$H$29,5,FALSE),0)</x:f>
        <x:v>0</x:v>
      </x:c>
      <x:c r="G3351">
        <x:f>ROUND($C3351*10*VLOOKUP($B3351,Sheet2!$J$5:$K$7,2,FALSE)*VLOOKUP(Sheet1!$A3351,Sheet2!$B$5:$H$29,6,FALSE),0)</x:f>
        <x:v>480</x:v>
      </x:c>
      <x:c r="H3351">
        <x:f>ROUND($C3351*10*VLOOKUP($B3351,Sheet2!$J$5:$K$7,2,FALSE)*VLOOKUP(Sheet1!$A3351,Sheet2!$B$5:$H$29,7,FALSE),0)</x:f>
        <x:v>0</x:v>
      </x:c>
      <x:c r="I3351">
        <x:f t="shared" si="55"/>
        <x:v>46360</x:v>
      </x:c>
    </x:row>
    <x:row r="3352" spans="1:9" x14ac:dyDescent="0.15">
      <x:c r="A3352">
        <x:v>54154</x:v>
      </x:c>
      <x:c r="B3352">
        <x:v>2</x:v>
      </x:c>
      <x:c r="C3352">
        <x:v>51</x:v>
      </x:c>
      <x:c r="D3352">
        <x:f>ROUND($C3352*10*VLOOKUP($B3352,Sheet2!$J$5:$K$7,2,FALSE)*VLOOKUP(Sheet1!$A3352,Sheet2!$B$5:$H$29,3,FALSE),0)</x:f>
        <x:v>0</x:v>
      </x:c>
      <x:c r="E3352">
        <x:f>ROUND($C3352*10*VLOOKUP($B3352,Sheet2!$J$5:$K$7,2,FALSE)*VLOOKUP(Sheet1!$A3352,Sheet2!$B$5:$H$29,4,FALSE),0)</x:f>
        <x:v>0</x:v>
      </x:c>
      <x:c r="F3352">
        <x:f>ROUND($C3352*10*VLOOKUP($B3352,Sheet2!$J$5:$K$7,2,FALSE)*VLOOKUP(Sheet1!$A3352,Sheet2!$B$5:$H$29,5,FALSE),0)</x:f>
        <x:v>0</x:v>
      </x:c>
      <x:c r="G3352">
        <x:f>ROUND($C3352*10*VLOOKUP($B3352,Sheet2!$J$5:$K$7,2,FALSE)*VLOOKUP(Sheet1!$A3352,Sheet2!$B$5:$H$29,6,FALSE),0)</x:f>
        <x:v>490</x:v>
      </x:c>
      <x:c r="H3352">
        <x:f>ROUND($C3352*10*VLOOKUP($B3352,Sheet2!$J$5:$K$7,2,FALSE)*VLOOKUP(Sheet1!$A3352,Sheet2!$B$5:$H$29,7,FALSE),0)</x:f>
        <x:v>0</x:v>
      </x:c>
      <x:c r="I3352">
        <x:f t="shared" si="55"/>
        <x:v>48080</x:v>
      </x:c>
    </x:row>
    <x:row r="3353" spans="1:9" x14ac:dyDescent="0.15">
      <x:c r="A3353">
        <x:v>54154</x:v>
      </x:c>
      <x:c r="B3353">
        <x:v>2</x:v>
      </x:c>
      <x:c r="C3353">
        <x:v>52</x:v>
      </x:c>
      <x:c r="D3353">
        <x:f>ROUND($C3353*10*VLOOKUP($B3353,Sheet2!$J$5:$K$7,2,FALSE)*VLOOKUP(Sheet1!$A3353,Sheet2!$B$5:$H$29,3,FALSE),0)</x:f>
        <x:v>0</x:v>
      </x:c>
      <x:c r="E3353">
        <x:f>ROUND($C3353*10*VLOOKUP($B3353,Sheet2!$J$5:$K$7,2,FALSE)*VLOOKUP(Sheet1!$A3353,Sheet2!$B$5:$H$29,4,FALSE),0)</x:f>
        <x:v>0</x:v>
      </x:c>
      <x:c r="F3353">
        <x:f>ROUND($C3353*10*VLOOKUP($B3353,Sheet2!$J$5:$K$7,2,FALSE)*VLOOKUP(Sheet1!$A3353,Sheet2!$B$5:$H$29,5,FALSE),0)</x:f>
        <x:v>0</x:v>
      </x:c>
      <x:c r="G3353">
        <x:f>ROUND($C3353*10*VLOOKUP($B3353,Sheet2!$J$5:$K$7,2,FALSE)*VLOOKUP(Sheet1!$A3353,Sheet2!$B$5:$H$29,6,FALSE),0)</x:f>
        <x:v>499</x:v>
      </x:c>
      <x:c r="H3353">
        <x:f>ROUND($C3353*10*VLOOKUP($B3353,Sheet2!$J$5:$K$7,2,FALSE)*VLOOKUP(Sheet1!$A3353,Sheet2!$B$5:$H$29,7,FALSE),0)</x:f>
        <x:v>0</x:v>
      </x:c>
      <x:c r="I3353">
        <x:f t="shared" si="55"/>
        <x:v>49820</x:v>
      </x:c>
    </x:row>
    <x:row r="3354" spans="1:9" x14ac:dyDescent="0.15">
      <x:c r="A3354">
        <x:v>54154</x:v>
      </x:c>
      <x:c r="B3354">
        <x:v>2</x:v>
      </x:c>
      <x:c r="C3354">
        <x:v>53</x:v>
      </x:c>
      <x:c r="D3354">
        <x:f>ROUND($C3354*10*VLOOKUP($B3354,Sheet2!$J$5:$K$7,2,FALSE)*VLOOKUP(Sheet1!$A3354,Sheet2!$B$5:$H$29,3,FALSE),0)</x:f>
        <x:v>0</x:v>
      </x:c>
      <x:c r="E3354">
        <x:f>ROUND($C3354*10*VLOOKUP($B3354,Sheet2!$J$5:$K$7,2,FALSE)*VLOOKUP(Sheet1!$A3354,Sheet2!$B$5:$H$29,4,FALSE),0)</x:f>
        <x:v>0</x:v>
      </x:c>
      <x:c r="F3354">
        <x:f>ROUND($C3354*10*VLOOKUP($B3354,Sheet2!$J$5:$K$7,2,FALSE)*VLOOKUP(Sheet1!$A3354,Sheet2!$B$5:$H$29,5,FALSE),0)</x:f>
        <x:v>0</x:v>
      </x:c>
      <x:c r="G3354">
        <x:f>ROUND($C3354*10*VLOOKUP($B3354,Sheet2!$J$5:$K$7,2,FALSE)*VLOOKUP(Sheet1!$A3354,Sheet2!$B$5:$H$29,6,FALSE),0)</x:f>
        <x:v>509</x:v>
      </x:c>
      <x:c r="H3354">
        <x:f>ROUND($C3354*10*VLOOKUP($B3354,Sheet2!$J$5:$K$7,2,FALSE)*VLOOKUP(Sheet1!$A3354,Sheet2!$B$5:$H$29,7,FALSE),0)</x:f>
        <x:v>0</x:v>
      </x:c>
      <x:c r="I3354">
        <x:f t="shared" si="55"/>
        <x:v>51590</x:v>
      </x:c>
    </x:row>
    <x:row r="3355" spans="1:9" x14ac:dyDescent="0.15">
      <x:c r="A3355">
        <x:v>54154</x:v>
      </x:c>
      <x:c r="B3355">
        <x:v>2</x:v>
      </x:c>
      <x:c r="C3355">
        <x:v>54</x:v>
      </x:c>
      <x:c r="D3355">
        <x:f>ROUND($C3355*10*VLOOKUP($B3355,Sheet2!$J$5:$K$7,2,FALSE)*VLOOKUP(Sheet1!$A3355,Sheet2!$B$5:$H$29,3,FALSE),0)</x:f>
        <x:v>0</x:v>
      </x:c>
      <x:c r="E3355">
        <x:f>ROUND($C3355*10*VLOOKUP($B3355,Sheet2!$J$5:$K$7,2,FALSE)*VLOOKUP(Sheet1!$A3355,Sheet2!$B$5:$H$29,4,FALSE),0)</x:f>
        <x:v>0</x:v>
      </x:c>
      <x:c r="F3355">
        <x:f>ROUND($C3355*10*VLOOKUP($B3355,Sheet2!$J$5:$K$7,2,FALSE)*VLOOKUP(Sheet1!$A3355,Sheet2!$B$5:$H$29,5,FALSE),0)</x:f>
        <x:v>0</x:v>
      </x:c>
      <x:c r="G3355">
        <x:f>ROUND($C3355*10*VLOOKUP($B3355,Sheet2!$J$5:$K$7,2,FALSE)*VLOOKUP(Sheet1!$A3355,Sheet2!$B$5:$H$29,6,FALSE),0)</x:f>
        <x:v>518</x:v>
      </x:c>
      <x:c r="H3355">
        <x:f>ROUND($C3355*10*VLOOKUP($B3355,Sheet2!$J$5:$K$7,2,FALSE)*VLOOKUP(Sheet1!$A3355,Sheet2!$B$5:$H$29,7,FALSE),0)</x:f>
        <x:v>0</x:v>
      </x:c>
      <x:c r="I3355">
        <x:f t="shared" si="55"/>
        <x:v>53390</x:v>
      </x:c>
    </x:row>
    <x:row r="3356" spans="1:9" x14ac:dyDescent="0.15">
      <x:c r="A3356">
        <x:v>54154</x:v>
      </x:c>
      <x:c r="B3356">
        <x:v>2</x:v>
      </x:c>
      <x:c r="C3356">
        <x:v>55</x:v>
      </x:c>
      <x:c r="D3356">
        <x:f>ROUND($C3356*10*VLOOKUP($B3356,Sheet2!$J$5:$K$7,2,FALSE)*VLOOKUP(Sheet1!$A3356,Sheet2!$B$5:$H$29,3,FALSE),0)</x:f>
        <x:v>0</x:v>
      </x:c>
      <x:c r="E3356">
        <x:f>ROUND($C3356*10*VLOOKUP($B3356,Sheet2!$J$5:$K$7,2,FALSE)*VLOOKUP(Sheet1!$A3356,Sheet2!$B$5:$H$29,4,FALSE),0)</x:f>
        <x:v>0</x:v>
      </x:c>
      <x:c r="F3356">
        <x:f>ROUND($C3356*10*VLOOKUP($B3356,Sheet2!$J$5:$K$7,2,FALSE)*VLOOKUP(Sheet1!$A3356,Sheet2!$B$5:$H$29,5,FALSE),0)</x:f>
        <x:v>0</x:v>
      </x:c>
      <x:c r="G3356">
        <x:f>ROUND($C3356*10*VLOOKUP($B3356,Sheet2!$J$5:$K$7,2,FALSE)*VLOOKUP(Sheet1!$A3356,Sheet2!$B$5:$H$29,6,FALSE),0)</x:f>
        <x:v>528</x:v>
      </x:c>
      <x:c r="H3356">
        <x:f>ROUND($C3356*10*VLOOKUP($B3356,Sheet2!$J$5:$K$7,2,FALSE)*VLOOKUP(Sheet1!$A3356,Sheet2!$B$5:$H$29,7,FALSE),0)</x:f>
        <x:v>0</x:v>
      </x:c>
      <x:c r="I3356">
        <x:f t="shared" si="55"/>
        <x:v>55210</x:v>
      </x:c>
    </x:row>
    <x:row r="3357" spans="1:9" x14ac:dyDescent="0.15">
      <x:c r="A3357">
        <x:v>54154</x:v>
      </x:c>
      <x:c r="B3357">
        <x:v>2</x:v>
      </x:c>
      <x:c r="C3357">
        <x:v>56</x:v>
      </x:c>
      <x:c r="D3357">
        <x:f>ROUND($C3357*10*VLOOKUP($B3357,Sheet2!$J$5:$K$7,2,FALSE)*VLOOKUP(Sheet1!$A3357,Sheet2!$B$5:$H$29,3,FALSE),0)</x:f>
        <x:v>0</x:v>
      </x:c>
      <x:c r="E3357">
        <x:f>ROUND($C3357*10*VLOOKUP($B3357,Sheet2!$J$5:$K$7,2,FALSE)*VLOOKUP(Sheet1!$A3357,Sheet2!$B$5:$H$29,4,FALSE),0)</x:f>
        <x:v>0</x:v>
      </x:c>
      <x:c r="F3357">
        <x:f>ROUND($C3357*10*VLOOKUP($B3357,Sheet2!$J$5:$K$7,2,FALSE)*VLOOKUP(Sheet1!$A3357,Sheet2!$B$5:$H$29,5,FALSE),0)</x:f>
        <x:v>0</x:v>
      </x:c>
      <x:c r="G3357">
        <x:f>ROUND($C3357*10*VLOOKUP($B3357,Sheet2!$J$5:$K$7,2,FALSE)*VLOOKUP(Sheet1!$A3357,Sheet2!$B$5:$H$29,6,FALSE),0)</x:f>
        <x:v>538</x:v>
      </x:c>
      <x:c r="H3357">
        <x:f>ROUND($C3357*10*VLOOKUP($B3357,Sheet2!$J$5:$K$7,2,FALSE)*VLOOKUP(Sheet1!$A3357,Sheet2!$B$5:$H$29,7,FALSE),0)</x:f>
        <x:v>0</x:v>
      </x:c>
      <x:c r="I3357">
        <x:f t="shared" si="55"/>
        <x:v>57060</x:v>
      </x:c>
    </x:row>
    <x:row r="3358" spans="1:9" x14ac:dyDescent="0.15">
      <x:c r="A3358">
        <x:v>54154</x:v>
      </x:c>
      <x:c r="B3358">
        <x:v>2</x:v>
      </x:c>
      <x:c r="C3358">
        <x:v>57</x:v>
      </x:c>
      <x:c r="D3358">
        <x:f>ROUND($C3358*10*VLOOKUP($B3358,Sheet2!$J$5:$K$7,2,FALSE)*VLOOKUP(Sheet1!$A3358,Sheet2!$B$5:$H$29,3,FALSE),0)</x:f>
        <x:v>0</x:v>
      </x:c>
      <x:c r="E3358">
        <x:f>ROUND($C3358*10*VLOOKUP($B3358,Sheet2!$J$5:$K$7,2,FALSE)*VLOOKUP(Sheet1!$A3358,Sheet2!$B$5:$H$29,4,FALSE),0)</x:f>
        <x:v>0</x:v>
      </x:c>
      <x:c r="F3358">
        <x:f>ROUND($C3358*10*VLOOKUP($B3358,Sheet2!$J$5:$K$7,2,FALSE)*VLOOKUP(Sheet1!$A3358,Sheet2!$B$5:$H$29,5,FALSE),0)</x:f>
        <x:v>0</x:v>
      </x:c>
      <x:c r="G3358">
        <x:f>ROUND($C3358*10*VLOOKUP($B3358,Sheet2!$J$5:$K$7,2,FALSE)*VLOOKUP(Sheet1!$A3358,Sheet2!$B$5:$H$29,6,FALSE),0)</x:f>
        <x:v>547</x:v>
      </x:c>
      <x:c r="H3358">
        <x:f>ROUND($C3358*10*VLOOKUP($B3358,Sheet2!$J$5:$K$7,2,FALSE)*VLOOKUP(Sheet1!$A3358,Sheet2!$B$5:$H$29,7,FALSE),0)</x:f>
        <x:v>0</x:v>
      </x:c>
      <x:c r="I3358">
        <x:f t="shared" si="55"/>
        <x:v>58940</x:v>
      </x:c>
    </x:row>
    <x:row r="3359" spans="1:9" x14ac:dyDescent="0.15">
      <x:c r="A3359">
        <x:v>54154</x:v>
      </x:c>
      <x:c r="B3359">
        <x:v>2</x:v>
      </x:c>
      <x:c r="C3359">
        <x:v>58</x:v>
      </x:c>
      <x:c r="D3359">
        <x:f>ROUND($C3359*10*VLOOKUP($B3359,Sheet2!$J$5:$K$7,2,FALSE)*VLOOKUP(Sheet1!$A3359,Sheet2!$B$5:$H$29,3,FALSE),0)</x:f>
        <x:v>0</x:v>
      </x:c>
      <x:c r="E3359">
        <x:f>ROUND($C3359*10*VLOOKUP($B3359,Sheet2!$J$5:$K$7,2,FALSE)*VLOOKUP(Sheet1!$A3359,Sheet2!$B$5:$H$29,4,FALSE),0)</x:f>
        <x:v>0</x:v>
      </x:c>
      <x:c r="F3359">
        <x:f>ROUND($C3359*10*VLOOKUP($B3359,Sheet2!$J$5:$K$7,2,FALSE)*VLOOKUP(Sheet1!$A3359,Sheet2!$B$5:$H$29,5,FALSE),0)</x:f>
        <x:v>0</x:v>
      </x:c>
      <x:c r="G3359">
        <x:f>ROUND($C3359*10*VLOOKUP($B3359,Sheet2!$J$5:$K$7,2,FALSE)*VLOOKUP(Sheet1!$A3359,Sheet2!$B$5:$H$29,6,FALSE),0)</x:f>
        <x:v>557</x:v>
      </x:c>
      <x:c r="H3359">
        <x:f>ROUND($C3359*10*VLOOKUP($B3359,Sheet2!$J$5:$K$7,2,FALSE)*VLOOKUP(Sheet1!$A3359,Sheet2!$B$5:$H$29,7,FALSE),0)</x:f>
        <x:v>0</x:v>
      </x:c>
      <x:c r="I3359">
        <x:f t="shared" si="55"/>
        <x:v>60850</x:v>
      </x:c>
    </x:row>
    <x:row r="3360" spans="1:9" x14ac:dyDescent="0.15">
      <x:c r="A3360">
        <x:v>54154</x:v>
      </x:c>
      <x:c r="B3360">
        <x:v>2</x:v>
      </x:c>
      <x:c r="C3360">
        <x:v>59</x:v>
      </x:c>
      <x:c r="D3360">
        <x:f>ROUND($C3360*10*VLOOKUP($B3360,Sheet2!$J$5:$K$7,2,FALSE)*VLOOKUP(Sheet1!$A3360,Sheet2!$B$5:$H$29,3,FALSE),0)</x:f>
        <x:v>0</x:v>
      </x:c>
      <x:c r="E3360">
        <x:f>ROUND($C3360*10*VLOOKUP($B3360,Sheet2!$J$5:$K$7,2,FALSE)*VLOOKUP(Sheet1!$A3360,Sheet2!$B$5:$H$29,4,FALSE),0)</x:f>
        <x:v>0</x:v>
      </x:c>
      <x:c r="F3360">
        <x:f>ROUND($C3360*10*VLOOKUP($B3360,Sheet2!$J$5:$K$7,2,FALSE)*VLOOKUP(Sheet1!$A3360,Sheet2!$B$5:$H$29,5,FALSE),0)</x:f>
        <x:v>0</x:v>
      </x:c>
      <x:c r="G3360">
        <x:f>ROUND($C3360*10*VLOOKUP($B3360,Sheet2!$J$5:$K$7,2,FALSE)*VLOOKUP(Sheet1!$A3360,Sheet2!$B$5:$H$29,6,FALSE),0)</x:f>
        <x:v>566</x:v>
      </x:c>
      <x:c r="H3360">
        <x:f>ROUND($C3360*10*VLOOKUP($B3360,Sheet2!$J$5:$K$7,2,FALSE)*VLOOKUP(Sheet1!$A3360,Sheet2!$B$5:$H$29,7,FALSE),0)</x:f>
        <x:v>0</x:v>
      </x:c>
      <x:c r="I3360">
        <x:f t="shared" si="55"/>
        <x:v>62780</x:v>
      </x:c>
    </x:row>
    <x:row r="3361" spans="1:9" x14ac:dyDescent="0.15">
      <x:c r="A3361">
        <x:v>54154</x:v>
      </x:c>
      <x:c r="B3361">
        <x:v>2</x:v>
      </x:c>
      <x:c r="C3361">
        <x:v>60</x:v>
      </x:c>
      <x:c r="D3361">
        <x:f>ROUND($C3361*10*VLOOKUP($B3361,Sheet2!$J$5:$K$7,2,FALSE)*VLOOKUP(Sheet1!$A3361,Sheet2!$B$5:$H$29,3,FALSE),0)</x:f>
        <x:v>0</x:v>
      </x:c>
      <x:c r="E3361">
        <x:f>ROUND($C3361*10*VLOOKUP($B3361,Sheet2!$J$5:$K$7,2,FALSE)*VLOOKUP(Sheet1!$A3361,Sheet2!$B$5:$H$29,4,FALSE),0)</x:f>
        <x:v>0</x:v>
      </x:c>
      <x:c r="F3361">
        <x:f>ROUND($C3361*10*VLOOKUP($B3361,Sheet2!$J$5:$K$7,2,FALSE)*VLOOKUP(Sheet1!$A3361,Sheet2!$B$5:$H$29,5,FALSE),0)</x:f>
        <x:v>0</x:v>
      </x:c>
      <x:c r="G3361">
        <x:f>ROUND($C3361*10*VLOOKUP($B3361,Sheet2!$J$5:$K$7,2,FALSE)*VLOOKUP(Sheet1!$A3361,Sheet2!$B$5:$H$29,6,FALSE),0)</x:f>
        <x:v>576</x:v>
      </x:c>
      <x:c r="H3361">
        <x:f>ROUND($C3361*10*VLOOKUP($B3361,Sheet2!$J$5:$K$7,2,FALSE)*VLOOKUP(Sheet1!$A3361,Sheet2!$B$5:$H$29,7,FALSE),0)</x:f>
        <x:v>0</x:v>
      </x:c>
      <x:c r="I3361">
        <x:f t="shared" si="55"/>
        <x:v>64740</x:v>
      </x:c>
    </x:row>
    <x:row r="3362" spans="1:9" x14ac:dyDescent="0.15">
      <x:c r="A3362">
        <x:v>54154</x:v>
      </x:c>
      <x:c r="B3362">
        <x:v>3</x:v>
      </x:c>
      <x:c r="C3362">
        <x:v>1</x:v>
      </x:c>
      <x:c r="D3362">
        <x:f>ROUND($C3362*10*VLOOKUP($B3362,Sheet2!$J$5:$K$7,2,FALSE)*VLOOKUP(Sheet1!$A3362,Sheet2!$B$5:$H$29,3,FALSE),0)</x:f>
        <x:v>0</x:v>
      </x:c>
      <x:c r="E3362">
        <x:f>ROUND($C3362*10*VLOOKUP($B3362,Sheet2!$J$5:$K$7,2,FALSE)*VLOOKUP(Sheet1!$A3362,Sheet2!$B$5:$H$29,4,FALSE),0)</x:f>
        <x:v>0</x:v>
      </x:c>
      <x:c r="F3362">
        <x:f>ROUND($C3362*10*VLOOKUP($B3362,Sheet2!$J$5:$K$7,2,FALSE)*VLOOKUP(Sheet1!$A3362,Sheet2!$B$5:$H$29,5,FALSE),0)</x:f>
        <x:v>0</x:v>
      </x:c>
      <x:c r="G3362">
        <x:f>ROUND($C3362*10*VLOOKUP($B3362,Sheet2!$J$5:$K$7,2,FALSE)*VLOOKUP(Sheet1!$A3362,Sheet2!$B$5:$H$29,6,FALSE),0)</x:f>
        <x:v>16</x:v>
      </x:c>
      <x:c r="H3362">
        <x:f>ROUND($C3362*10*VLOOKUP($B3362,Sheet2!$J$5:$K$7,2,FALSE)*VLOOKUP(Sheet1!$A3362,Sheet2!$B$5:$H$29,7,FALSE),0)</x:f>
        <x:v>0</x:v>
      </x:c>
      <x:c r="I3362">
        <x:f t="shared" ref="I3362:I3421" si="56">ROUND(1.2*10*10.5*(C3362-1)^1.8+90,-1)</x:f>
        <x:v>90</x:v>
      </x:c>
    </x:row>
    <x:row r="3363" spans="1:9" x14ac:dyDescent="0.15">
      <x:c r="A3363">
        <x:v>54154</x:v>
      </x:c>
      <x:c r="B3363">
        <x:v>3</x:v>
      </x:c>
      <x:c r="C3363">
        <x:v>2</x:v>
      </x:c>
      <x:c r="D3363">
        <x:f>ROUND($C3363*10*VLOOKUP($B3363,Sheet2!$J$5:$K$7,2,FALSE)*VLOOKUP(Sheet1!$A3363,Sheet2!$B$5:$H$29,3,FALSE),0)</x:f>
        <x:v>0</x:v>
      </x:c>
      <x:c r="E3363">
        <x:f>ROUND($C3363*10*VLOOKUP($B3363,Sheet2!$J$5:$K$7,2,FALSE)*VLOOKUP(Sheet1!$A3363,Sheet2!$B$5:$H$29,4,FALSE),0)</x:f>
        <x:v>0</x:v>
      </x:c>
      <x:c r="F3363">
        <x:f>ROUND($C3363*10*VLOOKUP($B3363,Sheet2!$J$5:$K$7,2,FALSE)*VLOOKUP(Sheet1!$A3363,Sheet2!$B$5:$H$29,5,FALSE),0)</x:f>
        <x:v>0</x:v>
      </x:c>
      <x:c r="G3363">
        <x:f>ROUND($C3363*10*VLOOKUP($B3363,Sheet2!$J$5:$K$7,2,FALSE)*VLOOKUP(Sheet1!$A3363,Sheet2!$B$5:$H$29,6,FALSE),0)</x:f>
        <x:v>32</x:v>
      </x:c>
      <x:c r="H3363">
        <x:f>ROUND($C3363*10*VLOOKUP($B3363,Sheet2!$J$5:$K$7,2,FALSE)*VLOOKUP(Sheet1!$A3363,Sheet2!$B$5:$H$29,7,FALSE),0)</x:f>
        <x:v>0</x:v>
      </x:c>
      <x:c r="I3363">
        <x:f t="shared" si="56"/>
        <x:v>220</x:v>
      </x:c>
    </x:row>
    <x:row r="3364" spans="1:9" x14ac:dyDescent="0.15">
      <x:c r="A3364">
        <x:v>54154</x:v>
      </x:c>
      <x:c r="B3364">
        <x:v>3</x:v>
      </x:c>
      <x:c r="C3364">
        <x:v>3</x:v>
      </x:c>
      <x:c r="D3364">
        <x:f>ROUND($C3364*10*VLOOKUP($B3364,Sheet2!$J$5:$K$7,2,FALSE)*VLOOKUP(Sheet1!$A3364,Sheet2!$B$5:$H$29,3,FALSE),0)</x:f>
        <x:v>0</x:v>
      </x:c>
      <x:c r="E3364">
        <x:f>ROUND($C3364*10*VLOOKUP($B3364,Sheet2!$J$5:$K$7,2,FALSE)*VLOOKUP(Sheet1!$A3364,Sheet2!$B$5:$H$29,4,FALSE),0)</x:f>
        <x:v>0</x:v>
      </x:c>
      <x:c r="F3364">
        <x:f>ROUND($C3364*10*VLOOKUP($B3364,Sheet2!$J$5:$K$7,2,FALSE)*VLOOKUP(Sheet1!$A3364,Sheet2!$B$5:$H$29,5,FALSE),0)</x:f>
        <x:v>0</x:v>
      </x:c>
      <x:c r="G3364">
        <x:f>ROUND($C3364*10*VLOOKUP($B3364,Sheet2!$J$5:$K$7,2,FALSE)*VLOOKUP(Sheet1!$A3364,Sheet2!$B$5:$H$29,6,FALSE),0)</x:f>
        <x:v>48</x:v>
      </x:c>
      <x:c r="H3364">
        <x:f>ROUND($C3364*10*VLOOKUP($B3364,Sheet2!$J$5:$K$7,2,FALSE)*VLOOKUP(Sheet1!$A3364,Sheet2!$B$5:$H$29,7,FALSE),0)</x:f>
        <x:v>0</x:v>
      </x:c>
      <x:c r="I3364">
        <x:f t="shared" si="56"/>
        <x:v>530</x:v>
      </x:c>
    </x:row>
    <x:row r="3365" spans="1:9" x14ac:dyDescent="0.15">
      <x:c r="A3365">
        <x:v>54154</x:v>
      </x:c>
      <x:c r="B3365">
        <x:v>3</x:v>
      </x:c>
      <x:c r="C3365">
        <x:v>4</x:v>
      </x:c>
      <x:c r="D3365">
        <x:f>ROUND($C3365*10*VLOOKUP($B3365,Sheet2!$J$5:$K$7,2,FALSE)*VLOOKUP(Sheet1!$A3365,Sheet2!$B$5:$H$29,3,FALSE),0)</x:f>
        <x:v>0</x:v>
      </x:c>
      <x:c r="E3365">
        <x:f>ROUND($C3365*10*VLOOKUP($B3365,Sheet2!$J$5:$K$7,2,FALSE)*VLOOKUP(Sheet1!$A3365,Sheet2!$B$5:$H$29,4,FALSE),0)</x:f>
        <x:v>0</x:v>
      </x:c>
      <x:c r="F3365">
        <x:f>ROUND($C3365*10*VLOOKUP($B3365,Sheet2!$J$5:$K$7,2,FALSE)*VLOOKUP(Sheet1!$A3365,Sheet2!$B$5:$H$29,5,FALSE),0)</x:f>
        <x:v>0</x:v>
      </x:c>
      <x:c r="G3365">
        <x:f>ROUND($C3365*10*VLOOKUP($B3365,Sheet2!$J$5:$K$7,2,FALSE)*VLOOKUP(Sheet1!$A3365,Sheet2!$B$5:$H$29,6,FALSE),0)</x:f>
        <x:v>64</x:v>
      </x:c>
      <x:c r="H3365">
        <x:f>ROUND($C3365*10*VLOOKUP($B3365,Sheet2!$J$5:$K$7,2,FALSE)*VLOOKUP(Sheet1!$A3365,Sheet2!$B$5:$H$29,7,FALSE),0)</x:f>
        <x:v>0</x:v>
      </x:c>
      <x:c r="I3365">
        <x:f t="shared" si="56"/>
        <x:v>1000</x:v>
      </x:c>
    </x:row>
    <x:row r="3366" spans="1:9" x14ac:dyDescent="0.15">
      <x:c r="A3366">
        <x:v>54154</x:v>
      </x:c>
      <x:c r="B3366">
        <x:v>3</x:v>
      </x:c>
      <x:c r="C3366">
        <x:v>5</x:v>
      </x:c>
      <x:c r="D3366">
        <x:f>ROUND($C3366*10*VLOOKUP($B3366,Sheet2!$J$5:$K$7,2,FALSE)*VLOOKUP(Sheet1!$A3366,Sheet2!$B$5:$H$29,3,FALSE),0)</x:f>
        <x:v>0</x:v>
      </x:c>
      <x:c r="E3366">
        <x:f>ROUND($C3366*10*VLOOKUP($B3366,Sheet2!$J$5:$K$7,2,FALSE)*VLOOKUP(Sheet1!$A3366,Sheet2!$B$5:$H$29,4,FALSE),0)</x:f>
        <x:v>0</x:v>
      </x:c>
      <x:c r="F3366">
        <x:f>ROUND($C3366*10*VLOOKUP($B3366,Sheet2!$J$5:$K$7,2,FALSE)*VLOOKUP(Sheet1!$A3366,Sheet2!$B$5:$H$29,5,FALSE),0)</x:f>
        <x:v>0</x:v>
      </x:c>
      <x:c r="G3366">
        <x:f>ROUND($C3366*10*VLOOKUP($B3366,Sheet2!$J$5:$K$7,2,FALSE)*VLOOKUP(Sheet1!$A3366,Sheet2!$B$5:$H$29,6,FALSE),0)</x:f>
        <x:v>80</x:v>
      </x:c>
      <x:c r="H3366">
        <x:f>ROUND($C3366*10*VLOOKUP($B3366,Sheet2!$J$5:$K$7,2,FALSE)*VLOOKUP(Sheet1!$A3366,Sheet2!$B$5:$H$29,7,FALSE),0)</x:f>
        <x:v>0</x:v>
      </x:c>
      <x:c r="I3366">
        <x:f t="shared" si="56"/>
        <x:v>1620</x:v>
      </x:c>
    </x:row>
    <x:row r="3367" spans="1:9" x14ac:dyDescent="0.15">
      <x:c r="A3367">
        <x:v>54154</x:v>
      </x:c>
      <x:c r="B3367">
        <x:v>3</x:v>
      </x:c>
      <x:c r="C3367">
        <x:v>6</x:v>
      </x:c>
      <x:c r="D3367">
        <x:f>ROUND($C3367*10*VLOOKUP($B3367,Sheet2!$J$5:$K$7,2,FALSE)*VLOOKUP(Sheet1!$A3367,Sheet2!$B$5:$H$29,3,FALSE),0)</x:f>
        <x:v>0</x:v>
      </x:c>
      <x:c r="E3367">
        <x:f>ROUND($C3367*10*VLOOKUP($B3367,Sheet2!$J$5:$K$7,2,FALSE)*VLOOKUP(Sheet1!$A3367,Sheet2!$B$5:$H$29,4,FALSE),0)</x:f>
        <x:v>0</x:v>
      </x:c>
      <x:c r="F3367">
        <x:f>ROUND($C3367*10*VLOOKUP($B3367,Sheet2!$J$5:$K$7,2,FALSE)*VLOOKUP(Sheet1!$A3367,Sheet2!$B$5:$H$29,5,FALSE),0)</x:f>
        <x:v>0</x:v>
      </x:c>
      <x:c r="G3367">
        <x:f>ROUND($C3367*10*VLOOKUP($B3367,Sheet2!$J$5:$K$7,2,FALSE)*VLOOKUP(Sheet1!$A3367,Sheet2!$B$5:$H$29,6,FALSE),0)</x:f>
        <x:v>96</x:v>
      </x:c>
      <x:c r="H3367">
        <x:f>ROUND($C3367*10*VLOOKUP($B3367,Sheet2!$J$5:$K$7,2,FALSE)*VLOOKUP(Sheet1!$A3367,Sheet2!$B$5:$H$29,7,FALSE),0)</x:f>
        <x:v>0</x:v>
      </x:c>
      <x:c r="I3367">
        <x:f t="shared" si="56"/>
        <x:v>2370</x:v>
      </x:c>
    </x:row>
    <x:row r="3368" spans="1:9" x14ac:dyDescent="0.15">
      <x:c r="A3368">
        <x:v>54154</x:v>
      </x:c>
      <x:c r="B3368">
        <x:v>3</x:v>
      </x:c>
      <x:c r="C3368">
        <x:v>7</x:v>
      </x:c>
      <x:c r="D3368">
        <x:f>ROUND($C3368*10*VLOOKUP($B3368,Sheet2!$J$5:$K$7,2,FALSE)*VLOOKUP(Sheet1!$A3368,Sheet2!$B$5:$H$29,3,FALSE),0)</x:f>
        <x:v>0</x:v>
      </x:c>
      <x:c r="E3368">
        <x:f>ROUND($C3368*10*VLOOKUP($B3368,Sheet2!$J$5:$K$7,2,FALSE)*VLOOKUP(Sheet1!$A3368,Sheet2!$B$5:$H$29,4,FALSE),0)</x:f>
        <x:v>0</x:v>
      </x:c>
      <x:c r="F3368">
        <x:f>ROUND($C3368*10*VLOOKUP($B3368,Sheet2!$J$5:$K$7,2,FALSE)*VLOOKUP(Sheet1!$A3368,Sheet2!$B$5:$H$29,5,FALSE),0)</x:f>
        <x:v>0</x:v>
      </x:c>
      <x:c r="G3368">
        <x:f>ROUND($C3368*10*VLOOKUP($B3368,Sheet2!$J$5:$K$7,2,FALSE)*VLOOKUP(Sheet1!$A3368,Sheet2!$B$5:$H$29,6,FALSE),0)</x:f>
        <x:v>112</x:v>
      </x:c>
      <x:c r="H3368">
        <x:f>ROUND($C3368*10*VLOOKUP($B3368,Sheet2!$J$5:$K$7,2,FALSE)*VLOOKUP(Sheet1!$A3368,Sheet2!$B$5:$H$29,7,FALSE),0)</x:f>
        <x:v>0</x:v>
      </x:c>
      <x:c r="I3368">
        <x:f t="shared" si="56"/>
        <x:v>3260</x:v>
      </x:c>
    </x:row>
    <x:row r="3369" spans="1:9" x14ac:dyDescent="0.15">
      <x:c r="A3369">
        <x:v>54154</x:v>
      </x:c>
      <x:c r="B3369">
        <x:v>3</x:v>
      </x:c>
      <x:c r="C3369">
        <x:v>8</x:v>
      </x:c>
      <x:c r="D3369">
        <x:f>ROUND($C3369*10*VLOOKUP($B3369,Sheet2!$J$5:$K$7,2,FALSE)*VLOOKUP(Sheet1!$A3369,Sheet2!$B$5:$H$29,3,FALSE),0)</x:f>
        <x:v>0</x:v>
      </x:c>
      <x:c r="E3369">
        <x:f>ROUND($C3369*10*VLOOKUP($B3369,Sheet2!$J$5:$K$7,2,FALSE)*VLOOKUP(Sheet1!$A3369,Sheet2!$B$5:$H$29,4,FALSE),0)</x:f>
        <x:v>0</x:v>
      </x:c>
      <x:c r="F3369">
        <x:f>ROUND($C3369*10*VLOOKUP($B3369,Sheet2!$J$5:$K$7,2,FALSE)*VLOOKUP(Sheet1!$A3369,Sheet2!$B$5:$H$29,5,FALSE),0)</x:f>
        <x:v>0</x:v>
      </x:c>
      <x:c r="G3369">
        <x:f>ROUND($C3369*10*VLOOKUP($B3369,Sheet2!$J$5:$K$7,2,FALSE)*VLOOKUP(Sheet1!$A3369,Sheet2!$B$5:$H$29,6,FALSE),0)</x:f>
        <x:v>128</x:v>
      </x:c>
      <x:c r="H3369">
        <x:f>ROUND($C3369*10*VLOOKUP($B3369,Sheet2!$J$5:$K$7,2,FALSE)*VLOOKUP(Sheet1!$A3369,Sheet2!$B$5:$H$29,7,FALSE),0)</x:f>
        <x:v>0</x:v>
      </x:c>
      <x:c r="I3369">
        <x:f t="shared" si="56"/>
        <x:v>4270</x:v>
      </x:c>
    </x:row>
    <x:row r="3370" spans="1:9" x14ac:dyDescent="0.15">
      <x:c r="A3370">
        <x:v>54154</x:v>
      </x:c>
      <x:c r="B3370">
        <x:v>3</x:v>
      </x:c>
      <x:c r="C3370">
        <x:v>9</x:v>
      </x:c>
      <x:c r="D3370">
        <x:f>ROUND($C3370*10*VLOOKUP($B3370,Sheet2!$J$5:$K$7,2,FALSE)*VLOOKUP(Sheet1!$A3370,Sheet2!$B$5:$H$29,3,FALSE),0)</x:f>
        <x:v>0</x:v>
      </x:c>
      <x:c r="E3370">
        <x:f>ROUND($C3370*10*VLOOKUP($B3370,Sheet2!$J$5:$K$7,2,FALSE)*VLOOKUP(Sheet1!$A3370,Sheet2!$B$5:$H$29,4,FALSE),0)</x:f>
        <x:v>0</x:v>
      </x:c>
      <x:c r="F3370">
        <x:f>ROUND($C3370*10*VLOOKUP($B3370,Sheet2!$J$5:$K$7,2,FALSE)*VLOOKUP(Sheet1!$A3370,Sheet2!$B$5:$H$29,5,FALSE),0)</x:f>
        <x:v>0</x:v>
      </x:c>
      <x:c r="G3370">
        <x:f>ROUND($C3370*10*VLOOKUP($B3370,Sheet2!$J$5:$K$7,2,FALSE)*VLOOKUP(Sheet1!$A3370,Sheet2!$B$5:$H$29,6,FALSE),0)</x:f>
        <x:v>144</x:v>
      </x:c>
      <x:c r="H3370">
        <x:f>ROUND($C3370*10*VLOOKUP($B3370,Sheet2!$J$5:$K$7,2,FALSE)*VLOOKUP(Sheet1!$A3370,Sheet2!$B$5:$H$29,7,FALSE),0)</x:f>
        <x:v>0</x:v>
      </x:c>
      <x:c r="I3370">
        <x:f t="shared" si="56"/>
        <x:v>5410</x:v>
      </x:c>
    </x:row>
    <x:row r="3371" spans="1:9" x14ac:dyDescent="0.15">
      <x:c r="A3371">
        <x:v>54154</x:v>
      </x:c>
      <x:c r="B3371">
        <x:v>3</x:v>
      </x:c>
      <x:c r="C3371">
        <x:v>10</x:v>
      </x:c>
      <x:c r="D3371">
        <x:f>ROUND($C3371*10*VLOOKUP($B3371,Sheet2!$J$5:$K$7,2,FALSE)*VLOOKUP(Sheet1!$A3371,Sheet2!$B$5:$H$29,3,FALSE),0)</x:f>
        <x:v>0</x:v>
      </x:c>
      <x:c r="E3371">
        <x:f>ROUND($C3371*10*VLOOKUP($B3371,Sheet2!$J$5:$K$7,2,FALSE)*VLOOKUP(Sheet1!$A3371,Sheet2!$B$5:$H$29,4,FALSE),0)</x:f>
        <x:v>0</x:v>
      </x:c>
      <x:c r="F3371">
        <x:f>ROUND($C3371*10*VLOOKUP($B3371,Sheet2!$J$5:$K$7,2,FALSE)*VLOOKUP(Sheet1!$A3371,Sheet2!$B$5:$H$29,5,FALSE),0)</x:f>
        <x:v>0</x:v>
      </x:c>
      <x:c r="G3371">
        <x:f>ROUND($C3371*10*VLOOKUP($B3371,Sheet2!$J$5:$K$7,2,FALSE)*VLOOKUP(Sheet1!$A3371,Sheet2!$B$5:$H$29,6,FALSE),0)</x:f>
        <x:v>160</x:v>
      </x:c>
      <x:c r="H3371">
        <x:f>ROUND($C3371*10*VLOOKUP($B3371,Sheet2!$J$5:$K$7,2,FALSE)*VLOOKUP(Sheet1!$A3371,Sheet2!$B$5:$H$29,7,FALSE),0)</x:f>
        <x:v>0</x:v>
      </x:c>
      <x:c r="I3371">
        <x:f t="shared" si="56"/>
        <x:v>6670</x:v>
      </x:c>
    </x:row>
    <x:row r="3372" spans="1:9" x14ac:dyDescent="0.15">
      <x:c r="A3372">
        <x:v>54154</x:v>
      </x:c>
      <x:c r="B3372">
        <x:v>3</x:v>
      </x:c>
      <x:c r="C3372">
        <x:v>11</x:v>
      </x:c>
      <x:c r="D3372">
        <x:f>ROUND($C3372*10*VLOOKUP($B3372,Sheet2!$J$5:$K$7,2,FALSE)*VLOOKUP(Sheet1!$A3372,Sheet2!$B$5:$H$29,3,FALSE),0)</x:f>
        <x:v>0</x:v>
      </x:c>
      <x:c r="E3372">
        <x:f>ROUND($C3372*10*VLOOKUP($B3372,Sheet2!$J$5:$K$7,2,FALSE)*VLOOKUP(Sheet1!$A3372,Sheet2!$B$5:$H$29,4,FALSE),0)</x:f>
        <x:v>0</x:v>
      </x:c>
      <x:c r="F3372">
        <x:f>ROUND($C3372*10*VLOOKUP($B3372,Sheet2!$J$5:$K$7,2,FALSE)*VLOOKUP(Sheet1!$A3372,Sheet2!$B$5:$H$29,5,FALSE),0)</x:f>
        <x:v>0</x:v>
      </x:c>
      <x:c r="G3372">
        <x:f>ROUND($C3372*10*VLOOKUP($B3372,Sheet2!$J$5:$K$7,2,FALSE)*VLOOKUP(Sheet1!$A3372,Sheet2!$B$5:$H$29,6,FALSE),0)</x:f>
        <x:v>176</x:v>
      </x:c>
      <x:c r="H3372">
        <x:f>ROUND($C3372*10*VLOOKUP($B3372,Sheet2!$J$5:$K$7,2,FALSE)*VLOOKUP(Sheet1!$A3372,Sheet2!$B$5:$H$29,7,FALSE),0)</x:f>
        <x:v>0</x:v>
      </x:c>
      <x:c r="I3372">
        <x:f t="shared" si="56"/>
        <x:v>8040</x:v>
      </x:c>
    </x:row>
    <x:row r="3373" spans="1:9" x14ac:dyDescent="0.15">
      <x:c r="A3373">
        <x:v>54154</x:v>
      </x:c>
      <x:c r="B3373">
        <x:v>3</x:v>
      </x:c>
      <x:c r="C3373">
        <x:v>12</x:v>
      </x:c>
      <x:c r="D3373">
        <x:f>ROUND($C3373*10*VLOOKUP($B3373,Sheet2!$J$5:$K$7,2,FALSE)*VLOOKUP(Sheet1!$A3373,Sheet2!$B$5:$H$29,3,FALSE),0)</x:f>
        <x:v>0</x:v>
      </x:c>
      <x:c r="E3373">
        <x:f>ROUND($C3373*10*VLOOKUP($B3373,Sheet2!$J$5:$K$7,2,FALSE)*VLOOKUP(Sheet1!$A3373,Sheet2!$B$5:$H$29,4,FALSE),0)</x:f>
        <x:v>0</x:v>
      </x:c>
      <x:c r="F3373">
        <x:f>ROUND($C3373*10*VLOOKUP($B3373,Sheet2!$J$5:$K$7,2,FALSE)*VLOOKUP(Sheet1!$A3373,Sheet2!$B$5:$H$29,5,FALSE),0)</x:f>
        <x:v>0</x:v>
      </x:c>
      <x:c r="G3373">
        <x:f>ROUND($C3373*10*VLOOKUP($B3373,Sheet2!$J$5:$K$7,2,FALSE)*VLOOKUP(Sheet1!$A3373,Sheet2!$B$5:$H$29,6,FALSE),0)</x:f>
        <x:v>192</x:v>
      </x:c>
      <x:c r="H3373">
        <x:f>ROUND($C3373*10*VLOOKUP($B3373,Sheet2!$J$5:$K$7,2,FALSE)*VLOOKUP(Sheet1!$A3373,Sheet2!$B$5:$H$29,7,FALSE),0)</x:f>
        <x:v>0</x:v>
      </x:c>
      <x:c r="I3373">
        <x:f t="shared" si="56"/>
        <x:v>9530</x:v>
      </x:c>
    </x:row>
    <x:row r="3374" spans="1:9" x14ac:dyDescent="0.15">
      <x:c r="A3374">
        <x:v>54154</x:v>
      </x:c>
      <x:c r="B3374">
        <x:v>3</x:v>
      </x:c>
      <x:c r="C3374">
        <x:v>13</x:v>
      </x:c>
      <x:c r="D3374">
        <x:f>ROUND($C3374*10*VLOOKUP($B3374,Sheet2!$J$5:$K$7,2,FALSE)*VLOOKUP(Sheet1!$A3374,Sheet2!$B$5:$H$29,3,FALSE),0)</x:f>
        <x:v>0</x:v>
      </x:c>
      <x:c r="E3374">
        <x:f>ROUND($C3374*10*VLOOKUP($B3374,Sheet2!$J$5:$K$7,2,FALSE)*VLOOKUP(Sheet1!$A3374,Sheet2!$B$5:$H$29,4,FALSE),0)</x:f>
        <x:v>0</x:v>
      </x:c>
      <x:c r="F3374">
        <x:f>ROUND($C3374*10*VLOOKUP($B3374,Sheet2!$J$5:$K$7,2,FALSE)*VLOOKUP(Sheet1!$A3374,Sheet2!$B$5:$H$29,5,FALSE),0)</x:f>
        <x:v>0</x:v>
      </x:c>
      <x:c r="G3374">
        <x:f>ROUND($C3374*10*VLOOKUP($B3374,Sheet2!$J$5:$K$7,2,FALSE)*VLOOKUP(Sheet1!$A3374,Sheet2!$B$5:$H$29,6,FALSE),0)</x:f>
        <x:v>208</x:v>
      </x:c>
      <x:c r="H3374">
        <x:f>ROUND($C3374*10*VLOOKUP($B3374,Sheet2!$J$5:$K$7,2,FALSE)*VLOOKUP(Sheet1!$A3374,Sheet2!$B$5:$H$29,7,FALSE),0)</x:f>
        <x:v>0</x:v>
      </x:c>
      <x:c r="I3374">
        <x:f t="shared" si="56"/>
        <x:v>11130</x:v>
      </x:c>
    </x:row>
    <x:row r="3375" spans="1:9" x14ac:dyDescent="0.15">
      <x:c r="A3375">
        <x:v>54154</x:v>
      </x:c>
      <x:c r="B3375">
        <x:v>3</x:v>
      </x:c>
      <x:c r="C3375">
        <x:v>14</x:v>
      </x:c>
      <x:c r="D3375">
        <x:f>ROUND($C3375*10*VLOOKUP($B3375,Sheet2!$J$5:$K$7,2,FALSE)*VLOOKUP(Sheet1!$A3375,Sheet2!$B$5:$H$29,3,FALSE),0)</x:f>
        <x:v>0</x:v>
      </x:c>
      <x:c r="E3375">
        <x:f>ROUND($C3375*10*VLOOKUP($B3375,Sheet2!$J$5:$K$7,2,FALSE)*VLOOKUP(Sheet1!$A3375,Sheet2!$B$5:$H$29,4,FALSE),0)</x:f>
        <x:v>0</x:v>
      </x:c>
      <x:c r="F3375">
        <x:f>ROUND($C3375*10*VLOOKUP($B3375,Sheet2!$J$5:$K$7,2,FALSE)*VLOOKUP(Sheet1!$A3375,Sheet2!$B$5:$H$29,5,FALSE),0)</x:f>
        <x:v>0</x:v>
      </x:c>
      <x:c r="G3375">
        <x:f>ROUND($C3375*10*VLOOKUP($B3375,Sheet2!$J$5:$K$7,2,FALSE)*VLOOKUP(Sheet1!$A3375,Sheet2!$B$5:$H$29,6,FALSE),0)</x:f>
        <x:v>224</x:v>
      </x:c>
      <x:c r="H3375">
        <x:f>ROUND($C3375*10*VLOOKUP($B3375,Sheet2!$J$5:$K$7,2,FALSE)*VLOOKUP(Sheet1!$A3375,Sheet2!$B$5:$H$29,7,FALSE),0)</x:f>
        <x:v>0</x:v>
      </x:c>
      <x:c r="I3375">
        <x:f t="shared" si="56"/>
        <x:v>12840</x:v>
      </x:c>
    </x:row>
    <x:row r="3376" spans="1:9" x14ac:dyDescent="0.15">
      <x:c r="A3376">
        <x:v>54154</x:v>
      </x:c>
      <x:c r="B3376">
        <x:v>3</x:v>
      </x:c>
      <x:c r="C3376">
        <x:v>15</x:v>
      </x:c>
      <x:c r="D3376">
        <x:f>ROUND($C3376*10*VLOOKUP($B3376,Sheet2!$J$5:$K$7,2,FALSE)*VLOOKUP(Sheet1!$A3376,Sheet2!$B$5:$H$29,3,FALSE),0)</x:f>
        <x:v>0</x:v>
      </x:c>
      <x:c r="E3376">
        <x:f>ROUND($C3376*10*VLOOKUP($B3376,Sheet2!$J$5:$K$7,2,FALSE)*VLOOKUP(Sheet1!$A3376,Sheet2!$B$5:$H$29,4,FALSE),0)</x:f>
        <x:v>0</x:v>
      </x:c>
      <x:c r="F3376">
        <x:f>ROUND($C3376*10*VLOOKUP($B3376,Sheet2!$J$5:$K$7,2,FALSE)*VLOOKUP(Sheet1!$A3376,Sheet2!$B$5:$H$29,5,FALSE),0)</x:f>
        <x:v>0</x:v>
      </x:c>
      <x:c r="G3376">
        <x:f>ROUND($C3376*10*VLOOKUP($B3376,Sheet2!$J$5:$K$7,2,FALSE)*VLOOKUP(Sheet1!$A3376,Sheet2!$B$5:$H$29,6,FALSE),0)</x:f>
        <x:v>240</x:v>
      </x:c>
      <x:c r="H3376">
        <x:f>ROUND($C3376*10*VLOOKUP($B3376,Sheet2!$J$5:$K$7,2,FALSE)*VLOOKUP(Sheet1!$A3376,Sheet2!$B$5:$H$29,7,FALSE),0)</x:f>
        <x:v>0</x:v>
      </x:c>
      <x:c r="I3376">
        <x:f t="shared" si="56"/>
        <x:v>14660</x:v>
      </x:c>
    </x:row>
    <x:row r="3377" spans="1:9" x14ac:dyDescent="0.15">
      <x:c r="A3377">
        <x:v>54154</x:v>
      </x:c>
      <x:c r="B3377">
        <x:v>3</x:v>
      </x:c>
      <x:c r="C3377">
        <x:v>16</x:v>
      </x:c>
      <x:c r="D3377">
        <x:f>ROUND($C3377*10*VLOOKUP($B3377,Sheet2!$J$5:$K$7,2,FALSE)*VLOOKUP(Sheet1!$A3377,Sheet2!$B$5:$H$29,3,FALSE),0)</x:f>
        <x:v>0</x:v>
      </x:c>
      <x:c r="E3377">
        <x:f>ROUND($C3377*10*VLOOKUP($B3377,Sheet2!$J$5:$K$7,2,FALSE)*VLOOKUP(Sheet1!$A3377,Sheet2!$B$5:$H$29,4,FALSE),0)</x:f>
        <x:v>0</x:v>
      </x:c>
      <x:c r="F3377">
        <x:f>ROUND($C3377*10*VLOOKUP($B3377,Sheet2!$J$5:$K$7,2,FALSE)*VLOOKUP(Sheet1!$A3377,Sheet2!$B$5:$H$29,5,FALSE),0)</x:f>
        <x:v>0</x:v>
      </x:c>
      <x:c r="G3377">
        <x:f>ROUND($C3377*10*VLOOKUP($B3377,Sheet2!$J$5:$K$7,2,FALSE)*VLOOKUP(Sheet1!$A3377,Sheet2!$B$5:$H$29,6,FALSE),0)</x:f>
        <x:v>256</x:v>
      </x:c>
      <x:c r="H3377">
        <x:f>ROUND($C3377*10*VLOOKUP($B3377,Sheet2!$J$5:$K$7,2,FALSE)*VLOOKUP(Sheet1!$A3377,Sheet2!$B$5:$H$29,7,FALSE),0)</x:f>
        <x:v>0</x:v>
      </x:c>
      <x:c r="I3377">
        <x:f t="shared" si="56"/>
        <x:v>16580</x:v>
      </x:c>
    </x:row>
    <x:row r="3378" spans="1:9" x14ac:dyDescent="0.15">
      <x:c r="A3378">
        <x:v>54154</x:v>
      </x:c>
      <x:c r="B3378">
        <x:v>3</x:v>
      </x:c>
      <x:c r="C3378">
        <x:v>17</x:v>
      </x:c>
      <x:c r="D3378">
        <x:f>ROUND($C3378*10*VLOOKUP($B3378,Sheet2!$J$5:$K$7,2,FALSE)*VLOOKUP(Sheet1!$A3378,Sheet2!$B$5:$H$29,3,FALSE),0)</x:f>
        <x:v>0</x:v>
      </x:c>
      <x:c r="E3378">
        <x:f>ROUND($C3378*10*VLOOKUP($B3378,Sheet2!$J$5:$K$7,2,FALSE)*VLOOKUP(Sheet1!$A3378,Sheet2!$B$5:$H$29,4,FALSE),0)</x:f>
        <x:v>0</x:v>
      </x:c>
      <x:c r="F3378">
        <x:f>ROUND($C3378*10*VLOOKUP($B3378,Sheet2!$J$5:$K$7,2,FALSE)*VLOOKUP(Sheet1!$A3378,Sheet2!$B$5:$H$29,5,FALSE),0)</x:f>
        <x:v>0</x:v>
      </x:c>
      <x:c r="G3378">
        <x:f>ROUND($C3378*10*VLOOKUP($B3378,Sheet2!$J$5:$K$7,2,FALSE)*VLOOKUP(Sheet1!$A3378,Sheet2!$B$5:$H$29,6,FALSE),0)</x:f>
        <x:v>272</x:v>
      </x:c>
      <x:c r="H3378">
        <x:f>ROUND($C3378*10*VLOOKUP($B3378,Sheet2!$J$5:$K$7,2,FALSE)*VLOOKUP(Sheet1!$A3378,Sheet2!$B$5:$H$29,7,FALSE),0)</x:f>
        <x:v>0</x:v>
      </x:c>
      <x:c r="I3378">
        <x:f t="shared" si="56"/>
        <x:v>18620</x:v>
      </x:c>
    </x:row>
    <x:row r="3379" spans="1:9" x14ac:dyDescent="0.15">
      <x:c r="A3379">
        <x:v>54154</x:v>
      </x:c>
      <x:c r="B3379">
        <x:v>3</x:v>
      </x:c>
      <x:c r="C3379">
        <x:v>18</x:v>
      </x:c>
      <x:c r="D3379">
        <x:f>ROUND($C3379*10*VLOOKUP($B3379,Sheet2!$J$5:$K$7,2,FALSE)*VLOOKUP(Sheet1!$A3379,Sheet2!$B$5:$H$29,3,FALSE),0)</x:f>
        <x:v>0</x:v>
      </x:c>
      <x:c r="E3379">
        <x:f>ROUND($C3379*10*VLOOKUP($B3379,Sheet2!$J$5:$K$7,2,FALSE)*VLOOKUP(Sheet1!$A3379,Sheet2!$B$5:$H$29,4,FALSE),0)</x:f>
        <x:v>0</x:v>
      </x:c>
      <x:c r="F3379">
        <x:f>ROUND($C3379*10*VLOOKUP($B3379,Sheet2!$J$5:$K$7,2,FALSE)*VLOOKUP(Sheet1!$A3379,Sheet2!$B$5:$H$29,5,FALSE),0)</x:f>
        <x:v>0</x:v>
      </x:c>
      <x:c r="G3379">
        <x:f>ROUND($C3379*10*VLOOKUP($B3379,Sheet2!$J$5:$K$7,2,FALSE)*VLOOKUP(Sheet1!$A3379,Sheet2!$B$5:$H$29,6,FALSE),0)</x:f>
        <x:v>288</x:v>
      </x:c>
      <x:c r="H3379">
        <x:f>ROUND($C3379*10*VLOOKUP($B3379,Sheet2!$J$5:$K$7,2,FALSE)*VLOOKUP(Sheet1!$A3379,Sheet2!$B$5:$H$29,7,FALSE),0)</x:f>
        <x:v>0</x:v>
      </x:c>
      <x:c r="I3379">
        <x:f t="shared" si="56"/>
        <x:v>20750</x:v>
      </x:c>
    </x:row>
    <x:row r="3380" spans="1:9" x14ac:dyDescent="0.15">
      <x:c r="A3380">
        <x:v>54154</x:v>
      </x:c>
      <x:c r="B3380">
        <x:v>3</x:v>
      </x:c>
      <x:c r="C3380">
        <x:v>19</x:v>
      </x:c>
      <x:c r="D3380">
        <x:f>ROUND($C3380*10*VLOOKUP($B3380,Sheet2!$J$5:$K$7,2,FALSE)*VLOOKUP(Sheet1!$A3380,Sheet2!$B$5:$H$29,3,FALSE),0)</x:f>
        <x:v>0</x:v>
      </x:c>
      <x:c r="E3380">
        <x:f>ROUND($C3380*10*VLOOKUP($B3380,Sheet2!$J$5:$K$7,2,FALSE)*VLOOKUP(Sheet1!$A3380,Sheet2!$B$5:$H$29,4,FALSE),0)</x:f>
        <x:v>0</x:v>
      </x:c>
      <x:c r="F3380">
        <x:f>ROUND($C3380*10*VLOOKUP($B3380,Sheet2!$J$5:$K$7,2,FALSE)*VLOOKUP(Sheet1!$A3380,Sheet2!$B$5:$H$29,5,FALSE),0)</x:f>
        <x:v>0</x:v>
      </x:c>
      <x:c r="G3380">
        <x:f>ROUND($C3380*10*VLOOKUP($B3380,Sheet2!$J$5:$K$7,2,FALSE)*VLOOKUP(Sheet1!$A3380,Sheet2!$B$5:$H$29,6,FALSE),0)</x:f>
        <x:v>304</x:v>
      </x:c>
      <x:c r="H3380">
        <x:f>ROUND($C3380*10*VLOOKUP($B3380,Sheet2!$J$5:$K$7,2,FALSE)*VLOOKUP(Sheet1!$A3380,Sheet2!$B$5:$H$29,7,FALSE),0)</x:f>
        <x:v>0</x:v>
      </x:c>
      <x:c r="I3380">
        <x:f t="shared" si="56"/>
        <x:v>22990</x:v>
      </x:c>
    </x:row>
    <x:row r="3381" spans="1:9" x14ac:dyDescent="0.15">
      <x:c r="A3381">
        <x:v>54154</x:v>
      </x:c>
      <x:c r="B3381">
        <x:v>3</x:v>
      </x:c>
      <x:c r="C3381">
        <x:v>20</x:v>
      </x:c>
      <x:c r="D3381">
        <x:f>ROUND($C3381*10*VLOOKUP($B3381,Sheet2!$J$5:$K$7,2,FALSE)*VLOOKUP(Sheet1!$A3381,Sheet2!$B$5:$H$29,3,FALSE),0)</x:f>
        <x:v>0</x:v>
      </x:c>
      <x:c r="E3381">
        <x:f>ROUND($C3381*10*VLOOKUP($B3381,Sheet2!$J$5:$K$7,2,FALSE)*VLOOKUP(Sheet1!$A3381,Sheet2!$B$5:$H$29,4,FALSE),0)</x:f>
        <x:v>0</x:v>
      </x:c>
      <x:c r="F3381">
        <x:f>ROUND($C3381*10*VLOOKUP($B3381,Sheet2!$J$5:$K$7,2,FALSE)*VLOOKUP(Sheet1!$A3381,Sheet2!$B$5:$H$29,5,FALSE),0)</x:f>
        <x:v>0</x:v>
      </x:c>
      <x:c r="G3381">
        <x:f>ROUND($C3381*10*VLOOKUP($B3381,Sheet2!$J$5:$K$7,2,FALSE)*VLOOKUP(Sheet1!$A3381,Sheet2!$B$5:$H$29,6,FALSE),0)</x:f>
        <x:v>320</x:v>
      </x:c>
      <x:c r="H3381">
        <x:f>ROUND($C3381*10*VLOOKUP($B3381,Sheet2!$J$5:$K$7,2,FALSE)*VLOOKUP(Sheet1!$A3381,Sheet2!$B$5:$H$29,7,FALSE),0)</x:f>
        <x:v>0</x:v>
      </x:c>
      <x:c r="I3381">
        <x:f t="shared" si="56"/>
        <x:v>25330</x:v>
      </x:c>
    </x:row>
    <x:row r="3382" spans="1:9" x14ac:dyDescent="0.15">
      <x:c r="A3382">
        <x:v>54154</x:v>
      </x:c>
      <x:c r="B3382">
        <x:v>3</x:v>
      </x:c>
      <x:c r="C3382">
        <x:v>21</x:v>
      </x:c>
      <x:c r="D3382">
        <x:f>ROUND($C3382*10*VLOOKUP($B3382,Sheet2!$J$5:$K$7,2,FALSE)*VLOOKUP(Sheet1!$A3382,Sheet2!$B$5:$H$29,3,FALSE),0)</x:f>
        <x:v>0</x:v>
      </x:c>
      <x:c r="E3382">
        <x:f>ROUND($C3382*10*VLOOKUP($B3382,Sheet2!$J$5:$K$7,2,FALSE)*VLOOKUP(Sheet1!$A3382,Sheet2!$B$5:$H$29,4,FALSE),0)</x:f>
        <x:v>0</x:v>
      </x:c>
      <x:c r="F3382">
        <x:f>ROUND($C3382*10*VLOOKUP($B3382,Sheet2!$J$5:$K$7,2,FALSE)*VLOOKUP(Sheet1!$A3382,Sheet2!$B$5:$H$29,5,FALSE),0)</x:f>
        <x:v>0</x:v>
      </x:c>
      <x:c r="G3382">
        <x:f>ROUND($C3382*10*VLOOKUP($B3382,Sheet2!$J$5:$K$7,2,FALSE)*VLOOKUP(Sheet1!$A3382,Sheet2!$B$5:$H$29,6,FALSE),0)</x:f>
        <x:v>336</x:v>
      </x:c>
      <x:c r="H3382">
        <x:f>ROUND($C3382*10*VLOOKUP($B3382,Sheet2!$J$5:$K$7,2,FALSE)*VLOOKUP(Sheet1!$A3382,Sheet2!$B$5:$H$29,7,FALSE),0)</x:f>
        <x:v>0</x:v>
      </x:c>
      <x:c r="I3382">
        <x:f t="shared" si="56"/>
        <x:v>27770</x:v>
      </x:c>
    </x:row>
    <x:row r="3383" spans="1:9" x14ac:dyDescent="0.15">
      <x:c r="A3383">
        <x:v>54154</x:v>
      </x:c>
      <x:c r="B3383">
        <x:v>3</x:v>
      </x:c>
      <x:c r="C3383">
        <x:v>22</x:v>
      </x:c>
      <x:c r="D3383">
        <x:f>ROUND($C3383*10*VLOOKUP($B3383,Sheet2!$J$5:$K$7,2,FALSE)*VLOOKUP(Sheet1!$A3383,Sheet2!$B$5:$H$29,3,FALSE),0)</x:f>
        <x:v>0</x:v>
      </x:c>
      <x:c r="E3383">
        <x:f>ROUND($C3383*10*VLOOKUP($B3383,Sheet2!$J$5:$K$7,2,FALSE)*VLOOKUP(Sheet1!$A3383,Sheet2!$B$5:$H$29,4,FALSE),0)</x:f>
        <x:v>0</x:v>
      </x:c>
      <x:c r="F3383">
        <x:f>ROUND($C3383*10*VLOOKUP($B3383,Sheet2!$J$5:$K$7,2,FALSE)*VLOOKUP(Sheet1!$A3383,Sheet2!$B$5:$H$29,5,FALSE),0)</x:f>
        <x:v>0</x:v>
      </x:c>
      <x:c r="G3383">
        <x:f>ROUND($C3383*10*VLOOKUP($B3383,Sheet2!$J$5:$K$7,2,FALSE)*VLOOKUP(Sheet1!$A3383,Sheet2!$B$5:$H$29,6,FALSE),0)</x:f>
        <x:v>352</x:v>
      </x:c>
      <x:c r="H3383">
        <x:f>ROUND($C3383*10*VLOOKUP($B3383,Sheet2!$J$5:$K$7,2,FALSE)*VLOOKUP(Sheet1!$A3383,Sheet2!$B$5:$H$29,7,FALSE),0)</x:f>
        <x:v>0</x:v>
      </x:c>
      <x:c r="I3383">
        <x:f t="shared" si="56"/>
        <x:v>30310</x:v>
      </x:c>
    </x:row>
    <x:row r="3384" spans="1:9" x14ac:dyDescent="0.15">
      <x:c r="A3384">
        <x:v>54154</x:v>
      </x:c>
      <x:c r="B3384">
        <x:v>3</x:v>
      </x:c>
      <x:c r="C3384">
        <x:v>23</x:v>
      </x:c>
      <x:c r="D3384">
        <x:f>ROUND($C3384*10*VLOOKUP($B3384,Sheet2!$J$5:$K$7,2,FALSE)*VLOOKUP(Sheet1!$A3384,Sheet2!$B$5:$H$29,3,FALSE),0)</x:f>
        <x:v>0</x:v>
      </x:c>
      <x:c r="E3384">
        <x:f>ROUND($C3384*10*VLOOKUP($B3384,Sheet2!$J$5:$K$7,2,FALSE)*VLOOKUP(Sheet1!$A3384,Sheet2!$B$5:$H$29,4,FALSE),0)</x:f>
        <x:v>0</x:v>
      </x:c>
      <x:c r="F3384">
        <x:f>ROUND($C3384*10*VLOOKUP($B3384,Sheet2!$J$5:$K$7,2,FALSE)*VLOOKUP(Sheet1!$A3384,Sheet2!$B$5:$H$29,5,FALSE),0)</x:f>
        <x:v>0</x:v>
      </x:c>
      <x:c r="G3384">
        <x:f>ROUND($C3384*10*VLOOKUP($B3384,Sheet2!$J$5:$K$7,2,FALSE)*VLOOKUP(Sheet1!$A3384,Sheet2!$B$5:$H$29,6,FALSE),0)</x:f>
        <x:v>368</x:v>
      </x:c>
      <x:c r="H3384">
        <x:f>ROUND($C3384*10*VLOOKUP($B3384,Sheet2!$J$5:$K$7,2,FALSE)*VLOOKUP(Sheet1!$A3384,Sheet2!$B$5:$H$29,7,FALSE),0)</x:f>
        <x:v>0</x:v>
      </x:c>
      <x:c r="I3384">
        <x:f t="shared" si="56"/>
        <x:v>32950</x:v>
      </x:c>
    </x:row>
    <x:row r="3385" spans="1:9" x14ac:dyDescent="0.15">
      <x:c r="A3385">
        <x:v>54154</x:v>
      </x:c>
      <x:c r="B3385">
        <x:v>3</x:v>
      </x:c>
      <x:c r="C3385">
        <x:v>24</x:v>
      </x:c>
      <x:c r="D3385">
        <x:f>ROUND($C3385*10*VLOOKUP($B3385,Sheet2!$J$5:$K$7,2,FALSE)*VLOOKUP(Sheet1!$A3385,Sheet2!$B$5:$H$29,3,FALSE),0)</x:f>
        <x:v>0</x:v>
      </x:c>
      <x:c r="E3385">
        <x:f>ROUND($C3385*10*VLOOKUP($B3385,Sheet2!$J$5:$K$7,2,FALSE)*VLOOKUP(Sheet1!$A3385,Sheet2!$B$5:$H$29,4,FALSE),0)</x:f>
        <x:v>0</x:v>
      </x:c>
      <x:c r="F3385">
        <x:f>ROUND($C3385*10*VLOOKUP($B3385,Sheet2!$J$5:$K$7,2,FALSE)*VLOOKUP(Sheet1!$A3385,Sheet2!$B$5:$H$29,5,FALSE),0)</x:f>
        <x:v>0</x:v>
      </x:c>
      <x:c r="G3385">
        <x:f>ROUND($C3385*10*VLOOKUP($B3385,Sheet2!$J$5:$K$7,2,FALSE)*VLOOKUP(Sheet1!$A3385,Sheet2!$B$5:$H$29,6,FALSE),0)</x:f>
        <x:v>384</x:v>
      </x:c>
      <x:c r="H3385">
        <x:f>ROUND($C3385*10*VLOOKUP($B3385,Sheet2!$J$5:$K$7,2,FALSE)*VLOOKUP(Sheet1!$A3385,Sheet2!$B$5:$H$29,7,FALSE),0)</x:f>
        <x:v>0</x:v>
      </x:c>
      <x:c r="I3385">
        <x:f t="shared" si="56"/>
        <x:v>35690</x:v>
      </x:c>
    </x:row>
    <x:row r="3386" spans="1:9" x14ac:dyDescent="0.15">
      <x:c r="A3386">
        <x:v>54154</x:v>
      </x:c>
      <x:c r="B3386">
        <x:v>3</x:v>
      </x:c>
      <x:c r="C3386">
        <x:v>25</x:v>
      </x:c>
      <x:c r="D3386">
        <x:f>ROUND($C3386*10*VLOOKUP($B3386,Sheet2!$J$5:$K$7,2,FALSE)*VLOOKUP(Sheet1!$A3386,Sheet2!$B$5:$H$29,3,FALSE),0)</x:f>
        <x:v>0</x:v>
      </x:c>
      <x:c r="E3386">
        <x:f>ROUND($C3386*10*VLOOKUP($B3386,Sheet2!$J$5:$K$7,2,FALSE)*VLOOKUP(Sheet1!$A3386,Sheet2!$B$5:$H$29,4,FALSE),0)</x:f>
        <x:v>0</x:v>
      </x:c>
      <x:c r="F3386">
        <x:f>ROUND($C3386*10*VLOOKUP($B3386,Sheet2!$J$5:$K$7,2,FALSE)*VLOOKUP(Sheet1!$A3386,Sheet2!$B$5:$H$29,5,FALSE),0)</x:f>
        <x:v>0</x:v>
      </x:c>
      <x:c r="G3386">
        <x:f>ROUND($C3386*10*VLOOKUP($B3386,Sheet2!$J$5:$K$7,2,FALSE)*VLOOKUP(Sheet1!$A3386,Sheet2!$B$5:$H$29,6,FALSE),0)</x:f>
        <x:v>400</x:v>
      </x:c>
      <x:c r="H3386">
        <x:f>ROUND($C3386*10*VLOOKUP($B3386,Sheet2!$J$5:$K$7,2,FALSE)*VLOOKUP(Sheet1!$A3386,Sheet2!$B$5:$H$29,7,FALSE),0)</x:f>
        <x:v>0</x:v>
      </x:c>
      <x:c r="I3386">
        <x:f t="shared" si="56"/>
        <x:v>38530</x:v>
      </x:c>
    </x:row>
    <x:row r="3387" spans="1:9" x14ac:dyDescent="0.15">
      <x:c r="A3387">
        <x:v>54154</x:v>
      </x:c>
      <x:c r="B3387">
        <x:v>3</x:v>
      </x:c>
      <x:c r="C3387">
        <x:v>26</x:v>
      </x:c>
      <x:c r="D3387">
        <x:f>ROUND($C3387*10*VLOOKUP($B3387,Sheet2!$J$5:$K$7,2,FALSE)*VLOOKUP(Sheet1!$A3387,Sheet2!$B$5:$H$29,3,FALSE),0)</x:f>
        <x:v>0</x:v>
      </x:c>
      <x:c r="E3387">
        <x:f>ROUND($C3387*10*VLOOKUP($B3387,Sheet2!$J$5:$K$7,2,FALSE)*VLOOKUP(Sheet1!$A3387,Sheet2!$B$5:$H$29,4,FALSE),0)</x:f>
        <x:v>0</x:v>
      </x:c>
      <x:c r="F3387">
        <x:f>ROUND($C3387*10*VLOOKUP($B3387,Sheet2!$J$5:$K$7,2,FALSE)*VLOOKUP(Sheet1!$A3387,Sheet2!$B$5:$H$29,5,FALSE),0)</x:f>
        <x:v>0</x:v>
      </x:c>
      <x:c r="G3387">
        <x:f>ROUND($C3387*10*VLOOKUP($B3387,Sheet2!$J$5:$K$7,2,FALSE)*VLOOKUP(Sheet1!$A3387,Sheet2!$B$5:$H$29,6,FALSE),0)</x:f>
        <x:v>416</x:v>
      </x:c>
      <x:c r="H3387">
        <x:f>ROUND($C3387*10*VLOOKUP($B3387,Sheet2!$J$5:$K$7,2,FALSE)*VLOOKUP(Sheet1!$A3387,Sheet2!$B$5:$H$29,7,FALSE),0)</x:f>
        <x:v>0</x:v>
      </x:c>
      <x:c r="I3387">
        <x:f t="shared" si="56"/>
        <x:v>41460</x:v>
      </x:c>
    </x:row>
    <x:row r="3388" spans="1:9" x14ac:dyDescent="0.15">
      <x:c r="A3388">
        <x:v>54154</x:v>
      </x:c>
      <x:c r="B3388">
        <x:v>3</x:v>
      </x:c>
      <x:c r="C3388">
        <x:v>27</x:v>
      </x:c>
      <x:c r="D3388">
        <x:f>ROUND($C3388*10*VLOOKUP($B3388,Sheet2!$J$5:$K$7,2,FALSE)*VLOOKUP(Sheet1!$A3388,Sheet2!$B$5:$H$29,3,FALSE),0)</x:f>
        <x:v>0</x:v>
      </x:c>
      <x:c r="E3388">
        <x:f>ROUND($C3388*10*VLOOKUP($B3388,Sheet2!$J$5:$K$7,2,FALSE)*VLOOKUP(Sheet1!$A3388,Sheet2!$B$5:$H$29,4,FALSE),0)</x:f>
        <x:v>0</x:v>
      </x:c>
      <x:c r="F3388">
        <x:f>ROUND($C3388*10*VLOOKUP($B3388,Sheet2!$J$5:$K$7,2,FALSE)*VLOOKUP(Sheet1!$A3388,Sheet2!$B$5:$H$29,5,FALSE),0)</x:f>
        <x:v>0</x:v>
      </x:c>
      <x:c r="G3388">
        <x:f>ROUND($C3388*10*VLOOKUP($B3388,Sheet2!$J$5:$K$7,2,FALSE)*VLOOKUP(Sheet1!$A3388,Sheet2!$B$5:$H$29,6,FALSE),0)</x:f>
        <x:v>432</x:v>
      </x:c>
      <x:c r="H3388">
        <x:f>ROUND($C3388*10*VLOOKUP($B3388,Sheet2!$J$5:$K$7,2,FALSE)*VLOOKUP(Sheet1!$A3388,Sheet2!$B$5:$H$29,7,FALSE),0)</x:f>
        <x:v>0</x:v>
      </x:c>
      <x:c r="I3388">
        <x:f t="shared" si="56"/>
        <x:v>44480</x:v>
      </x:c>
    </x:row>
    <x:row r="3389" spans="1:9" x14ac:dyDescent="0.15">
      <x:c r="A3389">
        <x:v>54154</x:v>
      </x:c>
      <x:c r="B3389">
        <x:v>3</x:v>
      </x:c>
      <x:c r="C3389">
        <x:v>28</x:v>
      </x:c>
      <x:c r="D3389">
        <x:f>ROUND($C3389*10*VLOOKUP($B3389,Sheet2!$J$5:$K$7,2,FALSE)*VLOOKUP(Sheet1!$A3389,Sheet2!$B$5:$H$29,3,FALSE),0)</x:f>
        <x:v>0</x:v>
      </x:c>
      <x:c r="E3389">
        <x:f>ROUND($C3389*10*VLOOKUP($B3389,Sheet2!$J$5:$K$7,2,FALSE)*VLOOKUP(Sheet1!$A3389,Sheet2!$B$5:$H$29,4,FALSE),0)</x:f>
        <x:v>0</x:v>
      </x:c>
      <x:c r="F3389">
        <x:f>ROUND($C3389*10*VLOOKUP($B3389,Sheet2!$J$5:$K$7,2,FALSE)*VLOOKUP(Sheet1!$A3389,Sheet2!$B$5:$H$29,5,FALSE),0)</x:f>
        <x:v>0</x:v>
      </x:c>
      <x:c r="G3389">
        <x:f>ROUND($C3389*10*VLOOKUP($B3389,Sheet2!$J$5:$K$7,2,FALSE)*VLOOKUP(Sheet1!$A3389,Sheet2!$B$5:$H$29,6,FALSE),0)</x:f>
        <x:v>448</x:v>
      </x:c>
      <x:c r="H3389">
        <x:f>ROUND($C3389*10*VLOOKUP($B3389,Sheet2!$J$5:$K$7,2,FALSE)*VLOOKUP(Sheet1!$A3389,Sheet2!$B$5:$H$29,7,FALSE),0)</x:f>
        <x:v>0</x:v>
      </x:c>
      <x:c r="I3389">
        <x:f t="shared" si="56"/>
        <x:v>47600</x:v>
      </x:c>
    </x:row>
    <x:row r="3390" spans="1:9" x14ac:dyDescent="0.15">
      <x:c r="A3390">
        <x:v>54154</x:v>
      </x:c>
      <x:c r="B3390">
        <x:v>3</x:v>
      </x:c>
      <x:c r="C3390">
        <x:v>29</x:v>
      </x:c>
      <x:c r="D3390">
        <x:f>ROUND($C3390*10*VLOOKUP($B3390,Sheet2!$J$5:$K$7,2,FALSE)*VLOOKUP(Sheet1!$A3390,Sheet2!$B$5:$H$29,3,FALSE),0)</x:f>
        <x:v>0</x:v>
      </x:c>
      <x:c r="E3390">
        <x:f>ROUND($C3390*10*VLOOKUP($B3390,Sheet2!$J$5:$K$7,2,FALSE)*VLOOKUP(Sheet1!$A3390,Sheet2!$B$5:$H$29,4,FALSE),0)</x:f>
        <x:v>0</x:v>
      </x:c>
      <x:c r="F3390">
        <x:f>ROUND($C3390*10*VLOOKUP($B3390,Sheet2!$J$5:$K$7,2,FALSE)*VLOOKUP(Sheet1!$A3390,Sheet2!$B$5:$H$29,5,FALSE),0)</x:f>
        <x:v>0</x:v>
      </x:c>
      <x:c r="G3390">
        <x:f>ROUND($C3390*10*VLOOKUP($B3390,Sheet2!$J$5:$K$7,2,FALSE)*VLOOKUP(Sheet1!$A3390,Sheet2!$B$5:$H$29,6,FALSE),0)</x:f>
        <x:v>464</x:v>
      </x:c>
      <x:c r="H3390">
        <x:f>ROUND($C3390*10*VLOOKUP($B3390,Sheet2!$J$5:$K$7,2,FALSE)*VLOOKUP(Sheet1!$A3390,Sheet2!$B$5:$H$29,7,FALSE),0)</x:f>
        <x:v>0</x:v>
      </x:c>
      <x:c r="I3390">
        <x:f t="shared" si="56"/>
        <x:v>50820</x:v>
      </x:c>
    </x:row>
    <x:row r="3391" spans="1:9" x14ac:dyDescent="0.15">
      <x:c r="A3391">
        <x:v>54154</x:v>
      </x:c>
      <x:c r="B3391">
        <x:v>3</x:v>
      </x:c>
      <x:c r="C3391">
        <x:v>30</x:v>
      </x:c>
      <x:c r="D3391">
        <x:f>ROUND($C3391*10*VLOOKUP($B3391,Sheet2!$J$5:$K$7,2,FALSE)*VLOOKUP(Sheet1!$A3391,Sheet2!$B$5:$H$29,3,FALSE),0)</x:f>
        <x:v>0</x:v>
      </x:c>
      <x:c r="E3391">
        <x:f>ROUND($C3391*10*VLOOKUP($B3391,Sheet2!$J$5:$K$7,2,FALSE)*VLOOKUP(Sheet1!$A3391,Sheet2!$B$5:$H$29,4,FALSE),0)</x:f>
        <x:v>0</x:v>
      </x:c>
      <x:c r="F3391">
        <x:f>ROUND($C3391*10*VLOOKUP($B3391,Sheet2!$J$5:$K$7,2,FALSE)*VLOOKUP(Sheet1!$A3391,Sheet2!$B$5:$H$29,5,FALSE),0)</x:f>
        <x:v>0</x:v>
      </x:c>
      <x:c r="G3391">
        <x:f>ROUND($C3391*10*VLOOKUP($B3391,Sheet2!$J$5:$K$7,2,FALSE)*VLOOKUP(Sheet1!$A3391,Sheet2!$B$5:$H$29,6,FALSE),0)</x:f>
        <x:v>480</x:v>
      </x:c>
      <x:c r="H3391">
        <x:f>ROUND($C3391*10*VLOOKUP($B3391,Sheet2!$J$5:$K$7,2,FALSE)*VLOOKUP(Sheet1!$A3391,Sheet2!$B$5:$H$29,7,FALSE),0)</x:f>
        <x:v>0</x:v>
      </x:c>
      <x:c r="I3391">
        <x:f t="shared" si="56"/>
        <x:v>54130</x:v>
      </x:c>
    </x:row>
    <x:row r="3392" spans="1:9" x14ac:dyDescent="0.15">
      <x:c r="A3392">
        <x:v>54154</x:v>
      </x:c>
      <x:c r="B3392">
        <x:v>3</x:v>
      </x:c>
      <x:c r="C3392">
        <x:v>31</x:v>
      </x:c>
      <x:c r="D3392">
        <x:f>ROUND($C3392*10*VLOOKUP($B3392,Sheet2!$J$5:$K$7,2,FALSE)*VLOOKUP(Sheet1!$A3392,Sheet2!$B$5:$H$29,3,FALSE),0)</x:f>
        <x:v>0</x:v>
      </x:c>
      <x:c r="E3392">
        <x:f>ROUND($C3392*10*VLOOKUP($B3392,Sheet2!$J$5:$K$7,2,FALSE)*VLOOKUP(Sheet1!$A3392,Sheet2!$B$5:$H$29,4,FALSE),0)</x:f>
        <x:v>0</x:v>
      </x:c>
      <x:c r="F3392">
        <x:f>ROUND($C3392*10*VLOOKUP($B3392,Sheet2!$J$5:$K$7,2,FALSE)*VLOOKUP(Sheet1!$A3392,Sheet2!$B$5:$H$29,5,FALSE),0)</x:f>
        <x:v>0</x:v>
      </x:c>
      <x:c r="G3392">
        <x:f>ROUND($C3392*10*VLOOKUP($B3392,Sheet2!$J$5:$K$7,2,FALSE)*VLOOKUP(Sheet1!$A3392,Sheet2!$B$5:$H$29,6,FALSE),0)</x:f>
        <x:v>496</x:v>
      </x:c>
      <x:c r="H3392">
        <x:f>ROUND($C3392*10*VLOOKUP($B3392,Sheet2!$J$5:$K$7,2,FALSE)*VLOOKUP(Sheet1!$A3392,Sheet2!$B$5:$H$29,7,FALSE),0)</x:f>
        <x:v>0</x:v>
      </x:c>
      <x:c r="I3392">
        <x:f t="shared" si="56"/>
        <x:v>57530</x:v>
      </x:c>
    </x:row>
    <x:row r="3393" spans="1:9" x14ac:dyDescent="0.15">
      <x:c r="A3393">
        <x:v>54154</x:v>
      </x:c>
      <x:c r="B3393">
        <x:v>3</x:v>
      </x:c>
      <x:c r="C3393">
        <x:v>32</x:v>
      </x:c>
      <x:c r="D3393">
        <x:f>ROUND($C3393*10*VLOOKUP($B3393,Sheet2!$J$5:$K$7,2,FALSE)*VLOOKUP(Sheet1!$A3393,Sheet2!$B$5:$H$29,3,FALSE),0)</x:f>
        <x:v>0</x:v>
      </x:c>
      <x:c r="E3393">
        <x:f>ROUND($C3393*10*VLOOKUP($B3393,Sheet2!$J$5:$K$7,2,FALSE)*VLOOKUP(Sheet1!$A3393,Sheet2!$B$5:$H$29,4,FALSE),0)</x:f>
        <x:v>0</x:v>
      </x:c>
      <x:c r="F3393">
        <x:f>ROUND($C3393*10*VLOOKUP($B3393,Sheet2!$J$5:$K$7,2,FALSE)*VLOOKUP(Sheet1!$A3393,Sheet2!$B$5:$H$29,5,FALSE),0)</x:f>
        <x:v>0</x:v>
      </x:c>
      <x:c r="G3393">
        <x:f>ROUND($C3393*10*VLOOKUP($B3393,Sheet2!$J$5:$K$7,2,FALSE)*VLOOKUP(Sheet1!$A3393,Sheet2!$B$5:$H$29,6,FALSE),0)</x:f>
        <x:v>512</x:v>
      </x:c>
      <x:c r="H3393">
        <x:f>ROUND($C3393*10*VLOOKUP($B3393,Sheet2!$J$5:$K$7,2,FALSE)*VLOOKUP(Sheet1!$A3393,Sheet2!$B$5:$H$29,7,FALSE),0)</x:f>
        <x:v>0</x:v>
      </x:c>
      <x:c r="I3393">
        <x:f t="shared" si="56"/>
        <x:v>61020</x:v>
      </x:c>
    </x:row>
    <x:row r="3394" spans="1:9" x14ac:dyDescent="0.15">
      <x:c r="A3394">
        <x:v>54154</x:v>
      </x:c>
      <x:c r="B3394">
        <x:v>3</x:v>
      </x:c>
      <x:c r="C3394">
        <x:v>33</x:v>
      </x:c>
      <x:c r="D3394">
        <x:f>ROUND($C3394*10*VLOOKUP($B3394,Sheet2!$J$5:$K$7,2,FALSE)*VLOOKUP(Sheet1!$A3394,Sheet2!$B$5:$H$29,3,FALSE),0)</x:f>
        <x:v>0</x:v>
      </x:c>
      <x:c r="E3394">
        <x:f>ROUND($C3394*10*VLOOKUP($B3394,Sheet2!$J$5:$K$7,2,FALSE)*VLOOKUP(Sheet1!$A3394,Sheet2!$B$5:$H$29,4,FALSE),0)</x:f>
        <x:v>0</x:v>
      </x:c>
      <x:c r="F3394">
        <x:f>ROUND($C3394*10*VLOOKUP($B3394,Sheet2!$J$5:$K$7,2,FALSE)*VLOOKUP(Sheet1!$A3394,Sheet2!$B$5:$H$29,5,FALSE),0)</x:f>
        <x:v>0</x:v>
      </x:c>
      <x:c r="G3394">
        <x:f>ROUND($C3394*10*VLOOKUP($B3394,Sheet2!$J$5:$K$7,2,FALSE)*VLOOKUP(Sheet1!$A3394,Sheet2!$B$5:$H$29,6,FALSE),0)</x:f>
        <x:v>528</x:v>
      </x:c>
      <x:c r="H3394">
        <x:f>ROUND($C3394*10*VLOOKUP($B3394,Sheet2!$J$5:$K$7,2,FALSE)*VLOOKUP(Sheet1!$A3394,Sheet2!$B$5:$H$29,7,FALSE),0)</x:f>
        <x:v>0</x:v>
      </x:c>
      <x:c r="I3394">
        <x:f t="shared" si="56"/>
        <x:v>64600</x:v>
      </x:c>
    </x:row>
    <x:row r="3395" spans="1:9" x14ac:dyDescent="0.15">
      <x:c r="A3395">
        <x:v>54154</x:v>
      </x:c>
      <x:c r="B3395">
        <x:v>3</x:v>
      </x:c>
      <x:c r="C3395">
        <x:v>34</x:v>
      </x:c>
      <x:c r="D3395">
        <x:f>ROUND($C3395*10*VLOOKUP($B3395,Sheet2!$J$5:$K$7,2,FALSE)*VLOOKUP(Sheet1!$A3395,Sheet2!$B$5:$H$29,3,FALSE),0)</x:f>
        <x:v>0</x:v>
      </x:c>
      <x:c r="E3395">
        <x:f>ROUND($C3395*10*VLOOKUP($B3395,Sheet2!$J$5:$K$7,2,FALSE)*VLOOKUP(Sheet1!$A3395,Sheet2!$B$5:$H$29,4,FALSE),0)</x:f>
        <x:v>0</x:v>
      </x:c>
      <x:c r="F3395">
        <x:f>ROUND($C3395*10*VLOOKUP($B3395,Sheet2!$J$5:$K$7,2,FALSE)*VLOOKUP(Sheet1!$A3395,Sheet2!$B$5:$H$29,5,FALSE),0)</x:f>
        <x:v>0</x:v>
      </x:c>
      <x:c r="G3395">
        <x:f>ROUND($C3395*10*VLOOKUP($B3395,Sheet2!$J$5:$K$7,2,FALSE)*VLOOKUP(Sheet1!$A3395,Sheet2!$B$5:$H$29,6,FALSE),0)</x:f>
        <x:v>544</x:v>
      </x:c>
      <x:c r="H3395">
        <x:f>ROUND($C3395*10*VLOOKUP($B3395,Sheet2!$J$5:$K$7,2,FALSE)*VLOOKUP(Sheet1!$A3395,Sheet2!$B$5:$H$29,7,FALSE),0)</x:f>
        <x:v>0</x:v>
      </x:c>
      <x:c r="I3395">
        <x:f t="shared" si="56"/>
        <x:v>68280</x:v>
      </x:c>
    </x:row>
    <x:row r="3396" spans="1:9" x14ac:dyDescent="0.15">
      <x:c r="A3396">
        <x:v>54154</x:v>
      </x:c>
      <x:c r="B3396">
        <x:v>3</x:v>
      </x:c>
      <x:c r="C3396">
        <x:v>35</x:v>
      </x:c>
      <x:c r="D3396">
        <x:f>ROUND($C3396*10*VLOOKUP($B3396,Sheet2!$J$5:$K$7,2,FALSE)*VLOOKUP(Sheet1!$A3396,Sheet2!$B$5:$H$29,3,FALSE),0)</x:f>
        <x:v>0</x:v>
      </x:c>
      <x:c r="E3396">
        <x:f>ROUND($C3396*10*VLOOKUP($B3396,Sheet2!$J$5:$K$7,2,FALSE)*VLOOKUP(Sheet1!$A3396,Sheet2!$B$5:$H$29,4,FALSE),0)</x:f>
        <x:v>0</x:v>
      </x:c>
      <x:c r="F3396">
        <x:f>ROUND($C3396*10*VLOOKUP($B3396,Sheet2!$J$5:$K$7,2,FALSE)*VLOOKUP(Sheet1!$A3396,Sheet2!$B$5:$H$29,5,FALSE),0)</x:f>
        <x:v>0</x:v>
      </x:c>
      <x:c r="G3396">
        <x:f>ROUND($C3396*10*VLOOKUP($B3396,Sheet2!$J$5:$K$7,2,FALSE)*VLOOKUP(Sheet1!$A3396,Sheet2!$B$5:$H$29,6,FALSE),0)</x:f>
        <x:v>560</x:v>
      </x:c>
      <x:c r="H3396">
        <x:f>ROUND($C3396*10*VLOOKUP($B3396,Sheet2!$J$5:$K$7,2,FALSE)*VLOOKUP(Sheet1!$A3396,Sheet2!$B$5:$H$29,7,FALSE),0)</x:f>
        <x:v>0</x:v>
      </x:c>
      <x:c r="I3396">
        <x:f t="shared" si="56"/>
        <x:v>72040</x:v>
      </x:c>
    </x:row>
    <x:row r="3397" spans="1:9" x14ac:dyDescent="0.15">
      <x:c r="A3397">
        <x:v>54154</x:v>
      </x:c>
      <x:c r="B3397">
        <x:v>3</x:v>
      </x:c>
      <x:c r="C3397">
        <x:v>36</x:v>
      </x:c>
      <x:c r="D3397">
        <x:f>ROUND($C3397*10*VLOOKUP($B3397,Sheet2!$J$5:$K$7,2,FALSE)*VLOOKUP(Sheet1!$A3397,Sheet2!$B$5:$H$29,3,FALSE),0)</x:f>
        <x:v>0</x:v>
      </x:c>
      <x:c r="E3397">
        <x:f>ROUND($C3397*10*VLOOKUP($B3397,Sheet2!$J$5:$K$7,2,FALSE)*VLOOKUP(Sheet1!$A3397,Sheet2!$B$5:$H$29,4,FALSE),0)</x:f>
        <x:v>0</x:v>
      </x:c>
      <x:c r="F3397">
        <x:f>ROUND($C3397*10*VLOOKUP($B3397,Sheet2!$J$5:$K$7,2,FALSE)*VLOOKUP(Sheet1!$A3397,Sheet2!$B$5:$H$29,5,FALSE),0)</x:f>
        <x:v>0</x:v>
      </x:c>
      <x:c r="G3397">
        <x:f>ROUND($C3397*10*VLOOKUP($B3397,Sheet2!$J$5:$K$7,2,FALSE)*VLOOKUP(Sheet1!$A3397,Sheet2!$B$5:$H$29,6,FALSE),0)</x:f>
        <x:v>576</x:v>
      </x:c>
      <x:c r="H3397">
        <x:f>ROUND($C3397*10*VLOOKUP($B3397,Sheet2!$J$5:$K$7,2,FALSE)*VLOOKUP(Sheet1!$A3397,Sheet2!$B$5:$H$29,7,FALSE),0)</x:f>
        <x:v>0</x:v>
      </x:c>
      <x:c r="I3397">
        <x:f t="shared" si="56"/>
        <x:v>75890</x:v>
      </x:c>
    </x:row>
    <x:row r="3398" spans="1:9" x14ac:dyDescent="0.15">
      <x:c r="A3398">
        <x:v>54154</x:v>
      </x:c>
      <x:c r="B3398">
        <x:v>3</x:v>
      </x:c>
      <x:c r="C3398">
        <x:v>37</x:v>
      </x:c>
      <x:c r="D3398">
        <x:f>ROUND($C3398*10*VLOOKUP($B3398,Sheet2!$J$5:$K$7,2,FALSE)*VLOOKUP(Sheet1!$A3398,Sheet2!$B$5:$H$29,3,FALSE),0)</x:f>
        <x:v>0</x:v>
      </x:c>
      <x:c r="E3398">
        <x:f>ROUND($C3398*10*VLOOKUP($B3398,Sheet2!$J$5:$K$7,2,FALSE)*VLOOKUP(Sheet1!$A3398,Sheet2!$B$5:$H$29,4,FALSE),0)</x:f>
        <x:v>0</x:v>
      </x:c>
      <x:c r="F3398">
        <x:f>ROUND($C3398*10*VLOOKUP($B3398,Sheet2!$J$5:$K$7,2,FALSE)*VLOOKUP(Sheet1!$A3398,Sheet2!$B$5:$H$29,5,FALSE),0)</x:f>
        <x:v>0</x:v>
      </x:c>
      <x:c r="G3398">
        <x:f>ROUND($C3398*10*VLOOKUP($B3398,Sheet2!$J$5:$K$7,2,FALSE)*VLOOKUP(Sheet1!$A3398,Sheet2!$B$5:$H$29,6,FALSE),0)</x:f>
        <x:v>592</x:v>
      </x:c>
      <x:c r="H3398">
        <x:f>ROUND($C3398*10*VLOOKUP($B3398,Sheet2!$J$5:$K$7,2,FALSE)*VLOOKUP(Sheet1!$A3398,Sheet2!$B$5:$H$29,7,FALSE),0)</x:f>
        <x:v>0</x:v>
      </x:c>
      <x:c r="I3398">
        <x:f t="shared" si="56"/>
        <x:v>79840</x:v>
      </x:c>
    </x:row>
    <x:row r="3399" spans="1:9" x14ac:dyDescent="0.15">
      <x:c r="A3399">
        <x:v>54154</x:v>
      </x:c>
      <x:c r="B3399">
        <x:v>3</x:v>
      </x:c>
      <x:c r="C3399">
        <x:v>38</x:v>
      </x:c>
      <x:c r="D3399">
        <x:f>ROUND($C3399*10*VLOOKUP($B3399,Sheet2!$J$5:$K$7,2,FALSE)*VLOOKUP(Sheet1!$A3399,Sheet2!$B$5:$H$29,3,FALSE),0)</x:f>
        <x:v>0</x:v>
      </x:c>
      <x:c r="E3399">
        <x:f>ROUND($C3399*10*VLOOKUP($B3399,Sheet2!$J$5:$K$7,2,FALSE)*VLOOKUP(Sheet1!$A3399,Sheet2!$B$5:$H$29,4,FALSE),0)</x:f>
        <x:v>0</x:v>
      </x:c>
      <x:c r="F3399">
        <x:f>ROUND($C3399*10*VLOOKUP($B3399,Sheet2!$J$5:$K$7,2,FALSE)*VLOOKUP(Sheet1!$A3399,Sheet2!$B$5:$H$29,5,FALSE),0)</x:f>
        <x:v>0</x:v>
      </x:c>
      <x:c r="G3399">
        <x:f>ROUND($C3399*10*VLOOKUP($B3399,Sheet2!$J$5:$K$7,2,FALSE)*VLOOKUP(Sheet1!$A3399,Sheet2!$B$5:$H$29,6,FALSE),0)</x:f>
        <x:v>608</x:v>
      </x:c>
      <x:c r="H3399">
        <x:f>ROUND($C3399*10*VLOOKUP($B3399,Sheet2!$J$5:$K$7,2,FALSE)*VLOOKUP(Sheet1!$A3399,Sheet2!$B$5:$H$29,7,FALSE),0)</x:f>
        <x:v>0</x:v>
      </x:c>
      <x:c r="I3399">
        <x:f t="shared" si="56"/>
        <x:v>83870</x:v>
      </x:c>
    </x:row>
    <x:row r="3400" spans="1:9" x14ac:dyDescent="0.15">
      <x:c r="A3400">
        <x:v>54154</x:v>
      </x:c>
      <x:c r="B3400">
        <x:v>3</x:v>
      </x:c>
      <x:c r="C3400">
        <x:v>39</x:v>
      </x:c>
      <x:c r="D3400">
        <x:f>ROUND($C3400*10*VLOOKUP($B3400,Sheet2!$J$5:$K$7,2,FALSE)*VLOOKUP(Sheet1!$A3400,Sheet2!$B$5:$H$29,3,FALSE),0)</x:f>
        <x:v>0</x:v>
      </x:c>
      <x:c r="E3400">
        <x:f>ROUND($C3400*10*VLOOKUP($B3400,Sheet2!$J$5:$K$7,2,FALSE)*VLOOKUP(Sheet1!$A3400,Sheet2!$B$5:$H$29,4,FALSE),0)</x:f>
        <x:v>0</x:v>
      </x:c>
      <x:c r="F3400">
        <x:f>ROUND($C3400*10*VLOOKUP($B3400,Sheet2!$J$5:$K$7,2,FALSE)*VLOOKUP(Sheet1!$A3400,Sheet2!$B$5:$H$29,5,FALSE),0)</x:f>
        <x:v>0</x:v>
      </x:c>
      <x:c r="G3400">
        <x:f>ROUND($C3400*10*VLOOKUP($B3400,Sheet2!$J$5:$K$7,2,FALSE)*VLOOKUP(Sheet1!$A3400,Sheet2!$B$5:$H$29,6,FALSE),0)</x:f>
        <x:v>624</x:v>
      </x:c>
      <x:c r="H3400">
        <x:f>ROUND($C3400*10*VLOOKUP($B3400,Sheet2!$J$5:$K$7,2,FALSE)*VLOOKUP(Sheet1!$A3400,Sheet2!$B$5:$H$29,7,FALSE),0)</x:f>
        <x:v>0</x:v>
      </x:c>
      <x:c r="I3400">
        <x:f t="shared" si="56"/>
        <x:v>87990</x:v>
      </x:c>
    </x:row>
    <x:row r="3401" spans="1:9" x14ac:dyDescent="0.15">
      <x:c r="A3401">
        <x:v>54154</x:v>
      </x:c>
      <x:c r="B3401">
        <x:v>3</x:v>
      </x:c>
      <x:c r="C3401">
        <x:v>40</x:v>
      </x:c>
      <x:c r="D3401">
        <x:f>ROUND($C3401*10*VLOOKUP($B3401,Sheet2!$J$5:$K$7,2,FALSE)*VLOOKUP(Sheet1!$A3401,Sheet2!$B$5:$H$29,3,FALSE),0)</x:f>
        <x:v>0</x:v>
      </x:c>
      <x:c r="E3401">
        <x:f>ROUND($C3401*10*VLOOKUP($B3401,Sheet2!$J$5:$K$7,2,FALSE)*VLOOKUP(Sheet1!$A3401,Sheet2!$B$5:$H$29,4,FALSE),0)</x:f>
        <x:v>0</x:v>
      </x:c>
      <x:c r="F3401">
        <x:f>ROUND($C3401*10*VLOOKUP($B3401,Sheet2!$J$5:$K$7,2,FALSE)*VLOOKUP(Sheet1!$A3401,Sheet2!$B$5:$H$29,5,FALSE),0)</x:f>
        <x:v>0</x:v>
      </x:c>
      <x:c r="G3401">
        <x:f>ROUND($C3401*10*VLOOKUP($B3401,Sheet2!$J$5:$K$7,2,FALSE)*VLOOKUP(Sheet1!$A3401,Sheet2!$B$5:$H$29,6,FALSE),0)</x:f>
        <x:v>640</x:v>
      </x:c>
      <x:c r="H3401">
        <x:f>ROUND($C3401*10*VLOOKUP($B3401,Sheet2!$J$5:$K$7,2,FALSE)*VLOOKUP(Sheet1!$A3401,Sheet2!$B$5:$H$29,7,FALSE),0)</x:f>
        <x:v>0</x:v>
      </x:c>
      <x:c r="I3401">
        <x:f t="shared" si="56"/>
        <x:v>92200</x:v>
      </x:c>
    </x:row>
    <x:row r="3402" spans="1:9" x14ac:dyDescent="0.15">
      <x:c r="A3402">
        <x:v>54154</x:v>
      </x:c>
      <x:c r="B3402">
        <x:v>3</x:v>
      </x:c>
      <x:c r="C3402">
        <x:v>41</x:v>
      </x:c>
      <x:c r="D3402">
        <x:f>ROUND($C3402*10*VLOOKUP($B3402,Sheet2!$J$5:$K$7,2,FALSE)*VLOOKUP(Sheet1!$A3402,Sheet2!$B$5:$H$29,3,FALSE),0)</x:f>
        <x:v>0</x:v>
      </x:c>
      <x:c r="E3402">
        <x:f>ROUND($C3402*10*VLOOKUP($B3402,Sheet2!$J$5:$K$7,2,FALSE)*VLOOKUP(Sheet1!$A3402,Sheet2!$B$5:$H$29,4,FALSE),0)</x:f>
        <x:v>0</x:v>
      </x:c>
      <x:c r="F3402">
        <x:f>ROUND($C3402*10*VLOOKUP($B3402,Sheet2!$J$5:$K$7,2,FALSE)*VLOOKUP(Sheet1!$A3402,Sheet2!$B$5:$H$29,5,FALSE),0)</x:f>
        <x:v>0</x:v>
      </x:c>
      <x:c r="G3402">
        <x:f>ROUND($C3402*10*VLOOKUP($B3402,Sheet2!$J$5:$K$7,2,FALSE)*VLOOKUP(Sheet1!$A3402,Sheet2!$B$5:$H$29,6,FALSE),0)</x:f>
        <x:v>656</x:v>
      </x:c>
      <x:c r="H3402">
        <x:f>ROUND($C3402*10*VLOOKUP($B3402,Sheet2!$J$5:$K$7,2,FALSE)*VLOOKUP(Sheet1!$A3402,Sheet2!$B$5:$H$29,7,FALSE),0)</x:f>
        <x:v>0</x:v>
      </x:c>
      <x:c r="I3402">
        <x:f t="shared" si="56"/>
        <x:v>96490</x:v>
      </x:c>
    </x:row>
    <x:row r="3403" spans="1:9" x14ac:dyDescent="0.15">
      <x:c r="A3403">
        <x:v>54154</x:v>
      </x:c>
      <x:c r="B3403">
        <x:v>3</x:v>
      </x:c>
      <x:c r="C3403">
        <x:v>42</x:v>
      </x:c>
      <x:c r="D3403">
        <x:f>ROUND($C3403*10*VLOOKUP($B3403,Sheet2!$J$5:$K$7,2,FALSE)*VLOOKUP(Sheet1!$A3403,Sheet2!$B$5:$H$29,3,FALSE),0)</x:f>
        <x:v>0</x:v>
      </x:c>
      <x:c r="E3403">
        <x:f>ROUND($C3403*10*VLOOKUP($B3403,Sheet2!$J$5:$K$7,2,FALSE)*VLOOKUP(Sheet1!$A3403,Sheet2!$B$5:$H$29,4,FALSE),0)</x:f>
        <x:v>0</x:v>
      </x:c>
      <x:c r="F3403">
        <x:f>ROUND($C3403*10*VLOOKUP($B3403,Sheet2!$J$5:$K$7,2,FALSE)*VLOOKUP(Sheet1!$A3403,Sheet2!$B$5:$H$29,5,FALSE),0)</x:f>
        <x:v>0</x:v>
      </x:c>
      <x:c r="G3403">
        <x:f>ROUND($C3403*10*VLOOKUP($B3403,Sheet2!$J$5:$K$7,2,FALSE)*VLOOKUP(Sheet1!$A3403,Sheet2!$B$5:$H$29,6,FALSE),0)</x:f>
        <x:v>672</x:v>
      </x:c>
      <x:c r="H3403">
        <x:f>ROUND($C3403*10*VLOOKUP($B3403,Sheet2!$J$5:$K$7,2,FALSE)*VLOOKUP(Sheet1!$A3403,Sheet2!$B$5:$H$29,7,FALSE),0)</x:f>
        <x:v>0</x:v>
      </x:c>
      <x:c r="I3403">
        <x:f t="shared" si="56"/>
        <x:v>100870</x:v>
      </x:c>
    </x:row>
    <x:row r="3404" spans="1:9" x14ac:dyDescent="0.15">
      <x:c r="A3404">
        <x:v>54154</x:v>
      </x:c>
      <x:c r="B3404">
        <x:v>3</x:v>
      </x:c>
      <x:c r="C3404">
        <x:v>43</x:v>
      </x:c>
      <x:c r="D3404">
        <x:f>ROUND($C3404*10*VLOOKUP($B3404,Sheet2!$J$5:$K$7,2,FALSE)*VLOOKUP(Sheet1!$A3404,Sheet2!$B$5:$H$29,3,FALSE),0)</x:f>
        <x:v>0</x:v>
      </x:c>
      <x:c r="E3404">
        <x:f>ROUND($C3404*10*VLOOKUP($B3404,Sheet2!$J$5:$K$7,2,FALSE)*VLOOKUP(Sheet1!$A3404,Sheet2!$B$5:$H$29,4,FALSE),0)</x:f>
        <x:v>0</x:v>
      </x:c>
      <x:c r="F3404">
        <x:f>ROUND($C3404*10*VLOOKUP($B3404,Sheet2!$J$5:$K$7,2,FALSE)*VLOOKUP(Sheet1!$A3404,Sheet2!$B$5:$H$29,5,FALSE),0)</x:f>
        <x:v>0</x:v>
      </x:c>
      <x:c r="G3404">
        <x:f>ROUND($C3404*10*VLOOKUP($B3404,Sheet2!$J$5:$K$7,2,FALSE)*VLOOKUP(Sheet1!$A3404,Sheet2!$B$5:$H$29,6,FALSE),0)</x:f>
        <x:v>688</x:v>
      </x:c>
      <x:c r="H3404">
        <x:f>ROUND($C3404*10*VLOOKUP($B3404,Sheet2!$J$5:$K$7,2,FALSE)*VLOOKUP(Sheet1!$A3404,Sheet2!$B$5:$H$29,7,FALSE),0)</x:f>
        <x:v>0</x:v>
      </x:c>
      <x:c r="I3404">
        <x:f t="shared" si="56"/>
        <x:v>105340</x:v>
      </x:c>
    </x:row>
    <x:row r="3405" spans="1:9" x14ac:dyDescent="0.15">
      <x:c r="A3405">
        <x:v>54154</x:v>
      </x:c>
      <x:c r="B3405">
        <x:v>3</x:v>
      </x:c>
      <x:c r="C3405">
        <x:v>44</x:v>
      </x:c>
      <x:c r="D3405">
        <x:f>ROUND($C3405*10*VLOOKUP($B3405,Sheet2!$J$5:$K$7,2,FALSE)*VLOOKUP(Sheet1!$A3405,Sheet2!$B$5:$H$29,3,FALSE),0)</x:f>
        <x:v>0</x:v>
      </x:c>
      <x:c r="E3405">
        <x:f>ROUND($C3405*10*VLOOKUP($B3405,Sheet2!$J$5:$K$7,2,FALSE)*VLOOKUP(Sheet1!$A3405,Sheet2!$B$5:$H$29,4,FALSE),0)</x:f>
        <x:v>0</x:v>
      </x:c>
      <x:c r="F3405">
        <x:f>ROUND($C3405*10*VLOOKUP($B3405,Sheet2!$J$5:$K$7,2,FALSE)*VLOOKUP(Sheet1!$A3405,Sheet2!$B$5:$H$29,5,FALSE),0)</x:f>
        <x:v>0</x:v>
      </x:c>
      <x:c r="G3405">
        <x:f>ROUND($C3405*10*VLOOKUP($B3405,Sheet2!$J$5:$K$7,2,FALSE)*VLOOKUP(Sheet1!$A3405,Sheet2!$B$5:$H$29,6,FALSE),0)</x:f>
        <x:v>704</x:v>
      </x:c>
      <x:c r="H3405">
        <x:f>ROUND($C3405*10*VLOOKUP($B3405,Sheet2!$J$5:$K$7,2,FALSE)*VLOOKUP(Sheet1!$A3405,Sheet2!$B$5:$H$29,7,FALSE),0)</x:f>
        <x:v>0</x:v>
      </x:c>
      <x:c r="I3405">
        <x:f t="shared" si="56"/>
        <x:v>109890</x:v>
      </x:c>
    </x:row>
    <x:row r="3406" spans="1:9" x14ac:dyDescent="0.15">
      <x:c r="A3406">
        <x:v>54154</x:v>
      </x:c>
      <x:c r="B3406">
        <x:v>3</x:v>
      </x:c>
      <x:c r="C3406">
        <x:v>45</x:v>
      </x:c>
      <x:c r="D3406">
        <x:f>ROUND($C3406*10*VLOOKUP($B3406,Sheet2!$J$5:$K$7,2,FALSE)*VLOOKUP(Sheet1!$A3406,Sheet2!$B$5:$H$29,3,FALSE),0)</x:f>
        <x:v>0</x:v>
      </x:c>
      <x:c r="E3406">
        <x:f>ROUND($C3406*10*VLOOKUP($B3406,Sheet2!$J$5:$K$7,2,FALSE)*VLOOKUP(Sheet1!$A3406,Sheet2!$B$5:$H$29,4,FALSE),0)</x:f>
        <x:v>0</x:v>
      </x:c>
      <x:c r="F3406">
        <x:f>ROUND($C3406*10*VLOOKUP($B3406,Sheet2!$J$5:$K$7,2,FALSE)*VLOOKUP(Sheet1!$A3406,Sheet2!$B$5:$H$29,5,FALSE),0)</x:f>
        <x:v>0</x:v>
      </x:c>
      <x:c r="G3406">
        <x:f>ROUND($C3406*10*VLOOKUP($B3406,Sheet2!$J$5:$K$7,2,FALSE)*VLOOKUP(Sheet1!$A3406,Sheet2!$B$5:$H$29,6,FALSE),0)</x:f>
        <x:v>720</x:v>
      </x:c>
      <x:c r="H3406">
        <x:f>ROUND($C3406*10*VLOOKUP($B3406,Sheet2!$J$5:$K$7,2,FALSE)*VLOOKUP(Sheet1!$A3406,Sheet2!$B$5:$H$29,7,FALSE),0)</x:f>
        <x:v>0</x:v>
      </x:c>
      <x:c r="I3406">
        <x:f t="shared" si="56"/>
        <x:v>114530</x:v>
      </x:c>
    </x:row>
    <x:row r="3407" spans="1:9" x14ac:dyDescent="0.15">
      <x:c r="A3407">
        <x:v>54154</x:v>
      </x:c>
      <x:c r="B3407">
        <x:v>3</x:v>
      </x:c>
      <x:c r="C3407">
        <x:v>46</x:v>
      </x:c>
      <x:c r="D3407">
        <x:f>ROUND($C3407*10*VLOOKUP($B3407,Sheet2!$J$5:$K$7,2,FALSE)*VLOOKUP(Sheet1!$A3407,Sheet2!$B$5:$H$29,3,FALSE),0)</x:f>
        <x:v>0</x:v>
      </x:c>
      <x:c r="E3407">
        <x:f>ROUND($C3407*10*VLOOKUP($B3407,Sheet2!$J$5:$K$7,2,FALSE)*VLOOKUP(Sheet1!$A3407,Sheet2!$B$5:$H$29,4,FALSE),0)</x:f>
        <x:v>0</x:v>
      </x:c>
      <x:c r="F3407">
        <x:f>ROUND($C3407*10*VLOOKUP($B3407,Sheet2!$J$5:$K$7,2,FALSE)*VLOOKUP(Sheet1!$A3407,Sheet2!$B$5:$H$29,5,FALSE),0)</x:f>
        <x:v>0</x:v>
      </x:c>
      <x:c r="G3407">
        <x:f>ROUND($C3407*10*VLOOKUP($B3407,Sheet2!$J$5:$K$7,2,FALSE)*VLOOKUP(Sheet1!$A3407,Sheet2!$B$5:$H$29,6,FALSE),0)</x:f>
        <x:v>736</x:v>
      </x:c>
      <x:c r="H3407">
        <x:f>ROUND($C3407*10*VLOOKUP($B3407,Sheet2!$J$5:$K$7,2,FALSE)*VLOOKUP(Sheet1!$A3407,Sheet2!$B$5:$H$29,7,FALSE),0)</x:f>
        <x:v>0</x:v>
      </x:c>
      <x:c r="I3407">
        <x:f t="shared" si="56"/>
        <x:v>119260</x:v>
      </x:c>
    </x:row>
    <x:row r="3408" spans="1:9" x14ac:dyDescent="0.15">
      <x:c r="A3408">
        <x:v>54154</x:v>
      </x:c>
      <x:c r="B3408">
        <x:v>3</x:v>
      </x:c>
      <x:c r="C3408">
        <x:v>47</x:v>
      </x:c>
      <x:c r="D3408">
        <x:f>ROUND($C3408*10*VLOOKUP($B3408,Sheet2!$J$5:$K$7,2,FALSE)*VLOOKUP(Sheet1!$A3408,Sheet2!$B$5:$H$29,3,FALSE),0)</x:f>
        <x:v>0</x:v>
      </x:c>
      <x:c r="E3408">
        <x:f>ROUND($C3408*10*VLOOKUP($B3408,Sheet2!$J$5:$K$7,2,FALSE)*VLOOKUP(Sheet1!$A3408,Sheet2!$B$5:$H$29,4,FALSE),0)</x:f>
        <x:v>0</x:v>
      </x:c>
      <x:c r="F3408">
        <x:f>ROUND($C3408*10*VLOOKUP($B3408,Sheet2!$J$5:$K$7,2,FALSE)*VLOOKUP(Sheet1!$A3408,Sheet2!$B$5:$H$29,5,FALSE),0)</x:f>
        <x:v>0</x:v>
      </x:c>
      <x:c r="G3408">
        <x:f>ROUND($C3408*10*VLOOKUP($B3408,Sheet2!$J$5:$K$7,2,FALSE)*VLOOKUP(Sheet1!$A3408,Sheet2!$B$5:$H$29,6,FALSE),0)</x:f>
        <x:v>752</x:v>
      </x:c>
      <x:c r="H3408">
        <x:f>ROUND($C3408*10*VLOOKUP($B3408,Sheet2!$J$5:$K$7,2,FALSE)*VLOOKUP(Sheet1!$A3408,Sheet2!$B$5:$H$29,7,FALSE),0)</x:f>
        <x:v>0</x:v>
      </x:c>
      <x:c r="I3408">
        <x:f t="shared" si="56"/>
        <x:v>124070</x:v>
      </x:c>
    </x:row>
    <x:row r="3409" spans="1:9" x14ac:dyDescent="0.15">
      <x:c r="A3409">
        <x:v>54154</x:v>
      </x:c>
      <x:c r="B3409">
        <x:v>3</x:v>
      </x:c>
      <x:c r="C3409">
        <x:v>48</x:v>
      </x:c>
      <x:c r="D3409">
        <x:f>ROUND($C3409*10*VLOOKUP($B3409,Sheet2!$J$5:$K$7,2,FALSE)*VLOOKUP(Sheet1!$A3409,Sheet2!$B$5:$H$29,3,FALSE),0)</x:f>
        <x:v>0</x:v>
      </x:c>
      <x:c r="E3409">
        <x:f>ROUND($C3409*10*VLOOKUP($B3409,Sheet2!$J$5:$K$7,2,FALSE)*VLOOKUP(Sheet1!$A3409,Sheet2!$B$5:$H$29,4,FALSE),0)</x:f>
        <x:v>0</x:v>
      </x:c>
      <x:c r="F3409">
        <x:f>ROUND($C3409*10*VLOOKUP($B3409,Sheet2!$J$5:$K$7,2,FALSE)*VLOOKUP(Sheet1!$A3409,Sheet2!$B$5:$H$29,5,FALSE),0)</x:f>
        <x:v>0</x:v>
      </x:c>
      <x:c r="G3409">
        <x:f>ROUND($C3409*10*VLOOKUP($B3409,Sheet2!$J$5:$K$7,2,FALSE)*VLOOKUP(Sheet1!$A3409,Sheet2!$B$5:$H$29,6,FALSE),0)</x:f>
        <x:v>768</x:v>
      </x:c>
      <x:c r="H3409">
        <x:f>ROUND($C3409*10*VLOOKUP($B3409,Sheet2!$J$5:$K$7,2,FALSE)*VLOOKUP(Sheet1!$A3409,Sheet2!$B$5:$H$29,7,FALSE),0)</x:f>
        <x:v>0</x:v>
      </x:c>
      <x:c r="I3409">
        <x:f t="shared" si="56"/>
        <x:v>128960</x:v>
      </x:c>
    </x:row>
    <x:row r="3410" spans="1:9" x14ac:dyDescent="0.15">
      <x:c r="A3410">
        <x:v>54154</x:v>
      </x:c>
      <x:c r="B3410">
        <x:v>3</x:v>
      </x:c>
      <x:c r="C3410">
        <x:v>49</x:v>
      </x:c>
      <x:c r="D3410">
        <x:f>ROUND($C3410*10*VLOOKUP($B3410,Sheet2!$J$5:$K$7,2,FALSE)*VLOOKUP(Sheet1!$A3410,Sheet2!$B$5:$H$29,3,FALSE),0)</x:f>
        <x:v>0</x:v>
      </x:c>
      <x:c r="E3410">
        <x:f>ROUND($C3410*10*VLOOKUP($B3410,Sheet2!$J$5:$K$7,2,FALSE)*VLOOKUP(Sheet1!$A3410,Sheet2!$B$5:$H$29,4,FALSE),0)</x:f>
        <x:v>0</x:v>
      </x:c>
      <x:c r="F3410">
        <x:f>ROUND($C3410*10*VLOOKUP($B3410,Sheet2!$J$5:$K$7,2,FALSE)*VLOOKUP(Sheet1!$A3410,Sheet2!$B$5:$H$29,5,FALSE),0)</x:f>
        <x:v>0</x:v>
      </x:c>
      <x:c r="G3410">
        <x:f>ROUND($C3410*10*VLOOKUP($B3410,Sheet2!$J$5:$K$7,2,FALSE)*VLOOKUP(Sheet1!$A3410,Sheet2!$B$5:$H$29,6,FALSE),0)</x:f>
        <x:v>784</x:v>
      </x:c>
      <x:c r="H3410">
        <x:f>ROUND($C3410*10*VLOOKUP($B3410,Sheet2!$J$5:$K$7,2,FALSE)*VLOOKUP(Sheet1!$A3410,Sheet2!$B$5:$H$29,7,FALSE),0)</x:f>
        <x:v>0</x:v>
      </x:c>
      <x:c r="I3410">
        <x:f t="shared" si="56"/>
        <x:v>133940</x:v>
      </x:c>
    </x:row>
    <x:row r="3411" spans="1:9" x14ac:dyDescent="0.15">
      <x:c r="A3411">
        <x:v>54154</x:v>
      </x:c>
      <x:c r="B3411">
        <x:v>3</x:v>
      </x:c>
      <x:c r="C3411">
        <x:v>50</x:v>
      </x:c>
      <x:c r="D3411">
        <x:f>ROUND($C3411*10*VLOOKUP($B3411,Sheet2!$J$5:$K$7,2,FALSE)*VLOOKUP(Sheet1!$A3411,Sheet2!$B$5:$H$29,3,FALSE),0)</x:f>
        <x:v>0</x:v>
      </x:c>
      <x:c r="E3411">
        <x:f>ROUND($C3411*10*VLOOKUP($B3411,Sheet2!$J$5:$K$7,2,FALSE)*VLOOKUP(Sheet1!$A3411,Sheet2!$B$5:$H$29,4,FALSE),0)</x:f>
        <x:v>0</x:v>
      </x:c>
      <x:c r="F3411">
        <x:f>ROUND($C3411*10*VLOOKUP($B3411,Sheet2!$J$5:$K$7,2,FALSE)*VLOOKUP(Sheet1!$A3411,Sheet2!$B$5:$H$29,5,FALSE),0)</x:f>
        <x:v>0</x:v>
      </x:c>
      <x:c r="G3411">
        <x:f>ROUND($C3411*10*VLOOKUP($B3411,Sheet2!$J$5:$K$7,2,FALSE)*VLOOKUP(Sheet1!$A3411,Sheet2!$B$5:$H$29,6,FALSE),0)</x:f>
        <x:v>800</x:v>
      </x:c>
      <x:c r="H3411">
        <x:f>ROUND($C3411*10*VLOOKUP($B3411,Sheet2!$J$5:$K$7,2,FALSE)*VLOOKUP(Sheet1!$A3411,Sheet2!$B$5:$H$29,7,FALSE),0)</x:f>
        <x:v>0</x:v>
      </x:c>
      <x:c r="I3411">
        <x:f t="shared" si="56"/>
        <x:v>139000</x:v>
      </x:c>
    </x:row>
    <x:row r="3412" spans="1:9" x14ac:dyDescent="0.15">
      <x:c r="A3412">
        <x:v>54154</x:v>
      </x:c>
      <x:c r="B3412">
        <x:v>3</x:v>
      </x:c>
      <x:c r="C3412">
        <x:v>51</x:v>
      </x:c>
      <x:c r="D3412">
        <x:f>ROUND($C3412*10*VLOOKUP($B3412,Sheet2!$J$5:$K$7,2,FALSE)*VLOOKUP(Sheet1!$A3412,Sheet2!$B$5:$H$29,3,FALSE),0)</x:f>
        <x:v>0</x:v>
      </x:c>
      <x:c r="E3412">
        <x:f>ROUND($C3412*10*VLOOKUP($B3412,Sheet2!$J$5:$K$7,2,FALSE)*VLOOKUP(Sheet1!$A3412,Sheet2!$B$5:$H$29,4,FALSE),0)</x:f>
        <x:v>0</x:v>
      </x:c>
      <x:c r="F3412">
        <x:f>ROUND($C3412*10*VLOOKUP($B3412,Sheet2!$J$5:$K$7,2,FALSE)*VLOOKUP(Sheet1!$A3412,Sheet2!$B$5:$H$29,5,FALSE),0)</x:f>
        <x:v>0</x:v>
      </x:c>
      <x:c r="G3412">
        <x:f>ROUND($C3412*10*VLOOKUP($B3412,Sheet2!$J$5:$K$7,2,FALSE)*VLOOKUP(Sheet1!$A3412,Sheet2!$B$5:$H$29,6,FALSE),0)</x:f>
        <x:v>816</x:v>
      </x:c>
      <x:c r="H3412">
        <x:f>ROUND($C3412*10*VLOOKUP($B3412,Sheet2!$J$5:$K$7,2,FALSE)*VLOOKUP(Sheet1!$A3412,Sheet2!$B$5:$H$29,7,FALSE),0)</x:f>
        <x:v>0</x:v>
      </x:c>
      <x:c r="I3412">
        <x:f t="shared" si="56"/>
        <x:v>144140</x:v>
      </x:c>
    </x:row>
    <x:row r="3413" spans="1:9" x14ac:dyDescent="0.15">
      <x:c r="A3413">
        <x:v>54154</x:v>
      </x:c>
      <x:c r="B3413">
        <x:v>3</x:v>
      </x:c>
      <x:c r="C3413">
        <x:v>52</x:v>
      </x:c>
      <x:c r="D3413">
        <x:f>ROUND($C3413*10*VLOOKUP($B3413,Sheet2!$J$5:$K$7,2,FALSE)*VLOOKUP(Sheet1!$A3413,Sheet2!$B$5:$H$29,3,FALSE),0)</x:f>
        <x:v>0</x:v>
      </x:c>
      <x:c r="E3413">
        <x:f>ROUND($C3413*10*VLOOKUP($B3413,Sheet2!$J$5:$K$7,2,FALSE)*VLOOKUP(Sheet1!$A3413,Sheet2!$B$5:$H$29,4,FALSE),0)</x:f>
        <x:v>0</x:v>
      </x:c>
      <x:c r="F3413">
        <x:f>ROUND($C3413*10*VLOOKUP($B3413,Sheet2!$J$5:$K$7,2,FALSE)*VLOOKUP(Sheet1!$A3413,Sheet2!$B$5:$H$29,5,FALSE),0)</x:f>
        <x:v>0</x:v>
      </x:c>
      <x:c r="G3413">
        <x:f>ROUND($C3413*10*VLOOKUP($B3413,Sheet2!$J$5:$K$7,2,FALSE)*VLOOKUP(Sheet1!$A3413,Sheet2!$B$5:$H$29,6,FALSE),0)</x:f>
        <x:v>832</x:v>
      </x:c>
      <x:c r="H3413">
        <x:f>ROUND($C3413*10*VLOOKUP($B3413,Sheet2!$J$5:$K$7,2,FALSE)*VLOOKUP(Sheet1!$A3413,Sheet2!$B$5:$H$29,7,FALSE),0)</x:f>
        <x:v>0</x:v>
      </x:c>
      <x:c r="I3413">
        <x:f t="shared" si="56"/>
        <x:v>149370</x:v>
      </x:c>
    </x:row>
    <x:row r="3414" spans="1:9" x14ac:dyDescent="0.15">
      <x:c r="A3414">
        <x:v>54154</x:v>
      </x:c>
      <x:c r="B3414">
        <x:v>3</x:v>
      </x:c>
      <x:c r="C3414">
        <x:v>53</x:v>
      </x:c>
      <x:c r="D3414">
        <x:f>ROUND($C3414*10*VLOOKUP($B3414,Sheet2!$J$5:$K$7,2,FALSE)*VLOOKUP(Sheet1!$A3414,Sheet2!$B$5:$H$29,3,FALSE),0)</x:f>
        <x:v>0</x:v>
      </x:c>
      <x:c r="E3414">
        <x:f>ROUND($C3414*10*VLOOKUP($B3414,Sheet2!$J$5:$K$7,2,FALSE)*VLOOKUP(Sheet1!$A3414,Sheet2!$B$5:$H$29,4,FALSE),0)</x:f>
        <x:v>0</x:v>
      </x:c>
      <x:c r="F3414">
        <x:f>ROUND($C3414*10*VLOOKUP($B3414,Sheet2!$J$5:$K$7,2,FALSE)*VLOOKUP(Sheet1!$A3414,Sheet2!$B$5:$H$29,5,FALSE),0)</x:f>
        <x:v>0</x:v>
      </x:c>
      <x:c r="G3414">
        <x:f>ROUND($C3414*10*VLOOKUP($B3414,Sheet2!$J$5:$K$7,2,FALSE)*VLOOKUP(Sheet1!$A3414,Sheet2!$B$5:$H$29,6,FALSE),0)</x:f>
        <x:v>848</x:v>
      </x:c>
      <x:c r="H3414">
        <x:f>ROUND($C3414*10*VLOOKUP($B3414,Sheet2!$J$5:$K$7,2,FALSE)*VLOOKUP(Sheet1!$A3414,Sheet2!$B$5:$H$29,7,FALSE),0)</x:f>
        <x:v>0</x:v>
      </x:c>
      <x:c r="I3414">
        <x:f t="shared" si="56"/>
        <x:v>154680</x:v>
      </x:c>
    </x:row>
    <x:row r="3415" spans="1:9" x14ac:dyDescent="0.15">
      <x:c r="A3415">
        <x:v>54154</x:v>
      </x:c>
      <x:c r="B3415">
        <x:v>3</x:v>
      </x:c>
      <x:c r="C3415">
        <x:v>54</x:v>
      </x:c>
      <x:c r="D3415">
        <x:f>ROUND($C3415*10*VLOOKUP($B3415,Sheet2!$J$5:$K$7,2,FALSE)*VLOOKUP(Sheet1!$A3415,Sheet2!$B$5:$H$29,3,FALSE),0)</x:f>
        <x:v>0</x:v>
      </x:c>
      <x:c r="E3415">
        <x:f>ROUND($C3415*10*VLOOKUP($B3415,Sheet2!$J$5:$K$7,2,FALSE)*VLOOKUP(Sheet1!$A3415,Sheet2!$B$5:$H$29,4,FALSE),0)</x:f>
        <x:v>0</x:v>
      </x:c>
      <x:c r="F3415">
        <x:f>ROUND($C3415*10*VLOOKUP($B3415,Sheet2!$J$5:$K$7,2,FALSE)*VLOOKUP(Sheet1!$A3415,Sheet2!$B$5:$H$29,5,FALSE),0)</x:f>
        <x:v>0</x:v>
      </x:c>
      <x:c r="G3415">
        <x:f>ROUND($C3415*10*VLOOKUP($B3415,Sheet2!$J$5:$K$7,2,FALSE)*VLOOKUP(Sheet1!$A3415,Sheet2!$B$5:$H$29,6,FALSE),0)</x:f>
        <x:v>864</x:v>
      </x:c>
      <x:c r="H3415">
        <x:f>ROUND($C3415*10*VLOOKUP($B3415,Sheet2!$J$5:$K$7,2,FALSE)*VLOOKUP(Sheet1!$A3415,Sheet2!$B$5:$H$29,7,FALSE),0)</x:f>
        <x:v>0</x:v>
      </x:c>
      <x:c r="I3415">
        <x:f t="shared" si="56"/>
        <x:v>160070</x:v>
      </x:c>
    </x:row>
    <x:row r="3416" spans="1:9" x14ac:dyDescent="0.15">
      <x:c r="A3416">
        <x:v>54154</x:v>
      </x:c>
      <x:c r="B3416">
        <x:v>3</x:v>
      </x:c>
      <x:c r="C3416">
        <x:v>55</x:v>
      </x:c>
      <x:c r="D3416">
        <x:f>ROUND($C3416*10*VLOOKUP($B3416,Sheet2!$J$5:$K$7,2,FALSE)*VLOOKUP(Sheet1!$A3416,Sheet2!$B$5:$H$29,3,FALSE),0)</x:f>
        <x:v>0</x:v>
      </x:c>
      <x:c r="E3416">
        <x:f>ROUND($C3416*10*VLOOKUP($B3416,Sheet2!$J$5:$K$7,2,FALSE)*VLOOKUP(Sheet1!$A3416,Sheet2!$B$5:$H$29,4,FALSE),0)</x:f>
        <x:v>0</x:v>
      </x:c>
      <x:c r="F3416">
        <x:f>ROUND($C3416*10*VLOOKUP($B3416,Sheet2!$J$5:$K$7,2,FALSE)*VLOOKUP(Sheet1!$A3416,Sheet2!$B$5:$H$29,5,FALSE),0)</x:f>
        <x:v>0</x:v>
      </x:c>
      <x:c r="G3416">
        <x:f>ROUND($C3416*10*VLOOKUP($B3416,Sheet2!$J$5:$K$7,2,FALSE)*VLOOKUP(Sheet1!$A3416,Sheet2!$B$5:$H$29,6,FALSE),0)</x:f>
        <x:v>880</x:v>
      </x:c>
      <x:c r="H3416">
        <x:f>ROUND($C3416*10*VLOOKUP($B3416,Sheet2!$J$5:$K$7,2,FALSE)*VLOOKUP(Sheet1!$A3416,Sheet2!$B$5:$H$29,7,FALSE),0)</x:f>
        <x:v>0</x:v>
      </x:c>
      <x:c r="I3416">
        <x:f t="shared" si="56"/>
        <x:v>165540</x:v>
      </x:c>
    </x:row>
    <x:row r="3417" spans="1:9" x14ac:dyDescent="0.15">
      <x:c r="A3417">
        <x:v>54154</x:v>
      </x:c>
      <x:c r="B3417">
        <x:v>3</x:v>
      </x:c>
      <x:c r="C3417">
        <x:v>56</x:v>
      </x:c>
      <x:c r="D3417">
        <x:f>ROUND($C3417*10*VLOOKUP($B3417,Sheet2!$J$5:$K$7,2,FALSE)*VLOOKUP(Sheet1!$A3417,Sheet2!$B$5:$H$29,3,FALSE),0)</x:f>
        <x:v>0</x:v>
      </x:c>
      <x:c r="E3417">
        <x:f>ROUND($C3417*10*VLOOKUP($B3417,Sheet2!$J$5:$K$7,2,FALSE)*VLOOKUP(Sheet1!$A3417,Sheet2!$B$5:$H$29,4,FALSE),0)</x:f>
        <x:v>0</x:v>
      </x:c>
      <x:c r="F3417">
        <x:f>ROUND($C3417*10*VLOOKUP($B3417,Sheet2!$J$5:$K$7,2,FALSE)*VLOOKUP(Sheet1!$A3417,Sheet2!$B$5:$H$29,5,FALSE),0)</x:f>
        <x:v>0</x:v>
      </x:c>
      <x:c r="G3417">
        <x:f>ROUND($C3417*10*VLOOKUP($B3417,Sheet2!$J$5:$K$7,2,FALSE)*VLOOKUP(Sheet1!$A3417,Sheet2!$B$5:$H$29,6,FALSE),0)</x:f>
        <x:v>896</x:v>
      </x:c>
      <x:c r="H3417">
        <x:f>ROUND($C3417*10*VLOOKUP($B3417,Sheet2!$J$5:$K$7,2,FALSE)*VLOOKUP(Sheet1!$A3417,Sheet2!$B$5:$H$29,7,FALSE),0)</x:f>
        <x:v>0</x:v>
      </x:c>
      <x:c r="I3417">
        <x:f t="shared" si="56"/>
        <x:v>171100</x:v>
      </x:c>
    </x:row>
    <x:row r="3418" spans="1:9" x14ac:dyDescent="0.15">
      <x:c r="A3418">
        <x:v>54154</x:v>
      </x:c>
      <x:c r="B3418">
        <x:v>3</x:v>
      </x:c>
      <x:c r="C3418">
        <x:v>57</x:v>
      </x:c>
      <x:c r="D3418">
        <x:f>ROUND($C3418*10*VLOOKUP($B3418,Sheet2!$J$5:$K$7,2,FALSE)*VLOOKUP(Sheet1!$A3418,Sheet2!$B$5:$H$29,3,FALSE),0)</x:f>
        <x:v>0</x:v>
      </x:c>
      <x:c r="E3418">
        <x:f>ROUND($C3418*10*VLOOKUP($B3418,Sheet2!$J$5:$K$7,2,FALSE)*VLOOKUP(Sheet1!$A3418,Sheet2!$B$5:$H$29,4,FALSE),0)</x:f>
        <x:v>0</x:v>
      </x:c>
      <x:c r="F3418">
        <x:f>ROUND($C3418*10*VLOOKUP($B3418,Sheet2!$J$5:$K$7,2,FALSE)*VLOOKUP(Sheet1!$A3418,Sheet2!$B$5:$H$29,5,FALSE),0)</x:f>
        <x:v>0</x:v>
      </x:c>
      <x:c r="G3418">
        <x:f>ROUND($C3418*10*VLOOKUP($B3418,Sheet2!$J$5:$K$7,2,FALSE)*VLOOKUP(Sheet1!$A3418,Sheet2!$B$5:$H$29,6,FALSE),0)</x:f>
        <x:v>912</x:v>
      </x:c>
      <x:c r="H3418">
        <x:f>ROUND($C3418*10*VLOOKUP($B3418,Sheet2!$J$5:$K$7,2,FALSE)*VLOOKUP(Sheet1!$A3418,Sheet2!$B$5:$H$29,7,FALSE),0)</x:f>
        <x:v>0</x:v>
      </x:c>
      <x:c r="I3418">
        <x:f t="shared" si="56"/>
        <x:v>176740</x:v>
      </x:c>
    </x:row>
    <x:row r="3419" spans="1:9" x14ac:dyDescent="0.15">
      <x:c r="A3419">
        <x:v>54154</x:v>
      </x:c>
      <x:c r="B3419">
        <x:v>3</x:v>
      </x:c>
      <x:c r="C3419">
        <x:v>58</x:v>
      </x:c>
      <x:c r="D3419">
        <x:f>ROUND($C3419*10*VLOOKUP($B3419,Sheet2!$J$5:$K$7,2,FALSE)*VLOOKUP(Sheet1!$A3419,Sheet2!$B$5:$H$29,3,FALSE),0)</x:f>
        <x:v>0</x:v>
      </x:c>
      <x:c r="E3419">
        <x:f>ROUND($C3419*10*VLOOKUP($B3419,Sheet2!$J$5:$K$7,2,FALSE)*VLOOKUP(Sheet1!$A3419,Sheet2!$B$5:$H$29,4,FALSE),0)</x:f>
        <x:v>0</x:v>
      </x:c>
      <x:c r="F3419">
        <x:f>ROUND($C3419*10*VLOOKUP($B3419,Sheet2!$J$5:$K$7,2,FALSE)*VLOOKUP(Sheet1!$A3419,Sheet2!$B$5:$H$29,5,FALSE),0)</x:f>
        <x:v>0</x:v>
      </x:c>
      <x:c r="G3419">
        <x:f>ROUND($C3419*10*VLOOKUP($B3419,Sheet2!$J$5:$K$7,2,FALSE)*VLOOKUP(Sheet1!$A3419,Sheet2!$B$5:$H$29,6,FALSE),0)</x:f>
        <x:v>928</x:v>
      </x:c>
      <x:c r="H3419">
        <x:f>ROUND($C3419*10*VLOOKUP($B3419,Sheet2!$J$5:$K$7,2,FALSE)*VLOOKUP(Sheet1!$A3419,Sheet2!$B$5:$H$29,7,FALSE),0)</x:f>
        <x:v>0</x:v>
      </x:c>
      <x:c r="I3419">
        <x:f t="shared" si="56"/>
        <x:v>182460</x:v>
      </x:c>
    </x:row>
    <x:row r="3420" spans="1:9" x14ac:dyDescent="0.15">
      <x:c r="A3420">
        <x:v>54154</x:v>
      </x:c>
      <x:c r="B3420">
        <x:v>3</x:v>
      </x:c>
      <x:c r="C3420">
        <x:v>59</x:v>
      </x:c>
      <x:c r="D3420">
        <x:f>ROUND($C3420*10*VLOOKUP($B3420,Sheet2!$J$5:$K$7,2,FALSE)*VLOOKUP(Sheet1!$A3420,Sheet2!$B$5:$H$29,3,FALSE),0)</x:f>
        <x:v>0</x:v>
      </x:c>
      <x:c r="E3420">
        <x:f>ROUND($C3420*10*VLOOKUP($B3420,Sheet2!$J$5:$K$7,2,FALSE)*VLOOKUP(Sheet1!$A3420,Sheet2!$B$5:$H$29,4,FALSE),0)</x:f>
        <x:v>0</x:v>
      </x:c>
      <x:c r="F3420">
        <x:f>ROUND($C3420*10*VLOOKUP($B3420,Sheet2!$J$5:$K$7,2,FALSE)*VLOOKUP(Sheet1!$A3420,Sheet2!$B$5:$H$29,5,FALSE),0)</x:f>
        <x:v>0</x:v>
      </x:c>
      <x:c r="G3420">
        <x:f>ROUND($C3420*10*VLOOKUP($B3420,Sheet2!$J$5:$K$7,2,FALSE)*VLOOKUP(Sheet1!$A3420,Sheet2!$B$5:$H$29,6,FALSE),0)</x:f>
        <x:v>944</x:v>
      </x:c>
      <x:c r="H3420">
        <x:f>ROUND($C3420*10*VLOOKUP($B3420,Sheet2!$J$5:$K$7,2,FALSE)*VLOOKUP(Sheet1!$A3420,Sheet2!$B$5:$H$29,7,FALSE),0)</x:f>
        <x:v>0</x:v>
      </x:c>
      <x:c r="I3420">
        <x:f t="shared" si="56"/>
        <x:v>188260</x:v>
      </x:c>
    </x:row>
    <x:row r="3421" spans="1:9" x14ac:dyDescent="0.15">
      <x:c r="A3421">
        <x:v>54154</x:v>
      </x:c>
      <x:c r="B3421">
        <x:v>3</x:v>
      </x:c>
      <x:c r="C3421">
        <x:v>60</x:v>
      </x:c>
      <x:c r="D3421">
        <x:f>ROUND($C3421*10*VLOOKUP($B3421,Sheet2!$J$5:$K$7,2,FALSE)*VLOOKUP(Sheet1!$A3421,Sheet2!$B$5:$H$29,3,FALSE),0)</x:f>
        <x:v>0</x:v>
      </x:c>
      <x:c r="E3421">
        <x:f>ROUND($C3421*10*VLOOKUP($B3421,Sheet2!$J$5:$K$7,2,FALSE)*VLOOKUP(Sheet1!$A3421,Sheet2!$B$5:$H$29,4,FALSE),0)</x:f>
        <x:v>0</x:v>
      </x:c>
      <x:c r="F3421">
        <x:f>ROUND($C3421*10*VLOOKUP($B3421,Sheet2!$J$5:$K$7,2,FALSE)*VLOOKUP(Sheet1!$A3421,Sheet2!$B$5:$H$29,5,FALSE),0)</x:f>
        <x:v>0</x:v>
      </x:c>
      <x:c r="G3421">
        <x:f>ROUND($C3421*10*VLOOKUP($B3421,Sheet2!$J$5:$K$7,2,FALSE)*VLOOKUP(Sheet1!$A3421,Sheet2!$B$5:$H$29,6,FALSE),0)</x:f>
        <x:v>960</x:v>
      </x:c>
      <x:c r="H3421">
        <x:f>ROUND($C3421*10*VLOOKUP($B3421,Sheet2!$J$5:$K$7,2,FALSE)*VLOOKUP(Sheet1!$A3421,Sheet2!$B$5:$H$29,7,FALSE),0)</x:f>
        <x:v>0</x:v>
      </x:c>
      <x:c r="I3421">
        <x:f t="shared" si="56"/>
        <x:v>194140</x:v>
      </x:c>
    </x:row>
    <x:row r="3422" spans="1:9" x14ac:dyDescent="0.15">
      <x:c r="A3422">
        <x:v>54155</x:v>
      </x:c>
      <x:c r="B3422">
        <x:v>1</x:v>
      </x:c>
      <x:c r="C3422">
        <x:v>1</x:v>
      </x:c>
      <x:c r="D3422">
        <x:f>ROUND($C3422*10*VLOOKUP($B3422,Sheet2!$J$5:$K$7,2,FALSE)*VLOOKUP(Sheet1!$A3422,Sheet2!$B$5:$H$29,3,FALSE),0)</x:f>
        <x:v>0</x:v>
      </x:c>
      <x:c r="E3422">
        <x:f>ROUND($C3422*10*VLOOKUP($B3422,Sheet2!$J$5:$K$7,2,FALSE)*VLOOKUP(Sheet1!$A3422,Sheet2!$B$5:$H$29,4,FALSE),0)</x:f>
        <x:v>0</x:v>
      </x:c>
      <x:c r="F3422">
        <x:f>ROUND($C3422*10*VLOOKUP($B3422,Sheet2!$J$5:$K$7,2,FALSE)*VLOOKUP(Sheet1!$A3422,Sheet2!$B$5:$H$29,5,FALSE),0)</x:f>
        <x:v>0</x:v>
      </x:c>
      <x:c r="G3422">
        <x:f>ROUND($C3422*10*VLOOKUP($B3422,Sheet2!$J$5:$K$7,2,FALSE)*VLOOKUP(Sheet1!$A3422,Sheet2!$B$5:$H$29,6,FALSE),0)</x:f>
        <x:v>5</x:v>
      </x:c>
      <x:c r="H3422">
        <x:f>ROUND($C3422*10*VLOOKUP($B3422,Sheet2!$J$5:$K$7,2,FALSE)*VLOOKUP(Sheet1!$A3422,Sheet2!$B$5:$H$29,7,FALSE),0)</x:f>
        <x:v>10</x:v>
      </x:c>
      <x:c r="I3422">
        <x:f t="shared" ref="I3422:I3481" si="57">ROUND(1.2*10*1.8*(C3422-1)^1.8+30,-1)</x:f>
        <x:v>30</x:v>
      </x:c>
    </x:row>
    <x:row r="3423" spans="1:9" x14ac:dyDescent="0.15">
      <x:c r="A3423">
        <x:v>54155</x:v>
      </x:c>
      <x:c r="B3423">
        <x:v>1</x:v>
      </x:c>
      <x:c r="C3423">
        <x:v>2</x:v>
      </x:c>
      <x:c r="D3423">
        <x:f>ROUND($C3423*10*VLOOKUP($B3423,Sheet2!$J$5:$K$7,2,FALSE)*VLOOKUP(Sheet1!$A3423,Sheet2!$B$5:$H$29,3,FALSE),0)</x:f>
        <x:v>0</x:v>
      </x:c>
      <x:c r="E3423">
        <x:f>ROUND($C3423*10*VLOOKUP($B3423,Sheet2!$J$5:$K$7,2,FALSE)*VLOOKUP(Sheet1!$A3423,Sheet2!$B$5:$H$29,4,FALSE),0)</x:f>
        <x:v>0</x:v>
      </x:c>
      <x:c r="F3423">
        <x:f>ROUND($C3423*10*VLOOKUP($B3423,Sheet2!$J$5:$K$7,2,FALSE)*VLOOKUP(Sheet1!$A3423,Sheet2!$B$5:$H$29,5,FALSE),0)</x:f>
        <x:v>0</x:v>
      </x:c>
      <x:c r="G3423">
        <x:f>ROUND($C3423*10*VLOOKUP($B3423,Sheet2!$J$5:$K$7,2,FALSE)*VLOOKUP(Sheet1!$A3423,Sheet2!$B$5:$H$29,6,FALSE),0)</x:f>
        <x:v>10</x:v>
      </x:c>
      <x:c r="H3423">
        <x:f>ROUND($C3423*10*VLOOKUP($B3423,Sheet2!$J$5:$K$7,2,FALSE)*VLOOKUP(Sheet1!$A3423,Sheet2!$B$5:$H$29,7,FALSE),0)</x:f>
        <x:v>20</x:v>
      </x:c>
      <x:c r="I3423">
        <x:f t="shared" si="57"/>
        <x:v>50</x:v>
      </x:c>
    </x:row>
    <x:row r="3424" spans="1:9" x14ac:dyDescent="0.15">
      <x:c r="A3424">
        <x:v>54155</x:v>
      </x:c>
      <x:c r="B3424">
        <x:v>1</x:v>
      </x:c>
      <x:c r="C3424">
        <x:v>3</x:v>
      </x:c>
      <x:c r="D3424">
        <x:f>ROUND($C3424*10*VLOOKUP($B3424,Sheet2!$J$5:$K$7,2,FALSE)*VLOOKUP(Sheet1!$A3424,Sheet2!$B$5:$H$29,3,FALSE),0)</x:f>
        <x:v>0</x:v>
      </x:c>
      <x:c r="E3424">
        <x:f>ROUND($C3424*10*VLOOKUP($B3424,Sheet2!$J$5:$K$7,2,FALSE)*VLOOKUP(Sheet1!$A3424,Sheet2!$B$5:$H$29,4,FALSE),0)</x:f>
        <x:v>0</x:v>
      </x:c>
      <x:c r="F3424">
        <x:f>ROUND($C3424*10*VLOOKUP($B3424,Sheet2!$J$5:$K$7,2,FALSE)*VLOOKUP(Sheet1!$A3424,Sheet2!$B$5:$H$29,5,FALSE),0)</x:f>
        <x:v>0</x:v>
      </x:c>
      <x:c r="G3424">
        <x:f>ROUND($C3424*10*VLOOKUP($B3424,Sheet2!$J$5:$K$7,2,FALSE)*VLOOKUP(Sheet1!$A3424,Sheet2!$B$5:$H$29,6,FALSE),0)</x:f>
        <x:v>14</x:v>
      </x:c>
      <x:c r="H3424">
        <x:f>ROUND($C3424*10*VLOOKUP($B3424,Sheet2!$J$5:$K$7,2,FALSE)*VLOOKUP(Sheet1!$A3424,Sheet2!$B$5:$H$29,7,FALSE),0)</x:f>
        <x:v>30</x:v>
      </x:c>
      <x:c r="I3424">
        <x:f t="shared" si="57"/>
        <x:v>110</x:v>
      </x:c>
    </x:row>
    <x:row r="3425" spans="1:9" x14ac:dyDescent="0.15">
      <x:c r="A3425">
        <x:v>54155</x:v>
      </x:c>
      <x:c r="B3425">
        <x:v>1</x:v>
      </x:c>
      <x:c r="C3425">
        <x:v>4</x:v>
      </x:c>
      <x:c r="D3425">
        <x:f>ROUND($C3425*10*VLOOKUP($B3425,Sheet2!$J$5:$K$7,2,FALSE)*VLOOKUP(Sheet1!$A3425,Sheet2!$B$5:$H$29,3,FALSE),0)</x:f>
        <x:v>0</x:v>
      </x:c>
      <x:c r="E3425">
        <x:f>ROUND($C3425*10*VLOOKUP($B3425,Sheet2!$J$5:$K$7,2,FALSE)*VLOOKUP(Sheet1!$A3425,Sheet2!$B$5:$H$29,4,FALSE),0)</x:f>
        <x:v>0</x:v>
      </x:c>
      <x:c r="F3425">
        <x:f>ROUND($C3425*10*VLOOKUP($B3425,Sheet2!$J$5:$K$7,2,FALSE)*VLOOKUP(Sheet1!$A3425,Sheet2!$B$5:$H$29,5,FALSE),0)</x:f>
        <x:v>0</x:v>
      </x:c>
      <x:c r="G3425">
        <x:f>ROUND($C3425*10*VLOOKUP($B3425,Sheet2!$J$5:$K$7,2,FALSE)*VLOOKUP(Sheet1!$A3425,Sheet2!$B$5:$H$29,6,FALSE),0)</x:f>
        <x:v>19</x:v>
      </x:c>
      <x:c r="H3425">
        <x:f>ROUND($C3425*10*VLOOKUP($B3425,Sheet2!$J$5:$K$7,2,FALSE)*VLOOKUP(Sheet1!$A3425,Sheet2!$B$5:$H$29,7,FALSE),0)</x:f>
        <x:v>40</x:v>
      </x:c>
      <x:c r="I3425">
        <x:f t="shared" si="57"/>
        <x:v>190</x:v>
      </x:c>
    </x:row>
    <x:row r="3426" spans="1:9" x14ac:dyDescent="0.15">
      <x:c r="A3426">
        <x:v>54155</x:v>
      </x:c>
      <x:c r="B3426">
        <x:v>1</x:v>
      </x:c>
      <x:c r="C3426">
        <x:v>5</x:v>
      </x:c>
      <x:c r="D3426">
        <x:f>ROUND($C3426*10*VLOOKUP($B3426,Sheet2!$J$5:$K$7,2,FALSE)*VLOOKUP(Sheet1!$A3426,Sheet2!$B$5:$H$29,3,FALSE),0)</x:f>
        <x:v>0</x:v>
      </x:c>
      <x:c r="E3426">
        <x:f>ROUND($C3426*10*VLOOKUP($B3426,Sheet2!$J$5:$K$7,2,FALSE)*VLOOKUP(Sheet1!$A3426,Sheet2!$B$5:$H$29,4,FALSE),0)</x:f>
        <x:v>0</x:v>
      </x:c>
      <x:c r="F3426">
        <x:f>ROUND($C3426*10*VLOOKUP($B3426,Sheet2!$J$5:$K$7,2,FALSE)*VLOOKUP(Sheet1!$A3426,Sheet2!$B$5:$H$29,5,FALSE),0)</x:f>
        <x:v>0</x:v>
      </x:c>
      <x:c r="G3426">
        <x:f>ROUND($C3426*10*VLOOKUP($B3426,Sheet2!$J$5:$K$7,2,FALSE)*VLOOKUP(Sheet1!$A3426,Sheet2!$B$5:$H$29,6,FALSE),0)</x:f>
        <x:v>24</x:v>
      </x:c>
      <x:c r="H3426">
        <x:f>ROUND($C3426*10*VLOOKUP($B3426,Sheet2!$J$5:$K$7,2,FALSE)*VLOOKUP(Sheet1!$A3426,Sheet2!$B$5:$H$29,7,FALSE),0)</x:f>
        <x:v>50</x:v>
      </x:c>
      <x:c r="I3426">
        <x:f t="shared" si="57"/>
        <x:v>290</x:v>
      </x:c>
    </x:row>
    <x:row r="3427" spans="1:9" x14ac:dyDescent="0.15">
      <x:c r="A3427">
        <x:v>54155</x:v>
      </x:c>
      <x:c r="B3427">
        <x:v>1</x:v>
      </x:c>
      <x:c r="C3427">
        <x:v>6</x:v>
      </x:c>
      <x:c r="D3427">
        <x:f>ROUND($C3427*10*VLOOKUP($B3427,Sheet2!$J$5:$K$7,2,FALSE)*VLOOKUP(Sheet1!$A3427,Sheet2!$B$5:$H$29,3,FALSE),0)</x:f>
        <x:v>0</x:v>
      </x:c>
      <x:c r="E3427">
        <x:f>ROUND($C3427*10*VLOOKUP($B3427,Sheet2!$J$5:$K$7,2,FALSE)*VLOOKUP(Sheet1!$A3427,Sheet2!$B$5:$H$29,4,FALSE),0)</x:f>
        <x:v>0</x:v>
      </x:c>
      <x:c r="F3427">
        <x:f>ROUND($C3427*10*VLOOKUP($B3427,Sheet2!$J$5:$K$7,2,FALSE)*VLOOKUP(Sheet1!$A3427,Sheet2!$B$5:$H$29,5,FALSE),0)</x:f>
        <x:v>0</x:v>
      </x:c>
      <x:c r="G3427">
        <x:f>ROUND($C3427*10*VLOOKUP($B3427,Sheet2!$J$5:$K$7,2,FALSE)*VLOOKUP(Sheet1!$A3427,Sheet2!$B$5:$H$29,6,FALSE),0)</x:f>
        <x:v>29</x:v>
      </x:c>
      <x:c r="H3427">
        <x:f>ROUND($C3427*10*VLOOKUP($B3427,Sheet2!$J$5:$K$7,2,FALSE)*VLOOKUP(Sheet1!$A3427,Sheet2!$B$5:$H$29,7,FALSE),0)</x:f>
        <x:v>60</x:v>
      </x:c>
      <x:c r="I3427">
        <x:f t="shared" si="57"/>
        <x:v>420</x:v>
      </x:c>
    </x:row>
    <x:row r="3428" spans="1:9" x14ac:dyDescent="0.15">
      <x:c r="A3428">
        <x:v>54155</x:v>
      </x:c>
      <x:c r="B3428">
        <x:v>1</x:v>
      </x:c>
      <x:c r="C3428">
        <x:v>7</x:v>
      </x:c>
      <x:c r="D3428">
        <x:f>ROUND($C3428*10*VLOOKUP($B3428,Sheet2!$J$5:$K$7,2,FALSE)*VLOOKUP(Sheet1!$A3428,Sheet2!$B$5:$H$29,3,FALSE),0)</x:f>
        <x:v>0</x:v>
      </x:c>
      <x:c r="E3428">
        <x:f>ROUND($C3428*10*VLOOKUP($B3428,Sheet2!$J$5:$K$7,2,FALSE)*VLOOKUP(Sheet1!$A3428,Sheet2!$B$5:$H$29,4,FALSE),0)</x:f>
        <x:v>0</x:v>
      </x:c>
      <x:c r="F3428">
        <x:f>ROUND($C3428*10*VLOOKUP($B3428,Sheet2!$J$5:$K$7,2,FALSE)*VLOOKUP(Sheet1!$A3428,Sheet2!$B$5:$H$29,5,FALSE),0)</x:f>
        <x:v>0</x:v>
      </x:c>
      <x:c r="G3428">
        <x:f>ROUND($C3428*10*VLOOKUP($B3428,Sheet2!$J$5:$K$7,2,FALSE)*VLOOKUP(Sheet1!$A3428,Sheet2!$B$5:$H$29,6,FALSE),0)</x:f>
        <x:v>34</x:v>
      </x:c>
      <x:c r="H3428">
        <x:f>ROUND($C3428*10*VLOOKUP($B3428,Sheet2!$J$5:$K$7,2,FALSE)*VLOOKUP(Sheet1!$A3428,Sheet2!$B$5:$H$29,7,FALSE),0)</x:f>
        <x:v>70</x:v>
      </x:c>
      <x:c r="I3428">
        <x:f t="shared" si="57"/>
        <x:v>570</x:v>
      </x:c>
    </x:row>
    <x:row r="3429" spans="1:9" x14ac:dyDescent="0.15">
      <x:c r="A3429">
        <x:v>54155</x:v>
      </x:c>
      <x:c r="B3429">
        <x:v>1</x:v>
      </x:c>
      <x:c r="C3429">
        <x:v>8</x:v>
      </x:c>
      <x:c r="D3429">
        <x:f>ROUND($C3429*10*VLOOKUP($B3429,Sheet2!$J$5:$K$7,2,FALSE)*VLOOKUP(Sheet1!$A3429,Sheet2!$B$5:$H$29,3,FALSE),0)</x:f>
        <x:v>0</x:v>
      </x:c>
      <x:c r="E3429">
        <x:f>ROUND($C3429*10*VLOOKUP($B3429,Sheet2!$J$5:$K$7,2,FALSE)*VLOOKUP(Sheet1!$A3429,Sheet2!$B$5:$H$29,4,FALSE),0)</x:f>
        <x:v>0</x:v>
      </x:c>
      <x:c r="F3429">
        <x:f>ROUND($C3429*10*VLOOKUP($B3429,Sheet2!$J$5:$K$7,2,FALSE)*VLOOKUP(Sheet1!$A3429,Sheet2!$B$5:$H$29,5,FALSE),0)</x:f>
        <x:v>0</x:v>
      </x:c>
      <x:c r="G3429">
        <x:f>ROUND($C3429*10*VLOOKUP($B3429,Sheet2!$J$5:$K$7,2,FALSE)*VLOOKUP(Sheet1!$A3429,Sheet2!$B$5:$H$29,6,FALSE),0)</x:f>
        <x:v>38</x:v>
      </x:c>
      <x:c r="H3429">
        <x:f>ROUND($C3429*10*VLOOKUP($B3429,Sheet2!$J$5:$K$7,2,FALSE)*VLOOKUP(Sheet1!$A3429,Sheet2!$B$5:$H$29,7,FALSE),0)</x:f>
        <x:v>80</x:v>
      </x:c>
      <x:c r="I3429">
        <x:f t="shared" si="57"/>
        <x:v>750</x:v>
      </x:c>
    </x:row>
    <x:row r="3430" spans="1:9" x14ac:dyDescent="0.15">
      <x:c r="A3430">
        <x:v>54155</x:v>
      </x:c>
      <x:c r="B3430">
        <x:v>1</x:v>
      </x:c>
      <x:c r="C3430">
        <x:v>9</x:v>
      </x:c>
      <x:c r="D3430">
        <x:f>ROUND($C3430*10*VLOOKUP($B3430,Sheet2!$J$5:$K$7,2,FALSE)*VLOOKUP(Sheet1!$A3430,Sheet2!$B$5:$H$29,3,FALSE),0)</x:f>
        <x:v>0</x:v>
      </x:c>
      <x:c r="E3430">
        <x:f>ROUND($C3430*10*VLOOKUP($B3430,Sheet2!$J$5:$K$7,2,FALSE)*VLOOKUP(Sheet1!$A3430,Sheet2!$B$5:$H$29,4,FALSE),0)</x:f>
        <x:v>0</x:v>
      </x:c>
      <x:c r="F3430">
        <x:f>ROUND($C3430*10*VLOOKUP($B3430,Sheet2!$J$5:$K$7,2,FALSE)*VLOOKUP(Sheet1!$A3430,Sheet2!$B$5:$H$29,5,FALSE),0)</x:f>
        <x:v>0</x:v>
      </x:c>
      <x:c r="G3430">
        <x:f>ROUND($C3430*10*VLOOKUP($B3430,Sheet2!$J$5:$K$7,2,FALSE)*VLOOKUP(Sheet1!$A3430,Sheet2!$B$5:$H$29,6,FALSE),0)</x:f>
        <x:v>43</x:v>
      </x:c>
      <x:c r="H3430">
        <x:f>ROUND($C3430*10*VLOOKUP($B3430,Sheet2!$J$5:$K$7,2,FALSE)*VLOOKUP(Sheet1!$A3430,Sheet2!$B$5:$H$29,7,FALSE),0)</x:f>
        <x:v>90</x:v>
      </x:c>
      <x:c r="I3430">
        <x:f t="shared" si="57"/>
        <x:v>940</x:v>
      </x:c>
    </x:row>
    <x:row r="3431" spans="1:9" x14ac:dyDescent="0.15">
      <x:c r="A3431">
        <x:v>54155</x:v>
      </x:c>
      <x:c r="B3431">
        <x:v>1</x:v>
      </x:c>
      <x:c r="C3431">
        <x:v>10</x:v>
      </x:c>
      <x:c r="D3431">
        <x:f>ROUND($C3431*10*VLOOKUP($B3431,Sheet2!$J$5:$K$7,2,FALSE)*VLOOKUP(Sheet1!$A3431,Sheet2!$B$5:$H$29,3,FALSE),0)</x:f>
        <x:v>0</x:v>
      </x:c>
      <x:c r="E3431">
        <x:f>ROUND($C3431*10*VLOOKUP($B3431,Sheet2!$J$5:$K$7,2,FALSE)*VLOOKUP(Sheet1!$A3431,Sheet2!$B$5:$H$29,4,FALSE),0)</x:f>
        <x:v>0</x:v>
      </x:c>
      <x:c r="F3431">
        <x:f>ROUND($C3431*10*VLOOKUP($B3431,Sheet2!$J$5:$K$7,2,FALSE)*VLOOKUP(Sheet1!$A3431,Sheet2!$B$5:$H$29,5,FALSE),0)</x:f>
        <x:v>0</x:v>
      </x:c>
      <x:c r="G3431">
        <x:f>ROUND($C3431*10*VLOOKUP($B3431,Sheet2!$J$5:$K$7,2,FALSE)*VLOOKUP(Sheet1!$A3431,Sheet2!$B$5:$H$29,6,FALSE),0)</x:f>
        <x:v>48</x:v>
      </x:c>
      <x:c r="H3431">
        <x:f>ROUND($C3431*10*VLOOKUP($B3431,Sheet2!$J$5:$K$7,2,FALSE)*VLOOKUP(Sheet1!$A3431,Sheet2!$B$5:$H$29,7,FALSE),0)</x:f>
        <x:v>100</x:v>
      </x:c>
      <x:c r="I3431">
        <x:f t="shared" si="57"/>
        <x:v>1160</x:v>
      </x:c>
    </x:row>
    <x:row r="3432" spans="1:9" x14ac:dyDescent="0.15">
      <x:c r="A3432">
        <x:v>54155</x:v>
      </x:c>
      <x:c r="B3432">
        <x:v>1</x:v>
      </x:c>
      <x:c r="C3432">
        <x:v>11</x:v>
      </x:c>
      <x:c r="D3432">
        <x:f>ROUND($C3432*10*VLOOKUP($B3432,Sheet2!$J$5:$K$7,2,FALSE)*VLOOKUP(Sheet1!$A3432,Sheet2!$B$5:$H$29,3,FALSE),0)</x:f>
        <x:v>0</x:v>
      </x:c>
      <x:c r="E3432">
        <x:f>ROUND($C3432*10*VLOOKUP($B3432,Sheet2!$J$5:$K$7,2,FALSE)*VLOOKUP(Sheet1!$A3432,Sheet2!$B$5:$H$29,4,FALSE),0)</x:f>
        <x:v>0</x:v>
      </x:c>
      <x:c r="F3432">
        <x:f>ROUND($C3432*10*VLOOKUP($B3432,Sheet2!$J$5:$K$7,2,FALSE)*VLOOKUP(Sheet1!$A3432,Sheet2!$B$5:$H$29,5,FALSE),0)</x:f>
        <x:v>0</x:v>
      </x:c>
      <x:c r="G3432">
        <x:f>ROUND($C3432*10*VLOOKUP($B3432,Sheet2!$J$5:$K$7,2,FALSE)*VLOOKUP(Sheet1!$A3432,Sheet2!$B$5:$H$29,6,FALSE),0)</x:f>
        <x:v>53</x:v>
      </x:c>
      <x:c r="H3432">
        <x:f>ROUND($C3432*10*VLOOKUP($B3432,Sheet2!$J$5:$K$7,2,FALSE)*VLOOKUP(Sheet1!$A3432,Sheet2!$B$5:$H$29,7,FALSE),0)</x:f>
        <x:v>110</x:v>
      </x:c>
      <x:c r="I3432">
        <x:f t="shared" si="57"/>
        <x:v>1390</x:v>
      </x:c>
    </x:row>
    <x:row r="3433" spans="1:9" x14ac:dyDescent="0.15">
      <x:c r="A3433">
        <x:v>54155</x:v>
      </x:c>
      <x:c r="B3433">
        <x:v>1</x:v>
      </x:c>
      <x:c r="C3433">
        <x:v>12</x:v>
      </x:c>
      <x:c r="D3433">
        <x:f>ROUND($C3433*10*VLOOKUP($B3433,Sheet2!$J$5:$K$7,2,FALSE)*VLOOKUP(Sheet1!$A3433,Sheet2!$B$5:$H$29,3,FALSE),0)</x:f>
        <x:v>0</x:v>
      </x:c>
      <x:c r="E3433">
        <x:f>ROUND($C3433*10*VLOOKUP($B3433,Sheet2!$J$5:$K$7,2,FALSE)*VLOOKUP(Sheet1!$A3433,Sheet2!$B$5:$H$29,4,FALSE),0)</x:f>
        <x:v>0</x:v>
      </x:c>
      <x:c r="F3433">
        <x:f>ROUND($C3433*10*VLOOKUP($B3433,Sheet2!$J$5:$K$7,2,FALSE)*VLOOKUP(Sheet1!$A3433,Sheet2!$B$5:$H$29,5,FALSE),0)</x:f>
        <x:v>0</x:v>
      </x:c>
      <x:c r="G3433">
        <x:f>ROUND($C3433*10*VLOOKUP($B3433,Sheet2!$J$5:$K$7,2,FALSE)*VLOOKUP(Sheet1!$A3433,Sheet2!$B$5:$H$29,6,FALSE),0)</x:f>
        <x:v>58</x:v>
      </x:c>
      <x:c r="H3433">
        <x:f>ROUND($C3433*10*VLOOKUP($B3433,Sheet2!$J$5:$K$7,2,FALSE)*VLOOKUP(Sheet1!$A3433,Sheet2!$B$5:$H$29,7,FALSE),0)</x:f>
        <x:v>120</x:v>
      </x:c>
      <x:c r="I3433">
        <x:f t="shared" si="57"/>
        <x:v>1650</x:v>
      </x:c>
    </x:row>
    <x:row r="3434" spans="1:9" x14ac:dyDescent="0.15">
      <x:c r="A3434">
        <x:v>54155</x:v>
      </x:c>
      <x:c r="B3434">
        <x:v>1</x:v>
      </x:c>
      <x:c r="C3434">
        <x:v>13</x:v>
      </x:c>
      <x:c r="D3434">
        <x:f>ROUND($C3434*10*VLOOKUP($B3434,Sheet2!$J$5:$K$7,2,FALSE)*VLOOKUP(Sheet1!$A3434,Sheet2!$B$5:$H$29,3,FALSE),0)</x:f>
        <x:v>0</x:v>
      </x:c>
      <x:c r="E3434">
        <x:f>ROUND($C3434*10*VLOOKUP($B3434,Sheet2!$J$5:$K$7,2,FALSE)*VLOOKUP(Sheet1!$A3434,Sheet2!$B$5:$H$29,4,FALSE),0)</x:f>
        <x:v>0</x:v>
      </x:c>
      <x:c r="F3434">
        <x:f>ROUND($C3434*10*VLOOKUP($B3434,Sheet2!$J$5:$K$7,2,FALSE)*VLOOKUP(Sheet1!$A3434,Sheet2!$B$5:$H$29,5,FALSE),0)</x:f>
        <x:v>0</x:v>
      </x:c>
      <x:c r="G3434">
        <x:f>ROUND($C3434*10*VLOOKUP($B3434,Sheet2!$J$5:$K$7,2,FALSE)*VLOOKUP(Sheet1!$A3434,Sheet2!$B$5:$H$29,6,FALSE),0)</x:f>
        <x:v>62</x:v>
      </x:c>
      <x:c r="H3434">
        <x:f>ROUND($C3434*10*VLOOKUP($B3434,Sheet2!$J$5:$K$7,2,FALSE)*VLOOKUP(Sheet1!$A3434,Sheet2!$B$5:$H$29,7,FALSE),0)</x:f>
        <x:v>130</x:v>
      </x:c>
      <x:c r="I3434">
        <x:f t="shared" si="57"/>
        <x:v>1920</x:v>
      </x:c>
    </x:row>
    <x:row r="3435" spans="1:9" x14ac:dyDescent="0.15">
      <x:c r="A3435">
        <x:v>54155</x:v>
      </x:c>
      <x:c r="B3435">
        <x:v>1</x:v>
      </x:c>
      <x:c r="C3435">
        <x:v>14</x:v>
      </x:c>
      <x:c r="D3435">
        <x:f>ROUND($C3435*10*VLOOKUP($B3435,Sheet2!$J$5:$K$7,2,FALSE)*VLOOKUP(Sheet1!$A3435,Sheet2!$B$5:$H$29,3,FALSE),0)</x:f>
        <x:v>0</x:v>
      </x:c>
      <x:c r="E3435">
        <x:f>ROUND($C3435*10*VLOOKUP($B3435,Sheet2!$J$5:$K$7,2,FALSE)*VLOOKUP(Sheet1!$A3435,Sheet2!$B$5:$H$29,4,FALSE),0)</x:f>
        <x:v>0</x:v>
      </x:c>
      <x:c r="F3435">
        <x:f>ROUND($C3435*10*VLOOKUP($B3435,Sheet2!$J$5:$K$7,2,FALSE)*VLOOKUP(Sheet1!$A3435,Sheet2!$B$5:$H$29,5,FALSE),0)</x:f>
        <x:v>0</x:v>
      </x:c>
      <x:c r="G3435">
        <x:f>ROUND($C3435*10*VLOOKUP($B3435,Sheet2!$J$5:$K$7,2,FALSE)*VLOOKUP(Sheet1!$A3435,Sheet2!$B$5:$H$29,6,FALSE),0)</x:f>
        <x:v>67</x:v>
      </x:c>
      <x:c r="H3435">
        <x:f>ROUND($C3435*10*VLOOKUP($B3435,Sheet2!$J$5:$K$7,2,FALSE)*VLOOKUP(Sheet1!$A3435,Sheet2!$B$5:$H$29,7,FALSE),0)</x:f>
        <x:v>140</x:v>
      </x:c>
      <x:c r="I3435">
        <x:f t="shared" si="57"/>
        <x:v>2220</x:v>
      </x:c>
    </x:row>
    <x:row r="3436" spans="1:9" x14ac:dyDescent="0.15">
      <x:c r="A3436">
        <x:v>54155</x:v>
      </x:c>
      <x:c r="B3436">
        <x:v>1</x:v>
      </x:c>
      <x:c r="C3436">
        <x:v>15</x:v>
      </x:c>
      <x:c r="D3436">
        <x:f>ROUND($C3436*10*VLOOKUP($B3436,Sheet2!$J$5:$K$7,2,FALSE)*VLOOKUP(Sheet1!$A3436,Sheet2!$B$5:$H$29,3,FALSE),0)</x:f>
        <x:v>0</x:v>
      </x:c>
      <x:c r="E3436">
        <x:f>ROUND($C3436*10*VLOOKUP($B3436,Sheet2!$J$5:$K$7,2,FALSE)*VLOOKUP(Sheet1!$A3436,Sheet2!$B$5:$H$29,4,FALSE),0)</x:f>
        <x:v>0</x:v>
      </x:c>
      <x:c r="F3436">
        <x:f>ROUND($C3436*10*VLOOKUP($B3436,Sheet2!$J$5:$K$7,2,FALSE)*VLOOKUP(Sheet1!$A3436,Sheet2!$B$5:$H$29,5,FALSE),0)</x:f>
        <x:v>0</x:v>
      </x:c>
      <x:c r="G3436">
        <x:f>ROUND($C3436*10*VLOOKUP($B3436,Sheet2!$J$5:$K$7,2,FALSE)*VLOOKUP(Sheet1!$A3436,Sheet2!$B$5:$H$29,6,FALSE),0)</x:f>
        <x:v>72</x:v>
      </x:c>
      <x:c r="H3436">
        <x:f>ROUND($C3436*10*VLOOKUP($B3436,Sheet2!$J$5:$K$7,2,FALSE)*VLOOKUP(Sheet1!$A3436,Sheet2!$B$5:$H$29,7,FALSE),0)</x:f>
        <x:v>150</x:v>
      </x:c>
      <x:c r="I3436">
        <x:f t="shared" si="57"/>
        <x:v>2530</x:v>
      </x:c>
    </x:row>
    <x:row r="3437" spans="1:9" x14ac:dyDescent="0.15">
      <x:c r="A3437">
        <x:v>54155</x:v>
      </x:c>
      <x:c r="B3437">
        <x:v>1</x:v>
      </x:c>
      <x:c r="C3437">
        <x:v>16</x:v>
      </x:c>
      <x:c r="D3437">
        <x:f>ROUND($C3437*10*VLOOKUP($B3437,Sheet2!$J$5:$K$7,2,FALSE)*VLOOKUP(Sheet1!$A3437,Sheet2!$B$5:$H$29,3,FALSE),0)</x:f>
        <x:v>0</x:v>
      </x:c>
      <x:c r="E3437">
        <x:f>ROUND($C3437*10*VLOOKUP($B3437,Sheet2!$J$5:$K$7,2,FALSE)*VLOOKUP(Sheet1!$A3437,Sheet2!$B$5:$H$29,4,FALSE),0)</x:f>
        <x:v>0</x:v>
      </x:c>
      <x:c r="F3437">
        <x:f>ROUND($C3437*10*VLOOKUP($B3437,Sheet2!$J$5:$K$7,2,FALSE)*VLOOKUP(Sheet1!$A3437,Sheet2!$B$5:$H$29,5,FALSE),0)</x:f>
        <x:v>0</x:v>
      </x:c>
      <x:c r="G3437">
        <x:f>ROUND($C3437*10*VLOOKUP($B3437,Sheet2!$J$5:$K$7,2,FALSE)*VLOOKUP(Sheet1!$A3437,Sheet2!$B$5:$H$29,6,FALSE),0)</x:f>
        <x:v>77</x:v>
      </x:c>
      <x:c r="H3437">
        <x:f>ROUND($C3437*10*VLOOKUP($B3437,Sheet2!$J$5:$K$7,2,FALSE)*VLOOKUP(Sheet1!$A3437,Sheet2!$B$5:$H$29,7,FALSE),0)</x:f>
        <x:v>160</x:v>
      </x:c>
      <x:c r="I3437">
        <x:f t="shared" si="57"/>
        <x:v>2860</x:v>
      </x:c>
    </x:row>
    <x:row r="3438" spans="1:9" x14ac:dyDescent="0.15">
      <x:c r="A3438">
        <x:v>54155</x:v>
      </x:c>
      <x:c r="B3438">
        <x:v>1</x:v>
      </x:c>
      <x:c r="C3438">
        <x:v>17</x:v>
      </x:c>
      <x:c r="D3438">
        <x:f>ROUND($C3438*10*VLOOKUP($B3438,Sheet2!$J$5:$K$7,2,FALSE)*VLOOKUP(Sheet1!$A3438,Sheet2!$B$5:$H$29,3,FALSE),0)</x:f>
        <x:v>0</x:v>
      </x:c>
      <x:c r="E3438">
        <x:f>ROUND($C3438*10*VLOOKUP($B3438,Sheet2!$J$5:$K$7,2,FALSE)*VLOOKUP(Sheet1!$A3438,Sheet2!$B$5:$H$29,4,FALSE),0)</x:f>
        <x:v>0</x:v>
      </x:c>
      <x:c r="F3438">
        <x:f>ROUND($C3438*10*VLOOKUP($B3438,Sheet2!$J$5:$K$7,2,FALSE)*VLOOKUP(Sheet1!$A3438,Sheet2!$B$5:$H$29,5,FALSE),0)</x:f>
        <x:v>0</x:v>
      </x:c>
      <x:c r="G3438">
        <x:f>ROUND($C3438*10*VLOOKUP($B3438,Sheet2!$J$5:$K$7,2,FALSE)*VLOOKUP(Sheet1!$A3438,Sheet2!$B$5:$H$29,6,FALSE),0)</x:f>
        <x:v>82</x:v>
      </x:c>
      <x:c r="H3438">
        <x:f>ROUND($C3438*10*VLOOKUP($B3438,Sheet2!$J$5:$K$7,2,FALSE)*VLOOKUP(Sheet1!$A3438,Sheet2!$B$5:$H$29,7,FALSE),0)</x:f>
        <x:v>170</x:v>
      </x:c>
      <x:c r="I3438">
        <x:f t="shared" si="57"/>
        <x:v>3210</x:v>
      </x:c>
    </x:row>
    <x:row r="3439" spans="1:9" x14ac:dyDescent="0.15">
      <x:c r="A3439">
        <x:v>54155</x:v>
      </x:c>
      <x:c r="B3439">
        <x:v>1</x:v>
      </x:c>
      <x:c r="C3439">
        <x:v>18</x:v>
      </x:c>
      <x:c r="D3439">
        <x:f>ROUND($C3439*10*VLOOKUP($B3439,Sheet2!$J$5:$K$7,2,FALSE)*VLOOKUP(Sheet1!$A3439,Sheet2!$B$5:$H$29,3,FALSE),0)</x:f>
        <x:v>0</x:v>
      </x:c>
      <x:c r="E3439">
        <x:f>ROUND($C3439*10*VLOOKUP($B3439,Sheet2!$J$5:$K$7,2,FALSE)*VLOOKUP(Sheet1!$A3439,Sheet2!$B$5:$H$29,4,FALSE),0)</x:f>
        <x:v>0</x:v>
      </x:c>
      <x:c r="F3439">
        <x:f>ROUND($C3439*10*VLOOKUP($B3439,Sheet2!$J$5:$K$7,2,FALSE)*VLOOKUP(Sheet1!$A3439,Sheet2!$B$5:$H$29,5,FALSE),0)</x:f>
        <x:v>0</x:v>
      </x:c>
      <x:c r="G3439">
        <x:f>ROUND($C3439*10*VLOOKUP($B3439,Sheet2!$J$5:$K$7,2,FALSE)*VLOOKUP(Sheet1!$A3439,Sheet2!$B$5:$H$29,6,FALSE),0)</x:f>
        <x:v>86</x:v>
      </x:c>
      <x:c r="H3439">
        <x:f>ROUND($C3439*10*VLOOKUP($B3439,Sheet2!$J$5:$K$7,2,FALSE)*VLOOKUP(Sheet1!$A3439,Sheet2!$B$5:$H$29,7,FALSE),0)</x:f>
        <x:v>180</x:v>
      </x:c>
      <x:c r="I3439">
        <x:f t="shared" si="57"/>
        <x:v>3570</x:v>
      </x:c>
    </x:row>
    <x:row r="3440" spans="1:9" x14ac:dyDescent="0.15">
      <x:c r="A3440">
        <x:v>54155</x:v>
      </x:c>
      <x:c r="B3440">
        <x:v>1</x:v>
      </x:c>
      <x:c r="C3440">
        <x:v>19</x:v>
      </x:c>
      <x:c r="D3440">
        <x:f>ROUND($C3440*10*VLOOKUP($B3440,Sheet2!$J$5:$K$7,2,FALSE)*VLOOKUP(Sheet1!$A3440,Sheet2!$B$5:$H$29,3,FALSE),0)</x:f>
        <x:v>0</x:v>
      </x:c>
      <x:c r="E3440">
        <x:f>ROUND($C3440*10*VLOOKUP($B3440,Sheet2!$J$5:$K$7,2,FALSE)*VLOOKUP(Sheet1!$A3440,Sheet2!$B$5:$H$29,4,FALSE),0)</x:f>
        <x:v>0</x:v>
      </x:c>
      <x:c r="F3440">
        <x:f>ROUND($C3440*10*VLOOKUP($B3440,Sheet2!$J$5:$K$7,2,FALSE)*VLOOKUP(Sheet1!$A3440,Sheet2!$B$5:$H$29,5,FALSE),0)</x:f>
        <x:v>0</x:v>
      </x:c>
      <x:c r="G3440">
        <x:f>ROUND($C3440*10*VLOOKUP($B3440,Sheet2!$J$5:$K$7,2,FALSE)*VLOOKUP(Sheet1!$A3440,Sheet2!$B$5:$H$29,6,FALSE),0)</x:f>
        <x:v>91</x:v>
      </x:c>
      <x:c r="H3440">
        <x:f>ROUND($C3440*10*VLOOKUP($B3440,Sheet2!$J$5:$K$7,2,FALSE)*VLOOKUP(Sheet1!$A3440,Sheet2!$B$5:$H$29,7,FALSE),0)</x:f>
        <x:v>190</x:v>
      </x:c>
      <x:c r="I3440">
        <x:f t="shared" si="57"/>
        <x:v>3960</x:v>
      </x:c>
    </x:row>
    <x:row r="3441" spans="1:9" x14ac:dyDescent="0.15">
      <x:c r="A3441">
        <x:v>54155</x:v>
      </x:c>
      <x:c r="B3441">
        <x:v>1</x:v>
      </x:c>
      <x:c r="C3441">
        <x:v>20</x:v>
      </x:c>
      <x:c r="D3441">
        <x:f>ROUND($C3441*10*VLOOKUP($B3441,Sheet2!$J$5:$K$7,2,FALSE)*VLOOKUP(Sheet1!$A3441,Sheet2!$B$5:$H$29,3,FALSE),0)</x:f>
        <x:v>0</x:v>
      </x:c>
      <x:c r="E3441">
        <x:f>ROUND($C3441*10*VLOOKUP($B3441,Sheet2!$J$5:$K$7,2,FALSE)*VLOOKUP(Sheet1!$A3441,Sheet2!$B$5:$H$29,4,FALSE),0)</x:f>
        <x:v>0</x:v>
      </x:c>
      <x:c r="F3441">
        <x:f>ROUND($C3441*10*VLOOKUP($B3441,Sheet2!$J$5:$K$7,2,FALSE)*VLOOKUP(Sheet1!$A3441,Sheet2!$B$5:$H$29,5,FALSE),0)</x:f>
        <x:v>0</x:v>
      </x:c>
      <x:c r="G3441">
        <x:f>ROUND($C3441*10*VLOOKUP($B3441,Sheet2!$J$5:$K$7,2,FALSE)*VLOOKUP(Sheet1!$A3441,Sheet2!$B$5:$H$29,6,FALSE),0)</x:f>
        <x:v>96</x:v>
      </x:c>
      <x:c r="H3441">
        <x:f>ROUND($C3441*10*VLOOKUP($B3441,Sheet2!$J$5:$K$7,2,FALSE)*VLOOKUP(Sheet1!$A3441,Sheet2!$B$5:$H$29,7,FALSE),0)</x:f>
        <x:v>200</x:v>
      </x:c>
      <x:c r="I3441">
        <x:f t="shared" si="57"/>
        <x:v>4360</x:v>
      </x:c>
    </x:row>
    <x:row r="3442" spans="1:9" x14ac:dyDescent="0.15">
      <x:c r="A3442">
        <x:v>54155</x:v>
      </x:c>
      <x:c r="B3442">
        <x:v>1</x:v>
      </x:c>
      <x:c r="C3442">
        <x:v>21</x:v>
      </x:c>
      <x:c r="D3442">
        <x:f>ROUND($C3442*10*VLOOKUP($B3442,Sheet2!$J$5:$K$7,2,FALSE)*VLOOKUP(Sheet1!$A3442,Sheet2!$B$5:$H$29,3,FALSE),0)</x:f>
        <x:v>0</x:v>
      </x:c>
      <x:c r="E3442">
        <x:f>ROUND($C3442*10*VLOOKUP($B3442,Sheet2!$J$5:$K$7,2,FALSE)*VLOOKUP(Sheet1!$A3442,Sheet2!$B$5:$H$29,4,FALSE),0)</x:f>
        <x:v>0</x:v>
      </x:c>
      <x:c r="F3442">
        <x:f>ROUND($C3442*10*VLOOKUP($B3442,Sheet2!$J$5:$K$7,2,FALSE)*VLOOKUP(Sheet1!$A3442,Sheet2!$B$5:$H$29,5,FALSE),0)</x:f>
        <x:v>0</x:v>
      </x:c>
      <x:c r="G3442">
        <x:f>ROUND($C3442*10*VLOOKUP($B3442,Sheet2!$J$5:$K$7,2,FALSE)*VLOOKUP(Sheet1!$A3442,Sheet2!$B$5:$H$29,6,FALSE),0)</x:f>
        <x:v>101</x:v>
      </x:c>
      <x:c r="H3442">
        <x:f>ROUND($C3442*10*VLOOKUP($B3442,Sheet2!$J$5:$K$7,2,FALSE)*VLOOKUP(Sheet1!$A3442,Sheet2!$B$5:$H$29,7,FALSE),0)</x:f>
        <x:v>210</x:v>
      </x:c>
      <x:c r="I3442">
        <x:f t="shared" si="57"/>
        <x:v>4780</x:v>
      </x:c>
    </x:row>
    <x:row r="3443" spans="1:9" x14ac:dyDescent="0.15">
      <x:c r="A3443">
        <x:v>54155</x:v>
      </x:c>
      <x:c r="B3443">
        <x:v>1</x:v>
      </x:c>
      <x:c r="C3443">
        <x:v>22</x:v>
      </x:c>
      <x:c r="D3443">
        <x:f>ROUND($C3443*10*VLOOKUP($B3443,Sheet2!$J$5:$K$7,2,FALSE)*VLOOKUP(Sheet1!$A3443,Sheet2!$B$5:$H$29,3,FALSE),0)</x:f>
        <x:v>0</x:v>
      </x:c>
      <x:c r="E3443">
        <x:f>ROUND($C3443*10*VLOOKUP($B3443,Sheet2!$J$5:$K$7,2,FALSE)*VLOOKUP(Sheet1!$A3443,Sheet2!$B$5:$H$29,4,FALSE),0)</x:f>
        <x:v>0</x:v>
      </x:c>
      <x:c r="F3443">
        <x:f>ROUND($C3443*10*VLOOKUP($B3443,Sheet2!$J$5:$K$7,2,FALSE)*VLOOKUP(Sheet1!$A3443,Sheet2!$B$5:$H$29,5,FALSE),0)</x:f>
        <x:v>0</x:v>
      </x:c>
      <x:c r="G3443">
        <x:f>ROUND($C3443*10*VLOOKUP($B3443,Sheet2!$J$5:$K$7,2,FALSE)*VLOOKUP(Sheet1!$A3443,Sheet2!$B$5:$H$29,6,FALSE),0)</x:f>
        <x:v>106</x:v>
      </x:c>
      <x:c r="H3443">
        <x:f>ROUND($C3443*10*VLOOKUP($B3443,Sheet2!$J$5:$K$7,2,FALSE)*VLOOKUP(Sheet1!$A3443,Sheet2!$B$5:$H$29,7,FALSE),0)</x:f>
        <x:v>220</x:v>
      </x:c>
      <x:c r="I3443">
        <x:f t="shared" si="57"/>
        <x:v>5210</x:v>
      </x:c>
    </x:row>
    <x:row r="3444" spans="1:9" x14ac:dyDescent="0.15">
      <x:c r="A3444">
        <x:v>54155</x:v>
      </x:c>
      <x:c r="B3444">
        <x:v>1</x:v>
      </x:c>
      <x:c r="C3444">
        <x:v>23</x:v>
      </x:c>
      <x:c r="D3444">
        <x:f>ROUND($C3444*10*VLOOKUP($B3444,Sheet2!$J$5:$K$7,2,FALSE)*VLOOKUP(Sheet1!$A3444,Sheet2!$B$5:$H$29,3,FALSE),0)</x:f>
        <x:v>0</x:v>
      </x:c>
      <x:c r="E3444">
        <x:f>ROUND($C3444*10*VLOOKUP($B3444,Sheet2!$J$5:$K$7,2,FALSE)*VLOOKUP(Sheet1!$A3444,Sheet2!$B$5:$H$29,4,FALSE),0)</x:f>
        <x:v>0</x:v>
      </x:c>
      <x:c r="F3444">
        <x:f>ROUND($C3444*10*VLOOKUP($B3444,Sheet2!$J$5:$K$7,2,FALSE)*VLOOKUP(Sheet1!$A3444,Sheet2!$B$5:$H$29,5,FALSE),0)</x:f>
        <x:v>0</x:v>
      </x:c>
      <x:c r="G3444">
        <x:f>ROUND($C3444*10*VLOOKUP($B3444,Sheet2!$J$5:$K$7,2,FALSE)*VLOOKUP(Sheet1!$A3444,Sheet2!$B$5:$H$29,6,FALSE),0)</x:f>
        <x:v>110</x:v>
      </x:c>
      <x:c r="H3444">
        <x:f>ROUND($C3444*10*VLOOKUP($B3444,Sheet2!$J$5:$K$7,2,FALSE)*VLOOKUP(Sheet1!$A3444,Sheet2!$B$5:$H$29,7,FALSE),0)</x:f>
        <x:v>230</x:v>
      </x:c>
      <x:c r="I3444">
        <x:f t="shared" si="57"/>
        <x:v>5660</x:v>
      </x:c>
    </x:row>
    <x:row r="3445" spans="1:9" x14ac:dyDescent="0.15">
      <x:c r="A3445">
        <x:v>54155</x:v>
      </x:c>
      <x:c r="B3445">
        <x:v>1</x:v>
      </x:c>
      <x:c r="C3445">
        <x:v>24</x:v>
      </x:c>
      <x:c r="D3445">
        <x:f>ROUND($C3445*10*VLOOKUP($B3445,Sheet2!$J$5:$K$7,2,FALSE)*VLOOKUP(Sheet1!$A3445,Sheet2!$B$5:$H$29,3,FALSE),0)</x:f>
        <x:v>0</x:v>
      </x:c>
      <x:c r="E3445">
        <x:f>ROUND($C3445*10*VLOOKUP($B3445,Sheet2!$J$5:$K$7,2,FALSE)*VLOOKUP(Sheet1!$A3445,Sheet2!$B$5:$H$29,4,FALSE),0)</x:f>
        <x:v>0</x:v>
      </x:c>
      <x:c r="F3445">
        <x:f>ROUND($C3445*10*VLOOKUP($B3445,Sheet2!$J$5:$K$7,2,FALSE)*VLOOKUP(Sheet1!$A3445,Sheet2!$B$5:$H$29,5,FALSE),0)</x:f>
        <x:v>0</x:v>
      </x:c>
      <x:c r="G3445">
        <x:f>ROUND($C3445*10*VLOOKUP($B3445,Sheet2!$J$5:$K$7,2,FALSE)*VLOOKUP(Sheet1!$A3445,Sheet2!$B$5:$H$29,6,FALSE),0)</x:f>
        <x:v>115</x:v>
      </x:c>
      <x:c r="H3445">
        <x:f>ROUND($C3445*10*VLOOKUP($B3445,Sheet2!$J$5:$K$7,2,FALSE)*VLOOKUP(Sheet1!$A3445,Sheet2!$B$5:$H$29,7,FALSE),0)</x:f>
        <x:v>240</x:v>
      </x:c>
      <x:c r="I3445">
        <x:f t="shared" si="57"/>
        <x:v>6130</x:v>
      </x:c>
    </x:row>
    <x:row r="3446" spans="1:9" x14ac:dyDescent="0.15">
      <x:c r="A3446">
        <x:v>54155</x:v>
      </x:c>
      <x:c r="B3446">
        <x:v>1</x:v>
      </x:c>
      <x:c r="C3446">
        <x:v>25</x:v>
      </x:c>
      <x:c r="D3446">
        <x:f>ROUND($C3446*10*VLOOKUP($B3446,Sheet2!$J$5:$K$7,2,FALSE)*VLOOKUP(Sheet1!$A3446,Sheet2!$B$5:$H$29,3,FALSE),0)</x:f>
        <x:v>0</x:v>
      </x:c>
      <x:c r="E3446">
        <x:f>ROUND($C3446*10*VLOOKUP($B3446,Sheet2!$J$5:$K$7,2,FALSE)*VLOOKUP(Sheet1!$A3446,Sheet2!$B$5:$H$29,4,FALSE),0)</x:f>
        <x:v>0</x:v>
      </x:c>
      <x:c r="F3446">
        <x:f>ROUND($C3446*10*VLOOKUP($B3446,Sheet2!$J$5:$K$7,2,FALSE)*VLOOKUP(Sheet1!$A3446,Sheet2!$B$5:$H$29,5,FALSE),0)</x:f>
        <x:v>0</x:v>
      </x:c>
      <x:c r="G3446">
        <x:f>ROUND($C3446*10*VLOOKUP($B3446,Sheet2!$J$5:$K$7,2,FALSE)*VLOOKUP(Sheet1!$A3446,Sheet2!$B$5:$H$29,6,FALSE),0)</x:f>
        <x:v>120</x:v>
      </x:c>
      <x:c r="H3446">
        <x:f>ROUND($C3446*10*VLOOKUP($B3446,Sheet2!$J$5:$K$7,2,FALSE)*VLOOKUP(Sheet1!$A3446,Sheet2!$B$5:$H$29,7,FALSE),0)</x:f>
        <x:v>250</x:v>
      </x:c>
      <x:c r="I3446">
        <x:f t="shared" si="57"/>
        <x:v>6620</x:v>
      </x:c>
    </x:row>
    <x:row r="3447" spans="1:9" x14ac:dyDescent="0.15">
      <x:c r="A3447">
        <x:v>54155</x:v>
      </x:c>
      <x:c r="B3447">
        <x:v>1</x:v>
      </x:c>
      <x:c r="C3447">
        <x:v>26</x:v>
      </x:c>
      <x:c r="D3447">
        <x:f>ROUND($C3447*10*VLOOKUP($B3447,Sheet2!$J$5:$K$7,2,FALSE)*VLOOKUP(Sheet1!$A3447,Sheet2!$B$5:$H$29,3,FALSE),0)</x:f>
        <x:v>0</x:v>
      </x:c>
      <x:c r="E3447">
        <x:f>ROUND($C3447*10*VLOOKUP($B3447,Sheet2!$J$5:$K$7,2,FALSE)*VLOOKUP(Sheet1!$A3447,Sheet2!$B$5:$H$29,4,FALSE),0)</x:f>
        <x:v>0</x:v>
      </x:c>
      <x:c r="F3447">
        <x:f>ROUND($C3447*10*VLOOKUP($B3447,Sheet2!$J$5:$K$7,2,FALSE)*VLOOKUP(Sheet1!$A3447,Sheet2!$B$5:$H$29,5,FALSE),0)</x:f>
        <x:v>0</x:v>
      </x:c>
      <x:c r="G3447">
        <x:f>ROUND($C3447*10*VLOOKUP($B3447,Sheet2!$J$5:$K$7,2,FALSE)*VLOOKUP(Sheet1!$A3447,Sheet2!$B$5:$H$29,6,FALSE),0)</x:f>
        <x:v>125</x:v>
      </x:c>
      <x:c r="H3447">
        <x:f>ROUND($C3447*10*VLOOKUP($B3447,Sheet2!$J$5:$K$7,2,FALSE)*VLOOKUP(Sheet1!$A3447,Sheet2!$B$5:$H$29,7,FALSE),0)</x:f>
        <x:v>260</x:v>
      </x:c>
      <x:c r="I3447">
        <x:f t="shared" si="57"/>
        <x:v>7120</x:v>
      </x:c>
    </x:row>
    <x:row r="3448" spans="1:9" x14ac:dyDescent="0.15">
      <x:c r="A3448">
        <x:v>54155</x:v>
      </x:c>
      <x:c r="B3448">
        <x:v>1</x:v>
      </x:c>
      <x:c r="C3448">
        <x:v>27</x:v>
      </x:c>
      <x:c r="D3448">
        <x:f>ROUND($C3448*10*VLOOKUP($B3448,Sheet2!$J$5:$K$7,2,FALSE)*VLOOKUP(Sheet1!$A3448,Sheet2!$B$5:$H$29,3,FALSE),0)</x:f>
        <x:v>0</x:v>
      </x:c>
      <x:c r="E3448">
        <x:f>ROUND($C3448*10*VLOOKUP($B3448,Sheet2!$J$5:$K$7,2,FALSE)*VLOOKUP(Sheet1!$A3448,Sheet2!$B$5:$H$29,4,FALSE),0)</x:f>
        <x:v>0</x:v>
      </x:c>
      <x:c r="F3448">
        <x:f>ROUND($C3448*10*VLOOKUP($B3448,Sheet2!$J$5:$K$7,2,FALSE)*VLOOKUP(Sheet1!$A3448,Sheet2!$B$5:$H$29,5,FALSE),0)</x:f>
        <x:v>0</x:v>
      </x:c>
      <x:c r="G3448">
        <x:f>ROUND($C3448*10*VLOOKUP($B3448,Sheet2!$J$5:$K$7,2,FALSE)*VLOOKUP(Sheet1!$A3448,Sheet2!$B$5:$H$29,6,FALSE),0)</x:f>
        <x:v>130</x:v>
      </x:c>
      <x:c r="H3448">
        <x:f>ROUND($C3448*10*VLOOKUP($B3448,Sheet2!$J$5:$K$7,2,FALSE)*VLOOKUP(Sheet1!$A3448,Sheet2!$B$5:$H$29,7,FALSE),0)</x:f>
        <x:v>270</x:v>
      </x:c>
      <x:c r="I3448">
        <x:f t="shared" si="57"/>
        <x:v>7640</x:v>
      </x:c>
    </x:row>
    <x:row r="3449" spans="1:9" x14ac:dyDescent="0.15">
      <x:c r="A3449">
        <x:v>54155</x:v>
      </x:c>
      <x:c r="B3449">
        <x:v>1</x:v>
      </x:c>
      <x:c r="C3449">
        <x:v>28</x:v>
      </x:c>
      <x:c r="D3449">
        <x:f>ROUND($C3449*10*VLOOKUP($B3449,Sheet2!$J$5:$K$7,2,FALSE)*VLOOKUP(Sheet1!$A3449,Sheet2!$B$5:$H$29,3,FALSE),0)</x:f>
        <x:v>0</x:v>
      </x:c>
      <x:c r="E3449">
        <x:f>ROUND($C3449*10*VLOOKUP($B3449,Sheet2!$J$5:$K$7,2,FALSE)*VLOOKUP(Sheet1!$A3449,Sheet2!$B$5:$H$29,4,FALSE),0)</x:f>
        <x:v>0</x:v>
      </x:c>
      <x:c r="F3449">
        <x:f>ROUND($C3449*10*VLOOKUP($B3449,Sheet2!$J$5:$K$7,2,FALSE)*VLOOKUP(Sheet1!$A3449,Sheet2!$B$5:$H$29,5,FALSE),0)</x:f>
        <x:v>0</x:v>
      </x:c>
      <x:c r="G3449">
        <x:f>ROUND($C3449*10*VLOOKUP($B3449,Sheet2!$J$5:$K$7,2,FALSE)*VLOOKUP(Sheet1!$A3449,Sheet2!$B$5:$H$29,6,FALSE),0)</x:f>
        <x:v>134</x:v>
      </x:c>
      <x:c r="H3449">
        <x:f>ROUND($C3449*10*VLOOKUP($B3449,Sheet2!$J$5:$K$7,2,FALSE)*VLOOKUP(Sheet1!$A3449,Sheet2!$B$5:$H$29,7,FALSE),0)</x:f>
        <x:v>280</x:v>
      </x:c>
      <x:c r="I3449">
        <x:f t="shared" si="57"/>
        <x:v>8180</x:v>
      </x:c>
    </x:row>
    <x:row r="3450" spans="1:9" x14ac:dyDescent="0.15">
      <x:c r="A3450">
        <x:v>54155</x:v>
      </x:c>
      <x:c r="B3450">
        <x:v>1</x:v>
      </x:c>
      <x:c r="C3450">
        <x:v>29</x:v>
      </x:c>
      <x:c r="D3450">
        <x:f>ROUND($C3450*10*VLOOKUP($B3450,Sheet2!$J$5:$K$7,2,FALSE)*VLOOKUP(Sheet1!$A3450,Sheet2!$B$5:$H$29,3,FALSE),0)</x:f>
        <x:v>0</x:v>
      </x:c>
      <x:c r="E3450">
        <x:f>ROUND($C3450*10*VLOOKUP($B3450,Sheet2!$J$5:$K$7,2,FALSE)*VLOOKUP(Sheet1!$A3450,Sheet2!$B$5:$H$29,4,FALSE),0)</x:f>
        <x:v>0</x:v>
      </x:c>
      <x:c r="F3450">
        <x:f>ROUND($C3450*10*VLOOKUP($B3450,Sheet2!$J$5:$K$7,2,FALSE)*VLOOKUP(Sheet1!$A3450,Sheet2!$B$5:$H$29,5,FALSE),0)</x:f>
        <x:v>0</x:v>
      </x:c>
      <x:c r="G3450">
        <x:f>ROUND($C3450*10*VLOOKUP($B3450,Sheet2!$J$5:$K$7,2,FALSE)*VLOOKUP(Sheet1!$A3450,Sheet2!$B$5:$H$29,6,FALSE),0)</x:f>
        <x:v>139</x:v>
      </x:c>
      <x:c r="H3450">
        <x:f>ROUND($C3450*10*VLOOKUP($B3450,Sheet2!$J$5:$K$7,2,FALSE)*VLOOKUP(Sheet1!$A3450,Sheet2!$B$5:$H$29,7,FALSE),0)</x:f>
        <x:v>290</x:v>
      </x:c>
      <x:c r="I3450">
        <x:f t="shared" si="57"/>
        <x:v>8730</x:v>
      </x:c>
    </x:row>
    <x:row r="3451" spans="1:9" x14ac:dyDescent="0.15">
      <x:c r="A3451">
        <x:v>54155</x:v>
      </x:c>
      <x:c r="B3451">
        <x:v>1</x:v>
      </x:c>
      <x:c r="C3451">
        <x:v>30</x:v>
      </x:c>
      <x:c r="D3451">
        <x:f>ROUND($C3451*10*VLOOKUP($B3451,Sheet2!$J$5:$K$7,2,FALSE)*VLOOKUP(Sheet1!$A3451,Sheet2!$B$5:$H$29,3,FALSE),0)</x:f>
        <x:v>0</x:v>
      </x:c>
      <x:c r="E3451">
        <x:f>ROUND($C3451*10*VLOOKUP($B3451,Sheet2!$J$5:$K$7,2,FALSE)*VLOOKUP(Sheet1!$A3451,Sheet2!$B$5:$H$29,4,FALSE),0)</x:f>
        <x:v>0</x:v>
      </x:c>
      <x:c r="F3451">
        <x:f>ROUND($C3451*10*VLOOKUP($B3451,Sheet2!$J$5:$K$7,2,FALSE)*VLOOKUP(Sheet1!$A3451,Sheet2!$B$5:$H$29,5,FALSE),0)</x:f>
        <x:v>0</x:v>
      </x:c>
      <x:c r="G3451">
        <x:f>ROUND($C3451*10*VLOOKUP($B3451,Sheet2!$J$5:$K$7,2,FALSE)*VLOOKUP(Sheet1!$A3451,Sheet2!$B$5:$H$29,6,FALSE),0)</x:f>
        <x:v>144</x:v>
      </x:c>
      <x:c r="H3451">
        <x:f>ROUND($C3451*10*VLOOKUP($B3451,Sheet2!$J$5:$K$7,2,FALSE)*VLOOKUP(Sheet1!$A3451,Sheet2!$B$5:$H$29,7,FALSE),0)</x:f>
        <x:v>300</x:v>
      </x:c>
      <x:c r="I3451">
        <x:f t="shared" si="57"/>
        <x:v>9290</x:v>
      </x:c>
    </x:row>
    <x:row r="3452" spans="1:9" x14ac:dyDescent="0.15">
      <x:c r="A3452">
        <x:v>54155</x:v>
      </x:c>
      <x:c r="B3452">
        <x:v>1</x:v>
      </x:c>
      <x:c r="C3452">
        <x:v>31</x:v>
      </x:c>
      <x:c r="D3452">
        <x:f>ROUND($C3452*10*VLOOKUP($B3452,Sheet2!$J$5:$K$7,2,FALSE)*VLOOKUP(Sheet1!$A3452,Sheet2!$B$5:$H$29,3,FALSE),0)</x:f>
        <x:v>0</x:v>
      </x:c>
      <x:c r="E3452">
        <x:f>ROUND($C3452*10*VLOOKUP($B3452,Sheet2!$J$5:$K$7,2,FALSE)*VLOOKUP(Sheet1!$A3452,Sheet2!$B$5:$H$29,4,FALSE),0)</x:f>
        <x:v>0</x:v>
      </x:c>
      <x:c r="F3452">
        <x:f>ROUND($C3452*10*VLOOKUP($B3452,Sheet2!$J$5:$K$7,2,FALSE)*VLOOKUP(Sheet1!$A3452,Sheet2!$B$5:$H$29,5,FALSE),0)</x:f>
        <x:v>0</x:v>
      </x:c>
      <x:c r="G3452">
        <x:f>ROUND($C3452*10*VLOOKUP($B3452,Sheet2!$J$5:$K$7,2,FALSE)*VLOOKUP(Sheet1!$A3452,Sheet2!$B$5:$H$29,6,FALSE),0)</x:f>
        <x:v>149</x:v>
      </x:c>
      <x:c r="H3452">
        <x:f>ROUND($C3452*10*VLOOKUP($B3452,Sheet2!$J$5:$K$7,2,FALSE)*VLOOKUP(Sheet1!$A3452,Sheet2!$B$5:$H$29,7,FALSE),0)</x:f>
        <x:v>310</x:v>
      </x:c>
      <x:c r="I3452">
        <x:f t="shared" si="57"/>
        <x:v>9880</x:v>
      </x:c>
    </x:row>
    <x:row r="3453" spans="1:9" x14ac:dyDescent="0.15">
      <x:c r="A3453">
        <x:v>54155</x:v>
      </x:c>
      <x:c r="B3453">
        <x:v>1</x:v>
      </x:c>
      <x:c r="C3453">
        <x:v>32</x:v>
      </x:c>
      <x:c r="D3453">
        <x:f>ROUND($C3453*10*VLOOKUP($B3453,Sheet2!$J$5:$K$7,2,FALSE)*VLOOKUP(Sheet1!$A3453,Sheet2!$B$5:$H$29,3,FALSE),0)</x:f>
        <x:v>0</x:v>
      </x:c>
      <x:c r="E3453">
        <x:f>ROUND($C3453*10*VLOOKUP($B3453,Sheet2!$J$5:$K$7,2,FALSE)*VLOOKUP(Sheet1!$A3453,Sheet2!$B$5:$H$29,4,FALSE),0)</x:f>
        <x:v>0</x:v>
      </x:c>
      <x:c r="F3453">
        <x:f>ROUND($C3453*10*VLOOKUP($B3453,Sheet2!$J$5:$K$7,2,FALSE)*VLOOKUP(Sheet1!$A3453,Sheet2!$B$5:$H$29,5,FALSE),0)</x:f>
        <x:v>0</x:v>
      </x:c>
      <x:c r="G3453">
        <x:f>ROUND($C3453*10*VLOOKUP($B3453,Sheet2!$J$5:$K$7,2,FALSE)*VLOOKUP(Sheet1!$A3453,Sheet2!$B$5:$H$29,6,FALSE),0)</x:f>
        <x:v>154</x:v>
      </x:c>
      <x:c r="H3453">
        <x:f>ROUND($C3453*10*VLOOKUP($B3453,Sheet2!$J$5:$K$7,2,FALSE)*VLOOKUP(Sheet1!$A3453,Sheet2!$B$5:$H$29,7,FALSE),0)</x:f>
        <x:v>320</x:v>
      </x:c>
      <x:c r="I3453">
        <x:f t="shared" si="57"/>
        <x:v>10470</x:v>
      </x:c>
    </x:row>
    <x:row r="3454" spans="1:9" x14ac:dyDescent="0.15">
      <x:c r="A3454">
        <x:v>54155</x:v>
      </x:c>
      <x:c r="B3454">
        <x:v>1</x:v>
      </x:c>
      <x:c r="C3454">
        <x:v>33</x:v>
      </x:c>
      <x:c r="D3454">
        <x:f>ROUND($C3454*10*VLOOKUP($B3454,Sheet2!$J$5:$K$7,2,FALSE)*VLOOKUP(Sheet1!$A3454,Sheet2!$B$5:$H$29,3,FALSE),0)</x:f>
        <x:v>0</x:v>
      </x:c>
      <x:c r="E3454">
        <x:f>ROUND($C3454*10*VLOOKUP($B3454,Sheet2!$J$5:$K$7,2,FALSE)*VLOOKUP(Sheet1!$A3454,Sheet2!$B$5:$H$29,4,FALSE),0)</x:f>
        <x:v>0</x:v>
      </x:c>
      <x:c r="F3454">
        <x:f>ROUND($C3454*10*VLOOKUP($B3454,Sheet2!$J$5:$K$7,2,FALSE)*VLOOKUP(Sheet1!$A3454,Sheet2!$B$5:$H$29,5,FALSE),0)</x:f>
        <x:v>0</x:v>
      </x:c>
      <x:c r="G3454">
        <x:f>ROUND($C3454*10*VLOOKUP($B3454,Sheet2!$J$5:$K$7,2,FALSE)*VLOOKUP(Sheet1!$A3454,Sheet2!$B$5:$H$29,6,FALSE),0)</x:f>
        <x:v>158</x:v>
      </x:c>
      <x:c r="H3454">
        <x:f>ROUND($C3454*10*VLOOKUP($B3454,Sheet2!$J$5:$K$7,2,FALSE)*VLOOKUP(Sheet1!$A3454,Sheet2!$B$5:$H$29,7,FALSE),0)</x:f>
        <x:v>330</x:v>
      </x:c>
      <x:c r="I3454">
        <x:f t="shared" si="57"/>
        <x:v>11090</x:v>
      </x:c>
    </x:row>
    <x:row r="3455" spans="1:9" x14ac:dyDescent="0.15">
      <x:c r="A3455">
        <x:v>54155</x:v>
      </x:c>
      <x:c r="B3455">
        <x:v>1</x:v>
      </x:c>
      <x:c r="C3455">
        <x:v>34</x:v>
      </x:c>
      <x:c r="D3455">
        <x:f>ROUND($C3455*10*VLOOKUP($B3455,Sheet2!$J$5:$K$7,2,FALSE)*VLOOKUP(Sheet1!$A3455,Sheet2!$B$5:$H$29,3,FALSE),0)</x:f>
        <x:v>0</x:v>
      </x:c>
      <x:c r="E3455">
        <x:f>ROUND($C3455*10*VLOOKUP($B3455,Sheet2!$J$5:$K$7,2,FALSE)*VLOOKUP(Sheet1!$A3455,Sheet2!$B$5:$H$29,4,FALSE),0)</x:f>
        <x:v>0</x:v>
      </x:c>
      <x:c r="F3455">
        <x:f>ROUND($C3455*10*VLOOKUP($B3455,Sheet2!$J$5:$K$7,2,FALSE)*VLOOKUP(Sheet1!$A3455,Sheet2!$B$5:$H$29,5,FALSE),0)</x:f>
        <x:v>0</x:v>
      </x:c>
      <x:c r="G3455">
        <x:f>ROUND($C3455*10*VLOOKUP($B3455,Sheet2!$J$5:$K$7,2,FALSE)*VLOOKUP(Sheet1!$A3455,Sheet2!$B$5:$H$29,6,FALSE),0)</x:f>
        <x:v>163</x:v>
      </x:c>
      <x:c r="H3455">
        <x:f>ROUND($C3455*10*VLOOKUP($B3455,Sheet2!$J$5:$K$7,2,FALSE)*VLOOKUP(Sheet1!$A3455,Sheet2!$B$5:$H$29,7,FALSE),0)</x:f>
        <x:v>340</x:v>
      </x:c>
      <x:c r="I3455">
        <x:f t="shared" si="57"/>
        <x:v>11720</x:v>
      </x:c>
    </x:row>
    <x:row r="3456" spans="1:9" x14ac:dyDescent="0.15">
      <x:c r="A3456">
        <x:v>54155</x:v>
      </x:c>
      <x:c r="B3456">
        <x:v>1</x:v>
      </x:c>
      <x:c r="C3456">
        <x:v>35</x:v>
      </x:c>
      <x:c r="D3456">
        <x:f>ROUND($C3456*10*VLOOKUP($B3456,Sheet2!$J$5:$K$7,2,FALSE)*VLOOKUP(Sheet1!$A3456,Sheet2!$B$5:$H$29,3,FALSE),0)</x:f>
        <x:v>0</x:v>
      </x:c>
      <x:c r="E3456">
        <x:f>ROUND($C3456*10*VLOOKUP($B3456,Sheet2!$J$5:$K$7,2,FALSE)*VLOOKUP(Sheet1!$A3456,Sheet2!$B$5:$H$29,4,FALSE),0)</x:f>
        <x:v>0</x:v>
      </x:c>
      <x:c r="F3456">
        <x:f>ROUND($C3456*10*VLOOKUP($B3456,Sheet2!$J$5:$K$7,2,FALSE)*VLOOKUP(Sheet1!$A3456,Sheet2!$B$5:$H$29,5,FALSE),0)</x:f>
        <x:v>0</x:v>
      </x:c>
      <x:c r="G3456">
        <x:f>ROUND($C3456*10*VLOOKUP($B3456,Sheet2!$J$5:$K$7,2,FALSE)*VLOOKUP(Sheet1!$A3456,Sheet2!$B$5:$H$29,6,FALSE),0)</x:f>
        <x:v>168</x:v>
      </x:c>
      <x:c r="H3456">
        <x:f>ROUND($C3456*10*VLOOKUP($B3456,Sheet2!$J$5:$K$7,2,FALSE)*VLOOKUP(Sheet1!$A3456,Sheet2!$B$5:$H$29,7,FALSE),0)</x:f>
        <x:v>350</x:v>
      </x:c>
      <x:c r="I3456">
        <x:f t="shared" si="57"/>
        <x:v>12360</x:v>
      </x:c>
    </x:row>
    <x:row r="3457" spans="1:9" x14ac:dyDescent="0.15">
      <x:c r="A3457">
        <x:v>54155</x:v>
      </x:c>
      <x:c r="B3457">
        <x:v>1</x:v>
      </x:c>
      <x:c r="C3457">
        <x:v>36</x:v>
      </x:c>
      <x:c r="D3457">
        <x:f>ROUND($C3457*10*VLOOKUP($B3457,Sheet2!$J$5:$K$7,2,FALSE)*VLOOKUP(Sheet1!$A3457,Sheet2!$B$5:$H$29,3,FALSE),0)</x:f>
        <x:v>0</x:v>
      </x:c>
      <x:c r="E3457">
        <x:f>ROUND($C3457*10*VLOOKUP($B3457,Sheet2!$J$5:$K$7,2,FALSE)*VLOOKUP(Sheet1!$A3457,Sheet2!$B$5:$H$29,4,FALSE),0)</x:f>
        <x:v>0</x:v>
      </x:c>
      <x:c r="F3457">
        <x:f>ROUND($C3457*10*VLOOKUP($B3457,Sheet2!$J$5:$K$7,2,FALSE)*VLOOKUP(Sheet1!$A3457,Sheet2!$B$5:$H$29,5,FALSE),0)</x:f>
        <x:v>0</x:v>
      </x:c>
      <x:c r="G3457">
        <x:f>ROUND($C3457*10*VLOOKUP($B3457,Sheet2!$J$5:$K$7,2,FALSE)*VLOOKUP(Sheet1!$A3457,Sheet2!$B$5:$H$29,6,FALSE),0)</x:f>
        <x:v>173</x:v>
      </x:c>
      <x:c r="H3457">
        <x:f>ROUND($C3457*10*VLOOKUP($B3457,Sheet2!$J$5:$K$7,2,FALSE)*VLOOKUP(Sheet1!$A3457,Sheet2!$B$5:$H$29,7,FALSE),0)</x:f>
        <x:v>360</x:v>
      </x:c>
      <x:c r="I3457">
        <x:f t="shared" si="57"/>
        <x:v>13020</x:v>
      </x:c>
    </x:row>
    <x:row r="3458" spans="1:9" x14ac:dyDescent="0.15">
      <x:c r="A3458">
        <x:v>54155</x:v>
      </x:c>
      <x:c r="B3458">
        <x:v>1</x:v>
      </x:c>
      <x:c r="C3458">
        <x:v>37</x:v>
      </x:c>
      <x:c r="D3458">
        <x:f>ROUND($C3458*10*VLOOKUP($B3458,Sheet2!$J$5:$K$7,2,FALSE)*VLOOKUP(Sheet1!$A3458,Sheet2!$B$5:$H$29,3,FALSE),0)</x:f>
        <x:v>0</x:v>
      </x:c>
      <x:c r="E3458">
        <x:f>ROUND($C3458*10*VLOOKUP($B3458,Sheet2!$J$5:$K$7,2,FALSE)*VLOOKUP(Sheet1!$A3458,Sheet2!$B$5:$H$29,4,FALSE),0)</x:f>
        <x:v>0</x:v>
      </x:c>
      <x:c r="F3458">
        <x:f>ROUND($C3458*10*VLOOKUP($B3458,Sheet2!$J$5:$K$7,2,FALSE)*VLOOKUP(Sheet1!$A3458,Sheet2!$B$5:$H$29,5,FALSE),0)</x:f>
        <x:v>0</x:v>
      </x:c>
      <x:c r="G3458">
        <x:f>ROUND($C3458*10*VLOOKUP($B3458,Sheet2!$J$5:$K$7,2,FALSE)*VLOOKUP(Sheet1!$A3458,Sheet2!$B$5:$H$29,6,FALSE),0)</x:f>
        <x:v>178</x:v>
      </x:c>
      <x:c r="H3458">
        <x:f>ROUND($C3458*10*VLOOKUP($B3458,Sheet2!$J$5:$K$7,2,FALSE)*VLOOKUP(Sheet1!$A3458,Sheet2!$B$5:$H$29,7,FALSE),0)</x:f>
        <x:v>370</x:v>
      </x:c>
      <x:c r="I3458">
        <x:f t="shared" si="57"/>
        <x:v>13700</x:v>
      </x:c>
    </x:row>
    <x:row r="3459" spans="1:9" x14ac:dyDescent="0.15">
      <x:c r="A3459">
        <x:v>54155</x:v>
      </x:c>
      <x:c r="B3459">
        <x:v>1</x:v>
      </x:c>
      <x:c r="C3459">
        <x:v>38</x:v>
      </x:c>
      <x:c r="D3459">
        <x:f>ROUND($C3459*10*VLOOKUP($B3459,Sheet2!$J$5:$K$7,2,FALSE)*VLOOKUP(Sheet1!$A3459,Sheet2!$B$5:$H$29,3,FALSE),0)</x:f>
        <x:v>0</x:v>
      </x:c>
      <x:c r="E3459">
        <x:f>ROUND($C3459*10*VLOOKUP($B3459,Sheet2!$J$5:$K$7,2,FALSE)*VLOOKUP(Sheet1!$A3459,Sheet2!$B$5:$H$29,4,FALSE),0)</x:f>
        <x:v>0</x:v>
      </x:c>
      <x:c r="F3459">
        <x:f>ROUND($C3459*10*VLOOKUP($B3459,Sheet2!$J$5:$K$7,2,FALSE)*VLOOKUP(Sheet1!$A3459,Sheet2!$B$5:$H$29,5,FALSE),0)</x:f>
        <x:v>0</x:v>
      </x:c>
      <x:c r="G3459">
        <x:f>ROUND($C3459*10*VLOOKUP($B3459,Sheet2!$J$5:$K$7,2,FALSE)*VLOOKUP(Sheet1!$A3459,Sheet2!$B$5:$H$29,6,FALSE),0)</x:f>
        <x:v>182</x:v>
      </x:c>
      <x:c r="H3459">
        <x:f>ROUND($C3459*10*VLOOKUP($B3459,Sheet2!$J$5:$K$7,2,FALSE)*VLOOKUP(Sheet1!$A3459,Sheet2!$B$5:$H$29,7,FALSE),0)</x:f>
        <x:v>380</x:v>
      </x:c>
      <x:c r="I3459">
        <x:f t="shared" si="57"/>
        <x:v>14390</x:v>
      </x:c>
    </x:row>
    <x:row r="3460" spans="1:9" x14ac:dyDescent="0.15">
      <x:c r="A3460">
        <x:v>54155</x:v>
      </x:c>
      <x:c r="B3460">
        <x:v>1</x:v>
      </x:c>
      <x:c r="C3460">
        <x:v>39</x:v>
      </x:c>
      <x:c r="D3460">
        <x:f>ROUND($C3460*10*VLOOKUP($B3460,Sheet2!$J$5:$K$7,2,FALSE)*VLOOKUP(Sheet1!$A3460,Sheet2!$B$5:$H$29,3,FALSE),0)</x:f>
        <x:v>0</x:v>
      </x:c>
      <x:c r="E3460">
        <x:f>ROUND($C3460*10*VLOOKUP($B3460,Sheet2!$J$5:$K$7,2,FALSE)*VLOOKUP(Sheet1!$A3460,Sheet2!$B$5:$H$29,4,FALSE),0)</x:f>
        <x:v>0</x:v>
      </x:c>
      <x:c r="F3460">
        <x:f>ROUND($C3460*10*VLOOKUP($B3460,Sheet2!$J$5:$K$7,2,FALSE)*VLOOKUP(Sheet1!$A3460,Sheet2!$B$5:$H$29,5,FALSE),0)</x:f>
        <x:v>0</x:v>
      </x:c>
      <x:c r="G3460">
        <x:f>ROUND($C3460*10*VLOOKUP($B3460,Sheet2!$J$5:$K$7,2,FALSE)*VLOOKUP(Sheet1!$A3460,Sheet2!$B$5:$H$29,6,FALSE),0)</x:f>
        <x:v>187</x:v>
      </x:c>
      <x:c r="H3460">
        <x:f>ROUND($C3460*10*VLOOKUP($B3460,Sheet2!$J$5:$K$7,2,FALSE)*VLOOKUP(Sheet1!$A3460,Sheet2!$B$5:$H$29,7,FALSE),0)</x:f>
        <x:v>390</x:v>
      </x:c>
      <x:c r="I3460">
        <x:f t="shared" si="57"/>
        <x:v>15100</x:v>
      </x:c>
    </x:row>
    <x:row r="3461" spans="1:9" x14ac:dyDescent="0.15">
      <x:c r="A3461">
        <x:v>54155</x:v>
      </x:c>
      <x:c r="B3461">
        <x:v>1</x:v>
      </x:c>
      <x:c r="C3461">
        <x:v>40</x:v>
      </x:c>
      <x:c r="D3461">
        <x:f>ROUND($C3461*10*VLOOKUP($B3461,Sheet2!$J$5:$K$7,2,FALSE)*VLOOKUP(Sheet1!$A3461,Sheet2!$B$5:$H$29,3,FALSE),0)</x:f>
        <x:v>0</x:v>
      </x:c>
      <x:c r="E3461">
        <x:f>ROUND($C3461*10*VLOOKUP($B3461,Sheet2!$J$5:$K$7,2,FALSE)*VLOOKUP(Sheet1!$A3461,Sheet2!$B$5:$H$29,4,FALSE),0)</x:f>
        <x:v>0</x:v>
      </x:c>
      <x:c r="F3461">
        <x:f>ROUND($C3461*10*VLOOKUP($B3461,Sheet2!$J$5:$K$7,2,FALSE)*VLOOKUP(Sheet1!$A3461,Sheet2!$B$5:$H$29,5,FALSE),0)</x:f>
        <x:v>0</x:v>
      </x:c>
      <x:c r="G3461">
        <x:f>ROUND($C3461*10*VLOOKUP($B3461,Sheet2!$J$5:$K$7,2,FALSE)*VLOOKUP(Sheet1!$A3461,Sheet2!$B$5:$H$29,6,FALSE),0)</x:f>
        <x:v>192</x:v>
      </x:c>
      <x:c r="H3461">
        <x:f>ROUND($C3461*10*VLOOKUP($B3461,Sheet2!$J$5:$K$7,2,FALSE)*VLOOKUP(Sheet1!$A3461,Sheet2!$B$5:$H$29,7,FALSE),0)</x:f>
        <x:v>400</x:v>
      </x:c>
      <x:c r="I3461">
        <x:f t="shared" si="57"/>
        <x:v>15820</x:v>
      </x:c>
    </x:row>
    <x:row r="3462" spans="1:9" x14ac:dyDescent="0.15">
      <x:c r="A3462">
        <x:v>54155</x:v>
      </x:c>
      <x:c r="B3462">
        <x:v>1</x:v>
      </x:c>
      <x:c r="C3462">
        <x:v>41</x:v>
      </x:c>
      <x:c r="D3462">
        <x:f>ROUND($C3462*10*VLOOKUP($B3462,Sheet2!$J$5:$K$7,2,FALSE)*VLOOKUP(Sheet1!$A3462,Sheet2!$B$5:$H$29,3,FALSE),0)</x:f>
        <x:v>0</x:v>
      </x:c>
      <x:c r="E3462">
        <x:f>ROUND($C3462*10*VLOOKUP($B3462,Sheet2!$J$5:$K$7,2,FALSE)*VLOOKUP(Sheet1!$A3462,Sheet2!$B$5:$H$29,4,FALSE),0)</x:f>
        <x:v>0</x:v>
      </x:c>
      <x:c r="F3462">
        <x:f>ROUND($C3462*10*VLOOKUP($B3462,Sheet2!$J$5:$K$7,2,FALSE)*VLOOKUP(Sheet1!$A3462,Sheet2!$B$5:$H$29,5,FALSE),0)</x:f>
        <x:v>0</x:v>
      </x:c>
      <x:c r="G3462">
        <x:f>ROUND($C3462*10*VLOOKUP($B3462,Sheet2!$J$5:$K$7,2,FALSE)*VLOOKUP(Sheet1!$A3462,Sheet2!$B$5:$H$29,6,FALSE),0)</x:f>
        <x:v>197</x:v>
      </x:c>
      <x:c r="H3462">
        <x:f>ROUND($C3462*10*VLOOKUP($B3462,Sheet2!$J$5:$K$7,2,FALSE)*VLOOKUP(Sheet1!$A3462,Sheet2!$B$5:$H$29,7,FALSE),0)</x:f>
        <x:v>410</x:v>
      </x:c>
      <x:c r="I3462">
        <x:f t="shared" si="57"/>
        <x:v>16560</x:v>
      </x:c>
    </x:row>
    <x:row r="3463" spans="1:9" x14ac:dyDescent="0.15">
      <x:c r="A3463">
        <x:v>54155</x:v>
      </x:c>
      <x:c r="B3463">
        <x:v>1</x:v>
      </x:c>
      <x:c r="C3463">
        <x:v>42</x:v>
      </x:c>
      <x:c r="D3463">
        <x:f>ROUND($C3463*10*VLOOKUP($B3463,Sheet2!$J$5:$K$7,2,FALSE)*VLOOKUP(Sheet1!$A3463,Sheet2!$B$5:$H$29,3,FALSE),0)</x:f>
        <x:v>0</x:v>
      </x:c>
      <x:c r="E3463">
        <x:f>ROUND($C3463*10*VLOOKUP($B3463,Sheet2!$J$5:$K$7,2,FALSE)*VLOOKUP(Sheet1!$A3463,Sheet2!$B$5:$H$29,4,FALSE),0)</x:f>
        <x:v>0</x:v>
      </x:c>
      <x:c r="F3463">
        <x:f>ROUND($C3463*10*VLOOKUP($B3463,Sheet2!$J$5:$K$7,2,FALSE)*VLOOKUP(Sheet1!$A3463,Sheet2!$B$5:$H$29,5,FALSE),0)</x:f>
        <x:v>0</x:v>
      </x:c>
      <x:c r="G3463">
        <x:f>ROUND($C3463*10*VLOOKUP($B3463,Sheet2!$J$5:$K$7,2,FALSE)*VLOOKUP(Sheet1!$A3463,Sheet2!$B$5:$H$29,6,FALSE),0)</x:f>
        <x:v>202</x:v>
      </x:c>
      <x:c r="H3463">
        <x:f>ROUND($C3463*10*VLOOKUP($B3463,Sheet2!$J$5:$K$7,2,FALSE)*VLOOKUP(Sheet1!$A3463,Sheet2!$B$5:$H$29,7,FALSE),0)</x:f>
        <x:v>420</x:v>
      </x:c>
      <x:c r="I3463">
        <x:f t="shared" si="57"/>
        <x:v>17310</x:v>
      </x:c>
    </x:row>
    <x:row r="3464" spans="1:9" x14ac:dyDescent="0.15">
      <x:c r="A3464">
        <x:v>54155</x:v>
      </x:c>
      <x:c r="B3464">
        <x:v>1</x:v>
      </x:c>
      <x:c r="C3464">
        <x:v>43</x:v>
      </x:c>
      <x:c r="D3464">
        <x:f>ROUND($C3464*10*VLOOKUP($B3464,Sheet2!$J$5:$K$7,2,FALSE)*VLOOKUP(Sheet1!$A3464,Sheet2!$B$5:$H$29,3,FALSE),0)</x:f>
        <x:v>0</x:v>
      </x:c>
      <x:c r="E3464">
        <x:f>ROUND($C3464*10*VLOOKUP($B3464,Sheet2!$J$5:$K$7,2,FALSE)*VLOOKUP(Sheet1!$A3464,Sheet2!$B$5:$H$29,4,FALSE),0)</x:f>
        <x:v>0</x:v>
      </x:c>
      <x:c r="F3464">
        <x:f>ROUND($C3464*10*VLOOKUP($B3464,Sheet2!$J$5:$K$7,2,FALSE)*VLOOKUP(Sheet1!$A3464,Sheet2!$B$5:$H$29,5,FALSE),0)</x:f>
        <x:v>0</x:v>
      </x:c>
      <x:c r="G3464">
        <x:f>ROUND($C3464*10*VLOOKUP($B3464,Sheet2!$J$5:$K$7,2,FALSE)*VLOOKUP(Sheet1!$A3464,Sheet2!$B$5:$H$29,6,FALSE),0)</x:f>
        <x:v>206</x:v>
      </x:c>
      <x:c r="H3464">
        <x:f>ROUND($C3464*10*VLOOKUP($B3464,Sheet2!$J$5:$K$7,2,FALSE)*VLOOKUP(Sheet1!$A3464,Sheet2!$B$5:$H$29,7,FALSE),0)</x:f>
        <x:v>430</x:v>
      </x:c>
      <x:c r="I3464">
        <x:f t="shared" si="57"/>
        <x:v>18070</x:v>
      </x:c>
    </x:row>
    <x:row r="3465" spans="1:9" x14ac:dyDescent="0.15">
      <x:c r="A3465">
        <x:v>54155</x:v>
      </x:c>
      <x:c r="B3465">
        <x:v>1</x:v>
      </x:c>
      <x:c r="C3465">
        <x:v>44</x:v>
      </x:c>
      <x:c r="D3465">
        <x:f>ROUND($C3465*10*VLOOKUP($B3465,Sheet2!$J$5:$K$7,2,FALSE)*VLOOKUP(Sheet1!$A3465,Sheet2!$B$5:$H$29,3,FALSE),0)</x:f>
        <x:v>0</x:v>
      </x:c>
      <x:c r="E3465">
        <x:f>ROUND($C3465*10*VLOOKUP($B3465,Sheet2!$J$5:$K$7,2,FALSE)*VLOOKUP(Sheet1!$A3465,Sheet2!$B$5:$H$29,4,FALSE),0)</x:f>
        <x:v>0</x:v>
      </x:c>
      <x:c r="F3465">
        <x:f>ROUND($C3465*10*VLOOKUP($B3465,Sheet2!$J$5:$K$7,2,FALSE)*VLOOKUP(Sheet1!$A3465,Sheet2!$B$5:$H$29,5,FALSE),0)</x:f>
        <x:v>0</x:v>
      </x:c>
      <x:c r="G3465">
        <x:f>ROUND($C3465*10*VLOOKUP($B3465,Sheet2!$J$5:$K$7,2,FALSE)*VLOOKUP(Sheet1!$A3465,Sheet2!$B$5:$H$29,6,FALSE),0)</x:f>
        <x:v>211</x:v>
      </x:c>
      <x:c r="H3465">
        <x:f>ROUND($C3465*10*VLOOKUP($B3465,Sheet2!$J$5:$K$7,2,FALSE)*VLOOKUP(Sheet1!$A3465,Sheet2!$B$5:$H$29,7,FALSE),0)</x:f>
        <x:v>440</x:v>
      </x:c>
      <x:c r="I3465">
        <x:f t="shared" si="57"/>
        <x:v>18850</x:v>
      </x:c>
    </x:row>
    <x:row r="3466" spans="1:9" x14ac:dyDescent="0.15">
      <x:c r="A3466">
        <x:v>54155</x:v>
      </x:c>
      <x:c r="B3466">
        <x:v>1</x:v>
      </x:c>
      <x:c r="C3466">
        <x:v>45</x:v>
      </x:c>
      <x:c r="D3466">
        <x:f>ROUND($C3466*10*VLOOKUP($B3466,Sheet2!$J$5:$K$7,2,FALSE)*VLOOKUP(Sheet1!$A3466,Sheet2!$B$5:$H$29,3,FALSE),0)</x:f>
        <x:v>0</x:v>
      </x:c>
      <x:c r="E3466">
        <x:f>ROUND($C3466*10*VLOOKUP($B3466,Sheet2!$J$5:$K$7,2,FALSE)*VLOOKUP(Sheet1!$A3466,Sheet2!$B$5:$H$29,4,FALSE),0)</x:f>
        <x:v>0</x:v>
      </x:c>
      <x:c r="F3466">
        <x:f>ROUND($C3466*10*VLOOKUP($B3466,Sheet2!$J$5:$K$7,2,FALSE)*VLOOKUP(Sheet1!$A3466,Sheet2!$B$5:$H$29,5,FALSE),0)</x:f>
        <x:v>0</x:v>
      </x:c>
      <x:c r="G3466">
        <x:f>ROUND($C3466*10*VLOOKUP($B3466,Sheet2!$J$5:$K$7,2,FALSE)*VLOOKUP(Sheet1!$A3466,Sheet2!$B$5:$H$29,6,FALSE),0)</x:f>
        <x:v>216</x:v>
      </x:c>
      <x:c r="H3466">
        <x:f>ROUND($C3466*10*VLOOKUP($B3466,Sheet2!$J$5:$K$7,2,FALSE)*VLOOKUP(Sheet1!$A3466,Sheet2!$B$5:$H$29,7,FALSE),0)</x:f>
        <x:v>450</x:v>
      </x:c>
      <x:c r="I3466">
        <x:f t="shared" si="57"/>
        <x:v>19650</x:v>
      </x:c>
    </x:row>
    <x:row r="3467" spans="1:9" x14ac:dyDescent="0.15">
      <x:c r="A3467">
        <x:v>54155</x:v>
      </x:c>
      <x:c r="B3467">
        <x:v>1</x:v>
      </x:c>
      <x:c r="C3467">
        <x:v>46</x:v>
      </x:c>
      <x:c r="D3467">
        <x:f>ROUND($C3467*10*VLOOKUP($B3467,Sheet2!$J$5:$K$7,2,FALSE)*VLOOKUP(Sheet1!$A3467,Sheet2!$B$5:$H$29,3,FALSE),0)</x:f>
        <x:v>0</x:v>
      </x:c>
      <x:c r="E3467">
        <x:f>ROUND($C3467*10*VLOOKUP($B3467,Sheet2!$J$5:$K$7,2,FALSE)*VLOOKUP(Sheet1!$A3467,Sheet2!$B$5:$H$29,4,FALSE),0)</x:f>
        <x:v>0</x:v>
      </x:c>
      <x:c r="F3467">
        <x:f>ROUND($C3467*10*VLOOKUP($B3467,Sheet2!$J$5:$K$7,2,FALSE)*VLOOKUP(Sheet1!$A3467,Sheet2!$B$5:$H$29,5,FALSE),0)</x:f>
        <x:v>0</x:v>
      </x:c>
      <x:c r="G3467">
        <x:f>ROUND($C3467*10*VLOOKUP($B3467,Sheet2!$J$5:$K$7,2,FALSE)*VLOOKUP(Sheet1!$A3467,Sheet2!$B$5:$H$29,6,FALSE),0)</x:f>
        <x:v>221</x:v>
      </x:c>
      <x:c r="H3467">
        <x:f>ROUND($C3467*10*VLOOKUP($B3467,Sheet2!$J$5:$K$7,2,FALSE)*VLOOKUP(Sheet1!$A3467,Sheet2!$B$5:$H$29,7,FALSE),0)</x:f>
        <x:v>460</x:v>
      </x:c>
      <x:c r="I3467">
        <x:f t="shared" si="57"/>
        <x:v>20460</x:v>
      </x:c>
    </x:row>
    <x:row r="3468" spans="1:9" x14ac:dyDescent="0.15">
      <x:c r="A3468">
        <x:v>54155</x:v>
      </x:c>
      <x:c r="B3468">
        <x:v>1</x:v>
      </x:c>
      <x:c r="C3468">
        <x:v>47</x:v>
      </x:c>
      <x:c r="D3468">
        <x:f>ROUND($C3468*10*VLOOKUP($B3468,Sheet2!$J$5:$K$7,2,FALSE)*VLOOKUP(Sheet1!$A3468,Sheet2!$B$5:$H$29,3,FALSE),0)</x:f>
        <x:v>0</x:v>
      </x:c>
      <x:c r="E3468">
        <x:f>ROUND($C3468*10*VLOOKUP($B3468,Sheet2!$J$5:$K$7,2,FALSE)*VLOOKUP(Sheet1!$A3468,Sheet2!$B$5:$H$29,4,FALSE),0)</x:f>
        <x:v>0</x:v>
      </x:c>
      <x:c r="F3468">
        <x:f>ROUND($C3468*10*VLOOKUP($B3468,Sheet2!$J$5:$K$7,2,FALSE)*VLOOKUP(Sheet1!$A3468,Sheet2!$B$5:$H$29,5,FALSE),0)</x:f>
        <x:v>0</x:v>
      </x:c>
      <x:c r="G3468">
        <x:f>ROUND($C3468*10*VLOOKUP($B3468,Sheet2!$J$5:$K$7,2,FALSE)*VLOOKUP(Sheet1!$A3468,Sheet2!$B$5:$H$29,6,FALSE),0)</x:f>
        <x:v>226</x:v>
      </x:c>
      <x:c r="H3468">
        <x:f>ROUND($C3468*10*VLOOKUP($B3468,Sheet2!$J$5:$K$7,2,FALSE)*VLOOKUP(Sheet1!$A3468,Sheet2!$B$5:$H$29,7,FALSE),0)</x:f>
        <x:v>470</x:v>
      </x:c>
      <x:c r="I3468">
        <x:f t="shared" si="57"/>
        <x:v>21280</x:v>
      </x:c>
    </x:row>
    <x:row r="3469" spans="1:9" x14ac:dyDescent="0.15">
      <x:c r="A3469">
        <x:v>54155</x:v>
      </x:c>
      <x:c r="B3469">
        <x:v>1</x:v>
      </x:c>
      <x:c r="C3469">
        <x:v>48</x:v>
      </x:c>
      <x:c r="D3469">
        <x:f>ROUND($C3469*10*VLOOKUP($B3469,Sheet2!$J$5:$K$7,2,FALSE)*VLOOKUP(Sheet1!$A3469,Sheet2!$B$5:$H$29,3,FALSE),0)</x:f>
        <x:v>0</x:v>
      </x:c>
      <x:c r="E3469">
        <x:f>ROUND($C3469*10*VLOOKUP($B3469,Sheet2!$J$5:$K$7,2,FALSE)*VLOOKUP(Sheet1!$A3469,Sheet2!$B$5:$H$29,4,FALSE),0)</x:f>
        <x:v>0</x:v>
      </x:c>
      <x:c r="F3469">
        <x:f>ROUND($C3469*10*VLOOKUP($B3469,Sheet2!$J$5:$K$7,2,FALSE)*VLOOKUP(Sheet1!$A3469,Sheet2!$B$5:$H$29,5,FALSE),0)</x:f>
        <x:v>0</x:v>
      </x:c>
      <x:c r="G3469">
        <x:f>ROUND($C3469*10*VLOOKUP($B3469,Sheet2!$J$5:$K$7,2,FALSE)*VLOOKUP(Sheet1!$A3469,Sheet2!$B$5:$H$29,6,FALSE),0)</x:f>
        <x:v>230</x:v>
      </x:c>
      <x:c r="H3469">
        <x:f>ROUND($C3469*10*VLOOKUP($B3469,Sheet2!$J$5:$K$7,2,FALSE)*VLOOKUP(Sheet1!$A3469,Sheet2!$B$5:$H$29,7,FALSE),0)</x:f>
        <x:v>480</x:v>
      </x:c>
      <x:c r="I3469">
        <x:f t="shared" si="57"/>
        <x:v>22120</x:v>
      </x:c>
    </x:row>
    <x:row r="3470" spans="1:9" x14ac:dyDescent="0.15">
      <x:c r="A3470">
        <x:v>54155</x:v>
      </x:c>
      <x:c r="B3470">
        <x:v>1</x:v>
      </x:c>
      <x:c r="C3470">
        <x:v>49</x:v>
      </x:c>
      <x:c r="D3470">
        <x:f>ROUND($C3470*10*VLOOKUP($B3470,Sheet2!$J$5:$K$7,2,FALSE)*VLOOKUP(Sheet1!$A3470,Sheet2!$B$5:$H$29,3,FALSE),0)</x:f>
        <x:v>0</x:v>
      </x:c>
      <x:c r="E3470">
        <x:f>ROUND($C3470*10*VLOOKUP($B3470,Sheet2!$J$5:$K$7,2,FALSE)*VLOOKUP(Sheet1!$A3470,Sheet2!$B$5:$H$29,4,FALSE),0)</x:f>
        <x:v>0</x:v>
      </x:c>
      <x:c r="F3470">
        <x:f>ROUND($C3470*10*VLOOKUP($B3470,Sheet2!$J$5:$K$7,2,FALSE)*VLOOKUP(Sheet1!$A3470,Sheet2!$B$5:$H$29,5,FALSE),0)</x:f>
        <x:v>0</x:v>
      </x:c>
      <x:c r="G3470">
        <x:f>ROUND($C3470*10*VLOOKUP($B3470,Sheet2!$J$5:$K$7,2,FALSE)*VLOOKUP(Sheet1!$A3470,Sheet2!$B$5:$H$29,6,FALSE),0)</x:f>
        <x:v>235</x:v>
      </x:c>
      <x:c r="H3470">
        <x:f>ROUND($C3470*10*VLOOKUP($B3470,Sheet2!$J$5:$K$7,2,FALSE)*VLOOKUP(Sheet1!$A3470,Sheet2!$B$5:$H$29,7,FALSE),0)</x:f>
        <x:v>490</x:v>
      </x:c>
      <x:c r="I3470">
        <x:f t="shared" si="57"/>
        <x:v>22970</x:v>
      </x:c>
    </x:row>
    <x:row r="3471" spans="1:9" x14ac:dyDescent="0.15">
      <x:c r="A3471">
        <x:v>54155</x:v>
      </x:c>
      <x:c r="B3471">
        <x:v>1</x:v>
      </x:c>
      <x:c r="C3471">
        <x:v>50</x:v>
      </x:c>
      <x:c r="D3471">
        <x:f>ROUND($C3471*10*VLOOKUP($B3471,Sheet2!$J$5:$K$7,2,FALSE)*VLOOKUP(Sheet1!$A3471,Sheet2!$B$5:$H$29,3,FALSE),0)</x:f>
        <x:v>0</x:v>
      </x:c>
      <x:c r="E3471">
        <x:f>ROUND($C3471*10*VLOOKUP($B3471,Sheet2!$J$5:$K$7,2,FALSE)*VLOOKUP(Sheet1!$A3471,Sheet2!$B$5:$H$29,4,FALSE),0)</x:f>
        <x:v>0</x:v>
      </x:c>
      <x:c r="F3471">
        <x:f>ROUND($C3471*10*VLOOKUP($B3471,Sheet2!$J$5:$K$7,2,FALSE)*VLOOKUP(Sheet1!$A3471,Sheet2!$B$5:$H$29,5,FALSE),0)</x:f>
        <x:v>0</x:v>
      </x:c>
      <x:c r="G3471">
        <x:f>ROUND($C3471*10*VLOOKUP($B3471,Sheet2!$J$5:$K$7,2,FALSE)*VLOOKUP(Sheet1!$A3471,Sheet2!$B$5:$H$29,6,FALSE),0)</x:f>
        <x:v>240</x:v>
      </x:c>
      <x:c r="H3471">
        <x:f>ROUND($C3471*10*VLOOKUP($B3471,Sheet2!$J$5:$K$7,2,FALSE)*VLOOKUP(Sheet1!$A3471,Sheet2!$B$5:$H$29,7,FALSE),0)</x:f>
        <x:v>500</x:v>
      </x:c>
      <x:c r="I3471">
        <x:f t="shared" si="57"/>
        <x:v>23840</x:v>
      </x:c>
    </x:row>
    <x:row r="3472" spans="1:9" x14ac:dyDescent="0.15">
      <x:c r="A3472">
        <x:v>54155</x:v>
      </x:c>
      <x:c r="B3472">
        <x:v>1</x:v>
      </x:c>
      <x:c r="C3472">
        <x:v>51</x:v>
      </x:c>
      <x:c r="D3472">
        <x:f>ROUND($C3472*10*VLOOKUP($B3472,Sheet2!$J$5:$K$7,2,FALSE)*VLOOKUP(Sheet1!$A3472,Sheet2!$B$5:$H$29,3,FALSE),0)</x:f>
        <x:v>0</x:v>
      </x:c>
      <x:c r="E3472">
        <x:f>ROUND($C3472*10*VLOOKUP($B3472,Sheet2!$J$5:$K$7,2,FALSE)*VLOOKUP(Sheet1!$A3472,Sheet2!$B$5:$H$29,4,FALSE),0)</x:f>
        <x:v>0</x:v>
      </x:c>
      <x:c r="F3472">
        <x:f>ROUND($C3472*10*VLOOKUP($B3472,Sheet2!$J$5:$K$7,2,FALSE)*VLOOKUP(Sheet1!$A3472,Sheet2!$B$5:$H$29,5,FALSE),0)</x:f>
        <x:v>0</x:v>
      </x:c>
      <x:c r="G3472">
        <x:f>ROUND($C3472*10*VLOOKUP($B3472,Sheet2!$J$5:$K$7,2,FALSE)*VLOOKUP(Sheet1!$A3472,Sheet2!$B$5:$H$29,6,FALSE),0)</x:f>
        <x:v>245</x:v>
      </x:c>
      <x:c r="H3472">
        <x:f>ROUND($C3472*10*VLOOKUP($B3472,Sheet2!$J$5:$K$7,2,FALSE)*VLOOKUP(Sheet1!$A3472,Sheet2!$B$5:$H$29,7,FALSE),0)</x:f>
        <x:v>510</x:v>
      </x:c>
      <x:c r="I3472">
        <x:f t="shared" si="57"/>
        <x:v>24720</x:v>
      </x:c>
    </x:row>
    <x:row r="3473" spans="1:9" x14ac:dyDescent="0.15">
      <x:c r="A3473">
        <x:v>54155</x:v>
      </x:c>
      <x:c r="B3473">
        <x:v>1</x:v>
      </x:c>
      <x:c r="C3473">
        <x:v>52</x:v>
      </x:c>
      <x:c r="D3473">
        <x:f>ROUND($C3473*10*VLOOKUP($B3473,Sheet2!$J$5:$K$7,2,FALSE)*VLOOKUP(Sheet1!$A3473,Sheet2!$B$5:$H$29,3,FALSE),0)</x:f>
        <x:v>0</x:v>
      </x:c>
      <x:c r="E3473">
        <x:f>ROUND($C3473*10*VLOOKUP($B3473,Sheet2!$J$5:$K$7,2,FALSE)*VLOOKUP(Sheet1!$A3473,Sheet2!$B$5:$H$29,4,FALSE),0)</x:f>
        <x:v>0</x:v>
      </x:c>
      <x:c r="F3473">
        <x:f>ROUND($C3473*10*VLOOKUP($B3473,Sheet2!$J$5:$K$7,2,FALSE)*VLOOKUP(Sheet1!$A3473,Sheet2!$B$5:$H$29,5,FALSE),0)</x:f>
        <x:v>0</x:v>
      </x:c>
      <x:c r="G3473">
        <x:f>ROUND($C3473*10*VLOOKUP($B3473,Sheet2!$J$5:$K$7,2,FALSE)*VLOOKUP(Sheet1!$A3473,Sheet2!$B$5:$H$29,6,FALSE),0)</x:f>
        <x:v>250</x:v>
      </x:c>
      <x:c r="H3473">
        <x:f>ROUND($C3473*10*VLOOKUP($B3473,Sheet2!$J$5:$K$7,2,FALSE)*VLOOKUP(Sheet1!$A3473,Sheet2!$B$5:$H$29,7,FALSE),0)</x:f>
        <x:v>520</x:v>
      </x:c>
      <x:c r="I3473">
        <x:f t="shared" si="57"/>
        <x:v>25620</x:v>
      </x:c>
    </x:row>
    <x:row r="3474" spans="1:9" x14ac:dyDescent="0.15">
      <x:c r="A3474">
        <x:v>54155</x:v>
      </x:c>
      <x:c r="B3474">
        <x:v>1</x:v>
      </x:c>
      <x:c r="C3474">
        <x:v>53</x:v>
      </x:c>
      <x:c r="D3474">
        <x:f>ROUND($C3474*10*VLOOKUP($B3474,Sheet2!$J$5:$K$7,2,FALSE)*VLOOKUP(Sheet1!$A3474,Sheet2!$B$5:$H$29,3,FALSE),0)</x:f>
        <x:v>0</x:v>
      </x:c>
      <x:c r="E3474">
        <x:f>ROUND($C3474*10*VLOOKUP($B3474,Sheet2!$J$5:$K$7,2,FALSE)*VLOOKUP(Sheet1!$A3474,Sheet2!$B$5:$H$29,4,FALSE),0)</x:f>
        <x:v>0</x:v>
      </x:c>
      <x:c r="F3474">
        <x:f>ROUND($C3474*10*VLOOKUP($B3474,Sheet2!$J$5:$K$7,2,FALSE)*VLOOKUP(Sheet1!$A3474,Sheet2!$B$5:$H$29,5,FALSE),0)</x:f>
        <x:v>0</x:v>
      </x:c>
      <x:c r="G3474">
        <x:f>ROUND($C3474*10*VLOOKUP($B3474,Sheet2!$J$5:$K$7,2,FALSE)*VLOOKUP(Sheet1!$A3474,Sheet2!$B$5:$H$29,6,FALSE),0)</x:f>
        <x:v>254</x:v>
      </x:c>
      <x:c r="H3474">
        <x:f>ROUND($C3474*10*VLOOKUP($B3474,Sheet2!$J$5:$K$7,2,FALSE)*VLOOKUP(Sheet1!$A3474,Sheet2!$B$5:$H$29,7,FALSE),0)</x:f>
        <x:v>530</x:v>
      </x:c>
      <x:c r="I3474">
        <x:f t="shared" si="57"/>
        <x:v>26530</x:v>
      </x:c>
    </x:row>
    <x:row r="3475" spans="1:9" x14ac:dyDescent="0.15">
      <x:c r="A3475">
        <x:v>54155</x:v>
      </x:c>
      <x:c r="B3475">
        <x:v>1</x:v>
      </x:c>
      <x:c r="C3475">
        <x:v>54</x:v>
      </x:c>
      <x:c r="D3475">
        <x:f>ROUND($C3475*10*VLOOKUP($B3475,Sheet2!$J$5:$K$7,2,FALSE)*VLOOKUP(Sheet1!$A3475,Sheet2!$B$5:$H$29,3,FALSE),0)</x:f>
        <x:v>0</x:v>
      </x:c>
      <x:c r="E3475">
        <x:f>ROUND($C3475*10*VLOOKUP($B3475,Sheet2!$J$5:$K$7,2,FALSE)*VLOOKUP(Sheet1!$A3475,Sheet2!$B$5:$H$29,4,FALSE),0)</x:f>
        <x:v>0</x:v>
      </x:c>
      <x:c r="F3475">
        <x:f>ROUND($C3475*10*VLOOKUP($B3475,Sheet2!$J$5:$K$7,2,FALSE)*VLOOKUP(Sheet1!$A3475,Sheet2!$B$5:$H$29,5,FALSE),0)</x:f>
        <x:v>0</x:v>
      </x:c>
      <x:c r="G3475">
        <x:f>ROUND($C3475*10*VLOOKUP($B3475,Sheet2!$J$5:$K$7,2,FALSE)*VLOOKUP(Sheet1!$A3475,Sheet2!$B$5:$H$29,6,FALSE),0)</x:f>
        <x:v>259</x:v>
      </x:c>
      <x:c r="H3475">
        <x:f>ROUND($C3475*10*VLOOKUP($B3475,Sheet2!$J$5:$K$7,2,FALSE)*VLOOKUP(Sheet1!$A3475,Sheet2!$B$5:$H$29,7,FALSE),0)</x:f>
        <x:v>540</x:v>
      </x:c>
      <x:c r="I3475">
        <x:f t="shared" si="57"/>
        <x:v>27460</x:v>
      </x:c>
    </x:row>
    <x:row r="3476" spans="1:9" x14ac:dyDescent="0.15">
      <x:c r="A3476">
        <x:v>54155</x:v>
      </x:c>
      <x:c r="B3476">
        <x:v>1</x:v>
      </x:c>
      <x:c r="C3476">
        <x:v>55</x:v>
      </x:c>
      <x:c r="D3476">
        <x:f>ROUND($C3476*10*VLOOKUP($B3476,Sheet2!$J$5:$K$7,2,FALSE)*VLOOKUP(Sheet1!$A3476,Sheet2!$B$5:$H$29,3,FALSE),0)</x:f>
        <x:v>0</x:v>
      </x:c>
      <x:c r="E3476">
        <x:f>ROUND($C3476*10*VLOOKUP($B3476,Sheet2!$J$5:$K$7,2,FALSE)*VLOOKUP(Sheet1!$A3476,Sheet2!$B$5:$H$29,4,FALSE),0)</x:f>
        <x:v>0</x:v>
      </x:c>
      <x:c r="F3476">
        <x:f>ROUND($C3476*10*VLOOKUP($B3476,Sheet2!$J$5:$K$7,2,FALSE)*VLOOKUP(Sheet1!$A3476,Sheet2!$B$5:$H$29,5,FALSE),0)</x:f>
        <x:v>0</x:v>
      </x:c>
      <x:c r="G3476">
        <x:f>ROUND($C3476*10*VLOOKUP($B3476,Sheet2!$J$5:$K$7,2,FALSE)*VLOOKUP(Sheet1!$A3476,Sheet2!$B$5:$H$29,6,FALSE),0)</x:f>
        <x:v>264</x:v>
      </x:c>
      <x:c r="H3476">
        <x:f>ROUND($C3476*10*VLOOKUP($B3476,Sheet2!$J$5:$K$7,2,FALSE)*VLOOKUP(Sheet1!$A3476,Sheet2!$B$5:$H$29,7,FALSE),0)</x:f>
        <x:v>550</x:v>
      </x:c>
      <x:c r="I3476">
        <x:f t="shared" si="57"/>
        <x:v>28390</x:v>
      </x:c>
    </x:row>
    <x:row r="3477" spans="1:9" x14ac:dyDescent="0.15">
      <x:c r="A3477">
        <x:v>54155</x:v>
      </x:c>
      <x:c r="B3477">
        <x:v>1</x:v>
      </x:c>
      <x:c r="C3477">
        <x:v>56</x:v>
      </x:c>
      <x:c r="D3477">
        <x:f>ROUND($C3477*10*VLOOKUP($B3477,Sheet2!$J$5:$K$7,2,FALSE)*VLOOKUP(Sheet1!$A3477,Sheet2!$B$5:$H$29,3,FALSE),0)</x:f>
        <x:v>0</x:v>
      </x:c>
      <x:c r="E3477">
        <x:f>ROUND($C3477*10*VLOOKUP($B3477,Sheet2!$J$5:$K$7,2,FALSE)*VLOOKUP(Sheet1!$A3477,Sheet2!$B$5:$H$29,4,FALSE),0)</x:f>
        <x:v>0</x:v>
      </x:c>
      <x:c r="F3477">
        <x:f>ROUND($C3477*10*VLOOKUP($B3477,Sheet2!$J$5:$K$7,2,FALSE)*VLOOKUP(Sheet1!$A3477,Sheet2!$B$5:$H$29,5,FALSE),0)</x:f>
        <x:v>0</x:v>
      </x:c>
      <x:c r="G3477">
        <x:f>ROUND($C3477*10*VLOOKUP($B3477,Sheet2!$J$5:$K$7,2,FALSE)*VLOOKUP(Sheet1!$A3477,Sheet2!$B$5:$H$29,6,FALSE),0)</x:f>
        <x:v>269</x:v>
      </x:c>
      <x:c r="H3477">
        <x:f>ROUND($C3477*10*VLOOKUP($B3477,Sheet2!$J$5:$K$7,2,FALSE)*VLOOKUP(Sheet1!$A3477,Sheet2!$B$5:$H$29,7,FALSE),0)</x:f>
        <x:v>560</x:v>
      </x:c>
      <x:c r="I3477">
        <x:f t="shared" si="57"/>
        <x:v>29350</x:v>
      </x:c>
    </x:row>
    <x:row r="3478" spans="1:9" x14ac:dyDescent="0.15">
      <x:c r="A3478">
        <x:v>54155</x:v>
      </x:c>
      <x:c r="B3478">
        <x:v>1</x:v>
      </x:c>
      <x:c r="C3478">
        <x:v>57</x:v>
      </x:c>
      <x:c r="D3478">
        <x:f>ROUND($C3478*10*VLOOKUP($B3478,Sheet2!$J$5:$K$7,2,FALSE)*VLOOKUP(Sheet1!$A3478,Sheet2!$B$5:$H$29,3,FALSE),0)</x:f>
        <x:v>0</x:v>
      </x:c>
      <x:c r="E3478">
        <x:f>ROUND($C3478*10*VLOOKUP($B3478,Sheet2!$J$5:$K$7,2,FALSE)*VLOOKUP(Sheet1!$A3478,Sheet2!$B$5:$H$29,4,FALSE),0)</x:f>
        <x:v>0</x:v>
      </x:c>
      <x:c r="F3478">
        <x:f>ROUND($C3478*10*VLOOKUP($B3478,Sheet2!$J$5:$K$7,2,FALSE)*VLOOKUP(Sheet1!$A3478,Sheet2!$B$5:$H$29,5,FALSE),0)</x:f>
        <x:v>0</x:v>
      </x:c>
      <x:c r="G3478">
        <x:f>ROUND($C3478*10*VLOOKUP($B3478,Sheet2!$J$5:$K$7,2,FALSE)*VLOOKUP(Sheet1!$A3478,Sheet2!$B$5:$H$29,6,FALSE),0)</x:f>
        <x:v>274</x:v>
      </x:c>
      <x:c r="H3478">
        <x:f>ROUND($C3478*10*VLOOKUP($B3478,Sheet2!$J$5:$K$7,2,FALSE)*VLOOKUP(Sheet1!$A3478,Sheet2!$B$5:$H$29,7,FALSE),0)</x:f>
        <x:v>570</x:v>
      </x:c>
      <x:c r="I3478">
        <x:f t="shared" si="57"/>
        <x:v>30310</x:v>
      </x:c>
    </x:row>
    <x:row r="3479" spans="1:9" x14ac:dyDescent="0.15">
      <x:c r="A3479">
        <x:v>54155</x:v>
      </x:c>
      <x:c r="B3479">
        <x:v>1</x:v>
      </x:c>
      <x:c r="C3479">
        <x:v>58</x:v>
      </x:c>
      <x:c r="D3479">
        <x:f>ROUND($C3479*10*VLOOKUP($B3479,Sheet2!$J$5:$K$7,2,FALSE)*VLOOKUP(Sheet1!$A3479,Sheet2!$B$5:$H$29,3,FALSE),0)</x:f>
        <x:v>0</x:v>
      </x:c>
      <x:c r="E3479">
        <x:f>ROUND($C3479*10*VLOOKUP($B3479,Sheet2!$J$5:$K$7,2,FALSE)*VLOOKUP(Sheet1!$A3479,Sheet2!$B$5:$H$29,4,FALSE),0)</x:f>
        <x:v>0</x:v>
      </x:c>
      <x:c r="F3479">
        <x:f>ROUND($C3479*10*VLOOKUP($B3479,Sheet2!$J$5:$K$7,2,FALSE)*VLOOKUP(Sheet1!$A3479,Sheet2!$B$5:$H$29,5,FALSE),0)</x:f>
        <x:v>0</x:v>
      </x:c>
      <x:c r="G3479">
        <x:f>ROUND($C3479*10*VLOOKUP($B3479,Sheet2!$J$5:$K$7,2,FALSE)*VLOOKUP(Sheet1!$A3479,Sheet2!$B$5:$H$29,6,FALSE),0)</x:f>
        <x:v>278</x:v>
      </x:c>
      <x:c r="H3479">
        <x:f>ROUND($C3479*10*VLOOKUP($B3479,Sheet2!$J$5:$K$7,2,FALSE)*VLOOKUP(Sheet1!$A3479,Sheet2!$B$5:$H$29,7,FALSE),0)</x:f>
        <x:v>580</x:v>
      </x:c>
      <x:c r="I3479">
        <x:f t="shared" si="57"/>
        <x:v>31290</x:v>
      </x:c>
    </x:row>
    <x:row r="3480" spans="1:9" x14ac:dyDescent="0.15">
      <x:c r="A3480">
        <x:v>54155</x:v>
      </x:c>
      <x:c r="B3480">
        <x:v>1</x:v>
      </x:c>
      <x:c r="C3480">
        <x:v>59</x:v>
      </x:c>
      <x:c r="D3480">
        <x:f>ROUND($C3480*10*VLOOKUP($B3480,Sheet2!$J$5:$K$7,2,FALSE)*VLOOKUP(Sheet1!$A3480,Sheet2!$B$5:$H$29,3,FALSE),0)</x:f>
        <x:v>0</x:v>
      </x:c>
      <x:c r="E3480">
        <x:f>ROUND($C3480*10*VLOOKUP($B3480,Sheet2!$J$5:$K$7,2,FALSE)*VLOOKUP(Sheet1!$A3480,Sheet2!$B$5:$H$29,4,FALSE),0)</x:f>
        <x:v>0</x:v>
      </x:c>
      <x:c r="F3480">
        <x:f>ROUND($C3480*10*VLOOKUP($B3480,Sheet2!$J$5:$K$7,2,FALSE)*VLOOKUP(Sheet1!$A3480,Sheet2!$B$5:$H$29,5,FALSE),0)</x:f>
        <x:v>0</x:v>
      </x:c>
      <x:c r="G3480">
        <x:f>ROUND($C3480*10*VLOOKUP($B3480,Sheet2!$J$5:$K$7,2,FALSE)*VLOOKUP(Sheet1!$A3480,Sheet2!$B$5:$H$29,6,FALSE),0)</x:f>
        <x:v>283</x:v>
      </x:c>
      <x:c r="H3480">
        <x:f>ROUND($C3480*10*VLOOKUP($B3480,Sheet2!$J$5:$K$7,2,FALSE)*VLOOKUP(Sheet1!$A3480,Sheet2!$B$5:$H$29,7,FALSE),0)</x:f>
        <x:v>590</x:v>
      </x:c>
      <x:c r="I3480">
        <x:f t="shared" si="57"/>
        <x:v>32290</x:v>
      </x:c>
    </x:row>
    <x:row r="3481" spans="1:9" x14ac:dyDescent="0.15">
      <x:c r="A3481">
        <x:v>54155</x:v>
      </x:c>
      <x:c r="B3481">
        <x:v>1</x:v>
      </x:c>
      <x:c r="C3481">
        <x:v>60</x:v>
      </x:c>
      <x:c r="D3481">
        <x:f>ROUND($C3481*10*VLOOKUP($B3481,Sheet2!$J$5:$K$7,2,FALSE)*VLOOKUP(Sheet1!$A3481,Sheet2!$B$5:$H$29,3,FALSE),0)</x:f>
        <x:v>0</x:v>
      </x:c>
      <x:c r="E3481">
        <x:f>ROUND($C3481*10*VLOOKUP($B3481,Sheet2!$J$5:$K$7,2,FALSE)*VLOOKUP(Sheet1!$A3481,Sheet2!$B$5:$H$29,4,FALSE),0)</x:f>
        <x:v>0</x:v>
      </x:c>
      <x:c r="F3481">
        <x:f>ROUND($C3481*10*VLOOKUP($B3481,Sheet2!$J$5:$K$7,2,FALSE)*VLOOKUP(Sheet1!$A3481,Sheet2!$B$5:$H$29,5,FALSE),0)</x:f>
        <x:v>0</x:v>
      </x:c>
      <x:c r="G3481">
        <x:f>ROUND($C3481*10*VLOOKUP($B3481,Sheet2!$J$5:$K$7,2,FALSE)*VLOOKUP(Sheet1!$A3481,Sheet2!$B$5:$H$29,6,FALSE),0)</x:f>
        <x:v>288</x:v>
      </x:c>
      <x:c r="H3481">
        <x:f>ROUND($C3481*10*VLOOKUP($B3481,Sheet2!$J$5:$K$7,2,FALSE)*VLOOKUP(Sheet1!$A3481,Sheet2!$B$5:$H$29,7,FALSE),0)</x:f>
        <x:v>600</x:v>
      </x:c>
      <x:c r="I3481">
        <x:f t="shared" si="57"/>
        <x:v>33290</x:v>
      </x:c>
    </x:row>
    <x:row r="3482" spans="1:9" x14ac:dyDescent="0.15">
      <x:c r="A3482">
        <x:v>54155</x:v>
      </x:c>
      <x:c r="B3482">
        <x:v>2</x:v>
      </x:c>
      <x:c r="C3482">
        <x:v>1</x:v>
      </x:c>
      <x:c r="D3482">
        <x:f>ROUND($C3482*10*VLOOKUP($B3482,Sheet2!$J$5:$K$7,2,FALSE)*VLOOKUP(Sheet1!$A3482,Sheet2!$B$5:$H$29,3,FALSE),0)</x:f>
        <x:v>0</x:v>
      </x:c>
      <x:c r="E3482">
        <x:f>ROUND($C3482*10*VLOOKUP($B3482,Sheet2!$J$5:$K$7,2,FALSE)*VLOOKUP(Sheet1!$A3482,Sheet2!$B$5:$H$29,4,FALSE),0)</x:f>
        <x:v>0</x:v>
      </x:c>
      <x:c r="F3482">
        <x:f>ROUND($C3482*10*VLOOKUP($B3482,Sheet2!$J$5:$K$7,2,FALSE)*VLOOKUP(Sheet1!$A3482,Sheet2!$B$5:$H$29,5,FALSE),0)</x:f>
        <x:v>0</x:v>
      </x:c>
      <x:c r="G3482">
        <x:f>ROUND($C3482*10*VLOOKUP($B3482,Sheet2!$J$5:$K$7,2,FALSE)*VLOOKUP(Sheet1!$A3482,Sheet2!$B$5:$H$29,6,FALSE),0)</x:f>
        <x:v>6</x:v>
      </x:c>
      <x:c r="H3482">
        <x:f>ROUND($C3482*10*VLOOKUP($B3482,Sheet2!$J$5:$K$7,2,FALSE)*VLOOKUP(Sheet1!$A3482,Sheet2!$B$5:$H$29,7,FALSE),0)</x:f>
        <x:v>12</x:v>
      </x:c>
      <x:c r="I3482">
        <x:f t="shared" ref="I3482:I3541" si="58">ROUND(1.2*10*3.5*(C3482-1)^1.8+60,-1)</x:f>
        <x:v>60</x:v>
      </x:c>
    </x:row>
    <x:row r="3483" spans="1:9" x14ac:dyDescent="0.15">
      <x:c r="A3483">
        <x:v>54155</x:v>
      </x:c>
      <x:c r="B3483">
        <x:v>2</x:v>
      </x:c>
      <x:c r="C3483">
        <x:v>2</x:v>
      </x:c>
      <x:c r="D3483">
        <x:f>ROUND($C3483*10*VLOOKUP($B3483,Sheet2!$J$5:$K$7,2,FALSE)*VLOOKUP(Sheet1!$A3483,Sheet2!$B$5:$H$29,3,FALSE),0)</x:f>
        <x:v>0</x:v>
      </x:c>
      <x:c r="E3483">
        <x:f>ROUND($C3483*10*VLOOKUP($B3483,Sheet2!$J$5:$K$7,2,FALSE)*VLOOKUP(Sheet1!$A3483,Sheet2!$B$5:$H$29,4,FALSE),0)</x:f>
        <x:v>0</x:v>
      </x:c>
      <x:c r="F3483">
        <x:f>ROUND($C3483*10*VLOOKUP($B3483,Sheet2!$J$5:$K$7,2,FALSE)*VLOOKUP(Sheet1!$A3483,Sheet2!$B$5:$H$29,5,FALSE),0)</x:f>
        <x:v>0</x:v>
      </x:c>
      <x:c r="G3483">
        <x:f>ROUND($C3483*10*VLOOKUP($B3483,Sheet2!$J$5:$K$7,2,FALSE)*VLOOKUP(Sheet1!$A3483,Sheet2!$B$5:$H$29,6,FALSE),0)</x:f>
        <x:v>12</x:v>
      </x:c>
      <x:c r="H3483">
        <x:f>ROUND($C3483*10*VLOOKUP($B3483,Sheet2!$J$5:$K$7,2,FALSE)*VLOOKUP(Sheet1!$A3483,Sheet2!$B$5:$H$29,7,FALSE),0)</x:f>
        <x:v>24</x:v>
      </x:c>
      <x:c r="I3483">
        <x:f t="shared" si="58"/>
        <x:v>100</x:v>
      </x:c>
    </x:row>
    <x:row r="3484" spans="1:9" x14ac:dyDescent="0.15">
      <x:c r="A3484">
        <x:v>54155</x:v>
      </x:c>
      <x:c r="B3484">
        <x:v>2</x:v>
      </x:c>
      <x:c r="C3484">
        <x:v>3</x:v>
      </x:c>
      <x:c r="D3484">
        <x:f>ROUND($C3484*10*VLOOKUP($B3484,Sheet2!$J$5:$K$7,2,FALSE)*VLOOKUP(Sheet1!$A3484,Sheet2!$B$5:$H$29,3,FALSE),0)</x:f>
        <x:v>0</x:v>
      </x:c>
      <x:c r="E3484">
        <x:f>ROUND($C3484*10*VLOOKUP($B3484,Sheet2!$J$5:$K$7,2,FALSE)*VLOOKUP(Sheet1!$A3484,Sheet2!$B$5:$H$29,4,FALSE),0)</x:f>
        <x:v>0</x:v>
      </x:c>
      <x:c r="F3484">
        <x:f>ROUND($C3484*10*VLOOKUP($B3484,Sheet2!$J$5:$K$7,2,FALSE)*VLOOKUP(Sheet1!$A3484,Sheet2!$B$5:$H$29,5,FALSE),0)</x:f>
        <x:v>0</x:v>
      </x:c>
      <x:c r="G3484">
        <x:f>ROUND($C3484*10*VLOOKUP($B3484,Sheet2!$J$5:$K$7,2,FALSE)*VLOOKUP(Sheet1!$A3484,Sheet2!$B$5:$H$29,6,FALSE),0)</x:f>
        <x:v>17</x:v>
      </x:c>
      <x:c r="H3484">
        <x:f>ROUND($C3484*10*VLOOKUP($B3484,Sheet2!$J$5:$K$7,2,FALSE)*VLOOKUP(Sheet1!$A3484,Sheet2!$B$5:$H$29,7,FALSE),0)</x:f>
        <x:v>36</x:v>
      </x:c>
      <x:c r="I3484">
        <x:f t="shared" si="58"/>
        <x:v>210</x:v>
      </x:c>
    </x:row>
    <x:row r="3485" spans="1:9" x14ac:dyDescent="0.15">
      <x:c r="A3485">
        <x:v>54155</x:v>
      </x:c>
      <x:c r="B3485">
        <x:v>2</x:v>
      </x:c>
      <x:c r="C3485">
        <x:v>4</x:v>
      </x:c>
      <x:c r="D3485">
        <x:f>ROUND($C3485*10*VLOOKUP($B3485,Sheet2!$J$5:$K$7,2,FALSE)*VLOOKUP(Sheet1!$A3485,Sheet2!$B$5:$H$29,3,FALSE),0)</x:f>
        <x:v>0</x:v>
      </x:c>
      <x:c r="E3485">
        <x:f>ROUND($C3485*10*VLOOKUP($B3485,Sheet2!$J$5:$K$7,2,FALSE)*VLOOKUP(Sheet1!$A3485,Sheet2!$B$5:$H$29,4,FALSE),0)</x:f>
        <x:v>0</x:v>
      </x:c>
      <x:c r="F3485">
        <x:f>ROUND($C3485*10*VLOOKUP($B3485,Sheet2!$J$5:$K$7,2,FALSE)*VLOOKUP(Sheet1!$A3485,Sheet2!$B$5:$H$29,5,FALSE),0)</x:f>
        <x:v>0</x:v>
      </x:c>
      <x:c r="G3485">
        <x:f>ROUND($C3485*10*VLOOKUP($B3485,Sheet2!$J$5:$K$7,2,FALSE)*VLOOKUP(Sheet1!$A3485,Sheet2!$B$5:$H$29,6,FALSE),0)</x:f>
        <x:v>23</x:v>
      </x:c>
      <x:c r="H3485">
        <x:f>ROUND($C3485*10*VLOOKUP($B3485,Sheet2!$J$5:$K$7,2,FALSE)*VLOOKUP(Sheet1!$A3485,Sheet2!$B$5:$H$29,7,FALSE),0)</x:f>
        <x:v>48</x:v>
      </x:c>
      <x:c r="I3485">
        <x:f t="shared" si="58"/>
        <x:v>360</x:v>
      </x:c>
    </x:row>
    <x:row r="3486" spans="1:9" x14ac:dyDescent="0.15">
      <x:c r="A3486">
        <x:v>54155</x:v>
      </x:c>
      <x:c r="B3486">
        <x:v>2</x:v>
      </x:c>
      <x:c r="C3486">
        <x:v>5</x:v>
      </x:c>
      <x:c r="D3486">
        <x:f>ROUND($C3486*10*VLOOKUP($B3486,Sheet2!$J$5:$K$7,2,FALSE)*VLOOKUP(Sheet1!$A3486,Sheet2!$B$5:$H$29,3,FALSE),0)</x:f>
        <x:v>0</x:v>
      </x:c>
      <x:c r="E3486">
        <x:f>ROUND($C3486*10*VLOOKUP($B3486,Sheet2!$J$5:$K$7,2,FALSE)*VLOOKUP(Sheet1!$A3486,Sheet2!$B$5:$H$29,4,FALSE),0)</x:f>
        <x:v>0</x:v>
      </x:c>
      <x:c r="F3486">
        <x:f>ROUND($C3486*10*VLOOKUP($B3486,Sheet2!$J$5:$K$7,2,FALSE)*VLOOKUP(Sheet1!$A3486,Sheet2!$B$5:$H$29,5,FALSE),0)</x:f>
        <x:v>0</x:v>
      </x:c>
      <x:c r="G3486">
        <x:f>ROUND($C3486*10*VLOOKUP($B3486,Sheet2!$J$5:$K$7,2,FALSE)*VLOOKUP(Sheet1!$A3486,Sheet2!$B$5:$H$29,6,FALSE),0)</x:f>
        <x:v>29</x:v>
      </x:c>
      <x:c r="H3486">
        <x:f>ROUND($C3486*10*VLOOKUP($B3486,Sheet2!$J$5:$K$7,2,FALSE)*VLOOKUP(Sheet1!$A3486,Sheet2!$B$5:$H$29,7,FALSE),0)</x:f>
        <x:v>60</x:v>
      </x:c>
      <x:c r="I3486">
        <x:f t="shared" si="58"/>
        <x:v>570</x:v>
      </x:c>
    </x:row>
    <x:row r="3487" spans="1:9" x14ac:dyDescent="0.15">
      <x:c r="A3487">
        <x:v>54155</x:v>
      </x:c>
      <x:c r="B3487">
        <x:v>2</x:v>
      </x:c>
      <x:c r="C3487">
        <x:v>6</x:v>
      </x:c>
      <x:c r="D3487">
        <x:f>ROUND($C3487*10*VLOOKUP($B3487,Sheet2!$J$5:$K$7,2,FALSE)*VLOOKUP(Sheet1!$A3487,Sheet2!$B$5:$H$29,3,FALSE),0)</x:f>
        <x:v>0</x:v>
      </x:c>
      <x:c r="E3487">
        <x:f>ROUND($C3487*10*VLOOKUP($B3487,Sheet2!$J$5:$K$7,2,FALSE)*VLOOKUP(Sheet1!$A3487,Sheet2!$B$5:$H$29,4,FALSE),0)</x:f>
        <x:v>0</x:v>
      </x:c>
      <x:c r="F3487">
        <x:f>ROUND($C3487*10*VLOOKUP($B3487,Sheet2!$J$5:$K$7,2,FALSE)*VLOOKUP(Sheet1!$A3487,Sheet2!$B$5:$H$29,5,FALSE),0)</x:f>
        <x:v>0</x:v>
      </x:c>
      <x:c r="G3487">
        <x:f>ROUND($C3487*10*VLOOKUP($B3487,Sheet2!$J$5:$K$7,2,FALSE)*VLOOKUP(Sheet1!$A3487,Sheet2!$B$5:$H$29,6,FALSE),0)</x:f>
        <x:v>35</x:v>
      </x:c>
      <x:c r="H3487">
        <x:f>ROUND($C3487*10*VLOOKUP($B3487,Sheet2!$J$5:$K$7,2,FALSE)*VLOOKUP(Sheet1!$A3487,Sheet2!$B$5:$H$29,7,FALSE),0)</x:f>
        <x:v>72</x:v>
      </x:c>
      <x:c r="I3487">
        <x:f t="shared" si="58"/>
        <x:v>820</x:v>
      </x:c>
    </x:row>
    <x:row r="3488" spans="1:9" x14ac:dyDescent="0.15">
      <x:c r="A3488">
        <x:v>54155</x:v>
      </x:c>
      <x:c r="B3488">
        <x:v>2</x:v>
      </x:c>
      <x:c r="C3488">
        <x:v>7</x:v>
      </x:c>
      <x:c r="D3488">
        <x:f>ROUND($C3488*10*VLOOKUP($B3488,Sheet2!$J$5:$K$7,2,FALSE)*VLOOKUP(Sheet1!$A3488,Sheet2!$B$5:$H$29,3,FALSE),0)</x:f>
        <x:v>0</x:v>
      </x:c>
      <x:c r="E3488">
        <x:f>ROUND($C3488*10*VLOOKUP($B3488,Sheet2!$J$5:$K$7,2,FALSE)*VLOOKUP(Sheet1!$A3488,Sheet2!$B$5:$H$29,4,FALSE),0)</x:f>
        <x:v>0</x:v>
      </x:c>
      <x:c r="F3488">
        <x:f>ROUND($C3488*10*VLOOKUP($B3488,Sheet2!$J$5:$K$7,2,FALSE)*VLOOKUP(Sheet1!$A3488,Sheet2!$B$5:$H$29,5,FALSE),0)</x:f>
        <x:v>0</x:v>
      </x:c>
      <x:c r="G3488">
        <x:f>ROUND($C3488*10*VLOOKUP($B3488,Sheet2!$J$5:$K$7,2,FALSE)*VLOOKUP(Sheet1!$A3488,Sheet2!$B$5:$H$29,6,FALSE),0)</x:f>
        <x:v>40</x:v>
      </x:c>
      <x:c r="H3488">
        <x:f>ROUND($C3488*10*VLOOKUP($B3488,Sheet2!$J$5:$K$7,2,FALSE)*VLOOKUP(Sheet1!$A3488,Sheet2!$B$5:$H$29,7,FALSE),0)</x:f>
        <x:v>84</x:v>
      </x:c>
      <x:c r="I3488">
        <x:f t="shared" si="58"/>
        <x:v>1120</x:v>
      </x:c>
    </x:row>
    <x:row r="3489" spans="1:9" x14ac:dyDescent="0.15">
      <x:c r="A3489">
        <x:v>54155</x:v>
      </x:c>
      <x:c r="B3489">
        <x:v>2</x:v>
      </x:c>
      <x:c r="C3489">
        <x:v>8</x:v>
      </x:c>
      <x:c r="D3489">
        <x:f>ROUND($C3489*10*VLOOKUP($B3489,Sheet2!$J$5:$K$7,2,FALSE)*VLOOKUP(Sheet1!$A3489,Sheet2!$B$5:$H$29,3,FALSE),0)</x:f>
        <x:v>0</x:v>
      </x:c>
      <x:c r="E3489">
        <x:f>ROUND($C3489*10*VLOOKUP($B3489,Sheet2!$J$5:$K$7,2,FALSE)*VLOOKUP(Sheet1!$A3489,Sheet2!$B$5:$H$29,4,FALSE),0)</x:f>
        <x:v>0</x:v>
      </x:c>
      <x:c r="F3489">
        <x:f>ROUND($C3489*10*VLOOKUP($B3489,Sheet2!$J$5:$K$7,2,FALSE)*VLOOKUP(Sheet1!$A3489,Sheet2!$B$5:$H$29,5,FALSE),0)</x:f>
        <x:v>0</x:v>
      </x:c>
      <x:c r="G3489">
        <x:f>ROUND($C3489*10*VLOOKUP($B3489,Sheet2!$J$5:$K$7,2,FALSE)*VLOOKUP(Sheet1!$A3489,Sheet2!$B$5:$H$29,6,FALSE),0)</x:f>
        <x:v>46</x:v>
      </x:c>
      <x:c r="H3489">
        <x:f>ROUND($C3489*10*VLOOKUP($B3489,Sheet2!$J$5:$K$7,2,FALSE)*VLOOKUP(Sheet1!$A3489,Sheet2!$B$5:$H$29,7,FALSE),0)</x:f>
        <x:v>96</x:v>
      </x:c>
      <x:c r="I3489">
        <x:f t="shared" si="58"/>
        <x:v>1450</x:v>
      </x:c>
    </x:row>
    <x:row r="3490" spans="1:9" x14ac:dyDescent="0.15">
      <x:c r="A3490">
        <x:v>54155</x:v>
      </x:c>
      <x:c r="B3490">
        <x:v>2</x:v>
      </x:c>
      <x:c r="C3490">
        <x:v>9</x:v>
      </x:c>
      <x:c r="D3490">
        <x:f>ROUND($C3490*10*VLOOKUP($B3490,Sheet2!$J$5:$K$7,2,FALSE)*VLOOKUP(Sheet1!$A3490,Sheet2!$B$5:$H$29,3,FALSE),0)</x:f>
        <x:v>0</x:v>
      </x:c>
      <x:c r="E3490">
        <x:f>ROUND($C3490*10*VLOOKUP($B3490,Sheet2!$J$5:$K$7,2,FALSE)*VLOOKUP(Sheet1!$A3490,Sheet2!$B$5:$H$29,4,FALSE),0)</x:f>
        <x:v>0</x:v>
      </x:c>
      <x:c r="F3490">
        <x:f>ROUND($C3490*10*VLOOKUP($B3490,Sheet2!$J$5:$K$7,2,FALSE)*VLOOKUP(Sheet1!$A3490,Sheet2!$B$5:$H$29,5,FALSE),0)</x:f>
        <x:v>0</x:v>
      </x:c>
      <x:c r="G3490">
        <x:f>ROUND($C3490*10*VLOOKUP($B3490,Sheet2!$J$5:$K$7,2,FALSE)*VLOOKUP(Sheet1!$A3490,Sheet2!$B$5:$H$29,6,FALSE),0)</x:f>
        <x:v>52</x:v>
      </x:c>
      <x:c r="H3490">
        <x:f>ROUND($C3490*10*VLOOKUP($B3490,Sheet2!$J$5:$K$7,2,FALSE)*VLOOKUP(Sheet1!$A3490,Sheet2!$B$5:$H$29,7,FALSE),0)</x:f>
        <x:v>108</x:v>
      </x:c>
      <x:c r="I3490">
        <x:f t="shared" si="58"/>
        <x:v>1830</x:v>
      </x:c>
    </x:row>
    <x:row r="3491" spans="1:9" x14ac:dyDescent="0.15">
      <x:c r="A3491">
        <x:v>54155</x:v>
      </x:c>
      <x:c r="B3491">
        <x:v>2</x:v>
      </x:c>
      <x:c r="C3491">
        <x:v>10</x:v>
      </x:c>
      <x:c r="D3491">
        <x:f>ROUND($C3491*10*VLOOKUP($B3491,Sheet2!$J$5:$K$7,2,FALSE)*VLOOKUP(Sheet1!$A3491,Sheet2!$B$5:$H$29,3,FALSE),0)</x:f>
        <x:v>0</x:v>
      </x:c>
      <x:c r="E3491">
        <x:f>ROUND($C3491*10*VLOOKUP($B3491,Sheet2!$J$5:$K$7,2,FALSE)*VLOOKUP(Sheet1!$A3491,Sheet2!$B$5:$H$29,4,FALSE),0)</x:f>
        <x:v>0</x:v>
      </x:c>
      <x:c r="F3491">
        <x:f>ROUND($C3491*10*VLOOKUP($B3491,Sheet2!$J$5:$K$7,2,FALSE)*VLOOKUP(Sheet1!$A3491,Sheet2!$B$5:$H$29,5,FALSE),0)</x:f>
        <x:v>0</x:v>
      </x:c>
      <x:c r="G3491">
        <x:f>ROUND($C3491*10*VLOOKUP($B3491,Sheet2!$J$5:$K$7,2,FALSE)*VLOOKUP(Sheet1!$A3491,Sheet2!$B$5:$H$29,6,FALSE),0)</x:f>
        <x:v>58</x:v>
      </x:c>
      <x:c r="H3491">
        <x:f>ROUND($C3491*10*VLOOKUP($B3491,Sheet2!$J$5:$K$7,2,FALSE)*VLOOKUP(Sheet1!$A3491,Sheet2!$B$5:$H$29,7,FALSE),0)</x:f>
        <x:v>120</x:v>
      </x:c>
      <x:c r="I3491">
        <x:f t="shared" si="58"/>
        <x:v>2250</x:v>
      </x:c>
    </x:row>
    <x:row r="3492" spans="1:9" x14ac:dyDescent="0.15">
      <x:c r="A3492">
        <x:v>54155</x:v>
      </x:c>
      <x:c r="B3492">
        <x:v>2</x:v>
      </x:c>
      <x:c r="C3492">
        <x:v>11</x:v>
      </x:c>
      <x:c r="D3492">
        <x:f>ROUND($C3492*10*VLOOKUP($B3492,Sheet2!$J$5:$K$7,2,FALSE)*VLOOKUP(Sheet1!$A3492,Sheet2!$B$5:$H$29,3,FALSE),0)</x:f>
        <x:v>0</x:v>
      </x:c>
      <x:c r="E3492">
        <x:f>ROUND($C3492*10*VLOOKUP($B3492,Sheet2!$J$5:$K$7,2,FALSE)*VLOOKUP(Sheet1!$A3492,Sheet2!$B$5:$H$29,4,FALSE),0)</x:f>
        <x:v>0</x:v>
      </x:c>
      <x:c r="F3492">
        <x:f>ROUND($C3492*10*VLOOKUP($B3492,Sheet2!$J$5:$K$7,2,FALSE)*VLOOKUP(Sheet1!$A3492,Sheet2!$B$5:$H$29,5,FALSE),0)</x:f>
        <x:v>0</x:v>
      </x:c>
      <x:c r="G3492">
        <x:f>ROUND($C3492*10*VLOOKUP($B3492,Sheet2!$J$5:$K$7,2,FALSE)*VLOOKUP(Sheet1!$A3492,Sheet2!$B$5:$H$29,6,FALSE),0)</x:f>
        <x:v>63</x:v>
      </x:c>
      <x:c r="H3492">
        <x:f>ROUND($C3492*10*VLOOKUP($B3492,Sheet2!$J$5:$K$7,2,FALSE)*VLOOKUP(Sheet1!$A3492,Sheet2!$B$5:$H$29,7,FALSE),0)</x:f>
        <x:v>132</x:v>
      </x:c>
      <x:c r="I3492">
        <x:f t="shared" si="58"/>
        <x:v>2710</x:v>
      </x:c>
    </x:row>
    <x:row r="3493" spans="1:9" x14ac:dyDescent="0.15">
      <x:c r="A3493">
        <x:v>54155</x:v>
      </x:c>
      <x:c r="B3493">
        <x:v>2</x:v>
      </x:c>
      <x:c r="C3493">
        <x:v>12</x:v>
      </x:c>
      <x:c r="D3493">
        <x:f>ROUND($C3493*10*VLOOKUP($B3493,Sheet2!$J$5:$K$7,2,FALSE)*VLOOKUP(Sheet1!$A3493,Sheet2!$B$5:$H$29,3,FALSE),0)</x:f>
        <x:v>0</x:v>
      </x:c>
      <x:c r="E3493">
        <x:f>ROUND($C3493*10*VLOOKUP($B3493,Sheet2!$J$5:$K$7,2,FALSE)*VLOOKUP(Sheet1!$A3493,Sheet2!$B$5:$H$29,4,FALSE),0)</x:f>
        <x:v>0</x:v>
      </x:c>
      <x:c r="F3493">
        <x:f>ROUND($C3493*10*VLOOKUP($B3493,Sheet2!$J$5:$K$7,2,FALSE)*VLOOKUP(Sheet1!$A3493,Sheet2!$B$5:$H$29,5,FALSE),0)</x:f>
        <x:v>0</x:v>
      </x:c>
      <x:c r="G3493">
        <x:f>ROUND($C3493*10*VLOOKUP($B3493,Sheet2!$J$5:$K$7,2,FALSE)*VLOOKUP(Sheet1!$A3493,Sheet2!$B$5:$H$29,6,FALSE),0)</x:f>
        <x:v>69</x:v>
      </x:c>
      <x:c r="H3493">
        <x:f>ROUND($C3493*10*VLOOKUP($B3493,Sheet2!$J$5:$K$7,2,FALSE)*VLOOKUP(Sheet1!$A3493,Sheet2!$B$5:$H$29,7,FALSE),0)</x:f>
        <x:v>144</x:v>
      </x:c>
      <x:c r="I3493">
        <x:f t="shared" si="58"/>
        <x:v>3210</x:v>
      </x:c>
    </x:row>
    <x:row r="3494" spans="1:9" x14ac:dyDescent="0.15">
      <x:c r="A3494">
        <x:v>54155</x:v>
      </x:c>
      <x:c r="B3494">
        <x:v>2</x:v>
      </x:c>
      <x:c r="C3494">
        <x:v>13</x:v>
      </x:c>
      <x:c r="D3494">
        <x:f>ROUND($C3494*10*VLOOKUP($B3494,Sheet2!$J$5:$K$7,2,FALSE)*VLOOKUP(Sheet1!$A3494,Sheet2!$B$5:$H$29,3,FALSE),0)</x:f>
        <x:v>0</x:v>
      </x:c>
      <x:c r="E3494">
        <x:f>ROUND($C3494*10*VLOOKUP($B3494,Sheet2!$J$5:$K$7,2,FALSE)*VLOOKUP(Sheet1!$A3494,Sheet2!$B$5:$H$29,4,FALSE),0)</x:f>
        <x:v>0</x:v>
      </x:c>
      <x:c r="F3494">
        <x:f>ROUND($C3494*10*VLOOKUP($B3494,Sheet2!$J$5:$K$7,2,FALSE)*VLOOKUP(Sheet1!$A3494,Sheet2!$B$5:$H$29,5,FALSE),0)</x:f>
        <x:v>0</x:v>
      </x:c>
      <x:c r="G3494">
        <x:f>ROUND($C3494*10*VLOOKUP($B3494,Sheet2!$J$5:$K$7,2,FALSE)*VLOOKUP(Sheet1!$A3494,Sheet2!$B$5:$H$29,6,FALSE),0)</x:f>
        <x:v>75</x:v>
      </x:c>
      <x:c r="H3494">
        <x:f>ROUND($C3494*10*VLOOKUP($B3494,Sheet2!$J$5:$K$7,2,FALSE)*VLOOKUP(Sheet1!$A3494,Sheet2!$B$5:$H$29,7,FALSE),0)</x:f>
        <x:v>156</x:v>
      </x:c>
      <x:c r="I3494">
        <x:f t="shared" si="58"/>
        <x:v>3740</x:v>
      </x:c>
    </x:row>
    <x:row r="3495" spans="1:9" x14ac:dyDescent="0.15">
      <x:c r="A3495">
        <x:v>54155</x:v>
      </x:c>
      <x:c r="B3495">
        <x:v>2</x:v>
      </x:c>
      <x:c r="C3495">
        <x:v>14</x:v>
      </x:c>
      <x:c r="D3495">
        <x:f>ROUND($C3495*10*VLOOKUP($B3495,Sheet2!$J$5:$K$7,2,FALSE)*VLOOKUP(Sheet1!$A3495,Sheet2!$B$5:$H$29,3,FALSE),0)</x:f>
        <x:v>0</x:v>
      </x:c>
      <x:c r="E3495">
        <x:f>ROUND($C3495*10*VLOOKUP($B3495,Sheet2!$J$5:$K$7,2,FALSE)*VLOOKUP(Sheet1!$A3495,Sheet2!$B$5:$H$29,4,FALSE),0)</x:f>
        <x:v>0</x:v>
      </x:c>
      <x:c r="F3495">
        <x:f>ROUND($C3495*10*VLOOKUP($B3495,Sheet2!$J$5:$K$7,2,FALSE)*VLOOKUP(Sheet1!$A3495,Sheet2!$B$5:$H$29,5,FALSE),0)</x:f>
        <x:v>0</x:v>
      </x:c>
      <x:c r="G3495">
        <x:f>ROUND($C3495*10*VLOOKUP($B3495,Sheet2!$J$5:$K$7,2,FALSE)*VLOOKUP(Sheet1!$A3495,Sheet2!$B$5:$H$29,6,FALSE),0)</x:f>
        <x:v>81</x:v>
      </x:c>
      <x:c r="H3495">
        <x:f>ROUND($C3495*10*VLOOKUP($B3495,Sheet2!$J$5:$K$7,2,FALSE)*VLOOKUP(Sheet1!$A3495,Sheet2!$B$5:$H$29,7,FALSE),0)</x:f>
        <x:v>168</x:v>
      </x:c>
      <x:c r="I3495">
        <x:f t="shared" si="58"/>
        <x:v>4310</x:v>
      </x:c>
    </x:row>
    <x:row r="3496" spans="1:9" x14ac:dyDescent="0.15">
      <x:c r="A3496">
        <x:v>54155</x:v>
      </x:c>
      <x:c r="B3496">
        <x:v>2</x:v>
      </x:c>
      <x:c r="C3496">
        <x:v>15</x:v>
      </x:c>
      <x:c r="D3496">
        <x:f>ROUND($C3496*10*VLOOKUP($B3496,Sheet2!$J$5:$K$7,2,FALSE)*VLOOKUP(Sheet1!$A3496,Sheet2!$B$5:$H$29,3,FALSE),0)</x:f>
        <x:v>0</x:v>
      </x:c>
      <x:c r="E3496">
        <x:f>ROUND($C3496*10*VLOOKUP($B3496,Sheet2!$J$5:$K$7,2,FALSE)*VLOOKUP(Sheet1!$A3496,Sheet2!$B$5:$H$29,4,FALSE),0)</x:f>
        <x:v>0</x:v>
      </x:c>
      <x:c r="F3496">
        <x:f>ROUND($C3496*10*VLOOKUP($B3496,Sheet2!$J$5:$K$7,2,FALSE)*VLOOKUP(Sheet1!$A3496,Sheet2!$B$5:$H$29,5,FALSE),0)</x:f>
        <x:v>0</x:v>
      </x:c>
      <x:c r="G3496">
        <x:f>ROUND($C3496*10*VLOOKUP($B3496,Sheet2!$J$5:$K$7,2,FALSE)*VLOOKUP(Sheet1!$A3496,Sheet2!$B$5:$H$29,6,FALSE),0)</x:f>
        <x:v>86</x:v>
      </x:c>
      <x:c r="H3496">
        <x:f>ROUND($C3496*10*VLOOKUP($B3496,Sheet2!$J$5:$K$7,2,FALSE)*VLOOKUP(Sheet1!$A3496,Sheet2!$B$5:$H$29,7,FALSE),0)</x:f>
        <x:v>180</x:v>
      </x:c>
      <x:c r="I3496">
        <x:f t="shared" si="58"/>
        <x:v>4920</x:v>
      </x:c>
    </x:row>
    <x:row r="3497" spans="1:9" x14ac:dyDescent="0.15">
      <x:c r="A3497">
        <x:v>54155</x:v>
      </x:c>
      <x:c r="B3497">
        <x:v>2</x:v>
      </x:c>
      <x:c r="C3497">
        <x:v>16</x:v>
      </x:c>
      <x:c r="D3497">
        <x:f>ROUND($C3497*10*VLOOKUP($B3497,Sheet2!$J$5:$K$7,2,FALSE)*VLOOKUP(Sheet1!$A3497,Sheet2!$B$5:$H$29,3,FALSE),0)</x:f>
        <x:v>0</x:v>
      </x:c>
      <x:c r="E3497">
        <x:f>ROUND($C3497*10*VLOOKUP($B3497,Sheet2!$J$5:$K$7,2,FALSE)*VLOOKUP(Sheet1!$A3497,Sheet2!$B$5:$H$29,4,FALSE),0)</x:f>
        <x:v>0</x:v>
      </x:c>
      <x:c r="F3497">
        <x:f>ROUND($C3497*10*VLOOKUP($B3497,Sheet2!$J$5:$K$7,2,FALSE)*VLOOKUP(Sheet1!$A3497,Sheet2!$B$5:$H$29,5,FALSE),0)</x:f>
        <x:v>0</x:v>
      </x:c>
      <x:c r="G3497">
        <x:f>ROUND($C3497*10*VLOOKUP($B3497,Sheet2!$J$5:$K$7,2,FALSE)*VLOOKUP(Sheet1!$A3497,Sheet2!$B$5:$H$29,6,FALSE),0)</x:f>
        <x:v>92</x:v>
      </x:c>
      <x:c r="H3497">
        <x:f>ROUND($C3497*10*VLOOKUP($B3497,Sheet2!$J$5:$K$7,2,FALSE)*VLOOKUP(Sheet1!$A3497,Sheet2!$B$5:$H$29,7,FALSE),0)</x:f>
        <x:v>192</x:v>
      </x:c>
      <x:c r="I3497">
        <x:f t="shared" si="58"/>
        <x:v>5560</x:v>
      </x:c>
    </x:row>
    <x:row r="3498" spans="1:9" x14ac:dyDescent="0.15">
      <x:c r="A3498">
        <x:v>54155</x:v>
      </x:c>
      <x:c r="B3498">
        <x:v>2</x:v>
      </x:c>
      <x:c r="C3498">
        <x:v>17</x:v>
      </x:c>
      <x:c r="D3498">
        <x:f>ROUND($C3498*10*VLOOKUP($B3498,Sheet2!$J$5:$K$7,2,FALSE)*VLOOKUP(Sheet1!$A3498,Sheet2!$B$5:$H$29,3,FALSE),0)</x:f>
        <x:v>0</x:v>
      </x:c>
      <x:c r="E3498">
        <x:f>ROUND($C3498*10*VLOOKUP($B3498,Sheet2!$J$5:$K$7,2,FALSE)*VLOOKUP(Sheet1!$A3498,Sheet2!$B$5:$H$29,4,FALSE),0)</x:f>
        <x:v>0</x:v>
      </x:c>
      <x:c r="F3498">
        <x:f>ROUND($C3498*10*VLOOKUP($B3498,Sheet2!$J$5:$K$7,2,FALSE)*VLOOKUP(Sheet1!$A3498,Sheet2!$B$5:$H$29,5,FALSE),0)</x:f>
        <x:v>0</x:v>
      </x:c>
      <x:c r="G3498">
        <x:f>ROUND($C3498*10*VLOOKUP($B3498,Sheet2!$J$5:$K$7,2,FALSE)*VLOOKUP(Sheet1!$A3498,Sheet2!$B$5:$H$29,6,FALSE),0)</x:f>
        <x:v>98</x:v>
      </x:c>
      <x:c r="H3498">
        <x:f>ROUND($C3498*10*VLOOKUP($B3498,Sheet2!$J$5:$K$7,2,FALSE)*VLOOKUP(Sheet1!$A3498,Sheet2!$B$5:$H$29,7,FALSE),0)</x:f>
        <x:v>204</x:v>
      </x:c>
      <x:c r="I3498">
        <x:f t="shared" si="58"/>
        <x:v>6240</x:v>
      </x:c>
    </x:row>
    <x:row r="3499" spans="1:9" x14ac:dyDescent="0.15">
      <x:c r="A3499">
        <x:v>54155</x:v>
      </x:c>
      <x:c r="B3499">
        <x:v>2</x:v>
      </x:c>
      <x:c r="C3499">
        <x:v>18</x:v>
      </x:c>
      <x:c r="D3499">
        <x:f>ROUND($C3499*10*VLOOKUP($B3499,Sheet2!$J$5:$K$7,2,FALSE)*VLOOKUP(Sheet1!$A3499,Sheet2!$B$5:$H$29,3,FALSE),0)</x:f>
        <x:v>0</x:v>
      </x:c>
      <x:c r="E3499">
        <x:f>ROUND($C3499*10*VLOOKUP($B3499,Sheet2!$J$5:$K$7,2,FALSE)*VLOOKUP(Sheet1!$A3499,Sheet2!$B$5:$H$29,4,FALSE),0)</x:f>
        <x:v>0</x:v>
      </x:c>
      <x:c r="F3499">
        <x:f>ROUND($C3499*10*VLOOKUP($B3499,Sheet2!$J$5:$K$7,2,FALSE)*VLOOKUP(Sheet1!$A3499,Sheet2!$B$5:$H$29,5,FALSE),0)</x:f>
        <x:v>0</x:v>
      </x:c>
      <x:c r="G3499">
        <x:f>ROUND($C3499*10*VLOOKUP($B3499,Sheet2!$J$5:$K$7,2,FALSE)*VLOOKUP(Sheet1!$A3499,Sheet2!$B$5:$H$29,6,FALSE),0)</x:f>
        <x:v>104</x:v>
      </x:c>
      <x:c r="H3499">
        <x:f>ROUND($C3499*10*VLOOKUP($B3499,Sheet2!$J$5:$K$7,2,FALSE)*VLOOKUP(Sheet1!$A3499,Sheet2!$B$5:$H$29,7,FALSE),0)</x:f>
        <x:v>216</x:v>
      </x:c>
      <x:c r="I3499">
        <x:f t="shared" si="58"/>
        <x:v>6950</x:v>
      </x:c>
    </x:row>
    <x:row r="3500" spans="1:9" x14ac:dyDescent="0.15">
      <x:c r="A3500">
        <x:v>54155</x:v>
      </x:c>
      <x:c r="B3500">
        <x:v>2</x:v>
      </x:c>
      <x:c r="C3500">
        <x:v>19</x:v>
      </x:c>
      <x:c r="D3500">
        <x:f>ROUND($C3500*10*VLOOKUP($B3500,Sheet2!$J$5:$K$7,2,FALSE)*VLOOKUP(Sheet1!$A3500,Sheet2!$B$5:$H$29,3,FALSE),0)</x:f>
        <x:v>0</x:v>
      </x:c>
      <x:c r="E3500">
        <x:f>ROUND($C3500*10*VLOOKUP($B3500,Sheet2!$J$5:$K$7,2,FALSE)*VLOOKUP(Sheet1!$A3500,Sheet2!$B$5:$H$29,4,FALSE),0)</x:f>
        <x:v>0</x:v>
      </x:c>
      <x:c r="F3500">
        <x:f>ROUND($C3500*10*VLOOKUP($B3500,Sheet2!$J$5:$K$7,2,FALSE)*VLOOKUP(Sheet1!$A3500,Sheet2!$B$5:$H$29,5,FALSE),0)</x:f>
        <x:v>0</x:v>
      </x:c>
      <x:c r="G3500">
        <x:f>ROUND($C3500*10*VLOOKUP($B3500,Sheet2!$J$5:$K$7,2,FALSE)*VLOOKUP(Sheet1!$A3500,Sheet2!$B$5:$H$29,6,FALSE),0)</x:f>
        <x:v>109</x:v>
      </x:c>
      <x:c r="H3500">
        <x:f>ROUND($C3500*10*VLOOKUP($B3500,Sheet2!$J$5:$K$7,2,FALSE)*VLOOKUP(Sheet1!$A3500,Sheet2!$B$5:$H$29,7,FALSE),0)</x:f>
        <x:v>228</x:v>
      </x:c>
      <x:c r="I3500">
        <x:f t="shared" si="58"/>
        <x:v>7690</x:v>
      </x:c>
    </x:row>
    <x:row r="3501" spans="1:9" x14ac:dyDescent="0.15">
      <x:c r="A3501">
        <x:v>54155</x:v>
      </x:c>
      <x:c r="B3501">
        <x:v>2</x:v>
      </x:c>
      <x:c r="C3501">
        <x:v>20</x:v>
      </x:c>
      <x:c r="D3501">
        <x:f>ROUND($C3501*10*VLOOKUP($B3501,Sheet2!$J$5:$K$7,2,FALSE)*VLOOKUP(Sheet1!$A3501,Sheet2!$B$5:$H$29,3,FALSE),0)</x:f>
        <x:v>0</x:v>
      </x:c>
      <x:c r="E3501">
        <x:f>ROUND($C3501*10*VLOOKUP($B3501,Sheet2!$J$5:$K$7,2,FALSE)*VLOOKUP(Sheet1!$A3501,Sheet2!$B$5:$H$29,4,FALSE),0)</x:f>
        <x:v>0</x:v>
      </x:c>
      <x:c r="F3501">
        <x:f>ROUND($C3501*10*VLOOKUP($B3501,Sheet2!$J$5:$K$7,2,FALSE)*VLOOKUP(Sheet1!$A3501,Sheet2!$B$5:$H$29,5,FALSE),0)</x:f>
        <x:v>0</x:v>
      </x:c>
      <x:c r="G3501">
        <x:f>ROUND($C3501*10*VLOOKUP($B3501,Sheet2!$J$5:$K$7,2,FALSE)*VLOOKUP(Sheet1!$A3501,Sheet2!$B$5:$H$29,6,FALSE),0)</x:f>
        <x:v>115</x:v>
      </x:c>
      <x:c r="H3501">
        <x:f>ROUND($C3501*10*VLOOKUP($B3501,Sheet2!$J$5:$K$7,2,FALSE)*VLOOKUP(Sheet1!$A3501,Sheet2!$B$5:$H$29,7,FALSE),0)</x:f>
        <x:v>240</x:v>
      </x:c>
      <x:c r="I3501">
        <x:f t="shared" si="58"/>
        <x:v>8470</x:v>
      </x:c>
    </x:row>
    <x:row r="3502" spans="1:9" x14ac:dyDescent="0.15">
      <x:c r="A3502">
        <x:v>54155</x:v>
      </x:c>
      <x:c r="B3502">
        <x:v>2</x:v>
      </x:c>
      <x:c r="C3502">
        <x:v>21</x:v>
      </x:c>
      <x:c r="D3502">
        <x:f>ROUND($C3502*10*VLOOKUP($B3502,Sheet2!$J$5:$K$7,2,FALSE)*VLOOKUP(Sheet1!$A3502,Sheet2!$B$5:$H$29,3,FALSE),0)</x:f>
        <x:v>0</x:v>
      </x:c>
      <x:c r="E3502">
        <x:f>ROUND($C3502*10*VLOOKUP($B3502,Sheet2!$J$5:$K$7,2,FALSE)*VLOOKUP(Sheet1!$A3502,Sheet2!$B$5:$H$29,4,FALSE),0)</x:f>
        <x:v>0</x:v>
      </x:c>
      <x:c r="F3502">
        <x:f>ROUND($C3502*10*VLOOKUP($B3502,Sheet2!$J$5:$K$7,2,FALSE)*VLOOKUP(Sheet1!$A3502,Sheet2!$B$5:$H$29,5,FALSE),0)</x:f>
        <x:v>0</x:v>
      </x:c>
      <x:c r="G3502">
        <x:f>ROUND($C3502*10*VLOOKUP($B3502,Sheet2!$J$5:$K$7,2,FALSE)*VLOOKUP(Sheet1!$A3502,Sheet2!$B$5:$H$29,6,FALSE),0)</x:f>
        <x:v>121</x:v>
      </x:c>
      <x:c r="H3502">
        <x:f>ROUND($C3502*10*VLOOKUP($B3502,Sheet2!$J$5:$K$7,2,FALSE)*VLOOKUP(Sheet1!$A3502,Sheet2!$B$5:$H$29,7,FALSE),0)</x:f>
        <x:v>252</x:v>
      </x:c>
      <x:c r="I3502">
        <x:f t="shared" si="58"/>
        <x:v>9290</x:v>
      </x:c>
    </x:row>
    <x:row r="3503" spans="1:9" x14ac:dyDescent="0.15">
      <x:c r="A3503">
        <x:v>54155</x:v>
      </x:c>
      <x:c r="B3503">
        <x:v>2</x:v>
      </x:c>
      <x:c r="C3503">
        <x:v>22</x:v>
      </x:c>
      <x:c r="D3503">
        <x:f>ROUND($C3503*10*VLOOKUP($B3503,Sheet2!$J$5:$K$7,2,FALSE)*VLOOKUP(Sheet1!$A3503,Sheet2!$B$5:$H$29,3,FALSE),0)</x:f>
        <x:v>0</x:v>
      </x:c>
      <x:c r="E3503">
        <x:f>ROUND($C3503*10*VLOOKUP($B3503,Sheet2!$J$5:$K$7,2,FALSE)*VLOOKUP(Sheet1!$A3503,Sheet2!$B$5:$H$29,4,FALSE),0)</x:f>
        <x:v>0</x:v>
      </x:c>
      <x:c r="F3503">
        <x:f>ROUND($C3503*10*VLOOKUP($B3503,Sheet2!$J$5:$K$7,2,FALSE)*VLOOKUP(Sheet1!$A3503,Sheet2!$B$5:$H$29,5,FALSE),0)</x:f>
        <x:v>0</x:v>
      </x:c>
      <x:c r="G3503">
        <x:f>ROUND($C3503*10*VLOOKUP($B3503,Sheet2!$J$5:$K$7,2,FALSE)*VLOOKUP(Sheet1!$A3503,Sheet2!$B$5:$H$29,6,FALSE),0)</x:f>
        <x:v>127</x:v>
      </x:c>
      <x:c r="H3503">
        <x:f>ROUND($C3503*10*VLOOKUP($B3503,Sheet2!$J$5:$K$7,2,FALSE)*VLOOKUP(Sheet1!$A3503,Sheet2!$B$5:$H$29,7,FALSE),0)</x:f>
        <x:v>264</x:v>
      </x:c>
      <x:c r="I3503">
        <x:f t="shared" si="58"/>
        <x:v>10130</x:v>
      </x:c>
    </x:row>
    <x:row r="3504" spans="1:9" x14ac:dyDescent="0.15">
      <x:c r="A3504">
        <x:v>54155</x:v>
      </x:c>
      <x:c r="B3504">
        <x:v>2</x:v>
      </x:c>
      <x:c r="C3504">
        <x:v>23</x:v>
      </x:c>
      <x:c r="D3504">
        <x:f>ROUND($C3504*10*VLOOKUP($B3504,Sheet2!$J$5:$K$7,2,FALSE)*VLOOKUP(Sheet1!$A3504,Sheet2!$B$5:$H$29,3,FALSE),0)</x:f>
        <x:v>0</x:v>
      </x:c>
      <x:c r="E3504">
        <x:f>ROUND($C3504*10*VLOOKUP($B3504,Sheet2!$J$5:$K$7,2,FALSE)*VLOOKUP(Sheet1!$A3504,Sheet2!$B$5:$H$29,4,FALSE),0)</x:f>
        <x:v>0</x:v>
      </x:c>
      <x:c r="F3504">
        <x:f>ROUND($C3504*10*VLOOKUP($B3504,Sheet2!$J$5:$K$7,2,FALSE)*VLOOKUP(Sheet1!$A3504,Sheet2!$B$5:$H$29,5,FALSE),0)</x:f>
        <x:v>0</x:v>
      </x:c>
      <x:c r="G3504">
        <x:f>ROUND($C3504*10*VLOOKUP($B3504,Sheet2!$J$5:$K$7,2,FALSE)*VLOOKUP(Sheet1!$A3504,Sheet2!$B$5:$H$29,6,FALSE),0)</x:f>
        <x:v>132</x:v>
      </x:c>
      <x:c r="H3504">
        <x:f>ROUND($C3504*10*VLOOKUP($B3504,Sheet2!$J$5:$K$7,2,FALSE)*VLOOKUP(Sheet1!$A3504,Sheet2!$B$5:$H$29,7,FALSE),0)</x:f>
        <x:v>276</x:v>
      </x:c>
      <x:c r="I3504">
        <x:f t="shared" si="58"/>
        <x:v>11010</x:v>
      </x:c>
    </x:row>
    <x:row r="3505" spans="1:9" x14ac:dyDescent="0.15">
      <x:c r="A3505">
        <x:v>54155</x:v>
      </x:c>
      <x:c r="B3505">
        <x:v>2</x:v>
      </x:c>
      <x:c r="C3505">
        <x:v>24</x:v>
      </x:c>
      <x:c r="D3505">
        <x:f>ROUND($C3505*10*VLOOKUP($B3505,Sheet2!$J$5:$K$7,2,FALSE)*VLOOKUP(Sheet1!$A3505,Sheet2!$B$5:$H$29,3,FALSE),0)</x:f>
        <x:v>0</x:v>
      </x:c>
      <x:c r="E3505">
        <x:f>ROUND($C3505*10*VLOOKUP($B3505,Sheet2!$J$5:$K$7,2,FALSE)*VLOOKUP(Sheet1!$A3505,Sheet2!$B$5:$H$29,4,FALSE),0)</x:f>
        <x:v>0</x:v>
      </x:c>
      <x:c r="F3505">
        <x:f>ROUND($C3505*10*VLOOKUP($B3505,Sheet2!$J$5:$K$7,2,FALSE)*VLOOKUP(Sheet1!$A3505,Sheet2!$B$5:$H$29,5,FALSE),0)</x:f>
        <x:v>0</x:v>
      </x:c>
      <x:c r="G3505">
        <x:f>ROUND($C3505*10*VLOOKUP($B3505,Sheet2!$J$5:$K$7,2,FALSE)*VLOOKUP(Sheet1!$A3505,Sheet2!$B$5:$H$29,6,FALSE),0)</x:f>
        <x:v>138</x:v>
      </x:c>
      <x:c r="H3505">
        <x:f>ROUND($C3505*10*VLOOKUP($B3505,Sheet2!$J$5:$K$7,2,FALSE)*VLOOKUP(Sheet1!$A3505,Sheet2!$B$5:$H$29,7,FALSE),0)</x:f>
        <x:v>288</x:v>
      </x:c>
      <x:c r="I3505">
        <x:f t="shared" si="58"/>
        <x:v>11930</x:v>
      </x:c>
    </x:row>
    <x:row r="3506" spans="1:9" x14ac:dyDescent="0.15">
      <x:c r="A3506">
        <x:v>54155</x:v>
      </x:c>
      <x:c r="B3506">
        <x:v>2</x:v>
      </x:c>
      <x:c r="C3506">
        <x:v>25</x:v>
      </x:c>
      <x:c r="D3506">
        <x:f>ROUND($C3506*10*VLOOKUP($B3506,Sheet2!$J$5:$K$7,2,FALSE)*VLOOKUP(Sheet1!$A3506,Sheet2!$B$5:$H$29,3,FALSE),0)</x:f>
        <x:v>0</x:v>
      </x:c>
      <x:c r="E3506">
        <x:f>ROUND($C3506*10*VLOOKUP($B3506,Sheet2!$J$5:$K$7,2,FALSE)*VLOOKUP(Sheet1!$A3506,Sheet2!$B$5:$H$29,4,FALSE),0)</x:f>
        <x:v>0</x:v>
      </x:c>
      <x:c r="F3506">
        <x:f>ROUND($C3506*10*VLOOKUP($B3506,Sheet2!$J$5:$K$7,2,FALSE)*VLOOKUP(Sheet1!$A3506,Sheet2!$B$5:$H$29,5,FALSE),0)</x:f>
        <x:v>0</x:v>
      </x:c>
      <x:c r="G3506">
        <x:f>ROUND($C3506*10*VLOOKUP($B3506,Sheet2!$J$5:$K$7,2,FALSE)*VLOOKUP(Sheet1!$A3506,Sheet2!$B$5:$H$29,6,FALSE),0)</x:f>
        <x:v>144</x:v>
      </x:c>
      <x:c r="H3506">
        <x:f>ROUND($C3506*10*VLOOKUP($B3506,Sheet2!$J$5:$K$7,2,FALSE)*VLOOKUP(Sheet1!$A3506,Sheet2!$B$5:$H$29,7,FALSE),0)</x:f>
        <x:v>300</x:v>
      </x:c>
      <x:c r="I3506">
        <x:f t="shared" si="58"/>
        <x:v>12870</x:v>
      </x:c>
    </x:row>
    <x:row r="3507" spans="1:9" x14ac:dyDescent="0.15">
      <x:c r="A3507">
        <x:v>54155</x:v>
      </x:c>
      <x:c r="B3507">
        <x:v>2</x:v>
      </x:c>
      <x:c r="C3507">
        <x:v>26</x:v>
      </x:c>
      <x:c r="D3507">
        <x:f>ROUND($C3507*10*VLOOKUP($B3507,Sheet2!$J$5:$K$7,2,FALSE)*VLOOKUP(Sheet1!$A3507,Sheet2!$B$5:$H$29,3,FALSE),0)</x:f>
        <x:v>0</x:v>
      </x:c>
      <x:c r="E3507">
        <x:f>ROUND($C3507*10*VLOOKUP($B3507,Sheet2!$J$5:$K$7,2,FALSE)*VLOOKUP(Sheet1!$A3507,Sheet2!$B$5:$H$29,4,FALSE),0)</x:f>
        <x:v>0</x:v>
      </x:c>
      <x:c r="F3507">
        <x:f>ROUND($C3507*10*VLOOKUP($B3507,Sheet2!$J$5:$K$7,2,FALSE)*VLOOKUP(Sheet1!$A3507,Sheet2!$B$5:$H$29,5,FALSE),0)</x:f>
        <x:v>0</x:v>
      </x:c>
      <x:c r="G3507">
        <x:f>ROUND($C3507*10*VLOOKUP($B3507,Sheet2!$J$5:$K$7,2,FALSE)*VLOOKUP(Sheet1!$A3507,Sheet2!$B$5:$H$29,6,FALSE),0)</x:f>
        <x:v>150</x:v>
      </x:c>
      <x:c r="H3507">
        <x:f>ROUND($C3507*10*VLOOKUP($B3507,Sheet2!$J$5:$K$7,2,FALSE)*VLOOKUP(Sheet1!$A3507,Sheet2!$B$5:$H$29,7,FALSE),0)</x:f>
        <x:v>312</x:v>
      </x:c>
      <x:c r="I3507">
        <x:f t="shared" si="58"/>
        <x:v>13850</x:v>
      </x:c>
    </x:row>
    <x:row r="3508" spans="1:9" x14ac:dyDescent="0.15">
      <x:c r="A3508">
        <x:v>54155</x:v>
      </x:c>
      <x:c r="B3508">
        <x:v>2</x:v>
      </x:c>
      <x:c r="C3508">
        <x:v>27</x:v>
      </x:c>
      <x:c r="D3508">
        <x:f>ROUND($C3508*10*VLOOKUP($B3508,Sheet2!$J$5:$K$7,2,FALSE)*VLOOKUP(Sheet1!$A3508,Sheet2!$B$5:$H$29,3,FALSE),0)</x:f>
        <x:v>0</x:v>
      </x:c>
      <x:c r="E3508">
        <x:f>ROUND($C3508*10*VLOOKUP($B3508,Sheet2!$J$5:$K$7,2,FALSE)*VLOOKUP(Sheet1!$A3508,Sheet2!$B$5:$H$29,4,FALSE),0)</x:f>
        <x:v>0</x:v>
      </x:c>
      <x:c r="F3508">
        <x:f>ROUND($C3508*10*VLOOKUP($B3508,Sheet2!$J$5:$K$7,2,FALSE)*VLOOKUP(Sheet1!$A3508,Sheet2!$B$5:$H$29,5,FALSE),0)</x:f>
        <x:v>0</x:v>
      </x:c>
      <x:c r="G3508">
        <x:f>ROUND($C3508*10*VLOOKUP($B3508,Sheet2!$J$5:$K$7,2,FALSE)*VLOOKUP(Sheet1!$A3508,Sheet2!$B$5:$H$29,6,FALSE),0)</x:f>
        <x:v>156</x:v>
      </x:c>
      <x:c r="H3508">
        <x:f>ROUND($C3508*10*VLOOKUP($B3508,Sheet2!$J$5:$K$7,2,FALSE)*VLOOKUP(Sheet1!$A3508,Sheet2!$B$5:$H$29,7,FALSE),0)</x:f>
        <x:v>324</x:v>
      </x:c>
      <x:c r="I3508">
        <x:f t="shared" si="58"/>
        <x:v>14860</x:v>
      </x:c>
    </x:row>
    <x:row r="3509" spans="1:9" x14ac:dyDescent="0.15">
      <x:c r="A3509">
        <x:v>54155</x:v>
      </x:c>
      <x:c r="B3509">
        <x:v>2</x:v>
      </x:c>
      <x:c r="C3509">
        <x:v>28</x:v>
      </x:c>
      <x:c r="D3509">
        <x:f>ROUND($C3509*10*VLOOKUP($B3509,Sheet2!$J$5:$K$7,2,FALSE)*VLOOKUP(Sheet1!$A3509,Sheet2!$B$5:$H$29,3,FALSE),0)</x:f>
        <x:v>0</x:v>
      </x:c>
      <x:c r="E3509">
        <x:f>ROUND($C3509*10*VLOOKUP($B3509,Sheet2!$J$5:$K$7,2,FALSE)*VLOOKUP(Sheet1!$A3509,Sheet2!$B$5:$H$29,4,FALSE),0)</x:f>
        <x:v>0</x:v>
      </x:c>
      <x:c r="F3509">
        <x:f>ROUND($C3509*10*VLOOKUP($B3509,Sheet2!$J$5:$K$7,2,FALSE)*VLOOKUP(Sheet1!$A3509,Sheet2!$B$5:$H$29,5,FALSE),0)</x:f>
        <x:v>0</x:v>
      </x:c>
      <x:c r="G3509">
        <x:f>ROUND($C3509*10*VLOOKUP($B3509,Sheet2!$J$5:$K$7,2,FALSE)*VLOOKUP(Sheet1!$A3509,Sheet2!$B$5:$H$29,6,FALSE),0)</x:f>
        <x:v>161</x:v>
      </x:c>
      <x:c r="H3509">
        <x:f>ROUND($C3509*10*VLOOKUP($B3509,Sheet2!$J$5:$K$7,2,FALSE)*VLOOKUP(Sheet1!$A3509,Sheet2!$B$5:$H$29,7,FALSE),0)</x:f>
        <x:v>336</x:v>
      </x:c>
      <x:c r="I3509">
        <x:f t="shared" si="58"/>
        <x:v>15900</x:v>
      </x:c>
    </x:row>
    <x:row r="3510" spans="1:9" x14ac:dyDescent="0.15">
      <x:c r="A3510">
        <x:v>54155</x:v>
      </x:c>
      <x:c r="B3510">
        <x:v>2</x:v>
      </x:c>
      <x:c r="C3510">
        <x:v>29</x:v>
      </x:c>
      <x:c r="D3510">
        <x:f>ROUND($C3510*10*VLOOKUP($B3510,Sheet2!$J$5:$K$7,2,FALSE)*VLOOKUP(Sheet1!$A3510,Sheet2!$B$5:$H$29,3,FALSE),0)</x:f>
        <x:v>0</x:v>
      </x:c>
      <x:c r="E3510">
        <x:f>ROUND($C3510*10*VLOOKUP($B3510,Sheet2!$J$5:$K$7,2,FALSE)*VLOOKUP(Sheet1!$A3510,Sheet2!$B$5:$H$29,4,FALSE),0)</x:f>
        <x:v>0</x:v>
      </x:c>
      <x:c r="F3510">
        <x:f>ROUND($C3510*10*VLOOKUP($B3510,Sheet2!$J$5:$K$7,2,FALSE)*VLOOKUP(Sheet1!$A3510,Sheet2!$B$5:$H$29,5,FALSE),0)</x:f>
        <x:v>0</x:v>
      </x:c>
      <x:c r="G3510">
        <x:f>ROUND($C3510*10*VLOOKUP($B3510,Sheet2!$J$5:$K$7,2,FALSE)*VLOOKUP(Sheet1!$A3510,Sheet2!$B$5:$H$29,6,FALSE),0)</x:f>
        <x:v>167</x:v>
      </x:c>
      <x:c r="H3510">
        <x:f>ROUND($C3510*10*VLOOKUP($B3510,Sheet2!$J$5:$K$7,2,FALSE)*VLOOKUP(Sheet1!$A3510,Sheet2!$B$5:$H$29,7,FALSE),0)</x:f>
        <x:v>348</x:v>
      </x:c>
      <x:c r="I3510">
        <x:f t="shared" si="58"/>
        <x:v>16970</x:v>
      </x:c>
    </x:row>
    <x:row r="3511" spans="1:9" x14ac:dyDescent="0.15">
      <x:c r="A3511">
        <x:v>54155</x:v>
      </x:c>
      <x:c r="B3511">
        <x:v>2</x:v>
      </x:c>
      <x:c r="C3511">
        <x:v>30</x:v>
      </x:c>
      <x:c r="D3511">
        <x:f>ROUND($C3511*10*VLOOKUP($B3511,Sheet2!$J$5:$K$7,2,FALSE)*VLOOKUP(Sheet1!$A3511,Sheet2!$B$5:$H$29,3,FALSE),0)</x:f>
        <x:v>0</x:v>
      </x:c>
      <x:c r="E3511">
        <x:f>ROUND($C3511*10*VLOOKUP($B3511,Sheet2!$J$5:$K$7,2,FALSE)*VLOOKUP(Sheet1!$A3511,Sheet2!$B$5:$H$29,4,FALSE),0)</x:f>
        <x:v>0</x:v>
      </x:c>
      <x:c r="F3511">
        <x:f>ROUND($C3511*10*VLOOKUP($B3511,Sheet2!$J$5:$K$7,2,FALSE)*VLOOKUP(Sheet1!$A3511,Sheet2!$B$5:$H$29,5,FALSE),0)</x:f>
        <x:v>0</x:v>
      </x:c>
      <x:c r="G3511">
        <x:f>ROUND($C3511*10*VLOOKUP($B3511,Sheet2!$J$5:$K$7,2,FALSE)*VLOOKUP(Sheet1!$A3511,Sheet2!$B$5:$H$29,6,FALSE),0)</x:f>
        <x:v>173</x:v>
      </x:c>
      <x:c r="H3511">
        <x:f>ROUND($C3511*10*VLOOKUP($B3511,Sheet2!$J$5:$K$7,2,FALSE)*VLOOKUP(Sheet1!$A3511,Sheet2!$B$5:$H$29,7,FALSE),0)</x:f>
        <x:v>360</x:v>
      </x:c>
      <x:c r="I3511">
        <x:f t="shared" si="58"/>
        <x:v>18070</x:v>
      </x:c>
    </x:row>
    <x:row r="3512" spans="1:9" x14ac:dyDescent="0.15">
      <x:c r="A3512">
        <x:v>54155</x:v>
      </x:c>
      <x:c r="B3512">
        <x:v>2</x:v>
      </x:c>
      <x:c r="C3512">
        <x:v>31</x:v>
      </x:c>
      <x:c r="D3512">
        <x:f>ROUND($C3512*10*VLOOKUP($B3512,Sheet2!$J$5:$K$7,2,FALSE)*VLOOKUP(Sheet1!$A3512,Sheet2!$B$5:$H$29,3,FALSE),0)</x:f>
        <x:v>0</x:v>
      </x:c>
      <x:c r="E3512">
        <x:f>ROUND($C3512*10*VLOOKUP($B3512,Sheet2!$J$5:$K$7,2,FALSE)*VLOOKUP(Sheet1!$A3512,Sheet2!$B$5:$H$29,4,FALSE),0)</x:f>
        <x:v>0</x:v>
      </x:c>
      <x:c r="F3512">
        <x:f>ROUND($C3512*10*VLOOKUP($B3512,Sheet2!$J$5:$K$7,2,FALSE)*VLOOKUP(Sheet1!$A3512,Sheet2!$B$5:$H$29,5,FALSE),0)</x:f>
        <x:v>0</x:v>
      </x:c>
      <x:c r="G3512">
        <x:f>ROUND($C3512*10*VLOOKUP($B3512,Sheet2!$J$5:$K$7,2,FALSE)*VLOOKUP(Sheet1!$A3512,Sheet2!$B$5:$H$29,6,FALSE),0)</x:f>
        <x:v>179</x:v>
      </x:c>
      <x:c r="H3512">
        <x:f>ROUND($C3512*10*VLOOKUP($B3512,Sheet2!$J$5:$K$7,2,FALSE)*VLOOKUP(Sheet1!$A3512,Sheet2!$B$5:$H$29,7,FALSE),0)</x:f>
        <x:v>372</x:v>
      </x:c>
      <x:c r="I3512">
        <x:f t="shared" si="58"/>
        <x:v>19210</x:v>
      </x:c>
    </x:row>
    <x:row r="3513" spans="1:9" x14ac:dyDescent="0.15">
      <x:c r="A3513">
        <x:v>54155</x:v>
      </x:c>
      <x:c r="B3513">
        <x:v>2</x:v>
      </x:c>
      <x:c r="C3513">
        <x:v>32</x:v>
      </x:c>
      <x:c r="D3513">
        <x:f>ROUND($C3513*10*VLOOKUP($B3513,Sheet2!$J$5:$K$7,2,FALSE)*VLOOKUP(Sheet1!$A3513,Sheet2!$B$5:$H$29,3,FALSE),0)</x:f>
        <x:v>0</x:v>
      </x:c>
      <x:c r="E3513">
        <x:f>ROUND($C3513*10*VLOOKUP($B3513,Sheet2!$J$5:$K$7,2,FALSE)*VLOOKUP(Sheet1!$A3513,Sheet2!$B$5:$H$29,4,FALSE),0)</x:f>
        <x:v>0</x:v>
      </x:c>
      <x:c r="F3513">
        <x:f>ROUND($C3513*10*VLOOKUP($B3513,Sheet2!$J$5:$K$7,2,FALSE)*VLOOKUP(Sheet1!$A3513,Sheet2!$B$5:$H$29,5,FALSE),0)</x:f>
        <x:v>0</x:v>
      </x:c>
      <x:c r="G3513">
        <x:f>ROUND($C3513*10*VLOOKUP($B3513,Sheet2!$J$5:$K$7,2,FALSE)*VLOOKUP(Sheet1!$A3513,Sheet2!$B$5:$H$29,6,FALSE),0)</x:f>
        <x:v>184</x:v>
      </x:c>
      <x:c r="H3513">
        <x:f>ROUND($C3513*10*VLOOKUP($B3513,Sheet2!$J$5:$K$7,2,FALSE)*VLOOKUP(Sheet1!$A3513,Sheet2!$B$5:$H$29,7,FALSE),0)</x:f>
        <x:v>384</x:v>
      </x:c>
      <x:c r="I3513">
        <x:f t="shared" si="58"/>
        <x:v>20370</x:v>
      </x:c>
    </x:row>
    <x:row r="3514" spans="1:9" x14ac:dyDescent="0.15">
      <x:c r="A3514">
        <x:v>54155</x:v>
      </x:c>
      <x:c r="B3514">
        <x:v>2</x:v>
      </x:c>
      <x:c r="C3514">
        <x:v>33</x:v>
      </x:c>
      <x:c r="D3514">
        <x:f>ROUND($C3514*10*VLOOKUP($B3514,Sheet2!$J$5:$K$7,2,FALSE)*VLOOKUP(Sheet1!$A3514,Sheet2!$B$5:$H$29,3,FALSE),0)</x:f>
        <x:v>0</x:v>
      </x:c>
      <x:c r="E3514">
        <x:f>ROUND($C3514*10*VLOOKUP($B3514,Sheet2!$J$5:$K$7,2,FALSE)*VLOOKUP(Sheet1!$A3514,Sheet2!$B$5:$H$29,4,FALSE),0)</x:f>
        <x:v>0</x:v>
      </x:c>
      <x:c r="F3514">
        <x:f>ROUND($C3514*10*VLOOKUP($B3514,Sheet2!$J$5:$K$7,2,FALSE)*VLOOKUP(Sheet1!$A3514,Sheet2!$B$5:$H$29,5,FALSE),0)</x:f>
        <x:v>0</x:v>
      </x:c>
      <x:c r="G3514">
        <x:f>ROUND($C3514*10*VLOOKUP($B3514,Sheet2!$J$5:$K$7,2,FALSE)*VLOOKUP(Sheet1!$A3514,Sheet2!$B$5:$H$29,6,FALSE),0)</x:f>
        <x:v>190</x:v>
      </x:c>
      <x:c r="H3514">
        <x:f>ROUND($C3514*10*VLOOKUP($B3514,Sheet2!$J$5:$K$7,2,FALSE)*VLOOKUP(Sheet1!$A3514,Sheet2!$B$5:$H$29,7,FALSE),0)</x:f>
        <x:v>396</x:v>
      </x:c>
      <x:c r="I3514">
        <x:f t="shared" si="58"/>
        <x:v>21560</x:v>
      </x:c>
    </x:row>
    <x:row r="3515" spans="1:9" x14ac:dyDescent="0.15">
      <x:c r="A3515">
        <x:v>54155</x:v>
      </x:c>
      <x:c r="B3515">
        <x:v>2</x:v>
      </x:c>
      <x:c r="C3515">
        <x:v>34</x:v>
      </x:c>
      <x:c r="D3515">
        <x:f>ROUND($C3515*10*VLOOKUP($B3515,Sheet2!$J$5:$K$7,2,FALSE)*VLOOKUP(Sheet1!$A3515,Sheet2!$B$5:$H$29,3,FALSE),0)</x:f>
        <x:v>0</x:v>
      </x:c>
      <x:c r="E3515">
        <x:f>ROUND($C3515*10*VLOOKUP($B3515,Sheet2!$J$5:$K$7,2,FALSE)*VLOOKUP(Sheet1!$A3515,Sheet2!$B$5:$H$29,4,FALSE),0)</x:f>
        <x:v>0</x:v>
      </x:c>
      <x:c r="F3515">
        <x:f>ROUND($C3515*10*VLOOKUP($B3515,Sheet2!$J$5:$K$7,2,FALSE)*VLOOKUP(Sheet1!$A3515,Sheet2!$B$5:$H$29,5,FALSE),0)</x:f>
        <x:v>0</x:v>
      </x:c>
      <x:c r="G3515">
        <x:f>ROUND($C3515*10*VLOOKUP($B3515,Sheet2!$J$5:$K$7,2,FALSE)*VLOOKUP(Sheet1!$A3515,Sheet2!$B$5:$H$29,6,FALSE),0)</x:f>
        <x:v>196</x:v>
      </x:c>
      <x:c r="H3515">
        <x:f>ROUND($C3515*10*VLOOKUP($B3515,Sheet2!$J$5:$K$7,2,FALSE)*VLOOKUP(Sheet1!$A3515,Sheet2!$B$5:$H$29,7,FALSE),0)</x:f>
        <x:v>408</x:v>
      </x:c>
      <x:c r="I3515">
        <x:f t="shared" si="58"/>
        <x:v>22790</x:v>
      </x:c>
    </x:row>
    <x:row r="3516" spans="1:9" x14ac:dyDescent="0.15">
      <x:c r="A3516">
        <x:v>54155</x:v>
      </x:c>
      <x:c r="B3516">
        <x:v>2</x:v>
      </x:c>
      <x:c r="C3516">
        <x:v>35</x:v>
      </x:c>
      <x:c r="D3516">
        <x:f>ROUND($C3516*10*VLOOKUP($B3516,Sheet2!$J$5:$K$7,2,FALSE)*VLOOKUP(Sheet1!$A3516,Sheet2!$B$5:$H$29,3,FALSE),0)</x:f>
        <x:v>0</x:v>
      </x:c>
      <x:c r="E3516">
        <x:f>ROUND($C3516*10*VLOOKUP($B3516,Sheet2!$J$5:$K$7,2,FALSE)*VLOOKUP(Sheet1!$A3516,Sheet2!$B$5:$H$29,4,FALSE),0)</x:f>
        <x:v>0</x:v>
      </x:c>
      <x:c r="F3516">
        <x:f>ROUND($C3516*10*VLOOKUP($B3516,Sheet2!$J$5:$K$7,2,FALSE)*VLOOKUP(Sheet1!$A3516,Sheet2!$B$5:$H$29,5,FALSE),0)</x:f>
        <x:v>0</x:v>
      </x:c>
      <x:c r="G3516">
        <x:f>ROUND($C3516*10*VLOOKUP($B3516,Sheet2!$J$5:$K$7,2,FALSE)*VLOOKUP(Sheet1!$A3516,Sheet2!$B$5:$H$29,6,FALSE),0)</x:f>
        <x:v>202</x:v>
      </x:c>
      <x:c r="H3516">
        <x:f>ROUND($C3516*10*VLOOKUP($B3516,Sheet2!$J$5:$K$7,2,FALSE)*VLOOKUP(Sheet1!$A3516,Sheet2!$B$5:$H$29,7,FALSE),0)</x:f>
        <x:v>420</x:v>
      </x:c>
      <x:c r="I3516">
        <x:f t="shared" si="58"/>
        <x:v>24040</x:v>
      </x:c>
    </x:row>
    <x:row r="3517" spans="1:9" x14ac:dyDescent="0.15">
      <x:c r="A3517">
        <x:v>54155</x:v>
      </x:c>
      <x:c r="B3517">
        <x:v>2</x:v>
      </x:c>
      <x:c r="C3517">
        <x:v>36</x:v>
      </x:c>
      <x:c r="D3517">
        <x:f>ROUND($C3517*10*VLOOKUP($B3517,Sheet2!$J$5:$K$7,2,FALSE)*VLOOKUP(Sheet1!$A3517,Sheet2!$B$5:$H$29,3,FALSE),0)</x:f>
        <x:v>0</x:v>
      </x:c>
      <x:c r="E3517">
        <x:f>ROUND($C3517*10*VLOOKUP($B3517,Sheet2!$J$5:$K$7,2,FALSE)*VLOOKUP(Sheet1!$A3517,Sheet2!$B$5:$H$29,4,FALSE),0)</x:f>
        <x:v>0</x:v>
      </x:c>
      <x:c r="F3517">
        <x:f>ROUND($C3517*10*VLOOKUP($B3517,Sheet2!$J$5:$K$7,2,FALSE)*VLOOKUP(Sheet1!$A3517,Sheet2!$B$5:$H$29,5,FALSE),0)</x:f>
        <x:v>0</x:v>
      </x:c>
      <x:c r="G3517">
        <x:f>ROUND($C3517*10*VLOOKUP($B3517,Sheet2!$J$5:$K$7,2,FALSE)*VLOOKUP(Sheet1!$A3517,Sheet2!$B$5:$H$29,6,FALSE),0)</x:f>
        <x:v>207</x:v>
      </x:c>
      <x:c r="H3517">
        <x:f>ROUND($C3517*10*VLOOKUP($B3517,Sheet2!$J$5:$K$7,2,FALSE)*VLOOKUP(Sheet1!$A3517,Sheet2!$B$5:$H$29,7,FALSE),0)</x:f>
        <x:v>432</x:v>
      </x:c>
      <x:c r="I3517">
        <x:f t="shared" si="58"/>
        <x:v>25330</x:v>
      </x:c>
    </x:row>
    <x:row r="3518" spans="1:9" x14ac:dyDescent="0.15">
      <x:c r="A3518">
        <x:v>54155</x:v>
      </x:c>
      <x:c r="B3518">
        <x:v>2</x:v>
      </x:c>
      <x:c r="C3518">
        <x:v>37</x:v>
      </x:c>
      <x:c r="D3518">
        <x:f>ROUND($C3518*10*VLOOKUP($B3518,Sheet2!$J$5:$K$7,2,FALSE)*VLOOKUP(Sheet1!$A3518,Sheet2!$B$5:$H$29,3,FALSE),0)</x:f>
        <x:v>0</x:v>
      </x:c>
      <x:c r="E3518">
        <x:f>ROUND($C3518*10*VLOOKUP($B3518,Sheet2!$J$5:$K$7,2,FALSE)*VLOOKUP(Sheet1!$A3518,Sheet2!$B$5:$H$29,4,FALSE),0)</x:f>
        <x:v>0</x:v>
      </x:c>
      <x:c r="F3518">
        <x:f>ROUND($C3518*10*VLOOKUP($B3518,Sheet2!$J$5:$K$7,2,FALSE)*VLOOKUP(Sheet1!$A3518,Sheet2!$B$5:$H$29,5,FALSE),0)</x:f>
        <x:v>0</x:v>
      </x:c>
      <x:c r="G3518">
        <x:f>ROUND($C3518*10*VLOOKUP($B3518,Sheet2!$J$5:$K$7,2,FALSE)*VLOOKUP(Sheet1!$A3518,Sheet2!$B$5:$H$29,6,FALSE),0)</x:f>
        <x:v>213</x:v>
      </x:c>
      <x:c r="H3518">
        <x:f>ROUND($C3518*10*VLOOKUP($B3518,Sheet2!$J$5:$K$7,2,FALSE)*VLOOKUP(Sheet1!$A3518,Sheet2!$B$5:$H$29,7,FALSE),0)</x:f>
        <x:v>444</x:v>
      </x:c>
      <x:c r="I3518">
        <x:f t="shared" si="58"/>
        <x:v>26640</x:v>
      </x:c>
    </x:row>
    <x:row r="3519" spans="1:9" x14ac:dyDescent="0.15">
      <x:c r="A3519">
        <x:v>54155</x:v>
      </x:c>
      <x:c r="B3519">
        <x:v>2</x:v>
      </x:c>
      <x:c r="C3519">
        <x:v>38</x:v>
      </x:c>
      <x:c r="D3519">
        <x:f>ROUND($C3519*10*VLOOKUP($B3519,Sheet2!$J$5:$K$7,2,FALSE)*VLOOKUP(Sheet1!$A3519,Sheet2!$B$5:$H$29,3,FALSE),0)</x:f>
        <x:v>0</x:v>
      </x:c>
      <x:c r="E3519">
        <x:f>ROUND($C3519*10*VLOOKUP($B3519,Sheet2!$J$5:$K$7,2,FALSE)*VLOOKUP(Sheet1!$A3519,Sheet2!$B$5:$H$29,4,FALSE),0)</x:f>
        <x:v>0</x:v>
      </x:c>
      <x:c r="F3519">
        <x:f>ROUND($C3519*10*VLOOKUP($B3519,Sheet2!$J$5:$K$7,2,FALSE)*VLOOKUP(Sheet1!$A3519,Sheet2!$B$5:$H$29,5,FALSE),0)</x:f>
        <x:v>0</x:v>
      </x:c>
      <x:c r="G3519">
        <x:f>ROUND($C3519*10*VLOOKUP($B3519,Sheet2!$J$5:$K$7,2,FALSE)*VLOOKUP(Sheet1!$A3519,Sheet2!$B$5:$H$29,6,FALSE),0)</x:f>
        <x:v>219</x:v>
      </x:c>
      <x:c r="H3519">
        <x:f>ROUND($C3519*10*VLOOKUP($B3519,Sheet2!$J$5:$K$7,2,FALSE)*VLOOKUP(Sheet1!$A3519,Sheet2!$B$5:$H$29,7,FALSE),0)</x:f>
        <x:v>456</x:v>
      </x:c>
      <x:c r="I3519">
        <x:f t="shared" si="58"/>
        <x:v>27990</x:v>
      </x:c>
    </x:row>
    <x:row r="3520" spans="1:9" x14ac:dyDescent="0.15">
      <x:c r="A3520">
        <x:v>54155</x:v>
      </x:c>
      <x:c r="B3520">
        <x:v>2</x:v>
      </x:c>
      <x:c r="C3520">
        <x:v>39</x:v>
      </x:c>
      <x:c r="D3520">
        <x:f>ROUND($C3520*10*VLOOKUP($B3520,Sheet2!$J$5:$K$7,2,FALSE)*VLOOKUP(Sheet1!$A3520,Sheet2!$B$5:$H$29,3,FALSE),0)</x:f>
        <x:v>0</x:v>
      </x:c>
      <x:c r="E3520">
        <x:f>ROUND($C3520*10*VLOOKUP($B3520,Sheet2!$J$5:$K$7,2,FALSE)*VLOOKUP(Sheet1!$A3520,Sheet2!$B$5:$H$29,4,FALSE),0)</x:f>
        <x:v>0</x:v>
      </x:c>
      <x:c r="F3520">
        <x:f>ROUND($C3520*10*VLOOKUP($B3520,Sheet2!$J$5:$K$7,2,FALSE)*VLOOKUP(Sheet1!$A3520,Sheet2!$B$5:$H$29,5,FALSE),0)</x:f>
        <x:v>0</x:v>
      </x:c>
      <x:c r="G3520">
        <x:f>ROUND($C3520*10*VLOOKUP($B3520,Sheet2!$J$5:$K$7,2,FALSE)*VLOOKUP(Sheet1!$A3520,Sheet2!$B$5:$H$29,6,FALSE),0)</x:f>
        <x:v>225</x:v>
      </x:c>
      <x:c r="H3520">
        <x:f>ROUND($C3520*10*VLOOKUP($B3520,Sheet2!$J$5:$K$7,2,FALSE)*VLOOKUP(Sheet1!$A3520,Sheet2!$B$5:$H$29,7,FALSE),0)</x:f>
        <x:v>468</x:v>
      </x:c>
      <x:c r="I3520">
        <x:f t="shared" si="58"/>
        <x:v>29360</x:v>
      </x:c>
    </x:row>
    <x:row r="3521" spans="1:9" x14ac:dyDescent="0.15">
      <x:c r="A3521">
        <x:v>54155</x:v>
      </x:c>
      <x:c r="B3521">
        <x:v>2</x:v>
      </x:c>
      <x:c r="C3521">
        <x:v>40</x:v>
      </x:c>
      <x:c r="D3521">
        <x:f>ROUND($C3521*10*VLOOKUP($B3521,Sheet2!$J$5:$K$7,2,FALSE)*VLOOKUP(Sheet1!$A3521,Sheet2!$B$5:$H$29,3,FALSE),0)</x:f>
        <x:v>0</x:v>
      </x:c>
      <x:c r="E3521">
        <x:f>ROUND($C3521*10*VLOOKUP($B3521,Sheet2!$J$5:$K$7,2,FALSE)*VLOOKUP(Sheet1!$A3521,Sheet2!$B$5:$H$29,4,FALSE),0)</x:f>
        <x:v>0</x:v>
      </x:c>
      <x:c r="F3521">
        <x:f>ROUND($C3521*10*VLOOKUP($B3521,Sheet2!$J$5:$K$7,2,FALSE)*VLOOKUP(Sheet1!$A3521,Sheet2!$B$5:$H$29,5,FALSE),0)</x:f>
        <x:v>0</x:v>
      </x:c>
      <x:c r="G3521">
        <x:f>ROUND($C3521*10*VLOOKUP($B3521,Sheet2!$J$5:$K$7,2,FALSE)*VLOOKUP(Sheet1!$A3521,Sheet2!$B$5:$H$29,6,FALSE),0)</x:f>
        <x:v>230</x:v>
      </x:c>
      <x:c r="H3521">
        <x:f>ROUND($C3521*10*VLOOKUP($B3521,Sheet2!$J$5:$K$7,2,FALSE)*VLOOKUP(Sheet1!$A3521,Sheet2!$B$5:$H$29,7,FALSE),0)</x:f>
        <x:v>480</x:v>
      </x:c>
      <x:c r="I3521">
        <x:f t="shared" si="58"/>
        <x:v>30760</x:v>
      </x:c>
    </x:row>
    <x:row r="3522" spans="1:9" x14ac:dyDescent="0.15">
      <x:c r="A3522">
        <x:v>54155</x:v>
      </x:c>
      <x:c r="B3522">
        <x:v>2</x:v>
      </x:c>
      <x:c r="C3522">
        <x:v>41</x:v>
      </x:c>
      <x:c r="D3522">
        <x:f>ROUND($C3522*10*VLOOKUP($B3522,Sheet2!$J$5:$K$7,2,FALSE)*VLOOKUP(Sheet1!$A3522,Sheet2!$B$5:$H$29,3,FALSE),0)</x:f>
        <x:v>0</x:v>
      </x:c>
      <x:c r="E3522">
        <x:f>ROUND($C3522*10*VLOOKUP($B3522,Sheet2!$J$5:$K$7,2,FALSE)*VLOOKUP(Sheet1!$A3522,Sheet2!$B$5:$H$29,4,FALSE),0)</x:f>
        <x:v>0</x:v>
      </x:c>
      <x:c r="F3522">
        <x:f>ROUND($C3522*10*VLOOKUP($B3522,Sheet2!$J$5:$K$7,2,FALSE)*VLOOKUP(Sheet1!$A3522,Sheet2!$B$5:$H$29,5,FALSE),0)</x:f>
        <x:v>0</x:v>
      </x:c>
      <x:c r="G3522">
        <x:f>ROUND($C3522*10*VLOOKUP($B3522,Sheet2!$J$5:$K$7,2,FALSE)*VLOOKUP(Sheet1!$A3522,Sheet2!$B$5:$H$29,6,FALSE),0)</x:f>
        <x:v>236</x:v>
      </x:c>
      <x:c r="H3522">
        <x:f>ROUND($C3522*10*VLOOKUP($B3522,Sheet2!$J$5:$K$7,2,FALSE)*VLOOKUP(Sheet1!$A3522,Sheet2!$B$5:$H$29,7,FALSE),0)</x:f>
        <x:v>492</x:v>
      </x:c>
      <x:c r="I3522">
        <x:f t="shared" si="58"/>
        <x:v>32190</x:v>
      </x:c>
    </x:row>
    <x:row r="3523" spans="1:9" x14ac:dyDescent="0.15">
      <x:c r="A3523">
        <x:v>54155</x:v>
      </x:c>
      <x:c r="B3523">
        <x:v>2</x:v>
      </x:c>
      <x:c r="C3523">
        <x:v>42</x:v>
      </x:c>
      <x:c r="D3523">
        <x:f>ROUND($C3523*10*VLOOKUP($B3523,Sheet2!$J$5:$K$7,2,FALSE)*VLOOKUP(Sheet1!$A3523,Sheet2!$B$5:$H$29,3,FALSE),0)</x:f>
        <x:v>0</x:v>
      </x:c>
      <x:c r="E3523">
        <x:f>ROUND($C3523*10*VLOOKUP($B3523,Sheet2!$J$5:$K$7,2,FALSE)*VLOOKUP(Sheet1!$A3523,Sheet2!$B$5:$H$29,4,FALSE),0)</x:f>
        <x:v>0</x:v>
      </x:c>
      <x:c r="F3523">
        <x:f>ROUND($C3523*10*VLOOKUP($B3523,Sheet2!$J$5:$K$7,2,FALSE)*VLOOKUP(Sheet1!$A3523,Sheet2!$B$5:$H$29,5,FALSE),0)</x:f>
        <x:v>0</x:v>
      </x:c>
      <x:c r="G3523">
        <x:f>ROUND($C3523*10*VLOOKUP($B3523,Sheet2!$J$5:$K$7,2,FALSE)*VLOOKUP(Sheet1!$A3523,Sheet2!$B$5:$H$29,6,FALSE),0)</x:f>
        <x:v>242</x:v>
      </x:c>
      <x:c r="H3523">
        <x:f>ROUND($C3523*10*VLOOKUP($B3523,Sheet2!$J$5:$K$7,2,FALSE)*VLOOKUP(Sheet1!$A3523,Sheet2!$B$5:$H$29,7,FALSE),0)</x:f>
        <x:v>504</x:v>
      </x:c>
      <x:c r="I3523">
        <x:f t="shared" si="58"/>
        <x:v>33650</x:v>
      </x:c>
    </x:row>
    <x:row r="3524" spans="1:9" x14ac:dyDescent="0.15">
      <x:c r="A3524">
        <x:v>54155</x:v>
      </x:c>
      <x:c r="B3524">
        <x:v>2</x:v>
      </x:c>
      <x:c r="C3524">
        <x:v>43</x:v>
      </x:c>
      <x:c r="D3524">
        <x:f>ROUND($C3524*10*VLOOKUP($B3524,Sheet2!$J$5:$K$7,2,FALSE)*VLOOKUP(Sheet1!$A3524,Sheet2!$B$5:$H$29,3,FALSE),0)</x:f>
        <x:v>0</x:v>
      </x:c>
      <x:c r="E3524">
        <x:f>ROUND($C3524*10*VLOOKUP($B3524,Sheet2!$J$5:$K$7,2,FALSE)*VLOOKUP(Sheet1!$A3524,Sheet2!$B$5:$H$29,4,FALSE),0)</x:f>
        <x:v>0</x:v>
      </x:c>
      <x:c r="F3524">
        <x:f>ROUND($C3524*10*VLOOKUP($B3524,Sheet2!$J$5:$K$7,2,FALSE)*VLOOKUP(Sheet1!$A3524,Sheet2!$B$5:$H$29,5,FALSE),0)</x:f>
        <x:v>0</x:v>
      </x:c>
      <x:c r="G3524">
        <x:f>ROUND($C3524*10*VLOOKUP($B3524,Sheet2!$J$5:$K$7,2,FALSE)*VLOOKUP(Sheet1!$A3524,Sheet2!$B$5:$H$29,6,FALSE),0)</x:f>
        <x:v>248</x:v>
      </x:c>
      <x:c r="H3524">
        <x:f>ROUND($C3524*10*VLOOKUP($B3524,Sheet2!$J$5:$K$7,2,FALSE)*VLOOKUP(Sheet1!$A3524,Sheet2!$B$5:$H$29,7,FALSE),0)</x:f>
        <x:v>516</x:v>
      </x:c>
      <x:c r="I3524">
        <x:f t="shared" si="58"/>
        <x:v>35140</x:v>
      </x:c>
    </x:row>
    <x:row r="3525" spans="1:9" x14ac:dyDescent="0.15">
      <x:c r="A3525">
        <x:v>54155</x:v>
      </x:c>
      <x:c r="B3525">
        <x:v>2</x:v>
      </x:c>
      <x:c r="C3525">
        <x:v>44</x:v>
      </x:c>
      <x:c r="D3525">
        <x:f>ROUND($C3525*10*VLOOKUP($B3525,Sheet2!$J$5:$K$7,2,FALSE)*VLOOKUP(Sheet1!$A3525,Sheet2!$B$5:$H$29,3,FALSE),0)</x:f>
        <x:v>0</x:v>
      </x:c>
      <x:c r="E3525">
        <x:f>ROUND($C3525*10*VLOOKUP($B3525,Sheet2!$J$5:$K$7,2,FALSE)*VLOOKUP(Sheet1!$A3525,Sheet2!$B$5:$H$29,4,FALSE),0)</x:f>
        <x:v>0</x:v>
      </x:c>
      <x:c r="F3525">
        <x:f>ROUND($C3525*10*VLOOKUP($B3525,Sheet2!$J$5:$K$7,2,FALSE)*VLOOKUP(Sheet1!$A3525,Sheet2!$B$5:$H$29,5,FALSE),0)</x:f>
        <x:v>0</x:v>
      </x:c>
      <x:c r="G3525">
        <x:f>ROUND($C3525*10*VLOOKUP($B3525,Sheet2!$J$5:$K$7,2,FALSE)*VLOOKUP(Sheet1!$A3525,Sheet2!$B$5:$H$29,6,FALSE),0)</x:f>
        <x:v>253</x:v>
      </x:c>
      <x:c r="H3525">
        <x:f>ROUND($C3525*10*VLOOKUP($B3525,Sheet2!$J$5:$K$7,2,FALSE)*VLOOKUP(Sheet1!$A3525,Sheet2!$B$5:$H$29,7,FALSE),0)</x:f>
        <x:v>528</x:v>
      </x:c>
      <x:c r="I3525">
        <x:f t="shared" si="58"/>
        <x:v>36660</x:v>
      </x:c>
    </x:row>
    <x:row r="3526" spans="1:9" x14ac:dyDescent="0.15">
      <x:c r="A3526">
        <x:v>54155</x:v>
      </x:c>
      <x:c r="B3526">
        <x:v>2</x:v>
      </x:c>
      <x:c r="C3526">
        <x:v>45</x:v>
      </x:c>
      <x:c r="D3526">
        <x:f>ROUND($C3526*10*VLOOKUP($B3526,Sheet2!$J$5:$K$7,2,FALSE)*VLOOKUP(Sheet1!$A3526,Sheet2!$B$5:$H$29,3,FALSE),0)</x:f>
        <x:v>0</x:v>
      </x:c>
      <x:c r="E3526">
        <x:f>ROUND($C3526*10*VLOOKUP($B3526,Sheet2!$J$5:$K$7,2,FALSE)*VLOOKUP(Sheet1!$A3526,Sheet2!$B$5:$H$29,4,FALSE),0)</x:f>
        <x:v>0</x:v>
      </x:c>
      <x:c r="F3526">
        <x:f>ROUND($C3526*10*VLOOKUP($B3526,Sheet2!$J$5:$K$7,2,FALSE)*VLOOKUP(Sheet1!$A3526,Sheet2!$B$5:$H$29,5,FALSE),0)</x:f>
        <x:v>0</x:v>
      </x:c>
      <x:c r="G3526">
        <x:f>ROUND($C3526*10*VLOOKUP($B3526,Sheet2!$J$5:$K$7,2,FALSE)*VLOOKUP(Sheet1!$A3526,Sheet2!$B$5:$H$29,6,FALSE),0)</x:f>
        <x:v>259</x:v>
      </x:c>
      <x:c r="H3526">
        <x:f>ROUND($C3526*10*VLOOKUP($B3526,Sheet2!$J$5:$K$7,2,FALSE)*VLOOKUP(Sheet1!$A3526,Sheet2!$B$5:$H$29,7,FALSE),0)</x:f>
        <x:v>540</x:v>
      </x:c>
      <x:c r="I3526">
        <x:f t="shared" si="58"/>
        <x:v>38210</x:v>
      </x:c>
    </x:row>
    <x:row r="3527" spans="1:9" x14ac:dyDescent="0.15">
      <x:c r="A3527">
        <x:v>54155</x:v>
      </x:c>
      <x:c r="B3527">
        <x:v>2</x:v>
      </x:c>
      <x:c r="C3527">
        <x:v>46</x:v>
      </x:c>
      <x:c r="D3527">
        <x:f>ROUND($C3527*10*VLOOKUP($B3527,Sheet2!$J$5:$K$7,2,FALSE)*VLOOKUP(Sheet1!$A3527,Sheet2!$B$5:$H$29,3,FALSE),0)</x:f>
        <x:v>0</x:v>
      </x:c>
      <x:c r="E3527">
        <x:f>ROUND($C3527*10*VLOOKUP($B3527,Sheet2!$J$5:$K$7,2,FALSE)*VLOOKUP(Sheet1!$A3527,Sheet2!$B$5:$H$29,4,FALSE),0)</x:f>
        <x:v>0</x:v>
      </x:c>
      <x:c r="F3527">
        <x:f>ROUND($C3527*10*VLOOKUP($B3527,Sheet2!$J$5:$K$7,2,FALSE)*VLOOKUP(Sheet1!$A3527,Sheet2!$B$5:$H$29,5,FALSE),0)</x:f>
        <x:v>0</x:v>
      </x:c>
      <x:c r="G3527">
        <x:f>ROUND($C3527*10*VLOOKUP($B3527,Sheet2!$J$5:$K$7,2,FALSE)*VLOOKUP(Sheet1!$A3527,Sheet2!$B$5:$H$29,6,FALSE),0)</x:f>
        <x:v>265</x:v>
      </x:c>
      <x:c r="H3527">
        <x:f>ROUND($C3527*10*VLOOKUP($B3527,Sheet2!$J$5:$K$7,2,FALSE)*VLOOKUP(Sheet1!$A3527,Sheet2!$B$5:$H$29,7,FALSE),0)</x:f>
        <x:v>552</x:v>
      </x:c>
      <x:c r="I3527">
        <x:f t="shared" si="58"/>
        <x:v>39780</x:v>
      </x:c>
    </x:row>
    <x:row r="3528" spans="1:9" x14ac:dyDescent="0.15">
      <x:c r="A3528">
        <x:v>54155</x:v>
      </x:c>
      <x:c r="B3528">
        <x:v>2</x:v>
      </x:c>
      <x:c r="C3528">
        <x:v>47</x:v>
      </x:c>
      <x:c r="D3528">
        <x:f>ROUND($C3528*10*VLOOKUP($B3528,Sheet2!$J$5:$K$7,2,FALSE)*VLOOKUP(Sheet1!$A3528,Sheet2!$B$5:$H$29,3,FALSE),0)</x:f>
        <x:v>0</x:v>
      </x:c>
      <x:c r="E3528">
        <x:f>ROUND($C3528*10*VLOOKUP($B3528,Sheet2!$J$5:$K$7,2,FALSE)*VLOOKUP(Sheet1!$A3528,Sheet2!$B$5:$H$29,4,FALSE),0)</x:f>
        <x:v>0</x:v>
      </x:c>
      <x:c r="F3528">
        <x:f>ROUND($C3528*10*VLOOKUP($B3528,Sheet2!$J$5:$K$7,2,FALSE)*VLOOKUP(Sheet1!$A3528,Sheet2!$B$5:$H$29,5,FALSE),0)</x:f>
        <x:v>0</x:v>
      </x:c>
      <x:c r="G3528">
        <x:f>ROUND($C3528*10*VLOOKUP($B3528,Sheet2!$J$5:$K$7,2,FALSE)*VLOOKUP(Sheet1!$A3528,Sheet2!$B$5:$H$29,6,FALSE),0)</x:f>
        <x:v>271</x:v>
      </x:c>
      <x:c r="H3528">
        <x:f>ROUND($C3528*10*VLOOKUP($B3528,Sheet2!$J$5:$K$7,2,FALSE)*VLOOKUP(Sheet1!$A3528,Sheet2!$B$5:$H$29,7,FALSE),0)</x:f>
        <x:v>564</x:v>
      </x:c>
      <x:c r="I3528">
        <x:f t="shared" si="58"/>
        <x:v>41390</x:v>
      </x:c>
    </x:row>
    <x:row r="3529" spans="1:9" x14ac:dyDescent="0.15">
      <x:c r="A3529">
        <x:v>54155</x:v>
      </x:c>
      <x:c r="B3529">
        <x:v>2</x:v>
      </x:c>
      <x:c r="C3529">
        <x:v>48</x:v>
      </x:c>
      <x:c r="D3529">
        <x:f>ROUND($C3529*10*VLOOKUP($B3529,Sheet2!$J$5:$K$7,2,FALSE)*VLOOKUP(Sheet1!$A3529,Sheet2!$B$5:$H$29,3,FALSE),0)</x:f>
        <x:v>0</x:v>
      </x:c>
      <x:c r="E3529">
        <x:f>ROUND($C3529*10*VLOOKUP($B3529,Sheet2!$J$5:$K$7,2,FALSE)*VLOOKUP(Sheet1!$A3529,Sheet2!$B$5:$H$29,4,FALSE),0)</x:f>
        <x:v>0</x:v>
      </x:c>
      <x:c r="F3529">
        <x:f>ROUND($C3529*10*VLOOKUP($B3529,Sheet2!$J$5:$K$7,2,FALSE)*VLOOKUP(Sheet1!$A3529,Sheet2!$B$5:$H$29,5,FALSE),0)</x:f>
        <x:v>0</x:v>
      </x:c>
      <x:c r="G3529">
        <x:f>ROUND($C3529*10*VLOOKUP($B3529,Sheet2!$J$5:$K$7,2,FALSE)*VLOOKUP(Sheet1!$A3529,Sheet2!$B$5:$H$29,6,FALSE),0)</x:f>
        <x:v>276</x:v>
      </x:c>
      <x:c r="H3529">
        <x:f>ROUND($C3529*10*VLOOKUP($B3529,Sheet2!$J$5:$K$7,2,FALSE)*VLOOKUP(Sheet1!$A3529,Sheet2!$B$5:$H$29,7,FALSE),0)</x:f>
        <x:v>576</x:v>
      </x:c>
      <x:c r="I3529">
        <x:f t="shared" si="58"/>
        <x:v>43020</x:v>
      </x:c>
    </x:row>
    <x:row r="3530" spans="1:9" x14ac:dyDescent="0.15">
      <x:c r="A3530">
        <x:v>54155</x:v>
      </x:c>
      <x:c r="B3530">
        <x:v>2</x:v>
      </x:c>
      <x:c r="C3530">
        <x:v>49</x:v>
      </x:c>
      <x:c r="D3530">
        <x:f>ROUND($C3530*10*VLOOKUP($B3530,Sheet2!$J$5:$K$7,2,FALSE)*VLOOKUP(Sheet1!$A3530,Sheet2!$B$5:$H$29,3,FALSE),0)</x:f>
        <x:v>0</x:v>
      </x:c>
      <x:c r="E3530">
        <x:f>ROUND($C3530*10*VLOOKUP($B3530,Sheet2!$J$5:$K$7,2,FALSE)*VLOOKUP(Sheet1!$A3530,Sheet2!$B$5:$H$29,4,FALSE),0)</x:f>
        <x:v>0</x:v>
      </x:c>
      <x:c r="F3530">
        <x:f>ROUND($C3530*10*VLOOKUP($B3530,Sheet2!$J$5:$K$7,2,FALSE)*VLOOKUP(Sheet1!$A3530,Sheet2!$B$5:$H$29,5,FALSE),0)</x:f>
        <x:v>0</x:v>
      </x:c>
      <x:c r="G3530">
        <x:f>ROUND($C3530*10*VLOOKUP($B3530,Sheet2!$J$5:$K$7,2,FALSE)*VLOOKUP(Sheet1!$A3530,Sheet2!$B$5:$H$29,6,FALSE),0)</x:f>
        <x:v>282</x:v>
      </x:c>
      <x:c r="H3530">
        <x:f>ROUND($C3530*10*VLOOKUP($B3530,Sheet2!$J$5:$K$7,2,FALSE)*VLOOKUP(Sheet1!$A3530,Sheet2!$B$5:$H$29,7,FALSE),0)</x:f>
        <x:v>588</x:v>
      </x:c>
      <x:c r="I3530">
        <x:f t="shared" si="58"/>
        <x:v>44680</x:v>
      </x:c>
    </x:row>
    <x:row r="3531" spans="1:9" x14ac:dyDescent="0.15">
      <x:c r="A3531">
        <x:v>54155</x:v>
      </x:c>
      <x:c r="B3531">
        <x:v>2</x:v>
      </x:c>
      <x:c r="C3531">
        <x:v>50</x:v>
      </x:c>
      <x:c r="D3531">
        <x:f>ROUND($C3531*10*VLOOKUP($B3531,Sheet2!$J$5:$K$7,2,FALSE)*VLOOKUP(Sheet1!$A3531,Sheet2!$B$5:$H$29,3,FALSE),0)</x:f>
        <x:v>0</x:v>
      </x:c>
      <x:c r="E3531">
        <x:f>ROUND($C3531*10*VLOOKUP($B3531,Sheet2!$J$5:$K$7,2,FALSE)*VLOOKUP(Sheet1!$A3531,Sheet2!$B$5:$H$29,4,FALSE),0)</x:f>
        <x:v>0</x:v>
      </x:c>
      <x:c r="F3531">
        <x:f>ROUND($C3531*10*VLOOKUP($B3531,Sheet2!$J$5:$K$7,2,FALSE)*VLOOKUP(Sheet1!$A3531,Sheet2!$B$5:$H$29,5,FALSE),0)</x:f>
        <x:v>0</x:v>
      </x:c>
      <x:c r="G3531">
        <x:f>ROUND($C3531*10*VLOOKUP($B3531,Sheet2!$J$5:$K$7,2,FALSE)*VLOOKUP(Sheet1!$A3531,Sheet2!$B$5:$H$29,6,FALSE),0)</x:f>
        <x:v>288</x:v>
      </x:c>
      <x:c r="H3531">
        <x:f>ROUND($C3531*10*VLOOKUP($B3531,Sheet2!$J$5:$K$7,2,FALSE)*VLOOKUP(Sheet1!$A3531,Sheet2!$B$5:$H$29,7,FALSE),0)</x:f>
        <x:v>600</x:v>
      </x:c>
      <x:c r="I3531">
        <x:f t="shared" si="58"/>
        <x:v>46360</x:v>
      </x:c>
    </x:row>
    <x:row r="3532" spans="1:9" x14ac:dyDescent="0.15">
      <x:c r="A3532">
        <x:v>54155</x:v>
      </x:c>
      <x:c r="B3532">
        <x:v>2</x:v>
      </x:c>
      <x:c r="C3532">
        <x:v>51</x:v>
      </x:c>
      <x:c r="D3532">
        <x:f>ROUND($C3532*10*VLOOKUP($B3532,Sheet2!$J$5:$K$7,2,FALSE)*VLOOKUP(Sheet1!$A3532,Sheet2!$B$5:$H$29,3,FALSE),0)</x:f>
        <x:v>0</x:v>
      </x:c>
      <x:c r="E3532">
        <x:f>ROUND($C3532*10*VLOOKUP($B3532,Sheet2!$J$5:$K$7,2,FALSE)*VLOOKUP(Sheet1!$A3532,Sheet2!$B$5:$H$29,4,FALSE),0)</x:f>
        <x:v>0</x:v>
      </x:c>
      <x:c r="F3532">
        <x:f>ROUND($C3532*10*VLOOKUP($B3532,Sheet2!$J$5:$K$7,2,FALSE)*VLOOKUP(Sheet1!$A3532,Sheet2!$B$5:$H$29,5,FALSE),0)</x:f>
        <x:v>0</x:v>
      </x:c>
      <x:c r="G3532">
        <x:f>ROUND($C3532*10*VLOOKUP($B3532,Sheet2!$J$5:$K$7,2,FALSE)*VLOOKUP(Sheet1!$A3532,Sheet2!$B$5:$H$29,6,FALSE),0)</x:f>
        <x:v>294</x:v>
      </x:c>
      <x:c r="H3532">
        <x:f>ROUND($C3532*10*VLOOKUP($B3532,Sheet2!$J$5:$K$7,2,FALSE)*VLOOKUP(Sheet1!$A3532,Sheet2!$B$5:$H$29,7,FALSE),0)</x:f>
        <x:v>612</x:v>
      </x:c>
      <x:c r="I3532">
        <x:f t="shared" si="58"/>
        <x:v>48080</x:v>
      </x:c>
    </x:row>
    <x:row r="3533" spans="1:9" x14ac:dyDescent="0.15">
      <x:c r="A3533">
        <x:v>54155</x:v>
      </x:c>
      <x:c r="B3533">
        <x:v>2</x:v>
      </x:c>
      <x:c r="C3533">
        <x:v>52</x:v>
      </x:c>
      <x:c r="D3533">
        <x:f>ROUND($C3533*10*VLOOKUP($B3533,Sheet2!$J$5:$K$7,2,FALSE)*VLOOKUP(Sheet1!$A3533,Sheet2!$B$5:$H$29,3,FALSE),0)</x:f>
        <x:v>0</x:v>
      </x:c>
      <x:c r="E3533">
        <x:f>ROUND($C3533*10*VLOOKUP($B3533,Sheet2!$J$5:$K$7,2,FALSE)*VLOOKUP(Sheet1!$A3533,Sheet2!$B$5:$H$29,4,FALSE),0)</x:f>
        <x:v>0</x:v>
      </x:c>
      <x:c r="F3533">
        <x:f>ROUND($C3533*10*VLOOKUP($B3533,Sheet2!$J$5:$K$7,2,FALSE)*VLOOKUP(Sheet1!$A3533,Sheet2!$B$5:$H$29,5,FALSE),0)</x:f>
        <x:v>0</x:v>
      </x:c>
      <x:c r="G3533">
        <x:f>ROUND($C3533*10*VLOOKUP($B3533,Sheet2!$J$5:$K$7,2,FALSE)*VLOOKUP(Sheet1!$A3533,Sheet2!$B$5:$H$29,6,FALSE),0)</x:f>
        <x:v>300</x:v>
      </x:c>
      <x:c r="H3533">
        <x:f>ROUND($C3533*10*VLOOKUP($B3533,Sheet2!$J$5:$K$7,2,FALSE)*VLOOKUP(Sheet1!$A3533,Sheet2!$B$5:$H$29,7,FALSE),0)</x:f>
        <x:v>624</x:v>
      </x:c>
      <x:c r="I3533">
        <x:f t="shared" si="58"/>
        <x:v>49820</x:v>
      </x:c>
    </x:row>
    <x:row r="3534" spans="1:9" x14ac:dyDescent="0.15">
      <x:c r="A3534">
        <x:v>54155</x:v>
      </x:c>
      <x:c r="B3534">
        <x:v>2</x:v>
      </x:c>
      <x:c r="C3534">
        <x:v>53</x:v>
      </x:c>
      <x:c r="D3534">
        <x:f>ROUND($C3534*10*VLOOKUP($B3534,Sheet2!$J$5:$K$7,2,FALSE)*VLOOKUP(Sheet1!$A3534,Sheet2!$B$5:$H$29,3,FALSE),0)</x:f>
        <x:v>0</x:v>
      </x:c>
      <x:c r="E3534">
        <x:f>ROUND($C3534*10*VLOOKUP($B3534,Sheet2!$J$5:$K$7,2,FALSE)*VLOOKUP(Sheet1!$A3534,Sheet2!$B$5:$H$29,4,FALSE),0)</x:f>
        <x:v>0</x:v>
      </x:c>
      <x:c r="F3534">
        <x:f>ROUND($C3534*10*VLOOKUP($B3534,Sheet2!$J$5:$K$7,2,FALSE)*VLOOKUP(Sheet1!$A3534,Sheet2!$B$5:$H$29,5,FALSE),0)</x:f>
        <x:v>0</x:v>
      </x:c>
      <x:c r="G3534">
        <x:f>ROUND($C3534*10*VLOOKUP($B3534,Sheet2!$J$5:$K$7,2,FALSE)*VLOOKUP(Sheet1!$A3534,Sheet2!$B$5:$H$29,6,FALSE),0)</x:f>
        <x:v>305</x:v>
      </x:c>
      <x:c r="H3534">
        <x:f>ROUND($C3534*10*VLOOKUP($B3534,Sheet2!$J$5:$K$7,2,FALSE)*VLOOKUP(Sheet1!$A3534,Sheet2!$B$5:$H$29,7,FALSE),0)</x:f>
        <x:v>636</x:v>
      </x:c>
      <x:c r="I3534">
        <x:f t="shared" si="58"/>
        <x:v>51590</x:v>
      </x:c>
    </x:row>
    <x:row r="3535" spans="1:9" x14ac:dyDescent="0.15">
      <x:c r="A3535">
        <x:v>54155</x:v>
      </x:c>
      <x:c r="B3535">
        <x:v>2</x:v>
      </x:c>
      <x:c r="C3535">
        <x:v>54</x:v>
      </x:c>
      <x:c r="D3535">
        <x:f>ROUND($C3535*10*VLOOKUP($B3535,Sheet2!$J$5:$K$7,2,FALSE)*VLOOKUP(Sheet1!$A3535,Sheet2!$B$5:$H$29,3,FALSE),0)</x:f>
        <x:v>0</x:v>
      </x:c>
      <x:c r="E3535">
        <x:f>ROUND($C3535*10*VLOOKUP($B3535,Sheet2!$J$5:$K$7,2,FALSE)*VLOOKUP(Sheet1!$A3535,Sheet2!$B$5:$H$29,4,FALSE),0)</x:f>
        <x:v>0</x:v>
      </x:c>
      <x:c r="F3535">
        <x:f>ROUND($C3535*10*VLOOKUP($B3535,Sheet2!$J$5:$K$7,2,FALSE)*VLOOKUP(Sheet1!$A3535,Sheet2!$B$5:$H$29,5,FALSE),0)</x:f>
        <x:v>0</x:v>
      </x:c>
      <x:c r="G3535">
        <x:f>ROUND($C3535*10*VLOOKUP($B3535,Sheet2!$J$5:$K$7,2,FALSE)*VLOOKUP(Sheet1!$A3535,Sheet2!$B$5:$H$29,6,FALSE),0)</x:f>
        <x:v>311</x:v>
      </x:c>
      <x:c r="H3535">
        <x:f>ROUND($C3535*10*VLOOKUP($B3535,Sheet2!$J$5:$K$7,2,FALSE)*VLOOKUP(Sheet1!$A3535,Sheet2!$B$5:$H$29,7,FALSE),0)</x:f>
        <x:v>648</x:v>
      </x:c>
      <x:c r="I3535">
        <x:f t="shared" si="58"/>
        <x:v>53390</x:v>
      </x:c>
    </x:row>
    <x:row r="3536" spans="1:9" x14ac:dyDescent="0.15">
      <x:c r="A3536">
        <x:v>54155</x:v>
      </x:c>
      <x:c r="B3536">
        <x:v>2</x:v>
      </x:c>
      <x:c r="C3536">
        <x:v>55</x:v>
      </x:c>
      <x:c r="D3536">
        <x:f>ROUND($C3536*10*VLOOKUP($B3536,Sheet2!$J$5:$K$7,2,FALSE)*VLOOKUP(Sheet1!$A3536,Sheet2!$B$5:$H$29,3,FALSE),0)</x:f>
        <x:v>0</x:v>
      </x:c>
      <x:c r="E3536">
        <x:f>ROUND($C3536*10*VLOOKUP($B3536,Sheet2!$J$5:$K$7,2,FALSE)*VLOOKUP(Sheet1!$A3536,Sheet2!$B$5:$H$29,4,FALSE),0)</x:f>
        <x:v>0</x:v>
      </x:c>
      <x:c r="F3536">
        <x:f>ROUND($C3536*10*VLOOKUP($B3536,Sheet2!$J$5:$K$7,2,FALSE)*VLOOKUP(Sheet1!$A3536,Sheet2!$B$5:$H$29,5,FALSE),0)</x:f>
        <x:v>0</x:v>
      </x:c>
      <x:c r="G3536">
        <x:f>ROUND($C3536*10*VLOOKUP($B3536,Sheet2!$J$5:$K$7,2,FALSE)*VLOOKUP(Sheet1!$A3536,Sheet2!$B$5:$H$29,6,FALSE),0)</x:f>
        <x:v>317</x:v>
      </x:c>
      <x:c r="H3536">
        <x:f>ROUND($C3536*10*VLOOKUP($B3536,Sheet2!$J$5:$K$7,2,FALSE)*VLOOKUP(Sheet1!$A3536,Sheet2!$B$5:$H$29,7,FALSE),0)</x:f>
        <x:v>660</x:v>
      </x:c>
      <x:c r="I3536">
        <x:f t="shared" si="58"/>
        <x:v>55210</x:v>
      </x:c>
    </x:row>
    <x:row r="3537" spans="1:9" x14ac:dyDescent="0.15">
      <x:c r="A3537">
        <x:v>54155</x:v>
      </x:c>
      <x:c r="B3537">
        <x:v>2</x:v>
      </x:c>
      <x:c r="C3537">
        <x:v>56</x:v>
      </x:c>
      <x:c r="D3537">
        <x:f>ROUND($C3537*10*VLOOKUP($B3537,Sheet2!$J$5:$K$7,2,FALSE)*VLOOKUP(Sheet1!$A3537,Sheet2!$B$5:$H$29,3,FALSE),0)</x:f>
        <x:v>0</x:v>
      </x:c>
      <x:c r="E3537">
        <x:f>ROUND($C3537*10*VLOOKUP($B3537,Sheet2!$J$5:$K$7,2,FALSE)*VLOOKUP(Sheet1!$A3537,Sheet2!$B$5:$H$29,4,FALSE),0)</x:f>
        <x:v>0</x:v>
      </x:c>
      <x:c r="F3537">
        <x:f>ROUND($C3537*10*VLOOKUP($B3537,Sheet2!$J$5:$K$7,2,FALSE)*VLOOKUP(Sheet1!$A3537,Sheet2!$B$5:$H$29,5,FALSE),0)</x:f>
        <x:v>0</x:v>
      </x:c>
      <x:c r="G3537">
        <x:f>ROUND($C3537*10*VLOOKUP($B3537,Sheet2!$J$5:$K$7,2,FALSE)*VLOOKUP(Sheet1!$A3537,Sheet2!$B$5:$H$29,6,FALSE),0)</x:f>
        <x:v>323</x:v>
      </x:c>
      <x:c r="H3537">
        <x:f>ROUND($C3537*10*VLOOKUP($B3537,Sheet2!$J$5:$K$7,2,FALSE)*VLOOKUP(Sheet1!$A3537,Sheet2!$B$5:$H$29,7,FALSE),0)</x:f>
        <x:v>672</x:v>
      </x:c>
      <x:c r="I3537">
        <x:f t="shared" si="58"/>
        <x:v>57060</x:v>
      </x:c>
    </x:row>
    <x:row r="3538" spans="1:9" x14ac:dyDescent="0.15">
      <x:c r="A3538">
        <x:v>54155</x:v>
      </x:c>
      <x:c r="B3538">
        <x:v>2</x:v>
      </x:c>
      <x:c r="C3538">
        <x:v>57</x:v>
      </x:c>
      <x:c r="D3538">
        <x:f>ROUND($C3538*10*VLOOKUP($B3538,Sheet2!$J$5:$K$7,2,FALSE)*VLOOKUP(Sheet1!$A3538,Sheet2!$B$5:$H$29,3,FALSE),0)</x:f>
        <x:v>0</x:v>
      </x:c>
      <x:c r="E3538">
        <x:f>ROUND($C3538*10*VLOOKUP($B3538,Sheet2!$J$5:$K$7,2,FALSE)*VLOOKUP(Sheet1!$A3538,Sheet2!$B$5:$H$29,4,FALSE),0)</x:f>
        <x:v>0</x:v>
      </x:c>
      <x:c r="F3538">
        <x:f>ROUND($C3538*10*VLOOKUP($B3538,Sheet2!$J$5:$K$7,2,FALSE)*VLOOKUP(Sheet1!$A3538,Sheet2!$B$5:$H$29,5,FALSE),0)</x:f>
        <x:v>0</x:v>
      </x:c>
      <x:c r="G3538">
        <x:f>ROUND($C3538*10*VLOOKUP($B3538,Sheet2!$J$5:$K$7,2,FALSE)*VLOOKUP(Sheet1!$A3538,Sheet2!$B$5:$H$29,6,FALSE),0)</x:f>
        <x:v>328</x:v>
      </x:c>
      <x:c r="H3538">
        <x:f>ROUND($C3538*10*VLOOKUP($B3538,Sheet2!$J$5:$K$7,2,FALSE)*VLOOKUP(Sheet1!$A3538,Sheet2!$B$5:$H$29,7,FALSE),0)</x:f>
        <x:v>684</x:v>
      </x:c>
      <x:c r="I3538">
        <x:f t="shared" si="58"/>
        <x:v>58940</x:v>
      </x:c>
    </x:row>
    <x:row r="3539" spans="1:9" x14ac:dyDescent="0.15">
      <x:c r="A3539">
        <x:v>54155</x:v>
      </x:c>
      <x:c r="B3539">
        <x:v>2</x:v>
      </x:c>
      <x:c r="C3539">
        <x:v>58</x:v>
      </x:c>
      <x:c r="D3539">
        <x:f>ROUND($C3539*10*VLOOKUP($B3539,Sheet2!$J$5:$K$7,2,FALSE)*VLOOKUP(Sheet1!$A3539,Sheet2!$B$5:$H$29,3,FALSE),0)</x:f>
        <x:v>0</x:v>
      </x:c>
      <x:c r="E3539">
        <x:f>ROUND($C3539*10*VLOOKUP($B3539,Sheet2!$J$5:$K$7,2,FALSE)*VLOOKUP(Sheet1!$A3539,Sheet2!$B$5:$H$29,4,FALSE),0)</x:f>
        <x:v>0</x:v>
      </x:c>
      <x:c r="F3539">
        <x:f>ROUND($C3539*10*VLOOKUP($B3539,Sheet2!$J$5:$K$7,2,FALSE)*VLOOKUP(Sheet1!$A3539,Sheet2!$B$5:$H$29,5,FALSE),0)</x:f>
        <x:v>0</x:v>
      </x:c>
      <x:c r="G3539">
        <x:f>ROUND($C3539*10*VLOOKUP($B3539,Sheet2!$J$5:$K$7,2,FALSE)*VLOOKUP(Sheet1!$A3539,Sheet2!$B$5:$H$29,6,FALSE),0)</x:f>
        <x:v>334</x:v>
      </x:c>
      <x:c r="H3539">
        <x:f>ROUND($C3539*10*VLOOKUP($B3539,Sheet2!$J$5:$K$7,2,FALSE)*VLOOKUP(Sheet1!$A3539,Sheet2!$B$5:$H$29,7,FALSE),0)</x:f>
        <x:v>696</x:v>
      </x:c>
      <x:c r="I3539">
        <x:f t="shared" si="58"/>
        <x:v>60850</x:v>
      </x:c>
    </x:row>
    <x:row r="3540" spans="1:9" x14ac:dyDescent="0.15">
      <x:c r="A3540">
        <x:v>54155</x:v>
      </x:c>
      <x:c r="B3540">
        <x:v>2</x:v>
      </x:c>
      <x:c r="C3540">
        <x:v>59</x:v>
      </x:c>
      <x:c r="D3540">
        <x:f>ROUND($C3540*10*VLOOKUP($B3540,Sheet2!$J$5:$K$7,2,FALSE)*VLOOKUP(Sheet1!$A3540,Sheet2!$B$5:$H$29,3,FALSE),0)</x:f>
        <x:v>0</x:v>
      </x:c>
      <x:c r="E3540">
        <x:f>ROUND($C3540*10*VLOOKUP($B3540,Sheet2!$J$5:$K$7,2,FALSE)*VLOOKUP(Sheet1!$A3540,Sheet2!$B$5:$H$29,4,FALSE),0)</x:f>
        <x:v>0</x:v>
      </x:c>
      <x:c r="F3540">
        <x:f>ROUND($C3540*10*VLOOKUP($B3540,Sheet2!$J$5:$K$7,2,FALSE)*VLOOKUP(Sheet1!$A3540,Sheet2!$B$5:$H$29,5,FALSE),0)</x:f>
        <x:v>0</x:v>
      </x:c>
      <x:c r="G3540">
        <x:f>ROUND($C3540*10*VLOOKUP($B3540,Sheet2!$J$5:$K$7,2,FALSE)*VLOOKUP(Sheet1!$A3540,Sheet2!$B$5:$H$29,6,FALSE),0)</x:f>
        <x:v>340</x:v>
      </x:c>
      <x:c r="H3540">
        <x:f>ROUND($C3540*10*VLOOKUP($B3540,Sheet2!$J$5:$K$7,2,FALSE)*VLOOKUP(Sheet1!$A3540,Sheet2!$B$5:$H$29,7,FALSE),0)</x:f>
        <x:v>708</x:v>
      </x:c>
      <x:c r="I3540">
        <x:f t="shared" si="58"/>
        <x:v>62780</x:v>
      </x:c>
    </x:row>
    <x:row r="3541" spans="1:9" x14ac:dyDescent="0.15">
      <x:c r="A3541">
        <x:v>54155</x:v>
      </x:c>
      <x:c r="B3541">
        <x:v>2</x:v>
      </x:c>
      <x:c r="C3541">
        <x:v>60</x:v>
      </x:c>
      <x:c r="D3541">
        <x:f>ROUND($C3541*10*VLOOKUP($B3541,Sheet2!$J$5:$K$7,2,FALSE)*VLOOKUP(Sheet1!$A3541,Sheet2!$B$5:$H$29,3,FALSE),0)</x:f>
        <x:v>0</x:v>
      </x:c>
      <x:c r="E3541">
        <x:f>ROUND($C3541*10*VLOOKUP($B3541,Sheet2!$J$5:$K$7,2,FALSE)*VLOOKUP(Sheet1!$A3541,Sheet2!$B$5:$H$29,4,FALSE),0)</x:f>
        <x:v>0</x:v>
      </x:c>
      <x:c r="F3541">
        <x:f>ROUND($C3541*10*VLOOKUP($B3541,Sheet2!$J$5:$K$7,2,FALSE)*VLOOKUP(Sheet1!$A3541,Sheet2!$B$5:$H$29,5,FALSE),0)</x:f>
        <x:v>0</x:v>
      </x:c>
      <x:c r="G3541">
        <x:f>ROUND($C3541*10*VLOOKUP($B3541,Sheet2!$J$5:$K$7,2,FALSE)*VLOOKUP(Sheet1!$A3541,Sheet2!$B$5:$H$29,6,FALSE),0)</x:f>
        <x:v>346</x:v>
      </x:c>
      <x:c r="H3541">
        <x:f>ROUND($C3541*10*VLOOKUP($B3541,Sheet2!$J$5:$K$7,2,FALSE)*VLOOKUP(Sheet1!$A3541,Sheet2!$B$5:$H$29,7,FALSE),0)</x:f>
        <x:v>720</x:v>
      </x:c>
      <x:c r="I3541">
        <x:f t="shared" si="58"/>
        <x:v>64740</x:v>
      </x:c>
    </x:row>
    <x:row r="3542" spans="1:9" x14ac:dyDescent="0.15">
      <x:c r="A3542">
        <x:v>54155</x:v>
      </x:c>
      <x:c r="B3542">
        <x:v>3</x:v>
      </x:c>
      <x:c r="C3542">
        <x:v>1</x:v>
      </x:c>
      <x:c r="D3542">
        <x:f>ROUND($C3542*10*VLOOKUP($B3542,Sheet2!$J$5:$K$7,2,FALSE)*VLOOKUP(Sheet1!$A3542,Sheet2!$B$5:$H$29,3,FALSE),0)</x:f>
        <x:v>0</x:v>
      </x:c>
      <x:c r="E3542">
        <x:f>ROUND($C3542*10*VLOOKUP($B3542,Sheet2!$J$5:$K$7,2,FALSE)*VLOOKUP(Sheet1!$A3542,Sheet2!$B$5:$H$29,4,FALSE),0)</x:f>
        <x:v>0</x:v>
      </x:c>
      <x:c r="F3542">
        <x:f>ROUND($C3542*10*VLOOKUP($B3542,Sheet2!$J$5:$K$7,2,FALSE)*VLOOKUP(Sheet1!$A3542,Sheet2!$B$5:$H$29,5,FALSE),0)</x:f>
        <x:v>0</x:v>
      </x:c>
      <x:c r="G3542">
        <x:f>ROUND($C3542*10*VLOOKUP($B3542,Sheet2!$J$5:$K$7,2,FALSE)*VLOOKUP(Sheet1!$A3542,Sheet2!$B$5:$H$29,6,FALSE),0)</x:f>
        <x:v>10</x:v>
      </x:c>
      <x:c r="H3542">
        <x:f>ROUND($C3542*10*VLOOKUP($B3542,Sheet2!$J$5:$K$7,2,FALSE)*VLOOKUP(Sheet1!$A3542,Sheet2!$B$5:$H$29,7,FALSE),0)</x:f>
        <x:v>20</x:v>
      </x:c>
      <x:c r="I3542">
        <x:f t="shared" ref="I3542:I3601" si="59">ROUND(1.2*10*10.5*(C3542-1)^1.8+90,-1)</x:f>
        <x:v>90</x:v>
      </x:c>
    </x:row>
    <x:row r="3543" spans="1:9" x14ac:dyDescent="0.15">
      <x:c r="A3543">
        <x:v>54155</x:v>
      </x:c>
      <x:c r="B3543">
        <x:v>3</x:v>
      </x:c>
      <x:c r="C3543">
        <x:v>2</x:v>
      </x:c>
      <x:c r="D3543">
        <x:f>ROUND($C3543*10*VLOOKUP($B3543,Sheet2!$J$5:$K$7,2,FALSE)*VLOOKUP(Sheet1!$A3543,Sheet2!$B$5:$H$29,3,FALSE),0)</x:f>
        <x:v>0</x:v>
      </x:c>
      <x:c r="E3543">
        <x:f>ROUND($C3543*10*VLOOKUP($B3543,Sheet2!$J$5:$K$7,2,FALSE)*VLOOKUP(Sheet1!$A3543,Sheet2!$B$5:$H$29,4,FALSE),0)</x:f>
        <x:v>0</x:v>
      </x:c>
      <x:c r="F3543">
        <x:f>ROUND($C3543*10*VLOOKUP($B3543,Sheet2!$J$5:$K$7,2,FALSE)*VLOOKUP(Sheet1!$A3543,Sheet2!$B$5:$H$29,5,FALSE),0)</x:f>
        <x:v>0</x:v>
      </x:c>
      <x:c r="G3543">
        <x:f>ROUND($C3543*10*VLOOKUP($B3543,Sheet2!$J$5:$K$7,2,FALSE)*VLOOKUP(Sheet1!$A3543,Sheet2!$B$5:$H$29,6,FALSE),0)</x:f>
        <x:v>19</x:v>
      </x:c>
      <x:c r="H3543">
        <x:f>ROUND($C3543*10*VLOOKUP($B3543,Sheet2!$J$5:$K$7,2,FALSE)*VLOOKUP(Sheet1!$A3543,Sheet2!$B$5:$H$29,7,FALSE),0)</x:f>
        <x:v>40</x:v>
      </x:c>
      <x:c r="I3543">
        <x:f t="shared" si="59"/>
        <x:v>220</x:v>
      </x:c>
    </x:row>
    <x:row r="3544" spans="1:9" x14ac:dyDescent="0.15">
      <x:c r="A3544">
        <x:v>54155</x:v>
      </x:c>
      <x:c r="B3544">
        <x:v>3</x:v>
      </x:c>
      <x:c r="C3544">
        <x:v>3</x:v>
      </x:c>
      <x:c r="D3544">
        <x:f>ROUND($C3544*10*VLOOKUP($B3544,Sheet2!$J$5:$K$7,2,FALSE)*VLOOKUP(Sheet1!$A3544,Sheet2!$B$5:$H$29,3,FALSE),0)</x:f>
        <x:v>0</x:v>
      </x:c>
      <x:c r="E3544">
        <x:f>ROUND($C3544*10*VLOOKUP($B3544,Sheet2!$J$5:$K$7,2,FALSE)*VLOOKUP(Sheet1!$A3544,Sheet2!$B$5:$H$29,4,FALSE),0)</x:f>
        <x:v>0</x:v>
      </x:c>
      <x:c r="F3544">
        <x:f>ROUND($C3544*10*VLOOKUP($B3544,Sheet2!$J$5:$K$7,2,FALSE)*VLOOKUP(Sheet1!$A3544,Sheet2!$B$5:$H$29,5,FALSE),0)</x:f>
        <x:v>0</x:v>
      </x:c>
      <x:c r="G3544">
        <x:f>ROUND($C3544*10*VLOOKUP($B3544,Sheet2!$J$5:$K$7,2,FALSE)*VLOOKUP(Sheet1!$A3544,Sheet2!$B$5:$H$29,6,FALSE),0)</x:f>
        <x:v>29</x:v>
      </x:c>
      <x:c r="H3544">
        <x:f>ROUND($C3544*10*VLOOKUP($B3544,Sheet2!$J$5:$K$7,2,FALSE)*VLOOKUP(Sheet1!$A3544,Sheet2!$B$5:$H$29,7,FALSE),0)</x:f>
        <x:v>60</x:v>
      </x:c>
      <x:c r="I3544">
        <x:f t="shared" si="59"/>
        <x:v>530</x:v>
      </x:c>
    </x:row>
    <x:row r="3545" spans="1:9" x14ac:dyDescent="0.15">
      <x:c r="A3545">
        <x:v>54155</x:v>
      </x:c>
      <x:c r="B3545">
        <x:v>3</x:v>
      </x:c>
      <x:c r="C3545">
        <x:v>4</x:v>
      </x:c>
      <x:c r="D3545">
        <x:f>ROUND($C3545*10*VLOOKUP($B3545,Sheet2!$J$5:$K$7,2,FALSE)*VLOOKUP(Sheet1!$A3545,Sheet2!$B$5:$H$29,3,FALSE),0)</x:f>
        <x:v>0</x:v>
      </x:c>
      <x:c r="E3545">
        <x:f>ROUND($C3545*10*VLOOKUP($B3545,Sheet2!$J$5:$K$7,2,FALSE)*VLOOKUP(Sheet1!$A3545,Sheet2!$B$5:$H$29,4,FALSE),0)</x:f>
        <x:v>0</x:v>
      </x:c>
      <x:c r="F3545">
        <x:f>ROUND($C3545*10*VLOOKUP($B3545,Sheet2!$J$5:$K$7,2,FALSE)*VLOOKUP(Sheet1!$A3545,Sheet2!$B$5:$H$29,5,FALSE),0)</x:f>
        <x:v>0</x:v>
      </x:c>
      <x:c r="G3545">
        <x:f>ROUND($C3545*10*VLOOKUP($B3545,Sheet2!$J$5:$K$7,2,FALSE)*VLOOKUP(Sheet1!$A3545,Sheet2!$B$5:$H$29,6,FALSE),0)</x:f>
        <x:v>38</x:v>
      </x:c>
      <x:c r="H3545">
        <x:f>ROUND($C3545*10*VLOOKUP($B3545,Sheet2!$J$5:$K$7,2,FALSE)*VLOOKUP(Sheet1!$A3545,Sheet2!$B$5:$H$29,7,FALSE),0)</x:f>
        <x:v>80</x:v>
      </x:c>
      <x:c r="I3545">
        <x:f t="shared" si="59"/>
        <x:v>1000</x:v>
      </x:c>
    </x:row>
    <x:row r="3546" spans="1:9" x14ac:dyDescent="0.15">
      <x:c r="A3546">
        <x:v>54155</x:v>
      </x:c>
      <x:c r="B3546">
        <x:v>3</x:v>
      </x:c>
      <x:c r="C3546">
        <x:v>5</x:v>
      </x:c>
      <x:c r="D3546">
        <x:f>ROUND($C3546*10*VLOOKUP($B3546,Sheet2!$J$5:$K$7,2,FALSE)*VLOOKUP(Sheet1!$A3546,Sheet2!$B$5:$H$29,3,FALSE),0)</x:f>
        <x:v>0</x:v>
      </x:c>
      <x:c r="E3546">
        <x:f>ROUND($C3546*10*VLOOKUP($B3546,Sheet2!$J$5:$K$7,2,FALSE)*VLOOKUP(Sheet1!$A3546,Sheet2!$B$5:$H$29,4,FALSE),0)</x:f>
        <x:v>0</x:v>
      </x:c>
      <x:c r="F3546">
        <x:f>ROUND($C3546*10*VLOOKUP($B3546,Sheet2!$J$5:$K$7,2,FALSE)*VLOOKUP(Sheet1!$A3546,Sheet2!$B$5:$H$29,5,FALSE),0)</x:f>
        <x:v>0</x:v>
      </x:c>
      <x:c r="G3546">
        <x:f>ROUND($C3546*10*VLOOKUP($B3546,Sheet2!$J$5:$K$7,2,FALSE)*VLOOKUP(Sheet1!$A3546,Sheet2!$B$5:$H$29,6,FALSE),0)</x:f>
        <x:v>48</x:v>
      </x:c>
      <x:c r="H3546">
        <x:f>ROUND($C3546*10*VLOOKUP($B3546,Sheet2!$J$5:$K$7,2,FALSE)*VLOOKUP(Sheet1!$A3546,Sheet2!$B$5:$H$29,7,FALSE),0)</x:f>
        <x:v>100</x:v>
      </x:c>
      <x:c r="I3546">
        <x:f t="shared" si="59"/>
        <x:v>1620</x:v>
      </x:c>
    </x:row>
    <x:row r="3547" spans="1:9" x14ac:dyDescent="0.15">
      <x:c r="A3547">
        <x:v>54155</x:v>
      </x:c>
      <x:c r="B3547">
        <x:v>3</x:v>
      </x:c>
      <x:c r="C3547">
        <x:v>6</x:v>
      </x:c>
      <x:c r="D3547">
        <x:f>ROUND($C3547*10*VLOOKUP($B3547,Sheet2!$J$5:$K$7,2,FALSE)*VLOOKUP(Sheet1!$A3547,Sheet2!$B$5:$H$29,3,FALSE),0)</x:f>
        <x:v>0</x:v>
      </x:c>
      <x:c r="E3547">
        <x:f>ROUND($C3547*10*VLOOKUP($B3547,Sheet2!$J$5:$K$7,2,FALSE)*VLOOKUP(Sheet1!$A3547,Sheet2!$B$5:$H$29,4,FALSE),0)</x:f>
        <x:v>0</x:v>
      </x:c>
      <x:c r="F3547">
        <x:f>ROUND($C3547*10*VLOOKUP($B3547,Sheet2!$J$5:$K$7,2,FALSE)*VLOOKUP(Sheet1!$A3547,Sheet2!$B$5:$H$29,5,FALSE),0)</x:f>
        <x:v>0</x:v>
      </x:c>
      <x:c r="G3547">
        <x:f>ROUND($C3547*10*VLOOKUP($B3547,Sheet2!$J$5:$K$7,2,FALSE)*VLOOKUP(Sheet1!$A3547,Sheet2!$B$5:$H$29,6,FALSE),0)</x:f>
        <x:v>58</x:v>
      </x:c>
      <x:c r="H3547">
        <x:f>ROUND($C3547*10*VLOOKUP($B3547,Sheet2!$J$5:$K$7,2,FALSE)*VLOOKUP(Sheet1!$A3547,Sheet2!$B$5:$H$29,7,FALSE),0)</x:f>
        <x:v>120</x:v>
      </x:c>
      <x:c r="I3547">
        <x:f t="shared" si="59"/>
        <x:v>2370</x:v>
      </x:c>
    </x:row>
    <x:row r="3548" spans="1:9" x14ac:dyDescent="0.15">
      <x:c r="A3548">
        <x:v>54155</x:v>
      </x:c>
      <x:c r="B3548">
        <x:v>3</x:v>
      </x:c>
      <x:c r="C3548">
        <x:v>7</x:v>
      </x:c>
      <x:c r="D3548">
        <x:f>ROUND($C3548*10*VLOOKUP($B3548,Sheet2!$J$5:$K$7,2,FALSE)*VLOOKUP(Sheet1!$A3548,Sheet2!$B$5:$H$29,3,FALSE),0)</x:f>
        <x:v>0</x:v>
      </x:c>
      <x:c r="E3548">
        <x:f>ROUND($C3548*10*VLOOKUP($B3548,Sheet2!$J$5:$K$7,2,FALSE)*VLOOKUP(Sheet1!$A3548,Sheet2!$B$5:$H$29,4,FALSE),0)</x:f>
        <x:v>0</x:v>
      </x:c>
      <x:c r="F3548">
        <x:f>ROUND($C3548*10*VLOOKUP($B3548,Sheet2!$J$5:$K$7,2,FALSE)*VLOOKUP(Sheet1!$A3548,Sheet2!$B$5:$H$29,5,FALSE),0)</x:f>
        <x:v>0</x:v>
      </x:c>
      <x:c r="G3548">
        <x:f>ROUND($C3548*10*VLOOKUP($B3548,Sheet2!$J$5:$K$7,2,FALSE)*VLOOKUP(Sheet1!$A3548,Sheet2!$B$5:$H$29,6,FALSE),0)</x:f>
        <x:v>67</x:v>
      </x:c>
      <x:c r="H3548">
        <x:f>ROUND($C3548*10*VLOOKUP($B3548,Sheet2!$J$5:$K$7,2,FALSE)*VLOOKUP(Sheet1!$A3548,Sheet2!$B$5:$H$29,7,FALSE),0)</x:f>
        <x:v>140</x:v>
      </x:c>
      <x:c r="I3548">
        <x:f t="shared" si="59"/>
        <x:v>3260</x:v>
      </x:c>
    </x:row>
    <x:row r="3549" spans="1:9" x14ac:dyDescent="0.15">
      <x:c r="A3549">
        <x:v>54155</x:v>
      </x:c>
      <x:c r="B3549">
        <x:v>3</x:v>
      </x:c>
      <x:c r="C3549">
        <x:v>8</x:v>
      </x:c>
      <x:c r="D3549">
        <x:f>ROUND($C3549*10*VLOOKUP($B3549,Sheet2!$J$5:$K$7,2,FALSE)*VLOOKUP(Sheet1!$A3549,Sheet2!$B$5:$H$29,3,FALSE),0)</x:f>
        <x:v>0</x:v>
      </x:c>
      <x:c r="E3549">
        <x:f>ROUND($C3549*10*VLOOKUP($B3549,Sheet2!$J$5:$K$7,2,FALSE)*VLOOKUP(Sheet1!$A3549,Sheet2!$B$5:$H$29,4,FALSE),0)</x:f>
        <x:v>0</x:v>
      </x:c>
      <x:c r="F3549">
        <x:f>ROUND($C3549*10*VLOOKUP($B3549,Sheet2!$J$5:$K$7,2,FALSE)*VLOOKUP(Sheet1!$A3549,Sheet2!$B$5:$H$29,5,FALSE),0)</x:f>
        <x:v>0</x:v>
      </x:c>
      <x:c r="G3549">
        <x:f>ROUND($C3549*10*VLOOKUP($B3549,Sheet2!$J$5:$K$7,2,FALSE)*VLOOKUP(Sheet1!$A3549,Sheet2!$B$5:$H$29,6,FALSE),0)</x:f>
        <x:v>77</x:v>
      </x:c>
      <x:c r="H3549">
        <x:f>ROUND($C3549*10*VLOOKUP($B3549,Sheet2!$J$5:$K$7,2,FALSE)*VLOOKUP(Sheet1!$A3549,Sheet2!$B$5:$H$29,7,FALSE),0)</x:f>
        <x:v>160</x:v>
      </x:c>
      <x:c r="I3549">
        <x:f t="shared" si="59"/>
        <x:v>4270</x:v>
      </x:c>
    </x:row>
    <x:row r="3550" spans="1:9" x14ac:dyDescent="0.15">
      <x:c r="A3550">
        <x:v>54155</x:v>
      </x:c>
      <x:c r="B3550">
        <x:v>3</x:v>
      </x:c>
      <x:c r="C3550">
        <x:v>9</x:v>
      </x:c>
      <x:c r="D3550">
        <x:f>ROUND($C3550*10*VLOOKUP($B3550,Sheet2!$J$5:$K$7,2,FALSE)*VLOOKUP(Sheet1!$A3550,Sheet2!$B$5:$H$29,3,FALSE),0)</x:f>
        <x:v>0</x:v>
      </x:c>
      <x:c r="E3550">
        <x:f>ROUND($C3550*10*VLOOKUP($B3550,Sheet2!$J$5:$K$7,2,FALSE)*VLOOKUP(Sheet1!$A3550,Sheet2!$B$5:$H$29,4,FALSE),0)</x:f>
        <x:v>0</x:v>
      </x:c>
      <x:c r="F3550">
        <x:f>ROUND($C3550*10*VLOOKUP($B3550,Sheet2!$J$5:$K$7,2,FALSE)*VLOOKUP(Sheet1!$A3550,Sheet2!$B$5:$H$29,5,FALSE),0)</x:f>
        <x:v>0</x:v>
      </x:c>
      <x:c r="G3550">
        <x:f>ROUND($C3550*10*VLOOKUP($B3550,Sheet2!$J$5:$K$7,2,FALSE)*VLOOKUP(Sheet1!$A3550,Sheet2!$B$5:$H$29,6,FALSE),0)</x:f>
        <x:v>86</x:v>
      </x:c>
      <x:c r="H3550">
        <x:f>ROUND($C3550*10*VLOOKUP($B3550,Sheet2!$J$5:$K$7,2,FALSE)*VLOOKUP(Sheet1!$A3550,Sheet2!$B$5:$H$29,7,FALSE),0)</x:f>
        <x:v>180</x:v>
      </x:c>
      <x:c r="I3550">
        <x:f t="shared" si="59"/>
        <x:v>5410</x:v>
      </x:c>
    </x:row>
    <x:row r="3551" spans="1:9" x14ac:dyDescent="0.15">
      <x:c r="A3551">
        <x:v>54155</x:v>
      </x:c>
      <x:c r="B3551">
        <x:v>3</x:v>
      </x:c>
      <x:c r="C3551">
        <x:v>10</x:v>
      </x:c>
      <x:c r="D3551">
        <x:f>ROUND($C3551*10*VLOOKUP($B3551,Sheet2!$J$5:$K$7,2,FALSE)*VLOOKUP(Sheet1!$A3551,Sheet2!$B$5:$H$29,3,FALSE),0)</x:f>
        <x:v>0</x:v>
      </x:c>
      <x:c r="E3551">
        <x:f>ROUND($C3551*10*VLOOKUP($B3551,Sheet2!$J$5:$K$7,2,FALSE)*VLOOKUP(Sheet1!$A3551,Sheet2!$B$5:$H$29,4,FALSE),0)</x:f>
        <x:v>0</x:v>
      </x:c>
      <x:c r="F3551">
        <x:f>ROUND($C3551*10*VLOOKUP($B3551,Sheet2!$J$5:$K$7,2,FALSE)*VLOOKUP(Sheet1!$A3551,Sheet2!$B$5:$H$29,5,FALSE),0)</x:f>
        <x:v>0</x:v>
      </x:c>
      <x:c r="G3551">
        <x:f>ROUND($C3551*10*VLOOKUP($B3551,Sheet2!$J$5:$K$7,2,FALSE)*VLOOKUP(Sheet1!$A3551,Sheet2!$B$5:$H$29,6,FALSE),0)</x:f>
        <x:v>96</x:v>
      </x:c>
      <x:c r="H3551">
        <x:f>ROUND($C3551*10*VLOOKUP($B3551,Sheet2!$J$5:$K$7,2,FALSE)*VLOOKUP(Sheet1!$A3551,Sheet2!$B$5:$H$29,7,FALSE),0)</x:f>
        <x:v>200</x:v>
      </x:c>
      <x:c r="I3551">
        <x:f t="shared" si="59"/>
        <x:v>6670</x:v>
      </x:c>
    </x:row>
    <x:row r="3552" spans="1:9" x14ac:dyDescent="0.15">
      <x:c r="A3552">
        <x:v>54155</x:v>
      </x:c>
      <x:c r="B3552">
        <x:v>3</x:v>
      </x:c>
      <x:c r="C3552">
        <x:v>11</x:v>
      </x:c>
      <x:c r="D3552">
        <x:f>ROUND($C3552*10*VLOOKUP($B3552,Sheet2!$J$5:$K$7,2,FALSE)*VLOOKUP(Sheet1!$A3552,Sheet2!$B$5:$H$29,3,FALSE),0)</x:f>
        <x:v>0</x:v>
      </x:c>
      <x:c r="E3552">
        <x:f>ROUND($C3552*10*VLOOKUP($B3552,Sheet2!$J$5:$K$7,2,FALSE)*VLOOKUP(Sheet1!$A3552,Sheet2!$B$5:$H$29,4,FALSE),0)</x:f>
        <x:v>0</x:v>
      </x:c>
      <x:c r="F3552">
        <x:f>ROUND($C3552*10*VLOOKUP($B3552,Sheet2!$J$5:$K$7,2,FALSE)*VLOOKUP(Sheet1!$A3552,Sheet2!$B$5:$H$29,5,FALSE),0)</x:f>
        <x:v>0</x:v>
      </x:c>
      <x:c r="G3552">
        <x:f>ROUND($C3552*10*VLOOKUP($B3552,Sheet2!$J$5:$K$7,2,FALSE)*VLOOKUP(Sheet1!$A3552,Sheet2!$B$5:$H$29,6,FALSE),0)</x:f>
        <x:v>106</x:v>
      </x:c>
      <x:c r="H3552">
        <x:f>ROUND($C3552*10*VLOOKUP($B3552,Sheet2!$J$5:$K$7,2,FALSE)*VLOOKUP(Sheet1!$A3552,Sheet2!$B$5:$H$29,7,FALSE),0)</x:f>
        <x:v>220</x:v>
      </x:c>
      <x:c r="I3552">
        <x:f t="shared" si="59"/>
        <x:v>8040</x:v>
      </x:c>
    </x:row>
    <x:row r="3553" spans="1:9" x14ac:dyDescent="0.15">
      <x:c r="A3553">
        <x:v>54155</x:v>
      </x:c>
      <x:c r="B3553">
        <x:v>3</x:v>
      </x:c>
      <x:c r="C3553">
        <x:v>12</x:v>
      </x:c>
      <x:c r="D3553">
        <x:f>ROUND($C3553*10*VLOOKUP($B3553,Sheet2!$J$5:$K$7,2,FALSE)*VLOOKUP(Sheet1!$A3553,Sheet2!$B$5:$H$29,3,FALSE),0)</x:f>
        <x:v>0</x:v>
      </x:c>
      <x:c r="E3553">
        <x:f>ROUND($C3553*10*VLOOKUP($B3553,Sheet2!$J$5:$K$7,2,FALSE)*VLOOKUP(Sheet1!$A3553,Sheet2!$B$5:$H$29,4,FALSE),0)</x:f>
        <x:v>0</x:v>
      </x:c>
      <x:c r="F3553">
        <x:f>ROUND($C3553*10*VLOOKUP($B3553,Sheet2!$J$5:$K$7,2,FALSE)*VLOOKUP(Sheet1!$A3553,Sheet2!$B$5:$H$29,5,FALSE),0)</x:f>
        <x:v>0</x:v>
      </x:c>
      <x:c r="G3553">
        <x:f>ROUND($C3553*10*VLOOKUP($B3553,Sheet2!$J$5:$K$7,2,FALSE)*VLOOKUP(Sheet1!$A3553,Sheet2!$B$5:$H$29,6,FALSE),0)</x:f>
        <x:v>115</x:v>
      </x:c>
      <x:c r="H3553">
        <x:f>ROUND($C3553*10*VLOOKUP($B3553,Sheet2!$J$5:$K$7,2,FALSE)*VLOOKUP(Sheet1!$A3553,Sheet2!$B$5:$H$29,7,FALSE),0)</x:f>
        <x:v>240</x:v>
      </x:c>
      <x:c r="I3553">
        <x:f t="shared" si="59"/>
        <x:v>9530</x:v>
      </x:c>
    </x:row>
    <x:row r="3554" spans="1:9" x14ac:dyDescent="0.15">
      <x:c r="A3554">
        <x:v>54155</x:v>
      </x:c>
      <x:c r="B3554">
        <x:v>3</x:v>
      </x:c>
      <x:c r="C3554">
        <x:v>13</x:v>
      </x:c>
      <x:c r="D3554">
        <x:f>ROUND($C3554*10*VLOOKUP($B3554,Sheet2!$J$5:$K$7,2,FALSE)*VLOOKUP(Sheet1!$A3554,Sheet2!$B$5:$H$29,3,FALSE),0)</x:f>
        <x:v>0</x:v>
      </x:c>
      <x:c r="E3554">
        <x:f>ROUND($C3554*10*VLOOKUP($B3554,Sheet2!$J$5:$K$7,2,FALSE)*VLOOKUP(Sheet1!$A3554,Sheet2!$B$5:$H$29,4,FALSE),0)</x:f>
        <x:v>0</x:v>
      </x:c>
      <x:c r="F3554">
        <x:f>ROUND($C3554*10*VLOOKUP($B3554,Sheet2!$J$5:$K$7,2,FALSE)*VLOOKUP(Sheet1!$A3554,Sheet2!$B$5:$H$29,5,FALSE),0)</x:f>
        <x:v>0</x:v>
      </x:c>
      <x:c r="G3554">
        <x:f>ROUND($C3554*10*VLOOKUP($B3554,Sheet2!$J$5:$K$7,2,FALSE)*VLOOKUP(Sheet1!$A3554,Sheet2!$B$5:$H$29,6,FALSE),0)</x:f>
        <x:v>125</x:v>
      </x:c>
      <x:c r="H3554">
        <x:f>ROUND($C3554*10*VLOOKUP($B3554,Sheet2!$J$5:$K$7,2,FALSE)*VLOOKUP(Sheet1!$A3554,Sheet2!$B$5:$H$29,7,FALSE),0)</x:f>
        <x:v>260</x:v>
      </x:c>
      <x:c r="I3554">
        <x:f t="shared" si="59"/>
        <x:v>11130</x:v>
      </x:c>
    </x:row>
    <x:row r="3555" spans="1:9" x14ac:dyDescent="0.15">
      <x:c r="A3555">
        <x:v>54155</x:v>
      </x:c>
      <x:c r="B3555">
        <x:v>3</x:v>
      </x:c>
      <x:c r="C3555">
        <x:v>14</x:v>
      </x:c>
      <x:c r="D3555">
        <x:f>ROUND($C3555*10*VLOOKUP($B3555,Sheet2!$J$5:$K$7,2,FALSE)*VLOOKUP(Sheet1!$A3555,Sheet2!$B$5:$H$29,3,FALSE),0)</x:f>
        <x:v>0</x:v>
      </x:c>
      <x:c r="E3555">
        <x:f>ROUND($C3555*10*VLOOKUP($B3555,Sheet2!$J$5:$K$7,2,FALSE)*VLOOKUP(Sheet1!$A3555,Sheet2!$B$5:$H$29,4,FALSE),0)</x:f>
        <x:v>0</x:v>
      </x:c>
      <x:c r="F3555">
        <x:f>ROUND($C3555*10*VLOOKUP($B3555,Sheet2!$J$5:$K$7,2,FALSE)*VLOOKUP(Sheet1!$A3555,Sheet2!$B$5:$H$29,5,FALSE),0)</x:f>
        <x:v>0</x:v>
      </x:c>
      <x:c r="G3555">
        <x:f>ROUND($C3555*10*VLOOKUP($B3555,Sheet2!$J$5:$K$7,2,FALSE)*VLOOKUP(Sheet1!$A3555,Sheet2!$B$5:$H$29,6,FALSE),0)</x:f>
        <x:v>134</x:v>
      </x:c>
      <x:c r="H3555">
        <x:f>ROUND($C3555*10*VLOOKUP($B3555,Sheet2!$J$5:$K$7,2,FALSE)*VLOOKUP(Sheet1!$A3555,Sheet2!$B$5:$H$29,7,FALSE),0)</x:f>
        <x:v>280</x:v>
      </x:c>
      <x:c r="I3555">
        <x:f t="shared" si="59"/>
        <x:v>12840</x:v>
      </x:c>
    </x:row>
    <x:row r="3556" spans="1:9" x14ac:dyDescent="0.15">
      <x:c r="A3556">
        <x:v>54155</x:v>
      </x:c>
      <x:c r="B3556">
        <x:v>3</x:v>
      </x:c>
      <x:c r="C3556">
        <x:v>15</x:v>
      </x:c>
      <x:c r="D3556">
        <x:f>ROUND($C3556*10*VLOOKUP($B3556,Sheet2!$J$5:$K$7,2,FALSE)*VLOOKUP(Sheet1!$A3556,Sheet2!$B$5:$H$29,3,FALSE),0)</x:f>
        <x:v>0</x:v>
      </x:c>
      <x:c r="E3556">
        <x:f>ROUND($C3556*10*VLOOKUP($B3556,Sheet2!$J$5:$K$7,2,FALSE)*VLOOKUP(Sheet1!$A3556,Sheet2!$B$5:$H$29,4,FALSE),0)</x:f>
        <x:v>0</x:v>
      </x:c>
      <x:c r="F3556">
        <x:f>ROUND($C3556*10*VLOOKUP($B3556,Sheet2!$J$5:$K$7,2,FALSE)*VLOOKUP(Sheet1!$A3556,Sheet2!$B$5:$H$29,5,FALSE),0)</x:f>
        <x:v>0</x:v>
      </x:c>
      <x:c r="G3556">
        <x:f>ROUND($C3556*10*VLOOKUP($B3556,Sheet2!$J$5:$K$7,2,FALSE)*VLOOKUP(Sheet1!$A3556,Sheet2!$B$5:$H$29,6,FALSE),0)</x:f>
        <x:v>144</x:v>
      </x:c>
      <x:c r="H3556">
        <x:f>ROUND($C3556*10*VLOOKUP($B3556,Sheet2!$J$5:$K$7,2,FALSE)*VLOOKUP(Sheet1!$A3556,Sheet2!$B$5:$H$29,7,FALSE),0)</x:f>
        <x:v>300</x:v>
      </x:c>
      <x:c r="I3556">
        <x:f t="shared" si="59"/>
        <x:v>14660</x:v>
      </x:c>
    </x:row>
    <x:row r="3557" spans="1:9" x14ac:dyDescent="0.15">
      <x:c r="A3557">
        <x:v>54155</x:v>
      </x:c>
      <x:c r="B3557">
        <x:v>3</x:v>
      </x:c>
      <x:c r="C3557">
        <x:v>16</x:v>
      </x:c>
      <x:c r="D3557">
        <x:f>ROUND($C3557*10*VLOOKUP($B3557,Sheet2!$J$5:$K$7,2,FALSE)*VLOOKUP(Sheet1!$A3557,Sheet2!$B$5:$H$29,3,FALSE),0)</x:f>
        <x:v>0</x:v>
      </x:c>
      <x:c r="E3557">
        <x:f>ROUND($C3557*10*VLOOKUP($B3557,Sheet2!$J$5:$K$7,2,FALSE)*VLOOKUP(Sheet1!$A3557,Sheet2!$B$5:$H$29,4,FALSE),0)</x:f>
        <x:v>0</x:v>
      </x:c>
      <x:c r="F3557">
        <x:f>ROUND($C3557*10*VLOOKUP($B3557,Sheet2!$J$5:$K$7,2,FALSE)*VLOOKUP(Sheet1!$A3557,Sheet2!$B$5:$H$29,5,FALSE),0)</x:f>
        <x:v>0</x:v>
      </x:c>
      <x:c r="G3557">
        <x:f>ROUND($C3557*10*VLOOKUP($B3557,Sheet2!$J$5:$K$7,2,FALSE)*VLOOKUP(Sheet1!$A3557,Sheet2!$B$5:$H$29,6,FALSE),0)</x:f>
        <x:v>154</x:v>
      </x:c>
      <x:c r="H3557">
        <x:f>ROUND($C3557*10*VLOOKUP($B3557,Sheet2!$J$5:$K$7,2,FALSE)*VLOOKUP(Sheet1!$A3557,Sheet2!$B$5:$H$29,7,FALSE),0)</x:f>
        <x:v>320</x:v>
      </x:c>
      <x:c r="I3557">
        <x:f t="shared" si="59"/>
        <x:v>16580</x:v>
      </x:c>
    </x:row>
    <x:row r="3558" spans="1:9" x14ac:dyDescent="0.15">
      <x:c r="A3558">
        <x:v>54155</x:v>
      </x:c>
      <x:c r="B3558">
        <x:v>3</x:v>
      </x:c>
      <x:c r="C3558">
        <x:v>17</x:v>
      </x:c>
      <x:c r="D3558">
        <x:f>ROUND($C3558*10*VLOOKUP($B3558,Sheet2!$J$5:$K$7,2,FALSE)*VLOOKUP(Sheet1!$A3558,Sheet2!$B$5:$H$29,3,FALSE),0)</x:f>
        <x:v>0</x:v>
      </x:c>
      <x:c r="E3558">
        <x:f>ROUND($C3558*10*VLOOKUP($B3558,Sheet2!$J$5:$K$7,2,FALSE)*VLOOKUP(Sheet1!$A3558,Sheet2!$B$5:$H$29,4,FALSE),0)</x:f>
        <x:v>0</x:v>
      </x:c>
      <x:c r="F3558">
        <x:f>ROUND($C3558*10*VLOOKUP($B3558,Sheet2!$J$5:$K$7,2,FALSE)*VLOOKUP(Sheet1!$A3558,Sheet2!$B$5:$H$29,5,FALSE),0)</x:f>
        <x:v>0</x:v>
      </x:c>
      <x:c r="G3558">
        <x:f>ROUND($C3558*10*VLOOKUP($B3558,Sheet2!$J$5:$K$7,2,FALSE)*VLOOKUP(Sheet1!$A3558,Sheet2!$B$5:$H$29,6,FALSE),0)</x:f>
        <x:v>163</x:v>
      </x:c>
      <x:c r="H3558">
        <x:f>ROUND($C3558*10*VLOOKUP($B3558,Sheet2!$J$5:$K$7,2,FALSE)*VLOOKUP(Sheet1!$A3558,Sheet2!$B$5:$H$29,7,FALSE),0)</x:f>
        <x:v>340</x:v>
      </x:c>
      <x:c r="I3558">
        <x:f t="shared" si="59"/>
        <x:v>18620</x:v>
      </x:c>
    </x:row>
    <x:row r="3559" spans="1:9" x14ac:dyDescent="0.15">
      <x:c r="A3559">
        <x:v>54155</x:v>
      </x:c>
      <x:c r="B3559">
        <x:v>3</x:v>
      </x:c>
      <x:c r="C3559">
        <x:v>18</x:v>
      </x:c>
      <x:c r="D3559">
        <x:f>ROUND($C3559*10*VLOOKUP($B3559,Sheet2!$J$5:$K$7,2,FALSE)*VLOOKUP(Sheet1!$A3559,Sheet2!$B$5:$H$29,3,FALSE),0)</x:f>
        <x:v>0</x:v>
      </x:c>
      <x:c r="E3559">
        <x:f>ROUND($C3559*10*VLOOKUP($B3559,Sheet2!$J$5:$K$7,2,FALSE)*VLOOKUP(Sheet1!$A3559,Sheet2!$B$5:$H$29,4,FALSE),0)</x:f>
        <x:v>0</x:v>
      </x:c>
      <x:c r="F3559">
        <x:f>ROUND($C3559*10*VLOOKUP($B3559,Sheet2!$J$5:$K$7,2,FALSE)*VLOOKUP(Sheet1!$A3559,Sheet2!$B$5:$H$29,5,FALSE),0)</x:f>
        <x:v>0</x:v>
      </x:c>
      <x:c r="G3559">
        <x:f>ROUND($C3559*10*VLOOKUP($B3559,Sheet2!$J$5:$K$7,2,FALSE)*VLOOKUP(Sheet1!$A3559,Sheet2!$B$5:$H$29,6,FALSE),0)</x:f>
        <x:v>173</x:v>
      </x:c>
      <x:c r="H3559">
        <x:f>ROUND($C3559*10*VLOOKUP($B3559,Sheet2!$J$5:$K$7,2,FALSE)*VLOOKUP(Sheet1!$A3559,Sheet2!$B$5:$H$29,7,FALSE),0)</x:f>
        <x:v>360</x:v>
      </x:c>
      <x:c r="I3559">
        <x:f t="shared" si="59"/>
        <x:v>20750</x:v>
      </x:c>
    </x:row>
    <x:row r="3560" spans="1:9" x14ac:dyDescent="0.15">
      <x:c r="A3560">
        <x:v>54155</x:v>
      </x:c>
      <x:c r="B3560">
        <x:v>3</x:v>
      </x:c>
      <x:c r="C3560">
        <x:v>19</x:v>
      </x:c>
      <x:c r="D3560">
        <x:f>ROUND($C3560*10*VLOOKUP($B3560,Sheet2!$J$5:$K$7,2,FALSE)*VLOOKUP(Sheet1!$A3560,Sheet2!$B$5:$H$29,3,FALSE),0)</x:f>
        <x:v>0</x:v>
      </x:c>
      <x:c r="E3560">
        <x:f>ROUND($C3560*10*VLOOKUP($B3560,Sheet2!$J$5:$K$7,2,FALSE)*VLOOKUP(Sheet1!$A3560,Sheet2!$B$5:$H$29,4,FALSE),0)</x:f>
        <x:v>0</x:v>
      </x:c>
      <x:c r="F3560">
        <x:f>ROUND($C3560*10*VLOOKUP($B3560,Sheet2!$J$5:$K$7,2,FALSE)*VLOOKUP(Sheet1!$A3560,Sheet2!$B$5:$H$29,5,FALSE),0)</x:f>
        <x:v>0</x:v>
      </x:c>
      <x:c r="G3560">
        <x:f>ROUND($C3560*10*VLOOKUP($B3560,Sheet2!$J$5:$K$7,2,FALSE)*VLOOKUP(Sheet1!$A3560,Sheet2!$B$5:$H$29,6,FALSE),0)</x:f>
        <x:v>182</x:v>
      </x:c>
      <x:c r="H3560">
        <x:f>ROUND($C3560*10*VLOOKUP($B3560,Sheet2!$J$5:$K$7,2,FALSE)*VLOOKUP(Sheet1!$A3560,Sheet2!$B$5:$H$29,7,FALSE),0)</x:f>
        <x:v>380</x:v>
      </x:c>
      <x:c r="I3560">
        <x:f t="shared" si="59"/>
        <x:v>22990</x:v>
      </x:c>
    </x:row>
    <x:row r="3561" spans="1:9" x14ac:dyDescent="0.15">
      <x:c r="A3561">
        <x:v>54155</x:v>
      </x:c>
      <x:c r="B3561">
        <x:v>3</x:v>
      </x:c>
      <x:c r="C3561">
        <x:v>20</x:v>
      </x:c>
      <x:c r="D3561">
        <x:f>ROUND($C3561*10*VLOOKUP($B3561,Sheet2!$J$5:$K$7,2,FALSE)*VLOOKUP(Sheet1!$A3561,Sheet2!$B$5:$H$29,3,FALSE),0)</x:f>
        <x:v>0</x:v>
      </x:c>
      <x:c r="E3561">
        <x:f>ROUND($C3561*10*VLOOKUP($B3561,Sheet2!$J$5:$K$7,2,FALSE)*VLOOKUP(Sheet1!$A3561,Sheet2!$B$5:$H$29,4,FALSE),0)</x:f>
        <x:v>0</x:v>
      </x:c>
      <x:c r="F3561">
        <x:f>ROUND($C3561*10*VLOOKUP($B3561,Sheet2!$J$5:$K$7,2,FALSE)*VLOOKUP(Sheet1!$A3561,Sheet2!$B$5:$H$29,5,FALSE),0)</x:f>
        <x:v>0</x:v>
      </x:c>
      <x:c r="G3561">
        <x:f>ROUND($C3561*10*VLOOKUP($B3561,Sheet2!$J$5:$K$7,2,FALSE)*VLOOKUP(Sheet1!$A3561,Sheet2!$B$5:$H$29,6,FALSE),0)</x:f>
        <x:v>192</x:v>
      </x:c>
      <x:c r="H3561">
        <x:f>ROUND($C3561*10*VLOOKUP($B3561,Sheet2!$J$5:$K$7,2,FALSE)*VLOOKUP(Sheet1!$A3561,Sheet2!$B$5:$H$29,7,FALSE),0)</x:f>
        <x:v>400</x:v>
      </x:c>
      <x:c r="I3561">
        <x:f t="shared" si="59"/>
        <x:v>25330</x:v>
      </x:c>
    </x:row>
    <x:row r="3562" spans="1:9" x14ac:dyDescent="0.15">
      <x:c r="A3562">
        <x:v>54155</x:v>
      </x:c>
      <x:c r="B3562">
        <x:v>3</x:v>
      </x:c>
      <x:c r="C3562">
        <x:v>21</x:v>
      </x:c>
      <x:c r="D3562">
        <x:f>ROUND($C3562*10*VLOOKUP($B3562,Sheet2!$J$5:$K$7,2,FALSE)*VLOOKUP(Sheet1!$A3562,Sheet2!$B$5:$H$29,3,FALSE),0)</x:f>
        <x:v>0</x:v>
      </x:c>
      <x:c r="E3562">
        <x:f>ROUND($C3562*10*VLOOKUP($B3562,Sheet2!$J$5:$K$7,2,FALSE)*VLOOKUP(Sheet1!$A3562,Sheet2!$B$5:$H$29,4,FALSE),0)</x:f>
        <x:v>0</x:v>
      </x:c>
      <x:c r="F3562">
        <x:f>ROUND($C3562*10*VLOOKUP($B3562,Sheet2!$J$5:$K$7,2,FALSE)*VLOOKUP(Sheet1!$A3562,Sheet2!$B$5:$H$29,5,FALSE),0)</x:f>
        <x:v>0</x:v>
      </x:c>
      <x:c r="G3562">
        <x:f>ROUND($C3562*10*VLOOKUP($B3562,Sheet2!$J$5:$K$7,2,FALSE)*VLOOKUP(Sheet1!$A3562,Sheet2!$B$5:$H$29,6,FALSE),0)</x:f>
        <x:v>202</x:v>
      </x:c>
      <x:c r="H3562">
        <x:f>ROUND($C3562*10*VLOOKUP($B3562,Sheet2!$J$5:$K$7,2,FALSE)*VLOOKUP(Sheet1!$A3562,Sheet2!$B$5:$H$29,7,FALSE),0)</x:f>
        <x:v>420</x:v>
      </x:c>
      <x:c r="I3562">
        <x:f t="shared" si="59"/>
        <x:v>27770</x:v>
      </x:c>
    </x:row>
    <x:row r="3563" spans="1:9" x14ac:dyDescent="0.15">
      <x:c r="A3563">
        <x:v>54155</x:v>
      </x:c>
      <x:c r="B3563">
        <x:v>3</x:v>
      </x:c>
      <x:c r="C3563">
        <x:v>22</x:v>
      </x:c>
      <x:c r="D3563">
        <x:f>ROUND($C3563*10*VLOOKUP($B3563,Sheet2!$J$5:$K$7,2,FALSE)*VLOOKUP(Sheet1!$A3563,Sheet2!$B$5:$H$29,3,FALSE),0)</x:f>
        <x:v>0</x:v>
      </x:c>
      <x:c r="E3563">
        <x:f>ROUND($C3563*10*VLOOKUP($B3563,Sheet2!$J$5:$K$7,2,FALSE)*VLOOKUP(Sheet1!$A3563,Sheet2!$B$5:$H$29,4,FALSE),0)</x:f>
        <x:v>0</x:v>
      </x:c>
      <x:c r="F3563">
        <x:f>ROUND($C3563*10*VLOOKUP($B3563,Sheet2!$J$5:$K$7,2,FALSE)*VLOOKUP(Sheet1!$A3563,Sheet2!$B$5:$H$29,5,FALSE),0)</x:f>
        <x:v>0</x:v>
      </x:c>
      <x:c r="G3563">
        <x:f>ROUND($C3563*10*VLOOKUP($B3563,Sheet2!$J$5:$K$7,2,FALSE)*VLOOKUP(Sheet1!$A3563,Sheet2!$B$5:$H$29,6,FALSE),0)</x:f>
        <x:v>211</x:v>
      </x:c>
      <x:c r="H3563">
        <x:f>ROUND($C3563*10*VLOOKUP($B3563,Sheet2!$J$5:$K$7,2,FALSE)*VLOOKUP(Sheet1!$A3563,Sheet2!$B$5:$H$29,7,FALSE),0)</x:f>
        <x:v>440</x:v>
      </x:c>
      <x:c r="I3563">
        <x:f t="shared" si="59"/>
        <x:v>30310</x:v>
      </x:c>
    </x:row>
    <x:row r="3564" spans="1:9" x14ac:dyDescent="0.15">
      <x:c r="A3564">
        <x:v>54155</x:v>
      </x:c>
      <x:c r="B3564">
        <x:v>3</x:v>
      </x:c>
      <x:c r="C3564">
        <x:v>23</x:v>
      </x:c>
      <x:c r="D3564">
        <x:f>ROUND($C3564*10*VLOOKUP($B3564,Sheet2!$J$5:$K$7,2,FALSE)*VLOOKUP(Sheet1!$A3564,Sheet2!$B$5:$H$29,3,FALSE),0)</x:f>
        <x:v>0</x:v>
      </x:c>
      <x:c r="E3564">
        <x:f>ROUND($C3564*10*VLOOKUP($B3564,Sheet2!$J$5:$K$7,2,FALSE)*VLOOKUP(Sheet1!$A3564,Sheet2!$B$5:$H$29,4,FALSE),0)</x:f>
        <x:v>0</x:v>
      </x:c>
      <x:c r="F3564">
        <x:f>ROUND($C3564*10*VLOOKUP($B3564,Sheet2!$J$5:$K$7,2,FALSE)*VLOOKUP(Sheet1!$A3564,Sheet2!$B$5:$H$29,5,FALSE),0)</x:f>
        <x:v>0</x:v>
      </x:c>
      <x:c r="G3564">
        <x:f>ROUND($C3564*10*VLOOKUP($B3564,Sheet2!$J$5:$K$7,2,FALSE)*VLOOKUP(Sheet1!$A3564,Sheet2!$B$5:$H$29,6,FALSE),0)</x:f>
        <x:v>221</x:v>
      </x:c>
      <x:c r="H3564">
        <x:f>ROUND($C3564*10*VLOOKUP($B3564,Sheet2!$J$5:$K$7,2,FALSE)*VLOOKUP(Sheet1!$A3564,Sheet2!$B$5:$H$29,7,FALSE),0)</x:f>
        <x:v>460</x:v>
      </x:c>
      <x:c r="I3564">
        <x:f t="shared" si="59"/>
        <x:v>32950</x:v>
      </x:c>
    </x:row>
    <x:row r="3565" spans="1:9" x14ac:dyDescent="0.15">
      <x:c r="A3565">
        <x:v>54155</x:v>
      </x:c>
      <x:c r="B3565">
        <x:v>3</x:v>
      </x:c>
      <x:c r="C3565">
        <x:v>24</x:v>
      </x:c>
      <x:c r="D3565">
        <x:f>ROUND($C3565*10*VLOOKUP($B3565,Sheet2!$J$5:$K$7,2,FALSE)*VLOOKUP(Sheet1!$A3565,Sheet2!$B$5:$H$29,3,FALSE),0)</x:f>
        <x:v>0</x:v>
      </x:c>
      <x:c r="E3565">
        <x:f>ROUND($C3565*10*VLOOKUP($B3565,Sheet2!$J$5:$K$7,2,FALSE)*VLOOKUP(Sheet1!$A3565,Sheet2!$B$5:$H$29,4,FALSE),0)</x:f>
        <x:v>0</x:v>
      </x:c>
      <x:c r="F3565">
        <x:f>ROUND($C3565*10*VLOOKUP($B3565,Sheet2!$J$5:$K$7,2,FALSE)*VLOOKUP(Sheet1!$A3565,Sheet2!$B$5:$H$29,5,FALSE),0)</x:f>
        <x:v>0</x:v>
      </x:c>
      <x:c r="G3565">
        <x:f>ROUND($C3565*10*VLOOKUP($B3565,Sheet2!$J$5:$K$7,2,FALSE)*VLOOKUP(Sheet1!$A3565,Sheet2!$B$5:$H$29,6,FALSE),0)</x:f>
        <x:v>230</x:v>
      </x:c>
      <x:c r="H3565">
        <x:f>ROUND($C3565*10*VLOOKUP($B3565,Sheet2!$J$5:$K$7,2,FALSE)*VLOOKUP(Sheet1!$A3565,Sheet2!$B$5:$H$29,7,FALSE),0)</x:f>
        <x:v>480</x:v>
      </x:c>
      <x:c r="I3565">
        <x:f t="shared" si="59"/>
        <x:v>35690</x:v>
      </x:c>
    </x:row>
    <x:row r="3566" spans="1:9" x14ac:dyDescent="0.15">
      <x:c r="A3566">
        <x:v>54155</x:v>
      </x:c>
      <x:c r="B3566">
        <x:v>3</x:v>
      </x:c>
      <x:c r="C3566">
        <x:v>25</x:v>
      </x:c>
      <x:c r="D3566">
        <x:f>ROUND($C3566*10*VLOOKUP($B3566,Sheet2!$J$5:$K$7,2,FALSE)*VLOOKUP(Sheet1!$A3566,Sheet2!$B$5:$H$29,3,FALSE),0)</x:f>
        <x:v>0</x:v>
      </x:c>
      <x:c r="E3566">
        <x:f>ROUND($C3566*10*VLOOKUP($B3566,Sheet2!$J$5:$K$7,2,FALSE)*VLOOKUP(Sheet1!$A3566,Sheet2!$B$5:$H$29,4,FALSE),0)</x:f>
        <x:v>0</x:v>
      </x:c>
      <x:c r="F3566">
        <x:f>ROUND($C3566*10*VLOOKUP($B3566,Sheet2!$J$5:$K$7,2,FALSE)*VLOOKUP(Sheet1!$A3566,Sheet2!$B$5:$H$29,5,FALSE),0)</x:f>
        <x:v>0</x:v>
      </x:c>
      <x:c r="G3566">
        <x:f>ROUND($C3566*10*VLOOKUP($B3566,Sheet2!$J$5:$K$7,2,FALSE)*VLOOKUP(Sheet1!$A3566,Sheet2!$B$5:$H$29,6,FALSE),0)</x:f>
        <x:v>240</x:v>
      </x:c>
      <x:c r="H3566">
        <x:f>ROUND($C3566*10*VLOOKUP($B3566,Sheet2!$J$5:$K$7,2,FALSE)*VLOOKUP(Sheet1!$A3566,Sheet2!$B$5:$H$29,7,FALSE),0)</x:f>
        <x:v>500</x:v>
      </x:c>
      <x:c r="I3566">
        <x:f t="shared" si="59"/>
        <x:v>38530</x:v>
      </x:c>
    </x:row>
    <x:row r="3567" spans="1:9" x14ac:dyDescent="0.15">
      <x:c r="A3567">
        <x:v>54155</x:v>
      </x:c>
      <x:c r="B3567">
        <x:v>3</x:v>
      </x:c>
      <x:c r="C3567">
        <x:v>26</x:v>
      </x:c>
      <x:c r="D3567">
        <x:f>ROUND($C3567*10*VLOOKUP($B3567,Sheet2!$J$5:$K$7,2,FALSE)*VLOOKUP(Sheet1!$A3567,Sheet2!$B$5:$H$29,3,FALSE),0)</x:f>
        <x:v>0</x:v>
      </x:c>
      <x:c r="E3567">
        <x:f>ROUND($C3567*10*VLOOKUP($B3567,Sheet2!$J$5:$K$7,2,FALSE)*VLOOKUP(Sheet1!$A3567,Sheet2!$B$5:$H$29,4,FALSE),0)</x:f>
        <x:v>0</x:v>
      </x:c>
      <x:c r="F3567">
        <x:f>ROUND($C3567*10*VLOOKUP($B3567,Sheet2!$J$5:$K$7,2,FALSE)*VLOOKUP(Sheet1!$A3567,Sheet2!$B$5:$H$29,5,FALSE),0)</x:f>
        <x:v>0</x:v>
      </x:c>
      <x:c r="G3567">
        <x:f>ROUND($C3567*10*VLOOKUP($B3567,Sheet2!$J$5:$K$7,2,FALSE)*VLOOKUP(Sheet1!$A3567,Sheet2!$B$5:$H$29,6,FALSE),0)</x:f>
        <x:v>250</x:v>
      </x:c>
      <x:c r="H3567">
        <x:f>ROUND($C3567*10*VLOOKUP($B3567,Sheet2!$J$5:$K$7,2,FALSE)*VLOOKUP(Sheet1!$A3567,Sheet2!$B$5:$H$29,7,FALSE),0)</x:f>
        <x:v>520</x:v>
      </x:c>
      <x:c r="I3567">
        <x:f t="shared" si="59"/>
        <x:v>41460</x:v>
      </x:c>
    </x:row>
    <x:row r="3568" spans="1:9" x14ac:dyDescent="0.15">
      <x:c r="A3568">
        <x:v>54155</x:v>
      </x:c>
      <x:c r="B3568">
        <x:v>3</x:v>
      </x:c>
      <x:c r="C3568">
        <x:v>27</x:v>
      </x:c>
      <x:c r="D3568">
        <x:f>ROUND($C3568*10*VLOOKUP($B3568,Sheet2!$J$5:$K$7,2,FALSE)*VLOOKUP(Sheet1!$A3568,Sheet2!$B$5:$H$29,3,FALSE),0)</x:f>
        <x:v>0</x:v>
      </x:c>
      <x:c r="E3568">
        <x:f>ROUND($C3568*10*VLOOKUP($B3568,Sheet2!$J$5:$K$7,2,FALSE)*VLOOKUP(Sheet1!$A3568,Sheet2!$B$5:$H$29,4,FALSE),0)</x:f>
        <x:v>0</x:v>
      </x:c>
      <x:c r="F3568">
        <x:f>ROUND($C3568*10*VLOOKUP($B3568,Sheet2!$J$5:$K$7,2,FALSE)*VLOOKUP(Sheet1!$A3568,Sheet2!$B$5:$H$29,5,FALSE),0)</x:f>
        <x:v>0</x:v>
      </x:c>
      <x:c r="G3568">
        <x:f>ROUND($C3568*10*VLOOKUP($B3568,Sheet2!$J$5:$K$7,2,FALSE)*VLOOKUP(Sheet1!$A3568,Sheet2!$B$5:$H$29,6,FALSE),0)</x:f>
        <x:v>259</x:v>
      </x:c>
      <x:c r="H3568">
        <x:f>ROUND($C3568*10*VLOOKUP($B3568,Sheet2!$J$5:$K$7,2,FALSE)*VLOOKUP(Sheet1!$A3568,Sheet2!$B$5:$H$29,7,FALSE),0)</x:f>
        <x:v>540</x:v>
      </x:c>
      <x:c r="I3568">
        <x:f t="shared" si="59"/>
        <x:v>44480</x:v>
      </x:c>
    </x:row>
    <x:row r="3569" spans="1:9" x14ac:dyDescent="0.15">
      <x:c r="A3569">
        <x:v>54155</x:v>
      </x:c>
      <x:c r="B3569">
        <x:v>3</x:v>
      </x:c>
      <x:c r="C3569">
        <x:v>28</x:v>
      </x:c>
      <x:c r="D3569">
        <x:f>ROUND($C3569*10*VLOOKUP($B3569,Sheet2!$J$5:$K$7,2,FALSE)*VLOOKUP(Sheet1!$A3569,Sheet2!$B$5:$H$29,3,FALSE),0)</x:f>
        <x:v>0</x:v>
      </x:c>
      <x:c r="E3569">
        <x:f>ROUND($C3569*10*VLOOKUP($B3569,Sheet2!$J$5:$K$7,2,FALSE)*VLOOKUP(Sheet1!$A3569,Sheet2!$B$5:$H$29,4,FALSE),0)</x:f>
        <x:v>0</x:v>
      </x:c>
      <x:c r="F3569">
        <x:f>ROUND($C3569*10*VLOOKUP($B3569,Sheet2!$J$5:$K$7,2,FALSE)*VLOOKUP(Sheet1!$A3569,Sheet2!$B$5:$H$29,5,FALSE),0)</x:f>
        <x:v>0</x:v>
      </x:c>
      <x:c r="G3569">
        <x:f>ROUND($C3569*10*VLOOKUP($B3569,Sheet2!$J$5:$K$7,2,FALSE)*VLOOKUP(Sheet1!$A3569,Sheet2!$B$5:$H$29,6,FALSE),0)</x:f>
        <x:v>269</x:v>
      </x:c>
      <x:c r="H3569">
        <x:f>ROUND($C3569*10*VLOOKUP($B3569,Sheet2!$J$5:$K$7,2,FALSE)*VLOOKUP(Sheet1!$A3569,Sheet2!$B$5:$H$29,7,FALSE),0)</x:f>
        <x:v>560</x:v>
      </x:c>
      <x:c r="I3569">
        <x:f t="shared" si="59"/>
        <x:v>47600</x:v>
      </x:c>
    </x:row>
    <x:row r="3570" spans="1:9" x14ac:dyDescent="0.15">
      <x:c r="A3570">
        <x:v>54155</x:v>
      </x:c>
      <x:c r="B3570">
        <x:v>3</x:v>
      </x:c>
      <x:c r="C3570">
        <x:v>29</x:v>
      </x:c>
      <x:c r="D3570">
        <x:f>ROUND($C3570*10*VLOOKUP($B3570,Sheet2!$J$5:$K$7,2,FALSE)*VLOOKUP(Sheet1!$A3570,Sheet2!$B$5:$H$29,3,FALSE),0)</x:f>
        <x:v>0</x:v>
      </x:c>
      <x:c r="E3570">
        <x:f>ROUND($C3570*10*VLOOKUP($B3570,Sheet2!$J$5:$K$7,2,FALSE)*VLOOKUP(Sheet1!$A3570,Sheet2!$B$5:$H$29,4,FALSE),0)</x:f>
        <x:v>0</x:v>
      </x:c>
      <x:c r="F3570">
        <x:f>ROUND($C3570*10*VLOOKUP($B3570,Sheet2!$J$5:$K$7,2,FALSE)*VLOOKUP(Sheet1!$A3570,Sheet2!$B$5:$H$29,5,FALSE),0)</x:f>
        <x:v>0</x:v>
      </x:c>
      <x:c r="G3570">
        <x:f>ROUND($C3570*10*VLOOKUP($B3570,Sheet2!$J$5:$K$7,2,FALSE)*VLOOKUP(Sheet1!$A3570,Sheet2!$B$5:$H$29,6,FALSE),0)</x:f>
        <x:v>278</x:v>
      </x:c>
      <x:c r="H3570">
        <x:f>ROUND($C3570*10*VLOOKUP($B3570,Sheet2!$J$5:$K$7,2,FALSE)*VLOOKUP(Sheet1!$A3570,Sheet2!$B$5:$H$29,7,FALSE),0)</x:f>
        <x:v>580</x:v>
      </x:c>
      <x:c r="I3570">
        <x:f t="shared" si="59"/>
        <x:v>50820</x:v>
      </x:c>
    </x:row>
    <x:row r="3571" spans="1:9" x14ac:dyDescent="0.15">
      <x:c r="A3571">
        <x:v>54155</x:v>
      </x:c>
      <x:c r="B3571">
        <x:v>3</x:v>
      </x:c>
      <x:c r="C3571">
        <x:v>30</x:v>
      </x:c>
      <x:c r="D3571">
        <x:f>ROUND($C3571*10*VLOOKUP($B3571,Sheet2!$J$5:$K$7,2,FALSE)*VLOOKUP(Sheet1!$A3571,Sheet2!$B$5:$H$29,3,FALSE),0)</x:f>
        <x:v>0</x:v>
      </x:c>
      <x:c r="E3571">
        <x:f>ROUND($C3571*10*VLOOKUP($B3571,Sheet2!$J$5:$K$7,2,FALSE)*VLOOKUP(Sheet1!$A3571,Sheet2!$B$5:$H$29,4,FALSE),0)</x:f>
        <x:v>0</x:v>
      </x:c>
      <x:c r="F3571">
        <x:f>ROUND($C3571*10*VLOOKUP($B3571,Sheet2!$J$5:$K$7,2,FALSE)*VLOOKUP(Sheet1!$A3571,Sheet2!$B$5:$H$29,5,FALSE),0)</x:f>
        <x:v>0</x:v>
      </x:c>
      <x:c r="G3571">
        <x:f>ROUND($C3571*10*VLOOKUP($B3571,Sheet2!$J$5:$K$7,2,FALSE)*VLOOKUP(Sheet1!$A3571,Sheet2!$B$5:$H$29,6,FALSE),0)</x:f>
        <x:v>288</x:v>
      </x:c>
      <x:c r="H3571">
        <x:f>ROUND($C3571*10*VLOOKUP($B3571,Sheet2!$J$5:$K$7,2,FALSE)*VLOOKUP(Sheet1!$A3571,Sheet2!$B$5:$H$29,7,FALSE),0)</x:f>
        <x:v>600</x:v>
      </x:c>
      <x:c r="I3571">
        <x:f t="shared" si="59"/>
        <x:v>54130</x:v>
      </x:c>
    </x:row>
    <x:row r="3572" spans="1:9" x14ac:dyDescent="0.15">
      <x:c r="A3572">
        <x:v>54155</x:v>
      </x:c>
      <x:c r="B3572">
        <x:v>3</x:v>
      </x:c>
      <x:c r="C3572">
        <x:v>31</x:v>
      </x:c>
      <x:c r="D3572">
        <x:f>ROUND($C3572*10*VLOOKUP($B3572,Sheet2!$J$5:$K$7,2,FALSE)*VLOOKUP(Sheet1!$A3572,Sheet2!$B$5:$H$29,3,FALSE),0)</x:f>
        <x:v>0</x:v>
      </x:c>
      <x:c r="E3572">
        <x:f>ROUND($C3572*10*VLOOKUP($B3572,Sheet2!$J$5:$K$7,2,FALSE)*VLOOKUP(Sheet1!$A3572,Sheet2!$B$5:$H$29,4,FALSE),0)</x:f>
        <x:v>0</x:v>
      </x:c>
      <x:c r="F3572">
        <x:f>ROUND($C3572*10*VLOOKUP($B3572,Sheet2!$J$5:$K$7,2,FALSE)*VLOOKUP(Sheet1!$A3572,Sheet2!$B$5:$H$29,5,FALSE),0)</x:f>
        <x:v>0</x:v>
      </x:c>
      <x:c r="G3572">
        <x:f>ROUND($C3572*10*VLOOKUP($B3572,Sheet2!$J$5:$K$7,2,FALSE)*VLOOKUP(Sheet1!$A3572,Sheet2!$B$5:$H$29,6,FALSE),0)</x:f>
        <x:v>298</x:v>
      </x:c>
      <x:c r="H3572">
        <x:f>ROUND($C3572*10*VLOOKUP($B3572,Sheet2!$J$5:$K$7,2,FALSE)*VLOOKUP(Sheet1!$A3572,Sheet2!$B$5:$H$29,7,FALSE),0)</x:f>
        <x:v>620</x:v>
      </x:c>
      <x:c r="I3572">
        <x:f t="shared" si="59"/>
        <x:v>57530</x:v>
      </x:c>
    </x:row>
    <x:row r="3573" spans="1:9" x14ac:dyDescent="0.15">
      <x:c r="A3573">
        <x:v>54155</x:v>
      </x:c>
      <x:c r="B3573">
        <x:v>3</x:v>
      </x:c>
      <x:c r="C3573">
        <x:v>32</x:v>
      </x:c>
      <x:c r="D3573">
        <x:f>ROUND($C3573*10*VLOOKUP($B3573,Sheet2!$J$5:$K$7,2,FALSE)*VLOOKUP(Sheet1!$A3573,Sheet2!$B$5:$H$29,3,FALSE),0)</x:f>
        <x:v>0</x:v>
      </x:c>
      <x:c r="E3573">
        <x:f>ROUND($C3573*10*VLOOKUP($B3573,Sheet2!$J$5:$K$7,2,FALSE)*VLOOKUP(Sheet1!$A3573,Sheet2!$B$5:$H$29,4,FALSE),0)</x:f>
        <x:v>0</x:v>
      </x:c>
      <x:c r="F3573">
        <x:f>ROUND($C3573*10*VLOOKUP($B3573,Sheet2!$J$5:$K$7,2,FALSE)*VLOOKUP(Sheet1!$A3573,Sheet2!$B$5:$H$29,5,FALSE),0)</x:f>
        <x:v>0</x:v>
      </x:c>
      <x:c r="G3573">
        <x:f>ROUND($C3573*10*VLOOKUP($B3573,Sheet2!$J$5:$K$7,2,FALSE)*VLOOKUP(Sheet1!$A3573,Sheet2!$B$5:$H$29,6,FALSE),0)</x:f>
        <x:v>307</x:v>
      </x:c>
      <x:c r="H3573">
        <x:f>ROUND($C3573*10*VLOOKUP($B3573,Sheet2!$J$5:$K$7,2,FALSE)*VLOOKUP(Sheet1!$A3573,Sheet2!$B$5:$H$29,7,FALSE),0)</x:f>
        <x:v>640</x:v>
      </x:c>
      <x:c r="I3573">
        <x:f t="shared" si="59"/>
        <x:v>61020</x:v>
      </x:c>
    </x:row>
    <x:row r="3574" spans="1:9" x14ac:dyDescent="0.15">
      <x:c r="A3574">
        <x:v>54155</x:v>
      </x:c>
      <x:c r="B3574">
        <x:v>3</x:v>
      </x:c>
      <x:c r="C3574">
        <x:v>33</x:v>
      </x:c>
      <x:c r="D3574">
        <x:f>ROUND($C3574*10*VLOOKUP($B3574,Sheet2!$J$5:$K$7,2,FALSE)*VLOOKUP(Sheet1!$A3574,Sheet2!$B$5:$H$29,3,FALSE),0)</x:f>
        <x:v>0</x:v>
      </x:c>
      <x:c r="E3574">
        <x:f>ROUND($C3574*10*VLOOKUP($B3574,Sheet2!$J$5:$K$7,2,FALSE)*VLOOKUP(Sheet1!$A3574,Sheet2!$B$5:$H$29,4,FALSE),0)</x:f>
        <x:v>0</x:v>
      </x:c>
      <x:c r="F3574">
        <x:f>ROUND($C3574*10*VLOOKUP($B3574,Sheet2!$J$5:$K$7,2,FALSE)*VLOOKUP(Sheet1!$A3574,Sheet2!$B$5:$H$29,5,FALSE),0)</x:f>
        <x:v>0</x:v>
      </x:c>
      <x:c r="G3574">
        <x:f>ROUND($C3574*10*VLOOKUP($B3574,Sheet2!$J$5:$K$7,2,FALSE)*VLOOKUP(Sheet1!$A3574,Sheet2!$B$5:$H$29,6,FALSE),0)</x:f>
        <x:v>317</x:v>
      </x:c>
      <x:c r="H3574">
        <x:f>ROUND($C3574*10*VLOOKUP($B3574,Sheet2!$J$5:$K$7,2,FALSE)*VLOOKUP(Sheet1!$A3574,Sheet2!$B$5:$H$29,7,FALSE),0)</x:f>
        <x:v>660</x:v>
      </x:c>
      <x:c r="I3574">
        <x:f t="shared" si="59"/>
        <x:v>64600</x:v>
      </x:c>
    </x:row>
    <x:row r="3575" spans="1:9" x14ac:dyDescent="0.15">
      <x:c r="A3575">
        <x:v>54155</x:v>
      </x:c>
      <x:c r="B3575">
        <x:v>3</x:v>
      </x:c>
      <x:c r="C3575">
        <x:v>34</x:v>
      </x:c>
      <x:c r="D3575">
        <x:f>ROUND($C3575*10*VLOOKUP($B3575,Sheet2!$J$5:$K$7,2,FALSE)*VLOOKUP(Sheet1!$A3575,Sheet2!$B$5:$H$29,3,FALSE),0)</x:f>
        <x:v>0</x:v>
      </x:c>
      <x:c r="E3575">
        <x:f>ROUND($C3575*10*VLOOKUP($B3575,Sheet2!$J$5:$K$7,2,FALSE)*VLOOKUP(Sheet1!$A3575,Sheet2!$B$5:$H$29,4,FALSE),0)</x:f>
        <x:v>0</x:v>
      </x:c>
      <x:c r="F3575">
        <x:f>ROUND($C3575*10*VLOOKUP($B3575,Sheet2!$J$5:$K$7,2,FALSE)*VLOOKUP(Sheet1!$A3575,Sheet2!$B$5:$H$29,5,FALSE),0)</x:f>
        <x:v>0</x:v>
      </x:c>
      <x:c r="G3575">
        <x:f>ROUND($C3575*10*VLOOKUP($B3575,Sheet2!$J$5:$K$7,2,FALSE)*VLOOKUP(Sheet1!$A3575,Sheet2!$B$5:$H$29,6,FALSE),0)</x:f>
        <x:v>326</x:v>
      </x:c>
      <x:c r="H3575">
        <x:f>ROUND($C3575*10*VLOOKUP($B3575,Sheet2!$J$5:$K$7,2,FALSE)*VLOOKUP(Sheet1!$A3575,Sheet2!$B$5:$H$29,7,FALSE),0)</x:f>
        <x:v>680</x:v>
      </x:c>
      <x:c r="I3575">
        <x:f t="shared" si="59"/>
        <x:v>68280</x:v>
      </x:c>
    </x:row>
    <x:row r="3576" spans="1:9" x14ac:dyDescent="0.15">
      <x:c r="A3576">
        <x:v>54155</x:v>
      </x:c>
      <x:c r="B3576">
        <x:v>3</x:v>
      </x:c>
      <x:c r="C3576">
        <x:v>35</x:v>
      </x:c>
      <x:c r="D3576">
        <x:f>ROUND($C3576*10*VLOOKUP($B3576,Sheet2!$J$5:$K$7,2,FALSE)*VLOOKUP(Sheet1!$A3576,Sheet2!$B$5:$H$29,3,FALSE),0)</x:f>
        <x:v>0</x:v>
      </x:c>
      <x:c r="E3576">
        <x:f>ROUND($C3576*10*VLOOKUP($B3576,Sheet2!$J$5:$K$7,2,FALSE)*VLOOKUP(Sheet1!$A3576,Sheet2!$B$5:$H$29,4,FALSE),0)</x:f>
        <x:v>0</x:v>
      </x:c>
      <x:c r="F3576">
        <x:f>ROUND($C3576*10*VLOOKUP($B3576,Sheet2!$J$5:$K$7,2,FALSE)*VLOOKUP(Sheet1!$A3576,Sheet2!$B$5:$H$29,5,FALSE),0)</x:f>
        <x:v>0</x:v>
      </x:c>
      <x:c r="G3576">
        <x:f>ROUND($C3576*10*VLOOKUP($B3576,Sheet2!$J$5:$K$7,2,FALSE)*VLOOKUP(Sheet1!$A3576,Sheet2!$B$5:$H$29,6,FALSE),0)</x:f>
        <x:v>336</x:v>
      </x:c>
      <x:c r="H3576">
        <x:f>ROUND($C3576*10*VLOOKUP($B3576,Sheet2!$J$5:$K$7,2,FALSE)*VLOOKUP(Sheet1!$A3576,Sheet2!$B$5:$H$29,7,FALSE),0)</x:f>
        <x:v>700</x:v>
      </x:c>
      <x:c r="I3576">
        <x:f t="shared" si="59"/>
        <x:v>72040</x:v>
      </x:c>
    </x:row>
    <x:row r="3577" spans="1:9" x14ac:dyDescent="0.15">
      <x:c r="A3577">
        <x:v>54155</x:v>
      </x:c>
      <x:c r="B3577">
        <x:v>3</x:v>
      </x:c>
      <x:c r="C3577">
        <x:v>36</x:v>
      </x:c>
      <x:c r="D3577">
        <x:f>ROUND($C3577*10*VLOOKUP($B3577,Sheet2!$J$5:$K$7,2,FALSE)*VLOOKUP(Sheet1!$A3577,Sheet2!$B$5:$H$29,3,FALSE),0)</x:f>
        <x:v>0</x:v>
      </x:c>
      <x:c r="E3577">
        <x:f>ROUND($C3577*10*VLOOKUP($B3577,Sheet2!$J$5:$K$7,2,FALSE)*VLOOKUP(Sheet1!$A3577,Sheet2!$B$5:$H$29,4,FALSE),0)</x:f>
        <x:v>0</x:v>
      </x:c>
      <x:c r="F3577">
        <x:f>ROUND($C3577*10*VLOOKUP($B3577,Sheet2!$J$5:$K$7,2,FALSE)*VLOOKUP(Sheet1!$A3577,Sheet2!$B$5:$H$29,5,FALSE),0)</x:f>
        <x:v>0</x:v>
      </x:c>
      <x:c r="G3577">
        <x:f>ROUND($C3577*10*VLOOKUP($B3577,Sheet2!$J$5:$K$7,2,FALSE)*VLOOKUP(Sheet1!$A3577,Sheet2!$B$5:$H$29,6,FALSE),0)</x:f>
        <x:v>346</x:v>
      </x:c>
      <x:c r="H3577">
        <x:f>ROUND($C3577*10*VLOOKUP($B3577,Sheet2!$J$5:$K$7,2,FALSE)*VLOOKUP(Sheet1!$A3577,Sheet2!$B$5:$H$29,7,FALSE),0)</x:f>
        <x:v>720</x:v>
      </x:c>
      <x:c r="I3577">
        <x:f t="shared" si="59"/>
        <x:v>75890</x:v>
      </x:c>
    </x:row>
    <x:row r="3578" spans="1:9" x14ac:dyDescent="0.15">
      <x:c r="A3578">
        <x:v>54155</x:v>
      </x:c>
      <x:c r="B3578">
        <x:v>3</x:v>
      </x:c>
      <x:c r="C3578">
        <x:v>37</x:v>
      </x:c>
      <x:c r="D3578">
        <x:f>ROUND($C3578*10*VLOOKUP($B3578,Sheet2!$J$5:$K$7,2,FALSE)*VLOOKUP(Sheet1!$A3578,Sheet2!$B$5:$H$29,3,FALSE),0)</x:f>
        <x:v>0</x:v>
      </x:c>
      <x:c r="E3578">
        <x:f>ROUND($C3578*10*VLOOKUP($B3578,Sheet2!$J$5:$K$7,2,FALSE)*VLOOKUP(Sheet1!$A3578,Sheet2!$B$5:$H$29,4,FALSE),0)</x:f>
        <x:v>0</x:v>
      </x:c>
      <x:c r="F3578">
        <x:f>ROUND($C3578*10*VLOOKUP($B3578,Sheet2!$J$5:$K$7,2,FALSE)*VLOOKUP(Sheet1!$A3578,Sheet2!$B$5:$H$29,5,FALSE),0)</x:f>
        <x:v>0</x:v>
      </x:c>
      <x:c r="G3578">
        <x:f>ROUND($C3578*10*VLOOKUP($B3578,Sheet2!$J$5:$K$7,2,FALSE)*VLOOKUP(Sheet1!$A3578,Sheet2!$B$5:$H$29,6,FALSE),0)</x:f>
        <x:v>355</x:v>
      </x:c>
      <x:c r="H3578">
        <x:f>ROUND($C3578*10*VLOOKUP($B3578,Sheet2!$J$5:$K$7,2,FALSE)*VLOOKUP(Sheet1!$A3578,Sheet2!$B$5:$H$29,7,FALSE),0)</x:f>
        <x:v>740</x:v>
      </x:c>
      <x:c r="I3578">
        <x:f t="shared" si="59"/>
        <x:v>79840</x:v>
      </x:c>
    </x:row>
    <x:row r="3579" spans="1:9" x14ac:dyDescent="0.15">
      <x:c r="A3579">
        <x:v>54155</x:v>
      </x:c>
      <x:c r="B3579">
        <x:v>3</x:v>
      </x:c>
      <x:c r="C3579">
        <x:v>38</x:v>
      </x:c>
      <x:c r="D3579">
        <x:f>ROUND($C3579*10*VLOOKUP($B3579,Sheet2!$J$5:$K$7,2,FALSE)*VLOOKUP(Sheet1!$A3579,Sheet2!$B$5:$H$29,3,FALSE),0)</x:f>
        <x:v>0</x:v>
      </x:c>
      <x:c r="E3579">
        <x:f>ROUND($C3579*10*VLOOKUP($B3579,Sheet2!$J$5:$K$7,2,FALSE)*VLOOKUP(Sheet1!$A3579,Sheet2!$B$5:$H$29,4,FALSE),0)</x:f>
        <x:v>0</x:v>
      </x:c>
      <x:c r="F3579">
        <x:f>ROUND($C3579*10*VLOOKUP($B3579,Sheet2!$J$5:$K$7,2,FALSE)*VLOOKUP(Sheet1!$A3579,Sheet2!$B$5:$H$29,5,FALSE),0)</x:f>
        <x:v>0</x:v>
      </x:c>
      <x:c r="G3579">
        <x:f>ROUND($C3579*10*VLOOKUP($B3579,Sheet2!$J$5:$K$7,2,FALSE)*VLOOKUP(Sheet1!$A3579,Sheet2!$B$5:$H$29,6,FALSE),0)</x:f>
        <x:v>365</x:v>
      </x:c>
      <x:c r="H3579">
        <x:f>ROUND($C3579*10*VLOOKUP($B3579,Sheet2!$J$5:$K$7,2,FALSE)*VLOOKUP(Sheet1!$A3579,Sheet2!$B$5:$H$29,7,FALSE),0)</x:f>
        <x:v>760</x:v>
      </x:c>
      <x:c r="I3579">
        <x:f t="shared" si="59"/>
        <x:v>83870</x:v>
      </x:c>
    </x:row>
    <x:row r="3580" spans="1:9" x14ac:dyDescent="0.15">
      <x:c r="A3580">
        <x:v>54155</x:v>
      </x:c>
      <x:c r="B3580">
        <x:v>3</x:v>
      </x:c>
      <x:c r="C3580">
        <x:v>39</x:v>
      </x:c>
      <x:c r="D3580">
        <x:f>ROUND($C3580*10*VLOOKUP($B3580,Sheet2!$J$5:$K$7,2,FALSE)*VLOOKUP(Sheet1!$A3580,Sheet2!$B$5:$H$29,3,FALSE),0)</x:f>
        <x:v>0</x:v>
      </x:c>
      <x:c r="E3580">
        <x:f>ROUND($C3580*10*VLOOKUP($B3580,Sheet2!$J$5:$K$7,2,FALSE)*VLOOKUP(Sheet1!$A3580,Sheet2!$B$5:$H$29,4,FALSE),0)</x:f>
        <x:v>0</x:v>
      </x:c>
      <x:c r="F3580">
        <x:f>ROUND($C3580*10*VLOOKUP($B3580,Sheet2!$J$5:$K$7,2,FALSE)*VLOOKUP(Sheet1!$A3580,Sheet2!$B$5:$H$29,5,FALSE),0)</x:f>
        <x:v>0</x:v>
      </x:c>
      <x:c r="G3580">
        <x:f>ROUND($C3580*10*VLOOKUP($B3580,Sheet2!$J$5:$K$7,2,FALSE)*VLOOKUP(Sheet1!$A3580,Sheet2!$B$5:$H$29,6,FALSE),0)</x:f>
        <x:v>374</x:v>
      </x:c>
      <x:c r="H3580">
        <x:f>ROUND($C3580*10*VLOOKUP($B3580,Sheet2!$J$5:$K$7,2,FALSE)*VLOOKUP(Sheet1!$A3580,Sheet2!$B$5:$H$29,7,FALSE),0)</x:f>
        <x:v>780</x:v>
      </x:c>
      <x:c r="I3580">
        <x:f t="shared" si="59"/>
        <x:v>87990</x:v>
      </x:c>
    </x:row>
    <x:row r="3581" spans="1:9" x14ac:dyDescent="0.15">
      <x:c r="A3581">
        <x:v>54155</x:v>
      </x:c>
      <x:c r="B3581">
        <x:v>3</x:v>
      </x:c>
      <x:c r="C3581">
        <x:v>40</x:v>
      </x:c>
      <x:c r="D3581">
        <x:f>ROUND($C3581*10*VLOOKUP($B3581,Sheet2!$J$5:$K$7,2,FALSE)*VLOOKUP(Sheet1!$A3581,Sheet2!$B$5:$H$29,3,FALSE),0)</x:f>
        <x:v>0</x:v>
      </x:c>
      <x:c r="E3581">
        <x:f>ROUND($C3581*10*VLOOKUP($B3581,Sheet2!$J$5:$K$7,2,FALSE)*VLOOKUP(Sheet1!$A3581,Sheet2!$B$5:$H$29,4,FALSE),0)</x:f>
        <x:v>0</x:v>
      </x:c>
      <x:c r="F3581">
        <x:f>ROUND($C3581*10*VLOOKUP($B3581,Sheet2!$J$5:$K$7,2,FALSE)*VLOOKUP(Sheet1!$A3581,Sheet2!$B$5:$H$29,5,FALSE),0)</x:f>
        <x:v>0</x:v>
      </x:c>
      <x:c r="G3581">
        <x:f>ROUND($C3581*10*VLOOKUP($B3581,Sheet2!$J$5:$K$7,2,FALSE)*VLOOKUP(Sheet1!$A3581,Sheet2!$B$5:$H$29,6,FALSE),0)</x:f>
        <x:v>384</x:v>
      </x:c>
      <x:c r="H3581">
        <x:f>ROUND($C3581*10*VLOOKUP($B3581,Sheet2!$J$5:$K$7,2,FALSE)*VLOOKUP(Sheet1!$A3581,Sheet2!$B$5:$H$29,7,FALSE),0)</x:f>
        <x:v>800</x:v>
      </x:c>
      <x:c r="I3581">
        <x:f t="shared" si="59"/>
        <x:v>92200</x:v>
      </x:c>
    </x:row>
    <x:row r="3582" spans="1:9" x14ac:dyDescent="0.15">
      <x:c r="A3582">
        <x:v>54155</x:v>
      </x:c>
      <x:c r="B3582">
        <x:v>3</x:v>
      </x:c>
      <x:c r="C3582">
        <x:v>41</x:v>
      </x:c>
      <x:c r="D3582">
        <x:f>ROUND($C3582*10*VLOOKUP($B3582,Sheet2!$J$5:$K$7,2,FALSE)*VLOOKUP(Sheet1!$A3582,Sheet2!$B$5:$H$29,3,FALSE),0)</x:f>
        <x:v>0</x:v>
      </x:c>
      <x:c r="E3582">
        <x:f>ROUND($C3582*10*VLOOKUP($B3582,Sheet2!$J$5:$K$7,2,FALSE)*VLOOKUP(Sheet1!$A3582,Sheet2!$B$5:$H$29,4,FALSE),0)</x:f>
        <x:v>0</x:v>
      </x:c>
      <x:c r="F3582">
        <x:f>ROUND($C3582*10*VLOOKUP($B3582,Sheet2!$J$5:$K$7,2,FALSE)*VLOOKUP(Sheet1!$A3582,Sheet2!$B$5:$H$29,5,FALSE),0)</x:f>
        <x:v>0</x:v>
      </x:c>
      <x:c r="G3582">
        <x:f>ROUND($C3582*10*VLOOKUP($B3582,Sheet2!$J$5:$K$7,2,FALSE)*VLOOKUP(Sheet1!$A3582,Sheet2!$B$5:$H$29,6,FALSE),0)</x:f>
        <x:v>394</x:v>
      </x:c>
      <x:c r="H3582">
        <x:f>ROUND($C3582*10*VLOOKUP($B3582,Sheet2!$J$5:$K$7,2,FALSE)*VLOOKUP(Sheet1!$A3582,Sheet2!$B$5:$H$29,7,FALSE),0)</x:f>
        <x:v>820</x:v>
      </x:c>
      <x:c r="I3582">
        <x:f t="shared" si="59"/>
        <x:v>96490</x:v>
      </x:c>
    </x:row>
    <x:row r="3583" spans="1:9" x14ac:dyDescent="0.15">
      <x:c r="A3583">
        <x:v>54155</x:v>
      </x:c>
      <x:c r="B3583">
        <x:v>3</x:v>
      </x:c>
      <x:c r="C3583">
        <x:v>42</x:v>
      </x:c>
      <x:c r="D3583">
        <x:f>ROUND($C3583*10*VLOOKUP($B3583,Sheet2!$J$5:$K$7,2,FALSE)*VLOOKUP(Sheet1!$A3583,Sheet2!$B$5:$H$29,3,FALSE),0)</x:f>
        <x:v>0</x:v>
      </x:c>
      <x:c r="E3583">
        <x:f>ROUND($C3583*10*VLOOKUP($B3583,Sheet2!$J$5:$K$7,2,FALSE)*VLOOKUP(Sheet1!$A3583,Sheet2!$B$5:$H$29,4,FALSE),0)</x:f>
        <x:v>0</x:v>
      </x:c>
      <x:c r="F3583">
        <x:f>ROUND($C3583*10*VLOOKUP($B3583,Sheet2!$J$5:$K$7,2,FALSE)*VLOOKUP(Sheet1!$A3583,Sheet2!$B$5:$H$29,5,FALSE),0)</x:f>
        <x:v>0</x:v>
      </x:c>
      <x:c r="G3583">
        <x:f>ROUND($C3583*10*VLOOKUP($B3583,Sheet2!$J$5:$K$7,2,FALSE)*VLOOKUP(Sheet1!$A3583,Sheet2!$B$5:$H$29,6,FALSE),0)</x:f>
        <x:v>403</x:v>
      </x:c>
      <x:c r="H3583">
        <x:f>ROUND($C3583*10*VLOOKUP($B3583,Sheet2!$J$5:$K$7,2,FALSE)*VLOOKUP(Sheet1!$A3583,Sheet2!$B$5:$H$29,7,FALSE),0)</x:f>
        <x:v>840</x:v>
      </x:c>
      <x:c r="I3583">
        <x:f t="shared" si="59"/>
        <x:v>100870</x:v>
      </x:c>
    </x:row>
    <x:row r="3584" spans="1:9" x14ac:dyDescent="0.15">
      <x:c r="A3584">
        <x:v>54155</x:v>
      </x:c>
      <x:c r="B3584">
        <x:v>3</x:v>
      </x:c>
      <x:c r="C3584">
        <x:v>43</x:v>
      </x:c>
      <x:c r="D3584">
        <x:f>ROUND($C3584*10*VLOOKUP($B3584,Sheet2!$J$5:$K$7,2,FALSE)*VLOOKUP(Sheet1!$A3584,Sheet2!$B$5:$H$29,3,FALSE),0)</x:f>
        <x:v>0</x:v>
      </x:c>
      <x:c r="E3584">
        <x:f>ROUND($C3584*10*VLOOKUP($B3584,Sheet2!$J$5:$K$7,2,FALSE)*VLOOKUP(Sheet1!$A3584,Sheet2!$B$5:$H$29,4,FALSE),0)</x:f>
        <x:v>0</x:v>
      </x:c>
      <x:c r="F3584">
        <x:f>ROUND($C3584*10*VLOOKUP($B3584,Sheet2!$J$5:$K$7,2,FALSE)*VLOOKUP(Sheet1!$A3584,Sheet2!$B$5:$H$29,5,FALSE),0)</x:f>
        <x:v>0</x:v>
      </x:c>
      <x:c r="G3584">
        <x:f>ROUND($C3584*10*VLOOKUP($B3584,Sheet2!$J$5:$K$7,2,FALSE)*VLOOKUP(Sheet1!$A3584,Sheet2!$B$5:$H$29,6,FALSE),0)</x:f>
        <x:v>413</x:v>
      </x:c>
      <x:c r="H3584">
        <x:f>ROUND($C3584*10*VLOOKUP($B3584,Sheet2!$J$5:$K$7,2,FALSE)*VLOOKUP(Sheet1!$A3584,Sheet2!$B$5:$H$29,7,FALSE),0)</x:f>
        <x:v>860</x:v>
      </x:c>
      <x:c r="I3584">
        <x:f t="shared" si="59"/>
        <x:v>105340</x:v>
      </x:c>
    </x:row>
    <x:row r="3585" spans="1:9" x14ac:dyDescent="0.15">
      <x:c r="A3585">
        <x:v>54155</x:v>
      </x:c>
      <x:c r="B3585">
        <x:v>3</x:v>
      </x:c>
      <x:c r="C3585">
        <x:v>44</x:v>
      </x:c>
      <x:c r="D3585">
        <x:f>ROUND($C3585*10*VLOOKUP($B3585,Sheet2!$J$5:$K$7,2,FALSE)*VLOOKUP(Sheet1!$A3585,Sheet2!$B$5:$H$29,3,FALSE),0)</x:f>
        <x:v>0</x:v>
      </x:c>
      <x:c r="E3585">
        <x:f>ROUND($C3585*10*VLOOKUP($B3585,Sheet2!$J$5:$K$7,2,FALSE)*VLOOKUP(Sheet1!$A3585,Sheet2!$B$5:$H$29,4,FALSE),0)</x:f>
        <x:v>0</x:v>
      </x:c>
      <x:c r="F3585">
        <x:f>ROUND($C3585*10*VLOOKUP($B3585,Sheet2!$J$5:$K$7,2,FALSE)*VLOOKUP(Sheet1!$A3585,Sheet2!$B$5:$H$29,5,FALSE),0)</x:f>
        <x:v>0</x:v>
      </x:c>
      <x:c r="G3585">
        <x:f>ROUND($C3585*10*VLOOKUP($B3585,Sheet2!$J$5:$K$7,2,FALSE)*VLOOKUP(Sheet1!$A3585,Sheet2!$B$5:$H$29,6,FALSE),0)</x:f>
        <x:v>422</x:v>
      </x:c>
      <x:c r="H3585">
        <x:f>ROUND($C3585*10*VLOOKUP($B3585,Sheet2!$J$5:$K$7,2,FALSE)*VLOOKUP(Sheet1!$A3585,Sheet2!$B$5:$H$29,7,FALSE),0)</x:f>
        <x:v>880</x:v>
      </x:c>
      <x:c r="I3585">
        <x:f t="shared" si="59"/>
        <x:v>109890</x:v>
      </x:c>
    </x:row>
    <x:row r="3586" spans="1:9" x14ac:dyDescent="0.15">
      <x:c r="A3586">
        <x:v>54155</x:v>
      </x:c>
      <x:c r="B3586">
        <x:v>3</x:v>
      </x:c>
      <x:c r="C3586">
        <x:v>45</x:v>
      </x:c>
      <x:c r="D3586">
        <x:f>ROUND($C3586*10*VLOOKUP($B3586,Sheet2!$J$5:$K$7,2,FALSE)*VLOOKUP(Sheet1!$A3586,Sheet2!$B$5:$H$29,3,FALSE),0)</x:f>
        <x:v>0</x:v>
      </x:c>
      <x:c r="E3586">
        <x:f>ROUND($C3586*10*VLOOKUP($B3586,Sheet2!$J$5:$K$7,2,FALSE)*VLOOKUP(Sheet1!$A3586,Sheet2!$B$5:$H$29,4,FALSE),0)</x:f>
        <x:v>0</x:v>
      </x:c>
      <x:c r="F3586">
        <x:f>ROUND($C3586*10*VLOOKUP($B3586,Sheet2!$J$5:$K$7,2,FALSE)*VLOOKUP(Sheet1!$A3586,Sheet2!$B$5:$H$29,5,FALSE),0)</x:f>
        <x:v>0</x:v>
      </x:c>
      <x:c r="G3586">
        <x:f>ROUND($C3586*10*VLOOKUP($B3586,Sheet2!$J$5:$K$7,2,FALSE)*VLOOKUP(Sheet1!$A3586,Sheet2!$B$5:$H$29,6,FALSE),0)</x:f>
        <x:v>432</x:v>
      </x:c>
      <x:c r="H3586">
        <x:f>ROUND($C3586*10*VLOOKUP($B3586,Sheet2!$J$5:$K$7,2,FALSE)*VLOOKUP(Sheet1!$A3586,Sheet2!$B$5:$H$29,7,FALSE),0)</x:f>
        <x:v>900</x:v>
      </x:c>
      <x:c r="I3586">
        <x:f t="shared" si="59"/>
        <x:v>114530</x:v>
      </x:c>
    </x:row>
    <x:row r="3587" spans="1:9" x14ac:dyDescent="0.15">
      <x:c r="A3587">
        <x:v>54155</x:v>
      </x:c>
      <x:c r="B3587">
        <x:v>3</x:v>
      </x:c>
      <x:c r="C3587">
        <x:v>46</x:v>
      </x:c>
      <x:c r="D3587">
        <x:f>ROUND($C3587*10*VLOOKUP($B3587,Sheet2!$J$5:$K$7,2,FALSE)*VLOOKUP(Sheet1!$A3587,Sheet2!$B$5:$H$29,3,FALSE),0)</x:f>
        <x:v>0</x:v>
      </x:c>
      <x:c r="E3587">
        <x:f>ROUND($C3587*10*VLOOKUP($B3587,Sheet2!$J$5:$K$7,2,FALSE)*VLOOKUP(Sheet1!$A3587,Sheet2!$B$5:$H$29,4,FALSE),0)</x:f>
        <x:v>0</x:v>
      </x:c>
      <x:c r="F3587">
        <x:f>ROUND($C3587*10*VLOOKUP($B3587,Sheet2!$J$5:$K$7,2,FALSE)*VLOOKUP(Sheet1!$A3587,Sheet2!$B$5:$H$29,5,FALSE),0)</x:f>
        <x:v>0</x:v>
      </x:c>
      <x:c r="G3587">
        <x:f>ROUND($C3587*10*VLOOKUP($B3587,Sheet2!$J$5:$K$7,2,FALSE)*VLOOKUP(Sheet1!$A3587,Sheet2!$B$5:$H$29,6,FALSE),0)</x:f>
        <x:v>442</x:v>
      </x:c>
      <x:c r="H3587">
        <x:f>ROUND($C3587*10*VLOOKUP($B3587,Sheet2!$J$5:$K$7,2,FALSE)*VLOOKUP(Sheet1!$A3587,Sheet2!$B$5:$H$29,7,FALSE),0)</x:f>
        <x:v>920</x:v>
      </x:c>
      <x:c r="I3587">
        <x:f t="shared" si="59"/>
        <x:v>119260</x:v>
      </x:c>
    </x:row>
    <x:row r="3588" spans="1:9" x14ac:dyDescent="0.15">
      <x:c r="A3588">
        <x:v>54155</x:v>
      </x:c>
      <x:c r="B3588">
        <x:v>3</x:v>
      </x:c>
      <x:c r="C3588">
        <x:v>47</x:v>
      </x:c>
      <x:c r="D3588">
        <x:f>ROUND($C3588*10*VLOOKUP($B3588,Sheet2!$J$5:$K$7,2,FALSE)*VLOOKUP(Sheet1!$A3588,Sheet2!$B$5:$H$29,3,FALSE),0)</x:f>
        <x:v>0</x:v>
      </x:c>
      <x:c r="E3588">
        <x:f>ROUND($C3588*10*VLOOKUP($B3588,Sheet2!$J$5:$K$7,2,FALSE)*VLOOKUP(Sheet1!$A3588,Sheet2!$B$5:$H$29,4,FALSE),0)</x:f>
        <x:v>0</x:v>
      </x:c>
      <x:c r="F3588">
        <x:f>ROUND($C3588*10*VLOOKUP($B3588,Sheet2!$J$5:$K$7,2,FALSE)*VLOOKUP(Sheet1!$A3588,Sheet2!$B$5:$H$29,5,FALSE),0)</x:f>
        <x:v>0</x:v>
      </x:c>
      <x:c r="G3588">
        <x:f>ROUND($C3588*10*VLOOKUP($B3588,Sheet2!$J$5:$K$7,2,FALSE)*VLOOKUP(Sheet1!$A3588,Sheet2!$B$5:$H$29,6,FALSE),0)</x:f>
        <x:v>451</x:v>
      </x:c>
      <x:c r="H3588">
        <x:f>ROUND($C3588*10*VLOOKUP($B3588,Sheet2!$J$5:$K$7,2,FALSE)*VLOOKUP(Sheet1!$A3588,Sheet2!$B$5:$H$29,7,FALSE),0)</x:f>
        <x:v>940</x:v>
      </x:c>
      <x:c r="I3588">
        <x:f t="shared" si="59"/>
        <x:v>124070</x:v>
      </x:c>
    </x:row>
    <x:row r="3589" spans="1:9" x14ac:dyDescent="0.15">
      <x:c r="A3589">
        <x:v>54155</x:v>
      </x:c>
      <x:c r="B3589">
        <x:v>3</x:v>
      </x:c>
      <x:c r="C3589">
        <x:v>48</x:v>
      </x:c>
      <x:c r="D3589">
        <x:f>ROUND($C3589*10*VLOOKUP($B3589,Sheet2!$J$5:$K$7,2,FALSE)*VLOOKUP(Sheet1!$A3589,Sheet2!$B$5:$H$29,3,FALSE),0)</x:f>
        <x:v>0</x:v>
      </x:c>
      <x:c r="E3589">
        <x:f>ROUND($C3589*10*VLOOKUP($B3589,Sheet2!$J$5:$K$7,2,FALSE)*VLOOKUP(Sheet1!$A3589,Sheet2!$B$5:$H$29,4,FALSE),0)</x:f>
        <x:v>0</x:v>
      </x:c>
      <x:c r="F3589">
        <x:f>ROUND($C3589*10*VLOOKUP($B3589,Sheet2!$J$5:$K$7,2,FALSE)*VLOOKUP(Sheet1!$A3589,Sheet2!$B$5:$H$29,5,FALSE),0)</x:f>
        <x:v>0</x:v>
      </x:c>
      <x:c r="G3589">
        <x:f>ROUND($C3589*10*VLOOKUP($B3589,Sheet2!$J$5:$K$7,2,FALSE)*VLOOKUP(Sheet1!$A3589,Sheet2!$B$5:$H$29,6,FALSE),0)</x:f>
        <x:v>461</x:v>
      </x:c>
      <x:c r="H3589">
        <x:f>ROUND($C3589*10*VLOOKUP($B3589,Sheet2!$J$5:$K$7,2,FALSE)*VLOOKUP(Sheet1!$A3589,Sheet2!$B$5:$H$29,7,FALSE),0)</x:f>
        <x:v>960</x:v>
      </x:c>
      <x:c r="I3589">
        <x:f t="shared" si="59"/>
        <x:v>128960</x:v>
      </x:c>
    </x:row>
    <x:row r="3590" spans="1:9" x14ac:dyDescent="0.15">
      <x:c r="A3590">
        <x:v>54155</x:v>
      </x:c>
      <x:c r="B3590">
        <x:v>3</x:v>
      </x:c>
      <x:c r="C3590">
        <x:v>49</x:v>
      </x:c>
      <x:c r="D3590">
        <x:f>ROUND($C3590*10*VLOOKUP($B3590,Sheet2!$J$5:$K$7,2,FALSE)*VLOOKUP(Sheet1!$A3590,Sheet2!$B$5:$H$29,3,FALSE),0)</x:f>
        <x:v>0</x:v>
      </x:c>
      <x:c r="E3590">
        <x:f>ROUND($C3590*10*VLOOKUP($B3590,Sheet2!$J$5:$K$7,2,FALSE)*VLOOKUP(Sheet1!$A3590,Sheet2!$B$5:$H$29,4,FALSE),0)</x:f>
        <x:v>0</x:v>
      </x:c>
      <x:c r="F3590">
        <x:f>ROUND($C3590*10*VLOOKUP($B3590,Sheet2!$J$5:$K$7,2,FALSE)*VLOOKUP(Sheet1!$A3590,Sheet2!$B$5:$H$29,5,FALSE),0)</x:f>
        <x:v>0</x:v>
      </x:c>
      <x:c r="G3590">
        <x:f>ROUND($C3590*10*VLOOKUP($B3590,Sheet2!$J$5:$K$7,2,FALSE)*VLOOKUP(Sheet1!$A3590,Sheet2!$B$5:$H$29,6,FALSE),0)</x:f>
        <x:v>470</x:v>
      </x:c>
      <x:c r="H3590">
        <x:f>ROUND($C3590*10*VLOOKUP($B3590,Sheet2!$J$5:$K$7,2,FALSE)*VLOOKUP(Sheet1!$A3590,Sheet2!$B$5:$H$29,7,FALSE),0)</x:f>
        <x:v>980</x:v>
      </x:c>
      <x:c r="I3590">
        <x:f t="shared" si="59"/>
        <x:v>133940</x:v>
      </x:c>
    </x:row>
    <x:row r="3591" spans="1:9" x14ac:dyDescent="0.15">
      <x:c r="A3591">
        <x:v>54155</x:v>
      </x:c>
      <x:c r="B3591">
        <x:v>3</x:v>
      </x:c>
      <x:c r="C3591">
        <x:v>50</x:v>
      </x:c>
      <x:c r="D3591">
        <x:f>ROUND($C3591*10*VLOOKUP($B3591,Sheet2!$J$5:$K$7,2,FALSE)*VLOOKUP(Sheet1!$A3591,Sheet2!$B$5:$H$29,3,FALSE),0)</x:f>
        <x:v>0</x:v>
      </x:c>
      <x:c r="E3591">
        <x:f>ROUND($C3591*10*VLOOKUP($B3591,Sheet2!$J$5:$K$7,2,FALSE)*VLOOKUP(Sheet1!$A3591,Sheet2!$B$5:$H$29,4,FALSE),0)</x:f>
        <x:v>0</x:v>
      </x:c>
      <x:c r="F3591">
        <x:f>ROUND($C3591*10*VLOOKUP($B3591,Sheet2!$J$5:$K$7,2,FALSE)*VLOOKUP(Sheet1!$A3591,Sheet2!$B$5:$H$29,5,FALSE),0)</x:f>
        <x:v>0</x:v>
      </x:c>
      <x:c r="G3591">
        <x:f>ROUND($C3591*10*VLOOKUP($B3591,Sheet2!$J$5:$K$7,2,FALSE)*VLOOKUP(Sheet1!$A3591,Sheet2!$B$5:$H$29,6,FALSE),0)</x:f>
        <x:v>480</x:v>
      </x:c>
      <x:c r="H3591">
        <x:f>ROUND($C3591*10*VLOOKUP($B3591,Sheet2!$J$5:$K$7,2,FALSE)*VLOOKUP(Sheet1!$A3591,Sheet2!$B$5:$H$29,7,FALSE),0)</x:f>
        <x:v>1000</x:v>
      </x:c>
      <x:c r="I3591">
        <x:f t="shared" si="59"/>
        <x:v>139000</x:v>
      </x:c>
    </x:row>
    <x:row r="3592" spans="1:9" x14ac:dyDescent="0.15">
      <x:c r="A3592">
        <x:v>54155</x:v>
      </x:c>
      <x:c r="B3592">
        <x:v>3</x:v>
      </x:c>
      <x:c r="C3592">
        <x:v>51</x:v>
      </x:c>
      <x:c r="D3592">
        <x:f>ROUND($C3592*10*VLOOKUP($B3592,Sheet2!$J$5:$K$7,2,FALSE)*VLOOKUP(Sheet1!$A3592,Sheet2!$B$5:$H$29,3,FALSE),0)</x:f>
        <x:v>0</x:v>
      </x:c>
      <x:c r="E3592">
        <x:f>ROUND($C3592*10*VLOOKUP($B3592,Sheet2!$J$5:$K$7,2,FALSE)*VLOOKUP(Sheet1!$A3592,Sheet2!$B$5:$H$29,4,FALSE),0)</x:f>
        <x:v>0</x:v>
      </x:c>
      <x:c r="F3592">
        <x:f>ROUND($C3592*10*VLOOKUP($B3592,Sheet2!$J$5:$K$7,2,FALSE)*VLOOKUP(Sheet1!$A3592,Sheet2!$B$5:$H$29,5,FALSE),0)</x:f>
        <x:v>0</x:v>
      </x:c>
      <x:c r="G3592">
        <x:f>ROUND($C3592*10*VLOOKUP($B3592,Sheet2!$J$5:$K$7,2,FALSE)*VLOOKUP(Sheet1!$A3592,Sheet2!$B$5:$H$29,6,FALSE),0)</x:f>
        <x:v>490</x:v>
      </x:c>
      <x:c r="H3592">
        <x:f>ROUND($C3592*10*VLOOKUP($B3592,Sheet2!$J$5:$K$7,2,FALSE)*VLOOKUP(Sheet1!$A3592,Sheet2!$B$5:$H$29,7,FALSE),0)</x:f>
        <x:v>1020</x:v>
      </x:c>
      <x:c r="I3592">
        <x:f t="shared" si="59"/>
        <x:v>144140</x:v>
      </x:c>
    </x:row>
    <x:row r="3593" spans="1:9" x14ac:dyDescent="0.15">
      <x:c r="A3593">
        <x:v>54155</x:v>
      </x:c>
      <x:c r="B3593">
        <x:v>3</x:v>
      </x:c>
      <x:c r="C3593">
        <x:v>52</x:v>
      </x:c>
      <x:c r="D3593">
        <x:f>ROUND($C3593*10*VLOOKUP($B3593,Sheet2!$J$5:$K$7,2,FALSE)*VLOOKUP(Sheet1!$A3593,Sheet2!$B$5:$H$29,3,FALSE),0)</x:f>
        <x:v>0</x:v>
      </x:c>
      <x:c r="E3593">
        <x:f>ROUND($C3593*10*VLOOKUP($B3593,Sheet2!$J$5:$K$7,2,FALSE)*VLOOKUP(Sheet1!$A3593,Sheet2!$B$5:$H$29,4,FALSE),0)</x:f>
        <x:v>0</x:v>
      </x:c>
      <x:c r="F3593">
        <x:f>ROUND($C3593*10*VLOOKUP($B3593,Sheet2!$J$5:$K$7,2,FALSE)*VLOOKUP(Sheet1!$A3593,Sheet2!$B$5:$H$29,5,FALSE),0)</x:f>
        <x:v>0</x:v>
      </x:c>
      <x:c r="G3593">
        <x:f>ROUND($C3593*10*VLOOKUP($B3593,Sheet2!$J$5:$K$7,2,FALSE)*VLOOKUP(Sheet1!$A3593,Sheet2!$B$5:$H$29,6,FALSE),0)</x:f>
        <x:v>499</x:v>
      </x:c>
      <x:c r="H3593">
        <x:f>ROUND($C3593*10*VLOOKUP($B3593,Sheet2!$J$5:$K$7,2,FALSE)*VLOOKUP(Sheet1!$A3593,Sheet2!$B$5:$H$29,7,FALSE),0)</x:f>
        <x:v>1040</x:v>
      </x:c>
      <x:c r="I3593">
        <x:f t="shared" si="59"/>
        <x:v>149370</x:v>
      </x:c>
    </x:row>
    <x:row r="3594" spans="1:9" x14ac:dyDescent="0.15">
      <x:c r="A3594">
        <x:v>54155</x:v>
      </x:c>
      <x:c r="B3594">
        <x:v>3</x:v>
      </x:c>
      <x:c r="C3594">
        <x:v>53</x:v>
      </x:c>
      <x:c r="D3594">
        <x:f>ROUND($C3594*10*VLOOKUP($B3594,Sheet2!$J$5:$K$7,2,FALSE)*VLOOKUP(Sheet1!$A3594,Sheet2!$B$5:$H$29,3,FALSE),0)</x:f>
        <x:v>0</x:v>
      </x:c>
      <x:c r="E3594">
        <x:f>ROUND($C3594*10*VLOOKUP($B3594,Sheet2!$J$5:$K$7,2,FALSE)*VLOOKUP(Sheet1!$A3594,Sheet2!$B$5:$H$29,4,FALSE),0)</x:f>
        <x:v>0</x:v>
      </x:c>
      <x:c r="F3594">
        <x:f>ROUND($C3594*10*VLOOKUP($B3594,Sheet2!$J$5:$K$7,2,FALSE)*VLOOKUP(Sheet1!$A3594,Sheet2!$B$5:$H$29,5,FALSE),0)</x:f>
        <x:v>0</x:v>
      </x:c>
      <x:c r="G3594">
        <x:f>ROUND($C3594*10*VLOOKUP($B3594,Sheet2!$J$5:$K$7,2,FALSE)*VLOOKUP(Sheet1!$A3594,Sheet2!$B$5:$H$29,6,FALSE),0)</x:f>
        <x:v>509</x:v>
      </x:c>
      <x:c r="H3594">
        <x:f>ROUND($C3594*10*VLOOKUP($B3594,Sheet2!$J$5:$K$7,2,FALSE)*VLOOKUP(Sheet1!$A3594,Sheet2!$B$5:$H$29,7,FALSE),0)</x:f>
        <x:v>1060</x:v>
      </x:c>
      <x:c r="I3594">
        <x:f t="shared" si="59"/>
        <x:v>154680</x:v>
      </x:c>
    </x:row>
    <x:row r="3595" spans="1:9" x14ac:dyDescent="0.15">
      <x:c r="A3595">
        <x:v>54155</x:v>
      </x:c>
      <x:c r="B3595">
        <x:v>3</x:v>
      </x:c>
      <x:c r="C3595">
        <x:v>54</x:v>
      </x:c>
      <x:c r="D3595">
        <x:f>ROUND($C3595*10*VLOOKUP($B3595,Sheet2!$J$5:$K$7,2,FALSE)*VLOOKUP(Sheet1!$A3595,Sheet2!$B$5:$H$29,3,FALSE),0)</x:f>
        <x:v>0</x:v>
      </x:c>
      <x:c r="E3595">
        <x:f>ROUND($C3595*10*VLOOKUP($B3595,Sheet2!$J$5:$K$7,2,FALSE)*VLOOKUP(Sheet1!$A3595,Sheet2!$B$5:$H$29,4,FALSE),0)</x:f>
        <x:v>0</x:v>
      </x:c>
      <x:c r="F3595">
        <x:f>ROUND($C3595*10*VLOOKUP($B3595,Sheet2!$J$5:$K$7,2,FALSE)*VLOOKUP(Sheet1!$A3595,Sheet2!$B$5:$H$29,5,FALSE),0)</x:f>
        <x:v>0</x:v>
      </x:c>
      <x:c r="G3595">
        <x:f>ROUND($C3595*10*VLOOKUP($B3595,Sheet2!$J$5:$K$7,2,FALSE)*VLOOKUP(Sheet1!$A3595,Sheet2!$B$5:$H$29,6,FALSE),0)</x:f>
        <x:v>518</x:v>
      </x:c>
      <x:c r="H3595">
        <x:f>ROUND($C3595*10*VLOOKUP($B3595,Sheet2!$J$5:$K$7,2,FALSE)*VLOOKUP(Sheet1!$A3595,Sheet2!$B$5:$H$29,7,FALSE),0)</x:f>
        <x:v>1080</x:v>
      </x:c>
      <x:c r="I3595">
        <x:f t="shared" si="59"/>
        <x:v>160070</x:v>
      </x:c>
    </x:row>
    <x:row r="3596" spans="1:9" x14ac:dyDescent="0.15">
      <x:c r="A3596">
        <x:v>54155</x:v>
      </x:c>
      <x:c r="B3596">
        <x:v>3</x:v>
      </x:c>
      <x:c r="C3596">
        <x:v>55</x:v>
      </x:c>
      <x:c r="D3596">
        <x:f>ROUND($C3596*10*VLOOKUP($B3596,Sheet2!$J$5:$K$7,2,FALSE)*VLOOKUP(Sheet1!$A3596,Sheet2!$B$5:$H$29,3,FALSE),0)</x:f>
        <x:v>0</x:v>
      </x:c>
      <x:c r="E3596">
        <x:f>ROUND($C3596*10*VLOOKUP($B3596,Sheet2!$J$5:$K$7,2,FALSE)*VLOOKUP(Sheet1!$A3596,Sheet2!$B$5:$H$29,4,FALSE),0)</x:f>
        <x:v>0</x:v>
      </x:c>
      <x:c r="F3596">
        <x:f>ROUND($C3596*10*VLOOKUP($B3596,Sheet2!$J$5:$K$7,2,FALSE)*VLOOKUP(Sheet1!$A3596,Sheet2!$B$5:$H$29,5,FALSE),0)</x:f>
        <x:v>0</x:v>
      </x:c>
      <x:c r="G3596">
        <x:f>ROUND($C3596*10*VLOOKUP($B3596,Sheet2!$J$5:$K$7,2,FALSE)*VLOOKUP(Sheet1!$A3596,Sheet2!$B$5:$H$29,6,FALSE),0)</x:f>
        <x:v>528</x:v>
      </x:c>
      <x:c r="H3596">
        <x:f>ROUND($C3596*10*VLOOKUP($B3596,Sheet2!$J$5:$K$7,2,FALSE)*VLOOKUP(Sheet1!$A3596,Sheet2!$B$5:$H$29,7,FALSE),0)</x:f>
        <x:v>1100</x:v>
      </x:c>
      <x:c r="I3596">
        <x:f t="shared" si="59"/>
        <x:v>165540</x:v>
      </x:c>
    </x:row>
    <x:row r="3597" spans="1:9" x14ac:dyDescent="0.15">
      <x:c r="A3597">
        <x:v>54155</x:v>
      </x:c>
      <x:c r="B3597">
        <x:v>3</x:v>
      </x:c>
      <x:c r="C3597">
        <x:v>56</x:v>
      </x:c>
      <x:c r="D3597">
        <x:f>ROUND($C3597*10*VLOOKUP($B3597,Sheet2!$J$5:$K$7,2,FALSE)*VLOOKUP(Sheet1!$A3597,Sheet2!$B$5:$H$29,3,FALSE),0)</x:f>
        <x:v>0</x:v>
      </x:c>
      <x:c r="E3597">
        <x:f>ROUND($C3597*10*VLOOKUP($B3597,Sheet2!$J$5:$K$7,2,FALSE)*VLOOKUP(Sheet1!$A3597,Sheet2!$B$5:$H$29,4,FALSE),0)</x:f>
        <x:v>0</x:v>
      </x:c>
      <x:c r="F3597">
        <x:f>ROUND($C3597*10*VLOOKUP($B3597,Sheet2!$J$5:$K$7,2,FALSE)*VLOOKUP(Sheet1!$A3597,Sheet2!$B$5:$H$29,5,FALSE),0)</x:f>
        <x:v>0</x:v>
      </x:c>
      <x:c r="G3597">
        <x:f>ROUND($C3597*10*VLOOKUP($B3597,Sheet2!$J$5:$K$7,2,FALSE)*VLOOKUP(Sheet1!$A3597,Sheet2!$B$5:$H$29,6,FALSE),0)</x:f>
        <x:v>538</x:v>
      </x:c>
      <x:c r="H3597">
        <x:f>ROUND($C3597*10*VLOOKUP($B3597,Sheet2!$J$5:$K$7,2,FALSE)*VLOOKUP(Sheet1!$A3597,Sheet2!$B$5:$H$29,7,FALSE),0)</x:f>
        <x:v>1120</x:v>
      </x:c>
      <x:c r="I3597">
        <x:f t="shared" si="59"/>
        <x:v>171100</x:v>
      </x:c>
    </x:row>
    <x:row r="3598" spans="1:9" x14ac:dyDescent="0.15">
      <x:c r="A3598">
        <x:v>54155</x:v>
      </x:c>
      <x:c r="B3598">
        <x:v>3</x:v>
      </x:c>
      <x:c r="C3598">
        <x:v>57</x:v>
      </x:c>
      <x:c r="D3598">
        <x:f>ROUND($C3598*10*VLOOKUP($B3598,Sheet2!$J$5:$K$7,2,FALSE)*VLOOKUP(Sheet1!$A3598,Sheet2!$B$5:$H$29,3,FALSE),0)</x:f>
        <x:v>0</x:v>
      </x:c>
      <x:c r="E3598">
        <x:f>ROUND($C3598*10*VLOOKUP($B3598,Sheet2!$J$5:$K$7,2,FALSE)*VLOOKUP(Sheet1!$A3598,Sheet2!$B$5:$H$29,4,FALSE),0)</x:f>
        <x:v>0</x:v>
      </x:c>
      <x:c r="F3598">
        <x:f>ROUND($C3598*10*VLOOKUP($B3598,Sheet2!$J$5:$K$7,2,FALSE)*VLOOKUP(Sheet1!$A3598,Sheet2!$B$5:$H$29,5,FALSE),0)</x:f>
        <x:v>0</x:v>
      </x:c>
      <x:c r="G3598">
        <x:f>ROUND($C3598*10*VLOOKUP($B3598,Sheet2!$J$5:$K$7,2,FALSE)*VLOOKUP(Sheet1!$A3598,Sheet2!$B$5:$H$29,6,FALSE),0)</x:f>
        <x:v>547</x:v>
      </x:c>
      <x:c r="H3598">
        <x:f>ROUND($C3598*10*VLOOKUP($B3598,Sheet2!$J$5:$K$7,2,FALSE)*VLOOKUP(Sheet1!$A3598,Sheet2!$B$5:$H$29,7,FALSE),0)</x:f>
        <x:v>1140</x:v>
      </x:c>
      <x:c r="I3598">
        <x:f t="shared" si="59"/>
        <x:v>176740</x:v>
      </x:c>
    </x:row>
    <x:row r="3599" spans="1:9" x14ac:dyDescent="0.15">
      <x:c r="A3599">
        <x:v>54155</x:v>
      </x:c>
      <x:c r="B3599">
        <x:v>3</x:v>
      </x:c>
      <x:c r="C3599">
        <x:v>58</x:v>
      </x:c>
      <x:c r="D3599">
        <x:f>ROUND($C3599*10*VLOOKUP($B3599,Sheet2!$J$5:$K$7,2,FALSE)*VLOOKUP(Sheet1!$A3599,Sheet2!$B$5:$H$29,3,FALSE),0)</x:f>
        <x:v>0</x:v>
      </x:c>
      <x:c r="E3599">
        <x:f>ROUND($C3599*10*VLOOKUP($B3599,Sheet2!$J$5:$K$7,2,FALSE)*VLOOKUP(Sheet1!$A3599,Sheet2!$B$5:$H$29,4,FALSE),0)</x:f>
        <x:v>0</x:v>
      </x:c>
      <x:c r="F3599">
        <x:f>ROUND($C3599*10*VLOOKUP($B3599,Sheet2!$J$5:$K$7,2,FALSE)*VLOOKUP(Sheet1!$A3599,Sheet2!$B$5:$H$29,5,FALSE),0)</x:f>
        <x:v>0</x:v>
      </x:c>
      <x:c r="G3599">
        <x:f>ROUND($C3599*10*VLOOKUP($B3599,Sheet2!$J$5:$K$7,2,FALSE)*VLOOKUP(Sheet1!$A3599,Sheet2!$B$5:$H$29,6,FALSE),0)</x:f>
        <x:v>557</x:v>
      </x:c>
      <x:c r="H3599">
        <x:f>ROUND($C3599*10*VLOOKUP($B3599,Sheet2!$J$5:$K$7,2,FALSE)*VLOOKUP(Sheet1!$A3599,Sheet2!$B$5:$H$29,7,FALSE),0)</x:f>
        <x:v>1160</x:v>
      </x:c>
      <x:c r="I3599">
        <x:f t="shared" si="59"/>
        <x:v>182460</x:v>
      </x:c>
    </x:row>
    <x:row r="3600" spans="1:9" x14ac:dyDescent="0.15">
      <x:c r="A3600">
        <x:v>54155</x:v>
      </x:c>
      <x:c r="B3600">
        <x:v>3</x:v>
      </x:c>
      <x:c r="C3600">
        <x:v>59</x:v>
      </x:c>
      <x:c r="D3600">
        <x:f>ROUND($C3600*10*VLOOKUP($B3600,Sheet2!$J$5:$K$7,2,FALSE)*VLOOKUP(Sheet1!$A3600,Sheet2!$B$5:$H$29,3,FALSE),0)</x:f>
        <x:v>0</x:v>
      </x:c>
      <x:c r="E3600">
        <x:f>ROUND($C3600*10*VLOOKUP($B3600,Sheet2!$J$5:$K$7,2,FALSE)*VLOOKUP(Sheet1!$A3600,Sheet2!$B$5:$H$29,4,FALSE),0)</x:f>
        <x:v>0</x:v>
      </x:c>
      <x:c r="F3600">
        <x:f>ROUND($C3600*10*VLOOKUP($B3600,Sheet2!$J$5:$K$7,2,FALSE)*VLOOKUP(Sheet1!$A3600,Sheet2!$B$5:$H$29,5,FALSE),0)</x:f>
        <x:v>0</x:v>
      </x:c>
      <x:c r="G3600">
        <x:f>ROUND($C3600*10*VLOOKUP($B3600,Sheet2!$J$5:$K$7,2,FALSE)*VLOOKUP(Sheet1!$A3600,Sheet2!$B$5:$H$29,6,FALSE),0)</x:f>
        <x:v>566</x:v>
      </x:c>
      <x:c r="H3600">
        <x:f>ROUND($C3600*10*VLOOKUP($B3600,Sheet2!$J$5:$K$7,2,FALSE)*VLOOKUP(Sheet1!$A3600,Sheet2!$B$5:$H$29,7,FALSE),0)</x:f>
        <x:v>1180</x:v>
      </x:c>
      <x:c r="I3600">
        <x:f t="shared" si="59"/>
        <x:v>188260</x:v>
      </x:c>
    </x:row>
    <x:row r="3601" spans="1:11" x14ac:dyDescent="0.15">
      <x:c r="A3601">
        <x:v>54155</x:v>
      </x:c>
      <x:c r="B3601">
        <x:v>3</x:v>
      </x:c>
      <x:c r="C3601">
        <x:v>60</x:v>
      </x:c>
      <x:c r="D3601">
        <x:f>ROUND($C3601*10*VLOOKUP($B3601,Sheet2!$J$5:$K$7,2,FALSE)*VLOOKUP(Sheet1!$A3601,Sheet2!$B$5:$H$29,3,FALSE),0)</x:f>
        <x:v>0</x:v>
      </x:c>
      <x:c r="E3601">
        <x:f>ROUND($C3601*10*VLOOKUP($B3601,Sheet2!$J$5:$K$7,2,FALSE)*VLOOKUP(Sheet1!$A3601,Sheet2!$B$5:$H$29,4,FALSE),0)</x:f>
        <x:v>0</x:v>
      </x:c>
      <x:c r="F3601">
        <x:f>ROUND($C3601*10*VLOOKUP($B3601,Sheet2!$J$5:$K$7,2,FALSE)*VLOOKUP(Sheet1!$A3601,Sheet2!$B$5:$H$29,5,FALSE),0)</x:f>
        <x:v>0</x:v>
      </x:c>
      <x:c r="G3601">
        <x:f>ROUND($C3601*10*VLOOKUP($B3601,Sheet2!$J$5:$K$7,2,FALSE)*VLOOKUP(Sheet1!$A3601,Sheet2!$B$5:$H$29,6,FALSE),0)</x:f>
        <x:v>576</x:v>
      </x:c>
      <x:c r="H3601">
        <x:f>ROUND($C3601*10*VLOOKUP($B3601,Sheet2!$J$5:$K$7,2,FALSE)*VLOOKUP(Sheet1!$A3601,Sheet2!$B$5:$H$29,7,FALSE),0)</x:f>
        <x:v>1200</x:v>
      </x:c>
      <x:c r="I3601">
        <x:f t="shared" si="59"/>
        <x:v>194140</x:v>
      </x:c>
    </x:row>
    <x:row r="3602" spans="1:11" x14ac:dyDescent="0.15">
      <x:c r="A3602">
        <x:v>54201</x:v>
      </x:c>
      <x:c r="B3602">
        <x:v>1</x:v>
      </x:c>
      <x:c r="C3602">
        <x:v>1</x:v>
      </x:c>
      <x:c r="D3602">
        <x:f>ROUND($C3602*10*VLOOKUP($B3602,Sheet2!$J$5:$K$7,2,FALSE)*VLOOKUP(Sheet1!$A3602,Sheet2!$B$5:$H$29,3,FALSE),0)</x:f>
        <x:v>2</x:v>
      </x:c>
      <x:c r="E3602">
        <x:f>ROUND($C3602*10*VLOOKUP($B3602,Sheet2!$J$5:$K$7,2,FALSE)*VLOOKUP(Sheet1!$A3602,Sheet2!$B$5:$H$29,4,FALSE),0)</x:f>
        <x:v>0</x:v>
      </x:c>
      <x:c r="F3602">
        <x:f>ROUND($C3602*10*VLOOKUP($B3602,Sheet2!$J$5:$K$7,2,FALSE)*VLOOKUP(Sheet1!$A3602,Sheet2!$B$5:$H$29,5,FALSE),0)</x:f>
        <x:v>0</x:v>
      </x:c>
      <x:c r="G3602">
        <x:f>ROUND($C3602*10*VLOOKUP($B3602,Sheet2!$J$5:$K$7,2,FALSE)*VLOOKUP(Sheet1!$A3602,Sheet2!$B$5:$H$29,6,FALSE),0)</x:f>
        <x:v>0</x:v>
      </x:c>
      <x:c r="H3602">
        <x:f>ROUND($C3602*10*VLOOKUP($B3602,Sheet2!$J$5:$K$7,2,FALSE)*VLOOKUP(Sheet1!$A3602,Sheet2!$B$5:$H$29,7,FALSE),0)</x:f>
        <x:v>30</x:v>
      </x:c>
      <x:c r="I3602">
        <x:f t="shared" ref="I3602:I3661" si="60">ROUND(1.2*10*1.8*(C3602-1)^1.8+30,-1)</x:f>
        <x:v>30</x:v>
      </x:c>
      <x:c r="K3602" s="2"/>
    </x:row>
    <x:row r="3603" spans="1:11" x14ac:dyDescent="0.15">
      <x:c r="A3603">
        <x:v>54201</x:v>
      </x:c>
      <x:c r="B3603">
        <x:v>1</x:v>
      </x:c>
      <x:c r="C3603">
        <x:v>2</x:v>
      </x:c>
      <x:c r="D3603">
        <x:f>ROUND($C3603*10*VLOOKUP($B3603,Sheet2!$J$5:$K$7,2,FALSE)*VLOOKUP(Sheet1!$A3603,Sheet2!$B$5:$H$29,3,FALSE),0)</x:f>
        <x:v>4</x:v>
      </x:c>
      <x:c r="E3603">
        <x:f>ROUND($C3603*10*VLOOKUP($B3603,Sheet2!$J$5:$K$7,2,FALSE)*VLOOKUP(Sheet1!$A3603,Sheet2!$B$5:$H$29,4,FALSE),0)</x:f>
        <x:v>0</x:v>
      </x:c>
      <x:c r="F3603">
        <x:f>ROUND($C3603*10*VLOOKUP($B3603,Sheet2!$J$5:$K$7,2,FALSE)*VLOOKUP(Sheet1!$A3603,Sheet2!$B$5:$H$29,5,FALSE),0)</x:f>
        <x:v>0</x:v>
      </x:c>
      <x:c r="G3603">
        <x:f>ROUND($C3603*10*VLOOKUP($B3603,Sheet2!$J$5:$K$7,2,FALSE)*VLOOKUP(Sheet1!$A3603,Sheet2!$B$5:$H$29,6,FALSE),0)</x:f>
        <x:v>0</x:v>
      </x:c>
      <x:c r="H3603">
        <x:f>ROUND($C3603*10*VLOOKUP($B3603,Sheet2!$J$5:$K$7,2,FALSE)*VLOOKUP(Sheet1!$A3603,Sheet2!$B$5:$H$29,7,FALSE),0)</x:f>
        <x:v>60</x:v>
      </x:c>
      <x:c r="I3603">
        <x:f t="shared" si="60"/>
        <x:v>50</x:v>
      </x:c>
    </x:row>
    <x:row r="3604" spans="1:11" x14ac:dyDescent="0.15">
      <x:c r="A3604">
        <x:v>54201</x:v>
      </x:c>
      <x:c r="B3604">
        <x:v>1</x:v>
      </x:c>
      <x:c r="C3604">
        <x:v>3</x:v>
      </x:c>
      <x:c r="D3604">
        <x:f>ROUND($C3604*10*VLOOKUP($B3604,Sheet2!$J$5:$K$7,2,FALSE)*VLOOKUP(Sheet1!$A3604,Sheet2!$B$5:$H$29,3,FALSE),0)</x:f>
        <x:v>6</x:v>
      </x:c>
      <x:c r="E3604">
        <x:f>ROUND($C3604*10*VLOOKUP($B3604,Sheet2!$J$5:$K$7,2,FALSE)*VLOOKUP(Sheet1!$A3604,Sheet2!$B$5:$H$29,4,FALSE),0)</x:f>
        <x:v>0</x:v>
      </x:c>
      <x:c r="F3604">
        <x:f>ROUND($C3604*10*VLOOKUP($B3604,Sheet2!$J$5:$K$7,2,FALSE)*VLOOKUP(Sheet1!$A3604,Sheet2!$B$5:$H$29,5,FALSE),0)</x:f>
        <x:v>0</x:v>
      </x:c>
      <x:c r="G3604">
        <x:f>ROUND($C3604*10*VLOOKUP($B3604,Sheet2!$J$5:$K$7,2,FALSE)*VLOOKUP(Sheet1!$A3604,Sheet2!$B$5:$H$29,6,FALSE),0)</x:f>
        <x:v>0</x:v>
      </x:c>
      <x:c r="H3604">
        <x:f>ROUND($C3604*10*VLOOKUP($B3604,Sheet2!$J$5:$K$7,2,FALSE)*VLOOKUP(Sheet1!$A3604,Sheet2!$B$5:$H$29,7,FALSE),0)</x:f>
        <x:v>90</x:v>
      </x:c>
      <x:c r="I3604">
        <x:f t="shared" si="60"/>
        <x:v>110</x:v>
      </x:c>
    </x:row>
    <x:row r="3605" spans="1:11" x14ac:dyDescent="0.15">
      <x:c r="A3605">
        <x:v>54201</x:v>
      </x:c>
      <x:c r="B3605">
        <x:v>1</x:v>
      </x:c>
      <x:c r="C3605">
        <x:v>4</x:v>
      </x:c>
      <x:c r="D3605">
        <x:f>ROUND($C3605*10*VLOOKUP($B3605,Sheet2!$J$5:$K$7,2,FALSE)*VLOOKUP(Sheet1!$A3605,Sheet2!$B$5:$H$29,3,FALSE),0)</x:f>
        <x:v>8</x:v>
      </x:c>
      <x:c r="E3605">
        <x:f>ROUND($C3605*10*VLOOKUP($B3605,Sheet2!$J$5:$K$7,2,FALSE)*VLOOKUP(Sheet1!$A3605,Sheet2!$B$5:$H$29,4,FALSE),0)</x:f>
        <x:v>0</x:v>
      </x:c>
      <x:c r="F3605">
        <x:f>ROUND($C3605*10*VLOOKUP($B3605,Sheet2!$J$5:$K$7,2,FALSE)*VLOOKUP(Sheet1!$A3605,Sheet2!$B$5:$H$29,5,FALSE),0)</x:f>
        <x:v>0</x:v>
      </x:c>
      <x:c r="G3605">
        <x:f>ROUND($C3605*10*VLOOKUP($B3605,Sheet2!$J$5:$K$7,2,FALSE)*VLOOKUP(Sheet1!$A3605,Sheet2!$B$5:$H$29,6,FALSE),0)</x:f>
        <x:v>0</x:v>
      </x:c>
      <x:c r="H3605">
        <x:f>ROUND($C3605*10*VLOOKUP($B3605,Sheet2!$J$5:$K$7,2,FALSE)*VLOOKUP(Sheet1!$A3605,Sheet2!$B$5:$H$29,7,FALSE),0)</x:f>
        <x:v>120</x:v>
      </x:c>
      <x:c r="I3605">
        <x:f t="shared" si="60"/>
        <x:v>190</x:v>
      </x:c>
    </x:row>
    <x:row r="3606" spans="1:11" x14ac:dyDescent="0.15">
      <x:c r="A3606">
        <x:v>54201</x:v>
      </x:c>
      <x:c r="B3606">
        <x:v>1</x:v>
      </x:c>
      <x:c r="C3606">
        <x:v>5</x:v>
      </x:c>
      <x:c r="D3606">
        <x:f>ROUND($C3606*10*VLOOKUP($B3606,Sheet2!$J$5:$K$7,2,FALSE)*VLOOKUP(Sheet1!$A3606,Sheet2!$B$5:$H$29,3,FALSE),0)</x:f>
        <x:v>10</x:v>
      </x:c>
      <x:c r="E3606">
        <x:f>ROUND($C3606*10*VLOOKUP($B3606,Sheet2!$J$5:$K$7,2,FALSE)*VLOOKUP(Sheet1!$A3606,Sheet2!$B$5:$H$29,4,FALSE),0)</x:f>
        <x:v>0</x:v>
      </x:c>
      <x:c r="F3606">
        <x:f>ROUND($C3606*10*VLOOKUP($B3606,Sheet2!$J$5:$K$7,2,FALSE)*VLOOKUP(Sheet1!$A3606,Sheet2!$B$5:$H$29,5,FALSE),0)</x:f>
        <x:v>0</x:v>
      </x:c>
      <x:c r="G3606">
        <x:f>ROUND($C3606*10*VLOOKUP($B3606,Sheet2!$J$5:$K$7,2,FALSE)*VLOOKUP(Sheet1!$A3606,Sheet2!$B$5:$H$29,6,FALSE),0)</x:f>
        <x:v>0</x:v>
      </x:c>
      <x:c r="H3606">
        <x:f>ROUND($C3606*10*VLOOKUP($B3606,Sheet2!$J$5:$K$7,2,FALSE)*VLOOKUP(Sheet1!$A3606,Sheet2!$B$5:$H$29,7,FALSE),0)</x:f>
        <x:v>150</x:v>
      </x:c>
      <x:c r="I3606">
        <x:f t="shared" si="60"/>
        <x:v>290</x:v>
      </x:c>
    </x:row>
    <x:row r="3607" spans="1:11" x14ac:dyDescent="0.15">
      <x:c r="A3607">
        <x:v>54201</x:v>
      </x:c>
      <x:c r="B3607">
        <x:v>1</x:v>
      </x:c>
      <x:c r="C3607">
        <x:v>6</x:v>
      </x:c>
      <x:c r="D3607">
        <x:f>ROUND($C3607*10*VLOOKUP($B3607,Sheet2!$J$5:$K$7,2,FALSE)*VLOOKUP(Sheet1!$A3607,Sheet2!$B$5:$H$29,3,FALSE),0)</x:f>
        <x:v>12</x:v>
      </x:c>
      <x:c r="E3607">
        <x:f>ROUND($C3607*10*VLOOKUP($B3607,Sheet2!$J$5:$K$7,2,FALSE)*VLOOKUP(Sheet1!$A3607,Sheet2!$B$5:$H$29,4,FALSE),0)</x:f>
        <x:v>0</x:v>
      </x:c>
      <x:c r="F3607">
        <x:f>ROUND($C3607*10*VLOOKUP($B3607,Sheet2!$J$5:$K$7,2,FALSE)*VLOOKUP(Sheet1!$A3607,Sheet2!$B$5:$H$29,5,FALSE),0)</x:f>
        <x:v>0</x:v>
      </x:c>
      <x:c r="G3607">
        <x:f>ROUND($C3607*10*VLOOKUP($B3607,Sheet2!$J$5:$K$7,2,FALSE)*VLOOKUP(Sheet1!$A3607,Sheet2!$B$5:$H$29,6,FALSE),0)</x:f>
        <x:v>0</x:v>
      </x:c>
      <x:c r="H3607">
        <x:f>ROUND($C3607*10*VLOOKUP($B3607,Sheet2!$J$5:$K$7,2,FALSE)*VLOOKUP(Sheet1!$A3607,Sheet2!$B$5:$H$29,7,FALSE),0)</x:f>
        <x:v>180</x:v>
      </x:c>
      <x:c r="I3607">
        <x:f t="shared" si="60"/>
        <x:v>420</x:v>
      </x:c>
    </x:row>
    <x:row r="3608" spans="1:11" x14ac:dyDescent="0.15">
      <x:c r="A3608">
        <x:v>54201</x:v>
      </x:c>
      <x:c r="B3608">
        <x:v>1</x:v>
      </x:c>
      <x:c r="C3608">
        <x:v>7</x:v>
      </x:c>
      <x:c r="D3608">
        <x:f>ROUND($C3608*10*VLOOKUP($B3608,Sheet2!$J$5:$K$7,2,FALSE)*VLOOKUP(Sheet1!$A3608,Sheet2!$B$5:$H$29,3,FALSE),0)</x:f>
        <x:v>14</x:v>
      </x:c>
      <x:c r="E3608">
        <x:f>ROUND($C3608*10*VLOOKUP($B3608,Sheet2!$J$5:$K$7,2,FALSE)*VLOOKUP(Sheet1!$A3608,Sheet2!$B$5:$H$29,4,FALSE),0)</x:f>
        <x:v>0</x:v>
      </x:c>
      <x:c r="F3608">
        <x:f>ROUND($C3608*10*VLOOKUP($B3608,Sheet2!$J$5:$K$7,2,FALSE)*VLOOKUP(Sheet1!$A3608,Sheet2!$B$5:$H$29,5,FALSE),0)</x:f>
        <x:v>0</x:v>
      </x:c>
      <x:c r="G3608">
        <x:f>ROUND($C3608*10*VLOOKUP($B3608,Sheet2!$J$5:$K$7,2,FALSE)*VLOOKUP(Sheet1!$A3608,Sheet2!$B$5:$H$29,6,FALSE),0)</x:f>
        <x:v>0</x:v>
      </x:c>
      <x:c r="H3608">
        <x:f>ROUND($C3608*10*VLOOKUP($B3608,Sheet2!$J$5:$K$7,2,FALSE)*VLOOKUP(Sheet1!$A3608,Sheet2!$B$5:$H$29,7,FALSE),0)</x:f>
        <x:v>210</x:v>
      </x:c>
      <x:c r="I3608">
        <x:f t="shared" si="60"/>
        <x:v>570</x:v>
      </x:c>
    </x:row>
    <x:row r="3609" spans="1:11" x14ac:dyDescent="0.15">
      <x:c r="A3609">
        <x:v>54201</x:v>
      </x:c>
      <x:c r="B3609">
        <x:v>1</x:v>
      </x:c>
      <x:c r="C3609">
        <x:v>8</x:v>
      </x:c>
      <x:c r="D3609">
        <x:f>ROUND($C3609*10*VLOOKUP($B3609,Sheet2!$J$5:$K$7,2,FALSE)*VLOOKUP(Sheet1!$A3609,Sheet2!$B$5:$H$29,3,FALSE),0)</x:f>
        <x:v>16</x:v>
      </x:c>
      <x:c r="E3609">
        <x:f>ROUND($C3609*10*VLOOKUP($B3609,Sheet2!$J$5:$K$7,2,FALSE)*VLOOKUP(Sheet1!$A3609,Sheet2!$B$5:$H$29,4,FALSE),0)</x:f>
        <x:v>0</x:v>
      </x:c>
      <x:c r="F3609">
        <x:f>ROUND($C3609*10*VLOOKUP($B3609,Sheet2!$J$5:$K$7,2,FALSE)*VLOOKUP(Sheet1!$A3609,Sheet2!$B$5:$H$29,5,FALSE),0)</x:f>
        <x:v>0</x:v>
      </x:c>
      <x:c r="G3609">
        <x:f>ROUND($C3609*10*VLOOKUP($B3609,Sheet2!$J$5:$K$7,2,FALSE)*VLOOKUP(Sheet1!$A3609,Sheet2!$B$5:$H$29,6,FALSE),0)</x:f>
        <x:v>0</x:v>
      </x:c>
      <x:c r="H3609">
        <x:f>ROUND($C3609*10*VLOOKUP($B3609,Sheet2!$J$5:$K$7,2,FALSE)*VLOOKUP(Sheet1!$A3609,Sheet2!$B$5:$H$29,7,FALSE),0)</x:f>
        <x:v>240</x:v>
      </x:c>
      <x:c r="I3609">
        <x:f t="shared" si="60"/>
        <x:v>750</x:v>
      </x:c>
    </x:row>
    <x:row r="3610" spans="1:11" x14ac:dyDescent="0.15">
      <x:c r="A3610">
        <x:v>54201</x:v>
      </x:c>
      <x:c r="B3610">
        <x:v>1</x:v>
      </x:c>
      <x:c r="C3610">
        <x:v>9</x:v>
      </x:c>
      <x:c r="D3610">
        <x:f>ROUND($C3610*10*VLOOKUP($B3610,Sheet2!$J$5:$K$7,2,FALSE)*VLOOKUP(Sheet1!$A3610,Sheet2!$B$5:$H$29,3,FALSE),0)</x:f>
        <x:v>18</x:v>
      </x:c>
      <x:c r="E3610">
        <x:f>ROUND($C3610*10*VLOOKUP($B3610,Sheet2!$J$5:$K$7,2,FALSE)*VLOOKUP(Sheet1!$A3610,Sheet2!$B$5:$H$29,4,FALSE),0)</x:f>
        <x:v>0</x:v>
      </x:c>
      <x:c r="F3610">
        <x:f>ROUND($C3610*10*VLOOKUP($B3610,Sheet2!$J$5:$K$7,2,FALSE)*VLOOKUP(Sheet1!$A3610,Sheet2!$B$5:$H$29,5,FALSE),0)</x:f>
        <x:v>0</x:v>
      </x:c>
      <x:c r="G3610">
        <x:f>ROUND($C3610*10*VLOOKUP($B3610,Sheet2!$J$5:$K$7,2,FALSE)*VLOOKUP(Sheet1!$A3610,Sheet2!$B$5:$H$29,6,FALSE),0)</x:f>
        <x:v>0</x:v>
      </x:c>
      <x:c r="H3610">
        <x:f>ROUND($C3610*10*VLOOKUP($B3610,Sheet2!$J$5:$K$7,2,FALSE)*VLOOKUP(Sheet1!$A3610,Sheet2!$B$5:$H$29,7,FALSE),0)</x:f>
        <x:v>270</x:v>
      </x:c>
      <x:c r="I3610">
        <x:f t="shared" si="60"/>
        <x:v>940</x:v>
      </x:c>
    </x:row>
    <x:row r="3611" spans="1:11" x14ac:dyDescent="0.15">
      <x:c r="A3611">
        <x:v>54201</x:v>
      </x:c>
      <x:c r="B3611">
        <x:v>1</x:v>
      </x:c>
      <x:c r="C3611">
        <x:v>10</x:v>
      </x:c>
      <x:c r="D3611">
        <x:f>ROUND($C3611*10*VLOOKUP($B3611,Sheet2!$J$5:$K$7,2,FALSE)*VLOOKUP(Sheet1!$A3611,Sheet2!$B$5:$H$29,3,FALSE),0)</x:f>
        <x:v>20</x:v>
      </x:c>
      <x:c r="E3611">
        <x:f>ROUND($C3611*10*VLOOKUP($B3611,Sheet2!$J$5:$K$7,2,FALSE)*VLOOKUP(Sheet1!$A3611,Sheet2!$B$5:$H$29,4,FALSE),0)</x:f>
        <x:v>0</x:v>
      </x:c>
      <x:c r="F3611">
        <x:f>ROUND($C3611*10*VLOOKUP($B3611,Sheet2!$J$5:$K$7,2,FALSE)*VLOOKUP(Sheet1!$A3611,Sheet2!$B$5:$H$29,5,FALSE),0)</x:f>
        <x:v>0</x:v>
      </x:c>
      <x:c r="G3611">
        <x:f>ROUND($C3611*10*VLOOKUP($B3611,Sheet2!$J$5:$K$7,2,FALSE)*VLOOKUP(Sheet1!$A3611,Sheet2!$B$5:$H$29,6,FALSE),0)</x:f>
        <x:v>0</x:v>
      </x:c>
      <x:c r="H3611">
        <x:f>ROUND($C3611*10*VLOOKUP($B3611,Sheet2!$J$5:$K$7,2,FALSE)*VLOOKUP(Sheet1!$A3611,Sheet2!$B$5:$H$29,7,FALSE),0)</x:f>
        <x:v>300</x:v>
      </x:c>
      <x:c r="I3611">
        <x:f t="shared" si="60"/>
        <x:v>1160</x:v>
      </x:c>
    </x:row>
    <x:row r="3612" spans="1:11" x14ac:dyDescent="0.15">
      <x:c r="A3612">
        <x:v>54201</x:v>
      </x:c>
      <x:c r="B3612">
        <x:v>1</x:v>
      </x:c>
      <x:c r="C3612">
        <x:v>11</x:v>
      </x:c>
      <x:c r="D3612">
        <x:f>ROUND($C3612*10*VLOOKUP($B3612,Sheet2!$J$5:$K$7,2,FALSE)*VLOOKUP(Sheet1!$A3612,Sheet2!$B$5:$H$29,3,FALSE),0)</x:f>
        <x:v>22</x:v>
      </x:c>
      <x:c r="E3612">
        <x:f>ROUND($C3612*10*VLOOKUP($B3612,Sheet2!$J$5:$K$7,2,FALSE)*VLOOKUP(Sheet1!$A3612,Sheet2!$B$5:$H$29,4,FALSE),0)</x:f>
        <x:v>0</x:v>
      </x:c>
      <x:c r="F3612">
        <x:f>ROUND($C3612*10*VLOOKUP($B3612,Sheet2!$J$5:$K$7,2,FALSE)*VLOOKUP(Sheet1!$A3612,Sheet2!$B$5:$H$29,5,FALSE),0)</x:f>
        <x:v>0</x:v>
      </x:c>
      <x:c r="G3612">
        <x:f>ROUND($C3612*10*VLOOKUP($B3612,Sheet2!$J$5:$K$7,2,FALSE)*VLOOKUP(Sheet1!$A3612,Sheet2!$B$5:$H$29,6,FALSE),0)</x:f>
        <x:v>0</x:v>
      </x:c>
      <x:c r="H3612">
        <x:f>ROUND($C3612*10*VLOOKUP($B3612,Sheet2!$J$5:$K$7,2,FALSE)*VLOOKUP(Sheet1!$A3612,Sheet2!$B$5:$H$29,7,FALSE),0)</x:f>
        <x:v>330</x:v>
      </x:c>
      <x:c r="I3612">
        <x:f t="shared" si="60"/>
        <x:v>1390</x:v>
      </x:c>
    </x:row>
    <x:row r="3613" spans="1:11" x14ac:dyDescent="0.15">
      <x:c r="A3613">
        <x:v>54201</x:v>
      </x:c>
      <x:c r="B3613">
        <x:v>1</x:v>
      </x:c>
      <x:c r="C3613">
        <x:v>12</x:v>
      </x:c>
      <x:c r="D3613">
        <x:f>ROUND($C3613*10*VLOOKUP($B3613,Sheet2!$J$5:$K$7,2,FALSE)*VLOOKUP(Sheet1!$A3613,Sheet2!$B$5:$H$29,3,FALSE),0)</x:f>
        <x:v>24</x:v>
      </x:c>
      <x:c r="E3613">
        <x:f>ROUND($C3613*10*VLOOKUP($B3613,Sheet2!$J$5:$K$7,2,FALSE)*VLOOKUP(Sheet1!$A3613,Sheet2!$B$5:$H$29,4,FALSE),0)</x:f>
        <x:v>0</x:v>
      </x:c>
      <x:c r="F3613">
        <x:f>ROUND($C3613*10*VLOOKUP($B3613,Sheet2!$J$5:$K$7,2,FALSE)*VLOOKUP(Sheet1!$A3613,Sheet2!$B$5:$H$29,5,FALSE),0)</x:f>
        <x:v>0</x:v>
      </x:c>
      <x:c r="G3613">
        <x:f>ROUND($C3613*10*VLOOKUP($B3613,Sheet2!$J$5:$K$7,2,FALSE)*VLOOKUP(Sheet1!$A3613,Sheet2!$B$5:$H$29,6,FALSE),0)</x:f>
        <x:v>0</x:v>
      </x:c>
      <x:c r="H3613">
        <x:f>ROUND($C3613*10*VLOOKUP($B3613,Sheet2!$J$5:$K$7,2,FALSE)*VLOOKUP(Sheet1!$A3613,Sheet2!$B$5:$H$29,7,FALSE),0)</x:f>
        <x:v>360</x:v>
      </x:c>
      <x:c r="I3613">
        <x:f t="shared" si="60"/>
        <x:v>1650</x:v>
      </x:c>
    </x:row>
    <x:row r="3614" spans="1:11" x14ac:dyDescent="0.15">
      <x:c r="A3614">
        <x:v>54201</x:v>
      </x:c>
      <x:c r="B3614">
        <x:v>1</x:v>
      </x:c>
      <x:c r="C3614">
        <x:v>13</x:v>
      </x:c>
      <x:c r="D3614">
        <x:f>ROUND($C3614*10*VLOOKUP($B3614,Sheet2!$J$5:$K$7,2,FALSE)*VLOOKUP(Sheet1!$A3614,Sheet2!$B$5:$H$29,3,FALSE),0)</x:f>
        <x:v>26</x:v>
      </x:c>
      <x:c r="E3614">
        <x:f>ROUND($C3614*10*VLOOKUP($B3614,Sheet2!$J$5:$K$7,2,FALSE)*VLOOKUP(Sheet1!$A3614,Sheet2!$B$5:$H$29,4,FALSE),0)</x:f>
        <x:v>0</x:v>
      </x:c>
      <x:c r="F3614">
        <x:f>ROUND($C3614*10*VLOOKUP($B3614,Sheet2!$J$5:$K$7,2,FALSE)*VLOOKUP(Sheet1!$A3614,Sheet2!$B$5:$H$29,5,FALSE),0)</x:f>
        <x:v>0</x:v>
      </x:c>
      <x:c r="G3614">
        <x:f>ROUND($C3614*10*VLOOKUP($B3614,Sheet2!$J$5:$K$7,2,FALSE)*VLOOKUP(Sheet1!$A3614,Sheet2!$B$5:$H$29,6,FALSE),0)</x:f>
        <x:v>0</x:v>
      </x:c>
      <x:c r="H3614">
        <x:f>ROUND($C3614*10*VLOOKUP($B3614,Sheet2!$J$5:$K$7,2,FALSE)*VLOOKUP(Sheet1!$A3614,Sheet2!$B$5:$H$29,7,FALSE),0)</x:f>
        <x:v>390</x:v>
      </x:c>
      <x:c r="I3614">
        <x:f t="shared" si="60"/>
        <x:v>1920</x:v>
      </x:c>
    </x:row>
    <x:row r="3615" spans="1:11" x14ac:dyDescent="0.15">
      <x:c r="A3615">
        <x:v>54201</x:v>
      </x:c>
      <x:c r="B3615">
        <x:v>1</x:v>
      </x:c>
      <x:c r="C3615">
        <x:v>14</x:v>
      </x:c>
      <x:c r="D3615">
        <x:f>ROUND($C3615*10*VLOOKUP($B3615,Sheet2!$J$5:$K$7,2,FALSE)*VLOOKUP(Sheet1!$A3615,Sheet2!$B$5:$H$29,3,FALSE),0)</x:f>
        <x:v>28</x:v>
      </x:c>
      <x:c r="E3615">
        <x:f>ROUND($C3615*10*VLOOKUP($B3615,Sheet2!$J$5:$K$7,2,FALSE)*VLOOKUP(Sheet1!$A3615,Sheet2!$B$5:$H$29,4,FALSE),0)</x:f>
        <x:v>0</x:v>
      </x:c>
      <x:c r="F3615">
        <x:f>ROUND($C3615*10*VLOOKUP($B3615,Sheet2!$J$5:$K$7,2,FALSE)*VLOOKUP(Sheet1!$A3615,Sheet2!$B$5:$H$29,5,FALSE),0)</x:f>
        <x:v>0</x:v>
      </x:c>
      <x:c r="G3615">
        <x:f>ROUND($C3615*10*VLOOKUP($B3615,Sheet2!$J$5:$K$7,2,FALSE)*VLOOKUP(Sheet1!$A3615,Sheet2!$B$5:$H$29,6,FALSE),0)</x:f>
        <x:v>0</x:v>
      </x:c>
      <x:c r="H3615">
        <x:f>ROUND($C3615*10*VLOOKUP($B3615,Sheet2!$J$5:$K$7,2,FALSE)*VLOOKUP(Sheet1!$A3615,Sheet2!$B$5:$H$29,7,FALSE),0)</x:f>
        <x:v>420</x:v>
      </x:c>
      <x:c r="I3615">
        <x:f t="shared" si="60"/>
        <x:v>2220</x:v>
      </x:c>
    </x:row>
    <x:row r="3616" spans="1:11" x14ac:dyDescent="0.15">
      <x:c r="A3616">
        <x:v>54201</x:v>
      </x:c>
      <x:c r="B3616">
        <x:v>1</x:v>
      </x:c>
      <x:c r="C3616">
        <x:v>15</x:v>
      </x:c>
      <x:c r="D3616">
        <x:f>ROUND($C3616*10*VLOOKUP($B3616,Sheet2!$J$5:$K$7,2,FALSE)*VLOOKUP(Sheet1!$A3616,Sheet2!$B$5:$H$29,3,FALSE),0)</x:f>
        <x:v>30</x:v>
      </x:c>
      <x:c r="E3616">
        <x:f>ROUND($C3616*10*VLOOKUP($B3616,Sheet2!$J$5:$K$7,2,FALSE)*VLOOKUP(Sheet1!$A3616,Sheet2!$B$5:$H$29,4,FALSE),0)</x:f>
        <x:v>0</x:v>
      </x:c>
      <x:c r="F3616">
        <x:f>ROUND($C3616*10*VLOOKUP($B3616,Sheet2!$J$5:$K$7,2,FALSE)*VLOOKUP(Sheet1!$A3616,Sheet2!$B$5:$H$29,5,FALSE),0)</x:f>
        <x:v>0</x:v>
      </x:c>
      <x:c r="G3616">
        <x:f>ROUND($C3616*10*VLOOKUP($B3616,Sheet2!$J$5:$K$7,2,FALSE)*VLOOKUP(Sheet1!$A3616,Sheet2!$B$5:$H$29,6,FALSE),0)</x:f>
        <x:v>0</x:v>
      </x:c>
      <x:c r="H3616">
        <x:f>ROUND($C3616*10*VLOOKUP($B3616,Sheet2!$J$5:$K$7,2,FALSE)*VLOOKUP(Sheet1!$A3616,Sheet2!$B$5:$H$29,7,FALSE),0)</x:f>
        <x:v>450</x:v>
      </x:c>
      <x:c r="I3616">
        <x:f t="shared" si="60"/>
        <x:v>2530</x:v>
      </x:c>
    </x:row>
    <x:row r="3617" spans="1:9" x14ac:dyDescent="0.15">
      <x:c r="A3617">
        <x:v>54201</x:v>
      </x:c>
      <x:c r="B3617">
        <x:v>1</x:v>
      </x:c>
      <x:c r="C3617">
        <x:v>16</x:v>
      </x:c>
      <x:c r="D3617">
        <x:f>ROUND($C3617*10*VLOOKUP($B3617,Sheet2!$J$5:$K$7,2,FALSE)*VLOOKUP(Sheet1!$A3617,Sheet2!$B$5:$H$29,3,FALSE),0)</x:f>
        <x:v>32</x:v>
      </x:c>
      <x:c r="E3617">
        <x:f>ROUND($C3617*10*VLOOKUP($B3617,Sheet2!$J$5:$K$7,2,FALSE)*VLOOKUP(Sheet1!$A3617,Sheet2!$B$5:$H$29,4,FALSE),0)</x:f>
        <x:v>0</x:v>
      </x:c>
      <x:c r="F3617">
        <x:f>ROUND($C3617*10*VLOOKUP($B3617,Sheet2!$J$5:$K$7,2,FALSE)*VLOOKUP(Sheet1!$A3617,Sheet2!$B$5:$H$29,5,FALSE),0)</x:f>
        <x:v>0</x:v>
      </x:c>
      <x:c r="G3617">
        <x:f>ROUND($C3617*10*VLOOKUP($B3617,Sheet2!$J$5:$K$7,2,FALSE)*VLOOKUP(Sheet1!$A3617,Sheet2!$B$5:$H$29,6,FALSE),0)</x:f>
        <x:v>0</x:v>
      </x:c>
      <x:c r="H3617">
        <x:f>ROUND($C3617*10*VLOOKUP($B3617,Sheet2!$J$5:$K$7,2,FALSE)*VLOOKUP(Sheet1!$A3617,Sheet2!$B$5:$H$29,7,FALSE),0)</x:f>
        <x:v>480</x:v>
      </x:c>
      <x:c r="I3617">
        <x:f t="shared" si="60"/>
        <x:v>2860</x:v>
      </x:c>
    </x:row>
    <x:row r="3618" spans="1:9" x14ac:dyDescent="0.15">
      <x:c r="A3618">
        <x:v>54201</x:v>
      </x:c>
      <x:c r="B3618">
        <x:v>1</x:v>
      </x:c>
      <x:c r="C3618">
        <x:v>17</x:v>
      </x:c>
      <x:c r="D3618">
        <x:f>ROUND($C3618*10*VLOOKUP($B3618,Sheet2!$J$5:$K$7,2,FALSE)*VLOOKUP(Sheet1!$A3618,Sheet2!$B$5:$H$29,3,FALSE),0)</x:f>
        <x:v>34</x:v>
      </x:c>
      <x:c r="E3618">
        <x:f>ROUND($C3618*10*VLOOKUP($B3618,Sheet2!$J$5:$K$7,2,FALSE)*VLOOKUP(Sheet1!$A3618,Sheet2!$B$5:$H$29,4,FALSE),0)</x:f>
        <x:v>0</x:v>
      </x:c>
      <x:c r="F3618">
        <x:f>ROUND($C3618*10*VLOOKUP($B3618,Sheet2!$J$5:$K$7,2,FALSE)*VLOOKUP(Sheet1!$A3618,Sheet2!$B$5:$H$29,5,FALSE),0)</x:f>
        <x:v>0</x:v>
      </x:c>
      <x:c r="G3618">
        <x:f>ROUND($C3618*10*VLOOKUP($B3618,Sheet2!$J$5:$K$7,2,FALSE)*VLOOKUP(Sheet1!$A3618,Sheet2!$B$5:$H$29,6,FALSE),0)</x:f>
        <x:v>0</x:v>
      </x:c>
      <x:c r="H3618">
        <x:f>ROUND($C3618*10*VLOOKUP($B3618,Sheet2!$J$5:$K$7,2,FALSE)*VLOOKUP(Sheet1!$A3618,Sheet2!$B$5:$H$29,7,FALSE),0)</x:f>
        <x:v>510</x:v>
      </x:c>
      <x:c r="I3618">
        <x:f t="shared" si="60"/>
        <x:v>3210</x:v>
      </x:c>
    </x:row>
    <x:row r="3619" spans="1:9" x14ac:dyDescent="0.15">
      <x:c r="A3619">
        <x:v>54201</x:v>
      </x:c>
      <x:c r="B3619">
        <x:v>1</x:v>
      </x:c>
      <x:c r="C3619">
        <x:v>18</x:v>
      </x:c>
      <x:c r="D3619">
        <x:f>ROUND($C3619*10*VLOOKUP($B3619,Sheet2!$J$5:$K$7,2,FALSE)*VLOOKUP(Sheet1!$A3619,Sheet2!$B$5:$H$29,3,FALSE),0)</x:f>
        <x:v>36</x:v>
      </x:c>
      <x:c r="E3619">
        <x:f>ROUND($C3619*10*VLOOKUP($B3619,Sheet2!$J$5:$K$7,2,FALSE)*VLOOKUP(Sheet1!$A3619,Sheet2!$B$5:$H$29,4,FALSE),0)</x:f>
        <x:v>0</x:v>
      </x:c>
      <x:c r="F3619">
        <x:f>ROUND($C3619*10*VLOOKUP($B3619,Sheet2!$J$5:$K$7,2,FALSE)*VLOOKUP(Sheet1!$A3619,Sheet2!$B$5:$H$29,5,FALSE),0)</x:f>
        <x:v>0</x:v>
      </x:c>
      <x:c r="G3619">
        <x:f>ROUND($C3619*10*VLOOKUP($B3619,Sheet2!$J$5:$K$7,2,FALSE)*VLOOKUP(Sheet1!$A3619,Sheet2!$B$5:$H$29,6,FALSE),0)</x:f>
        <x:v>0</x:v>
      </x:c>
      <x:c r="H3619">
        <x:f>ROUND($C3619*10*VLOOKUP($B3619,Sheet2!$J$5:$K$7,2,FALSE)*VLOOKUP(Sheet1!$A3619,Sheet2!$B$5:$H$29,7,FALSE),0)</x:f>
        <x:v>540</x:v>
      </x:c>
      <x:c r="I3619">
        <x:f t="shared" si="60"/>
        <x:v>3570</x:v>
      </x:c>
    </x:row>
    <x:row r="3620" spans="1:9" x14ac:dyDescent="0.15">
      <x:c r="A3620">
        <x:v>54201</x:v>
      </x:c>
      <x:c r="B3620">
        <x:v>1</x:v>
      </x:c>
      <x:c r="C3620">
        <x:v>19</x:v>
      </x:c>
      <x:c r="D3620">
        <x:f>ROUND($C3620*10*VLOOKUP($B3620,Sheet2!$J$5:$K$7,2,FALSE)*VLOOKUP(Sheet1!$A3620,Sheet2!$B$5:$H$29,3,FALSE),0)</x:f>
        <x:v>38</x:v>
      </x:c>
      <x:c r="E3620">
        <x:f>ROUND($C3620*10*VLOOKUP($B3620,Sheet2!$J$5:$K$7,2,FALSE)*VLOOKUP(Sheet1!$A3620,Sheet2!$B$5:$H$29,4,FALSE),0)</x:f>
        <x:v>0</x:v>
      </x:c>
      <x:c r="F3620">
        <x:f>ROUND($C3620*10*VLOOKUP($B3620,Sheet2!$J$5:$K$7,2,FALSE)*VLOOKUP(Sheet1!$A3620,Sheet2!$B$5:$H$29,5,FALSE),0)</x:f>
        <x:v>0</x:v>
      </x:c>
      <x:c r="G3620">
        <x:f>ROUND($C3620*10*VLOOKUP($B3620,Sheet2!$J$5:$K$7,2,FALSE)*VLOOKUP(Sheet1!$A3620,Sheet2!$B$5:$H$29,6,FALSE),0)</x:f>
        <x:v>0</x:v>
      </x:c>
      <x:c r="H3620">
        <x:f>ROUND($C3620*10*VLOOKUP($B3620,Sheet2!$J$5:$K$7,2,FALSE)*VLOOKUP(Sheet1!$A3620,Sheet2!$B$5:$H$29,7,FALSE),0)</x:f>
        <x:v>570</x:v>
      </x:c>
      <x:c r="I3620">
        <x:f t="shared" si="60"/>
        <x:v>3960</x:v>
      </x:c>
    </x:row>
    <x:row r="3621" spans="1:9" x14ac:dyDescent="0.15">
      <x:c r="A3621">
        <x:v>54201</x:v>
      </x:c>
      <x:c r="B3621">
        <x:v>1</x:v>
      </x:c>
      <x:c r="C3621">
        <x:v>20</x:v>
      </x:c>
      <x:c r="D3621">
        <x:f>ROUND($C3621*10*VLOOKUP($B3621,Sheet2!$J$5:$K$7,2,FALSE)*VLOOKUP(Sheet1!$A3621,Sheet2!$B$5:$H$29,3,FALSE),0)</x:f>
        <x:v>40</x:v>
      </x:c>
      <x:c r="E3621">
        <x:f>ROUND($C3621*10*VLOOKUP($B3621,Sheet2!$J$5:$K$7,2,FALSE)*VLOOKUP(Sheet1!$A3621,Sheet2!$B$5:$H$29,4,FALSE),0)</x:f>
        <x:v>0</x:v>
      </x:c>
      <x:c r="F3621">
        <x:f>ROUND($C3621*10*VLOOKUP($B3621,Sheet2!$J$5:$K$7,2,FALSE)*VLOOKUP(Sheet1!$A3621,Sheet2!$B$5:$H$29,5,FALSE),0)</x:f>
        <x:v>0</x:v>
      </x:c>
      <x:c r="G3621">
        <x:f>ROUND($C3621*10*VLOOKUP($B3621,Sheet2!$J$5:$K$7,2,FALSE)*VLOOKUP(Sheet1!$A3621,Sheet2!$B$5:$H$29,6,FALSE),0)</x:f>
        <x:v>0</x:v>
      </x:c>
      <x:c r="H3621">
        <x:f>ROUND($C3621*10*VLOOKUP($B3621,Sheet2!$J$5:$K$7,2,FALSE)*VLOOKUP(Sheet1!$A3621,Sheet2!$B$5:$H$29,7,FALSE),0)</x:f>
        <x:v>600</x:v>
      </x:c>
      <x:c r="I3621">
        <x:f t="shared" si="60"/>
        <x:v>4360</x:v>
      </x:c>
    </x:row>
    <x:row r="3622" spans="1:9" x14ac:dyDescent="0.15">
      <x:c r="A3622">
        <x:v>54201</x:v>
      </x:c>
      <x:c r="B3622">
        <x:v>1</x:v>
      </x:c>
      <x:c r="C3622">
        <x:v>21</x:v>
      </x:c>
      <x:c r="D3622">
        <x:f>ROUND($C3622*10*VLOOKUP($B3622,Sheet2!$J$5:$K$7,2,FALSE)*VLOOKUP(Sheet1!$A3622,Sheet2!$B$5:$H$29,3,FALSE),0)</x:f>
        <x:v>42</x:v>
      </x:c>
      <x:c r="E3622">
        <x:f>ROUND($C3622*10*VLOOKUP($B3622,Sheet2!$J$5:$K$7,2,FALSE)*VLOOKUP(Sheet1!$A3622,Sheet2!$B$5:$H$29,4,FALSE),0)</x:f>
        <x:v>0</x:v>
      </x:c>
      <x:c r="F3622">
        <x:f>ROUND($C3622*10*VLOOKUP($B3622,Sheet2!$J$5:$K$7,2,FALSE)*VLOOKUP(Sheet1!$A3622,Sheet2!$B$5:$H$29,5,FALSE),0)</x:f>
        <x:v>0</x:v>
      </x:c>
      <x:c r="G3622">
        <x:f>ROUND($C3622*10*VLOOKUP($B3622,Sheet2!$J$5:$K$7,2,FALSE)*VLOOKUP(Sheet1!$A3622,Sheet2!$B$5:$H$29,6,FALSE),0)</x:f>
        <x:v>0</x:v>
      </x:c>
      <x:c r="H3622">
        <x:f>ROUND($C3622*10*VLOOKUP($B3622,Sheet2!$J$5:$K$7,2,FALSE)*VLOOKUP(Sheet1!$A3622,Sheet2!$B$5:$H$29,7,FALSE),0)</x:f>
        <x:v>630</x:v>
      </x:c>
      <x:c r="I3622">
        <x:f t="shared" si="60"/>
        <x:v>4780</x:v>
      </x:c>
    </x:row>
    <x:row r="3623" spans="1:9" x14ac:dyDescent="0.15">
      <x:c r="A3623">
        <x:v>54201</x:v>
      </x:c>
      <x:c r="B3623">
        <x:v>1</x:v>
      </x:c>
      <x:c r="C3623">
        <x:v>22</x:v>
      </x:c>
      <x:c r="D3623">
        <x:f>ROUND($C3623*10*VLOOKUP($B3623,Sheet2!$J$5:$K$7,2,FALSE)*VLOOKUP(Sheet1!$A3623,Sheet2!$B$5:$H$29,3,FALSE),0)</x:f>
        <x:v>44</x:v>
      </x:c>
      <x:c r="E3623">
        <x:f>ROUND($C3623*10*VLOOKUP($B3623,Sheet2!$J$5:$K$7,2,FALSE)*VLOOKUP(Sheet1!$A3623,Sheet2!$B$5:$H$29,4,FALSE),0)</x:f>
        <x:v>0</x:v>
      </x:c>
      <x:c r="F3623">
        <x:f>ROUND($C3623*10*VLOOKUP($B3623,Sheet2!$J$5:$K$7,2,FALSE)*VLOOKUP(Sheet1!$A3623,Sheet2!$B$5:$H$29,5,FALSE),0)</x:f>
        <x:v>0</x:v>
      </x:c>
      <x:c r="G3623">
        <x:f>ROUND($C3623*10*VLOOKUP($B3623,Sheet2!$J$5:$K$7,2,FALSE)*VLOOKUP(Sheet1!$A3623,Sheet2!$B$5:$H$29,6,FALSE),0)</x:f>
        <x:v>0</x:v>
      </x:c>
      <x:c r="H3623">
        <x:f>ROUND($C3623*10*VLOOKUP($B3623,Sheet2!$J$5:$K$7,2,FALSE)*VLOOKUP(Sheet1!$A3623,Sheet2!$B$5:$H$29,7,FALSE),0)</x:f>
        <x:v>660</x:v>
      </x:c>
      <x:c r="I3623">
        <x:f t="shared" si="60"/>
        <x:v>5210</x:v>
      </x:c>
    </x:row>
    <x:row r="3624" spans="1:9" x14ac:dyDescent="0.15">
      <x:c r="A3624">
        <x:v>54201</x:v>
      </x:c>
      <x:c r="B3624">
        <x:v>1</x:v>
      </x:c>
      <x:c r="C3624">
        <x:v>23</x:v>
      </x:c>
      <x:c r="D3624">
        <x:f>ROUND($C3624*10*VLOOKUP($B3624,Sheet2!$J$5:$K$7,2,FALSE)*VLOOKUP(Sheet1!$A3624,Sheet2!$B$5:$H$29,3,FALSE),0)</x:f>
        <x:v>46</x:v>
      </x:c>
      <x:c r="E3624">
        <x:f>ROUND($C3624*10*VLOOKUP($B3624,Sheet2!$J$5:$K$7,2,FALSE)*VLOOKUP(Sheet1!$A3624,Sheet2!$B$5:$H$29,4,FALSE),0)</x:f>
        <x:v>0</x:v>
      </x:c>
      <x:c r="F3624">
        <x:f>ROUND($C3624*10*VLOOKUP($B3624,Sheet2!$J$5:$K$7,2,FALSE)*VLOOKUP(Sheet1!$A3624,Sheet2!$B$5:$H$29,5,FALSE),0)</x:f>
        <x:v>0</x:v>
      </x:c>
      <x:c r="G3624">
        <x:f>ROUND($C3624*10*VLOOKUP($B3624,Sheet2!$J$5:$K$7,2,FALSE)*VLOOKUP(Sheet1!$A3624,Sheet2!$B$5:$H$29,6,FALSE),0)</x:f>
        <x:v>0</x:v>
      </x:c>
      <x:c r="H3624">
        <x:f>ROUND($C3624*10*VLOOKUP($B3624,Sheet2!$J$5:$K$7,2,FALSE)*VLOOKUP(Sheet1!$A3624,Sheet2!$B$5:$H$29,7,FALSE),0)</x:f>
        <x:v>690</x:v>
      </x:c>
      <x:c r="I3624">
        <x:f t="shared" si="60"/>
        <x:v>5660</x:v>
      </x:c>
    </x:row>
    <x:row r="3625" spans="1:9" x14ac:dyDescent="0.15">
      <x:c r="A3625">
        <x:v>54201</x:v>
      </x:c>
      <x:c r="B3625">
        <x:v>1</x:v>
      </x:c>
      <x:c r="C3625">
        <x:v>24</x:v>
      </x:c>
      <x:c r="D3625">
        <x:f>ROUND($C3625*10*VLOOKUP($B3625,Sheet2!$J$5:$K$7,2,FALSE)*VLOOKUP(Sheet1!$A3625,Sheet2!$B$5:$H$29,3,FALSE),0)</x:f>
        <x:v>48</x:v>
      </x:c>
      <x:c r="E3625">
        <x:f>ROUND($C3625*10*VLOOKUP($B3625,Sheet2!$J$5:$K$7,2,FALSE)*VLOOKUP(Sheet1!$A3625,Sheet2!$B$5:$H$29,4,FALSE),0)</x:f>
        <x:v>0</x:v>
      </x:c>
      <x:c r="F3625">
        <x:f>ROUND($C3625*10*VLOOKUP($B3625,Sheet2!$J$5:$K$7,2,FALSE)*VLOOKUP(Sheet1!$A3625,Sheet2!$B$5:$H$29,5,FALSE),0)</x:f>
        <x:v>0</x:v>
      </x:c>
      <x:c r="G3625">
        <x:f>ROUND($C3625*10*VLOOKUP($B3625,Sheet2!$J$5:$K$7,2,FALSE)*VLOOKUP(Sheet1!$A3625,Sheet2!$B$5:$H$29,6,FALSE),0)</x:f>
        <x:v>0</x:v>
      </x:c>
      <x:c r="H3625">
        <x:f>ROUND($C3625*10*VLOOKUP($B3625,Sheet2!$J$5:$K$7,2,FALSE)*VLOOKUP(Sheet1!$A3625,Sheet2!$B$5:$H$29,7,FALSE),0)</x:f>
        <x:v>720</x:v>
      </x:c>
      <x:c r="I3625">
        <x:f t="shared" si="60"/>
        <x:v>6130</x:v>
      </x:c>
    </x:row>
    <x:row r="3626" spans="1:9" x14ac:dyDescent="0.15">
      <x:c r="A3626">
        <x:v>54201</x:v>
      </x:c>
      <x:c r="B3626">
        <x:v>1</x:v>
      </x:c>
      <x:c r="C3626">
        <x:v>25</x:v>
      </x:c>
      <x:c r="D3626">
        <x:f>ROUND($C3626*10*VLOOKUP($B3626,Sheet2!$J$5:$K$7,2,FALSE)*VLOOKUP(Sheet1!$A3626,Sheet2!$B$5:$H$29,3,FALSE),0)</x:f>
        <x:v>50</x:v>
      </x:c>
      <x:c r="E3626">
        <x:f>ROUND($C3626*10*VLOOKUP($B3626,Sheet2!$J$5:$K$7,2,FALSE)*VLOOKUP(Sheet1!$A3626,Sheet2!$B$5:$H$29,4,FALSE),0)</x:f>
        <x:v>0</x:v>
      </x:c>
      <x:c r="F3626">
        <x:f>ROUND($C3626*10*VLOOKUP($B3626,Sheet2!$J$5:$K$7,2,FALSE)*VLOOKUP(Sheet1!$A3626,Sheet2!$B$5:$H$29,5,FALSE),0)</x:f>
        <x:v>0</x:v>
      </x:c>
      <x:c r="G3626">
        <x:f>ROUND($C3626*10*VLOOKUP($B3626,Sheet2!$J$5:$K$7,2,FALSE)*VLOOKUP(Sheet1!$A3626,Sheet2!$B$5:$H$29,6,FALSE),0)</x:f>
        <x:v>0</x:v>
      </x:c>
      <x:c r="H3626">
        <x:f>ROUND($C3626*10*VLOOKUP($B3626,Sheet2!$J$5:$K$7,2,FALSE)*VLOOKUP(Sheet1!$A3626,Sheet2!$B$5:$H$29,7,FALSE),0)</x:f>
        <x:v>750</x:v>
      </x:c>
      <x:c r="I3626">
        <x:f t="shared" si="60"/>
        <x:v>6620</x:v>
      </x:c>
    </x:row>
    <x:row r="3627" spans="1:9" x14ac:dyDescent="0.15">
      <x:c r="A3627">
        <x:v>54201</x:v>
      </x:c>
      <x:c r="B3627">
        <x:v>1</x:v>
      </x:c>
      <x:c r="C3627">
        <x:v>26</x:v>
      </x:c>
      <x:c r="D3627">
        <x:f>ROUND($C3627*10*VLOOKUP($B3627,Sheet2!$J$5:$K$7,2,FALSE)*VLOOKUP(Sheet1!$A3627,Sheet2!$B$5:$H$29,3,FALSE),0)</x:f>
        <x:v>52</x:v>
      </x:c>
      <x:c r="E3627">
        <x:f>ROUND($C3627*10*VLOOKUP($B3627,Sheet2!$J$5:$K$7,2,FALSE)*VLOOKUP(Sheet1!$A3627,Sheet2!$B$5:$H$29,4,FALSE),0)</x:f>
        <x:v>0</x:v>
      </x:c>
      <x:c r="F3627">
        <x:f>ROUND($C3627*10*VLOOKUP($B3627,Sheet2!$J$5:$K$7,2,FALSE)*VLOOKUP(Sheet1!$A3627,Sheet2!$B$5:$H$29,5,FALSE),0)</x:f>
        <x:v>0</x:v>
      </x:c>
      <x:c r="G3627">
        <x:f>ROUND($C3627*10*VLOOKUP($B3627,Sheet2!$J$5:$K$7,2,FALSE)*VLOOKUP(Sheet1!$A3627,Sheet2!$B$5:$H$29,6,FALSE),0)</x:f>
        <x:v>0</x:v>
      </x:c>
      <x:c r="H3627">
        <x:f>ROUND($C3627*10*VLOOKUP($B3627,Sheet2!$J$5:$K$7,2,FALSE)*VLOOKUP(Sheet1!$A3627,Sheet2!$B$5:$H$29,7,FALSE),0)</x:f>
        <x:v>780</x:v>
      </x:c>
      <x:c r="I3627">
        <x:f t="shared" si="60"/>
        <x:v>7120</x:v>
      </x:c>
    </x:row>
    <x:row r="3628" spans="1:9" x14ac:dyDescent="0.15">
      <x:c r="A3628">
        <x:v>54201</x:v>
      </x:c>
      <x:c r="B3628">
        <x:v>1</x:v>
      </x:c>
      <x:c r="C3628">
        <x:v>27</x:v>
      </x:c>
      <x:c r="D3628">
        <x:f>ROUND($C3628*10*VLOOKUP($B3628,Sheet2!$J$5:$K$7,2,FALSE)*VLOOKUP(Sheet1!$A3628,Sheet2!$B$5:$H$29,3,FALSE),0)</x:f>
        <x:v>54</x:v>
      </x:c>
      <x:c r="E3628">
        <x:f>ROUND($C3628*10*VLOOKUP($B3628,Sheet2!$J$5:$K$7,2,FALSE)*VLOOKUP(Sheet1!$A3628,Sheet2!$B$5:$H$29,4,FALSE),0)</x:f>
        <x:v>0</x:v>
      </x:c>
      <x:c r="F3628">
        <x:f>ROUND($C3628*10*VLOOKUP($B3628,Sheet2!$J$5:$K$7,2,FALSE)*VLOOKUP(Sheet1!$A3628,Sheet2!$B$5:$H$29,5,FALSE),0)</x:f>
        <x:v>0</x:v>
      </x:c>
      <x:c r="G3628">
        <x:f>ROUND($C3628*10*VLOOKUP($B3628,Sheet2!$J$5:$K$7,2,FALSE)*VLOOKUP(Sheet1!$A3628,Sheet2!$B$5:$H$29,6,FALSE),0)</x:f>
        <x:v>0</x:v>
      </x:c>
      <x:c r="H3628">
        <x:f>ROUND($C3628*10*VLOOKUP($B3628,Sheet2!$J$5:$K$7,2,FALSE)*VLOOKUP(Sheet1!$A3628,Sheet2!$B$5:$H$29,7,FALSE),0)</x:f>
        <x:v>810</x:v>
      </x:c>
      <x:c r="I3628">
        <x:f t="shared" si="60"/>
        <x:v>7640</x:v>
      </x:c>
    </x:row>
    <x:row r="3629" spans="1:9" x14ac:dyDescent="0.15">
      <x:c r="A3629">
        <x:v>54201</x:v>
      </x:c>
      <x:c r="B3629">
        <x:v>1</x:v>
      </x:c>
      <x:c r="C3629">
        <x:v>28</x:v>
      </x:c>
      <x:c r="D3629">
        <x:f>ROUND($C3629*10*VLOOKUP($B3629,Sheet2!$J$5:$K$7,2,FALSE)*VLOOKUP(Sheet1!$A3629,Sheet2!$B$5:$H$29,3,FALSE),0)</x:f>
        <x:v>56</x:v>
      </x:c>
      <x:c r="E3629">
        <x:f>ROUND($C3629*10*VLOOKUP($B3629,Sheet2!$J$5:$K$7,2,FALSE)*VLOOKUP(Sheet1!$A3629,Sheet2!$B$5:$H$29,4,FALSE),0)</x:f>
        <x:v>0</x:v>
      </x:c>
      <x:c r="F3629">
        <x:f>ROUND($C3629*10*VLOOKUP($B3629,Sheet2!$J$5:$K$7,2,FALSE)*VLOOKUP(Sheet1!$A3629,Sheet2!$B$5:$H$29,5,FALSE),0)</x:f>
        <x:v>0</x:v>
      </x:c>
      <x:c r="G3629">
        <x:f>ROUND($C3629*10*VLOOKUP($B3629,Sheet2!$J$5:$K$7,2,FALSE)*VLOOKUP(Sheet1!$A3629,Sheet2!$B$5:$H$29,6,FALSE),0)</x:f>
        <x:v>0</x:v>
      </x:c>
      <x:c r="H3629">
        <x:f>ROUND($C3629*10*VLOOKUP($B3629,Sheet2!$J$5:$K$7,2,FALSE)*VLOOKUP(Sheet1!$A3629,Sheet2!$B$5:$H$29,7,FALSE),0)</x:f>
        <x:v>840</x:v>
      </x:c>
      <x:c r="I3629">
        <x:f t="shared" si="60"/>
        <x:v>8180</x:v>
      </x:c>
    </x:row>
    <x:row r="3630" spans="1:9" x14ac:dyDescent="0.15">
      <x:c r="A3630">
        <x:v>54201</x:v>
      </x:c>
      <x:c r="B3630">
        <x:v>1</x:v>
      </x:c>
      <x:c r="C3630">
        <x:v>29</x:v>
      </x:c>
      <x:c r="D3630">
        <x:f>ROUND($C3630*10*VLOOKUP($B3630,Sheet2!$J$5:$K$7,2,FALSE)*VLOOKUP(Sheet1!$A3630,Sheet2!$B$5:$H$29,3,FALSE),0)</x:f>
        <x:v>58</x:v>
      </x:c>
      <x:c r="E3630">
        <x:f>ROUND($C3630*10*VLOOKUP($B3630,Sheet2!$J$5:$K$7,2,FALSE)*VLOOKUP(Sheet1!$A3630,Sheet2!$B$5:$H$29,4,FALSE),0)</x:f>
        <x:v>0</x:v>
      </x:c>
      <x:c r="F3630">
        <x:f>ROUND($C3630*10*VLOOKUP($B3630,Sheet2!$J$5:$K$7,2,FALSE)*VLOOKUP(Sheet1!$A3630,Sheet2!$B$5:$H$29,5,FALSE),0)</x:f>
        <x:v>0</x:v>
      </x:c>
      <x:c r="G3630">
        <x:f>ROUND($C3630*10*VLOOKUP($B3630,Sheet2!$J$5:$K$7,2,FALSE)*VLOOKUP(Sheet1!$A3630,Sheet2!$B$5:$H$29,6,FALSE),0)</x:f>
        <x:v>0</x:v>
      </x:c>
      <x:c r="H3630">
        <x:f>ROUND($C3630*10*VLOOKUP($B3630,Sheet2!$J$5:$K$7,2,FALSE)*VLOOKUP(Sheet1!$A3630,Sheet2!$B$5:$H$29,7,FALSE),0)</x:f>
        <x:v>870</x:v>
      </x:c>
      <x:c r="I3630">
        <x:f t="shared" si="60"/>
        <x:v>8730</x:v>
      </x:c>
    </x:row>
    <x:row r="3631" spans="1:9" x14ac:dyDescent="0.15">
      <x:c r="A3631">
        <x:v>54201</x:v>
      </x:c>
      <x:c r="B3631">
        <x:v>1</x:v>
      </x:c>
      <x:c r="C3631">
        <x:v>30</x:v>
      </x:c>
      <x:c r="D3631">
        <x:f>ROUND($C3631*10*VLOOKUP($B3631,Sheet2!$J$5:$K$7,2,FALSE)*VLOOKUP(Sheet1!$A3631,Sheet2!$B$5:$H$29,3,FALSE),0)</x:f>
        <x:v>60</x:v>
      </x:c>
      <x:c r="E3631">
        <x:f>ROUND($C3631*10*VLOOKUP($B3631,Sheet2!$J$5:$K$7,2,FALSE)*VLOOKUP(Sheet1!$A3631,Sheet2!$B$5:$H$29,4,FALSE),0)</x:f>
        <x:v>0</x:v>
      </x:c>
      <x:c r="F3631">
        <x:f>ROUND($C3631*10*VLOOKUP($B3631,Sheet2!$J$5:$K$7,2,FALSE)*VLOOKUP(Sheet1!$A3631,Sheet2!$B$5:$H$29,5,FALSE),0)</x:f>
        <x:v>0</x:v>
      </x:c>
      <x:c r="G3631">
        <x:f>ROUND($C3631*10*VLOOKUP($B3631,Sheet2!$J$5:$K$7,2,FALSE)*VLOOKUP(Sheet1!$A3631,Sheet2!$B$5:$H$29,6,FALSE),0)</x:f>
        <x:v>0</x:v>
      </x:c>
      <x:c r="H3631">
        <x:f>ROUND($C3631*10*VLOOKUP($B3631,Sheet2!$J$5:$K$7,2,FALSE)*VLOOKUP(Sheet1!$A3631,Sheet2!$B$5:$H$29,7,FALSE),0)</x:f>
        <x:v>900</x:v>
      </x:c>
      <x:c r="I3631">
        <x:f t="shared" si="60"/>
        <x:v>9290</x:v>
      </x:c>
    </x:row>
    <x:row r="3632" spans="1:9" x14ac:dyDescent="0.15">
      <x:c r="A3632">
        <x:v>54201</x:v>
      </x:c>
      <x:c r="B3632">
        <x:v>1</x:v>
      </x:c>
      <x:c r="C3632">
        <x:v>31</x:v>
      </x:c>
      <x:c r="D3632">
        <x:f>ROUND($C3632*10*VLOOKUP($B3632,Sheet2!$J$5:$K$7,2,FALSE)*VLOOKUP(Sheet1!$A3632,Sheet2!$B$5:$H$29,3,FALSE),0)</x:f>
        <x:v>62</x:v>
      </x:c>
      <x:c r="E3632">
        <x:f>ROUND($C3632*10*VLOOKUP($B3632,Sheet2!$J$5:$K$7,2,FALSE)*VLOOKUP(Sheet1!$A3632,Sheet2!$B$5:$H$29,4,FALSE),0)</x:f>
        <x:v>0</x:v>
      </x:c>
      <x:c r="F3632">
        <x:f>ROUND($C3632*10*VLOOKUP($B3632,Sheet2!$J$5:$K$7,2,FALSE)*VLOOKUP(Sheet1!$A3632,Sheet2!$B$5:$H$29,5,FALSE),0)</x:f>
        <x:v>0</x:v>
      </x:c>
      <x:c r="G3632">
        <x:f>ROUND($C3632*10*VLOOKUP($B3632,Sheet2!$J$5:$K$7,2,FALSE)*VLOOKUP(Sheet1!$A3632,Sheet2!$B$5:$H$29,6,FALSE),0)</x:f>
        <x:v>0</x:v>
      </x:c>
      <x:c r="H3632">
        <x:f>ROUND($C3632*10*VLOOKUP($B3632,Sheet2!$J$5:$K$7,2,FALSE)*VLOOKUP(Sheet1!$A3632,Sheet2!$B$5:$H$29,7,FALSE),0)</x:f>
        <x:v>930</x:v>
      </x:c>
      <x:c r="I3632">
        <x:f t="shared" si="60"/>
        <x:v>9880</x:v>
      </x:c>
    </x:row>
    <x:row r="3633" spans="1:9" x14ac:dyDescent="0.15">
      <x:c r="A3633">
        <x:v>54201</x:v>
      </x:c>
      <x:c r="B3633">
        <x:v>1</x:v>
      </x:c>
      <x:c r="C3633">
        <x:v>32</x:v>
      </x:c>
      <x:c r="D3633">
        <x:f>ROUND($C3633*10*VLOOKUP($B3633,Sheet2!$J$5:$K$7,2,FALSE)*VLOOKUP(Sheet1!$A3633,Sheet2!$B$5:$H$29,3,FALSE),0)</x:f>
        <x:v>64</x:v>
      </x:c>
      <x:c r="E3633">
        <x:f>ROUND($C3633*10*VLOOKUP($B3633,Sheet2!$J$5:$K$7,2,FALSE)*VLOOKUP(Sheet1!$A3633,Sheet2!$B$5:$H$29,4,FALSE),0)</x:f>
        <x:v>0</x:v>
      </x:c>
      <x:c r="F3633">
        <x:f>ROUND($C3633*10*VLOOKUP($B3633,Sheet2!$J$5:$K$7,2,FALSE)*VLOOKUP(Sheet1!$A3633,Sheet2!$B$5:$H$29,5,FALSE),0)</x:f>
        <x:v>0</x:v>
      </x:c>
      <x:c r="G3633">
        <x:f>ROUND($C3633*10*VLOOKUP($B3633,Sheet2!$J$5:$K$7,2,FALSE)*VLOOKUP(Sheet1!$A3633,Sheet2!$B$5:$H$29,6,FALSE),0)</x:f>
        <x:v>0</x:v>
      </x:c>
      <x:c r="H3633">
        <x:f>ROUND($C3633*10*VLOOKUP($B3633,Sheet2!$J$5:$K$7,2,FALSE)*VLOOKUP(Sheet1!$A3633,Sheet2!$B$5:$H$29,7,FALSE),0)</x:f>
        <x:v>960</x:v>
      </x:c>
      <x:c r="I3633">
        <x:f t="shared" si="60"/>
        <x:v>10470</x:v>
      </x:c>
    </x:row>
    <x:row r="3634" spans="1:9" x14ac:dyDescent="0.15">
      <x:c r="A3634">
        <x:v>54201</x:v>
      </x:c>
      <x:c r="B3634">
        <x:v>1</x:v>
      </x:c>
      <x:c r="C3634">
        <x:v>33</x:v>
      </x:c>
      <x:c r="D3634">
        <x:f>ROUND($C3634*10*VLOOKUP($B3634,Sheet2!$J$5:$K$7,2,FALSE)*VLOOKUP(Sheet1!$A3634,Sheet2!$B$5:$H$29,3,FALSE),0)</x:f>
        <x:v>66</x:v>
      </x:c>
      <x:c r="E3634">
        <x:f>ROUND($C3634*10*VLOOKUP($B3634,Sheet2!$J$5:$K$7,2,FALSE)*VLOOKUP(Sheet1!$A3634,Sheet2!$B$5:$H$29,4,FALSE),0)</x:f>
        <x:v>0</x:v>
      </x:c>
      <x:c r="F3634">
        <x:f>ROUND($C3634*10*VLOOKUP($B3634,Sheet2!$J$5:$K$7,2,FALSE)*VLOOKUP(Sheet1!$A3634,Sheet2!$B$5:$H$29,5,FALSE),0)</x:f>
        <x:v>0</x:v>
      </x:c>
      <x:c r="G3634">
        <x:f>ROUND($C3634*10*VLOOKUP($B3634,Sheet2!$J$5:$K$7,2,FALSE)*VLOOKUP(Sheet1!$A3634,Sheet2!$B$5:$H$29,6,FALSE),0)</x:f>
        <x:v>0</x:v>
      </x:c>
      <x:c r="H3634">
        <x:f>ROUND($C3634*10*VLOOKUP($B3634,Sheet2!$J$5:$K$7,2,FALSE)*VLOOKUP(Sheet1!$A3634,Sheet2!$B$5:$H$29,7,FALSE),0)</x:f>
        <x:v>990</x:v>
      </x:c>
      <x:c r="I3634">
        <x:f t="shared" si="60"/>
        <x:v>11090</x:v>
      </x:c>
    </x:row>
    <x:row r="3635" spans="1:9" x14ac:dyDescent="0.15">
      <x:c r="A3635">
        <x:v>54201</x:v>
      </x:c>
      <x:c r="B3635">
        <x:v>1</x:v>
      </x:c>
      <x:c r="C3635">
        <x:v>34</x:v>
      </x:c>
      <x:c r="D3635">
        <x:f>ROUND($C3635*10*VLOOKUP($B3635,Sheet2!$J$5:$K$7,2,FALSE)*VLOOKUP(Sheet1!$A3635,Sheet2!$B$5:$H$29,3,FALSE),0)</x:f>
        <x:v>68</x:v>
      </x:c>
      <x:c r="E3635">
        <x:f>ROUND($C3635*10*VLOOKUP($B3635,Sheet2!$J$5:$K$7,2,FALSE)*VLOOKUP(Sheet1!$A3635,Sheet2!$B$5:$H$29,4,FALSE),0)</x:f>
        <x:v>0</x:v>
      </x:c>
      <x:c r="F3635">
        <x:f>ROUND($C3635*10*VLOOKUP($B3635,Sheet2!$J$5:$K$7,2,FALSE)*VLOOKUP(Sheet1!$A3635,Sheet2!$B$5:$H$29,5,FALSE),0)</x:f>
        <x:v>0</x:v>
      </x:c>
      <x:c r="G3635">
        <x:f>ROUND($C3635*10*VLOOKUP($B3635,Sheet2!$J$5:$K$7,2,FALSE)*VLOOKUP(Sheet1!$A3635,Sheet2!$B$5:$H$29,6,FALSE),0)</x:f>
        <x:v>0</x:v>
      </x:c>
      <x:c r="H3635">
        <x:f>ROUND($C3635*10*VLOOKUP($B3635,Sheet2!$J$5:$K$7,2,FALSE)*VLOOKUP(Sheet1!$A3635,Sheet2!$B$5:$H$29,7,FALSE),0)</x:f>
        <x:v>1020</x:v>
      </x:c>
      <x:c r="I3635">
        <x:f t="shared" si="60"/>
        <x:v>11720</x:v>
      </x:c>
    </x:row>
    <x:row r="3636" spans="1:9" x14ac:dyDescent="0.15">
      <x:c r="A3636">
        <x:v>54201</x:v>
      </x:c>
      <x:c r="B3636">
        <x:v>1</x:v>
      </x:c>
      <x:c r="C3636">
        <x:v>35</x:v>
      </x:c>
      <x:c r="D3636">
        <x:f>ROUND($C3636*10*VLOOKUP($B3636,Sheet2!$J$5:$K$7,2,FALSE)*VLOOKUP(Sheet1!$A3636,Sheet2!$B$5:$H$29,3,FALSE),0)</x:f>
        <x:v>70</x:v>
      </x:c>
      <x:c r="E3636">
        <x:f>ROUND($C3636*10*VLOOKUP($B3636,Sheet2!$J$5:$K$7,2,FALSE)*VLOOKUP(Sheet1!$A3636,Sheet2!$B$5:$H$29,4,FALSE),0)</x:f>
        <x:v>0</x:v>
      </x:c>
      <x:c r="F3636">
        <x:f>ROUND($C3636*10*VLOOKUP($B3636,Sheet2!$J$5:$K$7,2,FALSE)*VLOOKUP(Sheet1!$A3636,Sheet2!$B$5:$H$29,5,FALSE),0)</x:f>
        <x:v>0</x:v>
      </x:c>
      <x:c r="G3636">
        <x:f>ROUND($C3636*10*VLOOKUP($B3636,Sheet2!$J$5:$K$7,2,FALSE)*VLOOKUP(Sheet1!$A3636,Sheet2!$B$5:$H$29,6,FALSE),0)</x:f>
        <x:v>0</x:v>
      </x:c>
      <x:c r="H3636">
        <x:f>ROUND($C3636*10*VLOOKUP($B3636,Sheet2!$J$5:$K$7,2,FALSE)*VLOOKUP(Sheet1!$A3636,Sheet2!$B$5:$H$29,7,FALSE),0)</x:f>
        <x:v>1050</x:v>
      </x:c>
      <x:c r="I3636">
        <x:f t="shared" si="60"/>
        <x:v>12360</x:v>
      </x:c>
    </x:row>
    <x:row r="3637" spans="1:9" x14ac:dyDescent="0.15">
      <x:c r="A3637">
        <x:v>54201</x:v>
      </x:c>
      <x:c r="B3637">
        <x:v>1</x:v>
      </x:c>
      <x:c r="C3637">
        <x:v>36</x:v>
      </x:c>
      <x:c r="D3637">
        <x:f>ROUND($C3637*10*VLOOKUP($B3637,Sheet2!$J$5:$K$7,2,FALSE)*VLOOKUP(Sheet1!$A3637,Sheet2!$B$5:$H$29,3,FALSE),0)</x:f>
        <x:v>72</x:v>
      </x:c>
      <x:c r="E3637">
        <x:f>ROUND($C3637*10*VLOOKUP($B3637,Sheet2!$J$5:$K$7,2,FALSE)*VLOOKUP(Sheet1!$A3637,Sheet2!$B$5:$H$29,4,FALSE),0)</x:f>
        <x:v>0</x:v>
      </x:c>
      <x:c r="F3637">
        <x:f>ROUND($C3637*10*VLOOKUP($B3637,Sheet2!$J$5:$K$7,2,FALSE)*VLOOKUP(Sheet1!$A3637,Sheet2!$B$5:$H$29,5,FALSE),0)</x:f>
        <x:v>0</x:v>
      </x:c>
      <x:c r="G3637">
        <x:f>ROUND($C3637*10*VLOOKUP($B3637,Sheet2!$J$5:$K$7,2,FALSE)*VLOOKUP(Sheet1!$A3637,Sheet2!$B$5:$H$29,6,FALSE),0)</x:f>
        <x:v>0</x:v>
      </x:c>
      <x:c r="H3637">
        <x:f>ROUND($C3637*10*VLOOKUP($B3637,Sheet2!$J$5:$K$7,2,FALSE)*VLOOKUP(Sheet1!$A3637,Sheet2!$B$5:$H$29,7,FALSE),0)</x:f>
        <x:v>1080</x:v>
      </x:c>
      <x:c r="I3637">
        <x:f t="shared" si="60"/>
        <x:v>13020</x:v>
      </x:c>
    </x:row>
    <x:row r="3638" spans="1:9" x14ac:dyDescent="0.15">
      <x:c r="A3638">
        <x:v>54201</x:v>
      </x:c>
      <x:c r="B3638">
        <x:v>1</x:v>
      </x:c>
      <x:c r="C3638">
        <x:v>37</x:v>
      </x:c>
      <x:c r="D3638">
        <x:f>ROUND($C3638*10*VLOOKUP($B3638,Sheet2!$J$5:$K$7,2,FALSE)*VLOOKUP(Sheet1!$A3638,Sheet2!$B$5:$H$29,3,FALSE),0)</x:f>
        <x:v>74</x:v>
      </x:c>
      <x:c r="E3638">
        <x:f>ROUND($C3638*10*VLOOKUP($B3638,Sheet2!$J$5:$K$7,2,FALSE)*VLOOKUP(Sheet1!$A3638,Sheet2!$B$5:$H$29,4,FALSE),0)</x:f>
        <x:v>0</x:v>
      </x:c>
      <x:c r="F3638">
        <x:f>ROUND($C3638*10*VLOOKUP($B3638,Sheet2!$J$5:$K$7,2,FALSE)*VLOOKUP(Sheet1!$A3638,Sheet2!$B$5:$H$29,5,FALSE),0)</x:f>
        <x:v>0</x:v>
      </x:c>
      <x:c r="G3638">
        <x:f>ROUND($C3638*10*VLOOKUP($B3638,Sheet2!$J$5:$K$7,2,FALSE)*VLOOKUP(Sheet1!$A3638,Sheet2!$B$5:$H$29,6,FALSE),0)</x:f>
        <x:v>0</x:v>
      </x:c>
      <x:c r="H3638">
        <x:f>ROUND($C3638*10*VLOOKUP($B3638,Sheet2!$J$5:$K$7,2,FALSE)*VLOOKUP(Sheet1!$A3638,Sheet2!$B$5:$H$29,7,FALSE),0)</x:f>
        <x:v>1110</x:v>
      </x:c>
      <x:c r="I3638">
        <x:f t="shared" si="60"/>
        <x:v>13700</x:v>
      </x:c>
    </x:row>
    <x:row r="3639" spans="1:9" x14ac:dyDescent="0.15">
      <x:c r="A3639">
        <x:v>54201</x:v>
      </x:c>
      <x:c r="B3639">
        <x:v>1</x:v>
      </x:c>
      <x:c r="C3639">
        <x:v>38</x:v>
      </x:c>
      <x:c r="D3639">
        <x:f>ROUND($C3639*10*VLOOKUP($B3639,Sheet2!$J$5:$K$7,2,FALSE)*VLOOKUP(Sheet1!$A3639,Sheet2!$B$5:$H$29,3,FALSE),0)</x:f>
        <x:v>76</x:v>
      </x:c>
      <x:c r="E3639">
        <x:f>ROUND($C3639*10*VLOOKUP($B3639,Sheet2!$J$5:$K$7,2,FALSE)*VLOOKUP(Sheet1!$A3639,Sheet2!$B$5:$H$29,4,FALSE),0)</x:f>
        <x:v>0</x:v>
      </x:c>
      <x:c r="F3639">
        <x:f>ROUND($C3639*10*VLOOKUP($B3639,Sheet2!$J$5:$K$7,2,FALSE)*VLOOKUP(Sheet1!$A3639,Sheet2!$B$5:$H$29,5,FALSE),0)</x:f>
        <x:v>0</x:v>
      </x:c>
      <x:c r="G3639">
        <x:f>ROUND($C3639*10*VLOOKUP($B3639,Sheet2!$J$5:$K$7,2,FALSE)*VLOOKUP(Sheet1!$A3639,Sheet2!$B$5:$H$29,6,FALSE),0)</x:f>
        <x:v>0</x:v>
      </x:c>
      <x:c r="H3639">
        <x:f>ROUND($C3639*10*VLOOKUP($B3639,Sheet2!$J$5:$K$7,2,FALSE)*VLOOKUP(Sheet1!$A3639,Sheet2!$B$5:$H$29,7,FALSE),0)</x:f>
        <x:v>1140</x:v>
      </x:c>
      <x:c r="I3639">
        <x:f t="shared" si="60"/>
        <x:v>14390</x:v>
      </x:c>
    </x:row>
    <x:row r="3640" spans="1:9" x14ac:dyDescent="0.15">
      <x:c r="A3640">
        <x:v>54201</x:v>
      </x:c>
      <x:c r="B3640">
        <x:v>1</x:v>
      </x:c>
      <x:c r="C3640">
        <x:v>39</x:v>
      </x:c>
      <x:c r="D3640">
        <x:f>ROUND($C3640*10*VLOOKUP($B3640,Sheet2!$J$5:$K$7,2,FALSE)*VLOOKUP(Sheet1!$A3640,Sheet2!$B$5:$H$29,3,FALSE),0)</x:f>
        <x:v>78</x:v>
      </x:c>
      <x:c r="E3640">
        <x:f>ROUND($C3640*10*VLOOKUP($B3640,Sheet2!$J$5:$K$7,2,FALSE)*VLOOKUP(Sheet1!$A3640,Sheet2!$B$5:$H$29,4,FALSE),0)</x:f>
        <x:v>0</x:v>
      </x:c>
      <x:c r="F3640">
        <x:f>ROUND($C3640*10*VLOOKUP($B3640,Sheet2!$J$5:$K$7,2,FALSE)*VLOOKUP(Sheet1!$A3640,Sheet2!$B$5:$H$29,5,FALSE),0)</x:f>
        <x:v>0</x:v>
      </x:c>
      <x:c r="G3640">
        <x:f>ROUND($C3640*10*VLOOKUP($B3640,Sheet2!$J$5:$K$7,2,FALSE)*VLOOKUP(Sheet1!$A3640,Sheet2!$B$5:$H$29,6,FALSE),0)</x:f>
        <x:v>0</x:v>
      </x:c>
      <x:c r="H3640">
        <x:f>ROUND($C3640*10*VLOOKUP($B3640,Sheet2!$J$5:$K$7,2,FALSE)*VLOOKUP(Sheet1!$A3640,Sheet2!$B$5:$H$29,7,FALSE),0)</x:f>
        <x:v>1170</x:v>
      </x:c>
      <x:c r="I3640">
        <x:f t="shared" si="60"/>
        <x:v>15100</x:v>
      </x:c>
    </x:row>
    <x:row r="3641" spans="1:9" x14ac:dyDescent="0.15">
      <x:c r="A3641">
        <x:v>54201</x:v>
      </x:c>
      <x:c r="B3641">
        <x:v>1</x:v>
      </x:c>
      <x:c r="C3641">
        <x:v>40</x:v>
      </x:c>
      <x:c r="D3641">
        <x:f>ROUND($C3641*10*VLOOKUP($B3641,Sheet2!$J$5:$K$7,2,FALSE)*VLOOKUP(Sheet1!$A3641,Sheet2!$B$5:$H$29,3,FALSE),0)</x:f>
        <x:v>80</x:v>
      </x:c>
      <x:c r="E3641">
        <x:f>ROUND($C3641*10*VLOOKUP($B3641,Sheet2!$J$5:$K$7,2,FALSE)*VLOOKUP(Sheet1!$A3641,Sheet2!$B$5:$H$29,4,FALSE),0)</x:f>
        <x:v>0</x:v>
      </x:c>
      <x:c r="F3641">
        <x:f>ROUND($C3641*10*VLOOKUP($B3641,Sheet2!$J$5:$K$7,2,FALSE)*VLOOKUP(Sheet1!$A3641,Sheet2!$B$5:$H$29,5,FALSE),0)</x:f>
        <x:v>0</x:v>
      </x:c>
      <x:c r="G3641">
        <x:f>ROUND($C3641*10*VLOOKUP($B3641,Sheet2!$J$5:$K$7,2,FALSE)*VLOOKUP(Sheet1!$A3641,Sheet2!$B$5:$H$29,6,FALSE),0)</x:f>
        <x:v>0</x:v>
      </x:c>
      <x:c r="H3641">
        <x:f>ROUND($C3641*10*VLOOKUP($B3641,Sheet2!$J$5:$K$7,2,FALSE)*VLOOKUP(Sheet1!$A3641,Sheet2!$B$5:$H$29,7,FALSE),0)</x:f>
        <x:v>1200</x:v>
      </x:c>
      <x:c r="I3641">
        <x:f t="shared" si="60"/>
        <x:v>15820</x:v>
      </x:c>
    </x:row>
    <x:row r="3642" spans="1:9" x14ac:dyDescent="0.15">
      <x:c r="A3642">
        <x:v>54201</x:v>
      </x:c>
      <x:c r="B3642">
        <x:v>1</x:v>
      </x:c>
      <x:c r="C3642">
        <x:v>41</x:v>
      </x:c>
      <x:c r="D3642">
        <x:f>ROUND($C3642*10*VLOOKUP($B3642,Sheet2!$J$5:$K$7,2,FALSE)*VLOOKUP(Sheet1!$A3642,Sheet2!$B$5:$H$29,3,FALSE),0)</x:f>
        <x:v>82</x:v>
      </x:c>
      <x:c r="E3642">
        <x:f>ROUND($C3642*10*VLOOKUP($B3642,Sheet2!$J$5:$K$7,2,FALSE)*VLOOKUP(Sheet1!$A3642,Sheet2!$B$5:$H$29,4,FALSE),0)</x:f>
        <x:v>0</x:v>
      </x:c>
      <x:c r="F3642">
        <x:f>ROUND($C3642*10*VLOOKUP($B3642,Sheet2!$J$5:$K$7,2,FALSE)*VLOOKUP(Sheet1!$A3642,Sheet2!$B$5:$H$29,5,FALSE),0)</x:f>
        <x:v>0</x:v>
      </x:c>
      <x:c r="G3642">
        <x:f>ROUND($C3642*10*VLOOKUP($B3642,Sheet2!$J$5:$K$7,2,FALSE)*VLOOKUP(Sheet1!$A3642,Sheet2!$B$5:$H$29,6,FALSE),0)</x:f>
        <x:v>0</x:v>
      </x:c>
      <x:c r="H3642">
        <x:f>ROUND($C3642*10*VLOOKUP($B3642,Sheet2!$J$5:$K$7,2,FALSE)*VLOOKUP(Sheet1!$A3642,Sheet2!$B$5:$H$29,7,FALSE),0)</x:f>
        <x:v>1230</x:v>
      </x:c>
      <x:c r="I3642">
        <x:f t="shared" si="60"/>
        <x:v>16560</x:v>
      </x:c>
    </x:row>
    <x:row r="3643" spans="1:9" x14ac:dyDescent="0.15">
      <x:c r="A3643">
        <x:v>54201</x:v>
      </x:c>
      <x:c r="B3643">
        <x:v>1</x:v>
      </x:c>
      <x:c r="C3643">
        <x:v>42</x:v>
      </x:c>
      <x:c r="D3643">
        <x:f>ROUND($C3643*10*VLOOKUP($B3643,Sheet2!$J$5:$K$7,2,FALSE)*VLOOKUP(Sheet1!$A3643,Sheet2!$B$5:$H$29,3,FALSE),0)</x:f>
        <x:v>84</x:v>
      </x:c>
      <x:c r="E3643">
        <x:f>ROUND($C3643*10*VLOOKUP($B3643,Sheet2!$J$5:$K$7,2,FALSE)*VLOOKUP(Sheet1!$A3643,Sheet2!$B$5:$H$29,4,FALSE),0)</x:f>
        <x:v>0</x:v>
      </x:c>
      <x:c r="F3643">
        <x:f>ROUND($C3643*10*VLOOKUP($B3643,Sheet2!$J$5:$K$7,2,FALSE)*VLOOKUP(Sheet1!$A3643,Sheet2!$B$5:$H$29,5,FALSE),0)</x:f>
        <x:v>0</x:v>
      </x:c>
      <x:c r="G3643">
        <x:f>ROUND($C3643*10*VLOOKUP($B3643,Sheet2!$J$5:$K$7,2,FALSE)*VLOOKUP(Sheet1!$A3643,Sheet2!$B$5:$H$29,6,FALSE),0)</x:f>
        <x:v>0</x:v>
      </x:c>
      <x:c r="H3643">
        <x:f>ROUND($C3643*10*VLOOKUP($B3643,Sheet2!$J$5:$K$7,2,FALSE)*VLOOKUP(Sheet1!$A3643,Sheet2!$B$5:$H$29,7,FALSE),0)</x:f>
        <x:v>1260</x:v>
      </x:c>
      <x:c r="I3643">
        <x:f t="shared" si="60"/>
        <x:v>17310</x:v>
      </x:c>
    </x:row>
    <x:row r="3644" spans="1:9" x14ac:dyDescent="0.15">
      <x:c r="A3644">
        <x:v>54201</x:v>
      </x:c>
      <x:c r="B3644">
        <x:v>1</x:v>
      </x:c>
      <x:c r="C3644">
        <x:v>43</x:v>
      </x:c>
      <x:c r="D3644">
        <x:f>ROUND($C3644*10*VLOOKUP($B3644,Sheet2!$J$5:$K$7,2,FALSE)*VLOOKUP(Sheet1!$A3644,Sheet2!$B$5:$H$29,3,FALSE),0)</x:f>
        <x:v>86</x:v>
      </x:c>
      <x:c r="E3644">
        <x:f>ROUND($C3644*10*VLOOKUP($B3644,Sheet2!$J$5:$K$7,2,FALSE)*VLOOKUP(Sheet1!$A3644,Sheet2!$B$5:$H$29,4,FALSE),0)</x:f>
        <x:v>0</x:v>
      </x:c>
      <x:c r="F3644">
        <x:f>ROUND($C3644*10*VLOOKUP($B3644,Sheet2!$J$5:$K$7,2,FALSE)*VLOOKUP(Sheet1!$A3644,Sheet2!$B$5:$H$29,5,FALSE),0)</x:f>
        <x:v>0</x:v>
      </x:c>
      <x:c r="G3644">
        <x:f>ROUND($C3644*10*VLOOKUP($B3644,Sheet2!$J$5:$K$7,2,FALSE)*VLOOKUP(Sheet1!$A3644,Sheet2!$B$5:$H$29,6,FALSE),0)</x:f>
        <x:v>0</x:v>
      </x:c>
      <x:c r="H3644">
        <x:f>ROUND($C3644*10*VLOOKUP($B3644,Sheet2!$J$5:$K$7,2,FALSE)*VLOOKUP(Sheet1!$A3644,Sheet2!$B$5:$H$29,7,FALSE),0)</x:f>
        <x:v>1290</x:v>
      </x:c>
      <x:c r="I3644">
        <x:f t="shared" si="60"/>
        <x:v>18070</x:v>
      </x:c>
    </x:row>
    <x:row r="3645" spans="1:9" x14ac:dyDescent="0.15">
      <x:c r="A3645">
        <x:v>54201</x:v>
      </x:c>
      <x:c r="B3645">
        <x:v>1</x:v>
      </x:c>
      <x:c r="C3645">
        <x:v>44</x:v>
      </x:c>
      <x:c r="D3645">
        <x:f>ROUND($C3645*10*VLOOKUP($B3645,Sheet2!$J$5:$K$7,2,FALSE)*VLOOKUP(Sheet1!$A3645,Sheet2!$B$5:$H$29,3,FALSE),0)</x:f>
        <x:v>88</x:v>
      </x:c>
      <x:c r="E3645">
        <x:f>ROUND($C3645*10*VLOOKUP($B3645,Sheet2!$J$5:$K$7,2,FALSE)*VLOOKUP(Sheet1!$A3645,Sheet2!$B$5:$H$29,4,FALSE),0)</x:f>
        <x:v>0</x:v>
      </x:c>
      <x:c r="F3645">
        <x:f>ROUND($C3645*10*VLOOKUP($B3645,Sheet2!$J$5:$K$7,2,FALSE)*VLOOKUP(Sheet1!$A3645,Sheet2!$B$5:$H$29,5,FALSE),0)</x:f>
        <x:v>0</x:v>
      </x:c>
      <x:c r="G3645">
        <x:f>ROUND($C3645*10*VLOOKUP($B3645,Sheet2!$J$5:$K$7,2,FALSE)*VLOOKUP(Sheet1!$A3645,Sheet2!$B$5:$H$29,6,FALSE),0)</x:f>
        <x:v>0</x:v>
      </x:c>
      <x:c r="H3645">
        <x:f>ROUND($C3645*10*VLOOKUP($B3645,Sheet2!$J$5:$K$7,2,FALSE)*VLOOKUP(Sheet1!$A3645,Sheet2!$B$5:$H$29,7,FALSE),0)</x:f>
        <x:v>1320</x:v>
      </x:c>
      <x:c r="I3645">
        <x:f t="shared" si="60"/>
        <x:v>18850</x:v>
      </x:c>
    </x:row>
    <x:row r="3646" spans="1:9" x14ac:dyDescent="0.15">
      <x:c r="A3646">
        <x:v>54201</x:v>
      </x:c>
      <x:c r="B3646">
        <x:v>1</x:v>
      </x:c>
      <x:c r="C3646">
        <x:v>45</x:v>
      </x:c>
      <x:c r="D3646">
        <x:f>ROUND($C3646*10*VLOOKUP($B3646,Sheet2!$J$5:$K$7,2,FALSE)*VLOOKUP(Sheet1!$A3646,Sheet2!$B$5:$H$29,3,FALSE),0)</x:f>
        <x:v>90</x:v>
      </x:c>
      <x:c r="E3646">
        <x:f>ROUND($C3646*10*VLOOKUP($B3646,Sheet2!$J$5:$K$7,2,FALSE)*VLOOKUP(Sheet1!$A3646,Sheet2!$B$5:$H$29,4,FALSE),0)</x:f>
        <x:v>0</x:v>
      </x:c>
      <x:c r="F3646">
        <x:f>ROUND($C3646*10*VLOOKUP($B3646,Sheet2!$J$5:$K$7,2,FALSE)*VLOOKUP(Sheet1!$A3646,Sheet2!$B$5:$H$29,5,FALSE),0)</x:f>
        <x:v>0</x:v>
      </x:c>
      <x:c r="G3646">
        <x:f>ROUND($C3646*10*VLOOKUP($B3646,Sheet2!$J$5:$K$7,2,FALSE)*VLOOKUP(Sheet1!$A3646,Sheet2!$B$5:$H$29,6,FALSE),0)</x:f>
        <x:v>0</x:v>
      </x:c>
      <x:c r="H3646">
        <x:f>ROUND($C3646*10*VLOOKUP($B3646,Sheet2!$J$5:$K$7,2,FALSE)*VLOOKUP(Sheet1!$A3646,Sheet2!$B$5:$H$29,7,FALSE),0)</x:f>
        <x:v>1350</x:v>
      </x:c>
      <x:c r="I3646">
        <x:f t="shared" si="60"/>
        <x:v>19650</x:v>
      </x:c>
    </x:row>
    <x:row r="3647" spans="1:9" x14ac:dyDescent="0.15">
      <x:c r="A3647">
        <x:v>54201</x:v>
      </x:c>
      <x:c r="B3647">
        <x:v>1</x:v>
      </x:c>
      <x:c r="C3647">
        <x:v>46</x:v>
      </x:c>
      <x:c r="D3647">
        <x:f>ROUND($C3647*10*VLOOKUP($B3647,Sheet2!$J$5:$K$7,2,FALSE)*VLOOKUP(Sheet1!$A3647,Sheet2!$B$5:$H$29,3,FALSE),0)</x:f>
        <x:v>92</x:v>
      </x:c>
      <x:c r="E3647">
        <x:f>ROUND($C3647*10*VLOOKUP($B3647,Sheet2!$J$5:$K$7,2,FALSE)*VLOOKUP(Sheet1!$A3647,Sheet2!$B$5:$H$29,4,FALSE),0)</x:f>
        <x:v>0</x:v>
      </x:c>
      <x:c r="F3647">
        <x:f>ROUND($C3647*10*VLOOKUP($B3647,Sheet2!$J$5:$K$7,2,FALSE)*VLOOKUP(Sheet1!$A3647,Sheet2!$B$5:$H$29,5,FALSE),0)</x:f>
        <x:v>0</x:v>
      </x:c>
      <x:c r="G3647">
        <x:f>ROUND($C3647*10*VLOOKUP($B3647,Sheet2!$J$5:$K$7,2,FALSE)*VLOOKUP(Sheet1!$A3647,Sheet2!$B$5:$H$29,6,FALSE),0)</x:f>
        <x:v>0</x:v>
      </x:c>
      <x:c r="H3647">
        <x:f>ROUND($C3647*10*VLOOKUP($B3647,Sheet2!$J$5:$K$7,2,FALSE)*VLOOKUP(Sheet1!$A3647,Sheet2!$B$5:$H$29,7,FALSE),0)</x:f>
        <x:v>1380</x:v>
      </x:c>
      <x:c r="I3647">
        <x:f t="shared" si="60"/>
        <x:v>20460</x:v>
      </x:c>
    </x:row>
    <x:row r="3648" spans="1:9" x14ac:dyDescent="0.15">
      <x:c r="A3648">
        <x:v>54201</x:v>
      </x:c>
      <x:c r="B3648">
        <x:v>1</x:v>
      </x:c>
      <x:c r="C3648">
        <x:v>47</x:v>
      </x:c>
      <x:c r="D3648">
        <x:f>ROUND($C3648*10*VLOOKUP($B3648,Sheet2!$J$5:$K$7,2,FALSE)*VLOOKUP(Sheet1!$A3648,Sheet2!$B$5:$H$29,3,FALSE),0)</x:f>
        <x:v>94</x:v>
      </x:c>
      <x:c r="E3648">
        <x:f>ROUND($C3648*10*VLOOKUP($B3648,Sheet2!$J$5:$K$7,2,FALSE)*VLOOKUP(Sheet1!$A3648,Sheet2!$B$5:$H$29,4,FALSE),0)</x:f>
        <x:v>0</x:v>
      </x:c>
      <x:c r="F3648">
        <x:f>ROUND($C3648*10*VLOOKUP($B3648,Sheet2!$J$5:$K$7,2,FALSE)*VLOOKUP(Sheet1!$A3648,Sheet2!$B$5:$H$29,5,FALSE),0)</x:f>
        <x:v>0</x:v>
      </x:c>
      <x:c r="G3648">
        <x:f>ROUND($C3648*10*VLOOKUP($B3648,Sheet2!$J$5:$K$7,2,FALSE)*VLOOKUP(Sheet1!$A3648,Sheet2!$B$5:$H$29,6,FALSE),0)</x:f>
        <x:v>0</x:v>
      </x:c>
      <x:c r="H3648">
        <x:f>ROUND($C3648*10*VLOOKUP($B3648,Sheet2!$J$5:$K$7,2,FALSE)*VLOOKUP(Sheet1!$A3648,Sheet2!$B$5:$H$29,7,FALSE),0)</x:f>
        <x:v>1410</x:v>
      </x:c>
      <x:c r="I3648">
        <x:f t="shared" si="60"/>
        <x:v>21280</x:v>
      </x:c>
    </x:row>
    <x:row r="3649" spans="1:9" x14ac:dyDescent="0.15">
      <x:c r="A3649">
        <x:v>54201</x:v>
      </x:c>
      <x:c r="B3649">
        <x:v>1</x:v>
      </x:c>
      <x:c r="C3649">
        <x:v>48</x:v>
      </x:c>
      <x:c r="D3649">
        <x:f>ROUND($C3649*10*VLOOKUP($B3649,Sheet2!$J$5:$K$7,2,FALSE)*VLOOKUP(Sheet1!$A3649,Sheet2!$B$5:$H$29,3,FALSE),0)</x:f>
        <x:v>96</x:v>
      </x:c>
      <x:c r="E3649">
        <x:f>ROUND($C3649*10*VLOOKUP($B3649,Sheet2!$J$5:$K$7,2,FALSE)*VLOOKUP(Sheet1!$A3649,Sheet2!$B$5:$H$29,4,FALSE),0)</x:f>
        <x:v>0</x:v>
      </x:c>
      <x:c r="F3649">
        <x:f>ROUND($C3649*10*VLOOKUP($B3649,Sheet2!$J$5:$K$7,2,FALSE)*VLOOKUP(Sheet1!$A3649,Sheet2!$B$5:$H$29,5,FALSE),0)</x:f>
        <x:v>0</x:v>
      </x:c>
      <x:c r="G3649">
        <x:f>ROUND($C3649*10*VLOOKUP($B3649,Sheet2!$J$5:$K$7,2,FALSE)*VLOOKUP(Sheet1!$A3649,Sheet2!$B$5:$H$29,6,FALSE),0)</x:f>
        <x:v>0</x:v>
      </x:c>
      <x:c r="H3649">
        <x:f>ROUND($C3649*10*VLOOKUP($B3649,Sheet2!$J$5:$K$7,2,FALSE)*VLOOKUP(Sheet1!$A3649,Sheet2!$B$5:$H$29,7,FALSE),0)</x:f>
        <x:v>1440</x:v>
      </x:c>
      <x:c r="I3649">
        <x:f t="shared" si="60"/>
        <x:v>22120</x:v>
      </x:c>
    </x:row>
    <x:row r="3650" spans="1:9" x14ac:dyDescent="0.15">
      <x:c r="A3650">
        <x:v>54201</x:v>
      </x:c>
      <x:c r="B3650">
        <x:v>1</x:v>
      </x:c>
      <x:c r="C3650">
        <x:v>49</x:v>
      </x:c>
      <x:c r="D3650">
        <x:f>ROUND($C3650*10*VLOOKUP($B3650,Sheet2!$J$5:$K$7,2,FALSE)*VLOOKUP(Sheet1!$A3650,Sheet2!$B$5:$H$29,3,FALSE),0)</x:f>
        <x:v>98</x:v>
      </x:c>
      <x:c r="E3650">
        <x:f>ROUND($C3650*10*VLOOKUP($B3650,Sheet2!$J$5:$K$7,2,FALSE)*VLOOKUP(Sheet1!$A3650,Sheet2!$B$5:$H$29,4,FALSE),0)</x:f>
        <x:v>0</x:v>
      </x:c>
      <x:c r="F3650">
        <x:f>ROUND($C3650*10*VLOOKUP($B3650,Sheet2!$J$5:$K$7,2,FALSE)*VLOOKUP(Sheet1!$A3650,Sheet2!$B$5:$H$29,5,FALSE),0)</x:f>
        <x:v>0</x:v>
      </x:c>
      <x:c r="G3650">
        <x:f>ROUND($C3650*10*VLOOKUP($B3650,Sheet2!$J$5:$K$7,2,FALSE)*VLOOKUP(Sheet1!$A3650,Sheet2!$B$5:$H$29,6,FALSE),0)</x:f>
        <x:v>0</x:v>
      </x:c>
      <x:c r="H3650">
        <x:f>ROUND($C3650*10*VLOOKUP($B3650,Sheet2!$J$5:$K$7,2,FALSE)*VLOOKUP(Sheet1!$A3650,Sheet2!$B$5:$H$29,7,FALSE),0)</x:f>
        <x:v>1470</x:v>
      </x:c>
      <x:c r="I3650">
        <x:f t="shared" si="60"/>
        <x:v>22970</x:v>
      </x:c>
    </x:row>
    <x:row r="3651" spans="1:9" x14ac:dyDescent="0.15">
      <x:c r="A3651">
        <x:v>54201</x:v>
      </x:c>
      <x:c r="B3651">
        <x:v>1</x:v>
      </x:c>
      <x:c r="C3651">
        <x:v>50</x:v>
      </x:c>
      <x:c r="D3651">
        <x:f>ROUND($C3651*10*VLOOKUP($B3651,Sheet2!$J$5:$K$7,2,FALSE)*VLOOKUP(Sheet1!$A3651,Sheet2!$B$5:$H$29,3,FALSE),0)</x:f>
        <x:v>100</x:v>
      </x:c>
      <x:c r="E3651">
        <x:f>ROUND($C3651*10*VLOOKUP($B3651,Sheet2!$J$5:$K$7,2,FALSE)*VLOOKUP(Sheet1!$A3651,Sheet2!$B$5:$H$29,4,FALSE),0)</x:f>
        <x:v>0</x:v>
      </x:c>
      <x:c r="F3651">
        <x:f>ROUND($C3651*10*VLOOKUP($B3651,Sheet2!$J$5:$K$7,2,FALSE)*VLOOKUP(Sheet1!$A3651,Sheet2!$B$5:$H$29,5,FALSE),0)</x:f>
        <x:v>0</x:v>
      </x:c>
      <x:c r="G3651">
        <x:f>ROUND($C3651*10*VLOOKUP($B3651,Sheet2!$J$5:$K$7,2,FALSE)*VLOOKUP(Sheet1!$A3651,Sheet2!$B$5:$H$29,6,FALSE),0)</x:f>
        <x:v>0</x:v>
      </x:c>
      <x:c r="H3651">
        <x:f>ROUND($C3651*10*VLOOKUP($B3651,Sheet2!$J$5:$K$7,2,FALSE)*VLOOKUP(Sheet1!$A3651,Sheet2!$B$5:$H$29,7,FALSE),0)</x:f>
        <x:v>1500</x:v>
      </x:c>
      <x:c r="I3651">
        <x:f t="shared" si="60"/>
        <x:v>23840</x:v>
      </x:c>
    </x:row>
    <x:row r="3652" spans="1:9" x14ac:dyDescent="0.15">
      <x:c r="A3652">
        <x:v>54201</x:v>
      </x:c>
      <x:c r="B3652">
        <x:v>1</x:v>
      </x:c>
      <x:c r="C3652">
        <x:v>51</x:v>
      </x:c>
      <x:c r="D3652">
        <x:f>ROUND($C3652*10*VLOOKUP($B3652,Sheet2!$J$5:$K$7,2,FALSE)*VLOOKUP(Sheet1!$A3652,Sheet2!$B$5:$H$29,3,FALSE),0)</x:f>
        <x:v>102</x:v>
      </x:c>
      <x:c r="E3652">
        <x:f>ROUND($C3652*10*VLOOKUP($B3652,Sheet2!$J$5:$K$7,2,FALSE)*VLOOKUP(Sheet1!$A3652,Sheet2!$B$5:$H$29,4,FALSE),0)</x:f>
        <x:v>0</x:v>
      </x:c>
      <x:c r="F3652">
        <x:f>ROUND($C3652*10*VLOOKUP($B3652,Sheet2!$J$5:$K$7,2,FALSE)*VLOOKUP(Sheet1!$A3652,Sheet2!$B$5:$H$29,5,FALSE),0)</x:f>
        <x:v>0</x:v>
      </x:c>
      <x:c r="G3652">
        <x:f>ROUND($C3652*10*VLOOKUP($B3652,Sheet2!$J$5:$K$7,2,FALSE)*VLOOKUP(Sheet1!$A3652,Sheet2!$B$5:$H$29,6,FALSE),0)</x:f>
        <x:v>0</x:v>
      </x:c>
      <x:c r="H3652">
        <x:f>ROUND($C3652*10*VLOOKUP($B3652,Sheet2!$J$5:$K$7,2,FALSE)*VLOOKUP(Sheet1!$A3652,Sheet2!$B$5:$H$29,7,FALSE),0)</x:f>
        <x:v>1530</x:v>
      </x:c>
      <x:c r="I3652">
        <x:f t="shared" si="60"/>
        <x:v>24720</x:v>
      </x:c>
    </x:row>
    <x:row r="3653" spans="1:9" x14ac:dyDescent="0.15">
      <x:c r="A3653">
        <x:v>54201</x:v>
      </x:c>
      <x:c r="B3653">
        <x:v>1</x:v>
      </x:c>
      <x:c r="C3653">
        <x:v>52</x:v>
      </x:c>
      <x:c r="D3653">
        <x:f>ROUND($C3653*10*VLOOKUP($B3653,Sheet2!$J$5:$K$7,2,FALSE)*VLOOKUP(Sheet1!$A3653,Sheet2!$B$5:$H$29,3,FALSE),0)</x:f>
        <x:v>104</x:v>
      </x:c>
      <x:c r="E3653">
        <x:f>ROUND($C3653*10*VLOOKUP($B3653,Sheet2!$J$5:$K$7,2,FALSE)*VLOOKUP(Sheet1!$A3653,Sheet2!$B$5:$H$29,4,FALSE),0)</x:f>
        <x:v>0</x:v>
      </x:c>
      <x:c r="F3653">
        <x:f>ROUND($C3653*10*VLOOKUP($B3653,Sheet2!$J$5:$K$7,2,FALSE)*VLOOKUP(Sheet1!$A3653,Sheet2!$B$5:$H$29,5,FALSE),0)</x:f>
        <x:v>0</x:v>
      </x:c>
      <x:c r="G3653">
        <x:f>ROUND($C3653*10*VLOOKUP($B3653,Sheet2!$J$5:$K$7,2,FALSE)*VLOOKUP(Sheet1!$A3653,Sheet2!$B$5:$H$29,6,FALSE),0)</x:f>
        <x:v>0</x:v>
      </x:c>
      <x:c r="H3653">
        <x:f>ROUND($C3653*10*VLOOKUP($B3653,Sheet2!$J$5:$K$7,2,FALSE)*VLOOKUP(Sheet1!$A3653,Sheet2!$B$5:$H$29,7,FALSE),0)</x:f>
        <x:v>1560</x:v>
      </x:c>
      <x:c r="I3653">
        <x:f t="shared" si="60"/>
        <x:v>25620</x:v>
      </x:c>
    </x:row>
    <x:row r="3654" spans="1:9" x14ac:dyDescent="0.15">
      <x:c r="A3654">
        <x:v>54201</x:v>
      </x:c>
      <x:c r="B3654">
        <x:v>1</x:v>
      </x:c>
      <x:c r="C3654">
        <x:v>53</x:v>
      </x:c>
      <x:c r="D3654">
        <x:f>ROUND($C3654*10*VLOOKUP($B3654,Sheet2!$J$5:$K$7,2,FALSE)*VLOOKUP(Sheet1!$A3654,Sheet2!$B$5:$H$29,3,FALSE),0)</x:f>
        <x:v>106</x:v>
      </x:c>
      <x:c r="E3654">
        <x:f>ROUND($C3654*10*VLOOKUP($B3654,Sheet2!$J$5:$K$7,2,FALSE)*VLOOKUP(Sheet1!$A3654,Sheet2!$B$5:$H$29,4,FALSE),0)</x:f>
        <x:v>0</x:v>
      </x:c>
      <x:c r="F3654">
        <x:f>ROUND($C3654*10*VLOOKUP($B3654,Sheet2!$J$5:$K$7,2,FALSE)*VLOOKUP(Sheet1!$A3654,Sheet2!$B$5:$H$29,5,FALSE),0)</x:f>
        <x:v>0</x:v>
      </x:c>
      <x:c r="G3654">
        <x:f>ROUND($C3654*10*VLOOKUP($B3654,Sheet2!$J$5:$K$7,2,FALSE)*VLOOKUP(Sheet1!$A3654,Sheet2!$B$5:$H$29,6,FALSE),0)</x:f>
        <x:v>0</x:v>
      </x:c>
      <x:c r="H3654">
        <x:f>ROUND($C3654*10*VLOOKUP($B3654,Sheet2!$J$5:$K$7,2,FALSE)*VLOOKUP(Sheet1!$A3654,Sheet2!$B$5:$H$29,7,FALSE),0)</x:f>
        <x:v>1590</x:v>
      </x:c>
      <x:c r="I3654">
        <x:f t="shared" si="60"/>
        <x:v>26530</x:v>
      </x:c>
    </x:row>
    <x:row r="3655" spans="1:9" x14ac:dyDescent="0.15">
      <x:c r="A3655">
        <x:v>54201</x:v>
      </x:c>
      <x:c r="B3655">
        <x:v>1</x:v>
      </x:c>
      <x:c r="C3655">
        <x:v>54</x:v>
      </x:c>
      <x:c r="D3655">
        <x:f>ROUND($C3655*10*VLOOKUP($B3655,Sheet2!$J$5:$K$7,2,FALSE)*VLOOKUP(Sheet1!$A3655,Sheet2!$B$5:$H$29,3,FALSE),0)</x:f>
        <x:v>108</x:v>
      </x:c>
      <x:c r="E3655">
        <x:f>ROUND($C3655*10*VLOOKUP($B3655,Sheet2!$J$5:$K$7,2,FALSE)*VLOOKUP(Sheet1!$A3655,Sheet2!$B$5:$H$29,4,FALSE),0)</x:f>
        <x:v>0</x:v>
      </x:c>
      <x:c r="F3655">
        <x:f>ROUND($C3655*10*VLOOKUP($B3655,Sheet2!$J$5:$K$7,2,FALSE)*VLOOKUP(Sheet1!$A3655,Sheet2!$B$5:$H$29,5,FALSE),0)</x:f>
        <x:v>0</x:v>
      </x:c>
      <x:c r="G3655">
        <x:f>ROUND($C3655*10*VLOOKUP($B3655,Sheet2!$J$5:$K$7,2,FALSE)*VLOOKUP(Sheet1!$A3655,Sheet2!$B$5:$H$29,6,FALSE),0)</x:f>
        <x:v>0</x:v>
      </x:c>
      <x:c r="H3655">
        <x:f>ROUND($C3655*10*VLOOKUP($B3655,Sheet2!$J$5:$K$7,2,FALSE)*VLOOKUP(Sheet1!$A3655,Sheet2!$B$5:$H$29,7,FALSE),0)</x:f>
        <x:v>1620</x:v>
      </x:c>
      <x:c r="I3655">
        <x:f t="shared" si="60"/>
        <x:v>27460</x:v>
      </x:c>
    </x:row>
    <x:row r="3656" spans="1:9" x14ac:dyDescent="0.15">
      <x:c r="A3656">
        <x:v>54201</x:v>
      </x:c>
      <x:c r="B3656">
        <x:v>1</x:v>
      </x:c>
      <x:c r="C3656">
        <x:v>55</x:v>
      </x:c>
      <x:c r="D3656">
        <x:f>ROUND($C3656*10*VLOOKUP($B3656,Sheet2!$J$5:$K$7,2,FALSE)*VLOOKUP(Sheet1!$A3656,Sheet2!$B$5:$H$29,3,FALSE),0)</x:f>
        <x:v>110</x:v>
      </x:c>
      <x:c r="E3656">
        <x:f>ROUND($C3656*10*VLOOKUP($B3656,Sheet2!$J$5:$K$7,2,FALSE)*VLOOKUP(Sheet1!$A3656,Sheet2!$B$5:$H$29,4,FALSE),0)</x:f>
        <x:v>0</x:v>
      </x:c>
      <x:c r="F3656">
        <x:f>ROUND($C3656*10*VLOOKUP($B3656,Sheet2!$J$5:$K$7,2,FALSE)*VLOOKUP(Sheet1!$A3656,Sheet2!$B$5:$H$29,5,FALSE),0)</x:f>
        <x:v>0</x:v>
      </x:c>
      <x:c r="G3656">
        <x:f>ROUND($C3656*10*VLOOKUP($B3656,Sheet2!$J$5:$K$7,2,FALSE)*VLOOKUP(Sheet1!$A3656,Sheet2!$B$5:$H$29,6,FALSE),0)</x:f>
        <x:v>0</x:v>
      </x:c>
      <x:c r="H3656">
        <x:f>ROUND($C3656*10*VLOOKUP($B3656,Sheet2!$J$5:$K$7,2,FALSE)*VLOOKUP(Sheet1!$A3656,Sheet2!$B$5:$H$29,7,FALSE),0)</x:f>
        <x:v>1650</x:v>
      </x:c>
      <x:c r="I3656">
        <x:f t="shared" si="60"/>
        <x:v>28390</x:v>
      </x:c>
    </x:row>
    <x:row r="3657" spans="1:9" x14ac:dyDescent="0.15">
      <x:c r="A3657">
        <x:v>54201</x:v>
      </x:c>
      <x:c r="B3657">
        <x:v>1</x:v>
      </x:c>
      <x:c r="C3657">
        <x:v>56</x:v>
      </x:c>
      <x:c r="D3657">
        <x:f>ROUND($C3657*10*VLOOKUP($B3657,Sheet2!$J$5:$K$7,2,FALSE)*VLOOKUP(Sheet1!$A3657,Sheet2!$B$5:$H$29,3,FALSE),0)</x:f>
        <x:v>112</x:v>
      </x:c>
      <x:c r="E3657">
        <x:f>ROUND($C3657*10*VLOOKUP($B3657,Sheet2!$J$5:$K$7,2,FALSE)*VLOOKUP(Sheet1!$A3657,Sheet2!$B$5:$H$29,4,FALSE),0)</x:f>
        <x:v>0</x:v>
      </x:c>
      <x:c r="F3657">
        <x:f>ROUND($C3657*10*VLOOKUP($B3657,Sheet2!$J$5:$K$7,2,FALSE)*VLOOKUP(Sheet1!$A3657,Sheet2!$B$5:$H$29,5,FALSE),0)</x:f>
        <x:v>0</x:v>
      </x:c>
      <x:c r="G3657">
        <x:f>ROUND($C3657*10*VLOOKUP($B3657,Sheet2!$J$5:$K$7,2,FALSE)*VLOOKUP(Sheet1!$A3657,Sheet2!$B$5:$H$29,6,FALSE),0)</x:f>
        <x:v>0</x:v>
      </x:c>
      <x:c r="H3657">
        <x:f>ROUND($C3657*10*VLOOKUP($B3657,Sheet2!$J$5:$K$7,2,FALSE)*VLOOKUP(Sheet1!$A3657,Sheet2!$B$5:$H$29,7,FALSE),0)</x:f>
        <x:v>1680</x:v>
      </x:c>
      <x:c r="I3657">
        <x:f t="shared" si="60"/>
        <x:v>29350</x:v>
      </x:c>
    </x:row>
    <x:row r="3658" spans="1:9" x14ac:dyDescent="0.15">
      <x:c r="A3658">
        <x:v>54201</x:v>
      </x:c>
      <x:c r="B3658">
        <x:v>1</x:v>
      </x:c>
      <x:c r="C3658">
        <x:v>57</x:v>
      </x:c>
      <x:c r="D3658">
        <x:f>ROUND($C3658*10*VLOOKUP($B3658,Sheet2!$J$5:$K$7,2,FALSE)*VLOOKUP(Sheet1!$A3658,Sheet2!$B$5:$H$29,3,FALSE),0)</x:f>
        <x:v>114</x:v>
      </x:c>
      <x:c r="E3658">
        <x:f>ROUND($C3658*10*VLOOKUP($B3658,Sheet2!$J$5:$K$7,2,FALSE)*VLOOKUP(Sheet1!$A3658,Sheet2!$B$5:$H$29,4,FALSE),0)</x:f>
        <x:v>0</x:v>
      </x:c>
      <x:c r="F3658">
        <x:f>ROUND($C3658*10*VLOOKUP($B3658,Sheet2!$J$5:$K$7,2,FALSE)*VLOOKUP(Sheet1!$A3658,Sheet2!$B$5:$H$29,5,FALSE),0)</x:f>
        <x:v>0</x:v>
      </x:c>
      <x:c r="G3658">
        <x:f>ROUND($C3658*10*VLOOKUP($B3658,Sheet2!$J$5:$K$7,2,FALSE)*VLOOKUP(Sheet1!$A3658,Sheet2!$B$5:$H$29,6,FALSE),0)</x:f>
        <x:v>0</x:v>
      </x:c>
      <x:c r="H3658">
        <x:f>ROUND($C3658*10*VLOOKUP($B3658,Sheet2!$J$5:$K$7,2,FALSE)*VLOOKUP(Sheet1!$A3658,Sheet2!$B$5:$H$29,7,FALSE),0)</x:f>
        <x:v>1710</x:v>
      </x:c>
      <x:c r="I3658">
        <x:f t="shared" si="60"/>
        <x:v>30310</x:v>
      </x:c>
    </x:row>
    <x:row r="3659" spans="1:9" x14ac:dyDescent="0.15">
      <x:c r="A3659">
        <x:v>54201</x:v>
      </x:c>
      <x:c r="B3659">
        <x:v>1</x:v>
      </x:c>
      <x:c r="C3659">
        <x:v>58</x:v>
      </x:c>
      <x:c r="D3659">
        <x:f>ROUND($C3659*10*VLOOKUP($B3659,Sheet2!$J$5:$K$7,2,FALSE)*VLOOKUP(Sheet1!$A3659,Sheet2!$B$5:$H$29,3,FALSE),0)</x:f>
        <x:v>116</x:v>
      </x:c>
      <x:c r="E3659">
        <x:f>ROUND($C3659*10*VLOOKUP($B3659,Sheet2!$J$5:$K$7,2,FALSE)*VLOOKUP(Sheet1!$A3659,Sheet2!$B$5:$H$29,4,FALSE),0)</x:f>
        <x:v>0</x:v>
      </x:c>
      <x:c r="F3659">
        <x:f>ROUND($C3659*10*VLOOKUP($B3659,Sheet2!$J$5:$K$7,2,FALSE)*VLOOKUP(Sheet1!$A3659,Sheet2!$B$5:$H$29,5,FALSE),0)</x:f>
        <x:v>0</x:v>
      </x:c>
      <x:c r="G3659">
        <x:f>ROUND($C3659*10*VLOOKUP($B3659,Sheet2!$J$5:$K$7,2,FALSE)*VLOOKUP(Sheet1!$A3659,Sheet2!$B$5:$H$29,6,FALSE),0)</x:f>
        <x:v>0</x:v>
      </x:c>
      <x:c r="H3659">
        <x:f>ROUND($C3659*10*VLOOKUP($B3659,Sheet2!$J$5:$K$7,2,FALSE)*VLOOKUP(Sheet1!$A3659,Sheet2!$B$5:$H$29,7,FALSE),0)</x:f>
        <x:v>1740</x:v>
      </x:c>
      <x:c r="I3659">
        <x:f t="shared" si="60"/>
        <x:v>31290</x:v>
      </x:c>
    </x:row>
    <x:row r="3660" spans="1:9" x14ac:dyDescent="0.15">
      <x:c r="A3660">
        <x:v>54201</x:v>
      </x:c>
      <x:c r="B3660">
        <x:v>1</x:v>
      </x:c>
      <x:c r="C3660">
        <x:v>59</x:v>
      </x:c>
      <x:c r="D3660">
        <x:f>ROUND($C3660*10*VLOOKUP($B3660,Sheet2!$J$5:$K$7,2,FALSE)*VLOOKUP(Sheet1!$A3660,Sheet2!$B$5:$H$29,3,FALSE),0)</x:f>
        <x:v>118</x:v>
      </x:c>
      <x:c r="E3660">
        <x:f>ROUND($C3660*10*VLOOKUP($B3660,Sheet2!$J$5:$K$7,2,FALSE)*VLOOKUP(Sheet1!$A3660,Sheet2!$B$5:$H$29,4,FALSE),0)</x:f>
        <x:v>0</x:v>
      </x:c>
      <x:c r="F3660">
        <x:f>ROUND($C3660*10*VLOOKUP($B3660,Sheet2!$J$5:$K$7,2,FALSE)*VLOOKUP(Sheet1!$A3660,Sheet2!$B$5:$H$29,5,FALSE),0)</x:f>
        <x:v>0</x:v>
      </x:c>
      <x:c r="G3660">
        <x:f>ROUND($C3660*10*VLOOKUP($B3660,Sheet2!$J$5:$K$7,2,FALSE)*VLOOKUP(Sheet1!$A3660,Sheet2!$B$5:$H$29,6,FALSE),0)</x:f>
        <x:v>0</x:v>
      </x:c>
      <x:c r="H3660">
        <x:f>ROUND($C3660*10*VLOOKUP($B3660,Sheet2!$J$5:$K$7,2,FALSE)*VLOOKUP(Sheet1!$A3660,Sheet2!$B$5:$H$29,7,FALSE),0)</x:f>
        <x:v>1770</x:v>
      </x:c>
      <x:c r="I3660">
        <x:f t="shared" si="60"/>
        <x:v>32290</x:v>
      </x:c>
    </x:row>
    <x:row r="3661" spans="1:9" x14ac:dyDescent="0.15">
      <x:c r="A3661">
        <x:v>54201</x:v>
      </x:c>
      <x:c r="B3661">
        <x:v>1</x:v>
      </x:c>
      <x:c r="C3661">
        <x:v>60</x:v>
      </x:c>
      <x:c r="D3661">
        <x:f>ROUND($C3661*10*VLOOKUP($B3661,Sheet2!$J$5:$K$7,2,FALSE)*VLOOKUP(Sheet1!$A3661,Sheet2!$B$5:$H$29,3,FALSE),0)</x:f>
        <x:v>120</x:v>
      </x:c>
      <x:c r="E3661">
        <x:f>ROUND($C3661*10*VLOOKUP($B3661,Sheet2!$J$5:$K$7,2,FALSE)*VLOOKUP(Sheet1!$A3661,Sheet2!$B$5:$H$29,4,FALSE),0)</x:f>
        <x:v>0</x:v>
      </x:c>
      <x:c r="F3661">
        <x:f>ROUND($C3661*10*VLOOKUP($B3661,Sheet2!$J$5:$K$7,2,FALSE)*VLOOKUP(Sheet1!$A3661,Sheet2!$B$5:$H$29,5,FALSE),0)</x:f>
        <x:v>0</x:v>
      </x:c>
      <x:c r="G3661">
        <x:f>ROUND($C3661*10*VLOOKUP($B3661,Sheet2!$J$5:$K$7,2,FALSE)*VLOOKUP(Sheet1!$A3661,Sheet2!$B$5:$H$29,6,FALSE),0)</x:f>
        <x:v>0</x:v>
      </x:c>
      <x:c r="H3661">
        <x:f>ROUND($C3661*10*VLOOKUP($B3661,Sheet2!$J$5:$K$7,2,FALSE)*VLOOKUP(Sheet1!$A3661,Sheet2!$B$5:$H$29,7,FALSE),0)</x:f>
        <x:v>1800</x:v>
      </x:c>
      <x:c r="I3661">
        <x:f t="shared" si="60"/>
        <x:v>33290</x:v>
      </x:c>
    </x:row>
    <x:row r="3662" spans="1:9" x14ac:dyDescent="0.15">
      <x:c r="A3662">
        <x:v>54201</x:v>
      </x:c>
      <x:c r="B3662">
        <x:v>2</x:v>
      </x:c>
      <x:c r="C3662">
        <x:v>1</x:v>
      </x:c>
      <x:c r="D3662">
        <x:f>ROUND($C3662*10*VLOOKUP($B3662,Sheet2!$J$5:$K$7,2,FALSE)*VLOOKUP(Sheet1!$A3662,Sheet2!$B$5:$H$29,3,FALSE),0)</x:f>
        <x:v>2</x:v>
      </x:c>
      <x:c r="E3662">
        <x:f>ROUND($C3662*10*VLOOKUP($B3662,Sheet2!$J$5:$K$7,2,FALSE)*VLOOKUP(Sheet1!$A3662,Sheet2!$B$5:$H$29,4,FALSE),0)</x:f>
        <x:v>0</x:v>
      </x:c>
      <x:c r="F3662">
        <x:f>ROUND($C3662*10*VLOOKUP($B3662,Sheet2!$J$5:$K$7,2,FALSE)*VLOOKUP(Sheet1!$A3662,Sheet2!$B$5:$H$29,5,FALSE),0)</x:f>
        <x:v>0</x:v>
      </x:c>
      <x:c r="G3662">
        <x:f>ROUND($C3662*10*VLOOKUP($B3662,Sheet2!$J$5:$K$7,2,FALSE)*VLOOKUP(Sheet1!$A3662,Sheet2!$B$5:$H$29,6,FALSE),0)</x:f>
        <x:v>0</x:v>
      </x:c>
      <x:c r="H3662">
        <x:f>ROUND($C3662*10*VLOOKUP($B3662,Sheet2!$J$5:$K$7,2,FALSE)*VLOOKUP(Sheet1!$A3662,Sheet2!$B$5:$H$29,7,FALSE),0)</x:f>
        <x:v>36</x:v>
      </x:c>
      <x:c r="I3662">
        <x:f t="shared" ref="I3662:I3721" si="61">ROUND(1.2*10*3.5*(C3662-1)^1.8+60,-1)</x:f>
        <x:v>60</x:v>
      </x:c>
    </x:row>
    <x:row r="3663" spans="1:9" x14ac:dyDescent="0.15">
      <x:c r="A3663">
        <x:v>54201</x:v>
      </x:c>
      <x:c r="B3663">
        <x:v>2</x:v>
      </x:c>
      <x:c r="C3663">
        <x:v>2</x:v>
      </x:c>
      <x:c r="D3663">
        <x:f>ROUND($C3663*10*VLOOKUP($B3663,Sheet2!$J$5:$K$7,2,FALSE)*VLOOKUP(Sheet1!$A3663,Sheet2!$B$5:$H$29,3,FALSE),0)</x:f>
        <x:v>5</x:v>
      </x:c>
      <x:c r="E3663">
        <x:f>ROUND($C3663*10*VLOOKUP($B3663,Sheet2!$J$5:$K$7,2,FALSE)*VLOOKUP(Sheet1!$A3663,Sheet2!$B$5:$H$29,4,FALSE),0)</x:f>
        <x:v>0</x:v>
      </x:c>
      <x:c r="F3663">
        <x:f>ROUND($C3663*10*VLOOKUP($B3663,Sheet2!$J$5:$K$7,2,FALSE)*VLOOKUP(Sheet1!$A3663,Sheet2!$B$5:$H$29,5,FALSE),0)</x:f>
        <x:v>0</x:v>
      </x:c>
      <x:c r="G3663">
        <x:f>ROUND($C3663*10*VLOOKUP($B3663,Sheet2!$J$5:$K$7,2,FALSE)*VLOOKUP(Sheet1!$A3663,Sheet2!$B$5:$H$29,6,FALSE),0)</x:f>
        <x:v>0</x:v>
      </x:c>
      <x:c r="H3663">
        <x:f>ROUND($C3663*10*VLOOKUP($B3663,Sheet2!$J$5:$K$7,2,FALSE)*VLOOKUP(Sheet1!$A3663,Sheet2!$B$5:$H$29,7,FALSE),0)</x:f>
        <x:v>72</x:v>
      </x:c>
      <x:c r="I3663">
        <x:f t="shared" si="61"/>
        <x:v>100</x:v>
      </x:c>
    </x:row>
    <x:row r="3664" spans="1:9" x14ac:dyDescent="0.15">
      <x:c r="A3664">
        <x:v>54201</x:v>
      </x:c>
      <x:c r="B3664">
        <x:v>2</x:v>
      </x:c>
      <x:c r="C3664">
        <x:v>3</x:v>
      </x:c>
      <x:c r="D3664">
        <x:f>ROUND($C3664*10*VLOOKUP($B3664,Sheet2!$J$5:$K$7,2,FALSE)*VLOOKUP(Sheet1!$A3664,Sheet2!$B$5:$H$29,3,FALSE),0)</x:f>
        <x:v>7</x:v>
      </x:c>
      <x:c r="E3664">
        <x:f>ROUND($C3664*10*VLOOKUP($B3664,Sheet2!$J$5:$K$7,2,FALSE)*VLOOKUP(Sheet1!$A3664,Sheet2!$B$5:$H$29,4,FALSE),0)</x:f>
        <x:v>0</x:v>
      </x:c>
      <x:c r="F3664">
        <x:f>ROUND($C3664*10*VLOOKUP($B3664,Sheet2!$J$5:$K$7,2,FALSE)*VLOOKUP(Sheet1!$A3664,Sheet2!$B$5:$H$29,5,FALSE),0)</x:f>
        <x:v>0</x:v>
      </x:c>
      <x:c r="G3664">
        <x:f>ROUND($C3664*10*VLOOKUP($B3664,Sheet2!$J$5:$K$7,2,FALSE)*VLOOKUP(Sheet1!$A3664,Sheet2!$B$5:$H$29,6,FALSE),0)</x:f>
        <x:v>0</x:v>
      </x:c>
      <x:c r="H3664">
        <x:f>ROUND($C3664*10*VLOOKUP($B3664,Sheet2!$J$5:$K$7,2,FALSE)*VLOOKUP(Sheet1!$A3664,Sheet2!$B$5:$H$29,7,FALSE),0)</x:f>
        <x:v>108</x:v>
      </x:c>
      <x:c r="I3664">
        <x:f t="shared" si="61"/>
        <x:v>210</x:v>
      </x:c>
    </x:row>
    <x:row r="3665" spans="1:9" x14ac:dyDescent="0.15">
      <x:c r="A3665">
        <x:v>54201</x:v>
      </x:c>
      <x:c r="B3665">
        <x:v>2</x:v>
      </x:c>
      <x:c r="C3665">
        <x:v>4</x:v>
      </x:c>
      <x:c r="D3665">
        <x:f>ROUND($C3665*10*VLOOKUP($B3665,Sheet2!$J$5:$K$7,2,FALSE)*VLOOKUP(Sheet1!$A3665,Sheet2!$B$5:$H$29,3,FALSE),0)</x:f>
        <x:v>10</x:v>
      </x:c>
      <x:c r="E3665">
        <x:f>ROUND($C3665*10*VLOOKUP($B3665,Sheet2!$J$5:$K$7,2,FALSE)*VLOOKUP(Sheet1!$A3665,Sheet2!$B$5:$H$29,4,FALSE),0)</x:f>
        <x:v>0</x:v>
      </x:c>
      <x:c r="F3665">
        <x:f>ROUND($C3665*10*VLOOKUP($B3665,Sheet2!$J$5:$K$7,2,FALSE)*VLOOKUP(Sheet1!$A3665,Sheet2!$B$5:$H$29,5,FALSE),0)</x:f>
        <x:v>0</x:v>
      </x:c>
      <x:c r="G3665">
        <x:f>ROUND($C3665*10*VLOOKUP($B3665,Sheet2!$J$5:$K$7,2,FALSE)*VLOOKUP(Sheet1!$A3665,Sheet2!$B$5:$H$29,6,FALSE),0)</x:f>
        <x:v>0</x:v>
      </x:c>
      <x:c r="H3665">
        <x:f>ROUND($C3665*10*VLOOKUP($B3665,Sheet2!$J$5:$K$7,2,FALSE)*VLOOKUP(Sheet1!$A3665,Sheet2!$B$5:$H$29,7,FALSE),0)</x:f>
        <x:v>144</x:v>
      </x:c>
      <x:c r="I3665">
        <x:f t="shared" si="61"/>
        <x:v>360</x:v>
      </x:c>
    </x:row>
    <x:row r="3666" spans="1:9" x14ac:dyDescent="0.15">
      <x:c r="A3666">
        <x:v>54201</x:v>
      </x:c>
      <x:c r="B3666">
        <x:v>2</x:v>
      </x:c>
      <x:c r="C3666">
        <x:v>5</x:v>
      </x:c>
      <x:c r="D3666">
        <x:f>ROUND($C3666*10*VLOOKUP($B3666,Sheet2!$J$5:$K$7,2,FALSE)*VLOOKUP(Sheet1!$A3666,Sheet2!$B$5:$H$29,3,FALSE),0)</x:f>
        <x:v>12</x:v>
      </x:c>
      <x:c r="E3666">
        <x:f>ROUND($C3666*10*VLOOKUP($B3666,Sheet2!$J$5:$K$7,2,FALSE)*VLOOKUP(Sheet1!$A3666,Sheet2!$B$5:$H$29,4,FALSE),0)</x:f>
        <x:v>0</x:v>
      </x:c>
      <x:c r="F3666">
        <x:f>ROUND($C3666*10*VLOOKUP($B3666,Sheet2!$J$5:$K$7,2,FALSE)*VLOOKUP(Sheet1!$A3666,Sheet2!$B$5:$H$29,5,FALSE),0)</x:f>
        <x:v>0</x:v>
      </x:c>
      <x:c r="G3666">
        <x:f>ROUND($C3666*10*VLOOKUP($B3666,Sheet2!$J$5:$K$7,2,FALSE)*VLOOKUP(Sheet1!$A3666,Sheet2!$B$5:$H$29,6,FALSE),0)</x:f>
        <x:v>0</x:v>
      </x:c>
      <x:c r="H3666">
        <x:f>ROUND($C3666*10*VLOOKUP($B3666,Sheet2!$J$5:$K$7,2,FALSE)*VLOOKUP(Sheet1!$A3666,Sheet2!$B$5:$H$29,7,FALSE),0)</x:f>
        <x:v>180</x:v>
      </x:c>
      <x:c r="I3666">
        <x:f t="shared" si="61"/>
        <x:v>570</x:v>
      </x:c>
    </x:row>
    <x:row r="3667" spans="1:9" x14ac:dyDescent="0.15">
      <x:c r="A3667">
        <x:v>54201</x:v>
      </x:c>
      <x:c r="B3667">
        <x:v>2</x:v>
      </x:c>
      <x:c r="C3667">
        <x:v>6</x:v>
      </x:c>
      <x:c r="D3667">
        <x:f>ROUND($C3667*10*VLOOKUP($B3667,Sheet2!$J$5:$K$7,2,FALSE)*VLOOKUP(Sheet1!$A3667,Sheet2!$B$5:$H$29,3,FALSE),0)</x:f>
        <x:v>14</x:v>
      </x:c>
      <x:c r="E3667">
        <x:f>ROUND($C3667*10*VLOOKUP($B3667,Sheet2!$J$5:$K$7,2,FALSE)*VLOOKUP(Sheet1!$A3667,Sheet2!$B$5:$H$29,4,FALSE),0)</x:f>
        <x:v>0</x:v>
      </x:c>
      <x:c r="F3667">
        <x:f>ROUND($C3667*10*VLOOKUP($B3667,Sheet2!$J$5:$K$7,2,FALSE)*VLOOKUP(Sheet1!$A3667,Sheet2!$B$5:$H$29,5,FALSE),0)</x:f>
        <x:v>0</x:v>
      </x:c>
      <x:c r="G3667">
        <x:f>ROUND($C3667*10*VLOOKUP($B3667,Sheet2!$J$5:$K$7,2,FALSE)*VLOOKUP(Sheet1!$A3667,Sheet2!$B$5:$H$29,6,FALSE),0)</x:f>
        <x:v>0</x:v>
      </x:c>
      <x:c r="H3667">
        <x:f>ROUND($C3667*10*VLOOKUP($B3667,Sheet2!$J$5:$K$7,2,FALSE)*VLOOKUP(Sheet1!$A3667,Sheet2!$B$5:$H$29,7,FALSE),0)</x:f>
        <x:v>216</x:v>
      </x:c>
      <x:c r="I3667">
        <x:f t="shared" si="61"/>
        <x:v>820</x:v>
      </x:c>
    </x:row>
    <x:row r="3668" spans="1:9" x14ac:dyDescent="0.15">
      <x:c r="A3668">
        <x:v>54201</x:v>
      </x:c>
      <x:c r="B3668">
        <x:v>2</x:v>
      </x:c>
      <x:c r="C3668">
        <x:v>7</x:v>
      </x:c>
      <x:c r="D3668">
        <x:f>ROUND($C3668*10*VLOOKUP($B3668,Sheet2!$J$5:$K$7,2,FALSE)*VLOOKUP(Sheet1!$A3668,Sheet2!$B$5:$H$29,3,FALSE),0)</x:f>
        <x:v>17</x:v>
      </x:c>
      <x:c r="E3668">
        <x:f>ROUND($C3668*10*VLOOKUP($B3668,Sheet2!$J$5:$K$7,2,FALSE)*VLOOKUP(Sheet1!$A3668,Sheet2!$B$5:$H$29,4,FALSE),0)</x:f>
        <x:v>0</x:v>
      </x:c>
      <x:c r="F3668">
        <x:f>ROUND($C3668*10*VLOOKUP($B3668,Sheet2!$J$5:$K$7,2,FALSE)*VLOOKUP(Sheet1!$A3668,Sheet2!$B$5:$H$29,5,FALSE),0)</x:f>
        <x:v>0</x:v>
      </x:c>
      <x:c r="G3668">
        <x:f>ROUND($C3668*10*VLOOKUP($B3668,Sheet2!$J$5:$K$7,2,FALSE)*VLOOKUP(Sheet1!$A3668,Sheet2!$B$5:$H$29,6,FALSE),0)</x:f>
        <x:v>0</x:v>
      </x:c>
      <x:c r="H3668">
        <x:f>ROUND($C3668*10*VLOOKUP($B3668,Sheet2!$J$5:$K$7,2,FALSE)*VLOOKUP(Sheet1!$A3668,Sheet2!$B$5:$H$29,7,FALSE),0)</x:f>
        <x:v>252</x:v>
      </x:c>
      <x:c r="I3668">
        <x:f t="shared" si="61"/>
        <x:v>1120</x:v>
      </x:c>
    </x:row>
    <x:row r="3669" spans="1:9" x14ac:dyDescent="0.15">
      <x:c r="A3669">
        <x:v>54201</x:v>
      </x:c>
      <x:c r="B3669">
        <x:v>2</x:v>
      </x:c>
      <x:c r="C3669">
        <x:v>8</x:v>
      </x:c>
      <x:c r="D3669">
        <x:f>ROUND($C3669*10*VLOOKUP($B3669,Sheet2!$J$5:$K$7,2,FALSE)*VLOOKUP(Sheet1!$A3669,Sheet2!$B$5:$H$29,3,FALSE),0)</x:f>
        <x:v>19</x:v>
      </x:c>
      <x:c r="E3669">
        <x:f>ROUND($C3669*10*VLOOKUP($B3669,Sheet2!$J$5:$K$7,2,FALSE)*VLOOKUP(Sheet1!$A3669,Sheet2!$B$5:$H$29,4,FALSE),0)</x:f>
        <x:v>0</x:v>
      </x:c>
      <x:c r="F3669">
        <x:f>ROUND($C3669*10*VLOOKUP($B3669,Sheet2!$J$5:$K$7,2,FALSE)*VLOOKUP(Sheet1!$A3669,Sheet2!$B$5:$H$29,5,FALSE),0)</x:f>
        <x:v>0</x:v>
      </x:c>
      <x:c r="G3669">
        <x:f>ROUND($C3669*10*VLOOKUP($B3669,Sheet2!$J$5:$K$7,2,FALSE)*VLOOKUP(Sheet1!$A3669,Sheet2!$B$5:$H$29,6,FALSE),0)</x:f>
        <x:v>0</x:v>
      </x:c>
      <x:c r="H3669">
        <x:f>ROUND($C3669*10*VLOOKUP($B3669,Sheet2!$J$5:$K$7,2,FALSE)*VLOOKUP(Sheet1!$A3669,Sheet2!$B$5:$H$29,7,FALSE),0)</x:f>
        <x:v>288</x:v>
      </x:c>
      <x:c r="I3669">
        <x:f t="shared" si="61"/>
        <x:v>1450</x:v>
      </x:c>
    </x:row>
    <x:row r="3670" spans="1:9" x14ac:dyDescent="0.15">
      <x:c r="A3670">
        <x:v>54201</x:v>
      </x:c>
      <x:c r="B3670">
        <x:v>2</x:v>
      </x:c>
      <x:c r="C3670">
        <x:v>9</x:v>
      </x:c>
      <x:c r="D3670">
        <x:f>ROUND($C3670*10*VLOOKUP($B3670,Sheet2!$J$5:$K$7,2,FALSE)*VLOOKUP(Sheet1!$A3670,Sheet2!$B$5:$H$29,3,FALSE),0)</x:f>
        <x:v>22</x:v>
      </x:c>
      <x:c r="E3670">
        <x:f>ROUND($C3670*10*VLOOKUP($B3670,Sheet2!$J$5:$K$7,2,FALSE)*VLOOKUP(Sheet1!$A3670,Sheet2!$B$5:$H$29,4,FALSE),0)</x:f>
        <x:v>0</x:v>
      </x:c>
      <x:c r="F3670">
        <x:f>ROUND($C3670*10*VLOOKUP($B3670,Sheet2!$J$5:$K$7,2,FALSE)*VLOOKUP(Sheet1!$A3670,Sheet2!$B$5:$H$29,5,FALSE),0)</x:f>
        <x:v>0</x:v>
      </x:c>
      <x:c r="G3670">
        <x:f>ROUND($C3670*10*VLOOKUP($B3670,Sheet2!$J$5:$K$7,2,FALSE)*VLOOKUP(Sheet1!$A3670,Sheet2!$B$5:$H$29,6,FALSE),0)</x:f>
        <x:v>0</x:v>
      </x:c>
      <x:c r="H3670">
        <x:f>ROUND($C3670*10*VLOOKUP($B3670,Sheet2!$J$5:$K$7,2,FALSE)*VLOOKUP(Sheet1!$A3670,Sheet2!$B$5:$H$29,7,FALSE),0)</x:f>
        <x:v>324</x:v>
      </x:c>
      <x:c r="I3670">
        <x:f t="shared" si="61"/>
        <x:v>1830</x:v>
      </x:c>
    </x:row>
    <x:row r="3671" spans="1:9" x14ac:dyDescent="0.15">
      <x:c r="A3671">
        <x:v>54201</x:v>
      </x:c>
      <x:c r="B3671">
        <x:v>2</x:v>
      </x:c>
      <x:c r="C3671">
        <x:v>10</x:v>
      </x:c>
      <x:c r="D3671">
        <x:f>ROUND($C3671*10*VLOOKUP($B3671,Sheet2!$J$5:$K$7,2,FALSE)*VLOOKUP(Sheet1!$A3671,Sheet2!$B$5:$H$29,3,FALSE),0)</x:f>
        <x:v>24</x:v>
      </x:c>
      <x:c r="E3671">
        <x:f>ROUND($C3671*10*VLOOKUP($B3671,Sheet2!$J$5:$K$7,2,FALSE)*VLOOKUP(Sheet1!$A3671,Sheet2!$B$5:$H$29,4,FALSE),0)</x:f>
        <x:v>0</x:v>
      </x:c>
      <x:c r="F3671">
        <x:f>ROUND($C3671*10*VLOOKUP($B3671,Sheet2!$J$5:$K$7,2,FALSE)*VLOOKUP(Sheet1!$A3671,Sheet2!$B$5:$H$29,5,FALSE),0)</x:f>
        <x:v>0</x:v>
      </x:c>
      <x:c r="G3671">
        <x:f>ROUND($C3671*10*VLOOKUP($B3671,Sheet2!$J$5:$K$7,2,FALSE)*VLOOKUP(Sheet1!$A3671,Sheet2!$B$5:$H$29,6,FALSE),0)</x:f>
        <x:v>0</x:v>
      </x:c>
      <x:c r="H3671">
        <x:f>ROUND($C3671*10*VLOOKUP($B3671,Sheet2!$J$5:$K$7,2,FALSE)*VLOOKUP(Sheet1!$A3671,Sheet2!$B$5:$H$29,7,FALSE),0)</x:f>
        <x:v>360</x:v>
      </x:c>
      <x:c r="I3671">
        <x:f t="shared" si="61"/>
        <x:v>2250</x:v>
      </x:c>
    </x:row>
    <x:row r="3672" spans="1:9" x14ac:dyDescent="0.15">
      <x:c r="A3672">
        <x:v>54201</x:v>
      </x:c>
      <x:c r="B3672">
        <x:v>2</x:v>
      </x:c>
      <x:c r="C3672">
        <x:v>11</x:v>
      </x:c>
      <x:c r="D3672">
        <x:f>ROUND($C3672*10*VLOOKUP($B3672,Sheet2!$J$5:$K$7,2,FALSE)*VLOOKUP(Sheet1!$A3672,Sheet2!$B$5:$H$29,3,FALSE),0)</x:f>
        <x:v>26</x:v>
      </x:c>
      <x:c r="E3672">
        <x:f>ROUND($C3672*10*VLOOKUP($B3672,Sheet2!$J$5:$K$7,2,FALSE)*VLOOKUP(Sheet1!$A3672,Sheet2!$B$5:$H$29,4,FALSE),0)</x:f>
        <x:v>0</x:v>
      </x:c>
      <x:c r="F3672">
        <x:f>ROUND($C3672*10*VLOOKUP($B3672,Sheet2!$J$5:$K$7,2,FALSE)*VLOOKUP(Sheet1!$A3672,Sheet2!$B$5:$H$29,5,FALSE),0)</x:f>
        <x:v>0</x:v>
      </x:c>
      <x:c r="G3672">
        <x:f>ROUND($C3672*10*VLOOKUP($B3672,Sheet2!$J$5:$K$7,2,FALSE)*VLOOKUP(Sheet1!$A3672,Sheet2!$B$5:$H$29,6,FALSE),0)</x:f>
        <x:v>0</x:v>
      </x:c>
      <x:c r="H3672">
        <x:f>ROUND($C3672*10*VLOOKUP($B3672,Sheet2!$J$5:$K$7,2,FALSE)*VLOOKUP(Sheet1!$A3672,Sheet2!$B$5:$H$29,7,FALSE),0)</x:f>
        <x:v>396</x:v>
      </x:c>
      <x:c r="I3672">
        <x:f t="shared" si="61"/>
        <x:v>2710</x:v>
      </x:c>
    </x:row>
    <x:row r="3673" spans="1:9" x14ac:dyDescent="0.15">
      <x:c r="A3673">
        <x:v>54201</x:v>
      </x:c>
      <x:c r="B3673">
        <x:v>2</x:v>
      </x:c>
      <x:c r="C3673">
        <x:v>12</x:v>
      </x:c>
      <x:c r="D3673">
        <x:f>ROUND($C3673*10*VLOOKUP($B3673,Sheet2!$J$5:$K$7,2,FALSE)*VLOOKUP(Sheet1!$A3673,Sheet2!$B$5:$H$29,3,FALSE),0)</x:f>
        <x:v>29</x:v>
      </x:c>
      <x:c r="E3673">
        <x:f>ROUND($C3673*10*VLOOKUP($B3673,Sheet2!$J$5:$K$7,2,FALSE)*VLOOKUP(Sheet1!$A3673,Sheet2!$B$5:$H$29,4,FALSE),0)</x:f>
        <x:v>0</x:v>
      </x:c>
      <x:c r="F3673">
        <x:f>ROUND($C3673*10*VLOOKUP($B3673,Sheet2!$J$5:$K$7,2,FALSE)*VLOOKUP(Sheet1!$A3673,Sheet2!$B$5:$H$29,5,FALSE),0)</x:f>
        <x:v>0</x:v>
      </x:c>
      <x:c r="G3673">
        <x:f>ROUND($C3673*10*VLOOKUP($B3673,Sheet2!$J$5:$K$7,2,FALSE)*VLOOKUP(Sheet1!$A3673,Sheet2!$B$5:$H$29,6,FALSE),0)</x:f>
        <x:v>0</x:v>
      </x:c>
      <x:c r="H3673">
        <x:f>ROUND($C3673*10*VLOOKUP($B3673,Sheet2!$J$5:$K$7,2,FALSE)*VLOOKUP(Sheet1!$A3673,Sheet2!$B$5:$H$29,7,FALSE),0)</x:f>
        <x:v>432</x:v>
      </x:c>
      <x:c r="I3673">
        <x:f t="shared" si="61"/>
        <x:v>3210</x:v>
      </x:c>
    </x:row>
    <x:row r="3674" spans="1:9" x14ac:dyDescent="0.15">
      <x:c r="A3674">
        <x:v>54201</x:v>
      </x:c>
      <x:c r="B3674">
        <x:v>2</x:v>
      </x:c>
      <x:c r="C3674">
        <x:v>13</x:v>
      </x:c>
      <x:c r="D3674">
        <x:f>ROUND($C3674*10*VLOOKUP($B3674,Sheet2!$J$5:$K$7,2,FALSE)*VLOOKUP(Sheet1!$A3674,Sheet2!$B$5:$H$29,3,FALSE),0)</x:f>
        <x:v>31</x:v>
      </x:c>
      <x:c r="E3674">
        <x:f>ROUND($C3674*10*VLOOKUP($B3674,Sheet2!$J$5:$K$7,2,FALSE)*VLOOKUP(Sheet1!$A3674,Sheet2!$B$5:$H$29,4,FALSE),0)</x:f>
        <x:v>0</x:v>
      </x:c>
      <x:c r="F3674">
        <x:f>ROUND($C3674*10*VLOOKUP($B3674,Sheet2!$J$5:$K$7,2,FALSE)*VLOOKUP(Sheet1!$A3674,Sheet2!$B$5:$H$29,5,FALSE),0)</x:f>
        <x:v>0</x:v>
      </x:c>
      <x:c r="G3674">
        <x:f>ROUND($C3674*10*VLOOKUP($B3674,Sheet2!$J$5:$K$7,2,FALSE)*VLOOKUP(Sheet1!$A3674,Sheet2!$B$5:$H$29,6,FALSE),0)</x:f>
        <x:v>0</x:v>
      </x:c>
      <x:c r="H3674">
        <x:f>ROUND($C3674*10*VLOOKUP($B3674,Sheet2!$J$5:$K$7,2,FALSE)*VLOOKUP(Sheet1!$A3674,Sheet2!$B$5:$H$29,7,FALSE),0)</x:f>
        <x:v>468</x:v>
      </x:c>
      <x:c r="I3674">
        <x:f t="shared" si="61"/>
        <x:v>3740</x:v>
      </x:c>
    </x:row>
    <x:row r="3675" spans="1:9" x14ac:dyDescent="0.15">
      <x:c r="A3675">
        <x:v>54201</x:v>
      </x:c>
      <x:c r="B3675">
        <x:v>2</x:v>
      </x:c>
      <x:c r="C3675">
        <x:v>14</x:v>
      </x:c>
      <x:c r="D3675">
        <x:f>ROUND($C3675*10*VLOOKUP($B3675,Sheet2!$J$5:$K$7,2,FALSE)*VLOOKUP(Sheet1!$A3675,Sheet2!$B$5:$H$29,3,FALSE),0)</x:f>
        <x:v>34</x:v>
      </x:c>
      <x:c r="E3675">
        <x:f>ROUND($C3675*10*VLOOKUP($B3675,Sheet2!$J$5:$K$7,2,FALSE)*VLOOKUP(Sheet1!$A3675,Sheet2!$B$5:$H$29,4,FALSE),0)</x:f>
        <x:v>0</x:v>
      </x:c>
      <x:c r="F3675">
        <x:f>ROUND($C3675*10*VLOOKUP($B3675,Sheet2!$J$5:$K$7,2,FALSE)*VLOOKUP(Sheet1!$A3675,Sheet2!$B$5:$H$29,5,FALSE),0)</x:f>
        <x:v>0</x:v>
      </x:c>
      <x:c r="G3675">
        <x:f>ROUND($C3675*10*VLOOKUP($B3675,Sheet2!$J$5:$K$7,2,FALSE)*VLOOKUP(Sheet1!$A3675,Sheet2!$B$5:$H$29,6,FALSE),0)</x:f>
        <x:v>0</x:v>
      </x:c>
      <x:c r="H3675">
        <x:f>ROUND($C3675*10*VLOOKUP($B3675,Sheet2!$J$5:$K$7,2,FALSE)*VLOOKUP(Sheet1!$A3675,Sheet2!$B$5:$H$29,7,FALSE),0)</x:f>
        <x:v>504</x:v>
      </x:c>
      <x:c r="I3675">
        <x:f t="shared" si="61"/>
        <x:v>4310</x:v>
      </x:c>
    </x:row>
    <x:row r="3676" spans="1:9" x14ac:dyDescent="0.15">
      <x:c r="A3676">
        <x:v>54201</x:v>
      </x:c>
      <x:c r="B3676">
        <x:v>2</x:v>
      </x:c>
      <x:c r="C3676">
        <x:v>15</x:v>
      </x:c>
      <x:c r="D3676">
        <x:f>ROUND($C3676*10*VLOOKUP($B3676,Sheet2!$J$5:$K$7,2,FALSE)*VLOOKUP(Sheet1!$A3676,Sheet2!$B$5:$H$29,3,FALSE),0)</x:f>
        <x:v>36</x:v>
      </x:c>
      <x:c r="E3676">
        <x:f>ROUND($C3676*10*VLOOKUP($B3676,Sheet2!$J$5:$K$7,2,FALSE)*VLOOKUP(Sheet1!$A3676,Sheet2!$B$5:$H$29,4,FALSE),0)</x:f>
        <x:v>0</x:v>
      </x:c>
      <x:c r="F3676">
        <x:f>ROUND($C3676*10*VLOOKUP($B3676,Sheet2!$J$5:$K$7,2,FALSE)*VLOOKUP(Sheet1!$A3676,Sheet2!$B$5:$H$29,5,FALSE),0)</x:f>
        <x:v>0</x:v>
      </x:c>
      <x:c r="G3676">
        <x:f>ROUND($C3676*10*VLOOKUP($B3676,Sheet2!$J$5:$K$7,2,FALSE)*VLOOKUP(Sheet1!$A3676,Sheet2!$B$5:$H$29,6,FALSE),0)</x:f>
        <x:v>0</x:v>
      </x:c>
      <x:c r="H3676">
        <x:f>ROUND($C3676*10*VLOOKUP($B3676,Sheet2!$J$5:$K$7,2,FALSE)*VLOOKUP(Sheet1!$A3676,Sheet2!$B$5:$H$29,7,FALSE),0)</x:f>
        <x:v>540</x:v>
      </x:c>
      <x:c r="I3676">
        <x:f t="shared" si="61"/>
        <x:v>4920</x:v>
      </x:c>
    </x:row>
    <x:row r="3677" spans="1:9" x14ac:dyDescent="0.15">
      <x:c r="A3677">
        <x:v>54201</x:v>
      </x:c>
      <x:c r="B3677">
        <x:v>2</x:v>
      </x:c>
      <x:c r="C3677">
        <x:v>16</x:v>
      </x:c>
      <x:c r="D3677">
        <x:f>ROUND($C3677*10*VLOOKUP($B3677,Sheet2!$J$5:$K$7,2,FALSE)*VLOOKUP(Sheet1!$A3677,Sheet2!$B$5:$H$29,3,FALSE),0)</x:f>
        <x:v>38</x:v>
      </x:c>
      <x:c r="E3677">
        <x:f>ROUND($C3677*10*VLOOKUP($B3677,Sheet2!$J$5:$K$7,2,FALSE)*VLOOKUP(Sheet1!$A3677,Sheet2!$B$5:$H$29,4,FALSE),0)</x:f>
        <x:v>0</x:v>
      </x:c>
      <x:c r="F3677">
        <x:f>ROUND($C3677*10*VLOOKUP($B3677,Sheet2!$J$5:$K$7,2,FALSE)*VLOOKUP(Sheet1!$A3677,Sheet2!$B$5:$H$29,5,FALSE),0)</x:f>
        <x:v>0</x:v>
      </x:c>
      <x:c r="G3677">
        <x:f>ROUND($C3677*10*VLOOKUP($B3677,Sheet2!$J$5:$K$7,2,FALSE)*VLOOKUP(Sheet1!$A3677,Sheet2!$B$5:$H$29,6,FALSE),0)</x:f>
        <x:v>0</x:v>
      </x:c>
      <x:c r="H3677">
        <x:f>ROUND($C3677*10*VLOOKUP($B3677,Sheet2!$J$5:$K$7,2,FALSE)*VLOOKUP(Sheet1!$A3677,Sheet2!$B$5:$H$29,7,FALSE),0)</x:f>
        <x:v>576</x:v>
      </x:c>
      <x:c r="I3677">
        <x:f t="shared" si="61"/>
        <x:v>5560</x:v>
      </x:c>
    </x:row>
    <x:row r="3678" spans="1:9" x14ac:dyDescent="0.15">
      <x:c r="A3678">
        <x:v>54201</x:v>
      </x:c>
      <x:c r="B3678">
        <x:v>2</x:v>
      </x:c>
      <x:c r="C3678">
        <x:v>17</x:v>
      </x:c>
      <x:c r="D3678">
        <x:f>ROUND($C3678*10*VLOOKUP($B3678,Sheet2!$J$5:$K$7,2,FALSE)*VLOOKUP(Sheet1!$A3678,Sheet2!$B$5:$H$29,3,FALSE),0)</x:f>
        <x:v>41</x:v>
      </x:c>
      <x:c r="E3678">
        <x:f>ROUND($C3678*10*VLOOKUP($B3678,Sheet2!$J$5:$K$7,2,FALSE)*VLOOKUP(Sheet1!$A3678,Sheet2!$B$5:$H$29,4,FALSE),0)</x:f>
        <x:v>0</x:v>
      </x:c>
      <x:c r="F3678">
        <x:f>ROUND($C3678*10*VLOOKUP($B3678,Sheet2!$J$5:$K$7,2,FALSE)*VLOOKUP(Sheet1!$A3678,Sheet2!$B$5:$H$29,5,FALSE),0)</x:f>
        <x:v>0</x:v>
      </x:c>
      <x:c r="G3678">
        <x:f>ROUND($C3678*10*VLOOKUP($B3678,Sheet2!$J$5:$K$7,2,FALSE)*VLOOKUP(Sheet1!$A3678,Sheet2!$B$5:$H$29,6,FALSE),0)</x:f>
        <x:v>0</x:v>
      </x:c>
      <x:c r="H3678">
        <x:f>ROUND($C3678*10*VLOOKUP($B3678,Sheet2!$J$5:$K$7,2,FALSE)*VLOOKUP(Sheet1!$A3678,Sheet2!$B$5:$H$29,7,FALSE),0)</x:f>
        <x:v>612</x:v>
      </x:c>
      <x:c r="I3678">
        <x:f t="shared" si="61"/>
        <x:v>6240</x:v>
      </x:c>
    </x:row>
    <x:row r="3679" spans="1:9" x14ac:dyDescent="0.15">
      <x:c r="A3679">
        <x:v>54201</x:v>
      </x:c>
      <x:c r="B3679">
        <x:v>2</x:v>
      </x:c>
      <x:c r="C3679">
        <x:v>18</x:v>
      </x:c>
      <x:c r="D3679">
        <x:f>ROUND($C3679*10*VLOOKUP($B3679,Sheet2!$J$5:$K$7,2,FALSE)*VLOOKUP(Sheet1!$A3679,Sheet2!$B$5:$H$29,3,FALSE),0)</x:f>
        <x:v>43</x:v>
      </x:c>
      <x:c r="E3679">
        <x:f>ROUND($C3679*10*VLOOKUP($B3679,Sheet2!$J$5:$K$7,2,FALSE)*VLOOKUP(Sheet1!$A3679,Sheet2!$B$5:$H$29,4,FALSE),0)</x:f>
        <x:v>0</x:v>
      </x:c>
      <x:c r="F3679">
        <x:f>ROUND($C3679*10*VLOOKUP($B3679,Sheet2!$J$5:$K$7,2,FALSE)*VLOOKUP(Sheet1!$A3679,Sheet2!$B$5:$H$29,5,FALSE),0)</x:f>
        <x:v>0</x:v>
      </x:c>
      <x:c r="G3679">
        <x:f>ROUND($C3679*10*VLOOKUP($B3679,Sheet2!$J$5:$K$7,2,FALSE)*VLOOKUP(Sheet1!$A3679,Sheet2!$B$5:$H$29,6,FALSE),0)</x:f>
        <x:v>0</x:v>
      </x:c>
      <x:c r="H3679">
        <x:f>ROUND($C3679*10*VLOOKUP($B3679,Sheet2!$J$5:$K$7,2,FALSE)*VLOOKUP(Sheet1!$A3679,Sheet2!$B$5:$H$29,7,FALSE),0)</x:f>
        <x:v>648</x:v>
      </x:c>
      <x:c r="I3679">
        <x:f t="shared" si="61"/>
        <x:v>6950</x:v>
      </x:c>
    </x:row>
    <x:row r="3680" spans="1:9" x14ac:dyDescent="0.15">
      <x:c r="A3680">
        <x:v>54201</x:v>
      </x:c>
      <x:c r="B3680">
        <x:v>2</x:v>
      </x:c>
      <x:c r="C3680">
        <x:v>19</x:v>
      </x:c>
      <x:c r="D3680">
        <x:f>ROUND($C3680*10*VLOOKUP($B3680,Sheet2!$J$5:$K$7,2,FALSE)*VLOOKUP(Sheet1!$A3680,Sheet2!$B$5:$H$29,3,FALSE),0)</x:f>
        <x:v>46</x:v>
      </x:c>
      <x:c r="E3680">
        <x:f>ROUND($C3680*10*VLOOKUP($B3680,Sheet2!$J$5:$K$7,2,FALSE)*VLOOKUP(Sheet1!$A3680,Sheet2!$B$5:$H$29,4,FALSE),0)</x:f>
        <x:v>0</x:v>
      </x:c>
      <x:c r="F3680">
        <x:f>ROUND($C3680*10*VLOOKUP($B3680,Sheet2!$J$5:$K$7,2,FALSE)*VLOOKUP(Sheet1!$A3680,Sheet2!$B$5:$H$29,5,FALSE),0)</x:f>
        <x:v>0</x:v>
      </x:c>
      <x:c r="G3680">
        <x:f>ROUND($C3680*10*VLOOKUP($B3680,Sheet2!$J$5:$K$7,2,FALSE)*VLOOKUP(Sheet1!$A3680,Sheet2!$B$5:$H$29,6,FALSE),0)</x:f>
        <x:v>0</x:v>
      </x:c>
      <x:c r="H3680">
        <x:f>ROUND($C3680*10*VLOOKUP($B3680,Sheet2!$J$5:$K$7,2,FALSE)*VLOOKUP(Sheet1!$A3680,Sheet2!$B$5:$H$29,7,FALSE),0)</x:f>
        <x:v>684</x:v>
      </x:c>
      <x:c r="I3680">
        <x:f t="shared" si="61"/>
        <x:v>7690</x:v>
      </x:c>
    </x:row>
    <x:row r="3681" spans="1:9" x14ac:dyDescent="0.15">
      <x:c r="A3681">
        <x:v>54201</x:v>
      </x:c>
      <x:c r="B3681">
        <x:v>2</x:v>
      </x:c>
      <x:c r="C3681">
        <x:v>20</x:v>
      </x:c>
      <x:c r="D3681">
        <x:f>ROUND($C3681*10*VLOOKUP($B3681,Sheet2!$J$5:$K$7,2,FALSE)*VLOOKUP(Sheet1!$A3681,Sheet2!$B$5:$H$29,3,FALSE),0)</x:f>
        <x:v>48</x:v>
      </x:c>
      <x:c r="E3681">
        <x:f>ROUND($C3681*10*VLOOKUP($B3681,Sheet2!$J$5:$K$7,2,FALSE)*VLOOKUP(Sheet1!$A3681,Sheet2!$B$5:$H$29,4,FALSE),0)</x:f>
        <x:v>0</x:v>
      </x:c>
      <x:c r="F3681">
        <x:f>ROUND($C3681*10*VLOOKUP($B3681,Sheet2!$J$5:$K$7,2,FALSE)*VLOOKUP(Sheet1!$A3681,Sheet2!$B$5:$H$29,5,FALSE),0)</x:f>
        <x:v>0</x:v>
      </x:c>
      <x:c r="G3681">
        <x:f>ROUND($C3681*10*VLOOKUP($B3681,Sheet2!$J$5:$K$7,2,FALSE)*VLOOKUP(Sheet1!$A3681,Sheet2!$B$5:$H$29,6,FALSE),0)</x:f>
        <x:v>0</x:v>
      </x:c>
      <x:c r="H3681">
        <x:f>ROUND($C3681*10*VLOOKUP($B3681,Sheet2!$J$5:$K$7,2,FALSE)*VLOOKUP(Sheet1!$A3681,Sheet2!$B$5:$H$29,7,FALSE),0)</x:f>
        <x:v>720</x:v>
      </x:c>
      <x:c r="I3681">
        <x:f t="shared" si="61"/>
        <x:v>8470</x:v>
      </x:c>
    </x:row>
    <x:row r="3682" spans="1:9" x14ac:dyDescent="0.15">
      <x:c r="A3682">
        <x:v>54201</x:v>
      </x:c>
      <x:c r="B3682">
        <x:v>2</x:v>
      </x:c>
      <x:c r="C3682">
        <x:v>21</x:v>
      </x:c>
      <x:c r="D3682">
        <x:f>ROUND($C3682*10*VLOOKUP($B3682,Sheet2!$J$5:$K$7,2,FALSE)*VLOOKUP(Sheet1!$A3682,Sheet2!$B$5:$H$29,3,FALSE),0)</x:f>
        <x:v>50</x:v>
      </x:c>
      <x:c r="E3682">
        <x:f>ROUND($C3682*10*VLOOKUP($B3682,Sheet2!$J$5:$K$7,2,FALSE)*VLOOKUP(Sheet1!$A3682,Sheet2!$B$5:$H$29,4,FALSE),0)</x:f>
        <x:v>0</x:v>
      </x:c>
      <x:c r="F3682">
        <x:f>ROUND($C3682*10*VLOOKUP($B3682,Sheet2!$J$5:$K$7,2,FALSE)*VLOOKUP(Sheet1!$A3682,Sheet2!$B$5:$H$29,5,FALSE),0)</x:f>
        <x:v>0</x:v>
      </x:c>
      <x:c r="G3682">
        <x:f>ROUND($C3682*10*VLOOKUP($B3682,Sheet2!$J$5:$K$7,2,FALSE)*VLOOKUP(Sheet1!$A3682,Sheet2!$B$5:$H$29,6,FALSE),0)</x:f>
        <x:v>0</x:v>
      </x:c>
      <x:c r="H3682">
        <x:f>ROUND($C3682*10*VLOOKUP($B3682,Sheet2!$J$5:$K$7,2,FALSE)*VLOOKUP(Sheet1!$A3682,Sheet2!$B$5:$H$29,7,FALSE),0)</x:f>
        <x:v>756</x:v>
      </x:c>
      <x:c r="I3682">
        <x:f t="shared" si="61"/>
        <x:v>9290</x:v>
      </x:c>
    </x:row>
    <x:row r="3683" spans="1:9" x14ac:dyDescent="0.15">
      <x:c r="A3683">
        <x:v>54201</x:v>
      </x:c>
      <x:c r="B3683">
        <x:v>2</x:v>
      </x:c>
      <x:c r="C3683">
        <x:v>22</x:v>
      </x:c>
      <x:c r="D3683">
        <x:f>ROUND($C3683*10*VLOOKUP($B3683,Sheet2!$J$5:$K$7,2,FALSE)*VLOOKUP(Sheet1!$A3683,Sheet2!$B$5:$H$29,3,FALSE),0)</x:f>
        <x:v>53</x:v>
      </x:c>
      <x:c r="E3683">
        <x:f>ROUND($C3683*10*VLOOKUP($B3683,Sheet2!$J$5:$K$7,2,FALSE)*VLOOKUP(Sheet1!$A3683,Sheet2!$B$5:$H$29,4,FALSE),0)</x:f>
        <x:v>0</x:v>
      </x:c>
      <x:c r="F3683">
        <x:f>ROUND($C3683*10*VLOOKUP($B3683,Sheet2!$J$5:$K$7,2,FALSE)*VLOOKUP(Sheet1!$A3683,Sheet2!$B$5:$H$29,5,FALSE),0)</x:f>
        <x:v>0</x:v>
      </x:c>
      <x:c r="G3683">
        <x:f>ROUND($C3683*10*VLOOKUP($B3683,Sheet2!$J$5:$K$7,2,FALSE)*VLOOKUP(Sheet1!$A3683,Sheet2!$B$5:$H$29,6,FALSE),0)</x:f>
        <x:v>0</x:v>
      </x:c>
      <x:c r="H3683">
        <x:f>ROUND($C3683*10*VLOOKUP($B3683,Sheet2!$J$5:$K$7,2,FALSE)*VLOOKUP(Sheet1!$A3683,Sheet2!$B$5:$H$29,7,FALSE),0)</x:f>
        <x:v>792</x:v>
      </x:c>
      <x:c r="I3683">
        <x:f t="shared" si="61"/>
        <x:v>10130</x:v>
      </x:c>
    </x:row>
    <x:row r="3684" spans="1:9" x14ac:dyDescent="0.15">
      <x:c r="A3684">
        <x:v>54201</x:v>
      </x:c>
      <x:c r="B3684">
        <x:v>2</x:v>
      </x:c>
      <x:c r="C3684">
        <x:v>23</x:v>
      </x:c>
      <x:c r="D3684">
        <x:f>ROUND($C3684*10*VLOOKUP($B3684,Sheet2!$J$5:$K$7,2,FALSE)*VLOOKUP(Sheet1!$A3684,Sheet2!$B$5:$H$29,3,FALSE),0)</x:f>
        <x:v>55</x:v>
      </x:c>
      <x:c r="E3684">
        <x:f>ROUND($C3684*10*VLOOKUP($B3684,Sheet2!$J$5:$K$7,2,FALSE)*VLOOKUP(Sheet1!$A3684,Sheet2!$B$5:$H$29,4,FALSE),0)</x:f>
        <x:v>0</x:v>
      </x:c>
      <x:c r="F3684">
        <x:f>ROUND($C3684*10*VLOOKUP($B3684,Sheet2!$J$5:$K$7,2,FALSE)*VLOOKUP(Sheet1!$A3684,Sheet2!$B$5:$H$29,5,FALSE),0)</x:f>
        <x:v>0</x:v>
      </x:c>
      <x:c r="G3684">
        <x:f>ROUND($C3684*10*VLOOKUP($B3684,Sheet2!$J$5:$K$7,2,FALSE)*VLOOKUP(Sheet1!$A3684,Sheet2!$B$5:$H$29,6,FALSE),0)</x:f>
        <x:v>0</x:v>
      </x:c>
      <x:c r="H3684">
        <x:f>ROUND($C3684*10*VLOOKUP($B3684,Sheet2!$J$5:$K$7,2,FALSE)*VLOOKUP(Sheet1!$A3684,Sheet2!$B$5:$H$29,7,FALSE),0)</x:f>
        <x:v>828</x:v>
      </x:c>
      <x:c r="I3684">
        <x:f t="shared" si="61"/>
        <x:v>11010</x:v>
      </x:c>
    </x:row>
    <x:row r="3685" spans="1:9" x14ac:dyDescent="0.15">
      <x:c r="A3685">
        <x:v>54201</x:v>
      </x:c>
      <x:c r="B3685">
        <x:v>2</x:v>
      </x:c>
      <x:c r="C3685">
        <x:v>24</x:v>
      </x:c>
      <x:c r="D3685">
        <x:f>ROUND($C3685*10*VLOOKUP($B3685,Sheet2!$J$5:$K$7,2,FALSE)*VLOOKUP(Sheet1!$A3685,Sheet2!$B$5:$H$29,3,FALSE),0)</x:f>
        <x:v>58</x:v>
      </x:c>
      <x:c r="E3685">
        <x:f>ROUND($C3685*10*VLOOKUP($B3685,Sheet2!$J$5:$K$7,2,FALSE)*VLOOKUP(Sheet1!$A3685,Sheet2!$B$5:$H$29,4,FALSE),0)</x:f>
        <x:v>0</x:v>
      </x:c>
      <x:c r="F3685">
        <x:f>ROUND($C3685*10*VLOOKUP($B3685,Sheet2!$J$5:$K$7,2,FALSE)*VLOOKUP(Sheet1!$A3685,Sheet2!$B$5:$H$29,5,FALSE),0)</x:f>
        <x:v>0</x:v>
      </x:c>
      <x:c r="G3685">
        <x:f>ROUND($C3685*10*VLOOKUP($B3685,Sheet2!$J$5:$K$7,2,FALSE)*VLOOKUP(Sheet1!$A3685,Sheet2!$B$5:$H$29,6,FALSE),0)</x:f>
        <x:v>0</x:v>
      </x:c>
      <x:c r="H3685">
        <x:f>ROUND($C3685*10*VLOOKUP($B3685,Sheet2!$J$5:$K$7,2,FALSE)*VLOOKUP(Sheet1!$A3685,Sheet2!$B$5:$H$29,7,FALSE),0)</x:f>
        <x:v>864</x:v>
      </x:c>
      <x:c r="I3685">
        <x:f t="shared" si="61"/>
        <x:v>11930</x:v>
      </x:c>
    </x:row>
    <x:row r="3686" spans="1:9" x14ac:dyDescent="0.15">
      <x:c r="A3686">
        <x:v>54201</x:v>
      </x:c>
      <x:c r="B3686">
        <x:v>2</x:v>
      </x:c>
      <x:c r="C3686">
        <x:v>25</x:v>
      </x:c>
      <x:c r="D3686">
        <x:f>ROUND($C3686*10*VLOOKUP($B3686,Sheet2!$J$5:$K$7,2,FALSE)*VLOOKUP(Sheet1!$A3686,Sheet2!$B$5:$H$29,3,FALSE),0)</x:f>
        <x:v>60</x:v>
      </x:c>
      <x:c r="E3686">
        <x:f>ROUND($C3686*10*VLOOKUP($B3686,Sheet2!$J$5:$K$7,2,FALSE)*VLOOKUP(Sheet1!$A3686,Sheet2!$B$5:$H$29,4,FALSE),0)</x:f>
        <x:v>0</x:v>
      </x:c>
      <x:c r="F3686">
        <x:f>ROUND($C3686*10*VLOOKUP($B3686,Sheet2!$J$5:$K$7,2,FALSE)*VLOOKUP(Sheet1!$A3686,Sheet2!$B$5:$H$29,5,FALSE),0)</x:f>
        <x:v>0</x:v>
      </x:c>
      <x:c r="G3686">
        <x:f>ROUND($C3686*10*VLOOKUP($B3686,Sheet2!$J$5:$K$7,2,FALSE)*VLOOKUP(Sheet1!$A3686,Sheet2!$B$5:$H$29,6,FALSE),0)</x:f>
        <x:v>0</x:v>
      </x:c>
      <x:c r="H3686">
        <x:f>ROUND($C3686*10*VLOOKUP($B3686,Sheet2!$J$5:$K$7,2,FALSE)*VLOOKUP(Sheet1!$A3686,Sheet2!$B$5:$H$29,7,FALSE),0)</x:f>
        <x:v>900</x:v>
      </x:c>
      <x:c r="I3686">
        <x:f t="shared" si="61"/>
        <x:v>12870</x:v>
      </x:c>
    </x:row>
    <x:row r="3687" spans="1:9" x14ac:dyDescent="0.15">
      <x:c r="A3687">
        <x:v>54201</x:v>
      </x:c>
      <x:c r="B3687">
        <x:v>2</x:v>
      </x:c>
      <x:c r="C3687">
        <x:v>26</x:v>
      </x:c>
      <x:c r="D3687">
        <x:f>ROUND($C3687*10*VLOOKUP($B3687,Sheet2!$J$5:$K$7,2,FALSE)*VLOOKUP(Sheet1!$A3687,Sheet2!$B$5:$H$29,3,FALSE),0)</x:f>
        <x:v>62</x:v>
      </x:c>
      <x:c r="E3687">
        <x:f>ROUND($C3687*10*VLOOKUP($B3687,Sheet2!$J$5:$K$7,2,FALSE)*VLOOKUP(Sheet1!$A3687,Sheet2!$B$5:$H$29,4,FALSE),0)</x:f>
        <x:v>0</x:v>
      </x:c>
      <x:c r="F3687">
        <x:f>ROUND($C3687*10*VLOOKUP($B3687,Sheet2!$J$5:$K$7,2,FALSE)*VLOOKUP(Sheet1!$A3687,Sheet2!$B$5:$H$29,5,FALSE),0)</x:f>
        <x:v>0</x:v>
      </x:c>
      <x:c r="G3687">
        <x:f>ROUND($C3687*10*VLOOKUP($B3687,Sheet2!$J$5:$K$7,2,FALSE)*VLOOKUP(Sheet1!$A3687,Sheet2!$B$5:$H$29,6,FALSE),0)</x:f>
        <x:v>0</x:v>
      </x:c>
      <x:c r="H3687">
        <x:f>ROUND($C3687*10*VLOOKUP($B3687,Sheet2!$J$5:$K$7,2,FALSE)*VLOOKUP(Sheet1!$A3687,Sheet2!$B$5:$H$29,7,FALSE),0)</x:f>
        <x:v>936</x:v>
      </x:c>
      <x:c r="I3687">
        <x:f t="shared" si="61"/>
        <x:v>13850</x:v>
      </x:c>
    </x:row>
    <x:row r="3688" spans="1:9" x14ac:dyDescent="0.15">
      <x:c r="A3688">
        <x:v>54201</x:v>
      </x:c>
      <x:c r="B3688">
        <x:v>2</x:v>
      </x:c>
      <x:c r="C3688">
        <x:v>27</x:v>
      </x:c>
      <x:c r="D3688">
        <x:f>ROUND($C3688*10*VLOOKUP($B3688,Sheet2!$J$5:$K$7,2,FALSE)*VLOOKUP(Sheet1!$A3688,Sheet2!$B$5:$H$29,3,FALSE),0)</x:f>
        <x:v>65</x:v>
      </x:c>
      <x:c r="E3688">
        <x:f>ROUND($C3688*10*VLOOKUP($B3688,Sheet2!$J$5:$K$7,2,FALSE)*VLOOKUP(Sheet1!$A3688,Sheet2!$B$5:$H$29,4,FALSE),0)</x:f>
        <x:v>0</x:v>
      </x:c>
      <x:c r="F3688">
        <x:f>ROUND($C3688*10*VLOOKUP($B3688,Sheet2!$J$5:$K$7,2,FALSE)*VLOOKUP(Sheet1!$A3688,Sheet2!$B$5:$H$29,5,FALSE),0)</x:f>
        <x:v>0</x:v>
      </x:c>
      <x:c r="G3688">
        <x:f>ROUND($C3688*10*VLOOKUP($B3688,Sheet2!$J$5:$K$7,2,FALSE)*VLOOKUP(Sheet1!$A3688,Sheet2!$B$5:$H$29,6,FALSE),0)</x:f>
        <x:v>0</x:v>
      </x:c>
      <x:c r="H3688">
        <x:f>ROUND($C3688*10*VLOOKUP($B3688,Sheet2!$J$5:$K$7,2,FALSE)*VLOOKUP(Sheet1!$A3688,Sheet2!$B$5:$H$29,7,FALSE),0)</x:f>
        <x:v>972</x:v>
      </x:c>
      <x:c r="I3688">
        <x:f t="shared" si="61"/>
        <x:v>14860</x:v>
      </x:c>
    </x:row>
    <x:row r="3689" spans="1:9" x14ac:dyDescent="0.15">
      <x:c r="A3689">
        <x:v>54201</x:v>
      </x:c>
      <x:c r="B3689">
        <x:v>2</x:v>
      </x:c>
      <x:c r="C3689">
        <x:v>28</x:v>
      </x:c>
      <x:c r="D3689">
        <x:f>ROUND($C3689*10*VLOOKUP($B3689,Sheet2!$J$5:$K$7,2,FALSE)*VLOOKUP(Sheet1!$A3689,Sheet2!$B$5:$H$29,3,FALSE),0)</x:f>
        <x:v>67</x:v>
      </x:c>
      <x:c r="E3689">
        <x:f>ROUND($C3689*10*VLOOKUP($B3689,Sheet2!$J$5:$K$7,2,FALSE)*VLOOKUP(Sheet1!$A3689,Sheet2!$B$5:$H$29,4,FALSE),0)</x:f>
        <x:v>0</x:v>
      </x:c>
      <x:c r="F3689">
        <x:f>ROUND($C3689*10*VLOOKUP($B3689,Sheet2!$J$5:$K$7,2,FALSE)*VLOOKUP(Sheet1!$A3689,Sheet2!$B$5:$H$29,5,FALSE),0)</x:f>
        <x:v>0</x:v>
      </x:c>
      <x:c r="G3689">
        <x:f>ROUND($C3689*10*VLOOKUP($B3689,Sheet2!$J$5:$K$7,2,FALSE)*VLOOKUP(Sheet1!$A3689,Sheet2!$B$5:$H$29,6,FALSE),0)</x:f>
        <x:v>0</x:v>
      </x:c>
      <x:c r="H3689">
        <x:f>ROUND($C3689*10*VLOOKUP($B3689,Sheet2!$J$5:$K$7,2,FALSE)*VLOOKUP(Sheet1!$A3689,Sheet2!$B$5:$H$29,7,FALSE),0)</x:f>
        <x:v>1008</x:v>
      </x:c>
      <x:c r="I3689">
        <x:f t="shared" si="61"/>
        <x:v>15900</x:v>
      </x:c>
    </x:row>
    <x:row r="3690" spans="1:9" x14ac:dyDescent="0.15">
      <x:c r="A3690">
        <x:v>54201</x:v>
      </x:c>
      <x:c r="B3690">
        <x:v>2</x:v>
      </x:c>
      <x:c r="C3690">
        <x:v>29</x:v>
      </x:c>
      <x:c r="D3690">
        <x:f>ROUND($C3690*10*VLOOKUP($B3690,Sheet2!$J$5:$K$7,2,FALSE)*VLOOKUP(Sheet1!$A3690,Sheet2!$B$5:$H$29,3,FALSE),0)</x:f>
        <x:v>70</x:v>
      </x:c>
      <x:c r="E3690">
        <x:f>ROUND($C3690*10*VLOOKUP($B3690,Sheet2!$J$5:$K$7,2,FALSE)*VLOOKUP(Sheet1!$A3690,Sheet2!$B$5:$H$29,4,FALSE),0)</x:f>
        <x:v>0</x:v>
      </x:c>
      <x:c r="F3690">
        <x:f>ROUND($C3690*10*VLOOKUP($B3690,Sheet2!$J$5:$K$7,2,FALSE)*VLOOKUP(Sheet1!$A3690,Sheet2!$B$5:$H$29,5,FALSE),0)</x:f>
        <x:v>0</x:v>
      </x:c>
      <x:c r="G3690">
        <x:f>ROUND($C3690*10*VLOOKUP($B3690,Sheet2!$J$5:$K$7,2,FALSE)*VLOOKUP(Sheet1!$A3690,Sheet2!$B$5:$H$29,6,FALSE),0)</x:f>
        <x:v>0</x:v>
      </x:c>
      <x:c r="H3690">
        <x:f>ROUND($C3690*10*VLOOKUP($B3690,Sheet2!$J$5:$K$7,2,FALSE)*VLOOKUP(Sheet1!$A3690,Sheet2!$B$5:$H$29,7,FALSE),0)</x:f>
        <x:v>1044</x:v>
      </x:c>
      <x:c r="I3690">
        <x:f t="shared" si="61"/>
        <x:v>16970</x:v>
      </x:c>
    </x:row>
    <x:row r="3691" spans="1:9" x14ac:dyDescent="0.15">
      <x:c r="A3691">
        <x:v>54201</x:v>
      </x:c>
      <x:c r="B3691">
        <x:v>2</x:v>
      </x:c>
      <x:c r="C3691">
        <x:v>30</x:v>
      </x:c>
      <x:c r="D3691">
        <x:f>ROUND($C3691*10*VLOOKUP($B3691,Sheet2!$J$5:$K$7,2,FALSE)*VLOOKUP(Sheet1!$A3691,Sheet2!$B$5:$H$29,3,FALSE),0)</x:f>
        <x:v>72</x:v>
      </x:c>
      <x:c r="E3691">
        <x:f>ROUND($C3691*10*VLOOKUP($B3691,Sheet2!$J$5:$K$7,2,FALSE)*VLOOKUP(Sheet1!$A3691,Sheet2!$B$5:$H$29,4,FALSE),0)</x:f>
        <x:v>0</x:v>
      </x:c>
      <x:c r="F3691">
        <x:f>ROUND($C3691*10*VLOOKUP($B3691,Sheet2!$J$5:$K$7,2,FALSE)*VLOOKUP(Sheet1!$A3691,Sheet2!$B$5:$H$29,5,FALSE),0)</x:f>
        <x:v>0</x:v>
      </x:c>
      <x:c r="G3691">
        <x:f>ROUND($C3691*10*VLOOKUP($B3691,Sheet2!$J$5:$K$7,2,FALSE)*VLOOKUP(Sheet1!$A3691,Sheet2!$B$5:$H$29,6,FALSE),0)</x:f>
        <x:v>0</x:v>
      </x:c>
      <x:c r="H3691">
        <x:f>ROUND($C3691*10*VLOOKUP($B3691,Sheet2!$J$5:$K$7,2,FALSE)*VLOOKUP(Sheet1!$A3691,Sheet2!$B$5:$H$29,7,FALSE),0)</x:f>
        <x:v>1080</x:v>
      </x:c>
      <x:c r="I3691">
        <x:f t="shared" si="61"/>
        <x:v>18070</x:v>
      </x:c>
    </x:row>
    <x:row r="3692" spans="1:9" x14ac:dyDescent="0.15">
      <x:c r="A3692">
        <x:v>54201</x:v>
      </x:c>
      <x:c r="B3692">
        <x:v>2</x:v>
      </x:c>
      <x:c r="C3692">
        <x:v>31</x:v>
      </x:c>
      <x:c r="D3692">
        <x:f>ROUND($C3692*10*VLOOKUP($B3692,Sheet2!$J$5:$K$7,2,FALSE)*VLOOKUP(Sheet1!$A3692,Sheet2!$B$5:$H$29,3,FALSE),0)</x:f>
        <x:v>74</x:v>
      </x:c>
      <x:c r="E3692">
        <x:f>ROUND($C3692*10*VLOOKUP($B3692,Sheet2!$J$5:$K$7,2,FALSE)*VLOOKUP(Sheet1!$A3692,Sheet2!$B$5:$H$29,4,FALSE),0)</x:f>
        <x:v>0</x:v>
      </x:c>
      <x:c r="F3692">
        <x:f>ROUND($C3692*10*VLOOKUP($B3692,Sheet2!$J$5:$K$7,2,FALSE)*VLOOKUP(Sheet1!$A3692,Sheet2!$B$5:$H$29,5,FALSE),0)</x:f>
        <x:v>0</x:v>
      </x:c>
      <x:c r="G3692">
        <x:f>ROUND($C3692*10*VLOOKUP($B3692,Sheet2!$J$5:$K$7,2,FALSE)*VLOOKUP(Sheet1!$A3692,Sheet2!$B$5:$H$29,6,FALSE),0)</x:f>
        <x:v>0</x:v>
      </x:c>
      <x:c r="H3692">
        <x:f>ROUND($C3692*10*VLOOKUP($B3692,Sheet2!$J$5:$K$7,2,FALSE)*VLOOKUP(Sheet1!$A3692,Sheet2!$B$5:$H$29,7,FALSE),0)</x:f>
        <x:v>1116</x:v>
      </x:c>
      <x:c r="I3692">
        <x:f t="shared" si="61"/>
        <x:v>19210</x:v>
      </x:c>
    </x:row>
    <x:row r="3693" spans="1:9" x14ac:dyDescent="0.15">
      <x:c r="A3693">
        <x:v>54201</x:v>
      </x:c>
      <x:c r="B3693">
        <x:v>2</x:v>
      </x:c>
      <x:c r="C3693">
        <x:v>32</x:v>
      </x:c>
      <x:c r="D3693">
        <x:f>ROUND($C3693*10*VLOOKUP($B3693,Sheet2!$J$5:$K$7,2,FALSE)*VLOOKUP(Sheet1!$A3693,Sheet2!$B$5:$H$29,3,FALSE),0)</x:f>
        <x:v>77</x:v>
      </x:c>
      <x:c r="E3693">
        <x:f>ROUND($C3693*10*VLOOKUP($B3693,Sheet2!$J$5:$K$7,2,FALSE)*VLOOKUP(Sheet1!$A3693,Sheet2!$B$5:$H$29,4,FALSE),0)</x:f>
        <x:v>0</x:v>
      </x:c>
      <x:c r="F3693">
        <x:f>ROUND($C3693*10*VLOOKUP($B3693,Sheet2!$J$5:$K$7,2,FALSE)*VLOOKUP(Sheet1!$A3693,Sheet2!$B$5:$H$29,5,FALSE),0)</x:f>
        <x:v>0</x:v>
      </x:c>
      <x:c r="G3693">
        <x:f>ROUND($C3693*10*VLOOKUP($B3693,Sheet2!$J$5:$K$7,2,FALSE)*VLOOKUP(Sheet1!$A3693,Sheet2!$B$5:$H$29,6,FALSE),0)</x:f>
        <x:v>0</x:v>
      </x:c>
      <x:c r="H3693">
        <x:f>ROUND($C3693*10*VLOOKUP($B3693,Sheet2!$J$5:$K$7,2,FALSE)*VLOOKUP(Sheet1!$A3693,Sheet2!$B$5:$H$29,7,FALSE),0)</x:f>
        <x:v>1152</x:v>
      </x:c>
      <x:c r="I3693">
        <x:f t="shared" si="61"/>
        <x:v>20370</x:v>
      </x:c>
    </x:row>
    <x:row r="3694" spans="1:9" x14ac:dyDescent="0.15">
      <x:c r="A3694">
        <x:v>54201</x:v>
      </x:c>
      <x:c r="B3694">
        <x:v>2</x:v>
      </x:c>
      <x:c r="C3694">
        <x:v>33</x:v>
      </x:c>
      <x:c r="D3694">
        <x:f>ROUND($C3694*10*VLOOKUP($B3694,Sheet2!$J$5:$K$7,2,FALSE)*VLOOKUP(Sheet1!$A3694,Sheet2!$B$5:$H$29,3,FALSE),0)</x:f>
        <x:v>79</x:v>
      </x:c>
      <x:c r="E3694">
        <x:f>ROUND($C3694*10*VLOOKUP($B3694,Sheet2!$J$5:$K$7,2,FALSE)*VLOOKUP(Sheet1!$A3694,Sheet2!$B$5:$H$29,4,FALSE),0)</x:f>
        <x:v>0</x:v>
      </x:c>
      <x:c r="F3694">
        <x:f>ROUND($C3694*10*VLOOKUP($B3694,Sheet2!$J$5:$K$7,2,FALSE)*VLOOKUP(Sheet1!$A3694,Sheet2!$B$5:$H$29,5,FALSE),0)</x:f>
        <x:v>0</x:v>
      </x:c>
      <x:c r="G3694">
        <x:f>ROUND($C3694*10*VLOOKUP($B3694,Sheet2!$J$5:$K$7,2,FALSE)*VLOOKUP(Sheet1!$A3694,Sheet2!$B$5:$H$29,6,FALSE),0)</x:f>
        <x:v>0</x:v>
      </x:c>
      <x:c r="H3694">
        <x:f>ROUND($C3694*10*VLOOKUP($B3694,Sheet2!$J$5:$K$7,2,FALSE)*VLOOKUP(Sheet1!$A3694,Sheet2!$B$5:$H$29,7,FALSE),0)</x:f>
        <x:v>1188</x:v>
      </x:c>
      <x:c r="I3694">
        <x:f t="shared" si="61"/>
        <x:v>21560</x:v>
      </x:c>
    </x:row>
    <x:row r="3695" spans="1:9" x14ac:dyDescent="0.15">
      <x:c r="A3695">
        <x:v>54201</x:v>
      </x:c>
      <x:c r="B3695">
        <x:v>2</x:v>
      </x:c>
      <x:c r="C3695">
        <x:v>34</x:v>
      </x:c>
      <x:c r="D3695">
        <x:f>ROUND($C3695*10*VLOOKUP($B3695,Sheet2!$J$5:$K$7,2,FALSE)*VLOOKUP(Sheet1!$A3695,Sheet2!$B$5:$H$29,3,FALSE),0)</x:f>
        <x:v>82</x:v>
      </x:c>
      <x:c r="E3695">
        <x:f>ROUND($C3695*10*VLOOKUP($B3695,Sheet2!$J$5:$K$7,2,FALSE)*VLOOKUP(Sheet1!$A3695,Sheet2!$B$5:$H$29,4,FALSE),0)</x:f>
        <x:v>0</x:v>
      </x:c>
      <x:c r="F3695">
        <x:f>ROUND($C3695*10*VLOOKUP($B3695,Sheet2!$J$5:$K$7,2,FALSE)*VLOOKUP(Sheet1!$A3695,Sheet2!$B$5:$H$29,5,FALSE),0)</x:f>
        <x:v>0</x:v>
      </x:c>
      <x:c r="G3695">
        <x:f>ROUND($C3695*10*VLOOKUP($B3695,Sheet2!$J$5:$K$7,2,FALSE)*VLOOKUP(Sheet1!$A3695,Sheet2!$B$5:$H$29,6,FALSE),0)</x:f>
        <x:v>0</x:v>
      </x:c>
      <x:c r="H3695">
        <x:f>ROUND($C3695*10*VLOOKUP($B3695,Sheet2!$J$5:$K$7,2,FALSE)*VLOOKUP(Sheet1!$A3695,Sheet2!$B$5:$H$29,7,FALSE),0)</x:f>
        <x:v>1224</x:v>
      </x:c>
      <x:c r="I3695">
        <x:f t="shared" si="61"/>
        <x:v>22790</x:v>
      </x:c>
    </x:row>
    <x:row r="3696" spans="1:9" x14ac:dyDescent="0.15">
      <x:c r="A3696">
        <x:v>54201</x:v>
      </x:c>
      <x:c r="B3696">
        <x:v>2</x:v>
      </x:c>
      <x:c r="C3696">
        <x:v>35</x:v>
      </x:c>
      <x:c r="D3696">
        <x:f>ROUND($C3696*10*VLOOKUP($B3696,Sheet2!$J$5:$K$7,2,FALSE)*VLOOKUP(Sheet1!$A3696,Sheet2!$B$5:$H$29,3,FALSE),0)</x:f>
        <x:v>84</x:v>
      </x:c>
      <x:c r="E3696">
        <x:f>ROUND($C3696*10*VLOOKUP($B3696,Sheet2!$J$5:$K$7,2,FALSE)*VLOOKUP(Sheet1!$A3696,Sheet2!$B$5:$H$29,4,FALSE),0)</x:f>
        <x:v>0</x:v>
      </x:c>
      <x:c r="F3696">
        <x:f>ROUND($C3696*10*VLOOKUP($B3696,Sheet2!$J$5:$K$7,2,FALSE)*VLOOKUP(Sheet1!$A3696,Sheet2!$B$5:$H$29,5,FALSE),0)</x:f>
        <x:v>0</x:v>
      </x:c>
      <x:c r="G3696">
        <x:f>ROUND($C3696*10*VLOOKUP($B3696,Sheet2!$J$5:$K$7,2,FALSE)*VLOOKUP(Sheet1!$A3696,Sheet2!$B$5:$H$29,6,FALSE),0)</x:f>
        <x:v>0</x:v>
      </x:c>
      <x:c r="H3696">
        <x:f>ROUND($C3696*10*VLOOKUP($B3696,Sheet2!$J$5:$K$7,2,FALSE)*VLOOKUP(Sheet1!$A3696,Sheet2!$B$5:$H$29,7,FALSE),0)</x:f>
        <x:v>1260</x:v>
      </x:c>
      <x:c r="I3696">
        <x:f t="shared" si="61"/>
        <x:v>24040</x:v>
      </x:c>
    </x:row>
    <x:row r="3697" spans="1:9" x14ac:dyDescent="0.15">
      <x:c r="A3697">
        <x:v>54201</x:v>
      </x:c>
      <x:c r="B3697">
        <x:v>2</x:v>
      </x:c>
      <x:c r="C3697">
        <x:v>36</x:v>
      </x:c>
      <x:c r="D3697">
        <x:f>ROUND($C3697*10*VLOOKUP($B3697,Sheet2!$J$5:$K$7,2,FALSE)*VLOOKUP(Sheet1!$A3697,Sheet2!$B$5:$H$29,3,FALSE),0)</x:f>
        <x:v>86</x:v>
      </x:c>
      <x:c r="E3697">
        <x:f>ROUND($C3697*10*VLOOKUP($B3697,Sheet2!$J$5:$K$7,2,FALSE)*VLOOKUP(Sheet1!$A3697,Sheet2!$B$5:$H$29,4,FALSE),0)</x:f>
        <x:v>0</x:v>
      </x:c>
      <x:c r="F3697">
        <x:f>ROUND($C3697*10*VLOOKUP($B3697,Sheet2!$J$5:$K$7,2,FALSE)*VLOOKUP(Sheet1!$A3697,Sheet2!$B$5:$H$29,5,FALSE),0)</x:f>
        <x:v>0</x:v>
      </x:c>
      <x:c r="G3697">
        <x:f>ROUND($C3697*10*VLOOKUP($B3697,Sheet2!$J$5:$K$7,2,FALSE)*VLOOKUP(Sheet1!$A3697,Sheet2!$B$5:$H$29,6,FALSE),0)</x:f>
        <x:v>0</x:v>
      </x:c>
      <x:c r="H3697">
        <x:f>ROUND($C3697*10*VLOOKUP($B3697,Sheet2!$J$5:$K$7,2,FALSE)*VLOOKUP(Sheet1!$A3697,Sheet2!$B$5:$H$29,7,FALSE),0)</x:f>
        <x:v>1296</x:v>
      </x:c>
      <x:c r="I3697">
        <x:f t="shared" si="61"/>
        <x:v>25330</x:v>
      </x:c>
    </x:row>
    <x:row r="3698" spans="1:9" x14ac:dyDescent="0.15">
      <x:c r="A3698">
        <x:v>54201</x:v>
      </x:c>
      <x:c r="B3698">
        <x:v>2</x:v>
      </x:c>
      <x:c r="C3698">
        <x:v>37</x:v>
      </x:c>
      <x:c r="D3698">
        <x:f>ROUND($C3698*10*VLOOKUP($B3698,Sheet2!$J$5:$K$7,2,FALSE)*VLOOKUP(Sheet1!$A3698,Sheet2!$B$5:$H$29,3,FALSE),0)</x:f>
        <x:v>89</x:v>
      </x:c>
      <x:c r="E3698">
        <x:f>ROUND($C3698*10*VLOOKUP($B3698,Sheet2!$J$5:$K$7,2,FALSE)*VLOOKUP(Sheet1!$A3698,Sheet2!$B$5:$H$29,4,FALSE),0)</x:f>
        <x:v>0</x:v>
      </x:c>
      <x:c r="F3698">
        <x:f>ROUND($C3698*10*VLOOKUP($B3698,Sheet2!$J$5:$K$7,2,FALSE)*VLOOKUP(Sheet1!$A3698,Sheet2!$B$5:$H$29,5,FALSE),0)</x:f>
        <x:v>0</x:v>
      </x:c>
      <x:c r="G3698">
        <x:f>ROUND($C3698*10*VLOOKUP($B3698,Sheet2!$J$5:$K$7,2,FALSE)*VLOOKUP(Sheet1!$A3698,Sheet2!$B$5:$H$29,6,FALSE),0)</x:f>
        <x:v>0</x:v>
      </x:c>
      <x:c r="H3698">
        <x:f>ROUND($C3698*10*VLOOKUP($B3698,Sheet2!$J$5:$K$7,2,FALSE)*VLOOKUP(Sheet1!$A3698,Sheet2!$B$5:$H$29,7,FALSE),0)</x:f>
        <x:v>1332</x:v>
      </x:c>
      <x:c r="I3698">
        <x:f t="shared" si="61"/>
        <x:v>26640</x:v>
      </x:c>
    </x:row>
    <x:row r="3699" spans="1:9" x14ac:dyDescent="0.15">
      <x:c r="A3699">
        <x:v>54201</x:v>
      </x:c>
      <x:c r="B3699">
        <x:v>2</x:v>
      </x:c>
      <x:c r="C3699">
        <x:v>38</x:v>
      </x:c>
      <x:c r="D3699">
        <x:f>ROUND($C3699*10*VLOOKUP($B3699,Sheet2!$J$5:$K$7,2,FALSE)*VLOOKUP(Sheet1!$A3699,Sheet2!$B$5:$H$29,3,FALSE),0)</x:f>
        <x:v>91</x:v>
      </x:c>
      <x:c r="E3699">
        <x:f>ROUND($C3699*10*VLOOKUP($B3699,Sheet2!$J$5:$K$7,2,FALSE)*VLOOKUP(Sheet1!$A3699,Sheet2!$B$5:$H$29,4,FALSE),0)</x:f>
        <x:v>0</x:v>
      </x:c>
      <x:c r="F3699">
        <x:f>ROUND($C3699*10*VLOOKUP($B3699,Sheet2!$J$5:$K$7,2,FALSE)*VLOOKUP(Sheet1!$A3699,Sheet2!$B$5:$H$29,5,FALSE),0)</x:f>
        <x:v>0</x:v>
      </x:c>
      <x:c r="G3699">
        <x:f>ROUND($C3699*10*VLOOKUP($B3699,Sheet2!$J$5:$K$7,2,FALSE)*VLOOKUP(Sheet1!$A3699,Sheet2!$B$5:$H$29,6,FALSE),0)</x:f>
        <x:v>0</x:v>
      </x:c>
      <x:c r="H3699">
        <x:f>ROUND($C3699*10*VLOOKUP($B3699,Sheet2!$J$5:$K$7,2,FALSE)*VLOOKUP(Sheet1!$A3699,Sheet2!$B$5:$H$29,7,FALSE),0)</x:f>
        <x:v>1368</x:v>
      </x:c>
      <x:c r="I3699">
        <x:f t="shared" si="61"/>
        <x:v>27990</x:v>
      </x:c>
    </x:row>
    <x:row r="3700" spans="1:9" x14ac:dyDescent="0.15">
      <x:c r="A3700">
        <x:v>54201</x:v>
      </x:c>
      <x:c r="B3700">
        <x:v>2</x:v>
      </x:c>
      <x:c r="C3700">
        <x:v>39</x:v>
      </x:c>
      <x:c r="D3700">
        <x:f>ROUND($C3700*10*VLOOKUP($B3700,Sheet2!$J$5:$K$7,2,FALSE)*VLOOKUP(Sheet1!$A3700,Sheet2!$B$5:$H$29,3,FALSE),0)</x:f>
        <x:v>94</x:v>
      </x:c>
      <x:c r="E3700">
        <x:f>ROUND($C3700*10*VLOOKUP($B3700,Sheet2!$J$5:$K$7,2,FALSE)*VLOOKUP(Sheet1!$A3700,Sheet2!$B$5:$H$29,4,FALSE),0)</x:f>
        <x:v>0</x:v>
      </x:c>
      <x:c r="F3700">
        <x:f>ROUND($C3700*10*VLOOKUP($B3700,Sheet2!$J$5:$K$7,2,FALSE)*VLOOKUP(Sheet1!$A3700,Sheet2!$B$5:$H$29,5,FALSE),0)</x:f>
        <x:v>0</x:v>
      </x:c>
      <x:c r="G3700">
        <x:f>ROUND($C3700*10*VLOOKUP($B3700,Sheet2!$J$5:$K$7,2,FALSE)*VLOOKUP(Sheet1!$A3700,Sheet2!$B$5:$H$29,6,FALSE),0)</x:f>
        <x:v>0</x:v>
      </x:c>
      <x:c r="H3700">
        <x:f>ROUND($C3700*10*VLOOKUP($B3700,Sheet2!$J$5:$K$7,2,FALSE)*VLOOKUP(Sheet1!$A3700,Sheet2!$B$5:$H$29,7,FALSE),0)</x:f>
        <x:v>1404</x:v>
      </x:c>
      <x:c r="I3700">
        <x:f t="shared" si="61"/>
        <x:v>29360</x:v>
      </x:c>
    </x:row>
    <x:row r="3701" spans="1:9" x14ac:dyDescent="0.15">
      <x:c r="A3701">
        <x:v>54201</x:v>
      </x:c>
      <x:c r="B3701">
        <x:v>2</x:v>
      </x:c>
      <x:c r="C3701">
        <x:v>40</x:v>
      </x:c>
      <x:c r="D3701">
        <x:f>ROUND($C3701*10*VLOOKUP($B3701,Sheet2!$J$5:$K$7,2,FALSE)*VLOOKUP(Sheet1!$A3701,Sheet2!$B$5:$H$29,3,FALSE),0)</x:f>
        <x:v>96</x:v>
      </x:c>
      <x:c r="E3701">
        <x:f>ROUND($C3701*10*VLOOKUP($B3701,Sheet2!$J$5:$K$7,2,FALSE)*VLOOKUP(Sheet1!$A3701,Sheet2!$B$5:$H$29,4,FALSE),0)</x:f>
        <x:v>0</x:v>
      </x:c>
      <x:c r="F3701">
        <x:f>ROUND($C3701*10*VLOOKUP($B3701,Sheet2!$J$5:$K$7,2,FALSE)*VLOOKUP(Sheet1!$A3701,Sheet2!$B$5:$H$29,5,FALSE),0)</x:f>
        <x:v>0</x:v>
      </x:c>
      <x:c r="G3701">
        <x:f>ROUND($C3701*10*VLOOKUP($B3701,Sheet2!$J$5:$K$7,2,FALSE)*VLOOKUP(Sheet1!$A3701,Sheet2!$B$5:$H$29,6,FALSE),0)</x:f>
        <x:v>0</x:v>
      </x:c>
      <x:c r="H3701">
        <x:f>ROUND($C3701*10*VLOOKUP($B3701,Sheet2!$J$5:$K$7,2,FALSE)*VLOOKUP(Sheet1!$A3701,Sheet2!$B$5:$H$29,7,FALSE),0)</x:f>
        <x:v>1440</x:v>
      </x:c>
      <x:c r="I3701">
        <x:f t="shared" si="61"/>
        <x:v>30760</x:v>
      </x:c>
    </x:row>
    <x:row r="3702" spans="1:9" x14ac:dyDescent="0.15">
      <x:c r="A3702">
        <x:v>54201</x:v>
      </x:c>
      <x:c r="B3702">
        <x:v>2</x:v>
      </x:c>
      <x:c r="C3702">
        <x:v>41</x:v>
      </x:c>
      <x:c r="D3702">
        <x:f>ROUND($C3702*10*VLOOKUP($B3702,Sheet2!$J$5:$K$7,2,FALSE)*VLOOKUP(Sheet1!$A3702,Sheet2!$B$5:$H$29,3,FALSE),0)</x:f>
        <x:v>98</x:v>
      </x:c>
      <x:c r="E3702">
        <x:f>ROUND($C3702*10*VLOOKUP($B3702,Sheet2!$J$5:$K$7,2,FALSE)*VLOOKUP(Sheet1!$A3702,Sheet2!$B$5:$H$29,4,FALSE),0)</x:f>
        <x:v>0</x:v>
      </x:c>
      <x:c r="F3702">
        <x:f>ROUND($C3702*10*VLOOKUP($B3702,Sheet2!$J$5:$K$7,2,FALSE)*VLOOKUP(Sheet1!$A3702,Sheet2!$B$5:$H$29,5,FALSE),0)</x:f>
        <x:v>0</x:v>
      </x:c>
      <x:c r="G3702">
        <x:f>ROUND($C3702*10*VLOOKUP($B3702,Sheet2!$J$5:$K$7,2,FALSE)*VLOOKUP(Sheet1!$A3702,Sheet2!$B$5:$H$29,6,FALSE),0)</x:f>
        <x:v>0</x:v>
      </x:c>
      <x:c r="H3702">
        <x:f>ROUND($C3702*10*VLOOKUP($B3702,Sheet2!$J$5:$K$7,2,FALSE)*VLOOKUP(Sheet1!$A3702,Sheet2!$B$5:$H$29,7,FALSE),0)</x:f>
        <x:v>1476</x:v>
      </x:c>
      <x:c r="I3702">
        <x:f t="shared" si="61"/>
        <x:v>32190</x:v>
      </x:c>
    </x:row>
    <x:row r="3703" spans="1:9" x14ac:dyDescent="0.15">
      <x:c r="A3703">
        <x:v>54201</x:v>
      </x:c>
      <x:c r="B3703">
        <x:v>2</x:v>
      </x:c>
      <x:c r="C3703">
        <x:v>42</x:v>
      </x:c>
      <x:c r="D3703">
        <x:f>ROUND($C3703*10*VLOOKUP($B3703,Sheet2!$J$5:$K$7,2,FALSE)*VLOOKUP(Sheet1!$A3703,Sheet2!$B$5:$H$29,3,FALSE),0)</x:f>
        <x:v>101</x:v>
      </x:c>
      <x:c r="E3703">
        <x:f>ROUND($C3703*10*VLOOKUP($B3703,Sheet2!$J$5:$K$7,2,FALSE)*VLOOKUP(Sheet1!$A3703,Sheet2!$B$5:$H$29,4,FALSE),0)</x:f>
        <x:v>0</x:v>
      </x:c>
      <x:c r="F3703">
        <x:f>ROUND($C3703*10*VLOOKUP($B3703,Sheet2!$J$5:$K$7,2,FALSE)*VLOOKUP(Sheet1!$A3703,Sheet2!$B$5:$H$29,5,FALSE),0)</x:f>
        <x:v>0</x:v>
      </x:c>
      <x:c r="G3703">
        <x:f>ROUND($C3703*10*VLOOKUP($B3703,Sheet2!$J$5:$K$7,2,FALSE)*VLOOKUP(Sheet1!$A3703,Sheet2!$B$5:$H$29,6,FALSE),0)</x:f>
        <x:v>0</x:v>
      </x:c>
      <x:c r="H3703">
        <x:f>ROUND($C3703*10*VLOOKUP($B3703,Sheet2!$J$5:$K$7,2,FALSE)*VLOOKUP(Sheet1!$A3703,Sheet2!$B$5:$H$29,7,FALSE),0)</x:f>
        <x:v>1512</x:v>
      </x:c>
      <x:c r="I3703">
        <x:f t="shared" si="61"/>
        <x:v>33650</x:v>
      </x:c>
    </x:row>
    <x:row r="3704" spans="1:9" x14ac:dyDescent="0.15">
      <x:c r="A3704">
        <x:v>54201</x:v>
      </x:c>
      <x:c r="B3704">
        <x:v>2</x:v>
      </x:c>
      <x:c r="C3704">
        <x:v>43</x:v>
      </x:c>
      <x:c r="D3704">
        <x:f>ROUND($C3704*10*VLOOKUP($B3704,Sheet2!$J$5:$K$7,2,FALSE)*VLOOKUP(Sheet1!$A3704,Sheet2!$B$5:$H$29,3,FALSE),0)</x:f>
        <x:v>103</x:v>
      </x:c>
      <x:c r="E3704">
        <x:f>ROUND($C3704*10*VLOOKUP($B3704,Sheet2!$J$5:$K$7,2,FALSE)*VLOOKUP(Sheet1!$A3704,Sheet2!$B$5:$H$29,4,FALSE),0)</x:f>
        <x:v>0</x:v>
      </x:c>
      <x:c r="F3704">
        <x:f>ROUND($C3704*10*VLOOKUP($B3704,Sheet2!$J$5:$K$7,2,FALSE)*VLOOKUP(Sheet1!$A3704,Sheet2!$B$5:$H$29,5,FALSE),0)</x:f>
        <x:v>0</x:v>
      </x:c>
      <x:c r="G3704">
        <x:f>ROUND($C3704*10*VLOOKUP($B3704,Sheet2!$J$5:$K$7,2,FALSE)*VLOOKUP(Sheet1!$A3704,Sheet2!$B$5:$H$29,6,FALSE),0)</x:f>
        <x:v>0</x:v>
      </x:c>
      <x:c r="H3704">
        <x:f>ROUND($C3704*10*VLOOKUP($B3704,Sheet2!$J$5:$K$7,2,FALSE)*VLOOKUP(Sheet1!$A3704,Sheet2!$B$5:$H$29,7,FALSE),0)</x:f>
        <x:v>1548</x:v>
      </x:c>
      <x:c r="I3704">
        <x:f t="shared" si="61"/>
        <x:v>35140</x:v>
      </x:c>
    </x:row>
    <x:row r="3705" spans="1:9" x14ac:dyDescent="0.15">
      <x:c r="A3705">
        <x:v>54201</x:v>
      </x:c>
      <x:c r="B3705">
        <x:v>2</x:v>
      </x:c>
      <x:c r="C3705">
        <x:v>44</x:v>
      </x:c>
      <x:c r="D3705">
        <x:f>ROUND($C3705*10*VLOOKUP($B3705,Sheet2!$J$5:$K$7,2,FALSE)*VLOOKUP(Sheet1!$A3705,Sheet2!$B$5:$H$29,3,FALSE),0)</x:f>
        <x:v>106</x:v>
      </x:c>
      <x:c r="E3705">
        <x:f>ROUND($C3705*10*VLOOKUP($B3705,Sheet2!$J$5:$K$7,2,FALSE)*VLOOKUP(Sheet1!$A3705,Sheet2!$B$5:$H$29,4,FALSE),0)</x:f>
        <x:v>0</x:v>
      </x:c>
      <x:c r="F3705">
        <x:f>ROUND($C3705*10*VLOOKUP($B3705,Sheet2!$J$5:$K$7,2,FALSE)*VLOOKUP(Sheet1!$A3705,Sheet2!$B$5:$H$29,5,FALSE),0)</x:f>
        <x:v>0</x:v>
      </x:c>
      <x:c r="G3705">
        <x:f>ROUND($C3705*10*VLOOKUP($B3705,Sheet2!$J$5:$K$7,2,FALSE)*VLOOKUP(Sheet1!$A3705,Sheet2!$B$5:$H$29,6,FALSE),0)</x:f>
        <x:v>0</x:v>
      </x:c>
      <x:c r="H3705">
        <x:f>ROUND($C3705*10*VLOOKUP($B3705,Sheet2!$J$5:$K$7,2,FALSE)*VLOOKUP(Sheet1!$A3705,Sheet2!$B$5:$H$29,7,FALSE),0)</x:f>
        <x:v>1584</x:v>
      </x:c>
      <x:c r="I3705">
        <x:f t="shared" si="61"/>
        <x:v>36660</x:v>
      </x:c>
    </x:row>
    <x:row r="3706" spans="1:9" x14ac:dyDescent="0.15">
      <x:c r="A3706">
        <x:v>54201</x:v>
      </x:c>
      <x:c r="B3706">
        <x:v>2</x:v>
      </x:c>
      <x:c r="C3706">
        <x:v>45</x:v>
      </x:c>
      <x:c r="D3706">
        <x:f>ROUND($C3706*10*VLOOKUP($B3706,Sheet2!$J$5:$K$7,2,FALSE)*VLOOKUP(Sheet1!$A3706,Sheet2!$B$5:$H$29,3,FALSE),0)</x:f>
        <x:v>108</x:v>
      </x:c>
      <x:c r="E3706">
        <x:f>ROUND($C3706*10*VLOOKUP($B3706,Sheet2!$J$5:$K$7,2,FALSE)*VLOOKUP(Sheet1!$A3706,Sheet2!$B$5:$H$29,4,FALSE),0)</x:f>
        <x:v>0</x:v>
      </x:c>
      <x:c r="F3706">
        <x:f>ROUND($C3706*10*VLOOKUP($B3706,Sheet2!$J$5:$K$7,2,FALSE)*VLOOKUP(Sheet1!$A3706,Sheet2!$B$5:$H$29,5,FALSE),0)</x:f>
        <x:v>0</x:v>
      </x:c>
      <x:c r="G3706">
        <x:f>ROUND($C3706*10*VLOOKUP($B3706,Sheet2!$J$5:$K$7,2,FALSE)*VLOOKUP(Sheet1!$A3706,Sheet2!$B$5:$H$29,6,FALSE),0)</x:f>
        <x:v>0</x:v>
      </x:c>
      <x:c r="H3706">
        <x:f>ROUND($C3706*10*VLOOKUP($B3706,Sheet2!$J$5:$K$7,2,FALSE)*VLOOKUP(Sheet1!$A3706,Sheet2!$B$5:$H$29,7,FALSE),0)</x:f>
        <x:v>1620</x:v>
      </x:c>
      <x:c r="I3706">
        <x:f t="shared" si="61"/>
        <x:v>38210</x:v>
      </x:c>
    </x:row>
    <x:row r="3707" spans="1:9" x14ac:dyDescent="0.15">
      <x:c r="A3707">
        <x:v>54201</x:v>
      </x:c>
      <x:c r="B3707">
        <x:v>2</x:v>
      </x:c>
      <x:c r="C3707">
        <x:v>46</x:v>
      </x:c>
      <x:c r="D3707">
        <x:f>ROUND($C3707*10*VLOOKUP($B3707,Sheet2!$J$5:$K$7,2,FALSE)*VLOOKUP(Sheet1!$A3707,Sheet2!$B$5:$H$29,3,FALSE),0)</x:f>
        <x:v>110</x:v>
      </x:c>
      <x:c r="E3707">
        <x:f>ROUND($C3707*10*VLOOKUP($B3707,Sheet2!$J$5:$K$7,2,FALSE)*VLOOKUP(Sheet1!$A3707,Sheet2!$B$5:$H$29,4,FALSE),0)</x:f>
        <x:v>0</x:v>
      </x:c>
      <x:c r="F3707">
        <x:f>ROUND($C3707*10*VLOOKUP($B3707,Sheet2!$J$5:$K$7,2,FALSE)*VLOOKUP(Sheet1!$A3707,Sheet2!$B$5:$H$29,5,FALSE),0)</x:f>
        <x:v>0</x:v>
      </x:c>
      <x:c r="G3707">
        <x:f>ROUND($C3707*10*VLOOKUP($B3707,Sheet2!$J$5:$K$7,2,FALSE)*VLOOKUP(Sheet1!$A3707,Sheet2!$B$5:$H$29,6,FALSE),0)</x:f>
        <x:v>0</x:v>
      </x:c>
      <x:c r="H3707">
        <x:f>ROUND($C3707*10*VLOOKUP($B3707,Sheet2!$J$5:$K$7,2,FALSE)*VLOOKUP(Sheet1!$A3707,Sheet2!$B$5:$H$29,7,FALSE),0)</x:f>
        <x:v>1656</x:v>
      </x:c>
      <x:c r="I3707">
        <x:f t="shared" si="61"/>
        <x:v>39780</x:v>
      </x:c>
    </x:row>
    <x:row r="3708" spans="1:9" x14ac:dyDescent="0.15">
      <x:c r="A3708">
        <x:v>54201</x:v>
      </x:c>
      <x:c r="B3708">
        <x:v>2</x:v>
      </x:c>
      <x:c r="C3708">
        <x:v>47</x:v>
      </x:c>
      <x:c r="D3708">
        <x:f>ROUND($C3708*10*VLOOKUP($B3708,Sheet2!$J$5:$K$7,2,FALSE)*VLOOKUP(Sheet1!$A3708,Sheet2!$B$5:$H$29,3,FALSE),0)</x:f>
        <x:v>113</x:v>
      </x:c>
      <x:c r="E3708">
        <x:f>ROUND($C3708*10*VLOOKUP($B3708,Sheet2!$J$5:$K$7,2,FALSE)*VLOOKUP(Sheet1!$A3708,Sheet2!$B$5:$H$29,4,FALSE),0)</x:f>
        <x:v>0</x:v>
      </x:c>
      <x:c r="F3708">
        <x:f>ROUND($C3708*10*VLOOKUP($B3708,Sheet2!$J$5:$K$7,2,FALSE)*VLOOKUP(Sheet1!$A3708,Sheet2!$B$5:$H$29,5,FALSE),0)</x:f>
        <x:v>0</x:v>
      </x:c>
      <x:c r="G3708">
        <x:f>ROUND($C3708*10*VLOOKUP($B3708,Sheet2!$J$5:$K$7,2,FALSE)*VLOOKUP(Sheet1!$A3708,Sheet2!$B$5:$H$29,6,FALSE),0)</x:f>
        <x:v>0</x:v>
      </x:c>
      <x:c r="H3708">
        <x:f>ROUND($C3708*10*VLOOKUP($B3708,Sheet2!$J$5:$K$7,2,FALSE)*VLOOKUP(Sheet1!$A3708,Sheet2!$B$5:$H$29,7,FALSE),0)</x:f>
        <x:v>1692</x:v>
      </x:c>
      <x:c r="I3708">
        <x:f t="shared" si="61"/>
        <x:v>41390</x:v>
      </x:c>
    </x:row>
    <x:row r="3709" spans="1:9" x14ac:dyDescent="0.15">
      <x:c r="A3709">
        <x:v>54201</x:v>
      </x:c>
      <x:c r="B3709">
        <x:v>2</x:v>
      </x:c>
      <x:c r="C3709">
        <x:v>48</x:v>
      </x:c>
      <x:c r="D3709">
        <x:f>ROUND($C3709*10*VLOOKUP($B3709,Sheet2!$J$5:$K$7,2,FALSE)*VLOOKUP(Sheet1!$A3709,Sheet2!$B$5:$H$29,3,FALSE),0)</x:f>
        <x:v>115</x:v>
      </x:c>
      <x:c r="E3709">
        <x:f>ROUND($C3709*10*VLOOKUP($B3709,Sheet2!$J$5:$K$7,2,FALSE)*VLOOKUP(Sheet1!$A3709,Sheet2!$B$5:$H$29,4,FALSE),0)</x:f>
        <x:v>0</x:v>
      </x:c>
      <x:c r="F3709">
        <x:f>ROUND($C3709*10*VLOOKUP($B3709,Sheet2!$J$5:$K$7,2,FALSE)*VLOOKUP(Sheet1!$A3709,Sheet2!$B$5:$H$29,5,FALSE),0)</x:f>
        <x:v>0</x:v>
      </x:c>
      <x:c r="G3709">
        <x:f>ROUND($C3709*10*VLOOKUP($B3709,Sheet2!$J$5:$K$7,2,FALSE)*VLOOKUP(Sheet1!$A3709,Sheet2!$B$5:$H$29,6,FALSE),0)</x:f>
        <x:v>0</x:v>
      </x:c>
      <x:c r="H3709">
        <x:f>ROUND($C3709*10*VLOOKUP($B3709,Sheet2!$J$5:$K$7,2,FALSE)*VLOOKUP(Sheet1!$A3709,Sheet2!$B$5:$H$29,7,FALSE),0)</x:f>
        <x:v>1728</x:v>
      </x:c>
      <x:c r="I3709">
        <x:f t="shared" si="61"/>
        <x:v>43020</x:v>
      </x:c>
    </x:row>
    <x:row r="3710" spans="1:9" x14ac:dyDescent="0.15">
      <x:c r="A3710">
        <x:v>54201</x:v>
      </x:c>
      <x:c r="B3710">
        <x:v>2</x:v>
      </x:c>
      <x:c r="C3710">
        <x:v>49</x:v>
      </x:c>
      <x:c r="D3710">
        <x:f>ROUND($C3710*10*VLOOKUP($B3710,Sheet2!$J$5:$K$7,2,FALSE)*VLOOKUP(Sheet1!$A3710,Sheet2!$B$5:$H$29,3,FALSE),0)</x:f>
        <x:v>118</x:v>
      </x:c>
      <x:c r="E3710">
        <x:f>ROUND($C3710*10*VLOOKUP($B3710,Sheet2!$J$5:$K$7,2,FALSE)*VLOOKUP(Sheet1!$A3710,Sheet2!$B$5:$H$29,4,FALSE),0)</x:f>
        <x:v>0</x:v>
      </x:c>
      <x:c r="F3710">
        <x:f>ROUND($C3710*10*VLOOKUP($B3710,Sheet2!$J$5:$K$7,2,FALSE)*VLOOKUP(Sheet1!$A3710,Sheet2!$B$5:$H$29,5,FALSE),0)</x:f>
        <x:v>0</x:v>
      </x:c>
      <x:c r="G3710">
        <x:f>ROUND($C3710*10*VLOOKUP($B3710,Sheet2!$J$5:$K$7,2,FALSE)*VLOOKUP(Sheet1!$A3710,Sheet2!$B$5:$H$29,6,FALSE),0)</x:f>
        <x:v>0</x:v>
      </x:c>
      <x:c r="H3710">
        <x:f>ROUND($C3710*10*VLOOKUP($B3710,Sheet2!$J$5:$K$7,2,FALSE)*VLOOKUP(Sheet1!$A3710,Sheet2!$B$5:$H$29,7,FALSE),0)</x:f>
        <x:v>1764</x:v>
      </x:c>
      <x:c r="I3710">
        <x:f t="shared" si="61"/>
        <x:v>44680</x:v>
      </x:c>
    </x:row>
    <x:row r="3711" spans="1:9" x14ac:dyDescent="0.15">
      <x:c r="A3711">
        <x:v>54201</x:v>
      </x:c>
      <x:c r="B3711">
        <x:v>2</x:v>
      </x:c>
      <x:c r="C3711">
        <x:v>50</x:v>
      </x:c>
      <x:c r="D3711">
        <x:f>ROUND($C3711*10*VLOOKUP($B3711,Sheet2!$J$5:$K$7,2,FALSE)*VLOOKUP(Sheet1!$A3711,Sheet2!$B$5:$H$29,3,FALSE),0)</x:f>
        <x:v>120</x:v>
      </x:c>
      <x:c r="E3711">
        <x:f>ROUND($C3711*10*VLOOKUP($B3711,Sheet2!$J$5:$K$7,2,FALSE)*VLOOKUP(Sheet1!$A3711,Sheet2!$B$5:$H$29,4,FALSE),0)</x:f>
        <x:v>0</x:v>
      </x:c>
      <x:c r="F3711">
        <x:f>ROUND($C3711*10*VLOOKUP($B3711,Sheet2!$J$5:$K$7,2,FALSE)*VLOOKUP(Sheet1!$A3711,Sheet2!$B$5:$H$29,5,FALSE),0)</x:f>
        <x:v>0</x:v>
      </x:c>
      <x:c r="G3711">
        <x:f>ROUND($C3711*10*VLOOKUP($B3711,Sheet2!$J$5:$K$7,2,FALSE)*VLOOKUP(Sheet1!$A3711,Sheet2!$B$5:$H$29,6,FALSE),0)</x:f>
        <x:v>0</x:v>
      </x:c>
      <x:c r="H3711">
        <x:f>ROUND($C3711*10*VLOOKUP($B3711,Sheet2!$J$5:$K$7,2,FALSE)*VLOOKUP(Sheet1!$A3711,Sheet2!$B$5:$H$29,7,FALSE),0)</x:f>
        <x:v>1800</x:v>
      </x:c>
      <x:c r="I3711">
        <x:f t="shared" si="61"/>
        <x:v>46360</x:v>
      </x:c>
    </x:row>
    <x:row r="3712" spans="1:9" x14ac:dyDescent="0.15">
      <x:c r="A3712">
        <x:v>54201</x:v>
      </x:c>
      <x:c r="B3712">
        <x:v>2</x:v>
      </x:c>
      <x:c r="C3712">
        <x:v>51</x:v>
      </x:c>
      <x:c r="D3712">
        <x:f>ROUND($C3712*10*VLOOKUP($B3712,Sheet2!$J$5:$K$7,2,FALSE)*VLOOKUP(Sheet1!$A3712,Sheet2!$B$5:$H$29,3,FALSE),0)</x:f>
        <x:v>122</x:v>
      </x:c>
      <x:c r="E3712">
        <x:f>ROUND($C3712*10*VLOOKUP($B3712,Sheet2!$J$5:$K$7,2,FALSE)*VLOOKUP(Sheet1!$A3712,Sheet2!$B$5:$H$29,4,FALSE),0)</x:f>
        <x:v>0</x:v>
      </x:c>
      <x:c r="F3712">
        <x:f>ROUND($C3712*10*VLOOKUP($B3712,Sheet2!$J$5:$K$7,2,FALSE)*VLOOKUP(Sheet1!$A3712,Sheet2!$B$5:$H$29,5,FALSE),0)</x:f>
        <x:v>0</x:v>
      </x:c>
      <x:c r="G3712">
        <x:f>ROUND($C3712*10*VLOOKUP($B3712,Sheet2!$J$5:$K$7,2,FALSE)*VLOOKUP(Sheet1!$A3712,Sheet2!$B$5:$H$29,6,FALSE),0)</x:f>
        <x:v>0</x:v>
      </x:c>
      <x:c r="H3712">
        <x:f>ROUND($C3712*10*VLOOKUP($B3712,Sheet2!$J$5:$K$7,2,FALSE)*VLOOKUP(Sheet1!$A3712,Sheet2!$B$5:$H$29,7,FALSE),0)</x:f>
        <x:v>1836</x:v>
      </x:c>
      <x:c r="I3712">
        <x:f t="shared" si="61"/>
        <x:v>48080</x:v>
      </x:c>
    </x:row>
    <x:row r="3713" spans="1:9" x14ac:dyDescent="0.15">
      <x:c r="A3713">
        <x:v>54201</x:v>
      </x:c>
      <x:c r="B3713">
        <x:v>2</x:v>
      </x:c>
      <x:c r="C3713">
        <x:v>52</x:v>
      </x:c>
      <x:c r="D3713">
        <x:f>ROUND($C3713*10*VLOOKUP($B3713,Sheet2!$J$5:$K$7,2,FALSE)*VLOOKUP(Sheet1!$A3713,Sheet2!$B$5:$H$29,3,FALSE),0)</x:f>
        <x:v>125</x:v>
      </x:c>
      <x:c r="E3713">
        <x:f>ROUND($C3713*10*VLOOKUP($B3713,Sheet2!$J$5:$K$7,2,FALSE)*VLOOKUP(Sheet1!$A3713,Sheet2!$B$5:$H$29,4,FALSE),0)</x:f>
        <x:v>0</x:v>
      </x:c>
      <x:c r="F3713">
        <x:f>ROUND($C3713*10*VLOOKUP($B3713,Sheet2!$J$5:$K$7,2,FALSE)*VLOOKUP(Sheet1!$A3713,Sheet2!$B$5:$H$29,5,FALSE),0)</x:f>
        <x:v>0</x:v>
      </x:c>
      <x:c r="G3713">
        <x:f>ROUND($C3713*10*VLOOKUP($B3713,Sheet2!$J$5:$K$7,2,FALSE)*VLOOKUP(Sheet1!$A3713,Sheet2!$B$5:$H$29,6,FALSE),0)</x:f>
        <x:v>0</x:v>
      </x:c>
      <x:c r="H3713">
        <x:f>ROUND($C3713*10*VLOOKUP($B3713,Sheet2!$J$5:$K$7,2,FALSE)*VLOOKUP(Sheet1!$A3713,Sheet2!$B$5:$H$29,7,FALSE),0)</x:f>
        <x:v>1872</x:v>
      </x:c>
      <x:c r="I3713">
        <x:f t="shared" si="61"/>
        <x:v>49820</x:v>
      </x:c>
    </x:row>
    <x:row r="3714" spans="1:9" x14ac:dyDescent="0.15">
      <x:c r="A3714">
        <x:v>54201</x:v>
      </x:c>
      <x:c r="B3714">
        <x:v>2</x:v>
      </x:c>
      <x:c r="C3714">
        <x:v>53</x:v>
      </x:c>
      <x:c r="D3714">
        <x:f>ROUND($C3714*10*VLOOKUP($B3714,Sheet2!$J$5:$K$7,2,FALSE)*VLOOKUP(Sheet1!$A3714,Sheet2!$B$5:$H$29,3,FALSE),0)</x:f>
        <x:v>127</x:v>
      </x:c>
      <x:c r="E3714">
        <x:f>ROUND($C3714*10*VLOOKUP($B3714,Sheet2!$J$5:$K$7,2,FALSE)*VLOOKUP(Sheet1!$A3714,Sheet2!$B$5:$H$29,4,FALSE),0)</x:f>
        <x:v>0</x:v>
      </x:c>
      <x:c r="F3714">
        <x:f>ROUND($C3714*10*VLOOKUP($B3714,Sheet2!$J$5:$K$7,2,FALSE)*VLOOKUP(Sheet1!$A3714,Sheet2!$B$5:$H$29,5,FALSE),0)</x:f>
        <x:v>0</x:v>
      </x:c>
      <x:c r="G3714">
        <x:f>ROUND($C3714*10*VLOOKUP($B3714,Sheet2!$J$5:$K$7,2,FALSE)*VLOOKUP(Sheet1!$A3714,Sheet2!$B$5:$H$29,6,FALSE),0)</x:f>
        <x:v>0</x:v>
      </x:c>
      <x:c r="H3714">
        <x:f>ROUND($C3714*10*VLOOKUP($B3714,Sheet2!$J$5:$K$7,2,FALSE)*VLOOKUP(Sheet1!$A3714,Sheet2!$B$5:$H$29,7,FALSE),0)</x:f>
        <x:v>1908</x:v>
      </x:c>
      <x:c r="I3714">
        <x:f t="shared" si="61"/>
        <x:v>51590</x:v>
      </x:c>
    </x:row>
    <x:row r="3715" spans="1:9" x14ac:dyDescent="0.15">
      <x:c r="A3715">
        <x:v>54201</x:v>
      </x:c>
      <x:c r="B3715">
        <x:v>2</x:v>
      </x:c>
      <x:c r="C3715">
        <x:v>54</x:v>
      </x:c>
      <x:c r="D3715">
        <x:f>ROUND($C3715*10*VLOOKUP($B3715,Sheet2!$J$5:$K$7,2,FALSE)*VLOOKUP(Sheet1!$A3715,Sheet2!$B$5:$H$29,3,FALSE),0)</x:f>
        <x:v>130</x:v>
      </x:c>
      <x:c r="E3715">
        <x:f>ROUND($C3715*10*VLOOKUP($B3715,Sheet2!$J$5:$K$7,2,FALSE)*VLOOKUP(Sheet1!$A3715,Sheet2!$B$5:$H$29,4,FALSE),0)</x:f>
        <x:v>0</x:v>
      </x:c>
      <x:c r="F3715">
        <x:f>ROUND($C3715*10*VLOOKUP($B3715,Sheet2!$J$5:$K$7,2,FALSE)*VLOOKUP(Sheet1!$A3715,Sheet2!$B$5:$H$29,5,FALSE),0)</x:f>
        <x:v>0</x:v>
      </x:c>
      <x:c r="G3715">
        <x:f>ROUND($C3715*10*VLOOKUP($B3715,Sheet2!$J$5:$K$7,2,FALSE)*VLOOKUP(Sheet1!$A3715,Sheet2!$B$5:$H$29,6,FALSE),0)</x:f>
        <x:v>0</x:v>
      </x:c>
      <x:c r="H3715">
        <x:f>ROUND($C3715*10*VLOOKUP($B3715,Sheet2!$J$5:$K$7,2,FALSE)*VLOOKUP(Sheet1!$A3715,Sheet2!$B$5:$H$29,7,FALSE),0)</x:f>
        <x:v>1944</x:v>
      </x:c>
      <x:c r="I3715">
        <x:f t="shared" si="61"/>
        <x:v>53390</x:v>
      </x:c>
    </x:row>
    <x:row r="3716" spans="1:9" x14ac:dyDescent="0.15">
      <x:c r="A3716">
        <x:v>54201</x:v>
      </x:c>
      <x:c r="B3716">
        <x:v>2</x:v>
      </x:c>
      <x:c r="C3716">
        <x:v>55</x:v>
      </x:c>
      <x:c r="D3716">
        <x:f>ROUND($C3716*10*VLOOKUP($B3716,Sheet2!$J$5:$K$7,2,FALSE)*VLOOKUP(Sheet1!$A3716,Sheet2!$B$5:$H$29,3,FALSE),0)</x:f>
        <x:v>132</x:v>
      </x:c>
      <x:c r="E3716">
        <x:f>ROUND($C3716*10*VLOOKUP($B3716,Sheet2!$J$5:$K$7,2,FALSE)*VLOOKUP(Sheet1!$A3716,Sheet2!$B$5:$H$29,4,FALSE),0)</x:f>
        <x:v>0</x:v>
      </x:c>
      <x:c r="F3716">
        <x:f>ROUND($C3716*10*VLOOKUP($B3716,Sheet2!$J$5:$K$7,2,FALSE)*VLOOKUP(Sheet1!$A3716,Sheet2!$B$5:$H$29,5,FALSE),0)</x:f>
        <x:v>0</x:v>
      </x:c>
      <x:c r="G3716">
        <x:f>ROUND($C3716*10*VLOOKUP($B3716,Sheet2!$J$5:$K$7,2,FALSE)*VLOOKUP(Sheet1!$A3716,Sheet2!$B$5:$H$29,6,FALSE),0)</x:f>
        <x:v>0</x:v>
      </x:c>
      <x:c r="H3716">
        <x:f>ROUND($C3716*10*VLOOKUP($B3716,Sheet2!$J$5:$K$7,2,FALSE)*VLOOKUP(Sheet1!$A3716,Sheet2!$B$5:$H$29,7,FALSE),0)</x:f>
        <x:v>1980</x:v>
      </x:c>
      <x:c r="I3716">
        <x:f t="shared" si="61"/>
        <x:v>55210</x:v>
      </x:c>
    </x:row>
    <x:row r="3717" spans="1:9" x14ac:dyDescent="0.15">
      <x:c r="A3717">
        <x:v>54201</x:v>
      </x:c>
      <x:c r="B3717">
        <x:v>2</x:v>
      </x:c>
      <x:c r="C3717">
        <x:v>56</x:v>
      </x:c>
      <x:c r="D3717">
        <x:f>ROUND($C3717*10*VLOOKUP($B3717,Sheet2!$J$5:$K$7,2,FALSE)*VLOOKUP(Sheet1!$A3717,Sheet2!$B$5:$H$29,3,FALSE),0)</x:f>
        <x:v>134</x:v>
      </x:c>
      <x:c r="E3717">
        <x:f>ROUND($C3717*10*VLOOKUP($B3717,Sheet2!$J$5:$K$7,2,FALSE)*VLOOKUP(Sheet1!$A3717,Sheet2!$B$5:$H$29,4,FALSE),0)</x:f>
        <x:v>0</x:v>
      </x:c>
      <x:c r="F3717">
        <x:f>ROUND($C3717*10*VLOOKUP($B3717,Sheet2!$J$5:$K$7,2,FALSE)*VLOOKUP(Sheet1!$A3717,Sheet2!$B$5:$H$29,5,FALSE),0)</x:f>
        <x:v>0</x:v>
      </x:c>
      <x:c r="G3717">
        <x:f>ROUND($C3717*10*VLOOKUP($B3717,Sheet2!$J$5:$K$7,2,FALSE)*VLOOKUP(Sheet1!$A3717,Sheet2!$B$5:$H$29,6,FALSE),0)</x:f>
        <x:v>0</x:v>
      </x:c>
      <x:c r="H3717">
        <x:f>ROUND($C3717*10*VLOOKUP($B3717,Sheet2!$J$5:$K$7,2,FALSE)*VLOOKUP(Sheet1!$A3717,Sheet2!$B$5:$H$29,7,FALSE),0)</x:f>
        <x:v>2016</x:v>
      </x:c>
      <x:c r="I3717">
        <x:f t="shared" si="61"/>
        <x:v>57060</x:v>
      </x:c>
    </x:row>
    <x:row r="3718" spans="1:9" x14ac:dyDescent="0.15">
      <x:c r="A3718">
        <x:v>54201</x:v>
      </x:c>
      <x:c r="B3718">
        <x:v>2</x:v>
      </x:c>
      <x:c r="C3718">
        <x:v>57</x:v>
      </x:c>
      <x:c r="D3718">
        <x:f>ROUND($C3718*10*VLOOKUP($B3718,Sheet2!$J$5:$K$7,2,FALSE)*VLOOKUP(Sheet1!$A3718,Sheet2!$B$5:$H$29,3,FALSE),0)</x:f>
        <x:v>137</x:v>
      </x:c>
      <x:c r="E3718">
        <x:f>ROUND($C3718*10*VLOOKUP($B3718,Sheet2!$J$5:$K$7,2,FALSE)*VLOOKUP(Sheet1!$A3718,Sheet2!$B$5:$H$29,4,FALSE),0)</x:f>
        <x:v>0</x:v>
      </x:c>
      <x:c r="F3718">
        <x:f>ROUND($C3718*10*VLOOKUP($B3718,Sheet2!$J$5:$K$7,2,FALSE)*VLOOKUP(Sheet1!$A3718,Sheet2!$B$5:$H$29,5,FALSE),0)</x:f>
        <x:v>0</x:v>
      </x:c>
      <x:c r="G3718">
        <x:f>ROUND($C3718*10*VLOOKUP($B3718,Sheet2!$J$5:$K$7,2,FALSE)*VLOOKUP(Sheet1!$A3718,Sheet2!$B$5:$H$29,6,FALSE),0)</x:f>
        <x:v>0</x:v>
      </x:c>
      <x:c r="H3718">
        <x:f>ROUND($C3718*10*VLOOKUP($B3718,Sheet2!$J$5:$K$7,2,FALSE)*VLOOKUP(Sheet1!$A3718,Sheet2!$B$5:$H$29,7,FALSE),0)</x:f>
        <x:v>2052</x:v>
      </x:c>
      <x:c r="I3718">
        <x:f t="shared" si="61"/>
        <x:v>58940</x:v>
      </x:c>
    </x:row>
    <x:row r="3719" spans="1:9" x14ac:dyDescent="0.15">
      <x:c r="A3719">
        <x:v>54201</x:v>
      </x:c>
      <x:c r="B3719">
        <x:v>2</x:v>
      </x:c>
      <x:c r="C3719">
        <x:v>58</x:v>
      </x:c>
      <x:c r="D3719">
        <x:f>ROUND($C3719*10*VLOOKUP($B3719,Sheet2!$J$5:$K$7,2,FALSE)*VLOOKUP(Sheet1!$A3719,Sheet2!$B$5:$H$29,3,FALSE),0)</x:f>
        <x:v>139</x:v>
      </x:c>
      <x:c r="E3719">
        <x:f>ROUND($C3719*10*VLOOKUP($B3719,Sheet2!$J$5:$K$7,2,FALSE)*VLOOKUP(Sheet1!$A3719,Sheet2!$B$5:$H$29,4,FALSE),0)</x:f>
        <x:v>0</x:v>
      </x:c>
      <x:c r="F3719">
        <x:f>ROUND($C3719*10*VLOOKUP($B3719,Sheet2!$J$5:$K$7,2,FALSE)*VLOOKUP(Sheet1!$A3719,Sheet2!$B$5:$H$29,5,FALSE),0)</x:f>
        <x:v>0</x:v>
      </x:c>
      <x:c r="G3719">
        <x:f>ROUND($C3719*10*VLOOKUP($B3719,Sheet2!$J$5:$K$7,2,FALSE)*VLOOKUP(Sheet1!$A3719,Sheet2!$B$5:$H$29,6,FALSE),0)</x:f>
        <x:v>0</x:v>
      </x:c>
      <x:c r="H3719">
        <x:f>ROUND($C3719*10*VLOOKUP($B3719,Sheet2!$J$5:$K$7,2,FALSE)*VLOOKUP(Sheet1!$A3719,Sheet2!$B$5:$H$29,7,FALSE),0)</x:f>
        <x:v>2088</x:v>
      </x:c>
      <x:c r="I3719">
        <x:f t="shared" si="61"/>
        <x:v>60850</x:v>
      </x:c>
    </x:row>
    <x:row r="3720" spans="1:9" x14ac:dyDescent="0.15">
      <x:c r="A3720">
        <x:v>54201</x:v>
      </x:c>
      <x:c r="B3720">
        <x:v>2</x:v>
      </x:c>
      <x:c r="C3720">
        <x:v>59</x:v>
      </x:c>
      <x:c r="D3720">
        <x:f>ROUND($C3720*10*VLOOKUP($B3720,Sheet2!$J$5:$K$7,2,FALSE)*VLOOKUP(Sheet1!$A3720,Sheet2!$B$5:$H$29,3,FALSE),0)</x:f>
        <x:v>142</x:v>
      </x:c>
      <x:c r="E3720">
        <x:f>ROUND($C3720*10*VLOOKUP($B3720,Sheet2!$J$5:$K$7,2,FALSE)*VLOOKUP(Sheet1!$A3720,Sheet2!$B$5:$H$29,4,FALSE),0)</x:f>
        <x:v>0</x:v>
      </x:c>
      <x:c r="F3720">
        <x:f>ROUND($C3720*10*VLOOKUP($B3720,Sheet2!$J$5:$K$7,2,FALSE)*VLOOKUP(Sheet1!$A3720,Sheet2!$B$5:$H$29,5,FALSE),0)</x:f>
        <x:v>0</x:v>
      </x:c>
      <x:c r="G3720">
        <x:f>ROUND($C3720*10*VLOOKUP($B3720,Sheet2!$J$5:$K$7,2,FALSE)*VLOOKUP(Sheet1!$A3720,Sheet2!$B$5:$H$29,6,FALSE),0)</x:f>
        <x:v>0</x:v>
      </x:c>
      <x:c r="H3720">
        <x:f>ROUND($C3720*10*VLOOKUP($B3720,Sheet2!$J$5:$K$7,2,FALSE)*VLOOKUP(Sheet1!$A3720,Sheet2!$B$5:$H$29,7,FALSE),0)</x:f>
        <x:v>2124</x:v>
      </x:c>
      <x:c r="I3720">
        <x:f t="shared" si="61"/>
        <x:v>62780</x:v>
      </x:c>
    </x:row>
    <x:row r="3721" spans="1:9" x14ac:dyDescent="0.15">
      <x:c r="A3721">
        <x:v>54201</x:v>
      </x:c>
      <x:c r="B3721">
        <x:v>2</x:v>
      </x:c>
      <x:c r="C3721">
        <x:v>60</x:v>
      </x:c>
      <x:c r="D3721">
        <x:f>ROUND($C3721*10*VLOOKUP($B3721,Sheet2!$J$5:$K$7,2,FALSE)*VLOOKUP(Sheet1!$A3721,Sheet2!$B$5:$H$29,3,FALSE),0)</x:f>
        <x:v>144</x:v>
      </x:c>
      <x:c r="E3721">
        <x:f>ROUND($C3721*10*VLOOKUP($B3721,Sheet2!$J$5:$K$7,2,FALSE)*VLOOKUP(Sheet1!$A3721,Sheet2!$B$5:$H$29,4,FALSE),0)</x:f>
        <x:v>0</x:v>
      </x:c>
      <x:c r="F3721">
        <x:f>ROUND($C3721*10*VLOOKUP($B3721,Sheet2!$J$5:$K$7,2,FALSE)*VLOOKUP(Sheet1!$A3721,Sheet2!$B$5:$H$29,5,FALSE),0)</x:f>
        <x:v>0</x:v>
      </x:c>
      <x:c r="G3721">
        <x:f>ROUND($C3721*10*VLOOKUP($B3721,Sheet2!$J$5:$K$7,2,FALSE)*VLOOKUP(Sheet1!$A3721,Sheet2!$B$5:$H$29,6,FALSE),0)</x:f>
        <x:v>0</x:v>
      </x:c>
      <x:c r="H3721">
        <x:f>ROUND($C3721*10*VLOOKUP($B3721,Sheet2!$J$5:$K$7,2,FALSE)*VLOOKUP(Sheet1!$A3721,Sheet2!$B$5:$H$29,7,FALSE),0)</x:f>
        <x:v>2160</x:v>
      </x:c>
      <x:c r="I3721">
        <x:f t="shared" si="61"/>
        <x:v>64740</x:v>
      </x:c>
    </x:row>
    <x:row r="3722" spans="1:9" x14ac:dyDescent="0.15">
      <x:c r="A3722">
        <x:v>54201</x:v>
      </x:c>
      <x:c r="B3722">
        <x:v>3</x:v>
      </x:c>
      <x:c r="C3722">
        <x:v>1</x:v>
      </x:c>
      <x:c r="D3722">
        <x:f>ROUND($C3722*10*VLOOKUP($B3722,Sheet2!$J$5:$K$7,2,FALSE)*VLOOKUP(Sheet1!$A3722,Sheet2!$B$5:$H$29,3,FALSE),0)</x:f>
        <x:v>4</x:v>
      </x:c>
      <x:c r="E3722">
        <x:f>ROUND($C3722*10*VLOOKUP($B3722,Sheet2!$J$5:$K$7,2,FALSE)*VLOOKUP(Sheet1!$A3722,Sheet2!$B$5:$H$29,4,FALSE),0)</x:f>
        <x:v>0</x:v>
      </x:c>
      <x:c r="F3722">
        <x:f>ROUND($C3722*10*VLOOKUP($B3722,Sheet2!$J$5:$K$7,2,FALSE)*VLOOKUP(Sheet1!$A3722,Sheet2!$B$5:$H$29,5,FALSE),0)</x:f>
        <x:v>0</x:v>
      </x:c>
      <x:c r="G3722">
        <x:f>ROUND($C3722*10*VLOOKUP($B3722,Sheet2!$J$5:$K$7,2,FALSE)*VLOOKUP(Sheet1!$A3722,Sheet2!$B$5:$H$29,6,FALSE),0)</x:f>
        <x:v>0</x:v>
      </x:c>
      <x:c r="H3722">
        <x:f>ROUND($C3722*10*VLOOKUP($B3722,Sheet2!$J$5:$K$7,2,FALSE)*VLOOKUP(Sheet1!$A3722,Sheet2!$B$5:$H$29,7,FALSE),0)</x:f>
        <x:v>60</x:v>
      </x:c>
      <x:c r="I3722">
        <x:f t="shared" ref="I3722:I3781" si="62">ROUND(1.2*10*10.5*(C3722-1)^1.8+90,-1)</x:f>
        <x:v>90</x:v>
      </x:c>
    </x:row>
    <x:row r="3723" spans="1:9" x14ac:dyDescent="0.15">
      <x:c r="A3723">
        <x:v>54201</x:v>
      </x:c>
      <x:c r="B3723">
        <x:v>3</x:v>
      </x:c>
      <x:c r="C3723">
        <x:v>2</x:v>
      </x:c>
      <x:c r="D3723">
        <x:f>ROUND($C3723*10*VLOOKUP($B3723,Sheet2!$J$5:$K$7,2,FALSE)*VLOOKUP(Sheet1!$A3723,Sheet2!$B$5:$H$29,3,FALSE),0)</x:f>
        <x:v>8</x:v>
      </x:c>
      <x:c r="E3723">
        <x:f>ROUND($C3723*10*VLOOKUP($B3723,Sheet2!$J$5:$K$7,2,FALSE)*VLOOKUP(Sheet1!$A3723,Sheet2!$B$5:$H$29,4,FALSE),0)</x:f>
        <x:v>0</x:v>
      </x:c>
      <x:c r="F3723">
        <x:f>ROUND($C3723*10*VLOOKUP($B3723,Sheet2!$J$5:$K$7,2,FALSE)*VLOOKUP(Sheet1!$A3723,Sheet2!$B$5:$H$29,5,FALSE),0)</x:f>
        <x:v>0</x:v>
      </x:c>
      <x:c r="G3723">
        <x:f>ROUND($C3723*10*VLOOKUP($B3723,Sheet2!$J$5:$K$7,2,FALSE)*VLOOKUP(Sheet1!$A3723,Sheet2!$B$5:$H$29,6,FALSE),0)</x:f>
        <x:v>0</x:v>
      </x:c>
      <x:c r="H3723">
        <x:f>ROUND($C3723*10*VLOOKUP($B3723,Sheet2!$J$5:$K$7,2,FALSE)*VLOOKUP(Sheet1!$A3723,Sheet2!$B$5:$H$29,7,FALSE),0)</x:f>
        <x:v>120</x:v>
      </x:c>
      <x:c r="I3723">
        <x:f t="shared" si="62"/>
        <x:v>220</x:v>
      </x:c>
    </x:row>
    <x:row r="3724" spans="1:9" x14ac:dyDescent="0.15">
      <x:c r="A3724">
        <x:v>54201</x:v>
      </x:c>
      <x:c r="B3724">
        <x:v>3</x:v>
      </x:c>
      <x:c r="C3724">
        <x:v>3</x:v>
      </x:c>
      <x:c r="D3724">
        <x:f>ROUND($C3724*10*VLOOKUP($B3724,Sheet2!$J$5:$K$7,2,FALSE)*VLOOKUP(Sheet1!$A3724,Sheet2!$B$5:$H$29,3,FALSE),0)</x:f>
        <x:v>12</x:v>
      </x:c>
      <x:c r="E3724">
        <x:f>ROUND($C3724*10*VLOOKUP($B3724,Sheet2!$J$5:$K$7,2,FALSE)*VLOOKUP(Sheet1!$A3724,Sheet2!$B$5:$H$29,4,FALSE),0)</x:f>
        <x:v>0</x:v>
      </x:c>
      <x:c r="F3724">
        <x:f>ROUND($C3724*10*VLOOKUP($B3724,Sheet2!$J$5:$K$7,2,FALSE)*VLOOKUP(Sheet1!$A3724,Sheet2!$B$5:$H$29,5,FALSE),0)</x:f>
        <x:v>0</x:v>
      </x:c>
      <x:c r="G3724">
        <x:f>ROUND($C3724*10*VLOOKUP($B3724,Sheet2!$J$5:$K$7,2,FALSE)*VLOOKUP(Sheet1!$A3724,Sheet2!$B$5:$H$29,6,FALSE),0)</x:f>
        <x:v>0</x:v>
      </x:c>
      <x:c r="H3724">
        <x:f>ROUND($C3724*10*VLOOKUP($B3724,Sheet2!$J$5:$K$7,2,FALSE)*VLOOKUP(Sheet1!$A3724,Sheet2!$B$5:$H$29,7,FALSE),0)</x:f>
        <x:v>180</x:v>
      </x:c>
      <x:c r="I3724">
        <x:f t="shared" si="62"/>
        <x:v>530</x:v>
      </x:c>
    </x:row>
    <x:row r="3725" spans="1:9" x14ac:dyDescent="0.15">
      <x:c r="A3725">
        <x:v>54201</x:v>
      </x:c>
      <x:c r="B3725">
        <x:v>3</x:v>
      </x:c>
      <x:c r="C3725">
        <x:v>4</x:v>
      </x:c>
      <x:c r="D3725">
        <x:f>ROUND($C3725*10*VLOOKUP($B3725,Sheet2!$J$5:$K$7,2,FALSE)*VLOOKUP(Sheet1!$A3725,Sheet2!$B$5:$H$29,3,FALSE),0)</x:f>
        <x:v>16</x:v>
      </x:c>
      <x:c r="E3725">
        <x:f>ROUND($C3725*10*VLOOKUP($B3725,Sheet2!$J$5:$K$7,2,FALSE)*VLOOKUP(Sheet1!$A3725,Sheet2!$B$5:$H$29,4,FALSE),0)</x:f>
        <x:v>0</x:v>
      </x:c>
      <x:c r="F3725">
        <x:f>ROUND($C3725*10*VLOOKUP($B3725,Sheet2!$J$5:$K$7,2,FALSE)*VLOOKUP(Sheet1!$A3725,Sheet2!$B$5:$H$29,5,FALSE),0)</x:f>
        <x:v>0</x:v>
      </x:c>
      <x:c r="G3725">
        <x:f>ROUND($C3725*10*VLOOKUP($B3725,Sheet2!$J$5:$K$7,2,FALSE)*VLOOKUP(Sheet1!$A3725,Sheet2!$B$5:$H$29,6,FALSE),0)</x:f>
        <x:v>0</x:v>
      </x:c>
      <x:c r="H3725">
        <x:f>ROUND($C3725*10*VLOOKUP($B3725,Sheet2!$J$5:$K$7,2,FALSE)*VLOOKUP(Sheet1!$A3725,Sheet2!$B$5:$H$29,7,FALSE),0)</x:f>
        <x:v>240</x:v>
      </x:c>
      <x:c r="I3725">
        <x:f t="shared" si="62"/>
        <x:v>1000</x:v>
      </x:c>
    </x:row>
    <x:row r="3726" spans="1:9" x14ac:dyDescent="0.15">
      <x:c r="A3726">
        <x:v>54201</x:v>
      </x:c>
      <x:c r="B3726">
        <x:v>3</x:v>
      </x:c>
      <x:c r="C3726">
        <x:v>5</x:v>
      </x:c>
      <x:c r="D3726">
        <x:f>ROUND($C3726*10*VLOOKUP($B3726,Sheet2!$J$5:$K$7,2,FALSE)*VLOOKUP(Sheet1!$A3726,Sheet2!$B$5:$H$29,3,FALSE),0)</x:f>
        <x:v>20</x:v>
      </x:c>
      <x:c r="E3726">
        <x:f>ROUND($C3726*10*VLOOKUP($B3726,Sheet2!$J$5:$K$7,2,FALSE)*VLOOKUP(Sheet1!$A3726,Sheet2!$B$5:$H$29,4,FALSE),0)</x:f>
        <x:v>0</x:v>
      </x:c>
      <x:c r="F3726">
        <x:f>ROUND($C3726*10*VLOOKUP($B3726,Sheet2!$J$5:$K$7,2,FALSE)*VLOOKUP(Sheet1!$A3726,Sheet2!$B$5:$H$29,5,FALSE),0)</x:f>
        <x:v>0</x:v>
      </x:c>
      <x:c r="G3726">
        <x:f>ROUND($C3726*10*VLOOKUP($B3726,Sheet2!$J$5:$K$7,2,FALSE)*VLOOKUP(Sheet1!$A3726,Sheet2!$B$5:$H$29,6,FALSE),0)</x:f>
        <x:v>0</x:v>
      </x:c>
      <x:c r="H3726">
        <x:f>ROUND($C3726*10*VLOOKUP($B3726,Sheet2!$J$5:$K$7,2,FALSE)*VLOOKUP(Sheet1!$A3726,Sheet2!$B$5:$H$29,7,FALSE),0)</x:f>
        <x:v>300</x:v>
      </x:c>
      <x:c r="I3726">
        <x:f t="shared" si="62"/>
        <x:v>1620</x:v>
      </x:c>
    </x:row>
    <x:row r="3727" spans="1:9" x14ac:dyDescent="0.15">
      <x:c r="A3727">
        <x:v>54201</x:v>
      </x:c>
      <x:c r="B3727">
        <x:v>3</x:v>
      </x:c>
      <x:c r="C3727">
        <x:v>6</x:v>
      </x:c>
      <x:c r="D3727">
        <x:f>ROUND($C3727*10*VLOOKUP($B3727,Sheet2!$J$5:$K$7,2,FALSE)*VLOOKUP(Sheet1!$A3727,Sheet2!$B$5:$H$29,3,FALSE),0)</x:f>
        <x:v>24</x:v>
      </x:c>
      <x:c r="E3727">
        <x:f>ROUND($C3727*10*VLOOKUP($B3727,Sheet2!$J$5:$K$7,2,FALSE)*VLOOKUP(Sheet1!$A3727,Sheet2!$B$5:$H$29,4,FALSE),0)</x:f>
        <x:v>0</x:v>
      </x:c>
      <x:c r="F3727">
        <x:f>ROUND($C3727*10*VLOOKUP($B3727,Sheet2!$J$5:$K$7,2,FALSE)*VLOOKUP(Sheet1!$A3727,Sheet2!$B$5:$H$29,5,FALSE),0)</x:f>
        <x:v>0</x:v>
      </x:c>
      <x:c r="G3727">
        <x:f>ROUND($C3727*10*VLOOKUP($B3727,Sheet2!$J$5:$K$7,2,FALSE)*VLOOKUP(Sheet1!$A3727,Sheet2!$B$5:$H$29,6,FALSE),0)</x:f>
        <x:v>0</x:v>
      </x:c>
      <x:c r="H3727">
        <x:f>ROUND($C3727*10*VLOOKUP($B3727,Sheet2!$J$5:$K$7,2,FALSE)*VLOOKUP(Sheet1!$A3727,Sheet2!$B$5:$H$29,7,FALSE),0)</x:f>
        <x:v>360</x:v>
      </x:c>
      <x:c r="I3727">
        <x:f t="shared" si="62"/>
        <x:v>2370</x:v>
      </x:c>
    </x:row>
    <x:row r="3728" spans="1:9" x14ac:dyDescent="0.15">
      <x:c r="A3728">
        <x:v>54201</x:v>
      </x:c>
      <x:c r="B3728">
        <x:v>3</x:v>
      </x:c>
      <x:c r="C3728">
        <x:v>7</x:v>
      </x:c>
      <x:c r="D3728">
        <x:f>ROUND($C3728*10*VLOOKUP($B3728,Sheet2!$J$5:$K$7,2,FALSE)*VLOOKUP(Sheet1!$A3728,Sheet2!$B$5:$H$29,3,FALSE),0)</x:f>
        <x:v>28</x:v>
      </x:c>
      <x:c r="E3728">
        <x:f>ROUND($C3728*10*VLOOKUP($B3728,Sheet2!$J$5:$K$7,2,FALSE)*VLOOKUP(Sheet1!$A3728,Sheet2!$B$5:$H$29,4,FALSE),0)</x:f>
        <x:v>0</x:v>
      </x:c>
      <x:c r="F3728">
        <x:f>ROUND($C3728*10*VLOOKUP($B3728,Sheet2!$J$5:$K$7,2,FALSE)*VLOOKUP(Sheet1!$A3728,Sheet2!$B$5:$H$29,5,FALSE),0)</x:f>
        <x:v>0</x:v>
      </x:c>
      <x:c r="G3728">
        <x:f>ROUND($C3728*10*VLOOKUP($B3728,Sheet2!$J$5:$K$7,2,FALSE)*VLOOKUP(Sheet1!$A3728,Sheet2!$B$5:$H$29,6,FALSE),0)</x:f>
        <x:v>0</x:v>
      </x:c>
      <x:c r="H3728">
        <x:f>ROUND($C3728*10*VLOOKUP($B3728,Sheet2!$J$5:$K$7,2,FALSE)*VLOOKUP(Sheet1!$A3728,Sheet2!$B$5:$H$29,7,FALSE),0)</x:f>
        <x:v>420</x:v>
      </x:c>
      <x:c r="I3728">
        <x:f t="shared" si="62"/>
        <x:v>3260</x:v>
      </x:c>
    </x:row>
    <x:row r="3729" spans="1:9" x14ac:dyDescent="0.15">
      <x:c r="A3729">
        <x:v>54201</x:v>
      </x:c>
      <x:c r="B3729">
        <x:v>3</x:v>
      </x:c>
      <x:c r="C3729">
        <x:v>8</x:v>
      </x:c>
      <x:c r="D3729">
        <x:f>ROUND($C3729*10*VLOOKUP($B3729,Sheet2!$J$5:$K$7,2,FALSE)*VLOOKUP(Sheet1!$A3729,Sheet2!$B$5:$H$29,3,FALSE),0)</x:f>
        <x:v>32</x:v>
      </x:c>
      <x:c r="E3729">
        <x:f>ROUND($C3729*10*VLOOKUP($B3729,Sheet2!$J$5:$K$7,2,FALSE)*VLOOKUP(Sheet1!$A3729,Sheet2!$B$5:$H$29,4,FALSE),0)</x:f>
        <x:v>0</x:v>
      </x:c>
      <x:c r="F3729">
        <x:f>ROUND($C3729*10*VLOOKUP($B3729,Sheet2!$J$5:$K$7,2,FALSE)*VLOOKUP(Sheet1!$A3729,Sheet2!$B$5:$H$29,5,FALSE),0)</x:f>
        <x:v>0</x:v>
      </x:c>
      <x:c r="G3729">
        <x:f>ROUND($C3729*10*VLOOKUP($B3729,Sheet2!$J$5:$K$7,2,FALSE)*VLOOKUP(Sheet1!$A3729,Sheet2!$B$5:$H$29,6,FALSE),0)</x:f>
        <x:v>0</x:v>
      </x:c>
      <x:c r="H3729">
        <x:f>ROUND($C3729*10*VLOOKUP($B3729,Sheet2!$J$5:$K$7,2,FALSE)*VLOOKUP(Sheet1!$A3729,Sheet2!$B$5:$H$29,7,FALSE),0)</x:f>
        <x:v>480</x:v>
      </x:c>
      <x:c r="I3729">
        <x:f t="shared" si="62"/>
        <x:v>4270</x:v>
      </x:c>
    </x:row>
    <x:row r="3730" spans="1:9" x14ac:dyDescent="0.15">
      <x:c r="A3730">
        <x:v>54201</x:v>
      </x:c>
      <x:c r="B3730">
        <x:v>3</x:v>
      </x:c>
      <x:c r="C3730">
        <x:v>9</x:v>
      </x:c>
      <x:c r="D3730">
        <x:f>ROUND($C3730*10*VLOOKUP($B3730,Sheet2!$J$5:$K$7,2,FALSE)*VLOOKUP(Sheet1!$A3730,Sheet2!$B$5:$H$29,3,FALSE),0)</x:f>
        <x:v>36</x:v>
      </x:c>
      <x:c r="E3730">
        <x:f>ROUND($C3730*10*VLOOKUP($B3730,Sheet2!$J$5:$K$7,2,FALSE)*VLOOKUP(Sheet1!$A3730,Sheet2!$B$5:$H$29,4,FALSE),0)</x:f>
        <x:v>0</x:v>
      </x:c>
      <x:c r="F3730">
        <x:f>ROUND($C3730*10*VLOOKUP($B3730,Sheet2!$J$5:$K$7,2,FALSE)*VLOOKUP(Sheet1!$A3730,Sheet2!$B$5:$H$29,5,FALSE),0)</x:f>
        <x:v>0</x:v>
      </x:c>
      <x:c r="G3730">
        <x:f>ROUND($C3730*10*VLOOKUP($B3730,Sheet2!$J$5:$K$7,2,FALSE)*VLOOKUP(Sheet1!$A3730,Sheet2!$B$5:$H$29,6,FALSE),0)</x:f>
        <x:v>0</x:v>
      </x:c>
      <x:c r="H3730">
        <x:f>ROUND($C3730*10*VLOOKUP($B3730,Sheet2!$J$5:$K$7,2,FALSE)*VLOOKUP(Sheet1!$A3730,Sheet2!$B$5:$H$29,7,FALSE),0)</x:f>
        <x:v>540</x:v>
      </x:c>
      <x:c r="I3730">
        <x:f t="shared" si="62"/>
        <x:v>5410</x:v>
      </x:c>
    </x:row>
    <x:row r="3731" spans="1:9" x14ac:dyDescent="0.15">
      <x:c r="A3731">
        <x:v>54201</x:v>
      </x:c>
      <x:c r="B3731">
        <x:v>3</x:v>
      </x:c>
      <x:c r="C3731">
        <x:v>10</x:v>
      </x:c>
      <x:c r="D3731">
        <x:f>ROUND($C3731*10*VLOOKUP($B3731,Sheet2!$J$5:$K$7,2,FALSE)*VLOOKUP(Sheet1!$A3731,Sheet2!$B$5:$H$29,3,FALSE),0)</x:f>
        <x:v>40</x:v>
      </x:c>
      <x:c r="E3731">
        <x:f>ROUND($C3731*10*VLOOKUP($B3731,Sheet2!$J$5:$K$7,2,FALSE)*VLOOKUP(Sheet1!$A3731,Sheet2!$B$5:$H$29,4,FALSE),0)</x:f>
        <x:v>0</x:v>
      </x:c>
      <x:c r="F3731">
        <x:f>ROUND($C3731*10*VLOOKUP($B3731,Sheet2!$J$5:$K$7,2,FALSE)*VLOOKUP(Sheet1!$A3731,Sheet2!$B$5:$H$29,5,FALSE),0)</x:f>
        <x:v>0</x:v>
      </x:c>
      <x:c r="G3731">
        <x:f>ROUND($C3731*10*VLOOKUP($B3731,Sheet2!$J$5:$K$7,2,FALSE)*VLOOKUP(Sheet1!$A3731,Sheet2!$B$5:$H$29,6,FALSE),0)</x:f>
        <x:v>0</x:v>
      </x:c>
      <x:c r="H3731">
        <x:f>ROUND($C3731*10*VLOOKUP($B3731,Sheet2!$J$5:$K$7,2,FALSE)*VLOOKUP(Sheet1!$A3731,Sheet2!$B$5:$H$29,7,FALSE),0)</x:f>
        <x:v>600</x:v>
      </x:c>
      <x:c r="I3731">
        <x:f t="shared" si="62"/>
        <x:v>6670</x:v>
      </x:c>
    </x:row>
    <x:row r="3732" spans="1:9" x14ac:dyDescent="0.15">
      <x:c r="A3732">
        <x:v>54201</x:v>
      </x:c>
      <x:c r="B3732">
        <x:v>3</x:v>
      </x:c>
      <x:c r="C3732">
        <x:v>11</x:v>
      </x:c>
      <x:c r="D3732">
        <x:f>ROUND($C3732*10*VLOOKUP($B3732,Sheet2!$J$5:$K$7,2,FALSE)*VLOOKUP(Sheet1!$A3732,Sheet2!$B$5:$H$29,3,FALSE),0)</x:f>
        <x:v>44</x:v>
      </x:c>
      <x:c r="E3732">
        <x:f>ROUND($C3732*10*VLOOKUP($B3732,Sheet2!$J$5:$K$7,2,FALSE)*VLOOKUP(Sheet1!$A3732,Sheet2!$B$5:$H$29,4,FALSE),0)</x:f>
        <x:v>0</x:v>
      </x:c>
      <x:c r="F3732">
        <x:f>ROUND($C3732*10*VLOOKUP($B3732,Sheet2!$J$5:$K$7,2,FALSE)*VLOOKUP(Sheet1!$A3732,Sheet2!$B$5:$H$29,5,FALSE),0)</x:f>
        <x:v>0</x:v>
      </x:c>
      <x:c r="G3732">
        <x:f>ROUND($C3732*10*VLOOKUP($B3732,Sheet2!$J$5:$K$7,2,FALSE)*VLOOKUP(Sheet1!$A3732,Sheet2!$B$5:$H$29,6,FALSE),0)</x:f>
        <x:v>0</x:v>
      </x:c>
      <x:c r="H3732">
        <x:f>ROUND($C3732*10*VLOOKUP($B3732,Sheet2!$J$5:$K$7,2,FALSE)*VLOOKUP(Sheet1!$A3732,Sheet2!$B$5:$H$29,7,FALSE),0)</x:f>
        <x:v>660</x:v>
      </x:c>
      <x:c r="I3732">
        <x:f t="shared" si="62"/>
        <x:v>8040</x:v>
      </x:c>
    </x:row>
    <x:row r="3733" spans="1:9" x14ac:dyDescent="0.15">
      <x:c r="A3733">
        <x:v>54201</x:v>
      </x:c>
      <x:c r="B3733">
        <x:v>3</x:v>
      </x:c>
      <x:c r="C3733">
        <x:v>12</x:v>
      </x:c>
      <x:c r="D3733">
        <x:f>ROUND($C3733*10*VLOOKUP($B3733,Sheet2!$J$5:$K$7,2,FALSE)*VLOOKUP(Sheet1!$A3733,Sheet2!$B$5:$H$29,3,FALSE),0)</x:f>
        <x:v>48</x:v>
      </x:c>
      <x:c r="E3733">
        <x:f>ROUND($C3733*10*VLOOKUP($B3733,Sheet2!$J$5:$K$7,2,FALSE)*VLOOKUP(Sheet1!$A3733,Sheet2!$B$5:$H$29,4,FALSE),0)</x:f>
        <x:v>0</x:v>
      </x:c>
      <x:c r="F3733">
        <x:f>ROUND($C3733*10*VLOOKUP($B3733,Sheet2!$J$5:$K$7,2,FALSE)*VLOOKUP(Sheet1!$A3733,Sheet2!$B$5:$H$29,5,FALSE),0)</x:f>
        <x:v>0</x:v>
      </x:c>
      <x:c r="G3733">
        <x:f>ROUND($C3733*10*VLOOKUP($B3733,Sheet2!$J$5:$K$7,2,FALSE)*VLOOKUP(Sheet1!$A3733,Sheet2!$B$5:$H$29,6,FALSE),0)</x:f>
        <x:v>0</x:v>
      </x:c>
      <x:c r="H3733">
        <x:f>ROUND($C3733*10*VLOOKUP($B3733,Sheet2!$J$5:$K$7,2,FALSE)*VLOOKUP(Sheet1!$A3733,Sheet2!$B$5:$H$29,7,FALSE),0)</x:f>
        <x:v>720</x:v>
      </x:c>
      <x:c r="I3733">
        <x:f t="shared" si="62"/>
        <x:v>9530</x:v>
      </x:c>
    </x:row>
    <x:row r="3734" spans="1:9" x14ac:dyDescent="0.15">
      <x:c r="A3734">
        <x:v>54201</x:v>
      </x:c>
      <x:c r="B3734">
        <x:v>3</x:v>
      </x:c>
      <x:c r="C3734">
        <x:v>13</x:v>
      </x:c>
      <x:c r="D3734">
        <x:f>ROUND($C3734*10*VLOOKUP($B3734,Sheet2!$J$5:$K$7,2,FALSE)*VLOOKUP(Sheet1!$A3734,Sheet2!$B$5:$H$29,3,FALSE),0)</x:f>
        <x:v>52</x:v>
      </x:c>
      <x:c r="E3734">
        <x:f>ROUND($C3734*10*VLOOKUP($B3734,Sheet2!$J$5:$K$7,2,FALSE)*VLOOKUP(Sheet1!$A3734,Sheet2!$B$5:$H$29,4,FALSE),0)</x:f>
        <x:v>0</x:v>
      </x:c>
      <x:c r="F3734">
        <x:f>ROUND($C3734*10*VLOOKUP($B3734,Sheet2!$J$5:$K$7,2,FALSE)*VLOOKUP(Sheet1!$A3734,Sheet2!$B$5:$H$29,5,FALSE),0)</x:f>
        <x:v>0</x:v>
      </x:c>
      <x:c r="G3734">
        <x:f>ROUND($C3734*10*VLOOKUP($B3734,Sheet2!$J$5:$K$7,2,FALSE)*VLOOKUP(Sheet1!$A3734,Sheet2!$B$5:$H$29,6,FALSE),0)</x:f>
        <x:v>0</x:v>
      </x:c>
      <x:c r="H3734">
        <x:f>ROUND($C3734*10*VLOOKUP($B3734,Sheet2!$J$5:$K$7,2,FALSE)*VLOOKUP(Sheet1!$A3734,Sheet2!$B$5:$H$29,7,FALSE),0)</x:f>
        <x:v>780</x:v>
      </x:c>
      <x:c r="I3734">
        <x:f t="shared" si="62"/>
        <x:v>11130</x:v>
      </x:c>
    </x:row>
    <x:row r="3735" spans="1:9" x14ac:dyDescent="0.15">
      <x:c r="A3735">
        <x:v>54201</x:v>
      </x:c>
      <x:c r="B3735">
        <x:v>3</x:v>
      </x:c>
      <x:c r="C3735">
        <x:v>14</x:v>
      </x:c>
      <x:c r="D3735">
        <x:f>ROUND($C3735*10*VLOOKUP($B3735,Sheet2!$J$5:$K$7,2,FALSE)*VLOOKUP(Sheet1!$A3735,Sheet2!$B$5:$H$29,3,FALSE),0)</x:f>
        <x:v>56</x:v>
      </x:c>
      <x:c r="E3735">
        <x:f>ROUND($C3735*10*VLOOKUP($B3735,Sheet2!$J$5:$K$7,2,FALSE)*VLOOKUP(Sheet1!$A3735,Sheet2!$B$5:$H$29,4,FALSE),0)</x:f>
        <x:v>0</x:v>
      </x:c>
      <x:c r="F3735">
        <x:f>ROUND($C3735*10*VLOOKUP($B3735,Sheet2!$J$5:$K$7,2,FALSE)*VLOOKUP(Sheet1!$A3735,Sheet2!$B$5:$H$29,5,FALSE),0)</x:f>
        <x:v>0</x:v>
      </x:c>
      <x:c r="G3735">
        <x:f>ROUND($C3735*10*VLOOKUP($B3735,Sheet2!$J$5:$K$7,2,FALSE)*VLOOKUP(Sheet1!$A3735,Sheet2!$B$5:$H$29,6,FALSE),0)</x:f>
        <x:v>0</x:v>
      </x:c>
      <x:c r="H3735">
        <x:f>ROUND($C3735*10*VLOOKUP($B3735,Sheet2!$J$5:$K$7,2,FALSE)*VLOOKUP(Sheet1!$A3735,Sheet2!$B$5:$H$29,7,FALSE),0)</x:f>
        <x:v>840</x:v>
      </x:c>
      <x:c r="I3735">
        <x:f t="shared" si="62"/>
        <x:v>12840</x:v>
      </x:c>
    </x:row>
    <x:row r="3736" spans="1:9" x14ac:dyDescent="0.15">
      <x:c r="A3736">
        <x:v>54201</x:v>
      </x:c>
      <x:c r="B3736">
        <x:v>3</x:v>
      </x:c>
      <x:c r="C3736">
        <x:v>15</x:v>
      </x:c>
      <x:c r="D3736">
        <x:f>ROUND($C3736*10*VLOOKUP($B3736,Sheet2!$J$5:$K$7,2,FALSE)*VLOOKUP(Sheet1!$A3736,Sheet2!$B$5:$H$29,3,FALSE),0)</x:f>
        <x:v>60</x:v>
      </x:c>
      <x:c r="E3736">
        <x:f>ROUND($C3736*10*VLOOKUP($B3736,Sheet2!$J$5:$K$7,2,FALSE)*VLOOKUP(Sheet1!$A3736,Sheet2!$B$5:$H$29,4,FALSE),0)</x:f>
        <x:v>0</x:v>
      </x:c>
      <x:c r="F3736">
        <x:f>ROUND($C3736*10*VLOOKUP($B3736,Sheet2!$J$5:$K$7,2,FALSE)*VLOOKUP(Sheet1!$A3736,Sheet2!$B$5:$H$29,5,FALSE),0)</x:f>
        <x:v>0</x:v>
      </x:c>
      <x:c r="G3736">
        <x:f>ROUND($C3736*10*VLOOKUP($B3736,Sheet2!$J$5:$K$7,2,FALSE)*VLOOKUP(Sheet1!$A3736,Sheet2!$B$5:$H$29,6,FALSE),0)</x:f>
        <x:v>0</x:v>
      </x:c>
      <x:c r="H3736">
        <x:f>ROUND($C3736*10*VLOOKUP($B3736,Sheet2!$J$5:$K$7,2,FALSE)*VLOOKUP(Sheet1!$A3736,Sheet2!$B$5:$H$29,7,FALSE),0)</x:f>
        <x:v>900</x:v>
      </x:c>
      <x:c r="I3736">
        <x:f t="shared" si="62"/>
        <x:v>14660</x:v>
      </x:c>
    </x:row>
    <x:row r="3737" spans="1:9" x14ac:dyDescent="0.15">
      <x:c r="A3737">
        <x:v>54201</x:v>
      </x:c>
      <x:c r="B3737">
        <x:v>3</x:v>
      </x:c>
      <x:c r="C3737">
        <x:v>16</x:v>
      </x:c>
      <x:c r="D3737">
        <x:f>ROUND($C3737*10*VLOOKUP($B3737,Sheet2!$J$5:$K$7,2,FALSE)*VLOOKUP(Sheet1!$A3737,Sheet2!$B$5:$H$29,3,FALSE),0)</x:f>
        <x:v>64</x:v>
      </x:c>
      <x:c r="E3737">
        <x:f>ROUND($C3737*10*VLOOKUP($B3737,Sheet2!$J$5:$K$7,2,FALSE)*VLOOKUP(Sheet1!$A3737,Sheet2!$B$5:$H$29,4,FALSE),0)</x:f>
        <x:v>0</x:v>
      </x:c>
      <x:c r="F3737">
        <x:f>ROUND($C3737*10*VLOOKUP($B3737,Sheet2!$J$5:$K$7,2,FALSE)*VLOOKUP(Sheet1!$A3737,Sheet2!$B$5:$H$29,5,FALSE),0)</x:f>
        <x:v>0</x:v>
      </x:c>
      <x:c r="G3737">
        <x:f>ROUND($C3737*10*VLOOKUP($B3737,Sheet2!$J$5:$K$7,2,FALSE)*VLOOKUP(Sheet1!$A3737,Sheet2!$B$5:$H$29,6,FALSE),0)</x:f>
        <x:v>0</x:v>
      </x:c>
      <x:c r="H3737">
        <x:f>ROUND($C3737*10*VLOOKUP($B3737,Sheet2!$J$5:$K$7,2,FALSE)*VLOOKUP(Sheet1!$A3737,Sheet2!$B$5:$H$29,7,FALSE),0)</x:f>
        <x:v>960</x:v>
      </x:c>
      <x:c r="I3737">
        <x:f t="shared" si="62"/>
        <x:v>16580</x:v>
      </x:c>
    </x:row>
    <x:row r="3738" spans="1:9" x14ac:dyDescent="0.15">
      <x:c r="A3738">
        <x:v>54201</x:v>
      </x:c>
      <x:c r="B3738">
        <x:v>3</x:v>
      </x:c>
      <x:c r="C3738">
        <x:v>17</x:v>
      </x:c>
      <x:c r="D3738">
        <x:f>ROUND($C3738*10*VLOOKUP($B3738,Sheet2!$J$5:$K$7,2,FALSE)*VLOOKUP(Sheet1!$A3738,Sheet2!$B$5:$H$29,3,FALSE),0)</x:f>
        <x:v>68</x:v>
      </x:c>
      <x:c r="E3738">
        <x:f>ROUND($C3738*10*VLOOKUP($B3738,Sheet2!$J$5:$K$7,2,FALSE)*VLOOKUP(Sheet1!$A3738,Sheet2!$B$5:$H$29,4,FALSE),0)</x:f>
        <x:v>0</x:v>
      </x:c>
      <x:c r="F3738">
        <x:f>ROUND($C3738*10*VLOOKUP($B3738,Sheet2!$J$5:$K$7,2,FALSE)*VLOOKUP(Sheet1!$A3738,Sheet2!$B$5:$H$29,5,FALSE),0)</x:f>
        <x:v>0</x:v>
      </x:c>
      <x:c r="G3738">
        <x:f>ROUND($C3738*10*VLOOKUP($B3738,Sheet2!$J$5:$K$7,2,FALSE)*VLOOKUP(Sheet1!$A3738,Sheet2!$B$5:$H$29,6,FALSE),0)</x:f>
        <x:v>0</x:v>
      </x:c>
      <x:c r="H3738">
        <x:f>ROUND($C3738*10*VLOOKUP($B3738,Sheet2!$J$5:$K$7,2,FALSE)*VLOOKUP(Sheet1!$A3738,Sheet2!$B$5:$H$29,7,FALSE),0)</x:f>
        <x:v>1020</x:v>
      </x:c>
      <x:c r="I3738">
        <x:f t="shared" si="62"/>
        <x:v>18620</x:v>
      </x:c>
    </x:row>
    <x:row r="3739" spans="1:9" x14ac:dyDescent="0.15">
      <x:c r="A3739">
        <x:v>54201</x:v>
      </x:c>
      <x:c r="B3739">
        <x:v>3</x:v>
      </x:c>
      <x:c r="C3739">
        <x:v>18</x:v>
      </x:c>
      <x:c r="D3739">
        <x:f>ROUND($C3739*10*VLOOKUP($B3739,Sheet2!$J$5:$K$7,2,FALSE)*VLOOKUP(Sheet1!$A3739,Sheet2!$B$5:$H$29,3,FALSE),0)</x:f>
        <x:v>72</x:v>
      </x:c>
      <x:c r="E3739">
        <x:f>ROUND($C3739*10*VLOOKUP($B3739,Sheet2!$J$5:$K$7,2,FALSE)*VLOOKUP(Sheet1!$A3739,Sheet2!$B$5:$H$29,4,FALSE),0)</x:f>
        <x:v>0</x:v>
      </x:c>
      <x:c r="F3739">
        <x:f>ROUND($C3739*10*VLOOKUP($B3739,Sheet2!$J$5:$K$7,2,FALSE)*VLOOKUP(Sheet1!$A3739,Sheet2!$B$5:$H$29,5,FALSE),0)</x:f>
        <x:v>0</x:v>
      </x:c>
      <x:c r="G3739">
        <x:f>ROUND($C3739*10*VLOOKUP($B3739,Sheet2!$J$5:$K$7,2,FALSE)*VLOOKUP(Sheet1!$A3739,Sheet2!$B$5:$H$29,6,FALSE),0)</x:f>
        <x:v>0</x:v>
      </x:c>
      <x:c r="H3739">
        <x:f>ROUND($C3739*10*VLOOKUP($B3739,Sheet2!$J$5:$K$7,2,FALSE)*VLOOKUP(Sheet1!$A3739,Sheet2!$B$5:$H$29,7,FALSE),0)</x:f>
        <x:v>1080</x:v>
      </x:c>
      <x:c r="I3739">
        <x:f t="shared" si="62"/>
        <x:v>20750</x:v>
      </x:c>
    </x:row>
    <x:row r="3740" spans="1:9" x14ac:dyDescent="0.15">
      <x:c r="A3740">
        <x:v>54201</x:v>
      </x:c>
      <x:c r="B3740">
        <x:v>3</x:v>
      </x:c>
      <x:c r="C3740">
        <x:v>19</x:v>
      </x:c>
      <x:c r="D3740">
        <x:f>ROUND($C3740*10*VLOOKUP($B3740,Sheet2!$J$5:$K$7,2,FALSE)*VLOOKUP(Sheet1!$A3740,Sheet2!$B$5:$H$29,3,FALSE),0)</x:f>
        <x:v>76</x:v>
      </x:c>
      <x:c r="E3740">
        <x:f>ROUND($C3740*10*VLOOKUP($B3740,Sheet2!$J$5:$K$7,2,FALSE)*VLOOKUP(Sheet1!$A3740,Sheet2!$B$5:$H$29,4,FALSE),0)</x:f>
        <x:v>0</x:v>
      </x:c>
      <x:c r="F3740">
        <x:f>ROUND($C3740*10*VLOOKUP($B3740,Sheet2!$J$5:$K$7,2,FALSE)*VLOOKUP(Sheet1!$A3740,Sheet2!$B$5:$H$29,5,FALSE),0)</x:f>
        <x:v>0</x:v>
      </x:c>
      <x:c r="G3740">
        <x:f>ROUND($C3740*10*VLOOKUP($B3740,Sheet2!$J$5:$K$7,2,FALSE)*VLOOKUP(Sheet1!$A3740,Sheet2!$B$5:$H$29,6,FALSE),0)</x:f>
        <x:v>0</x:v>
      </x:c>
      <x:c r="H3740">
        <x:f>ROUND($C3740*10*VLOOKUP($B3740,Sheet2!$J$5:$K$7,2,FALSE)*VLOOKUP(Sheet1!$A3740,Sheet2!$B$5:$H$29,7,FALSE),0)</x:f>
        <x:v>1140</x:v>
      </x:c>
      <x:c r="I3740">
        <x:f t="shared" si="62"/>
        <x:v>22990</x:v>
      </x:c>
    </x:row>
    <x:row r="3741" spans="1:9" x14ac:dyDescent="0.15">
      <x:c r="A3741">
        <x:v>54201</x:v>
      </x:c>
      <x:c r="B3741">
        <x:v>3</x:v>
      </x:c>
      <x:c r="C3741">
        <x:v>20</x:v>
      </x:c>
      <x:c r="D3741">
        <x:f>ROUND($C3741*10*VLOOKUP($B3741,Sheet2!$J$5:$K$7,2,FALSE)*VLOOKUP(Sheet1!$A3741,Sheet2!$B$5:$H$29,3,FALSE),0)</x:f>
        <x:v>80</x:v>
      </x:c>
      <x:c r="E3741">
        <x:f>ROUND($C3741*10*VLOOKUP($B3741,Sheet2!$J$5:$K$7,2,FALSE)*VLOOKUP(Sheet1!$A3741,Sheet2!$B$5:$H$29,4,FALSE),0)</x:f>
        <x:v>0</x:v>
      </x:c>
      <x:c r="F3741">
        <x:f>ROUND($C3741*10*VLOOKUP($B3741,Sheet2!$J$5:$K$7,2,FALSE)*VLOOKUP(Sheet1!$A3741,Sheet2!$B$5:$H$29,5,FALSE),0)</x:f>
        <x:v>0</x:v>
      </x:c>
      <x:c r="G3741">
        <x:f>ROUND($C3741*10*VLOOKUP($B3741,Sheet2!$J$5:$K$7,2,FALSE)*VLOOKUP(Sheet1!$A3741,Sheet2!$B$5:$H$29,6,FALSE),0)</x:f>
        <x:v>0</x:v>
      </x:c>
      <x:c r="H3741">
        <x:f>ROUND($C3741*10*VLOOKUP($B3741,Sheet2!$J$5:$K$7,2,FALSE)*VLOOKUP(Sheet1!$A3741,Sheet2!$B$5:$H$29,7,FALSE),0)</x:f>
        <x:v>1200</x:v>
      </x:c>
      <x:c r="I3741">
        <x:f t="shared" si="62"/>
        <x:v>25330</x:v>
      </x:c>
    </x:row>
    <x:row r="3742" spans="1:9" x14ac:dyDescent="0.15">
      <x:c r="A3742">
        <x:v>54201</x:v>
      </x:c>
      <x:c r="B3742">
        <x:v>3</x:v>
      </x:c>
      <x:c r="C3742">
        <x:v>21</x:v>
      </x:c>
      <x:c r="D3742">
        <x:f>ROUND($C3742*10*VLOOKUP($B3742,Sheet2!$J$5:$K$7,2,FALSE)*VLOOKUP(Sheet1!$A3742,Sheet2!$B$5:$H$29,3,FALSE),0)</x:f>
        <x:v>84</x:v>
      </x:c>
      <x:c r="E3742">
        <x:f>ROUND($C3742*10*VLOOKUP($B3742,Sheet2!$J$5:$K$7,2,FALSE)*VLOOKUP(Sheet1!$A3742,Sheet2!$B$5:$H$29,4,FALSE),0)</x:f>
        <x:v>0</x:v>
      </x:c>
      <x:c r="F3742">
        <x:f>ROUND($C3742*10*VLOOKUP($B3742,Sheet2!$J$5:$K$7,2,FALSE)*VLOOKUP(Sheet1!$A3742,Sheet2!$B$5:$H$29,5,FALSE),0)</x:f>
        <x:v>0</x:v>
      </x:c>
      <x:c r="G3742">
        <x:f>ROUND($C3742*10*VLOOKUP($B3742,Sheet2!$J$5:$K$7,2,FALSE)*VLOOKUP(Sheet1!$A3742,Sheet2!$B$5:$H$29,6,FALSE),0)</x:f>
        <x:v>0</x:v>
      </x:c>
      <x:c r="H3742">
        <x:f>ROUND($C3742*10*VLOOKUP($B3742,Sheet2!$J$5:$K$7,2,FALSE)*VLOOKUP(Sheet1!$A3742,Sheet2!$B$5:$H$29,7,FALSE),0)</x:f>
        <x:v>1260</x:v>
      </x:c>
      <x:c r="I3742">
        <x:f t="shared" si="62"/>
        <x:v>27770</x:v>
      </x:c>
    </x:row>
    <x:row r="3743" spans="1:9" x14ac:dyDescent="0.15">
      <x:c r="A3743">
        <x:v>54201</x:v>
      </x:c>
      <x:c r="B3743">
        <x:v>3</x:v>
      </x:c>
      <x:c r="C3743">
        <x:v>22</x:v>
      </x:c>
      <x:c r="D3743">
        <x:f>ROUND($C3743*10*VLOOKUP($B3743,Sheet2!$J$5:$K$7,2,FALSE)*VLOOKUP(Sheet1!$A3743,Sheet2!$B$5:$H$29,3,FALSE),0)</x:f>
        <x:v>88</x:v>
      </x:c>
      <x:c r="E3743">
        <x:f>ROUND($C3743*10*VLOOKUP($B3743,Sheet2!$J$5:$K$7,2,FALSE)*VLOOKUP(Sheet1!$A3743,Sheet2!$B$5:$H$29,4,FALSE),0)</x:f>
        <x:v>0</x:v>
      </x:c>
      <x:c r="F3743">
        <x:f>ROUND($C3743*10*VLOOKUP($B3743,Sheet2!$J$5:$K$7,2,FALSE)*VLOOKUP(Sheet1!$A3743,Sheet2!$B$5:$H$29,5,FALSE),0)</x:f>
        <x:v>0</x:v>
      </x:c>
      <x:c r="G3743">
        <x:f>ROUND($C3743*10*VLOOKUP($B3743,Sheet2!$J$5:$K$7,2,FALSE)*VLOOKUP(Sheet1!$A3743,Sheet2!$B$5:$H$29,6,FALSE),0)</x:f>
        <x:v>0</x:v>
      </x:c>
      <x:c r="H3743">
        <x:f>ROUND($C3743*10*VLOOKUP($B3743,Sheet2!$J$5:$K$7,2,FALSE)*VLOOKUP(Sheet1!$A3743,Sheet2!$B$5:$H$29,7,FALSE),0)</x:f>
        <x:v>1320</x:v>
      </x:c>
      <x:c r="I3743">
        <x:f t="shared" si="62"/>
        <x:v>30310</x:v>
      </x:c>
    </x:row>
    <x:row r="3744" spans="1:9" x14ac:dyDescent="0.15">
      <x:c r="A3744">
        <x:v>54201</x:v>
      </x:c>
      <x:c r="B3744">
        <x:v>3</x:v>
      </x:c>
      <x:c r="C3744">
        <x:v>23</x:v>
      </x:c>
      <x:c r="D3744">
        <x:f>ROUND($C3744*10*VLOOKUP($B3744,Sheet2!$J$5:$K$7,2,FALSE)*VLOOKUP(Sheet1!$A3744,Sheet2!$B$5:$H$29,3,FALSE),0)</x:f>
        <x:v>92</x:v>
      </x:c>
      <x:c r="E3744">
        <x:f>ROUND($C3744*10*VLOOKUP($B3744,Sheet2!$J$5:$K$7,2,FALSE)*VLOOKUP(Sheet1!$A3744,Sheet2!$B$5:$H$29,4,FALSE),0)</x:f>
        <x:v>0</x:v>
      </x:c>
      <x:c r="F3744">
        <x:f>ROUND($C3744*10*VLOOKUP($B3744,Sheet2!$J$5:$K$7,2,FALSE)*VLOOKUP(Sheet1!$A3744,Sheet2!$B$5:$H$29,5,FALSE),0)</x:f>
        <x:v>0</x:v>
      </x:c>
      <x:c r="G3744">
        <x:f>ROUND($C3744*10*VLOOKUP($B3744,Sheet2!$J$5:$K$7,2,FALSE)*VLOOKUP(Sheet1!$A3744,Sheet2!$B$5:$H$29,6,FALSE),0)</x:f>
        <x:v>0</x:v>
      </x:c>
      <x:c r="H3744">
        <x:f>ROUND($C3744*10*VLOOKUP($B3744,Sheet2!$J$5:$K$7,2,FALSE)*VLOOKUP(Sheet1!$A3744,Sheet2!$B$5:$H$29,7,FALSE),0)</x:f>
        <x:v>1380</x:v>
      </x:c>
      <x:c r="I3744">
        <x:f t="shared" si="62"/>
        <x:v>32950</x:v>
      </x:c>
    </x:row>
    <x:row r="3745" spans="1:9" x14ac:dyDescent="0.15">
      <x:c r="A3745">
        <x:v>54201</x:v>
      </x:c>
      <x:c r="B3745">
        <x:v>3</x:v>
      </x:c>
      <x:c r="C3745">
        <x:v>24</x:v>
      </x:c>
      <x:c r="D3745">
        <x:f>ROUND($C3745*10*VLOOKUP($B3745,Sheet2!$J$5:$K$7,2,FALSE)*VLOOKUP(Sheet1!$A3745,Sheet2!$B$5:$H$29,3,FALSE),0)</x:f>
        <x:v>96</x:v>
      </x:c>
      <x:c r="E3745">
        <x:f>ROUND($C3745*10*VLOOKUP($B3745,Sheet2!$J$5:$K$7,2,FALSE)*VLOOKUP(Sheet1!$A3745,Sheet2!$B$5:$H$29,4,FALSE),0)</x:f>
        <x:v>0</x:v>
      </x:c>
      <x:c r="F3745">
        <x:f>ROUND($C3745*10*VLOOKUP($B3745,Sheet2!$J$5:$K$7,2,FALSE)*VLOOKUP(Sheet1!$A3745,Sheet2!$B$5:$H$29,5,FALSE),0)</x:f>
        <x:v>0</x:v>
      </x:c>
      <x:c r="G3745">
        <x:f>ROUND($C3745*10*VLOOKUP($B3745,Sheet2!$J$5:$K$7,2,FALSE)*VLOOKUP(Sheet1!$A3745,Sheet2!$B$5:$H$29,6,FALSE),0)</x:f>
        <x:v>0</x:v>
      </x:c>
      <x:c r="H3745">
        <x:f>ROUND($C3745*10*VLOOKUP($B3745,Sheet2!$J$5:$K$7,2,FALSE)*VLOOKUP(Sheet1!$A3745,Sheet2!$B$5:$H$29,7,FALSE),0)</x:f>
        <x:v>1440</x:v>
      </x:c>
      <x:c r="I3745">
        <x:f t="shared" si="62"/>
        <x:v>35690</x:v>
      </x:c>
    </x:row>
    <x:row r="3746" spans="1:9" x14ac:dyDescent="0.15">
      <x:c r="A3746">
        <x:v>54201</x:v>
      </x:c>
      <x:c r="B3746">
        <x:v>3</x:v>
      </x:c>
      <x:c r="C3746">
        <x:v>25</x:v>
      </x:c>
      <x:c r="D3746">
        <x:f>ROUND($C3746*10*VLOOKUP($B3746,Sheet2!$J$5:$K$7,2,FALSE)*VLOOKUP(Sheet1!$A3746,Sheet2!$B$5:$H$29,3,FALSE),0)</x:f>
        <x:v>100</x:v>
      </x:c>
      <x:c r="E3746">
        <x:f>ROUND($C3746*10*VLOOKUP($B3746,Sheet2!$J$5:$K$7,2,FALSE)*VLOOKUP(Sheet1!$A3746,Sheet2!$B$5:$H$29,4,FALSE),0)</x:f>
        <x:v>0</x:v>
      </x:c>
      <x:c r="F3746">
        <x:f>ROUND($C3746*10*VLOOKUP($B3746,Sheet2!$J$5:$K$7,2,FALSE)*VLOOKUP(Sheet1!$A3746,Sheet2!$B$5:$H$29,5,FALSE),0)</x:f>
        <x:v>0</x:v>
      </x:c>
      <x:c r="G3746">
        <x:f>ROUND($C3746*10*VLOOKUP($B3746,Sheet2!$J$5:$K$7,2,FALSE)*VLOOKUP(Sheet1!$A3746,Sheet2!$B$5:$H$29,6,FALSE),0)</x:f>
        <x:v>0</x:v>
      </x:c>
      <x:c r="H3746">
        <x:f>ROUND($C3746*10*VLOOKUP($B3746,Sheet2!$J$5:$K$7,2,FALSE)*VLOOKUP(Sheet1!$A3746,Sheet2!$B$5:$H$29,7,FALSE),0)</x:f>
        <x:v>1500</x:v>
      </x:c>
      <x:c r="I3746">
        <x:f t="shared" si="62"/>
        <x:v>38530</x:v>
      </x:c>
    </x:row>
    <x:row r="3747" spans="1:9" x14ac:dyDescent="0.15">
      <x:c r="A3747">
        <x:v>54201</x:v>
      </x:c>
      <x:c r="B3747">
        <x:v>3</x:v>
      </x:c>
      <x:c r="C3747">
        <x:v>26</x:v>
      </x:c>
      <x:c r="D3747">
        <x:f>ROUND($C3747*10*VLOOKUP($B3747,Sheet2!$J$5:$K$7,2,FALSE)*VLOOKUP(Sheet1!$A3747,Sheet2!$B$5:$H$29,3,FALSE),0)</x:f>
        <x:v>104</x:v>
      </x:c>
      <x:c r="E3747">
        <x:f>ROUND($C3747*10*VLOOKUP($B3747,Sheet2!$J$5:$K$7,2,FALSE)*VLOOKUP(Sheet1!$A3747,Sheet2!$B$5:$H$29,4,FALSE),0)</x:f>
        <x:v>0</x:v>
      </x:c>
      <x:c r="F3747">
        <x:f>ROUND($C3747*10*VLOOKUP($B3747,Sheet2!$J$5:$K$7,2,FALSE)*VLOOKUP(Sheet1!$A3747,Sheet2!$B$5:$H$29,5,FALSE),0)</x:f>
        <x:v>0</x:v>
      </x:c>
      <x:c r="G3747">
        <x:f>ROUND($C3747*10*VLOOKUP($B3747,Sheet2!$J$5:$K$7,2,FALSE)*VLOOKUP(Sheet1!$A3747,Sheet2!$B$5:$H$29,6,FALSE),0)</x:f>
        <x:v>0</x:v>
      </x:c>
      <x:c r="H3747">
        <x:f>ROUND($C3747*10*VLOOKUP($B3747,Sheet2!$J$5:$K$7,2,FALSE)*VLOOKUP(Sheet1!$A3747,Sheet2!$B$5:$H$29,7,FALSE),0)</x:f>
        <x:v>1560</x:v>
      </x:c>
      <x:c r="I3747">
        <x:f t="shared" si="62"/>
        <x:v>41460</x:v>
      </x:c>
    </x:row>
    <x:row r="3748" spans="1:9" x14ac:dyDescent="0.15">
      <x:c r="A3748">
        <x:v>54201</x:v>
      </x:c>
      <x:c r="B3748">
        <x:v>3</x:v>
      </x:c>
      <x:c r="C3748">
        <x:v>27</x:v>
      </x:c>
      <x:c r="D3748">
        <x:f>ROUND($C3748*10*VLOOKUP($B3748,Sheet2!$J$5:$K$7,2,FALSE)*VLOOKUP(Sheet1!$A3748,Sheet2!$B$5:$H$29,3,FALSE),0)</x:f>
        <x:v>108</x:v>
      </x:c>
      <x:c r="E3748">
        <x:f>ROUND($C3748*10*VLOOKUP($B3748,Sheet2!$J$5:$K$7,2,FALSE)*VLOOKUP(Sheet1!$A3748,Sheet2!$B$5:$H$29,4,FALSE),0)</x:f>
        <x:v>0</x:v>
      </x:c>
      <x:c r="F3748">
        <x:f>ROUND($C3748*10*VLOOKUP($B3748,Sheet2!$J$5:$K$7,2,FALSE)*VLOOKUP(Sheet1!$A3748,Sheet2!$B$5:$H$29,5,FALSE),0)</x:f>
        <x:v>0</x:v>
      </x:c>
      <x:c r="G3748">
        <x:f>ROUND($C3748*10*VLOOKUP($B3748,Sheet2!$J$5:$K$7,2,FALSE)*VLOOKUP(Sheet1!$A3748,Sheet2!$B$5:$H$29,6,FALSE),0)</x:f>
        <x:v>0</x:v>
      </x:c>
      <x:c r="H3748">
        <x:f>ROUND($C3748*10*VLOOKUP($B3748,Sheet2!$J$5:$K$7,2,FALSE)*VLOOKUP(Sheet1!$A3748,Sheet2!$B$5:$H$29,7,FALSE),0)</x:f>
        <x:v>1620</x:v>
      </x:c>
      <x:c r="I3748">
        <x:f t="shared" si="62"/>
        <x:v>44480</x:v>
      </x:c>
    </x:row>
    <x:row r="3749" spans="1:9" x14ac:dyDescent="0.15">
      <x:c r="A3749">
        <x:v>54201</x:v>
      </x:c>
      <x:c r="B3749">
        <x:v>3</x:v>
      </x:c>
      <x:c r="C3749">
        <x:v>28</x:v>
      </x:c>
      <x:c r="D3749">
        <x:f>ROUND($C3749*10*VLOOKUP($B3749,Sheet2!$J$5:$K$7,2,FALSE)*VLOOKUP(Sheet1!$A3749,Sheet2!$B$5:$H$29,3,FALSE),0)</x:f>
        <x:v>112</x:v>
      </x:c>
      <x:c r="E3749">
        <x:f>ROUND($C3749*10*VLOOKUP($B3749,Sheet2!$J$5:$K$7,2,FALSE)*VLOOKUP(Sheet1!$A3749,Sheet2!$B$5:$H$29,4,FALSE),0)</x:f>
        <x:v>0</x:v>
      </x:c>
      <x:c r="F3749">
        <x:f>ROUND($C3749*10*VLOOKUP($B3749,Sheet2!$J$5:$K$7,2,FALSE)*VLOOKUP(Sheet1!$A3749,Sheet2!$B$5:$H$29,5,FALSE),0)</x:f>
        <x:v>0</x:v>
      </x:c>
      <x:c r="G3749">
        <x:f>ROUND($C3749*10*VLOOKUP($B3749,Sheet2!$J$5:$K$7,2,FALSE)*VLOOKUP(Sheet1!$A3749,Sheet2!$B$5:$H$29,6,FALSE),0)</x:f>
        <x:v>0</x:v>
      </x:c>
      <x:c r="H3749">
        <x:f>ROUND($C3749*10*VLOOKUP($B3749,Sheet2!$J$5:$K$7,2,FALSE)*VLOOKUP(Sheet1!$A3749,Sheet2!$B$5:$H$29,7,FALSE),0)</x:f>
        <x:v>1680</x:v>
      </x:c>
      <x:c r="I3749">
        <x:f t="shared" si="62"/>
        <x:v>47600</x:v>
      </x:c>
    </x:row>
    <x:row r="3750" spans="1:9" x14ac:dyDescent="0.15">
      <x:c r="A3750">
        <x:v>54201</x:v>
      </x:c>
      <x:c r="B3750">
        <x:v>3</x:v>
      </x:c>
      <x:c r="C3750">
        <x:v>29</x:v>
      </x:c>
      <x:c r="D3750">
        <x:f>ROUND($C3750*10*VLOOKUP($B3750,Sheet2!$J$5:$K$7,2,FALSE)*VLOOKUP(Sheet1!$A3750,Sheet2!$B$5:$H$29,3,FALSE),0)</x:f>
        <x:v>116</x:v>
      </x:c>
      <x:c r="E3750">
        <x:f>ROUND($C3750*10*VLOOKUP($B3750,Sheet2!$J$5:$K$7,2,FALSE)*VLOOKUP(Sheet1!$A3750,Sheet2!$B$5:$H$29,4,FALSE),0)</x:f>
        <x:v>0</x:v>
      </x:c>
      <x:c r="F3750">
        <x:f>ROUND($C3750*10*VLOOKUP($B3750,Sheet2!$J$5:$K$7,2,FALSE)*VLOOKUP(Sheet1!$A3750,Sheet2!$B$5:$H$29,5,FALSE),0)</x:f>
        <x:v>0</x:v>
      </x:c>
      <x:c r="G3750">
        <x:f>ROUND($C3750*10*VLOOKUP($B3750,Sheet2!$J$5:$K$7,2,FALSE)*VLOOKUP(Sheet1!$A3750,Sheet2!$B$5:$H$29,6,FALSE),0)</x:f>
        <x:v>0</x:v>
      </x:c>
      <x:c r="H3750">
        <x:f>ROUND($C3750*10*VLOOKUP($B3750,Sheet2!$J$5:$K$7,2,FALSE)*VLOOKUP(Sheet1!$A3750,Sheet2!$B$5:$H$29,7,FALSE),0)</x:f>
        <x:v>1740</x:v>
      </x:c>
      <x:c r="I3750">
        <x:f t="shared" si="62"/>
        <x:v>50820</x:v>
      </x:c>
    </x:row>
    <x:row r="3751" spans="1:9" x14ac:dyDescent="0.15">
      <x:c r="A3751">
        <x:v>54201</x:v>
      </x:c>
      <x:c r="B3751">
        <x:v>3</x:v>
      </x:c>
      <x:c r="C3751">
        <x:v>30</x:v>
      </x:c>
      <x:c r="D3751">
        <x:f>ROUND($C3751*10*VLOOKUP($B3751,Sheet2!$J$5:$K$7,2,FALSE)*VLOOKUP(Sheet1!$A3751,Sheet2!$B$5:$H$29,3,FALSE),0)</x:f>
        <x:v>120</x:v>
      </x:c>
      <x:c r="E3751">
        <x:f>ROUND($C3751*10*VLOOKUP($B3751,Sheet2!$J$5:$K$7,2,FALSE)*VLOOKUP(Sheet1!$A3751,Sheet2!$B$5:$H$29,4,FALSE),0)</x:f>
        <x:v>0</x:v>
      </x:c>
      <x:c r="F3751">
        <x:f>ROUND($C3751*10*VLOOKUP($B3751,Sheet2!$J$5:$K$7,2,FALSE)*VLOOKUP(Sheet1!$A3751,Sheet2!$B$5:$H$29,5,FALSE),0)</x:f>
        <x:v>0</x:v>
      </x:c>
      <x:c r="G3751">
        <x:f>ROUND($C3751*10*VLOOKUP($B3751,Sheet2!$J$5:$K$7,2,FALSE)*VLOOKUP(Sheet1!$A3751,Sheet2!$B$5:$H$29,6,FALSE),0)</x:f>
        <x:v>0</x:v>
      </x:c>
      <x:c r="H3751">
        <x:f>ROUND($C3751*10*VLOOKUP($B3751,Sheet2!$J$5:$K$7,2,FALSE)*VLOOKUP(Sheet1!$A3751,Sheet2!$B$5:$H$29,7,FALSE),0)</x:f>
        <x:v>1800</x:v>
      </x:c>
      <x:c r="I3751">
        <x:f t="shared" si="62"/>
        <x:v>54130</x:v>
      </x:c>
    </x:row>
    <x:row r="3752" spans="1:9" x14ac:dyDescent="0.15">
      <x:c r="A3752">
        <x:v>54201</x:v>
      </x:c>
      <x:c r="B3752">
        <x:v>3</x:v>
      </x:c>
      <x:c r="C3752">
        <x:v>31</x:v>
      </x:c>
      <x:c r="D3752">
        <x:f>ROUND($C3752*10*VLOOKUP($B3752,Sheet2!$J$5:$K$7,2,FALSE)*VLOOKUP(Sheet1!$A3752,Sheet2!$B$5:$H$29,3,FALSE),0)</x:f>
        <x:v>124</x:v>
      </x:c>
      <x:c r="E3752">
        <x:f>ROUND($C3752*10*VLOOKUP($B3752,Sheet2!$J$5:$K$7,2,FALSE)*VLOOKUP(Sheet1!$A3752,Sheet2!$B$5:$H$29,4,FALSE),0)</x:f>
        <x:v>0</x:v>
      </x:c>
      <x:c r="F3752">
        <x:f>ROUND($C3752*10*VLOOKUP($B3752,Sheet2!$J$5:$K$7,2,FALSE)*VLOOKUP(Sheet1!$A3752,Sheet2!$B$5:$H$29,5,FALSE),0)</x:f>
        <x:v>0</x:v>
      </x:c>
      <x:c r="G3752">
        <x:f>ROUND($C3752*10*VLOOKUP($B3752,Sheet2!$J$5:$K$7,2,FALSE)*VLOOKUP(Sheet1!$A3752,Sheet2!$B$5:$H$29,6,FALSE),0)</x:f>
        <x:v>0</x:v>
      </x:c>
      <x:c r="H3752">
        <x:f>ROUND($C3752*10*VLOOKUP($B3752,Sheet2!$J$5:$K$7,2,FALSE)*VLOOKUP(Sheet1!$A3752,Sheet2!$B$5:$H$29,7,FALSE),0)</x:f>
        <x:v>1860</x:v>
      </x:c>
      <x:c r="I3752">
        <x:f t="shared" si="62"/>
        <x:v>57530</x:v>
      </x:c>
    </x:row>
    <x:row r="3753" spans="1:9" x14ac:dyDescent="0.15">
      <x:c r="A3753">
        <x:v>54201</x:v>
      </x:c>
      <x:c r="B3753">
        <x:v>3</x:v>
      </x:c>
      <x:c r="C3753">
        <x:v>32</x:v>
      </x:c>
      <x:c r="D3753">
        <x:f>ROUND($C3753*10*VLOOKUP($B3753,Sheet2!$J$5:$K$7,2,FALSE)*VLOOKUP(Sheet1!$A3753,Sheet2!$B$5:$H$29,3,FALSE),0)</x:f>
        <x:v>128</x:v>
      </x:c>
      <x:c r="E3753">
        <x:f>ROUND($C3753*10*VLOOKUP($B3753,Sheet2!$J$5:$K$7,2,FALSE)*VLOOKUP(Sheet1!$A3753,Sheet2!$B$5:$H$29,4,FALSE),0)</x:f>
        <x:v>0</x:v>
      </x:c>
      <x:c r="F3753">
        <x:f>ROUND($C3753*10*VLOOKUP($B3753,Sheet2!$J$5:$K$7,2,FALSE)*VLOOKUP(Sheet1!$A3753,Sheet2!$B$5:$H$29,5,FALSE),0)</x:f>
        <x:v>0</x:v>
      </x:c>
      <x:c r="G3753">
        <x:f>ROUND($C3753*10*VLOOKUP($B3753,Sheet2!$J$5:$K$7,2,FALSE)*VLOOKUP(Sheet1!$A3753,Sheet2!$B$5:$H$29,6,FALSE),0)</x:f>
        <x:v>0</x:v>
      </x:c>
      <x:c r="H3753">
        <x:f>ROUND($C3753*10*VLOOKUP($B3753,Sheet2!$J$5:$K$7,2,FALSE)*VLOOKUP(Sheet1!$A3753,Sheet2!$B$5:$H$29,7,FALSE),0)</x:f>
        <x:v>1920</x:v>
      </x:c>
      <x:c r="I3753">
        <x:f t="shared" si="62"/>
        <x:v>61020</x:v>
      </x:c>
    </x:row>
    <x:row r="3754" spans="1:9" x14ac:dyDescent="0.15">
      <x:c r="A3754">
        <x:v>54201</x:v>
      </x:c>
      <x:c r="B3754">
        <x:v>3</x:v>
      </x:c>
      <x:c r="C3754">
        <x:v>33</x:v>
      </x:c>
      <x:c r="D3754">
        <x:f>ROUND($C3754*10*VLOOKUP($B3754,Sheet2!$J$5:$K$7,2,FALSE)*VLOOKUP(Sheet1!$A3754,Sheet2!$B$5:$H$29,3,FALSE),0)</x:f>
        <x:v>132</x:v>
      </x:c>
      <x:c r="E3754">
        <x:f>ROUND($C3754*10*VLOOKUP($B3754,Sheet2!$J$5:$K$7,2,FALSE)*VLOOKUP(Sheet1!$A3754,Sheet2!$B$5:$H$29,4,FALSE),0)</x:f>
        <x:v>0</x:v>
      </x:c>
      <x:c r="F3754">
        <x:f>ROUND($C3754*10*VLOOKUP($B3754,Sheet2!$J$5:$K$7,2,FALSE)*VLOOKUP(Sheet1!$A3754,Sheet2!$B$5:$H$29,5,FALSE),0)</x:f>
        <x:v>0</x:v>
      </x:c>
      <x:c r="G3754">
        <x:f>ROUND($C3754*10*VLOOKUP($B3754,Sheet2!$J$5:$K$7,2,FALSE)*VLOOKUP(Sheet1!$A3754,Sheet2!$B$5:$H$29,6,FALSE),0)</x:f>
        <x:v>0</x:v>
      </x:c>
      <x:c r="H3754">
        <x:f>ROUND($C3754*10*VLOOKUP($B3754,Sheet2!$J$5:$K$7,2,FALSE)*VLOOKUP(Sheet1!$A3754,Sheet2!$B$5:$H$29,7,FALSE),0)</x:f>
        <x:v>1980</x:v>
      </x:c>
      <x:c r="I3754">
        <x:f t="shared" si="62"/>
        <x:v>64600</x:v>
      </x:c>
    </x:row>
    <x:row r="3755" spans="1:9" x14ac:dyDescent="0.15">
      <x:c r="A3755">
        <x:v>54201</x:v>
      </x:c>
      <x:c r="B3755">
        <x:v>3</x:v>
      </x:c>
      <x:c r="C3755">
        <x:v>34</x:v>
      </x:c>
      <x:c r="D3755">
        <x:f>ROUND($C3755*10*VLOOKUP($B3755,Sheet2!$J$5:$K$7,2,FALSE)*VLOOKUP(Sheet1!$A3755,Sheet2!$B$5:$H$29,3,FALSE),0)</x:f>
        <x:v>136</x:v>
      </x:c>
      <x:c r="E3755">
        <x:f>ROUND($C3755*10*VLOOKUP($B3755,Sheet2!$J$5:$K$7,2,FALSE)*VLOOKUP(Sheet1!$A3755,Sheet2!$B$5:$H$29,4,FALSE),0)</x:f>
        <x:v>0</x:v>
      </x:c>
      <x:c r="F3755">
        <x:f>ROUND($C3755*10*VLOOKUP($B3755,Sheet2!$J$5:$K$7,2,FALSE)*VLOOKUP(Sheet1!$A3755,Sheet2!$B$5:$H$29,5,FALSE),0)</x:f>
        <x:v>0</x:v>
      </x:c>
      <x:c r="G3755">
        <x:f>ROUND($C3755*10*VLOOKUP($B3755,Sheet2!$J$5:$K$7,2,FALSE)*VLOOKUP(Sheet1!$A3755,Sheet2!$B$5:$H$29,6,FALSE),0)</x:f>
        <x:v>0</x:v>
      </x:c>
      <x:c r="H3755">
        <x:f>ROUND($C3755*10*VLOOKUP($B3755,Sheet2!$J$5:$K$7,2,FALSE)*VLOOKUP(Sheet1!$A3755,Sheet2!$B$5:$H$29,7,FALSE),0)</x:f>
        <x:v>2040</x:v>
      </x:c>
      <x:c r="I3755">
        <x:f t="shared" si="62"/>
        <x:v>68280</x:v>
      </x:c>
    </x:row>
    <x:row r="3756" spans="1:9" x14ac:dyDescent="0.15">
      <x:c r="A3756">
        <x:v>54201</x:v>
      </x:c>
      <x:c r="B3756">
        <x:v>3</x:v>
      </x:c>
      <x:c r="C3756">
        <x:v>35</x:v>
      </x:c>
      <x:c r="D3756">
        <x:f>ROUND($C3756*10*VLOOKUP($B3756,Sheet2!$J$5:$K$7,2,FALSE)*VLOOKUP(Sheet1!$A3756,Sheet2!$B$5:$H$29,3,FALSE),0)</x:f>
        <x:v>140</x:v>
      </x:c>
      <x:c r="E3756">
        <x:f>ROUND($C3756*10*VLOOKUP($B3756,Sheet2!$J$5:$K$7,2,FALSE)*VLOOKUP(Sheet1!$A3756,Sheet2!$B$5:$H$29,4,FALSE),0)</x:f>
        <x:v>0</x:v>
      </x:c>
      <x:c r="F3756">
        <x:f>ROUND($C3756*10*VLOOKUP($B3756,Sheet2!$J$5:$K$7,2,FALSE)*VLOOKUP(Sheet1!$A3756,Sheet2!$B$5:$H$29,5,FALSE),0)</x:f>
        <x:v>0</x:v>
      </x:c>
      <x:c r="G3756">
        <x:f>ROUND($C3756*10*VLOOKUP($B3756,Sheet2!$J$5:$K$7,2,FALSE)*VLOOKUP(Sheet1!$A3756,Sheet2!$B$5:$H$29,6,FALSE),0)</x:f>
        <x:v>0</x:v>
      </x:c>
      <x:c r="H3756">
        <x:f>ROUND($C3756*10*VLOOKUP($B3756,Sheet2!$J$5:$K$7,2,FALSE)*VLOOKUP(Sheet1!$A3756,Sheet2!$B$5:$H$29,7,FALSE),0)</x:f>
        <x:v>2100</x:v>
      </x:c>
      <x:c r="I3756">
        <x:f t="shared" si="62"/>
        <x:v>72040</x:v>
      </x:c>
    </x:row>
    <x:row r="3757" spans="1:9" x14ac:dyDescent="0.15">
      <x:c r="A3757">
        <x:v>54201</x:v>
      </x:c>
      <x:c r="B3757">
        <x:v>3</x:v>
      </x:c>
      <x:c r="C3757">
        <x:v>36</x:v>
      </x:c>
      <x:c r="D3757">
        <x:f>ROUND($C3757*10*VLOOKUP($B3757,Sheet2!$J$5:$K$7,2,FALSE)*VLOOKUP(Sheet1!$A3757,Sheet2!$B$5:$H$29,3,FALSE),0)</x:f>
        <x:v>144</x:v>
      </x:c>
      <x:c r="E3757">
        <x:f>ROUND($C3757*10*VLOOKUP($B3757,Sheet2!$J$5:$K$7,2,FALSE)*VLOOKUP(Sheet1!$A3757,Sheet2!$B$5:$H$29,4,FALSE),0)</x:f>
        <x:v>0</x:v>
      </x:c>
      <x:c r="F3757">
        <x:f>ROUND($C3757*10*VLOOKUP($B3757,Sheet2!$J$5:$K$7,2,FALSE)*VLOOKUP(Sheet1!$A3757,Sheet2!$B$5:$H$29,5,FALSE),0)</x:f>
        <x:v>0</x:v>
      </x:c>
      <x:c r="G3757">
        <x:f>ROUND($C3757*10*VLOOKUP($B3757,Sheet2!$J$5:$K$7,2,FALSE)*VLOOKUP(Sheet1!$A3757,Sheet2!$B$5:$H$29,6,FALSE),0)</x:f>
        <x:v>0</x:v>
      </x:c>
      <x:c r="H3757">
        <x:f>ROUND($C3757*10*VLOOKUP($B3757,Sheet2!$J$5:$K$7,2,FALSE)*VLOOKUP(Sheet1!$A3757,Sheet2!$B$5:$H$29,7,FALSE),0)</x:f>
        <x:v>2160</x:v>
      </x:c>
      <x:c r="I3757">
        <x:f t="shared" si="62"/>
        <x:v>75890</x:v>
      </x:c>
    </x:row>
    <x:row r="3758" spans="1:9" x14ac:dyDescent="0.15">
      <x:c r="A3758">
        <x:v>54201</x:v>
      </x:c>
      <x:c r="B3758">
        <x:v>3</x:v>
      </x:c>
      <x:c r="C3758">
        <x:v>37</x:v>
      </x:c>
      <x:c r="D3758">
        <x:f>ROUND($C3758*10*VLOOKUP($B3758,Sheet2!$J$5:$K$7,2,FALSE)*VLOOKUP(Sheet1!$A3758,Sheet2!$B$5:$H$29,3,FALSE),0)</x:f>
        <x:v>148</x:v>
      </x:c>
      <x:c r="E3758">
        <x:f>ROUND($C3758*10*VLOOKUP($B3758,Sheet2!$J$5:$K$7,2,FALSE)*VLOOKUP(Sheet1!$A3758,Sheet2!$B$5:$H$29,4,FALSE),0)</x:f>
        <x:v>0</x:v>
      </x:c>
      <x:c r="F3758">
        <x:f>ROUND($C3758*10*VLOOKUP($B3758,Sheet2!$J$5:$K$7,2,FALSE)*VLOOKUP(Sheet1!$A3758,Sheet2!$B$5:$H$29,5,FALSE),0)</x:f>
        <x:v>0</x:v>
      </x:c>
      <x:c r="G3758">
        <x:f>ROUND($C3758*10*VLOOKUP($B3758,Sheet2!$J$5:$K$7,2,FALSE)*VLOOKUP(Sheet1!$A3758,Sheet2!$B$5:$H$29,6,FALSE),0)</x:f>
        <x:v>0</x:v>
      </x:c>
      <x:c r="H3758">
        <x:f>ROUND($C3758*10*VLOOKUP($B3758,Sheet2!$J$5:$K$7,2,FALSE)*VLOOKUP(Sheet1!$A3758,Sheet2!$B$5:$H$29,7,FALSE),0)</x:f>
        <x:v>2220</x:v>
      </x:c>
      <x:c r="I3758">
        <x:f t="shared" si="62"/>
        <x:v>79840</x:v>
      </x:c>
    </x:row>
    <x:row r="3759" spans="1:9" x14ac:dyDescent="0.15">
      <x:c r="A3759">
        <x:v>54201</x:v>
      </x:c>
      <x:c r="B3759">
        <x:v>3</x:v>
      </x:c>
      <x:c r="C3759">
        <x:v>38</x:v>
      </x:c>
      <x:c r="D3759">
        <x:f>ROUND($C3759*10*VLOOKUP($B3759,Sheet2!$J$5:$K$7,2,FALSE)*VLOOKUP(Sheet1!$A3759,Sheet2!$B$5:$H$29,3,FALSE),0)</x:f>
        <x:v>152</x:v>
      </x:c>
      <x:c r="E3759">
        <x:f>ROUND($C3759*10*VLOOKUP($B3759,Sheet2!$J$5:$K$7,2,FALSE)*VLOOKUP(Sheet1!$A3759,Sheet2!$B$5:$H$29,4,FALSE),0)</x:f>
        <x:v>0</x:v>
      </x:c>
      <x:c r="F3759">
        <x:f>ROUND($C3759*10*VLOOKUP($B3759,Sheet2!$J$5:$K$7,2,FALSE)*VLOOKUP(Sheet1!$A3759,Sheet2!$B$5:$H$29,5,FALSE),0)</x:f>
        <x:v>0</x:v>
      </x:c>
      <x:c r="G3759">
        <x:f>ROUND($C3759*10*VLOOKUP($B3759,Sheet2!$J$5:$K$7,2,FALSE)*VLOOKUP(Sheet1!$A3759,Sheet2!$B$5:$H$29,6,FALSE),0)</x:f>
        <x:v>0</x:v>
      </x:c>
      <x:c r="H3759">
        <x:f>ROUND($C3759*10*VLOOKUP($B3759,Sheet2!$J$5:$K$7,2,FALSE)*VLOOKUP(Sheet1!$A3759,Sheet2!$B$5:$H$29,7,FALSE),0)</x:f>
        <x:v>2280</x:v>
      </x:c>
      <x:c r="I3759">
        <x:f t="shared" si="62"/>
        <x:v>83870</x:v>
      </x:c>
    </x:row>
    <x:row r="3760" spans="1:9" x14ac:dyDescent="0.15">
      <x:c r="A3760">
        <x:v>54201</x:v>
      </x:c>
      <x:c r="B3760">
        <x:v>3</x:v>
      </x:c>
      <x:c r="C3760">
        <x:v>39</x:v>
      </x:c>
      <x:c r="D3760">
        <x:f>ROUND($C3760*10*VLOOKUP($B3760,Sheet2!$J$5:$K$7,2,FALSE)*VLOOKUP(Sheet1!$A3760,Sheet2!$B$5:$H$29,3,FALSE),0)</x:f>
        <x:v>156</x:v>
      </x:c>
      <x:c r="E3760">
        <x:f>ROUND($C3760*10*VLOOKUP($B3760,Sheet2!$J$5:$K$7,2,FALSE)*VLOOKUP(Sheet1!$A3760,Sheet2!$B$5:$H$29,4,FALSE),0)</x:f>
        <x:v>0</x:v>
      </x:c>
      <x:c r="F3760">
        <x:f>ROUND($C3760*10*VLOOKUP($B3760,Sheet2!$J$5:$K$7,2,FALSE)*VLOOKUP(Sheet1!$A3760,Sheet2!$B$5:$H$29,5,FALSE),0)</x:f>
        <x:v>0</x:v>
      </x:c>
      <x:c r="G3760">
        <x:f>ROUND($C3760*10*VLOOKUP($B3760,Sheet2!$J$5:$K$7,2,FALSE)*VLOOKUP(Sheet1!$A3760,Sheet2!$B$5:$H$29,6,FALSE),0)</x:f>
        <x:v>0</x:v>
      </x:c>
      <x:c r="H3760">
        <x:f>ROUND($C3760*10*VLOOKUP($B3760,Sheet2!$J$5:$K$7,2,FALSE)*VLOOKUP(Sheet1!$A3760,Sheet2!$B$5:$H$29,7,FALSE),0)</x:f>
        <x:v>2340</x:v>
      </x:c>
      <x:c r="I3760">
        <x:f t="shared" si="62"/>
        <x:v>87990</x:v>
      </x:c>
    </x:row>
    <x:row r="3761" spans="1:9" x14ac:dyDescent="0.15">
      <x:c r="A3761">
        <x:v>54201</x:v>
      </x:c>
      <x:c r="B3761">
        <x:v>3</x:v>
      </x:c>
      <x:c r="C3761">
        <x:v>40</x:v>
      </x:c>
      <x:c r="D3761">
        <x:f>ROUND($C3761*10*VLOOKUP($B3761,Sheet2!$J$5:$K$7,2,FALSE)*VLOOKUP(Sheet1!$A3761,Sheet2!$B$5:$H$29,3,FALSE),0)</x:f>
        <x:v>160</x:v>
      </x:c>
      <x:c r="E3761">
        <x:f>ROUND($C3761*10*VLOOKUP($B3761,Sheet2!$J$5:$K$7,2,FALSE)*VLOOKUP(Sheet1!$A3761,Sheet2!$B$5:$H$29,4,FALSE),0)</x:f>
        <x:v>0</x:v>
      </x:c>
      <x:c r="F3761">
        <x:f>ROUND($C3761*10*VLOOKUP($B3761,Sheet2!$J$5:$K$7,2,FALSE)*VLOOKUP(Sheet1!$A3761,Sheet2!$B$5:$H$29,5,FALSE),0)</x:f>
        <x:v>0</x:v>
      </x:c>
      <x:c r="G3761">
        <x:f>ROUND($C3761*10*VLOOKUP($B3761,Sheet2!$J$5:$K$7,2,FALSE)*VLOOKUP(Sheet1!$A3761,Sheet2!$B$5:$H$29,6,FALSE),0)</x:f>
        <x:v>0</x:v>
      </x:c>
      <x:c r="H3761">
        <x:f>ROUND($C3761*10*VLOOKUP($B3761,Sheet2!$J$5:$K$7,2,FALSE)*VLOOKUP(Sheet1!$A3761,Sheet2!$B$5:$H$29,7,FALSE),0)</x:f>
        <x:v>2400</x:v>
      </x:c>
      <x:c r="I3761">
        <x:f t="shared" si="62"/>
        <x:v>92200</x:v>
      </x:c>
    </x:row>
    <x:row r="3762" spans="1:9" x14ac:dyDescent="0.15">
      <x:c r="A3762">
        <x:v>54201</x:v>
      </x:c>
      <x:c r="B3762">
        <x:v>3</x:v>
      </x:c>
      <x:c r="C3762">
        <x:v>41</x:v>
      </x:c>
      <x:c r="D3762">
        <x:f>ROUND($C3762*10*VLOOKUP($B3762,Sheet2!$J$5:$K$7,2,FALSE)*VLOOKUP(Sheet1!$A3762,Sheet2!$B$5:$H$29,3,FALSE),0)</x:f>
        <x:v>164</x:v>
      </x:c>
      <x:c r="E3762">
        <x:f>ROUND($C3762*10*VLOOKUP($B3762,Sheet2!$J$5:$K$7,2,FALSE)*VLOOKUP(Sheet1!$A3762,Sheet2!$B$5:$H$29,4,FALSE),0)</x:f>
        <x:v>0</x:v>
      </x:c>
      <x:c r="F3762">
        <x:f>ROUND($C3762*10*VLOOKUP($B3762,Sheet2!$J$5:$K$7,2,FALSE)*VLOOKUP(Sheet1!$A3762,Sheet2!$B$5:$H$29,5,FALSE),0)</x:f>
        <x:v>0</x:v>
      </x:c>
      <x:c r="G3762">
        <x:f>ROUND($C3762*10*VLOOKUP($B3762,Sheet2!$J$5:$K$7,2,FALSE)*VLOOKUP(Sheet1!$A3762,Sheet2!$B$5:$H$29,6,FALSE),0)</x:f>
        <x:v>0</x:v>
      </x:c>
      <x:c r="H3762">
        <x:f>ROUND($C3762*10*VLOOKUP($B3762,Sheet2!$J$5:$K$7,2,FALSE)*VLOOKUP(Sheet1!$A3762,Sheet2!$B$5:$H$29,7,FALSE),0)</x:f>
        <x:v>2460</x:v>
      </x:c>
      <x:c r="I3762">
        <x:f t="shared" si="62"/>
        <x:v>96490</x:v>
      </x:c>
    </x:row>
    <x:row r="3763" spans="1:9" x14ac:dyDescent="0.15">
      <x:c r="A3763">
        <x:v>54201</x:v>
      </x:c>
      <x:c r="B3763">
        <x:v>3</x:v>
      </x:c>
      <x:c r="C3763">
        <x:v>42</x:v>
      </x:c>
      <x:c r="D3763">
        <x:f>ROUND($C3763*10*VLOOKUP($B3763,Sheet2!$J$5:$K$7,2,FALSE)*VLOOKUP(Sheet1!$A3763,Sheet2!$B$5:$H$29,3,FALSE),0)</x:f>
        <x:v>168</x:v>
      </x:c>
      <x:c r="E3763">
        <x:f>ROUND($C3763*10*VLOOKUP($B3763,Sheet2!$J$5:$K$7,2,FALSE)*VLOOKUP(Sheet1!$A3763,Sheet2!$B$5:$H$29,4,FALSE),0)</x:f>
        <x:v>0</x:v>
      </x:c>
      <x:c r="F3763">
        <x:f>ROUND($C3763*10*VLOOKUP($B3763,Sheet2!$J$5:$K$7,2,FALSE)*VLOOKUP(Sheet1!$A3763,Sheet2!$B$5:$H$29,5,FALSE),0)</x:f>
        <x:v>0</x:v>
      </x:c>
      <x:c r="G3763">
        <x:f>ROUND($C3763*10*VLOOKUP($B3763,Sheet2!$J$5:$K$7,2,FALSE)*VLOOKUP(Sheet1!$A3763,Sheet2!$B$5:$H$29,6,FALSE),0)</x:f>
        <x:v>0</x:v>
      </x:c>
      <x:c r="H3763">
        <x:f>ROUND($C3763*10*VLOOKUP($B3763,Sheet2!$J$5:$K$7,2,FALSE)*VLOOKUP(Sheet1!$A3763,Sheet2!$B$5:$H$29,7,FALSE),0)</x:f>
        <x:v>2520</x:v>
      </x:c>
      <x:c r="I3763">
        <x:f t="shared" si="62"/>
        <x:v>100870</x:v>
      </x:c>
    </x:row>
    <x:row r="3764" spans="1:9" x14ac:dyDescent="0.15">
      <x:c r="A3764">
        <x:v>54201</x:v>
      </x:c>
      <x:c r="B3764">
        <x:v>3</x:v>
      </x:c>
      <x:c r="C3764">
        <x:v>43</x:v>
      </x:c>
      <x:c r="D3764">
        <x:f>ROUND($C3764*10*VLOOKUP($B3764,Sheet2!$J$5:$K$7,2,FALSE)*VLOOKUP(Sheet1!$A3764,Sheet2!$B$5:$H$29,3,FALSE),0)</x:f>
        <x:v>172</x:v>
      </x:c>
      <x:c r="E3764">
        <x:f>ROUND($C3764*10*VLOOKUP($B3764,Sheet2!$J$5:$K$7,2,FALSE)*VLOOKUP(Sheet1!$A3764,Sheet2!$B$5:$H$29,4,FALSE),0)</x:f>
        <x:v>0</x:v>
      </x:c>
      <x:c r="F3764">
        <x:f>ROUND($C3764*10*VLOOKUP($B3764,Sheet2!$J$5:$K$7,2,FALSE)*VLOOKUP(Sheet1!$A3764,Sheet2!$B$5:$H$29,5,FALSE),0)</x:f>
        <x:v>0</x:v>
      </x:c>
      <x:c r="G3764">
        <x:f>ROUND($C3764*10*VLOOKUP($B3764,Sheet2!$J$5:$K$7,2,FALSE)*VLOOKUP(Sheet1!$A3764,Sheet2!$B$5:$H$29,6,FALSE),0)</x:f>
        <x:v>0</x:v>
      </x:c>
      <x:c r="H3764">
        <x:f>ROUND($C3764*10*VLOOKUP($B3764,Sheet2!$J$5:$K$7,2,FALSE)*VLOOKUP(Sheet1!$A3764,Sheet2!$B$5:$H$29,7,FALSE),0)</x:f>
        <x:v>2580</x:v>
      </x:c>
      <x:c r="I3764">
        <x:f t="shared" si="62"/>
        <x:v>105340</x:v>
      </x:c>
    </x:row>
    <x:row r="3765" spans="1:9" x14ac:dyDescent="0.15">
      <x:c r="A3765">
        <x:v>54201</x:v>
      </x:c>
      <x:c r="B3765">
        <x:v>3</x:v>
      </x:c>
      <x:c r="C3765">
        <x:v>44</x:v>
      </x:c>
      <x:c r="D3765">
        <x:f>ROUND($C3765*10*VLOOKUP($B3765,Sheet2!$J$5:$K$7,2,FALSE)*VLOOKUP(Sheet1!$A3765,Sheet2!$B$5:$H$29,3,FALSE),0)</x:f>
        <x:v>176</x:v>
      </x:c>
      <x:c r="E3765">
        <x:f>ROUND($C3765*10*VLOOKUP($B3765,Sheet2!$J$5:$K$7,2,FALSE)*VLOOKUP(Sheet1!$A3765,Sheet2!$B$5:$H$29,4,FALSE),0)</x:f>
        <x:v>0</x:v>
      </x:c>
      <x:c r="F3765">
        <x:f>ROUND($C3765*10*VLOOKUP($B3765,Sheet2!$J$5:$K$7,2,FALSE)*VLOOKUP(Sheet1!$A3765,Sheet2!$B$5:$H$29,5,FALSE),0)</x:f>
        <x:v>0</x:v>
      </x:c>
      <x:c r="G3765">
        <x:f>ROUND($C3765*10*VLOOKUP($B3765,Sheet2!$J$5:$K$7,2,FALSE)*VLOOKUP(Sheet1!$A3765,Sheet2!$B$5:$H$29,6,FALSE),0)</x:f>
        <x:v>0</x:v>
      </x:c>
      <x:c r="H3765">
        <x:f>ROUND($C3765*10*VLOOKUP($B3765,Sheet2!$J$5:$K$7,2,FALSE)*VLOOKUP(Sheet1!$A3765,Sheet2!$B$5:$H$29,7,FALSE),0)</x:f>
        <x:v>2640</x:v>
      </x:c>
      <x:c r="I3765">
        <x:f t="shared" si="62"/>
        <x:v>109890</x:v>
      </x:c>
    </x:row>
    <x:row r="3766" spans="1:9" x14ac:dyDescent="0.15">
      <x:c r="A3766">
        <x:v>54201</x:v>
      </x:c>
      <x:c r="B3766">
        <x:v>3</x:v>
      </x:c>
      <x:c r="C3766">
        <x:v>45</x:v>
      </x:c>
      <x:c r="D3766">
        <x:f>ROUND($C3766*10*VLOOKUP($B3766,Sheet2!$J$5:$K$7,2,FALSE)*VLOOKUP(Sheet1!$A3766,Sheet2!$B$5:$H$29,3,FALSE),0)</x:f>
        <x:v>180</x:v>
      </x:c>
      <x:c r="E3766">
        <x:f>ROUND($C3766*10*VLOOKUP($B3766,Sheet2!$J$5:$K$7,2,FALSE)*VLOOKUP(Sheet1!$A3766,Sheet2!$B$5:$H$29,4,FALSE),0)</x:f>
        <x:v>0</x:v>
      </x:c>
      <x:c r="F3766">
        <x:f>ROUND($C3766*10*VLOOKUP($B3766,Sheet2!$J$5:$K$7,2,FALSE)*VLOOKUP(Sheet1!$A3766,Sheet2!$B$5:$H$29,5,FALSE),0)</x:f>
        <x:v>0</x:v>
      </x:c>
      <x:c r="G3766">
        <x:f>ROUND($C3766*10*VLOOKUP($B3766,Sheet2!$J$5:$K$7,2,FALSE)*VLOOKUP(Sheet1!$A3766,Sheet2!$B$5:$H$29,6,FALSE),0)</x:f>
        <x:v>0</x:v>
      </x:c>
      <x:c r="H3766">
        <x:f>ROUND($C3766*10*VLOOKUP($B3766,Sheet2!$J$5:$K$7,2,FALSE)*VLOOKUP(Sheet1!$A3766,Sheet2!$B$5:$H$29,7,FALSE),0)</x:f>
        <x:v>2700</x:v>
      </x:c>
      <x:c r="I3766">
        <x:f t="shared" si="62"/>
        <x:v>114530</x:v>
      </x:c>
    </x:row>
    <x:row r="3767" spans="1:9" x14ac:dyDescent="0.15">
      <x:c r="A3767">
        <x:v>54201</x:v>
      </x:c>
      <x:c r="B3767">
        <x:v>3</x:v>
      </x:c>
      <x:c r="C3767">
        <x:v>46</x:v>
      </x:c>
      <x:c r="D3767">
        <x:f>ROUND($C3767*10*VLOOKUP($B3767,Sheet2!$J$5:$K$7,2,FALSE)*VLOOKUP(Sheet1!$A3767,Sheet2!$B$5:$H$29,3,FALSE),0)</x:f>
        <x:v>184</x:v>
      </x:c>
      <x:c r="E3767">
        <x:f>ROUND($C3767*10*VLOOKUP($B3767,Sheet2!$J$5:$K$7,2,FALSE)*VLOOKUP(Sheet1!$A3767,Sheet2!$B$5:$H$29,4,FALSE),0)</x:f>
        <x:v>0</x:v>
      </x:c>
      <x:c r="F3767">
        <x:f>ROUND($C3767*10*VLOOKUP($B3767,Sheet2!$J$5:$K$7,2,FALSE)*VLOOKUP(Sheet1!$A3767,Sheet2!$B$5:$H$29,5,FALSE),0)</x:f>
        <x:v>0</x:v>
      </x:c>
      <x:c r="G3767">
        <x:f>ROUND($C3767*10*VLOOKUP($B3767,Sheet2!$J$5:$K$7,2,FALSE)*VLOOKUP(Sheet1!$A3767,Sheet2!$B$5:$H$29,6,FALSE),0)</x:f>
        <x:v>0</x:v>
      </x:c>
      <x:c r="H3767">
        <x:f>ROUND($C3767*10*VLOOKUP($B3767,Sheet2!$J$5:$K$7,2,FALSE)*VLOOKUP(Sheet1!$A3767,Sheet2!$B$5:$H$29,7,FALSE),0)</x:f>
        <x:v>2760</x:v>
      </x:c>
      <x:c r="I3767">
        <x:f t="shared" si="62"/>
        <x:v>119260</x:v>
      </x:c>
    </x:row>
    <x:row r="3768" spans="1:9" x14ac:dyDescent="0.15">
      <x:c r="A3768">
        <x:v>54201</x:v>
      </x:c>
      <x:c r="B3768">
        <x:v>3</x:v>
      </x:c>
      <x:c r="C3768">
        <x:v>47</x:v>
      </x:c>
      <x:c r="D3768">
        <x:f>ROUND($C3768*10*VLOOKUP($B3768,Sheet2!$J$5:$K$7,2,FALSE)*VLOOKUP(Sheet1!$A3768,Sheet2!$B$5:$H$29,3,FALSE),0)</x:f>
        <x:v>188</x:v>
      </x:c>
      <x:c r="E3768">
        <x:f>ROUND($C3768*10*VLOOKUP($B3768,Sheet2!$J$5:$K$7,2,FALSE)*VLOOKUP(Sheet1!$A3768,Sheet2!$B$5:$H$29,4,FALSE),0)</x:f>
        <x:v>0</x:v>
      </x:c>
      <x:c r="F3768">
        <x:f>ROUND($C3768*10*VLOOKUP($B3768,Sheet2!$J$5:$K$7,2,FALSE)*VLOOKUP(Sheet1!$A3768,Sheet2!$B$5:$H$29,5,FALSE),0)</x:f>
        <x:v>0</x:v>
      </x:c>
      <x:c r="G3768">
        <x:f>ROUND($C3768*10*VLOOKUP($B3768,Sheet2!$J$5:$K$7,2,FALSE)*VLOOKUP(Sheet1!$A3768,Sheet2!$B$5:$H$29,6,FALSE),0)</x:f>
        <x:v>0</x:v>
      </x:c>
      <x:c r="H3768">
        <x:f>ROUND($C3768*10*VLOOKUP($B3768,Sheet2!$J$5:$K$7,2,FALSE)*VLOOKUP(Sheet1!$A3768,Sheet2!$B$5:$H$29,7,FALSE),0)</x:f>
        <x:v>2820</x:v>
      </x:c>
      <x:c r="I3768">
        <x:f t="shared" si="62"/>
        <x:v>124070</x:v>
      </x:c>
    </x:row>
    <x:row r="3769" spans="1:9" x14ac:dyDescent="0.15">
      <x:c r="A3769">
        <x:v>54201</x:v>
      </x:c>
      <x:c r="B3769">
        <x:v>3</x:v>
      </x:c>
      <x:c r="C3769">
        <x:v>48</x:v>
      </x:c>
      <x:c r="D3769">
        <x:f>ROUND($C3769*10*VLOOKUP($B3769,Sheet2!$J$5:$K$7,2,FALSE)*VLOOKUP(Sheet1!$A3769,Sheet2!$B$5:$H$29,3,FALSE),0)</x:f>
        <x:v>192</x:v>
      </x:c>
      <x:c r="E3769">
        <x:f>ROUND($C3769*10*VLOOKUP($B3769,Sheet2!$J$5:$K$7,2,FALSE)*VLOOKUP(Sheet1!$A3769,Sheet2!$B$5:$H$29,4,FALSE),0)</x:f>
        <x:v>0</x:v>
      </x:c>
      <x:c r="F3769">
        <x:f>ROUND($C3769*10*VLOOKUP($B3769,Sheet2!$J$5:$K$7,2,FALSE)*VLOOKUP(Sheet1!$A3769,Sheet2!$B$5:$H$29,5,FALSE),0)</x:f>
        <x:v>0</x:v>
      </x:c>
      <x:c r="G3769">
        <x:f>ROUND($C3769*10*VLOOKUP($B3769,Sheet2!$J$5:$K$7,2,FALSE)*VLOOKUP(Sheet1!$A3769,Sheet2!$B$5:$H$29,6,FALSE),0)</x:f>
        <x:v>0</x:v>
      </x:c>
      <x:c r="H3769">
        <x:f>ROUND($C3769*10*VLOOKUP($B3769,Sheet2!$J$5:$K$7,2,FALSE)*VLOOKUP(Sheet1!$A3769,Sheet2!$B$5:$H$29,7,FALSE),0)</x:f>
        <x:v>2880</x:v>
      </x:c>
      <x:c r="I3769">
        <x:f t="shared" si="62"/>
        <x:v>128960</x:v>
      </x:c>
    </x:row>
    <x:row r="3770" spans="1:9" x14ac:dyDescent="0.15">
      <x:c r="A3770">
        <x:v>54201</x:v>
      </x:c>
      <x:c r="B3770">
        <x:v>3</x:v>
      </x:c>
      <x:c r="C3770">
        <x:v>49</x:v>
      </x:c>
      <x:c r="D3770">
        <x:f>ROUND($C3770*10*VLOOKUP($B3770,Sheet2!$J$5:$K$7,2,FALSE)*VLOOKUP(Sheet1!$A3770,Sheet2!$B$5:$H$29,3,FALSE),0)</x:f>
        <x:v>196</x:v>
      </x:c>
      <x:c r="E3770">
        <x:f>ROUND($C3770*10*VLOOKUP($B3770,Sheet2!$J$5:$K$7,2,FALSE)*VLOOKUP(Sheet1!$A3770,Sheet2!$B$5:$H$29,4,FALSE),0)</x:f>
        <x:v>0</x:v>
      </x:c>
      <x:c r="F3770">
        <x:f>ROUND($C3770*10*VLOOKUP($B3770,Sheet2!$J$5:$K$7,2,FALSE)*VLOOKUP(Sheet1!$A3770,Sheet2!$B$5:$H$29,5,FALSE),0)</x:f>
        <x:v>0</x:v>
      </x:c>
      <x:c r="G3770">
        <x:f>ROUND($C3770*10*VLOOKUP($B3770,Sheet2!$J$5:$K$7,2,FALSE)*VLOOKUP(Sheet1!$A3770,Sheet2!$B$5:$H$29,6,FALSE),0)</x:f>
        <x:v>0</x:v>
      </x:c>
      <x:c r="H3770">
        <x:f>ROUND($C3770*10*VLOOKUP($B3770,Sheet2!$J$5:$K$7,2,FALSE)*VLOOKUP(Sheet1!$A3770,Sheet2!$B$5:$H$29,7,FALSE),0)</x:f>
        <x:v>2940</x:v>
      </x:c>
      <x:c r="I3770">
        <x:f t="shared" si="62"/>
        <x:v>133940</x:v>
      </x:c>
    </x:row>
    <x:row r="3771" spans="1:9" x14ac:dyDescent="0.15">
      <x:c r="A3771">
        <x:v>54201</x:v>
      </x:c>
      <x:c r="B3771">
        <x:v>3</x:v>
      </x:c>
      <x:c r="C3771">
        <x:v>50</x:v>
      </x:c>
      <x:c r="D3771">
        <x:f>ROUND($C3771*10*VLOOKUP($B3771,Sheet2!$J$5:$K$7,2,FALSE)*VLOOKUP(Sheet1!$A3771,Sheet2!$B$5:$H$29,3,FALSE),0)</x:f>
        <x:v>200</x:v>
      </x:c>
      <x:c r="E3771">
        <x:f>ROUND($C3771*10*VLOOKUP($B3771,Sheet2!$J$5:$K$7,2,FALSE)*VLOOKUP(Sheet1!$A3771,Sheet2!$B$5:$H$29,4,FALSE),0)</x:f>
        <x:v>0</x:v>
      </x:c>
      <x:c r="F3771">
        <x:f>ROUND($C3771*10*VLOOKUP($B3771,Sheet2!$J$5:$K$7,2,FALSE)*VLOOKUP(Sheet1!$A3771,Sheet2!$B$5:$H$29,5,FALSE),0)</x:f>
        <x:v>0</x:v>
      </x:c>
      <x:c r="G3771">
        <x:f>ROUND($C3771*10*VLOOKUP($B3771,Sheet2!$J$5:$K$7,2,FALSE)*VLOOKUP(Sheet1!$A3771,Sheet2!$B$5:$H$29,6,FALSE),0)</x:f>
        <x:v>0</x:v>
      </x:c>
      <x:c r="H3771">
        <x:f>ROUND($C3771*10*VLOOKUP($B3771,Sheet2!$J$5:$K$7,2,FALSE)*VLOOKUP(Sheet1!$A3771,Sheet2!$B$5:$H$29,7,FALSE),0)</x:f>
        <x:v>3000</x:v>
      </x:c>
      <x:c r="I3771">
        <x:f t="shared" si="62"/>
        <x:v>139000</x:v>
      </x:c>
    </x:row>
    <x:row r="3772" spans="1:9" x14ac:dyDescent="0.15">
      <x:c r="A3772">
        <x:v>54201</x:v>
      </x:c>
      <x:c r="B3772">
        <x:v>3</x:v>
      </x:c>
      <x:c r="C3772">
        <x:v>51</x:v>
      </x:c>
      <x:c r="D3772">
        <x:f>ROUND($C3772*10*VLOOKUP($B3772,Sheet2!$J$5:$K$7,2,FALSE)*VLOOKUP(Sheet1!$A3772,Sheet2!$B$5:$H$29,3,FALSE),0)</x:f>
        <x:v>204</x:v>
      </x:c>
      <x:c r="E3772">
        <x:f>ROUND($C3772*10*VLOOKUP($B3772,Sheet2!$J$5:$K$7,2,FALSE)*VLOOKUP(Sheet1!$A3772,Sheet2!$B$5:$H$29,4,FALSE),0)</x:f>
        <x:v>0</x:v>
      </x:c>
      <x:c r="F3772">
        <x:f>ROUND($C3772*10*VLOOKUP($B3772,Sheet2!$J$5:$K$7,2,FALSE)*VLOOKUP(Sheet1!$A3772,Sheet2!$B$5:$H$29,5,FALSE),0)</x:f>
        <x:v>0</x:v>
      </x:c>
      <x:c r="G3772">
        <x:f>ROUND($C3772*10*VLOOKUP($B3772,Sheet2!$J$5:$K$7,2,FALSE)*VLOOKUP(Sheet1!$A3772,Sheet2!$B$5:$H$29,6,FALSE),0)</x:f>
        <x:v>0</x:v>
      </x:c>
      <x:c r="H3772">
        <x:f>ROUND($C3772*10*VLOOKUP($B3772,Sheet2!$J$5:$K$7,2,FALSE)*VLOOKUP(Sheet1!$A3772,Sheet2!$B$5:$H$29,7,FALSE),0)</x:f>
        <x:v>3060</x:v>
      </x:c>
      <x:c r="I3772">
        <x:f t="shared" si="62"/>
        <x:v>144140</x:v>
      </x:c>
    </x:row>
    <x:row r="3773" spans="1:9" x14ac:dyDescent="0.15">
      <x:c r="A3773">
        <x:v>54201</x:v>
      </x:c>
      <x:c r="B3773">
        <x:v>3</x:v>
      </x:c>
      <x:c r="C3773">
        <x:v>52</x:v>
      </x:c>
      <x:c r="D3773">
        <x:f>ROUND($C3773*10*VLOOKUP($B3773,Sheet2!$J$5:$K$7,2,FALSE)*VLOOKUP(Sheet1!$A3773,Sheet2!$B$5:$H$29,3,FALSE),0)</x:f>
        <x:v>208</x:v>
      </x:c>
      <x:c r="E3773">
        <x:f>ROUND($C3773*10*VLOOKUP($B3773,Sheet2!$J$5:$K$7,2,FALSE)*VLOOKUP(Sheet1!$A3773,Sheet2!$B$5:$H$29,4,FALSE),0)</x:f>
        <x:v>0</x:v>
      </x:c>
      <x:c r="F3773">
        <x:f>ROUND($C3773*10*VLOOKUP($B3773,Sheet2!$J$5:$K$7,2,FALSE)*VLOOKUP(Sheet1!$A3773,Sheet2!$B$5:$H$29,5,FALSE),0)</x:f>
        <x:v>0</x:v>
      </x:c>
      <x:c r="G3773">
        <x:f>ROUND($C3773*10*VLOOKUP($B3773,Sheet2!$J$5:$K$7,2,FALSE)*VLOOKUP(Sheet1!$A3773,Sheet2!$B$5:$H$29,6,FALSE),0)</x:f>
        <x:v>0</x:v>
      </x:c>
      <x:c r="H3773">
        <x:f>ROUND($C3773*10*VLOOKUP($B3773,Sheet2!$J$5:$K$7,2,FALSE)*VLOOKUP(Sheet1!$A3773,Sheet2!$B$5:$H$29,7,FALSE),0)</x:f>
        <x:v>3120</x:v>
      </x:c>
      <x:c r="I3773">
        <x:f t="shared" si="62"/>
        <x:v>149370</x:v>
      </x:c>
    </x:row>
    <x:row r="3774" spans="1:9" x14ac:dyDescent="0.15">
      <x:c r="A3774">
        <x:v>54201</x:v>
      </x:c>
      <x:c r="B3774">
        <x:v>3</x:v>
      </x:c>
      <x:c r="C3774">
        <x:v>53</x:v>
      </x:c>
      <x:c r="D3774">
        <x:f>ROUND($C3774*10*VLOOKUP($B3774,Sheet2!$J$5:$K$7,2,FALSE)*VLOOKUP(Sheet1!$A3774,Sheet2!$B$5:$H$29,3,FALSE),0)</x:f>
        <x:v>212</x:v>
      </x:c>
      <x:c r="E3774">
        <x:f>ROUND($C3774*10*VLOOKUP($B3774,Sheet2!$J$5:$K$7,2,FALSE)*VLOOKUP(Sheet1!$A3774,Sheet2!$B$5:$H$29,4,FALSE),0)</x:f>
        <x:v>0</x:v>
      </x:c>
      <x:c r="F3774">
        <x:f>ROUND($C3774*10*VLOOKUP($B3774,Sheet2!$J$5:$K$7,2,FALSE)*VLOOKUP(Sheet1!$A3774,Sheet2!$B$5:$H$29,5,FALSE),0)</x:f>
        <x:v>0</x:v>
      </x:c>
      <x:c r="G3774">
        <x:f>ROUND($C3774*10*VLOOKUP($B3774,Sheet2!$J$5:$K$7,2,FALSE)*VLOOKUP(Sheet1!$A3774,Sheet2!$B$5:$H$29,6,FALSE),0)</x:f>
        <x:v>0</x:v>
      </x:c>
      <x:c r="H3774">
        <x:f>ROUND($C3774*10*VLOOKUP($B3774,Sheet2!$J$5:$K$7,2,FALSE)*VLOOKUP(Sheet1!$A3774,Sheet2!$B$5:$H$29,7,FALSE),0)</x:f>
        <x:v>3180</x:v>
      </x:c>
      <x:c r="I3774">
        <x:f t="shared" si="62"/>
        <x:v>154680</x:v>
      </x:c>
    </x:row>
    <x:row r="3775" spans="1:9" x14ac:dyDescent="0.15">
      <x:c r="A3775">
        <x:v>54201</x:v>
      </x:c>
      <x:c r="B3775">
        <x:v>3</x:v>
      </x:c>
      <x:c r="C3775">
        <x:v>54</x:v>
      </x:c>
      <x:c r="D3775">
        <x:f>ROUND($C3775*10*VLOOKUP($B3775,Sheet2!$J$5:$K$7,2,FALSE)*VLOOKUP(Sheet1!$A3775,Sheet2!$B$5:$H$29,3,FALSE),0)</x:f>
        <x:v>216</x:v>
      </x:c>
      <x:c r="E3775">
        <x:f>ROUND($C3775*10*VLOOKUP($B3775,Sheet2!$J$5:$K$7,2,FALSE)*VLOOKUP(Sheet1!$A3775,Sheet2!$B$5:$H$29,4,FALSE),0)</x:f>
        <x:v>0</x:v>
      </x:c>
      <x:c r="F3775">
        <x:f>ROUND($C3775*10*VLOOKUP($B3775,Sheet2!$J$5:$K$7,2,FALSE)*VLOOKUP(Sheet1!$A3775,Sheet2!$B$5:$H$29,5,FALSE),0)</x:f>
        <x:v>0</x:v>
      </x:c>
      <x:c r="G3775">
        <x:f>ROUND($C3775*10*VLOOKUP($B3775,Sheet2!$J$5:$K$7,2,FALSE)*VLOOKUP(Sheet1!$A3775,Sheet2!$B$5:$H$29,6,FALSE),0)</x:f>
        <x:v>0</x:v>
      </x:c>
      <x:c r="H3775">
        <x:f>ROUND($C3775*10*VLOOKUP($B3775,Sheet2!$J$5:$K$7,2,FALSE)*VLOOKUP(Sheet1!$A3775,Sheet2!$B$5:$H$29,7,FALSE),0)</x:f>
        <x:v>3240</x:v>
      </x:c>
      <x:c r="I3775">
        <x:f t="shared" si="62"/>
        <x:v>160070</x:v>
      </x:c>
    </x:row>
    <x:row r="3776" spans="1:9" x14ac:dyDescent="0.15">
      <x:c r="A3776">
        <x:v>54201</x:v>
      </x:c>
      <x:c r="B3776">
        <x:v>3</x:v>
      </x:c>
      <x:c r="C3776">
        <x:v>55</x:v>
      </x:c>
      <x:c r="D3776">
        <x:f>ROUND($C3776*10*VLOOKUP($B3776,Sheet2!$J$5:$K$7,2,FALSE)*VLOOKUP(Sheet1!$A3776,Sheet2!$B$5:$H$29,3,FALSE),0)</x:f>
        <x:v>220</x:v>
      </x:c>
      <x:c r="E3776">
        <x:f>ROUND($C3776*10*VLOOKUP($B3776,Sheet2!$J$5:$K$7,2,FALSE)*VLOOKUP(Sheet1!$A3776,Sheet2!$B$5:$H$29,4,FALSE),0)</x:f>
        <x:v>0</x:v>
      </x:c>
      <x:c r="F3776">
        <x:f>ROUND($C3776*10*VLOOKUP($B3776,Sheet2!$J$5:$K$7,2,FALSE)*VLOOKUP(Sheet1!$A3776,Sheet2!$B$5:$H$29,5,FALSE),0)</x:f>
        <x:v>0</x:v>
      </x:c>
      <x:c r="G3776">
        <x:f>ROUND($C3776*10*VLOOKUP($B3776,Sheet2!$J$5:$K$7,2,FALSE)*VLOOKUP(Sheet1!$A3776,Sheet2!$B$5:$H$29,6,FALSE),0)</x:f>
        <x:v>0</x:v>
      </x:c>
      <x:c r="H3776">
        <x:f>ROUND($C3776*10*VLOOKUP($B3776,Sheet2!$J$5:$K$7,2,FALSE)*VLOOKUP(Sheet1!$A3776,Sheet2!$B$5:$H$29,7,FALSE),0)</x:f>
        <x:v>3300</x:v>
      </x:c>
      <x:c r="I3776">
        <x:f t="shared" si="62"/>
        <x:v>165540</x:v>
      </x:c>
    </x:row>
    <x:row r="3777" spans="1:9" x14ac:dyDescent="0.15">
      <x:c r="A3777">
        <x:v>54201</x:v>
      </x:c>
      <x:c r="B3777">
        <x:v>3</x:v>
      </x:c>
      <x:c r="C3777">
        <x:v>56</x:v>
      </x:c>
      <x:c r="D3777">
        <x:f>ROUND($C3777*10*VLOOKUP($B3777,Sheet2!$J$5:$K$7,2,FALSE)*VLOOKUP(Sheet1!$A3777,Sheet2!$B$5:$H$29,3,FALSE),0)</x:f>
        <x:v>224</x:v>
      </x:c>
      <x:c r="E3777">
        <x:f>ROUND($C3777*10*VLOOKUP($B3777,Sheet2!$J$5:$K$7,2,FALSE)*VLOOKUP(Sheet1!$A3777,Sheet2!$B$5:$H$29,4,FALSE),0)</x:f>
        <x:v>0</x:v>
      </x:c>
      <x:c r="F3777">
        <x:f>ROUND($C3777*10*VLOOKUP($B3777,Sheet2!$J$5:$K$7,2,FALSE)*VLOOKUP(Sheet1!$A3777,Sheet2!$B$5:$H$29,5,FALSE),0)</x:f>
        <x:v>0</x:v>
      </x:c>
      <x:c r="G3777">
        <x:f>ROUND($C3777*10*VLOOKUP($B3777,Sheet2!$J$5:$K$7,2,FALSE)*VLOOKUP(Sheet1!$A3777,Sheet2!$B$5:$H$29,6,FALSE),0)</x:f>
        <x:v>0</x:v>
      </x:c>
      <x:c r="H3777">
        <x:f>ROUND($C3777*10*VLOOKUP($B3777,Sheet2!$J$5:$K$7,2,FALSE)*VLOOKUP(Sheet1!$A3777,Sheet2!$B$5:$H$29,7,FALSE),0)</x:f>
        <x:v>3360</x:v>
      </x:c>
      <x:c r="I3777">
        <x:f t="shared" si="62"/>
        <x:v>171100</x:v>
      </x:c>
    </x:row>
    <x:row r="3778" spans="1:9" x14ac:dyDescent="0.15">
      <x:c r="A3778">
        <x:v>54201</x:v>
      </x:c>
      <x:c r="B3778">
        <x:v>3</x:v>
      </x:c>
      <x:c r="C3778">
        <x:v>57</x:v>
      </x:c>
      <x:c r="D3778">
        <x:f>ROUND($C3778*10*VLOOKUP($B3778,Sheet2!$J$5:$K$7,2,FALSE)*VLOOKUP(Sheet1!$A3778,Sheet2!$B$5:$H$29,3,FALSE),0)</x:f>
        <x:v>228</x:v>
      </x:c>
      <x:c r="E3778">
        <x:f>ROUND($C3778*10*VLOOKUP($B3778,Sheet2!$J$5:$K$7,2,FALSE)*VLOOKUP(Sheet1!$A3778,Sheet2!$B$5:$H$29,4,FALSE),0)</x:f>
        <x:v>0</x:v>
      </x:c>
      <x:c r="F3778">
        <x:f>ROUND($C3778*10*VLOOKUP($B3778,Sheet2!$J$5:$K$7,2,FALSE)*VLOOKUP(Sheet1!$A3778,Sheet2!$B$5:$H$29,5,FALSE),0)</x:f>
        <x:v>0</x:v>
      </x:c>
      <x:c r="G3778">
        <x:f>ROUND($C3778*10*VLOOKUP($B3778,Sheet2!$J$5:$K$7,2,FALSE)*VLOOKUP(Sheet1!$A3778,Sheet2!$B$5:$H$29,6,FALSE),0)</x:f>
        <x:v>0</x:v>
      </x:c>
      <x:c r="H3778">
        <x:f>ROUND($C3778*10*VLOOKUP($B3778,Sheet2!$J$5:$K$7,2,FALSE)*VLOOKUP(Sheet1!$A3778,Sheet2!$B$5:$H$29,7,FALSE),0)</x:f>
        <x:v>3420</x:v>
      </x:c>
      <x:c r="I3778">
        <x:f t="shared" si="62"/>
        <x:v>176740</x:v>
      </x:c>
    </x:row>
    <x:row r="3779" spans="1:9" x14ac:dyDescent="0.15">
      <x:c r="A3779">
        <x:v>54201</x:v>
      </x:c>
      <x:c r="B3779">
        <x:v>3</x:v>
      </x:c>
      <x:c r="C3779">
        <x:v>58</x:v>
      </x:c>
      <x:c r="D3779">
        <x:f>ROUND($C3779*10*VLOOKUP($B3779,Sheet2!$J$5:$K$7,2,FALSE)*VLOOKUP(Sheet1!$A3779,Sheet2!$B$5:$H$29,3,FALSE),0)</x:f>
        <x:v>232</x:v>
      </x:c>
      <x:c r="E3779">
        <x:f>ROUND($C3779*10*VLOOKUP($B3779,Sheet2!$J$5:$K$7,2,FALSE)*VLOOKUP(Sheet1!$A3779,Sheet2!$B$5:$H$29,4,FALSE),0)</x:f>
        <x:v>0</x:v>
      </x:c>
      <x:c r="F3779">
        <x:f>ROUND($C3779*10*VLOOKUP($B3779,Sheet2!$J$5:$K$7,2,FALSE)*VLOOKUP(Sheet1!$A3779,Sheet2!$B$5:$H$29,5,FALSE),0)</x:f>
        <x:v>0</x:v>
      </x:c>
      <x:c r="G3779">
        <x:f>ROUND($C3779*10*VLOOKUP($B3779,Sheet2!$J$5:$K$7,2,FALSE)*VLOOKUP(Sheet1!$A3779,Sheet2!$B$5:$H$29,6,FALSE),0)</x:f>
        <x:v>0</x:v>
      </x:c>
      <x:c r="H3779">
        <x:f>ROUND($C3779*10*VLOOKUP($B3779,Sheet2!$J$5:$K$7,2,FALSE)*VLOOKUP(Sheet1!$A3779,Sheet2!$B$5:$H$29,7,FALSE),0)</x:f>
        <x:v>3480</x:v>
      </x:c>
      <x:c r="I3779">
        <x:f t="shared" si="62"/>
        <x:v>182460</x:v>
      </x:c>
    </x:row>
    <x:row r="3780" spans="1:9" x14ac:dyDescent="0.15">
      <x:c r="A3780">
        <x:v>54201</x:v>
      </x:c>
      <x:c r="B3780">
        <x:v>3</x:v>
      </x:c>
      <x:c r="C3780">
        <x:v>59</x:v>
      </x:c>
      <x:c r="D3780">
        <x:f>ROUND($C3780*10*VLOOKUP($B3780,Sheet2!$J$5:$K$7,2,FALSE)*VLOOKUP(Sheet1!$A3780,Sheet2!$B$5:$H$29,3,FALSE),0)</x:f>
        <x:v>236</x:v>
      </x:c>
      <x:c r="E3780">
        <x:f>ROUND($C3780*10*VLOOKUP($B3780,Sheet2!$J$5:$K$7,2,FALSE)*VLOOKUP(Sheet1!$A3780,Sheet2!$B$5:$H$29,4,FALSE),0)</x:f>
        <x:v>0</x:v>
      </x:c>
      <x:c r="F3780">
        <x:f>ROUND($C3780*10*VLOOKUP($B3780,Sheet2!$J$5:$K$7,2,FALSE)*VLOOKUP(Sheet1!$A3780,Sheet2!$B$5:$H$29,5,FALSE),0)</x:f>
        <x:v>0</x:v>
      </x:c>
      <x:c r="G3780">
        <x:f>ROUND($C3780*10*VLOOKUP($B3780,Sheet2!$J$5:$K$7,2,FALSE)*VLOOKUP(Sheet1!$A3780,Sheet2!$B$5:$H$29,6,FALSE),0)</x:f>
        <x:v>0</x:v>
      </x:c>
      <x:c r="H3780">
        <x:f>ROUND($C3780*10*VLOOKUP($B3780,Sheet2!$J$5:$K$7,2,FALSE)*VLOOKUP(Sheet1!$A3780,Sheet2!$B$5:$H$29,7,FALSE),0)</x:f>
        <x:v>3540</x:v>
      </x:c>
      <x:c r="I3780">
        <x:f t="shared" si="62"/>
        <x:v>188260</x:v>
      </x:c>
    </x:row>
    <x:row r="3781" spans="1:9" x14ac:dyDescent="0.15">
      <x:c r="A3781">
        <x:v>54201</x:v>
      </x:c>
      <x:c r="B3781">
        <x:v>3</x:v>
      </x:c>
      <x:c r="C3781">
        <x:v>60</x:v>
      </x:c>
      <x:c r="D3781">
        <x:f>ROUND($C3781*10*VLOOKUP($B3781,Sheet2!$J$5:$K$7,2,FALSE)*VLOOKUP(Sheet1!$A3781,Sheet2!$B$5:$H$29,3,FALSE),0)</x:f>
        <x:v>240</x:v>
      </x:c>
      <x:c r="E3781">
        <x:f>ROUND($C3781*10*VLOOKUP($B3781,Sheet2!$J$5:$K$7,2,FALSE)*VLOOKUP(Sheet1!$A3781,Sheet2!$B$5:$H$29,4,FALSE),0)</x:f>
        <x:v>0</x:v>
      </x:c>
      <x:c r="F3781">
        <x:f>ROUND($C3781*10*VLOOKUP($B3781,Sheet2!$J$5:$K$7,2,FALSE)*VLOOKUP(Sheet1!$A3781,Sheet2!$B$5:$H$29,5,FALSE),0)</x:f>
        <x:v>0</x:v>
      </x:c>
      <x:c r="G3781">
        <x:f>ROUND($C3781*10*VLOOKUP($B3781,Sheet2!$J$5:$K$7,2,FALSE)*VLOOKUP(Sheet1!$A3781,Sheet2!$B$5:$H$29,6,FALSE),0)</x:f>
        <x:v>0</x:v>
      </x:c>
      <x:c r="H3781">
        <x:f>ROUND($C3781*10*VLOOKUP($B3781,Sheet2!$J$5:$K$7,2,FALSE)*VLOOKUP(Sheet1!$A3781,Sheet2!$B$5:$H$29,7,FALSE),0)</x:f>
        <x:v>3600</x:v>
      </x:c>
      <x:c r="I3781">
        <x:f t="shared" si="62"/>
        <x:v>194140</x:v>
      </x:c>
    </x:row>
    <x:row r="3782" spans="1:9" x14ac:dyDescent="0.15">
      <x:c r="A3782">
        <x:v>54202</x:v>
      </x:c>
      <x:c r="B3782">
        <x:v>1</x:v>
      </x:c>
      <x:c r="C3782">
        <x:v>1</x:v>
      </x:c>
      <x:c r="D3782">
        <x:f>ROUND($C3782*10*VLOOKUP($B3782,Sheet2!$J$5:$K$7,2,FALSE)*VLOOKUP(Sheet1!$A3782,Sheet2!$B$5:$H$29,3,FALSE),0)</x:f>
        <x:v>0</x:v>
      </x:c>
      <x:c r="E3782">
        <x:f>ROUND($C3782*10*VLOOKUP($B3782,Sheet2!$J$5:$K$7,2,FALSE)*VLOOKUP(Sheet1!$A3782,Sheet2!$B$5:$H$29,4,FALSE),0)</x:f>
        <x:v>2</x:v>
      </x:c>
      <x:c r="F3782">
        <x:f>ROUND($C3782*10*VLOOKUP($B3782,Sheet2!$J$5:$K$7,2,FALSE)*VLOOKUP(Sheet1!$A3782,Sheet2!$B$5:$H$29,5,FALSE),0)</x:f>
        <x:v>0</x:v>
      </x:c>
      <x:c r="G3782">
        <x:f>ROUND($C3782*10*VLOOKUP($B3782,Sheet2!$J$5:$K$7,2,FALSE)*VLOOKUP(Sheet1!$A3782,Sheet2!$B$5:$H$29,6,FALSE),0)</x:f>
        <x:v>0</x:v>
      </x:c>
      <x:c r="H3782">
        <x:f>ROUND($C3782*10*VLOOKUP($B3782,Sheet2!$J$5:$K$7,2,FALSE)*VLOOKUP(Sheet1!$A3782,Sheet2!$B$5:$H$29,7,FALSE),0)</x:f>
        <x:v>30</x:v>
      </x:c>
      <x:c r="I3782">
        <x:f t="shared" ref="I3782:I3841" si="63">ROUND(1.2*10*1.8*(C3782-1)^1.8+30,-1)</x:f>
        <x:v>30</x:v>
      </x:c>
    </x:row>
    <x:row r="3783" spans="1:9" x14ac:dyDescent="0.15">
      <x:c r="A3783">
        <x:v>54202</x:v>
      </x:c>
      <x:c r="B3783">
        <x:v>1</x:v>
      </x:c>
      <x:c r="C3783">
        <x:v>2</x:v>
      </x:c>
      <x:c r="D3783">
        <x:f>ROUND($C3783*10*VLOOKUP($B3783,Sheet2!$J$5:$K$7,2,FALSE)*VLOOKUP(Sheet1!$A3783,Sheet2!$B$5:$H$29,3,FALSE),0)</x:f>
        <x:v>0</x:v>
      </x:c>
      <x:c r="E3783">
        <x:f>ROUND($C3783*10*VLOOKUP($B3783,Sheet2!$J$5:$K$7,2,FALSE)*VLOOKUP(Sheet1!$A3783,Sheet2!$B$5:$H$29,4,FALSE),0)</x:f>
        <x:v>4</x:v>
      </x:c>
      <x:c r="F3783">
        <x:f>ROUND($C3783*10*VLOOKUP($B3783,Sheet2!$J$5:$K$7,2,FALSE)*VLOOKUP(Sheet1!$A3783,Sheet2!$B$5:$H$29,5,FALSE),0)</x:f>
        <x:v>0</x:v>
      </x:c>
      <x:c r="G3783">
        <x:f>ROUND($C3783*10*VLOOKUP($B3783,Sheet2!$J$5:$K$7,2,FALSE)*VLOOKUP(Sheet1!$A3783,Sheet2!$B$5:$H$29,6,FALSE),0)</x:f>
        <x:v>0</x:v>
      </x:c>
      <x:c r="H3783">
        <x:f>ROUND($C3783*10*VLOOKUP($B3783,Sheet2!$J$5:$K$7,2,FALSE)*VLOOKUP(Sheet1!$A3783,Sheet2!$B$5:$H$29,7,FALSE),0)</x:f>
        <x:v>60</x:v>
      </x:c>
      <x:c r="I3783">
        <x:f t="shared" si="63"/>
        <x:v>50</x:v>
      </x:c>
    </x:row>
    <x:row r="3784" spans="1:9" x14ac:dyDescent="0.15">
      <x:c r="A3784">
        <x:v>54202</x:v>
      </x:c>
      <x:c r="B3784">
        <x:v>1</x:v>
      </x:c>
      <x:c r="C3784">
        <x:v>3</x:v>
      </x:c>
      <x:c r="D3784">
        <x:f>ROUND($C3784*10*VLOOKUP($B3784,Sheet2!$J$5:$K$7,2,FALSE)*VLOOKUP(Sheet1!$A3784,Sheet2!$B$5:$H$29,3,FALSE),0)</x:f>
        <x:v>0</x:v>
      </x:c>
      <x:c r="E3784">
        <x:f>ROUND($C3784*10*VLOOKUP($B3784,Sheet2!$J$5:$K$7,2,FALSE)*VLOOKUP(Sheet1!$A3784,Sheet2!$B$5:$H$29,4,FALSE),0)</x:f>
        <x:v>6</x:v>
      </x:c>
      <x:c r="F3784">
        <x:f>ROUND($C3784*10*VLOOKUP($B3784,Sheet2!$J$5:$K$7,2,FALSE)*VLOOKUP(Sheet1!$A3784,Sheet2!$B$5:$H$29,5,FALSE),0)</x:f>
        <x:v>0</x:v>
      </x:c>
      <x:c r="G3784">
        <x:f>ROUND($C3784*10*VLOOKUP($B3784,Sheet2!$J$5:$K$7,2,FALSE)*VLOOKUP(Sheet1!$A3784,Sheet2!$B$5:$H$29,6,FALSE),0)</x:f>
        <x:v>0</x:v>
      </x:c>
      <x:c r="H3784">
        <x:f>ROUND($C3784*10*VLOOKUP($B3784,Sheet2!$J$5:$K$7,2,FALSE)*VLOOKUP(Sheet1!$A3784,Sheet2!$B$5:$H$29,7,FALSE),0)</x:f>
        <x:v>90</x:v>
      </x:c>
      <x:c r="I3784">
        <x:f t="shared" si="63"/>
        <x:v>110</x:v>
      </x:c>
    </x:row>
    <x:row r="3785" spans="1:9" x14ac:dyDescent="0.15">
      <x:c r="A3785">
        <x:v>54202</x:v>
      </x:c>
      <x:c r="B3785">
        <x:v>1</x:v>
      </x:c>
      <x:c r="C3785">
        <x:v>4</x:v>
      </x:c>
      <x:c r="D3785">
        <x:f>ROUND($C3785*10*VLOOKUP($B3785,Sheet2!$J$5:$K$7,2,FALSE)*VLOOKUP(Sheet1!$A3785,Sheet2!$B$5:$H$29,3,FALSE),0)</x:f>
        <x:v>0</x:v>
      </x:c>
      <x:c r="E3785">
        <x:f>ROUND($C3785*10*VLOOKUP($B3785,Sheet2!$J$5:$K$7,2,FALSE)*VLOOKUP(Sheet1!$A3785,Sheet2!$B$5:$H$29,4,FALSE),0)</x:f>
        <x:v>8</x:v>
      </x:c>
      <x:c r="F3785">
        <x:f>ROUND($C3785*10*VLOOKUP($B3785,Sheet2!$J$5:$K$7,2,FALSE)*VLOOKUP(Sheet1!$A3785,Sheet2!$B$5:$H$29,5,FALSE),0)</x:f>
        <x:v>0</x:v>
      </x:c>
      <x:c r="G3785">
        <x:f>ROUND($C3785*10*VLOOKUP($B3785,Sheet2!$J$5:$K$7,2,FALSE)*VLOOKUP(Sheet1!$A3785,Sheet2!$B$5:$H$29,6,FALSE),0)</x:f>
        <x:v>0</x:v>
      </x:c>
      <x:c r="H3785">
        <x:f>ROUND($C3785*10*VLOOKUP($B3785,Sheet2!$J$5:$K$7,2,FALSE)*VLOOKUP(Sheet1!$A3785,Sheet2!$B$5:$H$29,7,FALSE),0)</x:f>
        <x:v>120</x:v>
      </x:c>
      <x:c r="I3785">
        <x:f t="shared" si="63"/>
        <x:v>190</x:v>
      </x:c>
    </x:row>
    <x:row r="3786" spans="1:9" x14ac:dyDescent="0.15">
      <x:c r="A3786">
        <x:v>54202</x:v>
      </x:c>
      <x:c r="B3786">
        <x:v>1</x:v>
      </x:c>
      <x:c r="C3786">
        <x:v>5</x:v>
      </x:c>
      <x:c r="D3786">
        <x:f>ROUND($C3786*10*VLOOKUP($B3786,Sheet2!$J$5:$K$7,2,FALSE)*VLOOKUP(Sheet1!$A3786,Sheet2!$B$5:$H$29,3,FALSE),0)</x:f>
        <x:v>0</x:v>
      </x:c>
      <x:c r="E3786">
        <x:f>ROUND($C3786*10*VLOOKUP($B3786,Sheet2!$J$5:$K$7,2,FALSE)*VLOOKUP(Sheet1!$A3786,Sheet2!$B$5:$H$29,4,FALSE),0)</x:f>
        <x:v>10</x:v>
      </x:c>
      <x:c r="F3786">
        <x:f>ROUND($C3786*10*VLOOKUP($B3786,Sheet2!$J$5:$K$7,2,FALSE)*VLOOKUP(Sheet1!$A3786,Sheet2!$B$5:$H$29,5,FALSE),0)</x:f>
        <x:v>0</x:v>
      </x:c>
      <x:c r="G3786">
        <x:f>ROUND($C3786*10*VLOOKUP($B3786,Sheet2!$J$5:$K$7,2,FALSE)*VLOOKUP(Sheet1!$A3786,Sheet2!$B$5:$H$29,6,FALSE),0)</x:f>
        <x:v>0</x:v>
      </x:c>
      <x:c r="H3786">
        <x:f>ROUND($C3786*10*VLOOKUP($B3786,Sheet2!$J$5:$K$7,2,FALSE)*VLOOKUP(Sheet1!$A3786,Sheet2!$B$5:$H$29,7,FALSE),0)</x:f>
        <x:v>150</x:v>
      </x:c>
      <x:c r="I3786">
        <x:f t="shared" si="63"/>
        <x:v>290</x:v>
      </x:c>
    </x:row>
    <x:row r="3787" spans="1:9" x14ac:dyDescent="0.15">
      <x:c r="A3787">
        <x:v>54202</x:v>
      </x:c>
      <x:c r="B3787">
        <x:v>1</x:v>
      </x:c>
      <x:c r="C3787">
        <x:v>6</x:v>
      </x:c>
      <x:c r="D3787">
        <x:f>ROUND($C3787*10*VLOOKUP($B3787,Sheet2!$J$5:$K$7,2,FALSE)*VLOOKUP(Sheet1!$A3787,Sheet2!$B$5:$H$29,3,FALSE),0)</x:f>
        <x:v>0</x:v>
      </x:c>
      <x:c r="E3787">
        <x:f>ROUND($C3787*10*VLOOKUP($B3787,Sheet2!$J$5:$K$7,2,FALSE)*VLOOKUP(Sheet1!$A3787,Sheet2!$B$5:$H$29,4,FALSE),0)</x:f>
        <x:v>12</x:v>
      </x:c>
      <x:c r="F3787">
        <x:f>ROUND($C3787*10*VLOOKUP($B3787,Sheet2!$J$5:$K$7,2,FALSE)*VLOOKUP(Sheet1!$A3787,Sheet2!$B$5:$H$29,5,FALSE),0)</x:f>
        <x:v>0</x:v>
      </x:c>
      <x:c r="G3787">
        <x:f>ROUND($C3787*10*VLOOKUP($B3787,Sheet2!$J$5:$K$7,2,FALSE)*VLOOKUP(Sheet1!$A3787,Sheet2!$B$5:$H$29,6,FALSE),0)</x:f>
        <x:v>0</x:v>
      </x:c>
      <x:c r="H3787">
        <x:f>ROUND($C3787*10*VLOOKUP($B3787,Sheet2!$J$5:$K$7,2,FALSE)*VLOOKUP(Sheet1!$A3787,Sheet2!$B$5:$H$29,7,FALSE),0)</x:f>
        <x:v>180</x:v>
      </x:c>
      <x:c r="I3787">
        <x:f t="shared" si="63"/>
        <x:v>420</x:v>
      </x:c>
    </x:row>
    <x:row r="3788" spans="1:9" x14ac:dyDescent="0.15">
      <x:c r="A3788">
        <x:v>54202</x:v>
      </x:c>
      <x:c r="B3788">
        <x:v>1</x:v>
      </x:c>
      <x:c r="C3788">
        <x:v>7</x:v>
      </x:c>
      <x:c r="D3788">
        <x:f>ROUND($C3788*10*VLOOKUP($B3788,Sheet2!$J$5:$K$7,2,FALSE)*VLOOKUP(Sheet1!$A3788,Sheet2!$B$5:$H$29,3,FALSE),0)</x:f>
        <x:v>0</x:v>
      </x:c>
      <x:c r="E3788">
        <x:f>ROUND($C3788*10*VLOOKUP($B3788,Sheet2!$J$5:$K$7,2,FALSE)*VLOOKUP(Sheet1!$A3788,Sheet2!$B$5:$H$29,4,FALSE),0)</x:f>
        <x:v>14</x:v>
      </x:c>
      <x:c r="F3788">
        <x:f>ROUND($C3788*10*VLOOKUP($B3788,Sheet2!$J$5:$K$7,2,FALSE)*VLOOKUP(Sheet1!$A3788,Sheet2!$B$5:$H$29,5,FALSE),0)</x:f>
        <x:v>0</x:v>
      </x:c>
      <x:c r="G3788">
        <x:f>ROUND($C3788*10*VLOOKUP($B3788,Sheet2!$J$5:$K$7,2,FALSE)*VLOOKUP(Sheet1!$A3788,Sheet2!$B$5:$H$29,6,FALSE),0)</x:f>
        <x:v>0</x:v>
      </x:c>
      <x:c r="H3788">
        <x:f>ROUND($C3788*10*VLOOKUP($B3788,Sheet2!$J$5:$K$7,2,FALSE)*VLOOKUP(Sheet1!$A3788,Sheet2!$B$5:$H$29,7,FALSE),0)</x:f>
        <x:v>210</x:v>
      </x:c>
      <x:c r="I3788">
        <x:f t="shared" si="63"/>
        <x:v>570</x:v>
      </x:c>
    </x:row>
    <x:row r="3789" spans="1:9" x14ac:dyDescent="0.15">
      <x:c r="A3789">
        <x:v>54202</x:v>
      </x:c>
      <x:c r="B3789">
        <x:v>1</x:v>
      </x:c>
      <x:c r="C3789">
        <x:v>8</x:v>
      </x:c>
      <x:c r="D3789">
        <x:f>ROUND($C3789*10*VLOOKUP($B3789,Sheet2!$J$5:$K$7,2,FALSE)*VLOOKUP(Sheet1!$A3789,Sheet2!$B$5:$H$29,3,FALSE),0)</x:f>
        <x:v>0</x:v>
      </x:c>
      <x:c r="E3789">
        <x:f>ROUND($C3789*10*VLOOKUP($B3789,Sheet2!$J$5:$K$7,2,FALSE)*VLOOKUP(Sheet1!$A3789,Sheet2!$B$5:$H$29,4,FALSE),0)</x:f>
        <x:v>16</x:v>
      </x:c>
      <x:c r="F3789">
        <x:f>ROUND($C3789*10*VLOOKUP($B3789,Sheet2!$J$5:$K$7,2,FALSE)*VLOOKUP(Sheet1!$A3789,Sheet2!$B$5:$H$29,5,FALSE),0)</x:f>
        <x:v>0</x:v>
      </x:c>
      <x:c r="G3789">
        <x:f>ROUND($C3789*10*VLOOKUP($B3789,Sheet2!$J$5:$K$7,2,FALSE)*VLOOKUP(Sheet1!$A3789,Sheet2!$B$5:$H$29,6,FALSE),0)</x:f>
        <x:v>0</x:v>
      </x:c>
      <x:c r="H3789">
        <x:f>ROUND($C3789*10*VLOOKUP($B3789,Sheet2!$J$5:$K$7,2,FALSE)*VLOOKUP(Sheet1!$A3789,Sheet2!$B$5:$H$29,7,FALSE),0)</x:f>
        <x:v>240</x:v>
      </x:c>
      <x:c r="I3789">
        <x:f t="shared" si="63"/>
        <x:v>750</x:v>
      </x:c>
    </x:row>
    <x:row r="3790" spans="1:9" x14ac:dyDescent="0.15">
      <x:c r="A3790">
        <x:v>54202</x:v>
      </x:c>
      <x:c r="B3790">
        <x:v>1</x:v>
      </x:c>
      <x:c r="C3790">
        <x:v>9</x:v>
      </x:c>
      <x:c r="D3790">
        <x:f>ROUND($C3790*10*VLOOKUP($B3790,Sheet2!$J$5:$K$7,2,FALSE)*VLOOKUP(Sheet1!$A3790,Sheet2!$B$5:$H$29,3,FALSE),0)</x:f>
        <x:v>0</x:v>
      </x:c>
      <x:c r="E3790">
        <x:f>ROUND($C3790*10*VLOOKUP($B3790,Sheet2!$J$5:$K$7,2,FALSE)*VLOOKUP(Sheet1!$A3790,Sheet2!$B$5:$H$29,4,FALSE),0)</x:f>
        <x:v>18</x:v>
      </x:c>
      <x:c r="F3790">
        <x:f>ROUND($C3790*10*VLOOKUP($B3790,Sheet2!$J$5:$K$7,2,FALSE)*VLOOKUP(Sheet1!$A3790,Sheet2!$B$5:$H$29,5,FALSE),0)</x:f>
        <x:v>0</x:v>
      </x:c>
      <x:c r="G3790">
        <x:f>ROUND($C3790*10*VLOOKUP($B3790,Sheet2!$J$5:$K$7,2,FALSE)*VLOOKUP(Sheet1!$A3790,Sheet2!$B$5:$H$29,6,FALSE),0)</x:f>
        <x:v>0</x:v>
      </x:c>
      <x:c r="H3790">
        <x:f>ROUND($C3790*10*VLOOKUP($B3790,Sheet2!$J$5:$K$7,2,FALSE)*VLOOKUP(Sheet1!$A3790,Sheet2!$B$5:$H$29,7,FALSE),0)</x:f>
        <x:v>270</x:v>
      </x:c>
      <x:c r="I3790">
        <x:f t="shared" si="63"/>
        <x:v>940</x:v>
      </x:c>
    </x:row>
    <x:row r="3791" spans="1:9" x14ac:dyDescent="0.15">
      <x:c r="A3791">
        <x:v>54202</x:v>
      </x:c>
      <x:c r="B3791">
        <x:v>1</x:v>
      </x:c>
      <x:c r="C3791">
        <x:v>10</x:v>
      </x:c>
      <x:c r="D3791">
        <x:f>ROUND($C3791*10*VLOOKUP($B3791,Sheet2!$J$5:$K$7,2,FALSE)*VLOOKUP(Sheet1!$A3791,Sheet2!$B$5:$H$29,3,FALSE),0)</x:f>
        <x:v>0</x:v>
      </x:c>
      <x:c r="E3791">
        <x:f>ROUND($C3791*10*VLOOKUP($B3791,Sheet2!$J$5:$K$7,2,FALSE)*VLOOKUP(Sheet1!$A3791,Sheet2!$B$5:$H$29,4,FALSE),0)</x:f>
        <x:v>20</x:v>
      </x:c>
      <x:c r="F3791">
        <x:f>ROUND($C3791*10*VLOOKUP($B3791,Sheet2!$J$5:$K$7,2,FALSE)*VLOOKUP(Sheet1!$A3791,Sheet2!$B$5:$H$29,5,FALSE),0)</x:f>
        <x:v>0</x:v>
      </x:c>
      <x:c r="G3791">
        <x:f>ROUND($C3791*10*VLOOKUP($B3791,Sheet2!$J$5:$K$7,2,FALSE)*VLOOKUP(Sheet1!$A3791,Sheet2!$B$5:$H$29,6,FALSE),0)</x:f>
        <x:v>0</x:v>
      </x:c>
      <x:c r="H3791">
        <x:f>ROUND($C3791*10*VLOOKUP($B3791,Sheet2!$J$5:$K$7,2,FALSE)*VLOOKUP(Sheet1!$A3791,Sheet2!$B$5:$H$29,7,FALSE),0)</x:f>
        <x:v>300</x:v>
      </x:c>
      <x:c r="I3791">
        <x:f t="shared" si="63"/>
        <x:v>1160</x:v>
      </x:c>
    </x:row>
    <x:row r="3792" spans="1:9" x14ac:dyDescent="0.15">
      <x:c r="A3792">
        <x:v>54202</x:v>
      </x:c>
      <x:c r="B3792">
        <x:v>1</x:v>
      </x:c>
      <x:c r="C3792">
        <x:v>11</x:v>
      </x:c>
      <x:c r="D3792">
        <x:f>ROUND($C3792*10*VLOOKUP($B3792,Sheet2!$J$5:$K$7,2,FALSE)*VLOOKUP(Sheet1!$A3792,Sheet2!$B$5:$H$29,3,FALSE),0)</x:f>
        <x:v>0</x:v>
      </x:c>
      <x:c r="E3792">
        <x:f>ROUND($C3792*10*VLOOKUP($B3792,Sheet2!$J$5:$K$7,2,FALSE)*VLOOKUP(Sheet1!$A3792,Sheet2!$B$5:$H$29,4,FALSE),0)</x:f>
        <x:v>22</x:v>
      </x:c>
      <x:c r="F3792">
        <x:f>ROUND($C3792*10*VLOOKUP($B3792,Sheet2!$J$5:$K$7,2,FALSE)*VLOOKUP(Sheet1!$A3792,Sheet2!$B$5:$H$29,5,FALSE),0)</x:f>
        <x:v>0</x:v>
      </x:c>
      <x:c r="G3792">
        <x:f>ROUND($C3792*10*VLOOKUP($B3792,Sheet2!$J$5:$K$7,2,FALSE)*VLOOKUP(Sheet1!$A3792,Sheet2!$B$5:$H$29,6,FALSE),0)</x:f>
        <x:v>0</x:v>
      </x:c>
      <x:c r="H3792">
        <x:f>ROUND($C3792*10*VLOOKUP($B3792,Sheet2!$J$5:$K$7,2,FALSE)*VLOOKUP(Sheet1!$A3792,Sheet2!$B$5:$H$29,7,FALSE),0)</x:f>
        <x:v>330</x:v>
      </x:c>
      <x:c r="I3792">
        <x:f t="shared" si="63"/>
        <x:v>1390</x:v>
      </x:c>
    </x:row>
    <x:row r="3793" spans="1:9" x14ac:dyDescent="0.15">
      <x:c r="A3793">
        <x:v>54202</x:v>
      </x:c>
      <x:c r="B3793">
        <x:v>1</x:v>
      </x:c>
      <x:c r="C3793">
        <x:v>12</x:v>
      </x:c>
      <x:c r="D3793">
        <x:f>ROUND($C3793*10*VLOOKUP($B3793,Sheet2!$J$5:$K$7,2,FALSE)*VLOOKUP(Sheet1!$A3793,Sheet2!$B$5:$H$29,3,FALSE),0)</x:f>
        <x:v>0</x:v>
      </x:c>
      <x:c r="E3793">
        <x:f>ROUND($C3793*10*VLOOKUP($B3793,Sheet2!$J$5:$K$7,2,FALSE)*VLOOKUP(Sheet1!$A3793,Sheet2!$B$5:$H$29,4,FALSE),0)</x:f>
        <x:v>24</x:v>
      </x:c>
      <x:c r="F3793">
        <x:f>ROUND($C3793*10*VLOOKUP($B3793,Sheet2!$J$5:$K$7,2,FALSE)*VLOOKUP(Sheet1!$A3793,Sheet2!$B$5:$H$29,5,FALSE),0)</x:f>
        <x:v>0</x:v>
      </x:c>
      <x:c r="G3793">
        <x:f>ROUND($C3793*10*VLOOKUP($B3793,Sheet2!$J$5:$K$7,2,FALSE)*VLOOKUP(Sheet1!$A3793,Sheet2!$B$5:$H$29,6,FALSE),0)</x:f>
        <x:v>0</x:v>
      </x:c>
      <x:c r="H3793">
        <x:f>ROUND($C3793*10*VLOOKUP($B3793,Sheet2!$J$5:$K$7,2,FALSE)*VLOOKUP(Sheet1!$A3793,Sheet2!$B$5:$H$29,7,FALSE),0)</x:f>
        <x:v>360</x:v>
      </x:c>
      <x:c r="I3793">
        <x:f t="shared" si="63"/>
        <x:v>1650</x:v>
      </x:c>
    </x:row>
    <x:row r="3794" spans="1:9" x14ac:dyDescent="0.15">
      <x:c r="A3794">
        <x:v>54202</x:v>
      </x:c>
      <x:c r="B3794">
        <x:v>1</x:v>
      </x:c>
      <x:c r="C3794">
        <x:v>13</x:v>
      </x:c>
      <x:c r="D3794">
        <x:f>ROUND($C3794*10*VLOOKUP($B3794,Sheet2!$J$5:$K$7,2,FALSE)*VLOOKUP(Sheet1!$A3794,Sheet2!$B$5:$H$29,3,FALSE),0)</x:f>
        <x:v>0</x:v>
      </x:c>
      <x:c r="E3794">
        <x:f>ROUND($C3794*10*VLOOKUP($B3794,Sheet2!$J$5:$K$7,2,FALSE)*VLOOKUP(Sheet1!$A3794,Sheet2!$B$5:$H$29,4,FALSE),0)</x:f>
        <x:v>26</x:v>
      </x:c>
      <x:c r="F3794">
        <x:f>ROUND($C3794*10*VLOOKUP($B3794,Sheet2!$J$5:$K$7,2,FALSE)*VLOOKUP(Sheet1!$A3794,Sheet2!$B$5:$H$29,5,FALSE),0)</x:f>
        <x:v>0</x:v>
      </x:c>
      <x:c r="G3794">
        <x:f>ROUND($C3794*10*VLOOKUP($B3794,Sheet2!$J$5:$K$7,2,FALSE)*VLOOKUP(Sheet1!$A3794,Sheet2!$B$5:$H$29,6,FALSE),0)</x:f>
        <x:v>0</x:v>
      </x:c>
      <x:c r="H3794">
        <x:f>ROUND($C3794*10*VLOOKUP($B3794,Sheet2!$J$5:$K$7,2,FALSE)*VLOOKUP(Sheet1!$A3794,Sheet2!$B$5:$H$29,7,FALSE),0)</x:f>
        <x:v>390</x:v>
      </x:c>
      <x:c r="I3794">
        <x:f t="shared" si="63"/>
        <x:v>1920</x:v>
      </x:c>
    </x:row>
    <x:row r="3795" spans="1:9" x14ac:dyDescent="0.15">
      <x:c r="A3795">
        <x:v>54202</x:v>
      </x:c>
      <x:c r="B3795">
        <x:v>1</x:v>
      </x:c>
      <x:c r="C3795">
        <x:v>14</x:v>
      </x:c>
      <x:c r="D3795">
        <x:f>ROUND($C3795*10*VLOOKUP($B3795,Sheet2!$J$5:$K$7,2,FALSE)*VLOOKUP(Sheet1!$A3795,Sheet2!$B$5:$H$29,3,FALSE),0)</x:f>
        <x:v>0</x:v>
      </x:c>
      <x:c r="E3795">
        <x:f>ROUND($C3795*10*VLOOKUP($B3795,Sheet2!$J$5:$K$7,2,FALSE)*VLOOKUP(Sheet1!$A3795,Sheet2!$B$5:$H$29,4,FALSE),0)</x:f>
        <x:v>28</x:v>
      </x:c>
      <x:c r="F3795">
        <x:f>ROUND($C3795*10*VLOOKUP($B3795,Sheet2!$J$5:$K$7,2,FALSE)*VLOOKUP(Sheet1!$A3795,Sheet2!$B$5:$H$29,5,FALSE),0)</x:f>
        <x:v>0</x:v>
      </x:c>
      <x:c r="G3795">
        <x:f>ROUND($C3795*10*VLOOKUP($B3795,Sheet2!$J$5:$K$7,2,FALSE)*VLOOKUP(Sheet1!$A3795,Sheet2!$B$5:$H$29,6,FALSE),0)</x:f>
        <x:v>0</x:v>
      </x:c>
      <x:c r="H3795">
        <x:f>ROUND($C3795*10*VLOOKUP($B3795,Sheet2!$J$5:$K$7,2,FALSE)*VLOOKUP(Sheet1!$A3795,Sheet2!$B$5:$H$29,7,FALSE),0)</x:f>
        <x:v>420</x:v>
      </x:c>
      <x:c r="I3795">
        <x:f t="shared" si="63"/>
        <x:v>2220</x:v>
      </x:c>
    </x:row>
    <x:row r="3796" spans="1:9" x14ac:dyDescent="0.15">
      <x:c r="A3796">
        <x:v>54202</x:v>
      </x:c>
      <x:c r="B3796">
        <x:v>1</x:v>
      </x:c>
      <x:c r="C3796">
        <x:v>15</x:v>
      </x:c>
      <x:c r="D3796">
        <x:f>ROUND($C3796*10*VLOOKUP($B3796,Sheet2!$J$5:$K$7,2,FALSE)*VLOOKUP(Sheet1!$A3796,Sheet2!$B$5:$H$29,3,FALSE),0)</x:f>
        <x:v>0</x:v>
      </x:c>
      <x:c r="E3796">
        <x:f>ROUND($C3796*10*VLOOKUP($B3796,Sheet2!$J$5:$K$7,2,FALSE)*VLOOKUP(Sheet1!$A3796,Sheet2!$B$5:$H$29,4,FALSE),0)</x:f>
        <x:v>30</x:v>
      </x:c>
      <x:c r="F3796">
        <x:f>ROUND($C3796*10*VLOOKUP($B3796,Sheet2!$J$5:$K$7,2,FALSE)*VLOOKUP(Sheet1!$A3796,Sheet2!$B$5:$H$29,5,FALSE),0)</x:f>
        <x:v>0</x:v>
      </x:c>
      <x:c r="G3796">
        <x:f>ROUND($C3796*10*VLOOKUP($B3796,Sheet2!$J$5:$K$7,2,FALSE)*VLOOKUP(Sheet1!$A3796,Sheet2!$B$5:$H$29,6,FALSE),0)</x:f>
        <x:v>0</x:v>
      </x:c>
      <x:c r="H3796">
        <x:f>ROUND($C3796*10*VLOOKUP($B3796,Sheet2!$J$5:$K$7,2,FALSE)*VLOOKUP(Sheet1!$A3796,Sheet2!$B$5:$H$29,7,FALSE),0)</x:f>
        <x:v>450</x:v>
      </x:c>
      <x:c r="I3796">
        <x:f t="shared" si="63"/>
        <x:v>2530</x:v>
      </x:c>
    </x:row>
    <x:row r="3797" spans="1:9" x14ac:dyDescent="0.15">
      <x:c r="A3797">
        <x:v>54202</x:v>
      </x:c>
      <x:c r="B3797">
        <x:v>1</x:v>
      </x:c>
      <x:c r="C3797">
        <x:v>16</x:v>
      </x:c>
      <x:c r="D3797">
        <x:f>ROUND($C3797*10*VLOOKUP($B3797,Sheet2!$J$5:$K$7,2,FALSE)*VLOOKUP(Sheet1!$A3797,Sheet2!$B$5:$H$29,3,FALSE),0)</x:f>
        <x:v>0</x:v>
      </x:c>
      <x:c r="E3797">
        <x:f>ROUND($C3797*10*VLOOKUP($B3797,Sheet2!$J$5:$K$7,2,FALSE)*VLOOKUP(Sheet1!$A3797,Sheet2!$B$5:$H$29,4,FALSE),0)</x:f>
        <x:v>32</x:v>
      </x:c>
      <x:c r="F3797">
        <x:f>ROUND($C3797*10*VLOOKUP($B3797,Sheet2!$J$5:$K$7,2,FALSE)*VLOOKUP(Sheet1!$A3797,Sheet2!$B$5:$H$29,5,FALSE),0)</x:f>
        <x:v>0</x:v>
      </x:c>
      <x:c r="G3797">
        <x:f>ROUND($C3797*10*VLOOKUP($B3797,Sheet2!$J$5:$K$7,2,FALSE)*VLOOKUP(Sheet1!$A3797,Sheet2!$B$5:$H$29,6,FALSE),0)</x:f>
        <x:v>0</x:v>
      </x:c>
      <x:c r="H3797">
        <x:f>ROUND($C3797*10*VLOOKUP($B3797,Sheet2!$J$5:$K$7,2,FALSE)*VLOOKUP(Sheet1!$A3797,Sheet2!$B$5:$H$29,7,FALSE),0)</x:f>
        <x:v>480</x:v>
      </x:c>
      <x:c r="I3797">
        <x:f t="shared" si="63"/>
        <x:v>2860</x:v>
      </x:c>
    </x:row>
    <x:row r="3798" spans="1:9" x14ac:dyDescent="0.15">
      <x:c r="A3798">
        <x:v>54202</x:v>
      </x:c>
      <x:c r="B3798">
        <x:v>1</x:v>
      </x:c>
      <x:c r="C3798">
        <x:v>17</x:v>
      </x:c>
      <x:c r="D3798">
        <x:f>ROUND($C3798*10*VLOOKUP($B3798,Sheet2!$J$5:$K$7,2,FALSE)*VLOOKUP(Sheet1!$A3798,Sheet2!$B$5:$H$29,3,FALSE),0)</x:f>
        <x:v>0</x:v>
      </x:c>
      <x:c r="E3798">
        <x:f>ROUND($C3798*10*VLOOKUP($B3798,Sheet2!$J$5:$K$7,2,FALSE)*VLOOKUP(Sheet1!$A3798,Sheet2!$B$5:$H$29,4,FALSE),0)</x:f>
        <x:v>34</x:v>
      </x:c>
      <x:c r="F3798">
        <x:f>ROUND($C3798*10*VLOOKUP($B3798,Sheet2!$J$5:$K$7,2,FALSE)*VLOOKUP(Sheet1!$A3798,Sheet2!$B$5:$H$29,5,FALSE),0)</x:f>
        <x:v>0</x:v>
      </x:c>
      <x:c r="G3798">
        <x:f>ROUND($C3798*10*VLOOKUP($B3798,Sheet2!$J$5:$K$7,2,FALSE)*VLOOKUP(Sheet1!$A3798,Sheet2!$B$5:$H$29,6,FALSE),0)</x:f>
        <x:v>0</x:v>
      </x:c>
      <x:c r="H3798">
        <x:f>ROUND($C3798*10*VLOOKUP($B3798,Sheet2!$J$5:$K$7,2,FALSE)*VLOOKUP(Sheet1!$A3798,Sheet2!$B$5:$H$29,7,FALSE),0)</x:f>
        <x:v>510</x:v>
      </x:c>
      <x:c r="I3798">
        <x:f t="shared" si="63"/>
        <x:v>3210</x:v>
      </x:c>
    </x:row>
    <x:row r="3799" spans="1:9" x14ac:dyDescent="0.15">
      <x:c r="A3799">
        <x:v>54202</x:v>
      </x:c>
      <x:c r="B3799">
        <x:v>1</x:v>
      </x:c>
      <x:c r="C3799">
        <x:v>18</x:v>
      </x:c>
      <x:c r="D3799">
        <x:f>ROUND($C3799*10*VLOOKUP($B3799,Sheet2!$J$5:$K$7,2,FALSE)*VLOOKUP(Sheet1!$A3799,Sheet2!$B$5:$H$29,3,FALSE),0)</x:f>
        <x:v>0</x:v>
      </x:c>
      <x:c r="E3799">
        <x:f>ROUND($C3799*10*VLOOKUP($B3799,Sheet2!$J$5:$K$7,2,FALSE)*VLOOKUP(Sheet1!$A3799,Sheet2!$B$5:$H$29,4,FALSE),0)</x:f>
        <x:v>36</x:v>
      </x:c>
      <x:c r="F3799">
        <x:f>ROUND($C3799*10*VLOOKUP($B3799,Sheet2!$J$5:$K$7,2,FALSE)*VLOOKUP(Sheet1!$A3799,Sheet2!$B$5:$H$29,5,FALSE),0)</x:f>
        <x:v>0</x:v>
      </x:c>
      <x:c r="G3799">
        <x:f>ROUND($C3799*10*VLOOKUP($B3799,Sheet2!$J$5:$K$7,2,FALSE)*VLOOKUP(Sheet1!$A3799,Sheet2!$B$5:$H$29,6,FALSE),0)</x:f>
        <x:v>0</x:v>
      </x:c>
      <x:c r="H3799">
        <x:f>ROUND($C3799*10*VLOOKUP($B3799,Sheet2!$J$5:$K$7,2,FALSE)*VLOOKUP(Sheet1!$A3799,Sheet2!$B$5:$H$29,7,FALSE),0)</x:f>
        <x:v>540</x:v>
      </x:c>
      <x:c r="I3799">
        <x:f t="shared" si="63"/>
        <x:v>3570</x:v>
      </x:c>
    </x:row>
    <x:row r="3800" spans="1:9" x14ac:dyDescent="0.15">
      <x:c r="A3800">
        <x:v>54202</x:v>
      </x:c>
      <x:c r="B3800">
        <x:v>1</x:v>
      </x:c>
      <x:c r="C3800">
        <x:v>19</x:v>
      </x:c>
      <x:c r="D3800">
        <x:f>ROUND($C3800*10*VLOOKUP($B3800,Sheet2!$J$5:$K$7,2,FALSE)*VLOOKUP(Sheet1!$A3800,Sheet2!$B$5:$H$29,3,FALSE),0)</x:f>
        <x:v>0</x:v>
      </x:c>
      <x:c r="E3800">
        <x:f>ROUND($C3800*10*VLOOKUP($B3800,Sheet2!$J$5:$K$7,2,FALSE)*VLOOKUP(Sheet1!$A3800,Sheet2!$B$5:$H$29,4,FALSE),0)</x:f>
        <x:v>38</x:v>
      </x:c>
      <x:c r="F3800">
        <x:f>ROUND($C3800*10*VLOOKUP($B3800,Sheet2!$J$5:$K$7,2,FALSE)*VLOOKUP(Sheet1!$A3800,Sheet2!$B$5:$H$29,5,FALSE),0)</x:f>
        <x:v>0</x:v>
      </x:c>
      <x:c r="G3800">
        <x:f>ROUND($C3800*10*VLOOKUP($B3800,Sheet2!$J$5:$K$7,2,FALSE)*VLOOKUP(Sheet1!$A3800,Sheet2!$B$5:$H$29,6,FALSE),0)</x:f>
        <x:v>0</x:v>
      </x:c>
      <x:c r="H3800">
        <x:f>ROUND($C3800*10*VLOOKUP($B3800,Sheet2!$J$5:$K$7,2,FALSE)*VLOOKUP(Sheet1!$A3800,Sheet2!$B$5:$H$29,7,FALSE),0)</x:f>
        <x:v>570</x:v>
      </x:c>
      <x:c r="I3800">
        <x:f t="shared" si="63"/>
        <x:v>3960</x:v>
      </x:c>
    </x:row>
    <x:row r="3801" spans="1:9" x14ac:dyDescent="0.15">
      <x:c r="A3801">
        <x:v>54202</x:v>
      </x:c>
      <x:c r="B3801">
        <x:v>1</x:v>
      </x:c>
      <x:c r="C3801">
        <x:v>20</x:v>
      </x:c>
      <x:c r="D3801">
        <x:f>ROUND($C3801*10*VLOOKUP($B3801,Sheet2!$J$5:$K$7,2,FALSE)*VLOOKUP(Sheet1!$A3801,Sheet2!$B$5:$H$29,3,FALSE),0)</x:f>
        <x:v>0</x:v>
      </x:c>
      <x:c r="E3801">
        <x:f>ROUND($C3801*10*VLOOKUP($B3801,Sheet2!$J$5:$K$7,2,FALSE)*VLOOKUP(Sheet1!$A3801,Sheet2!$B$5:$H$29,4,FALSE),0)</x:f>
        <x:v>40</x:v>
      </x:c>
      <x:c r="F3801">
        <x:f>ROUND($C3801*10*VLOOKUP($B3801,Sheet2!$J$5:$K$7,2,FALSE)*VLOOKUP(Sheet1!$A3801,Sheet2!$B$5:$H$29,5,FALSE),0)</x:f>
        <x:v>0</x:v>
      </x:c>
      <x:c r="G3801">
        <x:f>ROUND($C3801*10*VLOOKUP($B3801,Sheet2!$J$5:$K$7,2,FALSE)*VLOOKUP(Sheet1!$A3801,Sheet2!$B$5:$H$29,6,FALSE),0)</x:f>
        <x:v>0</x:v>
      </x:c>
      <x:c r="H3801">
        <x:f>ROUND($C3801*10*VLOOKUP($B3801,Sheet2!$J$5:$K$7,2,FALSE)*VLOOKUP(Sheet1!$A3801,Sheet2!$B$5:$H$29,7,FALSE),0)</x:f>
        <x:v>600</x:v>
      </x:c>
      <x:c r="I3801">
        <x:f t="shared" si="63"/>
        <x:v>4360</x:v>
      </x:c>
    </x:row>
    <x:row r="3802" spans="1:9" x14ac:dyDescent="0.15">
      <x:c r="A3802">
        <x:v>54202</x:v>
      </x:c>
      <x:c r="B3802">
        <x:v>1</x:v>
      </x:c>
      <x:c r="C3802">
        <x:v>21</x:v>
      </x:c>
      <x:c r="D3802">
        <x:f>ROUND($C3802*10*VLOOKUP($B3802,Sheet2!$J$5:$K$7,2,FALSE)*VLOOKUP(Sheet1!$A3802,Sheet2!$B$5:$H$29,3,FALSE),0)</x:f>
        <x:v>0</x:v>
      </x:c>
      <x:c r="E3802">
        <x:f>ROUND($C3802*10*VLOOKUP($B3802,Sheet2!$J$5:$K$7,2,FALSE)*VLOOKUP(Sheet1!$A3802,Sheet2!$B$5:$H$29,4,FALSE),0)</x:f>
        <x:v>42</x:v>
      </x:c>
      <x:c r="F3802">
        <x:f>ROUND($C3802*10*VLOOKUP($B3802,Sheet2!$J$5:$K$7,2,FALSE)*VLOOKUP(Sheet1!$A3802,Sheet2!$B$5:$H$29,5,FALSE),0)</x:f>
        <x:v>0</x:v>
      </x:c>
      <x:c r="G3802">
        <x:f>ROUND($C3802*10*VLOOKUP($B3802,Sheet2!$J$5:$K$7,2,FALSE)*VLOOKUP(Sheet1!$A3802,Sheet2!$B$5:$H$29,6,FALSE),0)</x:f>
        <x:v>0</x:v>
      </x:c>
      <x:c r="H3802">
        <x:f>ROUND($C3802*10*VLOOKUP($B3802,Sheet2!$J$5:$K$7,2,FALSE)*VLOOKUP(Sheet1!$A3802,Sheet2!$B$5:$H$29,7,FALSE),0)</x:f>
        <x:v>630</x:v>
      </x:c>
      <x:c r="I3802">
        <x:f t="shared" si="63"/>
        <x:v>4780</x:v>
      </x:c>
    </x:row>
    <x:row r="3803" spans="1:9" x14ac:dyDescent="0.15">
      <x:c r="A3803">
        <x:v>54202</x:v>
      </x:c>
      <x:c r="B3803">
        <x:v>1</x:v>
      </x:c>
      <x:c r="C3803">
        <x:v>22</x:v>
      </x:c>
      <x:c r="D3803">
        <x:f>ROUND($C3803*10*VLOOKUP($B3803,Sheet2!$J$5:$K$7,2,FALSE)*VLOOKUP(Sheet1!$A3803,Sheet2!$B$5:$H$29,3,FALSE),0)</x:f>
        <x:v>0</x:v>
      </x:c>
      <x:c r="E3803">
        <x:f>ROUND($C3803*10*VLOOKUP($B3803,Sheet2!$J$5:$K$7,2,FALSE)*VLOOKUP(Sheet1!$A3803,Sheet2!$B$5:$H$29,4,FALSE),0)</x:f>
        <x:v>44</x:v>
      </x:c>
      <x:c r="F3803">
        <x:f>ROUND($C3803*10*VLOOKUP($B3803,Sheet2!$J$5:$K$7,2,FALSE)*VLOOKUP(Sheet1!$A3803,Sheet2!$B$5:$H$29,5,FALSE),0)</x:f>
        <x:v>0</x:v>
      </x:c>
      <x:c r="G3803">
        <x:f>ROUND($C3803*10*VLOOKUP($B3803,Sheet2!$J$5:$K$7,2,FALSE)*VLOOKUP(Sheet1!$A3803,Sheet2!$B$5:$H$29,6,FALSE),0)</x:f>
        <x:v>0</x:v>
      </x:c>
      <x:c r="H3803">
        <x:f>ROUND($C3803*10*VLOOKUP($B3803,Sheet2!$J$5:$K$7,2,FALSE)*VLOOKUP(Sheet1!$A3803,Sheet2!$B$5:$H$29,7,FALSE),0)</x:f>
        <x:v>660</x:v>
      </x:c>
      <x:c r="I3803">
        <x:f t="shared" si="63"/>
        <x:v>5210</x:v>
      </x:c>
    </x:row>
    <x:row r="3804" spans="1:9" x14ac:dyDescent="0.15">
      <x:c r="A3804">
        <x:v>54202</x:v>
      </x:c>
      <x:c r="B3804">
        <x:v>1</x:v>
      </x:c>
      <x:c r="C3804">
        <x:v>23</x:v>
      </x:c>
      <x:c r="D3804">
        <x:f>ROUND($C3804*10*VLOOKUP($B3804,Sheet2!$J$5:$K$7,2,FALSE)*VLOOKUP(Sheet1!$A3804,Sheet2!$B$5:$H$29,3,FALSE),0)</x:f>
        <x:v>0</x:v>
      </x:c>
      <x:c r="E3804">
        <x:f>ROUND($C3804*10*VLOOKUP($B3804,Sheet2!$J$5:$K$7,2,FALSE)*VLOOKUP(Sheet1!$A3804,Sheet2!$B$5:$H$29,4,FALSE),0)</x:f>
        <x:v>46</x:v>
      </x:c>
      <x:c r="F3804">
        <x:f>ROUND($C3804*10*VLOOKUP($B3804,Sheet2!$J$5:$K$7,2,FALSE)*VLOOKUP(Sheet1!$A3804,Sheet2!$B$5:$H$29,5,FALSE),0)</x:f>
        <x:v>0</x:v>
      </x:c>
      <x:c r="G3804">
        <x:f>ROUND($C3804*10*VLOOKUP($B3804,Sheet2!$J$5:$K$7,2,FALSE)*VLOOKUP(Sheet1!$A3804,Sheet2!$B$5:$H$29,6,FALSE),0)</x:f>
        <x:v>0</x:v>
      </x:c>
      <x:c r="H3804">
        <x:f>ROUND($C3804*10*VLOOKUP($B3804,Sheet2!$J$5:$K$7,2,FALSE)*VLOOKUP(Sheet1!$A3804,Sheet2!$B$5:$H$29,7,FALSE),0)</x:f>
        <x:v>690</x:v>
      </x:c>
      <x:c r="I3804">
        <x:f t="shared" si="63"/>
        <x:v>5660</x:v>
      </x:c>
    </x:row>
    <x:row r="3805" spans="1:9" x14ac:dyDescent="0.15">
      <x:c r="A3805">
        <x:v>54202</x:v>
      </x:c>
      <x:c r="B3805">
        <x:v>1</x:v>
      </x:c>
      <x:c r="C3805">
        <x:v>24</x:v>
      </x:c>
      <x:c r="D3805">
        <x:f>ROUND($C3805*10*VLOOKUP($B3805,Sheet2!$J$5:$K$7,2,FALSE)*VLOOKUP(Sheet1!$A3805,Sheet2!$B$5:$H$29,3,FALSE),0)</x:f>
        <x:v>0</x:v>
      </x:c>
      <x:c r="E3805">
        <x:f>ROUND($C3805*10*VLOOKUP($B3805,Sheet2!$J$5:$K$7,2,FALSE)*VLOOKUP(Sheet1!$A3805,Sheet2!$B$5:$H$29,4,FALSE),0)</x:f>
        <x:v>48</x:v>
      </x:c>
      <x:c r="F3805">
        <x:f>ROUND($C3805*10*VLOOKUP($B3805,Sheet2!$J$5:$K$7,2,FALSE)*VLOOKUP(Sheet1!$A3805,Sheet2!$B$5:$H$29,5,FALSE),0)</x:f>
        <x:v>0</x:v>
      </x:c>
      <x:c r="G3805">
        <x:f>ROUND($C3805*10*VLOOKUP($B3805,Sheet2!$J$5:$K$7,2,FALSE)*VLOOKUP(Sheet1!$A3805,Sheet2!$B$5:$H$29,6,FALSE),0)</x:f>
        <x:v>0</x:v>
      </x:c>
      <x:c r="H3805">
        <x:f>ROUND($C3805*10*VLOOKUP($B3805,Sheet2!$J$5:$K$7,2,FALSE)*VLOOKUP(Sheet1!$A3805,Sheet2!$B$5:$H$29,7,FALSE),0)</x:f>
        <x:v>720</x:v>
      </x:c>
      <x:c r="I3805">
        <x:f t="shared" si="63"/>
        <x:v>6130</x:v>
      </x:c>
    </x:row>
    <x:row r="3806" spans="1:9" x14ac:dyDescent="0.15">
      <x:c r="A3806">
        <x:v>54202</x:v>
      </x:c>
      <x:c r="B3806">
        <x:v>1</x:v>
      </x:c>
      <x:c r="C3806">
        <x:v>25</x:v>
      </x:c>
      <x:c r="D3806">
        <x:f>ROUND($C3806*10*VLOOKUP($B3806,Sheet2!$J$5:$K$7,2,FALSE)*VLOOKUP(Sheet1!$A3806,Sheet2!$B$5:$H$29,3,FALSE),0)</x:f>
        <x:v>0</x:v>
      </x:c>
      <x:c r="E3806">
        <x:f>ROUND($C3806*10*VLOOKUP($B3806,Sheet2!$J$5:$K$7,2,FALSE)*VLOOKUP(Sheet1!$A3806,Sheet2!$B$5:$H$29,4,FALSE),0)</x:f>
        <x:v>50</x:v>
      </x:c>
      <x:c r="F3806">
        <x:f>ROUND($C3806*10*VLOOKUP($B3806,Sheet2!$J$5:$K$7,2,FALSE)*VLOOKUP(Sheet1!$A3806,Sheet2!$B$5:$H$29,5,FALSE),0)</x:f>
        <x:v>0</x:v>
      </x:c>
      <x:c r="G3806">
        <x:f>ROUND($C3806*10*VLOOKUP($B3806,Sheet2!$J$5:$K$7,2,FALSE)*VLOOKUP(Sheet1!$A3806,Sheet2!$B$5:$H$29,6,FALSE),0)</x:f>
        <x:v>0</x:v>
      </x:c>
      <x:c r="H3806">
        <x:f>ROUND($C3806*10*VLOOKUP($B3806,Sheet2!$J$5:$K$7,2,FALSE)*VLOOKUP(Sheet1!$A3806,Sheet2!$B$5:$H$29,7,FALSE),0)</x:f>
        <x:v>750</x:v>
      </x:c>
      <x:c r="I3806">
        <x:f t="shared" si="63"/>
        <x:v>6620</x:v>
      </x:c>
    </x:row>
    <x:row r="3807" spans="1:9" x14ac:dyDescent="0.15">
      <x:c r="A3807">
        <x:v>54202</x:v>
      </x:c>
      <x:c r="B3807">
        <x:v>1</x:v>
      </x:c>
      <x:c r="C3807">
        <x:v>26</x:v>
      </x:c>
      <x:c r="D3807">
        <x:f>ROUND($C3807*10*VLOOKUP($B3807,Sheet2!$J$5:$K$7,2,FALSE)*VLOOKUP(Sheet1!$A3807,Sheet2!$B$5:$H$29,3,FALSE),0)</x:f>
        <x:v>0</x:v>
      </x:c>
      <x:c r="E3807">
        <x:f>ROUND($C3807*10*VLOOKUP($B3807,Sheet2!$J$5:$K$7,2,FALSE)*VLOOKUP(Sheet1!$A3807,Sheet2!$B$5:$H$29,4,FALSE),0)</x:f>
        <x:v>52</x:v>
      </x:c>
      <x:c r="F3807">
        <x:f>ROUND($C3807*10*VLOOKUP($B3807,Sheet2!$J$5:$K$7,2,FALSE)*VLOOKUP(Sheet1!$A3807,Sheet2!$B$5:$H$29,5,FALSE),0)</x:f>
        <x:v>0</x:v>
      </x:c>
      <x:c r="G3807">
        <x:f>ROUND($C3807*10*VLOOKUP($B3807,Sheet2!$J$5:$K$7,2,FALSE)*VLOOKUP(Sheet1!$A3807,Sheet2!$B$5:$H$29,6,FALSE),0)</x:f>
        <x:v>0</x:v>
      </x:c>
      <x:c r="H3807">
        <x:f>ROUND($C3807*10*VLOOKUP($B3807,Sheet2!$J$5:$K$7,2,FALSE)*VLOOKUP(Sheet1!$A3807,Sheet2!$B$5:$H$29,7,FALSE),0)</x:f>
        <x:v>780</x:v>
      </x:c>
      <x:c r="I3807">
        <x:f t="shared" si="63"/>
        <x:v>7120</x:v>
      </x:c>
    </x:row>
    <x:row r="3808" spans="1:9" x14ac:dyDescent="0.15">
      <x:c r="A3808">
        <x:v>54202</x:v>
      </x:c>
      <x:c r="B3808">
        <x:v>1</x:v>
      </x:c>
      <x:c r="C3808">
        <x:v>27</x:v>
      </x:c>
      <x:c r="D3808">
        <x:f>ROUND($C3808*10*VLOOKUP($B3808,Sheet2!$J$5:$K$7,2,FALSE)*VLOOKUP(Sheet1!$A3808,Sheet2!$B$5:$H$29,3,FALSE),0)</x:f>
        <x:v>0</x:v>
      </x:c>
      <x:c r="E3808">
        <x:f>ROUND($C3808*10*VLOOKUP($B3808,Sheet2!$J$5:$K$7,2,FALSE)*VLOOKUP(Sheet1!$A3808,Sheet2!$B$5:$H$29,4,FALSE),0)</x:f>
        <x:v>54</x:v>
      </x:c>
      <x:c r="F3808">
        <x:f>ROUND($C3808*10*VLOOKUP($B3808,Sheet2!$J$5:$K$7,2,FALSE)*VLOOKUP(Sheet1!$A3808,Sheet2!$B$5:$H$29,5,FALSE),0)</x:f>
        <x:v>0</x:v>
      </x:c>
      <x:c r="G3808">
        <x:f>ROUND($C3808*10*VLOOKUP($B3808,Sheet2!$J$5:$K$7,2,FALSE)*VLOOKUP(Sheet1!$A3808,Sheet2!$B$5:$H$29,6,FALSE),0)</x:f>
        <x:v>0</x:v>
      </x:c>
      <x:c r="H3808">
        <x:f>ROUND($C3808*10*VLOOKUP($B3808,Sheet2!$J$5:$K$7,2,FALSE)*VLOOKUP(Sheet1!$A3808,Sheet2!$B$5:$H$29,7,FALSE),0)</x:f>
        <x:v>810</x:v>
      </x:c>
      <x:c r="I3808">
        <x:f t="shared" si="63"/>
        <x:v>7640</x:v>
      </x:c>
    </x:row>
    <x:row r="3809" spans="1:9" x14ac:dyDescent="0.15">
      <x:c r="A3809">
        <x:v>54202</x:v>
      </x:c>
      <x:c r="B3809">
        <x:v>1</x:v>
      </x:c>
      <x:c r="C3809">
        <x:v>28</x:v>
      </x:c>
      <x:c r="D3809">
        <x:f>ROUND($C3809*10*VLOOKUP($B3809,Sheet2!$J$5:$K$7,2,FALSE)*VLOOKUP(Sheet1!$A3809,Sheet2!$B$5:$H$29,3,FALSE),0)</x:f>
        <x:v>0</x:v>
      </x:c>
      <x:c r="E3809">
        <x:f>ROUND($C3809*10*VLOOKUP($B3809,Sheet2!$J$5:$K$7,2,FALSE)*VLOOKUP(Sheet1!$A3809,Sheet2!$B$5:$H$29,4,FALSE),0)</x:f>
        <x:v>56</x:v>
      </x:c>
      <x:c r="F3809">
        <x:f>ROUND($C3809*10*VLOOKUP($B3809,Sheet2!$J$5:$K$7,2,FALSE)*VLOOKUP(Sheet1!$A3809,Sheet2!$B$5:$H$29,5,FALSE),0)</x:f>
        <x:v>0</x:v>
      </x:c>
      <x:c r="G3809">
        <x:f>ROUND($C3809*10*VLOOKUP($B3809,Sheet2!$J$5:$K$7,2,FALSE)*VLOOKUP(Sheet1!$A3809,Sheet2!$B$5:$H$29,6,FALSE),0)</x:f>
        <x:v>0</x:v>
      </x:c>
      <x:c r="H3809">
        <x:f>ROUND($C3809*10*VLOOKUP($B3809,Sheet2!$J$5:$K$7,2,FALSE)*VLOOKUP(Sheet1!$A3809,Sheet2!$B$5:$H$29,7,FALSE),0)</x:f>
        <x:v>840</x:v>
      </x:c>
      <x:c r="I3809">
        <x:f t="shared" si="63"/>
        <x:v>8180</x:v>
      </x:c>
    </x:row>
    <x:row r="3810" spans="1:9" x14ac:dyDescent="0.15">
      <x:c r="A3810">
        <x:v>54202</x:v>
      </x:c>
      <x:c r="B3810">
        <x:v>1</x:v>
      </x:c>
      <x:c r="C3810">
        <x:v>29</x:v>
      </x:c>
      <x:c r="D3810">
        <x:f>ROUND($C3810*10*VLOOKUP($B3810,Sheet2!$J$5:$K$7,2,FALSE)*VLOOKUP(Sheet1!$A3810,Sheet2!$B$5:$H$29,3,FALSE),0)</x:f>
        <x:v>0</x:v>
      </x:c>
      <x:c r="E3810">
        <x:f>ROUND($C3810*10*VLOOKUP($B3810,Sheet2!$J$5:$K$7,2,FALSE)*VLOOKUP(Sheet1!$A3810,Sheet2!$B$5:$H$29,4,FALSE),0)</x:f>
        <x:v>58</x:v>
      </x:c>
      <x:c r="F3810">
        <x:f>ROUND($C3810*10*VLOOKUP($B3810,Sheet2!$J$5:$K$7,2,FALSE)*VLOOKUP(Sheet1!$A3810,Sheet2!$B$5:$H$29,5,FALSE),0)</x:f>
        <x:v>0</x:v>
      </x:c>
      <x:c r="G3810">
        <x:f>ROUND($C3810*10*VLOOKUP($B3810,Sheet2!$J$5:$K$7,2,FALSE)*VLOOKUP(Sheet1!$A3810,Sheet2!$B$5:$H$29,6,FALSE),0)</x:f>
        <x:v>0</x:v>
      </x:c>
      <x:c r="H3810">
        <x:f>ROUND($C3810*10*VLOOKUP($B3810,Sheet2!$J$5:$K$7,2,FALSE)*VLOOKUP(Sheet1!$A3810,Sheet2!$B$5:$H$29,7,FALSE),0)</x:f>
        <x:v>870</x:v>
      </x:c>
      <x:c r="I3810">
        <x:f t="shared" si="63"/>
        <x:v>8730</x:v>
      </x:c>
    </x:row>
    <x:row r="3811" spans="1:9" x14ac:dyDescent="0.15">
      <x:c r="A3811">
        <x:v>54202</x:v>
      </x:c>
      <x:c r="B3811">
        <x:v>1</x:v>
      </x:c>
      <x:c r="C3811">
        <x:v>30</x:v>
      </x:c>
      <x:c r="D3811">
        <x:f>ROUND($C3811*10*VLOOKUP($B3811,Sheet2!$J$5:$K$7,2,FALSE)*VLOOKUP(Sheet1!$A3811,Sheet2!$B$5:$H$29,3,FALSE),0)</x:f>
        <x:v>0</x:v>
      </x:c>
      <x:c r="E3811">
        <x:f>ROUND($C3811*10*VLOOKUP($B3811,Sheet2!$J$5:$K$7,2,FALSE)*VLOOKUP(Sheet1!$A3811,Sheet2!$B$5:$H$29,4,FALSE),0)</x:f>
        <x:v>60</x:v>
      </x:c>
      <x:c r="F3811">
        <x:f>ROUND($C3811*10*VLOOKUP($B3811,Sheet2!$J$5:$K$7,2,FALSE)*VLOOKUP(Sheet1!$A3811,Sheet2!$B$5:$H$29,5,FALSE),0)</x:f>
        <x:v>0</x:v>
      </x:c>
      <x:c r="G3811">
        <x:f>ROUND($C3811*10*VLOOKUP($B3811,Sheet2!$J$5:$K$7,2,FALSE)*VLOOKUP(Sheet1!$A3811,Sheet2!$B$5:$H$29,6,FALSE),0)</x:f>
        <x:v>0</x:v>
      </x:c>
      <x:c r="H3811">
        <x:f>ROUND($C3811*10*VLOOKUP($B3811,Sheet2!$J$5:$K$7,2,FALSE)*VLOOKUP(Sheet1!$A3811,Sheet2!$B$5:$H$29,7,FALSE),0)</x:f>
        <x:v>900</x:v>
      </x:c>
      <x:c r="I3811">
        <x:f t="shared" si="63"/>
        <x:v>9290</x:v>
      </x:c>
    </x:row>
    <x:row r="3812" spans="1:9" x14ac:dyDescent="0.15">
      <x:c r="A3812">
        <x:v>54202</x:v>
      </x:c>
      <x:c r="B3812">
        <x:v>1</x:v>
      </x:c>
      <x:c r="C3812">
        <x:v>31</x:v>
      </x:c>
      <x:c r="D3812">
        <x:f>ROUND($C3812*10*VLOOKUP($B3812,Sheet2!$J$5:$K$7,2,FALSE)*VLOOKUP(Sheet1!$A3812,Sheet2!$B$5:$H$29,3,FALSE),0)</x:f>
        <x:v>0</x:v>
      </x:c>
      <x:c r="E3812">
        <x:f>ROUND($C3812*10*VLOOKUP($B3812,Sheet2!$J$5:$K$7,2,FALSE)*VLOOKUP(Sheet1!$A3812,Sheet2!$B$5:$H$29,4,FALSE),0)</x:f>
        <x:v>62</x:v>
      </x:c>
      <x:c r="F3812">
        <x:f>ROUND($C3812*10*VLOOKUP($B3812,Sheet2!$J$5:$K$7,2,FALSE)*VLOOKUP(Sheet1!$A3812,Sheet2!$B$5:$H$29,5,FALSE),0)</x:f>
        <x:v>0</x:v>
      </x:c>
      <x:c r="G3812">
        <x:f>ROUND($C3812*10*VLOOKUP($B3812,Sheet2!$J$5:$K$7,2,FALSE)*VLOOKUP(Sheet1!$A3812,Sheet2!$B$5:$H$29,6,FALSE),0)</x:f>
        <x:v>0</x:v>
      </x:c>
      <x:c r="H3812">
        <x:f>ROUND($C3812*10*VLOOKUP($B3812,Sheet2!$J$5:$K$7,2,FALSE)*VLOOKUP(Sheet1!$A3812,Sheet2!$B$5:$H$29,7,FALSE),0)</x:f>
        <x:v>930</x:v>
      </x:c>
      <x:c r="I3812">
        <x:f t="shared" si="63"/>
        <x:v>9880</x:v>
      </x:c>
    </x:row>
    <x:row r="3813" spans="1:9" x14ac:dyDescent="0.15">
      <x:c r="A3813">
        <x:v>54202</x:v>
      </x:c>
      <x:c r="B3813">
        <x:v>1</x:v>
      </x:c>
      <x:c r="C3813">
        <x:v>32</x:v>
      </x:c>
      <x:c r="D3813">
        <x:f>ROUND($C3813*10*VLOOKUP($B3813,Sheet2!$J$5:$K$7,2,FALSE)*VLOOKUP(Sheet1!$A3813,Sheet2!$B$5:$H$29,3,FALSE),0)</x:f>
        <x:v>0</x:v>
      </x:c>
      <x:c r="E3813">
        <x:f>ROUND($C3813*10*VLOOKUP($B3813,Sheet2!$J$5:$K$7,2,FALSE)*VLOOKUP(Sheet1!$A3813,Sheet2!$B$5:$H$29,4,FALSE),0)</x:f>
        <x:v>64</x:v>
      </x:c>
      <x:c r="F3813">
        <x:f>ROUND($C3813*10*VLOOKUP($B3813,Sheet2!$J$5:$K$7,2,FALSE)*VLOOKUP(Sheet1!$A3813,Sheet2!$B$5:$H$29,5,FALSE),0)</x:f>
        <x:v>0</x:v>
      </x:c>
      <x:c r="G3813">
        <x:f>ROUND($C3813*10*VLOOKUP($B3813,Sheet2!$J$5:$K$7,2,FALSE)*VLOOKUP(Sheet1!$A3813,Sheet2!$B$5:$H$29,6,FALSE),0)</x:f>
        <x:v>0</x:v>
      </x:c>
      <x:c r="H3813">
        <x:f>ROUND($C3813*10*VLOOKUP($B3813,Sheet2!$J$5:$K$7,2,FALSE)*VLOOKUP(Sheet1!$A3813,Sheet2!$B$5:$H$29,7,FALSE),0)</x:f>
        <x:v>960</x:v>
      </x:c>
      <x:c r="I3813">
        <x:f t="shared" si="63"/>
        <x:v>10470</x:v>
      </x:c>
    </x:row>
    <x:row r="3814" spans="1:9" x14ac:dyDescent="0.15">
      <x:c r="A3814">
        <x:v>54202</x:v>
      </x:c>
      <x:c r="B3814">
        <x:v>1</x:v>
      </x:c>
      <x:c r="C3814">
        <x:v>33</x:v>
      </x:c>
      <x:c r="D3814">
        <x:f>ROUND($C3814*10*VLOOKUP($B3814,Sheet2!$J$5:$K$7,2,FALSE)*VLOOKUP(Sheet1!$A3814,Sheet2!$B$5:$H$29,3,FALSE),0)</x:f>
        <x:v>0</x:v>
      </x:c>
      <x:c r="E3814">
        <x:f>ROUND($C3814*10*VLOOKUP($B3814,Sheet2!$J$5:$K$7,2,FALSE)*VLOOKUP(Sheet1!$A3814,Sheet2!$B$5:$H$29,4,FALSE),0)</x:f>
        <x:v>66</x:v>
      </x:c>
      <x:c r="F3814">
        <x:f>ROUND($C3814*10*VLOOKUP($B3814,Sheet2!$J$5:$K$7,2,FALSE)*VLOOKUP(Sheet1!$A3814,Sheet2!$B$5:$H$29,5,FALSE),0)</x:f>
        <x:v>0</x:v>
      </x:c>
      <x:c r="G3814">
        <x:f>ROUND($C3814*10*VLOOKUP($B3814,Sheet2!$J$5:$K$7,2,FALSE)*VLOOKUP(Sheet1!$A3814,Sheet2!$B$5:$H$29,6,FALSE),0)</x:f>
        <x:v>0</x:v>
      </x:c>
      <x:c r="H3814">
        <x:f>ROUND($C3814*10*VLOOKUP($B3814,Sheet2!$J$5:$K$7,2,FALSE)*VLOOKUP(Sheet1!$A3814,Sheet2!$B$5:$H$29,7,FALSE),0)</x:f>
        <x:v>990</x:v>
      </x:c>
      <x:c r="I3814">
        <x:f t="shared" si="63"/>
        <x:v>11090</x:v>
      </x:c>
    </x:row>
    <x:row r="3815" spans="1:9" x14ac:dyDescent="0.15">
      <x:c r="A3815">
        <x:v>54202</x:v>
      </x:c>
      <x:c r="B3815">
        <x:v>1</x:v>
      </x:c>
      <x:c r="C3815">
        <x:v>34</x:v>
      </x:c>
      <x:c r="D3815">
        <x:f>ROUND($C3815*10*VLOOKUP($B3815,Sheet2!$J$5:$K$7,2,FALSE)*VLOOKUP(Sheet1!$A3815,Sheet2!$B$5:$H$29,3,FALSE),0)</x:f>
        <x:v>0</x:v>
      </x:c>
      <x:c r="E3815">
        <x:f>ROUND($C3815*10*VLOOKUP($B3815,Sheet2!$J$5:$K$7,2,FALSE)*VLOOKUP(Sheet1!$A3815,Sheet2!$B$5:$H$29,4,FALSE),0)</x:f>
        <x:v>68</x:v>
      </x:c>
      <x:c r="F3815">
        <x:f>ROUND($C3815*10*VLOOKUP($B3815,Sheet2!$J$5:$K$7,2,FALSE)*VLOOKUP(Sheet1!$A3815,Sheet2!$B$5:$H$29,5,FALSE),0)</x:f>
        <x:v>0</x:v>
      </x:c>
      <x:c r="G3815">
        <x:f>ROUND($C3815*10*VLOOKUP($B3815,Sheet2!$J$5:$K$7,2,FALSE)*VLOOKUP(Sheet1!$A3815,Sheet2!$B$5:$H$29,6,FALSE),0)</x:f>
        <x:v>0</x:v>
      </x:c>
      <x:c r="H3815">
        <x:f>ROUND($C3815*10*VLOOKUP($B3815,Sheet2!$J$5:$K$7,2,FALSE)*VLOOKUP(Sheet1!$A3815,Sheet2!$B$5:$H$29,7,FALSE),0)</x:f>
        <x:v>1020</x:v>
      </x:c>
      <x:c r="I3815">
        <x:f t="shared" si="63"/>
        <x:v>11720</x:v>
      </x:c>
    </x:row>
    <x:row r="3816" spans="1:9" x14ac:dyDescent="0.15">
      <x:c r="A3816">
        <x:v>54202</x:v>
      </x:c>
      <x:c r="B3816">
        <x:v>1</x:v>
      </x:c>
      <x:c r="C3816">
        <x:v>35</x:v>
      </x:c>
      <x:c r="D3816">
        <x:f>ROUND($C3816*10*VLOOKUP($B3816,Sheet2!$J$5:$K$7,2,FALSE)*VLOOKUP(Sheet1!$A3816,Sheet2!$B$5:$H$29,3,FALSE),0)</x:f>
        <x:v>0</x:v>
      </x:c>
      <x:c r="E3816">
        <x:f>ROUND($C3816*10*VLOOKUP($B3816,Sheet2!$J$5:$K$7,2,FALSE)*VLOOKUP(Sheet1!$A3816,Sheet2!$B$5:$H$29,4,FALSE),0)</x:f>
        <x:v>70</x:v>
      </x:c>
      <x:c r="F3816">
        <x:f>ROUND($C3816*10*VLOOKUP($B3816,Sheet2!$J$5:$K$7,2,FALSE)*VLOOKUP(Sheet1!$A3816,Sheet2!$B$5:$H$29,5,FALSE),0)</x:f>
        <x:v>0</x:v>
      </x:c>
      <x:c r="G3816">
        <x:f>ROUND($C3816*10*VLOOKUP($B3816,Sheet2!$J$5:$K$7,2,FALSE)*VLOOKUP(Sheet1!$A3816,Sheet2!$B$5:$H$29,6,FALSE),0)</x:f>
        <x:v>0</x:v>
      </x:c>
      <x:c r="H3816">
        <x:f>ROUND($C3816*10*VLOOKUP($B3816,Sheet2!$J$5:$K$7,2,FALSE)*VLOOKUP(Sheet1!$A3816,Sheet2!$B$5:$H$29,7,FALSE),0)</x:f>
        <x:v>1050</x:v>
      </x:c>
      <x:c r="I3816">
        <x:f t="shared" si="63"/>
        <x:v>12360</x:v>
      </x:c>
    </x:row>
    <x:row r="3817" spans="1:9" x14ac:dyDescent="0.15">
      <x:c r="A3817">
        <x:v>54202</x:v>
      </x:c>
      <x:c r="B3817">
        <x:v>1</x:v>
      </x:c>
      <x:c r="C3817">
        <x:v>36</x:v>
      </x:c>
      <x:c r="D3817">
        <x:f>ROUND($C3817*10*VLOOKUP($B3817,Sheet2!$J$5:$K$7,2,FALSE)*VLOOKUP(Sheet1!$A3817,Sheet2!$B$5:$H$29,3,FALSE),0)</x:f>
        <x:v>0</x:v>
      </x:c>
      <x:c r="E3817">
        <x:f>ROUND($C3817*10*VLOOKUP($B3817,Sheet2!$J$5:$K$7,2,FALSE)*VLOOKUP(Sheet1!$A3817,Sheet2!$B$5:$H$29,4,FALSE),0)</x:f>
        <x:v>72</x:v>
      </x:c>
      <x:c r="F3817">
        <x:f>ROUND($C3817*10*VLOOKUP($B3817,Sheet2!$J$5:$K$7,2,FALSE)*VLOOKUP(Sheet1!$A3817,Sheet2!$B$5:$H$29,5,FALSE),0)</x:f>
        <x:v>0</x:v>
      </x:c>
      <x:c r="G3817">
        <x:f>ROUND($C3817*10*VLOOKUP($B3817,Sheet2!$J$5:$K$7,2,FALSE)*VLOOKUP(Sheet1!$A3817,Sheet2!$B$5:$H$29,6,FALSE),0)</x:f>
        <x:v>0</x:v>
      </x:c>
      <x:c r="H3817">
        <x:f>ROUND($C3817*10*VLOOKUP($B3817,Sheet2!$J$5:$K$7,2,FALSE)*VLOOKUP(Sheet1!$A3817,Sheet2!$B$5:$H$29,7,FALSE),0)</x:f>
        <x:v>1080</x:v>
      </x:c>
      <x:c r="I3817">
        <x:f t="shared" si="63"/>
        <x:v>13020</x:v>
      </x:c>
    </x:row>
    <x:row r="3818" spans="1:9" x14ac:dyDescent="0.15">
      <x:c r="A3818">
        <x:v>54202</x:v>
      </x:c>
      <x:c r="B3818">
        <x:v>1</x:v>
      </x:c>
      <x:c r="C3818">
        <x:v>37</x:v>
      </x:c>
      <x:c r="D3818">
        <x:f>ROUND($C3818*10*VLOOKUP($B3818,Sheet2!$J$5:$K$7,2,FALSE)*VLOOKUP(Sheet1!$A3818,Sheet2!$B$5:$H$29,3,FALSE),0)</x:f>
        <x:v>0</x:v>
      </x:c>
      <x:c r="E3818">
        <x:f>ROUND($C3818*10*VLOOKUP($B3818,Sheet2!$J$5:$K$7,2,FALSE)*VLOOKUP(Sheet1!$A3818,Sheet2!$B$5:$H$29,4,FALSE),0)</x:f>
        <x:v>74</x:v>
      </x:c>
      <x:c r="F3818">
        <x:f>ROUND($C3818*10*VLOOKUP($B3818,Sheet2!$J$5:$K$7,2,FALSE)*VLOOKUP(Sheet1!$A3818,Sheet2!$B$5:$H$29,5,FALSE),0)</x:f>
        <x:v>0</x:v>
      </x:c>
      <x:c r="G3818">
        <x:f>ROUND($C3818*10*VLOOKUP($B3818,Sheet2!$J$5:$K$7,2,FALSE)*VLOOKUP(Sheet1!$A3818,Sheet2!$B$5:$H$29,6,FALSE),0)</x:f>
        <x:v>0</x:v>
      </x:c>
      <x:c r="H3818">
        <x:f>ROUND($C3818*10*VLOOKUP($B3818,Sheet2!$J$5:$K$7,2,FALSE)*VLOOKUP(Sheet1!$A3818,Sheet2!$B$5:$H$29,7,FALSE),0)</x:f>
        <x:v>1110</x:v>
      </x:c>
      <x:c r="I3818">
        <x:f t="shared" si="63"/>
        <x:v>13700</x:v>
      </x:c>
    </x:row>
    <x:row r="3819" spans="1:9" x14ac:dyDescent="0.15">
      <x:c r="A3819">
        <x:v>54202</x:v>
      </x:c>
      <x:c r="B3819">
        <x:v>1</x:v>
      </x:c>
      <x:c r="C3819">
        <x:v>38</x:v>
      </x:c>
      <x:c r="D3819">
        <x:f>ROUND($C3819*10*VLOOKUP($B3819,Sheet2!$J$5:$K$7,2,FALSE)*VLOOKUP(Sheet1!$A3819,Sheet2!$B$5:$H$29,3,FALSE),0)</x:f>
        <x:v>0</x:v>
      </x:c>
      <x:c r="E3819">
        <x:f>ROUND($C3819*10*VLOOKUP($B3819,Sheet2!$J$5:$K$7,2,FALSE)*VLOOKUP(Sheet1!$A3819,Sheet2!$B$5:$H$29,4,FALSE),0)</x:f>
        <x:v>76</x:v>
      </x:c>
      <x:c r="F3819">
        <x:f>ROUND($C3819*10*VLOOKUP($B3819,Sheet2!$J$5:$K$7,2,FALSE)*VLOOKUP(Sheet1!$A3819,Sheet2!$B$5:$H$29,5,FALSE),0)</x:f>
        <x:v>0</x:v>
      </x:c>
      <x:c r="G3819">
        <x:f>ROUND($C3819*10*VLOOKUP($B3819,Sheet2!$J$5:$K$7,2,FALSE)*VLOOKUP(Sheet1!$A3819,Sheet2!$B$5:$H$29,6,FALSE),0)</x:f>
        <x:v>0</x:v>
      </x:c>
      <x:c r="H3819">
        <x:f>ROUND($C3819*10*VLOOKUP($B3819,Sheet2!$J$5:$K$7,2,FALSE)*VLOOKUP(Sheet1!$A3819,Sheet2!$B$5:$H$29,7,FALSE),0)</x:f>
        <x:v>1140</x:v>
      </x:c>
      <x:c r="I3819">
        <x:f t="shared" si="63"/>
        <x:v>14390</x:v>
      </x:c>
    </x:row>
    <x:row r="3820" spans="1:9" x14ac:dyDescent="0.15">
      <x:c r="A3820">
        <x:v>54202</x:v>
      </x:c>
      <x:c r="B3820">
        <x:v>1</x:v>
      </x:c>
      <x:c r="C3820">
        <x:v>39</x:v>
      </x:c>
      <x:c r="D3820">
        <x:f>ROUND($C3820*10*VLOOKUP($B3820,Sheet2!$J$5:$K$7,2,FALSE)*VLOOKUP(Sheet1!$A3820,Sheet2!$B$5:$H$29,3,FALSE),0)</x:f>
        <x:v>0</x:v>
      </x:c>
      <x:c r="E3820">
        <x:f>ROUND($C3820*10*VLOOKUP($B3820,Sheet2!$J$5:$K$7,2,FALSE)*VLOOKUP(Sheet1!$A3820,Sheet2!$B$5:$H$29,4,FALSE),0)</x:f>
        <x:v>78</x:v>
      </x:c>
      <x:c r="F3820">
        <x:f>ROUND($C3820*10*VLOOKUP($B3820,Sheet2!$J$5:$K$7,2,FALSE)*VLOOKUP(Sheet1!$A3820,Sheet2!$B$5:$H$29,5,FALSE),0)</x:f>
        <x:v>0</x:v>
      </x:c>
      <x:c r="G3820">
        <x:f>ROUND($C3820*10*VLOOKUP($B3820,Sheet2!$J$5:$K$7,2,FALSE)*VLOOKUP(Sheet1!$A3820,Sheet2!$B$5:$H$29,6,FALSE),0)</x:f>
        <x:v>0</x:v>
      </x:c>
      <x:c r="H3820">
        <x:f>ROUND($C3820*10*VLOOKUP($B3820,Sheet2!$J$5:$K$7,2,FALSE)*VLOOKUP(Sheet1!$A3820,Sheet2!$B$5:$H$29,7,FALSE),0)</x:f>
        <x:v>1170</x:v>
      </x:c>
      <x:c r="I3820">
        <x:f t="shared" si="63"/>
        <x:v>15100</x:v>
      </x:c>
    </x:row>
    <x:row r="3821" spans="1:9" x14ac:dyDescent="0.15">
      <x:c r="A3821">
        <x:v>54202</x:v>
      </x:c>
      <x:c r="B3821">
        <x:v>1</x:v>
      </x:c>
      <x:c r="C3821">
        <x:v>40</x:v>
      </x:c>
      <x:c r="D3821">
        <x:f>ROUND($C3821*10*VLOOKUP($B3821,Sheet2!$J$5:$K$7,2,FALSE)*VLOOKUP(Sheet1!$A3821,Sheet2!$B$5:$H$29,3,FALSE),0)</x:f>
        <x:v>0</x:v>
      </x:c>
      <x:c r="E3821">
        <x:f>ROUND($C3821*10*VLOOKUP($B3821,Sheet2!$J$5:$K$7,2,FALSE)*VLOOKUP(Sheet1!$A3821,Sheet2!$B$5:$H$29,4,FALSE),0)</x:f>
        <x:v>80</x:v>
      </x:c>
      <x:c r="F3821">
        <x:f>ROUND($C3821*10*VLOOKUP($B3821,Sheet2!$J$5:$K$7,2,FALSE)*VLOOKUP(Sheet1!$A3821,Sheet2!$B$5:$H$29,5,FALSE),0)</x:f>
        <x:v>0</x:v>
      </x:c>
      <x:c r="G3821">
        <x:f>ROUND($C3821*10*VLOOKUP($B3821,Sheet2!$J$5:$K$7,2,FALSE)*VLOOKUP(Sheet1!$A3821,Sheet2!$B$5:$H$29,6,FALSE),0)</x:f>
        <x:v>0</x:v>
      </x:c>
      <x:c r="H3821">
        <x:f>ROUND($C3821*10*VLOOKUP($B3821,Sheet2!$J$5:$K$7,2,FALSE)*VLOOKUP(Sheet1!$A3821,Sheet2!$B$5:$H$29,7,FALSE),0)</x:f>
        <x:v>1200</x:v>
      </x:c>
      <x:c r="I3821">
        <x:f t="shared" si="63"/>
        <x:v>15820</x:v>
      </x:c>
    </x:row>
    <x:row r="3822" spans="1:9" x14ac:dyDescent="0.15">
      <x:c r="A3822">
        <x:v>54202</x:v>
      </x:c>
      <x:c r="B3822">
        <x:v>1</x:v>
      </x:c>
      <x:c r="C3822">
        <x:v>41</x:v>
      </x:c>
      <x:c r="D3822">
        <x:f>ROUND($C3822*10*VLOOKUP($B3822,Sheet2!$J$5:$K$7,2,FALSE)*VLOOKUP(Sheet1!$A3822,Sheet2!$B$5:$H$29,3,FALSE),0)</x:f>
        <x:v>0</x:v>
      </x:c>
      <x:c r="E3822">
        <x:f>ROUND($C3822*10*VLOOKUP($B3822,Sheet2!$J$5:$K$7,2,FALSE)*VLOOKUP(Sheet1!$A3822,Sheet2!$B$5:$H$29,4,FALSE),0)</x:f>
        <x:v>82</x:v>
      </x:c>
      <x:c r="F3822">
        <x:f>ROUND($C3822*10*VLOOKUP($B3822,Sheet2!$J$5:$K$7,2,FALSE)*VLOOKUP(Sheet1!$A3822,Sheet2!$B$5:$H$29,5,FALSE),0)</x:f>
        <x:v>0</x:v>
      </x:c>
      <x:c r="G3822">
        <x:f>ROUND($C3822*10*VLOOKUP($B3822,Sheet2!$J$5:$K$7,2,FALSE)*VLOOKUP(Sheet1!$A3822,Sheet2!$B$5:$H$29,6,FALSE),0)</x:f>
        <x:v>0</x:v>
      </x:c>
      <x:c r="H3822">
        <x:f>ROUND($C3822*10*VLOOKUP($B3822,Sheet2!$J$5:$K$7,2,FALSE)*VLOOKUP(Sheet1!$A3822,Sheet2!$B$5:$H$29,7,FALSE),0)</x:f>
        <x:v>1230</x:v>
      </x:c>
      <x:c r="I3822">
        <x:f t="shared" si="63"/>
        <x:v>16560</x:v>
      </x:c>
    </x:row>
    <x:row r="3823" spans="1:9" x14ac:dyDescent="0.15">
      <x:c r="A3823">
        <x:v>54202</x:v>
      </x:c>
      <x:c r="B3823">
        <x:v>1</x:v>
      </x:c>
      <x:c r="C3823">
        <x:v>42</x:v>
      </x:c>
      <x:c r="D3823">
        <x:f>ROUND($C3823*10*VLOOKUP($B3823,Sheet2!$J$5:$K$7,2,FALSE)*VLOOKUP(Sheet1!$A3823,Sheet2!$B$5:$H$29,3,FALSE),0)</x:f>
        <x:v>0</x:v>
      </x:c>
      <x:c r="E3823">
        <x:f>ROUND($C3823*10*VLOOKUP($B3823,Sheet2!$J$5:$K$7,2,FALSE)*VLOOKUP(Sheet1!$A3823,Sheet2!$B$5:$H$29,4,FALSE),0)</x:f>
        <x:v>84</x:v>
      </x:c>
      <x:c r="F3823">
        <x:f>ROUND($C3823*10*VLOOKUP($B3823,Sheet2!$J$5:$K$7,2,FALSE)*VLOOKUP(Sheet1!$A3823,Sheet2!$B$5:$H$29,5,FALSE),0)</x:f>
        <x:v>0</x:v>
      </x:c>
      <x:c r="G3823">
        <x:f>ROUND($C3823*10*VLOOKUP($B3823,Sheet2!$J$5:$K$7,2,FALSE)*VLOOKUP(Sheet1!$A3823,Sheet2!$B$5:$H$29,6,FALSE),0)</x:f>
        <x:v>0</x:v>
      </x:c>
      <x:c r="H3823">
        <x:f>ROUND($C3823*10*VLOOKUP($B3823,Sheet2!$J$5:$K$7,2,FALSE)*VLOOKUP(Sheet1!$A3823,Sheet2!$B$5:$H$29,7,FALSE),0)</x:f>
        <x:v>1260</x:v>
      </x:c>
      <x:c r="I3823">
        <x:f t="shared" si="63"/>
        <x:v>17310</x:v>
      </x:c>
    </x:row>
    <x:row r="3824" spans="1:9" x14ac:dyDescent="0.15">
      <x:c r="A3824">
        <x:v>54202</x:v>
      </x:c>
      <x:c r="B3824">
        <x:v>1</x:v>
      </x:c>
      <x:c r="C3824">
        <x:v>43</x:v>
      </x:c>
      <x:c r="D3824">
        <x:f>ROUND($C3824*10*VLOOKUP($B3824,Sheet2!$J$5:$K$7,2,FALSE)*VLOOKUP(Sheet1!$A3824,Sheet2!$B$5:$H$29,3,FALSE),0)</x:f>
        <x:v>0</x:v>
      </x:c>
      <x:c r="E3824">
        <x:f>ROUND($C3824*10*VLOOKUP($B3824,Sheet2!$J$5:$K$7,2,FALSE)*VLOOKUP(Sheet1!$A3824,Sheet2!$B$5:$H$29,4,FALSE),0)</x:f>
        <x:v>86</x:v>
      </x:c>
      <x:c r="F3824">
        <x:f>ROUND($C3824*10*VLOOKUP($B3824,Sheet2!$J$5:$K$7,2,FALSE)*VLOOKUP(Sheet1!$A3824,Sheet2!$B$5:$H$29,5,FALSE),0)</x:f>
        <x:v>0</x:v>
      </x:c>
      <x:c r="G3824">
        <x:f>ROUND($C3824*10*VLOOKUP($B3824,Sheet2!$J$5:$K$7,2,FALSE)*VLOOKUP(Sheet1!$A3824,Sheet2!$B$5:$H$29,6,FALSE),0)</x:f>
        <x:v>0</x:v>
      </x:c>
      <x:c r="H3824">
        <x:f>ROUND($C3824*10*VLOOKUP($B3824,Sheet2!$J$5:$K$7,2,FALSE)*VLOOKUP(Sheet1!$A3824,Sheet2!$B$5:$H$29,7,FALSE),0)</x:f>
        <x:v>1290</x:v>
      </x:c>
      <x:c r="I3824">
        <x:f t="shared" si="63"/>
        <x:v>18070</x:v>
      </x:c>
    </x:row>
    <x:row r="3825" spans="1:9" x14ac:dyDescent="0.15">
      <x:c r="A3825">
        <x:v>54202</x:v>
      </x:c>
      <x:c r="B3825">
        <x:v>1</x:v>
      </x:c>
      <x:c r="C3825">
        <x:v>44</x:v>
      </x:c>
      <x:c r="D3825">
        <x:f>ROUND($C3825*10*VLOOKUP($B3825,Sheet2!$J$5:$K$7,2,FALSE)*VLOOKUP(Sheet1!$A3825,Sheet2!$B$5:$H$29,3,FALSE),0)</x:f>
        <x:v>0</x:v>
      </x:c>
      <x:c r="E3825">
        <x:f>ROUND($C3825*10*VLOOKUP($B3825,Sheet2!$J$5:$K$7,2,FALSE)*VLOOKUP(Sheet1!$A3825,Sheet2!$B$5:$H$29,4,FALSE),0)</x:f>
        <x:v>88</x:v>
      </x:c>
      <x:c r="F3825">
        <x:f>ROUND($C3825*10*VLOOKUP($B3825,Sheet2!$J$5:$K$7,2,FALSE)*VLOOKUP(Sheet1!$A3825,Sheet2!$B$5:$H$29,5,FALSE),0)</x:f>
        <x:v>0</x:v>
      </x:c>
      <x:c r="G3825">
        <x:f>ROUND($C3825*10*VLOOKUP($B3825,Sheet2!$J$5:$K$7,2,FALSE)*VLOOKUP(Sheet1!$A3825,Sheet2!$B$5:$H$29,6,FALSE),0)</x:f>
        <x:v>0</x:v>
      </x:c>
      <x:c r="H3825">
        <x:f>ROUND($C3825*10*VLOOKUP($B3825,Sheet2!$J$5:$K$7,2,FALSE)*VLOOKUP(Sheet1!$A3825,Sheet2!$B$5:$H$29,7,FALSE),0)</x:f>
        <x:v>1320</x:v>
      </x:c>
      <x:c r="I3825">
        <x:f t="shared" si="63"/>
        <x:v>18850</x:v>
      </x:c>
    </x:row>
    <x:row r="3826" spans="1:9" x14ac:dyDescent="0.15">
      <x:c r="A3826">
        <x:v>54202</x:v>
      </x:c>
      <x:c r="B3826">
        <x:v>1</x:v>
      </x:c>
      <x:c r="C3826">
        <x:v>45</x:v>
      </x:c>
      <x:c r="D3826">
        <x:f>ROUND($C3826*10*VLOOKUP($B3826,Sheet2!$J$5:$K$7,2,FALSE)*VLOOKUP(Sheet1!$A3826,Sheet2!$B$5:$H$29,3,FALSE),0)</x:f>
        <x:v>0</x:v>
      </x:c>
      <x:c r="E3826">
        <x:f>ROUND($C3826*10*VLOOKUP($B3826,Sheet2!$J$5:$K$7,2,FALSE)*VLOOKUP(Sheet1!$A3826,Sheet2!$B$5:$H$29,4,FALSE),0)</x:f>
        <x:v>90</x:v>
      </x:c>
      <x:c r="F3826">
        <x:f>ROUND($C3826*10*VLOOKUP($B3826,Sheet2!$J$5:$K$7,2,FALSE)*VLOOKUP(Sheet1!$A3826,Sheet2!$B$5:$H$29,5,FALSE),0)</x:f>
        <x:v>0</x:v>
      </x:c>
      <x:c r="G3826">
        <x:f>ROUND($C3826*10*VLOOKUP($B3826,Sheet2!$J$5:$K$7,2,FALSE)*VLOOKUP(Sheet1!$A3826,Sheet2!$B$5:$H$29,6,FALSE),0)</x:f>
        <x:v>0</x:v>
      </x:c>
      <x:c r="H3826">
        <x:f>ROUND($C3826*10*VLOOKUP($B3826,Sheet2!$J$5:$K$7,2,FALSE)*VLOOKUP(Sheet1!$A3826,Sheet2!$B$5:$H$29,7,FALSE),0)</x:f>
        <x:v>1350</x:v>
      </x:c>
      <x:c r="I3826">
        <x:f t="shared" si="63"/>
        <x:v>19650</x:v>
      </x:c>
    </x:row>
    <x:row r="3827" spans="1:9" x14ac:dyDescent="0.15">
      <x:c r="A3827">
        <x:v>54202</x:v>
      </x:c>
      <x:c r="B3827">
        <x:v>1</x:v>
      </x:c>
      <x:c r="C3827">
        <x:v>46</x:v>
      </x:c>
      <x:c r="D3827">
        <x:f>ROUND($C3827*10*VLOOKUP($B3827,Sheet2!$J$5:$K$7,2,FALSE)*VLOOKUP(Sheet1!$A3827,Sheet2!$B$5:$H$29,3,FALSE),0)</x:f>
        <x:v>0</x:v>
      </x:c>
      <x:c r="E3827">
        <x:f>ROUND($C3827*10*VLOOKUP($B3827,Sheet2!$J$5:$K$7,2,FALSE)*VLOOKUP(Sheet1!$A3827,Sheet2!$B$5:$H$29,4,FALSE),0)</x:f>
        <x:v>92</x:v>
      </x:c>
      <x:c r="F3827">
        <x:f>ROUND($C3827*10*VLOOKUP($B3827,Sheet2!$J$5:$K$7,2,FALSE)*VLOOKUP(Sheet1!$A3827,Sheet2!$B$5:$H$29,5,FALSE),0)</x:f>
        <x:v>0</x:v>
      </x:c>
      <x:c r="G3827">
        <x:f>ROUND($C3827*10*VLOOKUP($B3827,Sheet2!$J$5:$K$7,2,FALSE)*VLOOKUP(Sheet1!$A3827,Sheet2!$B$5:$H$29,6,FALSE),0)</x:f>
        <x:v>0</x:v>
      </x:c>
      <x:c r="H3827">
        <x:f>ROUND($C3827*10*VLOOKUP($B3827,Sheet2!$J$5:$K$7,2,FALSE)*VLOOKUP(Sheet1!$A3827,Sheet2!$B$5:$H$29,7,FALSE),0)</x:f>
        <x:v>1380</x:v>
      </x:c>
      <x:c r="I3827">
        <x:f t="shared" si="63"/>
        <x:v>20460</x:v>
      </x:c>
    </x:row>
    <x:row r="3828" spans="1:9" x14ac:dyDescent="0.15">
      <x:c r="A3828">
        <x:v>54202</x:v>
      </x:c>
      <x:c r="B3828">
        <x:v>1</x:v>
      </x:c>
      <x:c r="C3828">
        <x:v>47</x:v>
      </x:c>
      <x:c r="D3828">
        <x:f>ROUND($C3828*10*VLOOKUP($B3828,Sheet2!$J$5:$K$7,2,FALSE)*VLOOKUP(Sheet1!$A3828,Sheet2!$B$5:$H$29,3,FALSE),0)</x:f>
        <x:v>0</x:v>
      </x:c>
      <x:c r="E3828">
        <x:f>ROUND($C3828*10*VLOOKUP($B3828,Sheet2!$J$5:$K$7,2,FALSE)*VLOOKUP(Sheet1!$A3828,Sheet2!$B$5:$H$29,4,FALSE),0)</x:f>
        <x:v>94</x:v>
      </x:c>
      <x:c r="F3828">
        <x:f>ROUND($C3828*10*VLOOKUP($B3828,Sheet2!$J$5:$K$7,2,FALSE)*VLOOKUP(Sheet1!$A3828,Sheet2!$B$5:$H$29,5,FALSE),0)</x:f>
        <x:v>0</x:v>
      </x:c>
      <x:c r="G3828">
        <x:f>ROUND($C3828*10*VLOOKUP($B3828,Sheet2!$J$5:$K$7,2,FALSE)*VLOOKUP(Sheet1!$A3828,Sheet2!$B$5:$H$29,6,FALSE),0)</x:f>
        <x:v>0</x:v>
      </x:c>
      <x:c r="H3828">
        <x:f>ROUND($C3828*10*VLOOKUP($B3828,Sheet2!$J$5:$K$7,2,FALSE)*VLOOKUP(Sheet1!$A3828,Sheet2!$B$5:$H$29,7,FALSE),0)</x:f>
        <x:v>1410</x:v>
      </x:c>
      <x:c r="I3828">
        <x:f t="shared" si="63"/>
        <x:v>21280</x:v>
      </x:c>
    </x:row>
    <x:row r="3829" spans="1:9" x14ac:dyDescent="0.15">
      <x:c r="A3829">
        <x:v>54202</x:v>
      </x:c>
      <x:c r="B3829">
        <x:v>1</x:v>
      </x:c>
      <x:c r="C3829">
        <x:v>48</x:v>
      </x:c>
      <x:c r="D3829">
        <x:f>ROUND($C3829*10*VLOOKUP($B3829,Sheet2!$J$5:$K$7,2,FALSE)*VLOOKUP(Sheet1!$A3829,Sheet2!$B$5:$H$29,3,FALSE),0)</x:f>
        <x:v>0</x:v>
      </x:c>
      <x:c r="E3829">
        <x:f>ROUND($C3829*10*VLOOKUP($B3829,Sheet2!$J$5:$K$7,2,FALSE)*VLOOKUP(Sheet1!$A3829,Sheet2!$B$5:$H$29,4,FALSE),0)</x:f>
        <x:v>96</x:v>
      </x:c>
      <x:c r="F3829">
        <x:f>ROUND($C3829*10*VLOOKUP($B3829,Sheet2!$J$5:$K$7,2,FALSE)*VLOOKUP(Sheet1!$A3829,Sheet2!$B$5:$H$29,5,FALSE),0)</x:f>
        <x:v>0</x:v>
      </x:c>
      <x:c r="G3829">
        <x:f>ROUND($C3829*10*VLOOKUP($B3829,Sheet2!$J$5:$K$7,2,FALSE)*VLOOKUP(Sheet1!$A3829,Sheet2!$B$5:$H$29,6,FALSE),0)</x:f>
        <x:v>0</x:v>
      </x:c>
      <x:c r="H3829">
        <x:f>ROUND($C3829*10*VLOOKUP($B3829,Sheet2!$J$5:$K$7,2,FALSE)*VLOOKUP(Sheet1!$A3829,Sheet2!$B$5:$H$29,7,FALSE),0)</x:f>
        <x:v>1440</x:v>
      </x:c>
      <x:c r="I3829">
        <x:f t="shared" si="63"/>
        <x:v>22120</x:v>
      </x:c>
    </x:row>
    <x:row r="3830" spans="1:9" x14ac:dyDescent="0.15">
      <x:c r="A3830">
        <x:v>54202</x:v>
      </x:c>
      <x:c r="B3830">
        <x:v>1</x:v>
      </x:c>
      <x:c r="C3830">
        <x:v>49</x:v>
      </x:c>
      <x:c r="D3830">
        <x:f>ROUND($C3830*10*VLOOKUP($B3830,Sheet2!$J$5:$K$7,2,FALSE)*VLOOKUP(Sheet1!$A3830,Sheet2!$B$5:$H$29,3,FALSE),0)</x:f>
        <x:v>0</x:v>
      </x:c>
      <x:c r="E3830">
        <x:f>ROUND($C3830*10*VLOOKUP($B3830,Sheet2!$J$5:$K$7,2,FALSE)*VLOOKUP(Sheet1!$A3830,Sheet2!$B$5:$H$29,4,FALSE),0)</x:f>
        <x:v>98</x:v>
      </x:c>
      <x:c r="F3830">
        <x:f>ROUND($C3830*10*VLOOKUP($B3830,Sheet2!$J$5:$K$7,2,FALSE)*VLOOKUP(Sheet1!$A3830,Sheet2!$B$5:$H$29,5,FALSE),0)</x:f>
        <x:v>0</x:v>
      </x:c>
      <x:c r="G3830">
        <x:f>ROUND($C3830*10*VLOOKUP($B3830,Sheet2!$J$5:$K$7,2,FALSE)*VLOOKUP(Sheet1!$A3830,Sheet2!$B$5:$H$29,6,FALSE),0)</x:f>
        <x:v>0</x:v>
      </x:c>
      <x:c r="H3830">
        <x:f>ROUND($C3830*10*VLOOKUP($B3830,Sheet2!$J$5:$K$7,2,FALSE)*VLOOKUP(Sheet1!$A3830,Sheet2!$B$5:$H$29,7,FALSE),0)</x:f>
        <x:v>1470</x:v>
      </x:c>
      <x:c r="I3830">
        <x:f t="shared" si="63"/>
        <x:v>22970</x:v>
      </x:c>
    </x:row>
    <x:row r="3831" spans="1:9" x14ac:dyDescent="0.15">
      <x:c r="A3831">
        <x:v>54202</x:v>
      </x:c>
      <x:c r="B3831">
        <x:v>1</x:v>
      </x:c>
      <x:c r="C3831">
        <x:v>50</x:v>
      </x:c>
      <x:c r="D3831">
        <x:f>ROUND($C3831*10*VLOOKUP($B3831,Sheet2!$J$5:$K$7,2,FALSE)*VLOOKUP(Sheet1!$A3831,Sheet2!$B$5:$H$29,3,FALSE),0)</x:f>
        <x:v>0</x:v>
      </x:c>
      <x:c r="E3831">
        <x:f>ROUND($C3831*10*VLOOKUP($B3831,Sheet2!$J$5:$K$7,2,FALSE)*VLOOKUP(Sheet1!$A3831,Sheet2!$B$5:$H$29,4,FALSE),0)</x:f>
        <x:v>100</x:v>
      </x:c>
      <x:c r="F3831">
        <x:f>ROUND($C3831*10*VLOOKUP($B3831,Sheet2!$J$5:$K$7,2,FALSE)*VLOOKUP(Sheet1!$A3831,Sheet2!$B$5:$H$29,5,FALSE),0)</x:f>
        <x:v>0</x:v>
      </x:c>
      <x:c r="G3831">
        <x:f>ROUND($C3831*10*VLOOKUP($B3831,Sheet2!$J$5:$K$7,2,FALSE)*VLOOKUP(Sheet1!$A3831,Sheet2!$B$5:$H$29,6,FALSE),0)</x:f>
        <x:v>0</x:v>
      </x:c>
      <x:c r="H3831">
        <x:f>ROUND($C3831*10*VLOOKUP($B3831,Sheet2!$J$5:$K$7,2,FALSE)*VLOOKUP(Sheet1!$A3831,Sheet2!$B$5:$H$29,7,FALSE),0)</x:f>
        <x:v>1500</x:v>
      </x:c>
      <x:c r="I3831">
        <x:f t="shared" si="63"/>
        <x:v>23840</x:v>
      </x:c>
    </x:row>
    <x:row r="3832" spans="1:9" x14ac:dyDescent="0.15">
      <x:c r="A3832">
        <x:v>54202</x:v>
      </x:c>
      <x:c r="B3832">
        <x:v>1</x:v>
      </x:c>
      <x:c r="C3832">
        <x:v>51</x:v>
      </x:c>
      <x:c r="D3832">
        <x:f>ROUND($C3832*10*VLOOKUP($B3832,Sheet2!$J$5:$K$7,2,FALSE)*VLOOKUP(Sheet1!$A3832,Sheet2!$B$5:$H$29,3,FALSE),0)</x:f>
        <x:v>0</x:v>
      </x:c>
      <x:c r="E3832">
        <x:f>ROUND($C3832*10*VLOOKUP($B3832,Sheet2!$J$5:$K$7,2,FALSE)*VLOOKUP(Sheet1!$A3832,Sheet2!$B$5:$H$29,4,FALSE),0)</x:f>
        <x:v>102</x:v>
      </x:c>
      <x:c r="F3832">
        <x:f>ROUND($C3832*10*VLOOKUP($B3832,Sheet2!$J$5:$K$7,2,FALSE)*VLOOKUP(Sheet1!$A3832,Sheet2!$B$5:$H$29,5,FALSE),0)</x:f>
        <x:v>0</x:v>
      </x:c>
      <x:c r="G3832">
        <x:f>ROUND($C3832*10*VLOOKUP($B3832,Sheet2!$J$5:$K$7,2,FALSE)*VLOOKUP(Sheet1!$A3832,Sheet2!$B$5:$H$29,6,FALSE),0)</x:f>
        <x:v>0</x:v>
      </x:c>
      <x:c r="H3832">
        <x:f>ROUND($C3832*10*VLOOKUP($B3832,Sheet2!$J$5:$K$7,2,FALSE)*VLOOKUP(Sheet1!$A3832,Sheet2!$B$5:$H$29,7,FALSE),0)</x:f>
        <x:v>1530</x:v>
      </x:c>
      <x:c r="I3832">
        <x:f t="shared" si="63"/>
        <x:v>24720</x:v>
      </x:c>
    </x:row>
    <x:row r="3833" spans="1:9" x14ac:dyDescent="0.15">
      <x:c r="A3833">
        <x:v>54202</x:v>
      </x:c>
      <x:c r="B3833">
        <x:v>1</x:v>
      </x:c>
      <x:c r="C3833">
        <x:v>52</x:v>
      </x:c>
      <x:c r="D3833">
        <x:f>ROUND($C3833*10*VLOOKUP($B3833,Sheet2!$J$5:$K$7,2,FALSE)*VLOOKUP(Sheet1!$A3833,Sheet2!$B$5:$H$29,3,FALSE),0)</x:f>
        <x:v>0</x:v>
      </x:c>
      <x:c r="E3833">
        <x:f>ROUND($C3833*10*VLOOKUP($B3833,Sheet2!$J$5:$K$7,2,FALSE)*VLOOKUP(Sheet1!$A3833,Sheet2!$B$5:$H$29,4,FALSE),0)</x:f>
        <x:v>104</x:v>
      </x:c>
      <x:c r="F3833">
        <x:f>ROUND($C3833*10*VLOOKUP($B3833,Sheet2!$J$5:$K$7,2,FALSE)*VLOOKUP(Sheet1!$A3833,Sheet2!$B$5:$H$29,5,FALSE),0)</x:f>
        <x:v>0</x:v>
      </x:c>
      <x:c r="G3833">
        <x:f>ROUND($C3833*10*VLOOKUP($B3833,Sheet2!$J$5:$K$7,2,FALSE)*VLOOKUP(Sheet1!$A3833,Sheet2!$B$5:$H$29,6,FALSE),0)</x:f>
        <x:v>0</x:v>
      </x:c>
      <x:c r="H3833">
        <x:f>ROUND($C3833*10*VLOOKUP($B3833,Sheet2!$J$5:$K$7,2,FALSE)*VLOOKUP(Sheet1!$A3833,Sheet2!$B$5:$H$29,7,FALSE),0)</x:f>
        <x:v>1560</x:v>
      </x:c>
      <x:c r="I3833">
        <x:f t="shared" si="63"/>
        <x:v>25620</x:v>
      </x:c>
    </x:row>
    <x:row r="3834" spans="1:9" x14ac:dyDescent="0.15">
      <x:c r="A3834">
        <x:v>54202</x:v>
      </x:c>
      <x:c r="B3834">
        <x:v>1</x:v>
      </x:c>
      <x:c r="C3834">
        <x:v>53</x:v>
      </x:c>
      <x:c r="D3834">
        <x:f>ROUND($C3834*10*VLOOKUP($B3834,Sheet2!$J$5:$K$7,2,FALSE)*VLOOKUP(Sheet1!$A3834,Sheet2!$B$5:$H$29,3,FALSE),0)</x:f>
        <x:v>0</x:v>
      </x:c>
      <x:c r="E3834">
        <x:f>ROUND($C3834*10*VLOOKUP($B3834,Sheet2!$J$5:$K$7,2,FALSE)*VLOOKUP(Sheet1!$A3834,Sheet2!$B$5:$H$29,4,FALSE),0)</x:f>
        <x:v>106</x:v>
      </x:c>
      <x:c r="F3834">
        <x:f>ROUND($C3834*10*VLOOKUP($B3834,Sheet2!$J$5:$K$7,2,FALSE)*VLOOKUP(Sheet1!$A3834,Sheet2!$B$5:$H$29,5,FALSE),0)</x:f>
        <x:v>0</x:v>
      </x:c>
      <x:c r="G3834">
        <x:f>ROUND($C3834*10*VLOOKUP($B3834,Sheet2!$J$5:$K$7,2,FALSE)*VLOOKUP(Sheet1!$A3834,Sheet2!$B$5:$H$29,6,FALSE),0)</x:f>
        <x:v>0</x:v>
      </x:c>
      <x:c r="H3834">
        <x:f>ROUND($C3834*10*VLOOKUP($B3834,Sheet2!$J$5:$K$7,2,FALSE)*VLOOKUP(Sheet1!$A3834,Sheet2!$B$5:$H$29,7,FALSE),0)</x:f>
        <x:v>1590</x:v>
      </x:c>
      <x:c r="I3834">
        <x:f t="shared" si="63"/>
        <x:v>26530</x:v>
      </x:c>
    </x:row>
    <x:row r="3835" spans="1:9" x14ac:dyDescent="0.15">
      <x:c r="A3835">
        <x:v>54202</x:v>
      </x:c>
      <x:c r="B3835">
        <x:v>1</x:v>
      </x:c>
      <x:c r="C3835">
        <x:v>54</x:v>
      </x:c>
      <x:c r="D3835">
        <x:f>ROUND($C3835*10*VLOOKUP($B3835,Sheet2!$J$5:$K$7,2,FALSE)*VLOOKUP(Sheet1!$A3835,Sheet2!$B$5:$H$29,3,FALSE),0)</x:f>
        <x:v>0</x:v>
      </x:c>
      <x:c r="E3835">
        <x:f>ROUND($C3835*10*VLOOKUP($B3835,Sheet2!$J$5:$K$7,2,FALSE)*VLOOKUP(Sheet1!$A3835,Sheet2!$B$5:$H$29,4,FALSE),0)</x:f>
        <x:v>108</x:v>
      </x:c>
      <x:c r="F3835">
        <x:f>ROUND($C3835*10*VLOOKUP($B3835,Sheet2!$J$5:$K$7,2,FALSE)*VLOOKUP(Sheet1!$A3835,Sheet2!$B$5:$H$29,5,FALSE),0)</x:f>
        <x:v>0</x:v>
      </x:c>
      <x:c r="G3835">
        <x:f>ROUND($C3835*10*VLOOKUP($B3835,Sheet2!$J$5:$K$7,2,FALSE)*VLOOKUP(Sheet1!$A3835,Sheet2!$B$5:$H$29,6,FALSE),0)</x:f>
        <x:v>0</x:v>
      </x:c>
      <x:c r="H3835">
        <x:f>ROUND($C3835*10*VLOOKUP($B3835,Sheet2!$J$5:$K$7,2,FALSE)*VLOOKUP(Sheet1!$A3835,Sheet2!$B$5:$H$29,7,FALSE),0)</x:f>
        <x:v>1620</x:v>
      </x:c>
      <x:c r="I3835">
        <x:f t="shared" si="63"/>
        <x:v>27460</x:v>
      </x:c>
    </x:row>
    <x:row r="3836" spans="1:9" x14ac:dyDescent="0.15">
      <x:c r="A3836">
        <x:v>54202</x:v>
      </x:c>
      <x:c r="B3836">
        <x:v>1</x:v>
      </x:c>
      <x:c r="C3836">
        <x:v>55</x:v>
      </x:c>
      <x:c r="D3836">
        <x:f>ROUND($C3836*10*VLOOKUP($B3836,Sheet2!$J$5:$K$7,2,FALSE)*VLOOKUP(Sheet1!$A3836,Sheet2!$B$5:$H$29,3,FALSE),0)</x:f>
        <x:v>0</x:v>
      </x:c>
      <x:c r="E3836">
        <x:f>ROUND($C3836*10*VLOOKUP($B3836,Sheet2!$J$5:$K$7,2,FALSE)*VLOOKUP(Sheet1!$A3836,Sheet2!$B$5:$H$29,4,FALSE),0)</x:f>
        <x:v>110</x:v>
      </x:c>
      <x:c r="F3836">
        <x:f>ROUND($C3836*10*VLOOKUP($B3836,Sheet2!$J$5:$K$7,2,FALSE)*VLOOKUP(Sheet1!$A3836,Sheet2!$B$5:$H$29,5,FALSE),0)</x:f>
        <x:v>0</x:v>
      </x:c>
      <x:c r="G3836">
        <x:f>ROUND($C3836*10*VLOOKUP($B3836,Sheet2!$J$5:$K$7,2,FALSE)*VLOOKUP(Sheet1!$A3836,Sheet2!$B$5:$H$29,6,FALSE),0)</x:f>
        <x:v>0</x:v>
      </x:c>
      <x:c r="H3836">
        <x:f>ROUND($C3836*10*VLOOKUP($B3836,Sheet2!$J$5:$K$7,2,FALSE)*VLOOKUP(Sheet1!$A3836,Sheet2!$B$5:$H$29,7,FALSE),0)</x:f>
        <x:v>1650</x:v>
      </x:c>
      <x:c r="I3836">
        <x:f t="shared" si="63"/>
        <x:v>28390</x:v>
      </x:c>
    </x:row>
    <x:row r="3837" spans="1:9" x14ac:dyDescent="0.15">
      <x:c r="A3837">
        <x:v>54202</x:v>
      </x:c>
      <x:c r="B3837">
        <x:v>1</x:v>
      </x:c>
      <x:c r="C3837">
        <x:v>56</x:v>
      </x:c>
      <x:c r="D3837">
        <x:f>ROUND($C3837*10*VLOOKUP($B3837,Sheet2!$J$5:$K$7,2,FALSE)*VLOOKUP(Sheet1!$A3837,Sheet2!$B$5:$H$29,3,FALSE),0)</x:f>
        <x:v>0</x:v>
      </x:c>
      <x:c r="E3837">
        <x:f>ROUND($C3837*10*VLOOKUP($B3837,Sheet2!$J$5:$K$7,2,FALSE)*VLOOKUP(Sheet1!$A3837,Sheet2!$B$5:$H$29,4,FALSE),0)</x:f>
        <x:v>112</x:v>
      </x:c>
      <x:c r="F3837">
        <x:f>ROUND($C3837*10*VLOOKUP($B3837,Sheet2!$J$5:$K$7,2,FALSE)*VLOOKUP(Sheet1!$A3837,Sheet2!$B$5:$H$29,5,FALSE),0)</x:f>
        <x:v>0</x:v>
      </x:c>
      <x:c r="G3837">
        <x:f>ROUND($C3837*10*VLOOKUP($B3837,Sheet2!$J$5:$K$7,2,FALSE)*VLOOKUP(Sheet1!$A3837,Sheet2!$B$5:$H$29,6,FALSE),0)</x:f>
        <x:v>0</x:v>
      </x:c>
      <x:c r="H3837">
        <x:f>ROUND($C3837*10*VLOOKUP($B3837,Sheet2!$J$5:$K$7,2,FALSE)*VLOOKUP(Sheet1!$A3837,Sheet2!$B$5:$H$29,7,FALSE),0)</x:f>
        <x:v>1680</x:v>
      </x:c>
      <x:c r="I3837">
        <x:f t="shared" si="63"/>
        <x:v>29350</x:v>
      </x:c>
    </x:row>
    <x:row r="3838" spans="1:9" x14ac:dyDescent="0.15">
      <x:c r="A3838">
        <x:v>54202</x:v>
      </x:c>
      <x:c r="B3838">
        <x:v>1</x:v>
      </x:c>
      <x:c r="C3838">
        <x:v>57</x:v>
      </x:c>
      <x:c r="D3838">
        <x:f>ROUND($C3838*10*VLOOKUP($B3838,Sheet2!$J$5:$K$7,2,FALSE)*VLOOKUP(Sheet1!$A3838,Sheet2!$B$5:$H$29,3,FALSE),0)</x:f>
        <x:v>0</x:v>
      </x:c>
      <x:c r="E3838">
        <x:f>ROUND($C3838*10*VLOOKUP($B3838,Sheet2!$J$5:$K$7,2,FALSE)*VLOOKUP(Sheet1!$A3838,Sheet2!$B$5:$H$29,4,FALSE),0)</x:f>
        <x:v>114</x:v>
      </x:c>
      <x:c r="F3838">
        <x:f>ROUND($C3838*10*VLOOKUP($B3838,Sheet2!$J$5:$K$7,2,FALSE)*VLOOKUP(Sheet1!$A3838,Sheet2!$B$5:$H$29,5,FALSE),0)</x:f>
        <x:v>0</x:v>
      </x:c>
      <x:c r="G3838">
        <x:f>ROUND($C3838*10*VLOOKUP($B3838,Sheet2!$J$5:$K$7,2,FALSE)*VLOOKUP(Sheet1!$A3838,Sheet2!$B$5:$H$29,6,FALSE),0)</x:f>
        <x:v>0</x:v>
      </x:c>
      <x:c r="H3838">
        <x:f>ROUND($C3838*10*VLOOKUP($B3838,Sheet2!$J$5:$K$7,2,FALSE)*VLOOKUP(Sheet1!$A3838,Sheet2!$B$5:$H$29,7,FALSE),0)</x:f>
        <x:v>1710</x:v>
      </x:c>
      <x:c r="I3838">
        <x:f t="shared" si="63"/>
        <x:v>30310</x:v>
      </x:c>
    </x:row>
    <x:row r="3839" spans="1:9" x14ac:dyDescent="0.15">
      <x:c r="A3839">
        <x:v>54202</x:v>
      </x:c>
      <x:c r="B3839">
        <x:v>1</x:v>
      </x:c>
      <x:c r="C3839">
        <x:v>58</x:v>
      </x:c>
      <x:c r="D3839">
        <x:f>ROUND($C3839*10*VLOOKUP($B3839,Sheet2!$J$5:$K$7,2,FALSE)*VLOOKUP(Sheet1!$A3839,Sheet2!$B$5:$H$29,3,FALSE),0)</x:f>
        <x:v>0</x:v>
      </x:c>
      <x:c r="E3839">
        <x:f>ROUND($C3839*10*VLOOKUP($B3839,Sheet2!$J$5:$K$7,2,FALSE)*VLOOKUP(Sheet1!$A3839,Sheet2!$B$5:$H$29,4,FALSE),0)</x:f>
        <x:v>116</x:v>
      </x:c>
      <x:c r="F3839">
        <x:f>ROUND($C3839*10*VLOOKUP($B3839,Sheet2!$J$5:$K$7,2,FALSE)*VLOOKUP(Sheet1!$A3839,Sheet2!$B$5:$H$29,5,FALSE),0)</x:f>
        <x:v>0</x:v>
      </x:c>
      <x:c r="G3839">
        <x:f>ROUND($C3839*10*VLOOKUP($B3839,Sheet2!$J$5:$K$7,2,FALSE)*VLOOKUP(Sheet1!$A3839,Sheet2!$B$5:$H$29,6,FALSE),0)</x:f>
        <x:v>0</x:v>
      </x:c>
      <x:c r="H3839">
        <x:f>ROUND($C3839*10*VLOOKUP($B3839,Sheet2!$J$5:$K$7,2,FALSE)*VLOOKUP(Sheet1!$A3839,Sheet2!$B$5:$H$29,7,FALSE),0)</x:f>
        <x:v>1740</x:v>
      </x:c>
      <x:c r="I3839">
        <x:f t="shared" si="63"/>
        <x:v>31290</x:v>
      </x:c>
    </x:row>
    <x:row r="3840" spans="1:9" x14ac:dyDescent="0.15">
      <x:c r="A3840">
        <x:v>54202</x:v>
      </x:c>
      <x:c r="B3840">
        <x:v>1</x:v>
      </x:c>
      <x:c r="C3840">
        <x:v>59</x:v>
      </x:c>
      <x:c r="D3840">
        <x:f>ROUND($C3840*10*VLOOKUP($B3840,Sheet2!$J$5:$K$7,2,FALSE)*VLOOKUP(Sheet1!$A3840,Sheet2!$B$5:$H$29,3,FALSE),0)</x:f>
        <x:v>0</x:v>
      </x:c>
      <x:c r="E3840">
        <x:f>ROUND($C3840*10*VLOOKUP($B3840,Sheet2!$J$5:$K$7,2,FALSE)*VLOOKUP(Sheet1!$A3840,Sheet2!$B$5:$H$29,4,FALSE),0)</x:f>
        <x:v>118</x:v>
      </x:c>
      <x:c r="F3840">
        <x:f>ROUND($C3840*10*VLOOKUP($B3840,Sheet2!$J$5:$K$7,2,FALSE)*VLOOKUP(Sheet1!$A3840,Sheet2!$B$5:$H$29,5,FALSE),0)</x:f>
        <x:v>0</x:v>
      </x:c>
      <x:c r="G3840">
        <x:f>ROUND($C3840*10*VLOOKUP($B3840,Sheet2!$J$5:$K$7,2,FALSE)*VLOOKUP(Sheet1!$A3840,Sheet2!$B$5:$H$29,6,FALSE),0)</x:f>
        <x:v>0</x:v>
      </x:c>
      <x:c r="H3840">
        <x:f>ROUND($C3840*10*VLOOKUP($B3840,Sheet2!$J$5:$K$7,2,FALSE)*VLOOKUP(Sheet1!$A3840,Sheet2!$B$5:$H$29,7,FALSE),0)</x:f>
        <x:v>1770</x:v>
      </x:c>
      <x:c r="I3840">
        <x:f t="shared" si="63"/>
        <x:v>32290</x:v>
      </x:c>
    </x:row>
    <x:row r="3841" spans="1:9" x14ac:dyDescent="0.15">
      <x:c r="A3841">
        <x:v>54202</x:v>
      </x:c>
      <x:c r="B3841">
        <x:v>1</x:v>
      </x:c>
      <x:c r="C3841">
        <x:v>60</x:v>
      </x:c>
      <x:c r="D3841">
        <x:f>ROUND($C3841*10*VLOOKUP($B3841,Sheet2!$J$5:$K$7,2,FALSE)*VLOOKUP(Sheet1!$A3841,Sheet2!$B$5:$H$29,3,FALSE),0)</x:f>
        <x:v>0</x:v>
      </x:c>
      <x:c r="E3841">
        <x:f>ROUND($C3841*10*VLOOKUP($B3841,Sheet2!$J$5:$K$7,2,FALSE)*VLOOKUP(Sheet1!$A3841,Sheet2!$B$5:$H$29,4,FALSE),0)</x:f>
        <x:v>120</x:v>
      </x:c>
      <x:c r="F3841">
        <x:f>ROUND($C3841*10*VLOOKUP($B3841,Sheet2!$J$5:$K$7,2,FALSE)*VLOOKUP(Sheet1!$A3841,Sheet2!$B$5:$H$29,5,FALSE),0)</x:f>
        <x:v>0</x:v>
      </x:c>
      <x:c r="G3841">
        <x:f>ROUND($C3841*10*VLOOKUP($B3841,Sheet2!$J$5:$K$7,2,FALSE)*VLOOKUP(Sheet1!$A3841,Sheet2!$B$5:$H$29,6,FALSE),0)</x:f>
        <x:v>0</x:v>
      </x:c>
      <x:c r="H3841">
        <x:f>ROUND($C3841*10*VLOOKUP($B3841,Sheet2!$J$5:$K$7,2,FALSE)*VLOOKUP(Sheet1!$A3841,Sheet2!$B$5:$H$29,7,FALSE),0)</x:f>
        <x:v>1800</x:v>
      </x:c>
      <x:c r="I3841">
        <x:f t="shared" si="63"/>
        <x:v>33290</x:v>
      </x:c>
    </x:row>
    <x:row r="3842" spans="1:9" x14ac:dyDescent="0.15">
      <x:c r="A3842">
        <x:v>54202</x:v>
      </x:c>
      <x:c r="B3842">
        <x:v>2</x:v>
      </x:c>
      <x:c r="C3842">
        <x:v>1</x:v>
      </x:c>
      <x:c r="D3842">
        <x:f>ROUND($C3842*10*VLOOKUP($B3842,Sheet2!$J$5:$K$7,2,FALSE)*VLOOKUP(Sheet1!$A3842,Sheet2!$B$5:$H$29,3,FALSE),0)</x:f>
        <x:v>0</x:v>
      </x:c>
      <x:c r="E3842">
        <x:f>ROUND($C3842*10*VLOOKUP($B3842,Sheet2!$J$5:$K$7,2,FALSE)*VLOOKUP(Sheet1!$A3842,Sheet2!$B$5:$H$29,4,FALSE),0)</x:f>
        <x:v>2</x:v>
      </x:c>
      <x:c r="F3842">
        <x:f>ROUND($C3842*10*VLOOKUP($B3842,Sheet2!$J$5:$K$7,2,FALSE)*VLOOKUP(Sheet1!$A3842,Sheet2!$B$5:$H$29,5,FALSE),0)</x:f>
        <x:v>0</x:v>
      </x:c>
      <x:c r="G3842">
        <x:f>ROUND($C3842*10*VLOOKUP($B3842,Sheet2!$J$5:$K$7,2,FALSE)*VLOOKUP(Sheet1!$A3842,Sheet2!$B$5:$H$29,6,FALSE),0)</x:f>
        <x:v>0</x:v>
      </x:c>
      <x:c r="H3842">
        <x:f>ROUND($C3842*10*VLOOKUP($B3842,Sheet2!$J$5:$K$7,2,FALSE)*VLOOKUP(Sheet1!$A3842,Sheet2!$B$5:$H$29,7,FALSE),0)</x:f>
        <x:v>36</x:v>
      </x:c>
      <x:c r="I3842">
        <x:f t="shared" ref="I3842:I3901" si="64">ROUND(1.2*10*3.5*(C3842-1)^1.8+60,-1)</x:f>
        <x:v>60</x:v>
      </x:c>
    </x:row>
    <x:row r="3843" spans="1:9" x14ac:dyDescent="0.15">
      <x:c r="A3843">
        <x:v>54202</x:v>
      </x:c>
      <x:c r="B3843">
        <x:v>2</x:v>
      </x:c>
      <x:c r="C3843">
        <x:v>2</x:v>
      </x:c>
      <x:c r="D3843">
        <x:f>ROUND($C3843*10*VLOOKUP($B3843,Sheet2!$J$5:$K$7,2,FALSE)*VLOOKUP(Sheet1!$A3843,Sheet2!$B$5:$H$29,3,FALSE),0)</x:f>
        <x:v>0</x:v>
      </x:c>
      <x:c r="E3843">
        <x:f>ROUND($C3843*10*VLOOKUP($B3843,Sheet2!$J$5:$K$7,2,FALSE)*VLOOKUP(Sheet1!$A3843,Sheet2!$B$5:$H$29,4,FALSE),0)</x:f>
        <x:v>5</x:v>
      </x:c>
      <x:c r="F3843">
        <x:f>ROUND($C3843*10*VLOOKUP($B3843,Sheet2!$J$5:$K$7,2,FALSE)*VLOOKUP(Sheet1!$A3843,Sheet2!$B$5:$H$29,5,FALSE),0)</x:f>
        <x:v>0</x:v>
      </x:c>
      <x:c r="G3843">
        <x:f>ROUND($C3843*10*VLOOKUP($B3843,Sheet2!$J$5:$K$7,2,FALSE)*VLOOKUP(Sheet1!$A3843,Sheet2!$B$5:$H$29,6,FALSE),0)</x:f>
        <x:v>0</x:v>
      </x:c>
      <x:c r="H3843">
        <x:f>ROUND($C3843*10*VLOOKUP($B3843,Sheet2!$J$5:$K$7,2,FALSE)*VLOOKUP(Sheet1!$A3843,Sheet2!$B$5:$H$29,7,FALSE),0)</x:f>
        <x:v>72</x:v>
      </x:c>
      <x:c r="I3843">
        <x:f t="shared" si="64"/>
        <x:v>100</x:v>
      </x:c>
    </x:row>
    <x:row r="3844" spans="1:9" x14ac:dyDescent="0.15">
      <x:c r="A3844">
        <x:v>54202</x:v>
      </x:c>
      <x:c r="B3844">
        <x:v>2</x:v>
      </x:c>
      <x:c r="C3844">
        <x:v>3</x:v>
      </x:c>
      <x:c r="D3844">
        <x:f>ROUND($C3844*10*VLOOKUP($B3844,Sheet2!$J$5:$K$7,2,FALSE)*VLOOKUP(Sheet1!$A3844,Sheet2!$B$5:$H$29,3,FALSE),0)</x:f>
        <x:v>0</x:v>
      </x:c>
      <x:c r="E3844">
        <x:f>ROUND($C3844*10*VLOOKUP($B3844,Sheet2!$J$5:$K$7,2,FALSE)*VLOOKUP(Sheet1!$A3844,Sheet2!$B$5:$H$29,4,FALSE),0)</x:f>
        <x:v>7</x:v>
      </x:c>
      <x:c r="F3844">
        <x:f>ROUND($C3844*10*VLOOKUP($B3844,Sheet2!$J$5:$K$7,2,FALSE)*VLOOKUP(Sheet1!$A3844,Sheet2!$B$5:$H$29,5,FALSE),0)</x:f>
        <x:v>0</x:v>
      </x:c>
      <x:c r="G3844">
        <x:f>ROUND($C3844*10*VLOOKUP($B3844,Sheet2!$J$5:$K$7,2,FALSE)*VLOOKUP(Sheet1!$A3844,Sheet2!$B$5:$H$29,6,FALSE),0)</x:f>
        <x:v>0</x:v>
      </x:c>
      <x:c r="H3844">
        <x:f>ROUND($C3844*10*VLOOKUP($B3844,Sheet2!$J$5:$K$7,2,FALSE)*VLOOKUP(Sheet1!$A3844,Sheet2!$B$5:$H$29,7,FALSE),0)</x:f>
        <x:v>108</x:v>
      </x:c>
      <x:c r="I3844">
        <x:f t="shared" si="64"/>
        <x:v>210</x:v>
      </x:c>
    </x:row>
    <x:row r="3845" spans="1:9" x14ac:dyDescent="0.15">
      <x:c r="A3845">
        <x:v>54202</x:v>
      </x:c>
      <x:c r="B3845">
        <x:v>2</x:v>
      </x:c>
      <x:c r="C3845">
        <x:v>4</x:v>
      </x:c>
      <x:c r="D3845">
        <x:f>ROUND($C3845*10*VLOOKUP($B3845,Sheet2!$J$5:$K$7,2,FALSE)*VLOOKUP(Sheet1!$A3845,Sheet2!$B$5:$H$29,3,FALSE),0)</x:f>
        <x:v>0</x:v>
      </x:c>
      <x:c r="E3845">
        <x:f>ROUND($C3845*10*VLOOKUP($B3845,Sheet2!$J$5:$K$7,2,FALSE)*VLOOKUP(Sheet1!$A3845,Sheet2!$B$5:$H$29,4,FALSE),0)</x:f>
        <x:v>10</x:v>
      </x:c>
      <x:c r="F3845">
        <x:f>ROUND($C3845*10*VLOOKUP($B3845,Sheet2!$J$5:$K$7,2,FALSE)*VLOOKUP(Sheet1!$A3845,Sheet2!$B$5:$H$29,5,FALSE),0)</x:f>
        <x:v>0</x:v>
      </x:c>
      <x:c r="G3845">
        <x:f>ROUND($C3845*10*VLOOKUP($B3845,Sheet2!$J$5:$K$7,2,FALSE)*VLOOKUP(Sheet1!$A3845,Sheet2!$B$5:$H$29,6,FALSE),0)</x:f>
        <x:v>0</x:v>
      </x:c>
      <x:c r="H3845">
        <x:f>ROUND($C3845*10*VLOOKUP($B3845,Sheet2!$J$5:$K$7,2,FALSE)*VLOOKUP(Sheet1!$A3845,Sheet2!$B$5:$H$29,7,FALSE),0)</x:f>
        <x:v>144</x:v>
      </x:c>
      <x:c r="I3845">
        <x:f t="shared" si="64"/>
        <x:v>360</x:v>
      </x:c>
    </x:row>
    <x:row r="3846" spans="1:9" x14ac:dyDescent="0.15">
      <x:c r="A3846">
        <x:v>54202</x:v>
      </x:c>
      <x:c r="B3846">
        <x:v>2</x:v>
      </x:c>
      <x:c r="C3846">
        <x:v>5</x:v>
      </x:c>
      <x:c r="D3846">
        <x:f>ROUND($C3846*10*VLOOKUP($B3846,Sheet2!$J$5:$K$7,2,FALSE)*VLOOKUP(Sheet1!$A3846,Sheet2!$B$5:$H$29,3,FALSE),0)</x:f>
        <x:v>0</x:v>
      </x:c>
      <x:c r="E3846">
        <x:f>ROUND($C3846*10*VLOOKUP($B3846,Sheet2!$J$5:$K$7,2,FALSE)*VLOOKUP(Sheet1!$A3846,Sheet2!$B$5:$H$29,4,FALSE),0)</x:f>
        <x:v>12</x:v>
      </x:c>
      <x:c r="F3846">
        <x:f>ROUND($C3846*10*VLOOKUP($B3846,Sheet2!$J$5:$K$7,2,FALSE)*VLOOKUP(Sheet1!$A3846,Sheet2!$B$5:$H$29,5,FALSE),0)</x:f>
        <x:v>0</x:v>
      </x:c>
      <x:c r="G3846">
        <x:f>ROUND($C3846*10*VLOOKUP($B3846,Sheet2!$J$5:$K$7,2,FALSE)*VLOOKUP(Sheet1!$A3846,Sheet2!$B$5:$H$29,6,FALSE),0)</x:f>
        <x:v>0</x:v>
      </x:c>
      <x:c r="H3846">
        <x:f>ROUND($C3846*10*VLOOKUP($B3846,Sheet2!$J$5:$K$7,2,FALSE)*VLOOKUP(Sheet1!$A3846,Sheet2!$B$5:$H$29,7,FALSE),0)</x:f>
        <x:v>180</x:v>
      </x:c>
      <x:c r="I3846">
        <x:f t="shared" si="64"/>
        <x:v>570</x:v>
      </x:c>
    </x:row>
    <x:row r="3847" spans="1:9" x14ac:dyDescent="0.15">
      <x:c r="A3847">
        <x:v>54202</x:v>
      </x:c>
      <x:c r="B3847">
        <x:v>2</x:v>
      </x:c>
      <x:c r="C3847">
        <x:v>6</x:v>
      </x:c>
      <x:c r="D3847">
        <x:f>ROUND($C3847*10*VLOOKUP($B3847,Sheet2!$J$5:$K$7,2,FALSE)*VLOOKUP(Sheet1!$A3847,Sheet2!$B$5:$H$29,3,FALSE),0)</x:f>
        <x:v>0</x:v>
      </x:c>
      <x:c r="E3847">
        <x:f>ROUND($C3847*10*VLOOKUP($B3847,Sheet2!$J$5:$K$7,2,FALSE)*VLOOKUP(Sheet1!$A3847,Sheet2!$B$5:$H$29,4,FALSE),0)</x:f>
        <x:v>14</x:v>
      </x:c>
      <x:c r="F3847">
        <x:f>ROUND($C3847*10*VLOOKUP($B3847,Sheet2!$J$5:$K$7,2,FALSE)*VLOOKUP(Sheet1!$A3847,Sheet2!$B$5:$H$29,5,FALSE),0)</x:f>
        <x:v>0</x:v>
      </x:c>
      <x:c r="G3847">
        <x:f>ROUND($C3847*10*VLOOKUP($B3847,Sheet2!$J$5:$K$7,2,FALSE)*VLOOKUP(Sheet1!$A3847,Sheet2!$B$5:$H$29,6,FALSE),0)</x:f>
        <x:v>0</x:v>
      </x:c>
      <x:c r="H3847">
        <x:f>ROUND($C3847*10*VLOOKUP($B3847,Sheet2!$J$5:$K$7,2,FALSE)*VLOOKUP(Sheet1!$A3847,Sheet2!$B$5:$H$29,7,FALSE),0)</x:f>
        <x:v>216</x:v>
      </x:c>
      <x:c r="I3847">
        <x:f t="shared" si="64"/>
        <x:v>820</x:v>
      </x:c>
    </x:row>
    <x:row r="3848" spans="1:9" x14ac:dyDescent="0.15">
      <x:c r="A3848">
        <x:v>54202</x:v>
      </x:c>
      <x:c r="B3848">
        <x:v>2</x:v>
      </x:c>
      <x:c r="C3848">
        <x:v>7</x:v>
      </x:c>
      <x:c r="D3848">
        <x:f>ROUND($C3848*10*VLOOKUP($B3848,Sheet2!$J$5:$K$7,2,FALSE)*VLOOKUP(Sheet1!$A3848,Sheet2!$B$5:$H$29,3,FALSE),0)</x:f>
        <x:v>0</x:v>
      </x:c>
      <x:c r="E3848">
        <x:f>ROUND($C3848*10*VLOOKUP($B3848,Sheet2!$J$5:$K$7,2,FALSE)*VLOOKUP(Sheet1!$A3848,Sheet2!$B$5:$H$29,4,FALSE),0)</x:f>
        <x:v>17</x:v>
      </x:c>
      <x:c r="F3848">
        <x:f>ROUND($C3848*10*VLOOKUP($B3848,Sheet2!$J$5:$K$7,2,FALSE)*VLOOKUP(Sheet1!$A3848,Sheet2!$B$5:$H$29,5,FALSE),0)</x:f>
        <x:v>0</x:v>
      </x:c>
      <x:c r="G3848">
        <x:f>ROUND($C3848*10*VLOOKUP($B3848,Sheet2!$J$5:$K$7,2,FALSE)*VLOOKUP(Sheet1!$A3848,Sheet2!$B$5:$H$29,6,FALSE),0)</x:f>
        <x:v>0</x:v>
      </x:c>
      <x:c r="H3848">
        <x:f>ROUND($C3848*10*VLOOKUP($B3848,Sheet2!$J$5:$K$7,2,FALSE)*VLOOKUP(Sheet1!$A3848,Sheet2!$B$5:$H$29,7,FALSE),0)</x:f>
        <x:v>252</x:v>
      </x:c>
      <x:c r="I3848">
        <x:f t="shared" si="64"/>
        <x:v>1120</x:v>
      </x:c>
    </x:row>
    <x:row r="3849" spans="1:9" x14ac:dyDescent="0.15">
      <x:c r="A3849">
        <x:v>54202</x:v>
      </x:c>
      <x:c r="B3849">
        <x:v>2</x:v>
      </x:c>
      <x:c r="C3849">
        <x:v>8</x:v>
      </x:c>
      <x:c r="D3849">
        <x:f>ROUND($C3849*10*VLOOKUP($B3849,Sheet2!$J$5:$K$7,2,FALSE)*VLOOKUP(Sheet1!$A3849,Sheet2!$B$5:$H$29,3,FALSE),0)</x:f>
        <x:v>0</x:v>
      </x:c>
      <x:c r="E3849">
        <x:f>ROUND($C3849*10*VLOOKUP($B3849,Sheet2!$J$5:$K$7,2,FALSE)*VLOOKUP(Sheet1!$A3849,Sheet2!$B$5:$H$29,4,FALSE),0)</x:f>
        <x:v>19</x:v>
      </x:c>
      <x:c r="F3849">
        <x:f>ROUND($C3849*10*VLOOKUP($B3849,Sheet2!$J$5:$K$7,2,FALSE)*VLOOKUP(Sheet1!$A3849,Sheet2!$B$5:$H$29,5,FALSE),0)</x:f>
        <x:v>0</x:v>
      </x:c>
      <x:c r="G3849">
        <x:f>ROUND($C3849*10*VLOOKUP($B3849,Sheet2!$J$5:$K$7,2,FALSE)*VLOOKUP(Sheet1!$A3849,Sheet2!$B$5:$H$29,6,FALSE),0)</x:f>
        <x:v>0</x:v>
      </x:c>
      <x:c r="H3849">
        <x:f>ROUND($C3849*10*VLOOKUP($B3849,Sheet2!$J$5:$K$7,2,FALSE)*VLOOKUP(Sheet1!$A3849,Sheet2!$B$5:$H$29,7,FALSE),0)</x:f>
        <x:v>288</x:v>
      </x:c>
      <x:c r="I3849">
        <x:f t="shared" si="64"/>
        <x:v>1450</x:v>
      </x:c>
    </x:row>
    <x:row r="3850" spans="1:9" x14ac:dyDescent="0.15">
      <x:c r="A3850">
        <x:v>54202</x:v>
      </x:c>
      <x:c r="B3850">
        <x:v>2</x:v>
      </x:c>
      <x:c r="C3850">
        <x:v>9</x:v>
      </x:c>
      <x:c r="D3850">
        <x:f>ROUND($C3850*10*VLOOKUP($B3850,Sheet2!$J$5:$K$7,2,FALSE)*VLOOKUP(Sheet1!$A3850,Sheet2!$B$5:$H$29,3,FALSE),0)</x:f>
        <x:v>0</x:v>
      </x:c>
      <x:c r="E3850">
        <x:f>ROUND($C3850*10*VLOOKUP($B3850,Sheet2!$J$5:$K$7,2,FALSE)*VLOOKUP(Sheet1!$A3850,Sheet2!$B$5:$H$29,4,FALSE),0)</x:f>
        <x:v>22</x:v>
      </x:c>
      <x:c r="F3850">
        <x:f>ROUND($C3850*10*VLOOKUP($B3850,Sheet2!$J$5:$K$7,2,FALSE)*VLOOKUP(Sheet1!$A3850,Sheet2!$B$5:$H$29,5,FALSE),0)</x:f>
        <x:v>0</x:v>
      </x:c>
      <x:c r="G3850">
        <x:f>ROUND($C3850*10*VLOOKUP($B3850,Sheet2!$J$5:$K$7,2,FALSE)*VLOOKUP(Sheet1!$A3850,Sheet2!$B$5:$H$29,6,FALSE),0)</x:f>
        <x:v>0</x:v>
      </x:c>
      <x:c r="H3850">
        <x:f>ROUND($C3850*10*VLOOKUP($B3850,Sheet2!$J$5:$K$7,2,FALSE)*VLOOKUP(Sheet1!$A3850,Sheet2!$B$5:$H$29,7,FALSE),0)</x:f>
        <x:v>324</x:v>
      </x:c>
      <x:c r="I3850">
        <x:f t="shared" si="64"/>
        <x:v>1830</x:v>
      </x:c>
    </x:row>
    <x:row r="3851" spans="1:9" x14ac:dyDescent="0.15">
      <x:c r="A3851">
        <x:v>54202</x:v>
      </x:c>
      <x:c r="B3851">
        <x:v>2</x:v>
      </x:c>
      <x:c r="C3851">
        <x:v>10</x:v>
      </x:c>
      <x:c r="D3851">
        <x:f>ROUND($C3851*10*VLOOKUP($B3851,Sheet2!$J$5:$K$7,2,FALSE)*VLOOKUP(Sheet1!$A3851,Sheet2!$B$5:$H$29,3,FALSE),0)</x:f>
        <x:v>0</x:v>
      </x:c>
      <x:c r="E3851">
        <x:f>ROUND($C3851*10*VLOOKUP($B3851,Sheet2!$J$5:$K$7,2,FALSE)*VLOOKUP(Sheet1!$A3851,Sheet2!$B$5:$H$29,4,FALSE),0)</x:f>
        <x:v>24</x:v>
      </x:c>
      <x:c r="F3851">
        <x:f>ROUND($C3851*10*VLOOKUP($B3851,Sheet2!$J$5:$K$7,2,FALSE)*VLOOKUP(Sheet1!$A3851,Sheet2!$B$5:$H$29,5,FALSE),0)</x:f>
        <x:v>0</x:v>
      </x:c>
      <x:c r="G3851">
        <x:f>ROUND($C3851*10*VLOOKUP($B3851,Sheet2!$J$5:$K$7,2,FALSE)*VLOOKUP(Sheet1!$A3851,Sheet2!$B$5:$H$29,6,FALSE),0)</x:f>
        <x:v>0</x:v>
      </x:c>
      <x:c r="H3851">
        <x:f>ROUND($C3851*10*VLOOKUP($B3851,Sheet2!$J$5:$K$7,2,FALSE)*VLOOKUP(Sheet1!$A3851,Sheet2!$B$5:$H$29,7,FALSE),0)</x:f>
        <x:v>360</x:v>
      </x:c>
      <x:c r="I3851">
        <x:f t="shared" si="64"/>
        <x:v>2250</x:v>
      </x:c>
    </x:row>
    <x:row r="3852" spans="1:9" x14ac:dyDescent="0.15">
      <x:c r="A3852">
        <x:v>54202</x:v>
      </x:c>
      <x:c r="B3852">
        <x:v>2</x:v>
      </x:c>
      <x:c r="C3852">
        <x:v>11</x:v>
      </x:c>
      <x:c r="D3852">
        <x:f>ROUND($C3852*10*VLOOKUP($B3852,Sheet2!$J$5:$K$7,2,FALSE)*VLOOKUP(Sheet1!$A3852,Sheet2!$B$5:$H$29,3,FALSE),0)</x:f>
        <x:v>0</x:v>
      </x:c>
      <x:c r="E3852">
        <x:f>ROUND($C3852*10*VLOOKUP($B3852,Sheet2!$J$5:$K$7,2,FALSE)*VLOOKUP(Sheet1!$A3852,Sheet2!$B$5:$H$29,4,FALSE),0)</x:f>
        <x:v>26</x:v>
      </x:c>
      <x:c r="F3852">
        <x:f>ROUND($C3852*10*VLOOKUP($B3852,Sheet2!$J$5:$K$7,2,FALSE)*VLOOKUP(Sheet1!$A3852,Sheet2!$B$5:$H$29,5,FALSE),0)</x:f>
        <x:v>0</x:v>
      </x:c>
      <x:c r="G3852">
        <x:f>ROUND($C3852*10*VLOOKUP($B3852,Sheet2!$J$5:$K$7,2,FALSE)*VLOOKUP(Sheet1!$A3852,Sheet2!$B$5:$H$29,6,FALSE),0)</x:f>
        <x:v>0</x:v>
      </x:c>
      <x:c r="H3852">
        <x:f>ROUND($C3852*10*VLOOKUP($B3852,Sheet2!$J$5:$K$7,2,FALSE)*VLOOKUP(Sheet1!$A3852,Sheet2!$B$5:$H$29,7,FALSE),0)</x:f>
        <x:v>396</x:v>
      </x:c>
      <x:c r="I3852">
        <x:f t="shared" si="64"/>
        <x:v>2710</x:v>
      </x:c>
    </x:row>
    <x:row r="3853" spans="1:9" x14ac:dyDescent="0.15">
      <x:c r="A3853">
        <x:v>54202</x:v>
      </x:c>
      <x:c r="B3853">
        <x:v>2</x:v>
      </x:c>
      <x:c r="C3853">
        <x:v>12</x:v>
      </x:c>
      <x:c r="D3853">
        <x:f>ROUND($C3853*10*VLOOKUP($B3853,Sheet2!$J$5:$K$7,2,FALSE)*VLOOKUP(Sheet1!$A3853,Sheet2!$B$5:$H$29,3,FALSE),0)</x:f>
        <x:v>0</x:v>
      </x:c>
      <x:c r="E3853">
        <x:f>ROUND($C3853*10*VLOOKUP($B3853,Sheet2!$J$5:$K$7,2,FALSE)*VLOOKUP(Sheet1!$A3853,Sheet2!$B$5:$H$29,4,FALSE),0)</x:f>
        <x:v>29</x:v>
      </x:c>
      <x:c r="F3853">
        <x:f>ROUND($C3853*10*VLOOKUP($B3853,Sheet2!$J$5:$K$7,2,FALSE)*VLOOKUP(Sheet1!$A3853,Sheet2!$B$5:$H$29,5,FALSE),0)</x:f>
        <x:v>0</x:v>
      </x:c>
      <x:c r="G3853">
        <x:f>ROUND($C3853*10*VLOOKUP($B3853,Sheet2!$J$5:$K$7,2,FALSE)*VLOOKUP(Sheet1!$A3853,Sheet2!$B$5:$H$29,6,FALSE),0)</x:f>
        <x:v>0</x:v>
      </x:c>
      <x:c r="H3853">
        <x:f>ROUND($C3853*10*VLOOKUP($B3853,Sheet2!$J$5:$K$7,2,FALSE)*VLOOKUP(Sheet1!$A3853,Sheet2!$B$5:$H$29,7,FALSE),0)</x:f>
        <x:v>432</x:v>
      </x:c>
      <x:c r="I3853">
        <x:f t="shared" si="64"/>
        <x:v>3210</x:v>
      </x:c>
    </x:row>
    <x:row r="3854" spans="1:9" x14ac:dyDescent="0.15">
      <x:c r="A3854">
        <x:v>54202</x:v>
      </x:c>
      <x:c r="B3854">
        <x:v>2</x:v>
      </x:c>
      <x:c r="C3854">
        <x:v>13</x:v>
      </x:c>
      <x:c r="D3854">
        <x:f>ROUND($C3854*10*VLOOKUP($B3854,Sheet2!$J$5:$K$7,2,FALSE)*VLOOKUP(Sheet1!$A3854,Sheet2!$B$5:$H$29,3,FALSE),0)</x:f>
        <x:v>0</x:v>
      </x:c>
      <x:c r="E3854">
        <x:f>ROUND($C3854*10*VLOOKUP($B3854,Sheet2!$J$5:$K$7,2,FALSE)*VLOOKUP(Sheet1!$A3854,Sheet2!$B$5:$H$29,4,FALSE),0)</x:f>
        <x:v>31</x:v>
      </x:c>
      <x:c r="F3854">
        <x:f>ROUND($C3854*10*VLOOKUP($B3854,Sheet2!$J$5:$K$7,2,FALSE)*VLOOKUP(Sheet1!$A3854,Sheet2!$B$5:$H$29,5,FALSE),0)</x:f>
        <x:v>0</x:v>
      </x:c>
      <x:c r="G3854">
        <x:f>ROUND($C3854*10*VLOOKUP($B3854,Sheet2!$J$5:$K$7,2,FALSE)*VLOOKUP(Sheet1!$A3854,Sheet2!$B$5:$H$29,6,FALSE),0)</x:f>
        <x:v>0</x:v>
      </x:c>
      <x:c r="H3854">
        <x:f>ROUND($C3854*10*VLOOKUP($B3854,Sheet2!$J$5:$K$7,2,FALSE)*VLOOKUP(Sheet1!$A3854,Sheet2!$B$5:$H$29,7,FALSE),0)</x:f>
        <x:v>468</x:v>
      </x:c>
      <x:c r="I3854">
        <x:f t="shared" si="64"/>
        <x:v>3740</x:v>
      </x:c>
    </x:row>
    <x:row r="3855" spans="1:9" x14ac:dyDescent="0.15">
      <x:c r="A3855">
        <x:v>54202</x:v>
      </x:c>
      <x:c r="B3855">
        <x:v>2</x:v>
      </x:c>
      <x:c r="C3855">
        <x:v>14</x:v>
      </x:c>
      <x:c r="D3855">
        <x:f>ROUND($C3855*10*VLOOKUP($B3855,Sheet2!$J$5:$K$7,2,FALSE)*VLOOKUP(Sheet1!$A3855,Sheet2!$B$5:$H$29,3,FALSE),0)</x:f>
        <x:v>0</x:v>
      </x:c>
      <x:c r="E3855">
        <x:f>ROUND($C3855*10*VLOOKUP($B3855,Sheet2!$J$5:$K$7,2,FALSE)*VLOOKUP(Sheet1!$A3855,Sheet2!$B$5:$H$29,4,FALSE),0)</x:f>
        <x:v>34</x:v>
      </x:c>
      <x:c r="F3855">
        <x:f>ROUND($C3855*10*VLOOKUP($B3855,Sheet2!$J$5:$K$7,2,FALSE)*VLOOKUP(Sheet1!$A3855,Sheet2!$B$5:$H$29,5,FALSE),0)</x:f>
        <x:v>0</x:v>
      </x:c>
      <x:c r="G3855">
        <x:f>ROUND($C3855*10*VLOOKUP($B3855,Sheet2!$J$5:$K$7,2,FALSE)*VLOOKUP(Sheet1!$A3855,Sheet2!$B$5:$H$29,6,FALSE),0)</x:f>
        <x:v>0</x:v>
      </x:c>
      <x:c r="H3855">
        <x:f>ROUND($C3855*10*VLOOKUP($B3855,Sheet2!$J$5:$K$7,2,FALSE)*VLOOKUP(Sheet1!$A3855,Sheet2!$B$5:$H$29,7,FALSE),0)</x:f>
        <x:v>504</x:v>
      </x:c>
      <x:c r="I3855">
        <x:f t="shared" si="64"/>
        <x:v>4310</x:v>
      </x:c>
    </x:row>
    <x:row r="3856" spans="1:9" x14ac:dyDescent="0.15">
      <x:c r="A3856">
        <x:v>54202</x:v>
      </x:c>
      <x:c r="B3856">
        <x:v>2</x:v>
      </x:c>
      <x:c r="C3856">
        <x:v>15</x:v>
      </x:c>
      <x:c r="D3856">
        <x:f>ROUND($C3856*10*VLOOKUP($B3856,Sheet2!$J$5:$K$7,2,FALSE)*VLOOKUP(Sheet1!$A3856,Sheet2!$B$5:$H$29,3,FALSE),0)</x:f>
        <x:v>0</x:v>
      </x:c>
      <x:c r="E3856">
        <x:f>ROUND($C3856*10*VLOOKUP($B3856,Sheet2!$J$5:$K$7,2,FALSE)*VLOOKUP(Sheet1!$A3856,Sheet2!$B$5:$H$29,4,FALSE),0)</x:f>
        <x:v>36</x:v>
      </x:c>
      <x:c r="F3856">
        <x:f>ROUND($C3856*10*VLOOKUP($B3856,Sheet2!$J$5:$K$7,2,FALSE)*VLOOKUP(Sheet1!$A3856,Sheet2!$B$5:$H$29,5,FALSE),0)</x:f>
        <x:v>0</x:v>
      </x:c>
      <x:c r="G3856">
        <x:f>ROUND($C3856*10*VLOOKUP($B3856,Sheet2!$J$5:$K$7,2,FALSE)*VLOOKUP(Sheet1!$A3856,Sheet2!$B$5:$H$29,6,FALSE),0)</x:f>
        <x:v>0</x:v>
      </x:c>
      <x:c r="H3856">
        <x:f>ROUND($C3856*10*VLOOKUP($B3856,Sheet2!$J$5:$K$7,2,FALSE)*VLOOKUP(Sheet1!$A3856,Sheet2!$B$5:$H$29,7,FALSE),0)</x:f>
        <x:v>540</x:v>
      </x:c>
      <x:c r="I3856">
        <x:f t="shared" si="64"/>
        <x:v>4920</x:v>
      </x:c>
    </x:row>
    <x:row r="3857" spans="1:9" x14ac:dyDescent="0.15">
      <x:c r="A3857">
        <x:v>54202</x:v>
      </x:c>
      <x:c r="B3857">
        <x:v>2</x:v>
      </x:c>
      <x:c r="C3857">
        <x:v>16</x:v>
      </x:c>
      <x:c r="D3857">
        <x:f>ROUND($C3857*10*VLOOKUP($B3857,Sheet2!$J$5:$K$7,2,FALSE)*VLOOKUP(Sheet1!$A3857,Sheet2!$B$5:$H$29,3,FALSE),0)</x:f>
        <x:v>0</x:v>
      </x:c>
      <x:c r="E3857">
        <x:f>ROUND($C3857*10*VLOOKUP($B3857,Sheet2!$J$5:$K$7,2,FALSE)*VLOOKUP(Sheet1!$A3857,Sheet2!$B$5:$H$29,4,FALSE),0)</x:f>
        <x:v>38</x:v>
      </x:c>
      <x:c r="F3857">
        <x:f>ROUND($C3857*10*VLOOKUP($B3857,Sheet2!$J$5:$K$7,2,FALSE)*VLOOKUP(Sheet1!$A3857,Sheet2!$B$5:$H$29,5,FALSE),0)</x:f>
        <x:v>0</x:v>
      </x:c>
      <x:c r="G3857">
        <x:f>ROUND($C3857*10*VLOOKUP($B3857,Sheet2!$J$5:$K$7,2,FALSE)*VLOOKUP(Sheet1!$A3857,Sheet2!$B$5:$H$29,6,FALSE),0)</x:f>
        <x:v>0</x:v>
      </x:c>
      <x:c r="H3857">
        <x:f>ROUND($C3857*10*VLOOKUP($B3857,Sheet2!$J$5:$K$7,2,FALSE)*VLOOKUP(Sheet1!$A3857,Sheet2!$B$5:$H$29,7,FALSE),0)</x:f>
        <x:v>576</x:v>
      </x:c>
      <x:c r="I3857">
        <x:f t="shared" si="64"/>
        <x:v>5560</x:v>
      </x:c>
    </x:row>
    <x:row r="3858" spans="1:9" x14ac:dyDescent="0.15">
      <x:c r="A3858">
        <x:v>54202</x:v>
      </x:c>
      <x:c r="B3858">
        <x:v>2</x:v>
      </x:c>
      <x:c r="C3858">
        <x:v>17</x:v>
      </x:c>
      <x:c r="D3858">
        <x:f>ROUND($C3858*10*VLOOKUP($B3858,Sheet2!$J$5:$K$7,2,FALSE)*VLOOKUP(Sheet1!$A3858,Sheet2!$B$5:$H$29,3,FALSE),0)</x:f>
        <x:v>0</x:v>
      </x:c>
      <x:c r="E3858">
        <x:f>ROUND($C3858*10*VLOOKUP($B3858,Sheet2!$J$5:$K$7,2,FALSE)*VLOOKUP(Sheet1!$A3858,Sheet2!$B$5:$H$29,4,FALSE),0)</x:f>
        <x:v>41</x:v>
      </x:c>
      <x:c r="F3858">
        <x:f>ROUND($C3858*10*VLOOKUP($B3858,Sheet2!$J$5:$K$7,2,FALSE)*VLOOKUP(Sheet1!$A3858,Sheet2!$B$5:$H$29,5,FALSE),0)</x:f>
        <x:v>0</x:v>
      </x:c>
      <x:c r="G3858">
        <x:f>ROUND($C3858*10*VLOOKUP($B3858,Sheet2!$J$5:$K$7,2,FALSE)*VLOOKUP(Sheet1!$A3858,Sheet2!$B$5:$H$29,6,FALSE),0)</x:f>
        <x:v>0</x:v>
      </x:c>
      <x:c r="H3858">
        <x:f>ROUND($C3858*10*VLOOKUP($B3858,Sheet2!$J$5:$K$7,2,FALSE)*VLOOKUP(Sheet1!$A3858,Sheet2!$B$5:$H$29,7,FALSE),0)</x:f>
        <x:v>612</x:v>
      </x:c>
      <x:c r="I3858">
        <x:f t="shared" si="64"/>
        <x:v>6240</x:v>
      </x:c>
    </x:row>
    <x:row r="3859" spans="1:9" x14ac:dyDescent="0.15">
      <x:c r="A3859">
        <x:v>54202</x:v>
      </x:c>
      <x:c r="B3859">
        <x:v>2</x:v>
      </x:c>
      <x:c r="C3859">
        <x:v>18</x:v>
      </x:c>
      <x:c r="D3859">
        <x:f>ROUND($C3859*10*VLOOKUP($B3859,Sheet2!$J$5:$K$7,2,FALSE)*VLOOKUP(Sheet1!$A3859,Sheet2!$B$5:$H$29,3,FALSE),0)</x:f>
        <x:v>0</x:v>
      </x:c>
      <x:c r="E3859">
        <x:f>ROUND($C3859*10*VLOOKUP($B3859,Sheet2!$J$5:$K$7,2,FALSE)*VLOOKUP(Sheet1!$A3859,Sheet2!$B$5:$H$29,4,FALSE),0)</x:f>
        <x:v>43</x:v>
      </x:c>
      <x:c r="F3859">
        <x:f>ROUND($C3859*10*VLOOKUP($B3859,Sheet2!$J$5:$K$7,2,FALSE)*VLOOKUP(Sheet1!$A3859,Sheet2!$B$5:$H$29,5,FALSE),0)</x:f>
        <x:v>0</x:v>
      </x:c>
      <x:c r="G3859">
        <x:f>ROUND($C3859*10*VLOOKUP($B3859,Sheet2!$J$5:$K$7,2,FALSE)*VLOOKUP(Sheet1!$A3859,Sheet2!$B$5:$H$29,6,FALSE),0)</x:f>
        <x:v>0</x:v>
      </x:c>
      <x:c r="H3859">
        <x:f>ROUND($C3859*10*VLOOKUP($B3859,Sheet2!$J$5:$K$7,2,FALSE)*VLOOKUP(Sheet1!$A3859,Sheet2!$B$5:$H$29,7,FALSE),0)</x:f>
        <x:v>648</x:v>
      </x:c>
      <x:c r="I3859">
        <x:f t="shared" si="64"/>
        <x:v>6950</x:v>
      </x:c>
    </x:row>
    <x:row r="3860" spans="1:9" x14ac:dyDescent="0.15">
      <x:c r="A3860">
        <x:v>54202</x:v>
      </x:c>
      <x:c r="B3860">
        <x:v>2</x:v>
      </x:c>
      <x:c r="C3860">
        <x:v>19</x:v>
      </x:c>
      <x:c r="D3860">
        <x:f>ROUND($C3860*10*VLOOKUP($B3860,Sheet2!$J$5:$K$7,2,FALSE)*VLOOKUP(Sheet1!$A3860,Sheet2!$B$5:$H$29,3,FALSE),0)</x:f>
        <x:v>0</x:v>
      </x:c>
      <x:c r="E3860">
        <x:f>ROUND($C3860*10*VLOOKUP($B3860,Sheet2!$J$5:$K$7,2,FALSE)*VLOOKUP(Sheet1!$A3860,Sheet2!$B$5:$H$29,4,FALSE),0)</x:f>
        <x:v>46</x:v>
      </x:c>
      <x:c r="F3860">
        <x:f>ROUND($C3860*10*VLOOKUP($B3860,Sheet2!$J$5:$K$7,2,FALSE)*VLOOKUP(Sheet1!$A3860,Sheet2!$B$5:$H$29,5,FALSE),0)</x:f>
        <x:v>0</x:v>
      </x:c>
      <x:c r="G3860">
        <x:f>ROUND($C3860*10*VLOOKUP($B3860,Sheet2!$J$5:$K$7,2,FALSE)*VLOOKUP(Sheet1!$A3860,Sheet2!$B$5:$H$29,6,FALSE),0)</x:f>
        <x:v>0</x:v>
      </x:c>
      <x:c r="H3860">
        <x:f>ROUND($C3860*10*VLOOKUP($B3860,Sheet2!$J$5:$K$7,2,FALSE)*VLOOKUP(Sheet1!$A3860,Sheet2!$B$5:$H$29,7,FALSE),0)</x:f>
        <x:v>684</x:v>
      </x:c>
      <x:c r="I3860">
        <x:f t="shared" si="64"/>
        <x:v>7690</x:v>
      </x:c>
    </x:row>
    <x:row r="3861" spans="1:9" x14ac:dyDescent="0.15">
      <x:c r="A3861">
        <x:v>54202</x:v>
      </x:c>
      <x:c r="B3861">
        <x:v>2</x:v>
      </x:c>
      <x:c r="C3861">
        <x:v>20</x:v>
      </x:c>
      <x:c r="D3861">
        <x:f>ROUND($C3861*10*VLOOKUP($B3861,Sheet2!$J$5:$K$7,2,FALSE)*VLOOKUP(Sheet1!$A3861,Sheet2!$B$5:$H$29,3,FALSE),0)</x:f>
        <x:v>0</x:v>
      </x:c>
      <x:c r="E3861">
        <x:f>ROUND($C3861*10*VLOOKUP($B3861,Sheet2!$J$5:$K$7,2,FALSE)*VLOOKUP(Sheet1!$A3861,Sheet2!$B$5:$H$29,4,FALSE),0)</x:f>
        <x:v>48</x:v>
      </x:c>
      <x:c r="F3861">
        <x:f>ROUND($C3861*10*VLOOKUP($B3861,Sheet2!$J$5:$K$7,2,FALSE)*VLOOKUP(Sheet1!$A3861,Sheet2!$B$5:$H$29,5,FALSE),0)</x:f>
        <x:v>0</x:v>
      </x:c>
      <x:c r="G3861">
        <x:f>ROUND($C3861*10*VLOOKUP($B3861,Sheet2!$J$5:$K$7,2,FALSE)*VLOOKUP(Sheet1!$A3861,Sheet2!$B$5:$H$29,6,FALSE),0)</x:f>
        <x:v>0</x:v>
      </x:c>
      <x:c r="H3861">
        <x:f>ROUND($C3861*10*VLOOKUP($B3861,Sheet2!$J$5:$K$7,2,FALSE)*VLOOKUP(Sheet1!$A3861,Sheet2!$B$5:$H$29,7,FALSE),0)</x:f>
        <x:v>720</x:v>
      </x:c>
      <x:c r="I3861">
        <x:f t="shared" si="64"/>
        <x:v>8470</x:v>
      </x:c>
    </x:row>
    <x:row r="3862" spans="1:9" x14ac:dyDescent="0.15">
      <x:c r="A3862">
        <x:v>54202</x:v>
      </x:c>
      <x:c r="B3862">
        <x:v>2</x:v>
      </x:c>
      <x:c r="C3862">
        <x:v>21</x:v>
      </x:c>
      <x:c r="D3862">
        <x:f>ROUND($C3862*10*VLOOKUP($B3862,Sheet2!$J$5:$K$7,2,FALSE)*VLOOKUP(Sheet1!$A3862,Sheet2!$B$5:$H$29,3,FALSE),0)</x:f>
        <x:v>0</x:v>
      </x:c>
      <x:c r="E3862">
        <x:f>ROUND($C3862*10*VLOOKUP($B3862,Sheet2!$J$5:$K$7,2,FALSE)*VLOOKUP(Sheet1!$A3862,Sheet2!$B$5:$H$29,4,FALSE),0)</x:f>
        <x:v>50</x:v>
      </x:c>
      <x:c r="F3862">
        <x:f>ROUND($C3862*10*VLOOKUP($B3862,Sheet2!$J$5:$K$7,2,FALSE)*VLOOKUP(Sheet1!$A3862,Sheet2!$B$5:$H$29,5,FALSE),0)</x:f>
        <x:v>0</x:v>
      </x:c>
      <x:c r="G3862">
        <x:f>ROUND($C3862*10*VLOOKUP($B3862,Sheet2!$J$5:$K$7,2,FALSE)*VLOOKUP(Sheet1!$A3862,Sheet2!$B$5:$H$29,6,FALSE),0)</x:f>
        <x:v>0</x:v>
      </x:c>
      <x:c r="H3862">
        <x:f>ROUND($C3862*10*VLOOKUP($B3862,Sheet2!$J$5:$K$7,2,FALSE)*VLOOKUP(Sheet1!$A3862,Sheet2!$B$5:$H$29,7,FALSE),0)</x:f>
        <x:v>756</x:v>
      </x:c>
      <x:c r="I3862">
        <x:f t="shared" si="64"/>
        <x:v>9290</x:v>
      </x:c>
    </x:row>
    <x:row r="3863" spans="1:9" x14ac:dyDescent="0.15">
      <x:c r="A3863">
        <x:v>54202</x:v>
      </x:c>
      <x:c r="B3863">
        <x:v>2</x:v>
      </x:c>
      <x:c r="C3863">
        <x:v>22</x:v>
      </x:c>
      <x:c r="D3863">
        <x:f>ROUND($C3863*10*VLOOKUP($B3863,Sheet2!$J$5:$K$7,2,FALSE)*VLOOKUP(Sheet1!$A3863,Sheet2!$B$5:$H$29,3,FALSE),0)</x:f>
        <x:v>0</x:v>
      </x:c>
      <x:c r="E3863">
        <x:f>ROUND($C3863*10*VLOOKUP($B3863,Sheet2!$J$5:$K$7,2,FALSE)*VLOOKUP(Sheet1!$A3863,Sheet2!$B$5:$H$29,4,FALSE),0)</x:f>
        <x:v>53</x:v>
      </x:c>
      <x:c r="F3863">
        <x:f>ROUND($C3863*10*VLOOKUP($B3863,Sheet2!$J$5:$K$7,2,FALSE)*VLOOKUP(Sheet1!$A3863,Sheet2!$B$5:$H$29,5,FALSE),0)</x:f>
        <x:v>0</x:v>
      </x:c>
      <x:c r="G3863">
        <x:f>ROUND($C3863*10*VLOOKUP($B3863,Sheet2!$J$5:$K$7,2,FALSE)*VLOOKUP(Sheet1!$A3863,Sheet2!$B$5:$H$29,6,FALSE),0)</x:f>
        <x:v>0</x:v>
      </x:c>
      <x:c r="H3863">
        <x:f>ROUND($C3863*10*VLOOKUP($B3863,Sheet2!$J$5:$K$7,2,FALSE)*VLOOKUP(Sheet1!$A3863,Sheet2!$B$5:$H$29,7,FALSE),0)</x:f>
        <x:v>792</x:v>
      </x:c>
      <x:c r="I3863">
        <x:f t="shared" si="64"/>
        <x:v>10130</x:v>
      </x:c>
    </x:row>
    <x:row r="3864" spans="1:9" x14ac:dyDescent="0.15">
      <x:c r="A3864">
        <x:v>54202</x:v>
      </x:c>
      <x:c r="B3864">
        <x:v>2</x:v>
      </x:c>
      <x:c r="C3864">
        <x:v>23</x:v>
      </x:c>
      <x:c r="D3864">
        <x:f>ROUND($C3864*10*VLOOKUP($B3864,Sheet2!$J$5:$K$7,2,FALSE)*VLOOKUP(Sheet1!$A3864,Sheet2!$B$5:$H$29,3,FALSE),0)</x:f>
        <x:v>0</x:v>
      </x:c>
      <x:c r="E3864">
        <x:f>ROUND($C3864*10*VLOOKUP($B3864,Sheet2!$J$5:$K$7,2,FALSE)*VLOOKUP(Sheet1!$A3864,Sheet2!$B$5:$H$29,4,FALSE),0)</x:f>
        <x:v>55</x:v>
      </x:c>
      <x:c r="F3864">
        <x:f>ROUND($C3864*10*VLOOKUP($B3864,Sheet2!$J$5:$K$7,2,FALSE)*VLOOKUP(Sheet1!$A3864,Sheet2!$B$5:$H$29,5,FALSE),0)</x:f>
        <x:v>0</x:v>
      </x:c>
      <x:c r="G3864">
        <x:f>ROUND($C3864*10*VLOOKUP($B3864,Sheet2!$J$5:$K$7,2,FALSE)*VLOOKUP(Sheet1!$A3864,Sheet2!$B$5:$H$29,6,FALSE),0)</x:f>
        <x:v>0</x:v>
      </x:c>
      <x:c r="H3864">
        <x:f>ROUND($C3864*10*VLOOKUP($B3864,Sheet2!$J$5:$K$7,2,FALSE)*VLOOKUP(Sheet1!$A3864,Sheet2!$B$5:$H$29,7,FALSE),0)</x:f>
        <x:v>828</x:v>
      </x:c>
      <x:c r="I3864">
        <x:f t="shared" si="64"/>
        <x:v>11010</x:v>
      </x:c>
    </x:row>
    <x:row r="3865" spans="1:9" x14ac:dyDescent="0.15">
      <x:c r="A3865">
        <x:v>54202</x:v>
      </x:c>
      <x:c r="B3865">
        <x:v>2</x:v>
      </x:c>
      <x:c r="C3865">
        <x:v>24</x:v>
      </x:c>
      <x:c r="D3865">
        <x:f>ROUND($C3865*10*VLOOKUP($B3865,Sheet2!$J$5:$K$7,2,FALSE)*VLOOKUP(Sheet1!$A3865,Sheet2!$B$5:$H$29,3,FALSE),0)</x:f>
        <x:v>0</x:v>
      </x:c>
      <x:c r="E3865">
        <x:f>ROUND($C3865*10*VLOOKUP($B3865,Sheet2!$J$5:$K$7,2,FALSE)*VLOOKUP(Sheet1!$A3865,Sheet2!$B$5:$H$29,4,FALSE),0)</x:f>
        <x:v>58</x:v>
      </x:c>
      <x:c r="F3865">
        <x:f>ROUND($C3865*10*VLOOKUP($B3865,Sheet2!$J$5:$K$7,2,FALSE)*VLOOKUP(Sheet1!$A3865,Sheet2!$B$5:$H$29,5,FALSE),0)</x:f>
        <x:v>0</x:v>
      </x:c>
      <x:c r="G3865">
        <x:f>ROUND($C3865*10*VLOOKUP($B3865,Sheet2!$J$5:$K$7,2,FALSE)*VLOOKUP(Sheet1!$A3865,Sheet2!$B$5:$H$29,6,FALSE),0)</x:f>
        <x:v>0</x:v>
      </x:c>
      <x:c r="H3865">
        <x:f>ROUND($C3865*10*VLOOKUP($B3865,Sheet2!$J$5:$K$7,2,FALSE)*VLOOKUP(Sheet1!$A3865,Sheet2!$B$5:$H$29,7,FALSE),0)</x:f>
        <x:v>864</x:v>
      </x:c>
      <x:c r="I3865">
        <x:f t="shared" si="64"/>
        <x:v>11930</x:v>
      </x:c>
    </x:row>
    <x:row r="3866" spans="1:9" x14ac:dyDescent="0.15">
      <x:c r="A3866">
        <x:v>54202</x:v>
      </x:c>
      <x:c r="B3866">
        <x:v>2</x:v>
      </x:c>
      <x:c r="C3866">
        <x:v>25</x:v>
      </x:c>
      <x:c r="D3866">
        <x:f>ROUND($C3866*10*VLOOKUP($B3866,Sheet2!$J$5:$K$7,2,FALSE)*VLOOKUP(Sheet1!$A3866,Sheet2!$B$5:$H$29,3,FALSE),0)</x:f>
        <x:v>0</x:v>
      </x:c>
      <x:c r="E3866">
        <x:f>ROUND($C3866*10*VLOOKUP($B3866,Sheet2!$J$5:$K$7,2,FALSE)*VLOOKUP(Sheet1!$A3866,Sheet2!$B$5:$H$29,4,FALSE),0)</x:f>
        <x:v>60</x:v>
      </x:c>
      <x:c r="F3866">
        <x:f>ROUND($C3866*10*VLOOKUP($B3866,Sheet2!$J$5:$K$7,2,FALSE)*VLOOKUP(Sheet1!$A3866,Sheet2!$B$5:$H$29,5,FALSE),0)</x:f>
        <x:v>0</x:v>
      </x:c>
      <x:c r="G3866">
        <x:f>ROUND($C3866*10*VLOOKUP($B3866,Sheet2!$J$5:$K$7,2,FALSE)*VLOOKUP(Sheet1!$A3866,Sheet2!$B$5:$H$29,6,FALSE),0)</x:f>
        <x:v>0</x:v>
      </x:c>
      <x:c r="H3866">
        <x:f>ROUND($C3866*10*VLOOKUP($B3866,Sheet2!$J$5:$K$7,2,FALSE)*VLOOKUP(Sheet1!$A3866,Sheet2!$B$5:$H$29,7,FALSE),0)</x:f>
        <x:v>900</x:v>
      </x:c>
      <x:c r="I3866">
        <x:f t="shared" si="64"/>
        <x:v>12870</x:v>
      </x:c>
    </x:row>
    <x:row r="3867" spans="1:9" x14ac:dyDescent="0.15">
      <x:c r="A3867">
        <x:v>54202</x:v>
      </x:c>
      <x:c r="B3867">
        <x:v>2</x:v>
      </x:c>
      <x:c r="C3867">
        <x:v>26</x:v>
      </x:c>
      <x:c r="D3867">
        <x:f>ROUND($C3867*10*VLOOKUP($B3867,Sheet2!$J$5:$K$7,2,FALSE)*VLOOKUP(Sheet1!$A3867,Sheet2!$B$5:$H$29,3,FALSE),0)</x:f>
        <x:v>0</x:v>
      </x:c>
      <x:c r="E3867">
        <x:f>ROUND($C3867*10*VLOOKUP($B3867,Sheet2!$J$5:$K$7,2,FALSE)*VLOOKUP(Sheet1!$A3867,Sheet2!$B$5:$H$29,4,FALSE),0)</x:f>
        <x:v>62</x:v>
      </x:c>
      <x:c r="F3867">
        <x:f>ROUND($C3867*10*VLOOKUP($B3867,Sheet2!$J$5:$K$7,2,FALSE)*VLOOKUP(Sheet1!$A3867,Sheet2!$B$5:$H$29,5,FALSE),0)</x:f>
        <x:v>0</x:v>
      </x:c>
      <x:c r="G3867">
        <x:f>ROUND($C3867*10*VLOOKUP($B3867,Sheet2!$J$5:$K$7,2,FALSE)*VLOOKUP(Sheet1!$A3867,Sheet2!$B$5:$H$29,6,FALSE),0)</x:f>
        <x:v>0</x:v>
      </x:c>
      <x:c r="H3867">
        <x:f>ROUND($C3867*10*VLOOKUP($B3867,Sheet2!$J$5:$K$7,2,FALSE)*VLOOKUP(Sheet1!$A3867,Sheet2!$B$5:$H$29,7,FALSE),0)</x:f>
        <x:v>936</x:v>
      </x:c>
      <x:c r="I3867">
        <x:f t="shared" si="64"/>
        <x:v>13850</x:v>
      </x:c>
    </x:row>
    <x:row r="3868" spans="1:9" x14ac:dyDescent="0.15">
      <x:c r="A3868">
        <x:v>54202</x:v>
      </x:c>
      <x:c r="B3868">
        <x:v>2</x:v>
      </x:c>
      <x:c r="C3868">
        <x:v>27</x:v>
      </x:c>
      <x:c r="D3868">
        <x:f>ROUND($C3868*10*VLOOKUP($B3868,Sheet2!$J$5:$K$7,2,FALSE)*VLOOKUP(Sheet1!$A3868,Sheet2!$B$5:$H$29,3,FALSE),0)</x:f>
        <x:v>0</x:v>
      </x:c>
      <x:c r="E3868">
        <x:f>ROUND($C3868*10*VLOOKUP($B3868,Sheet2!$J$5:$K$7,2,FALSE)*VLOOKUP(Sheet1!$A3868,Sheet2!$B$5:$H$29,4,FALSE),0)</x:f>
        <x:v>65</x:v>
      </x:c>
      <x:c r="F3868">
        <x:f>ROUND($C3868*10*VLOOKUP($B3868,Sheet2!$J$5:$K$7,2,FALSE)*VLOOKUP(Sheet1!$A3868,Sheet2!$B$5:$H$29,5,FALSE),0)</x:f>
        <x:v>0</x:v>
      </x:c>
      <x:c r="G3868">
        <x:f>ROUND($C3868*10*VLOOKUP($B3868,Sheet2!$J$5:$K$7,2,FALSE)*VLOOKUP(Sheet1!$A3868,Sheet2!$B$5:$H$29,6,FALSE),0)</x:f>
        <x:v>0</x:v>
      </x:c>
      <x:c r="H3868">
        <x:f>ROUND($C3868*10*VLOOKUP($B3868,Sheet2!$J$5:$K$7,2,FALSE)*VLOOKUP(Sheet1!$A3868,Sheet2!$B$5:$H$29,7,FALSE),0)</x:f>
        <x:v>972</x:v>
      </x:c>
      <x:c r="I3868">
        <x:f t="shared" si="64"/>
        <x:v>14860</x:v>
      </x:c>
    </x:row>
    <x:row r="3869" spans="1:9" x14ac:dyDescent="0.15">
      <x:c r="A3869">
        <x:v>54202</x:v>
      </x:c>
      <x:c r="B3869">
        <x:v>2</x:v>
      </x:c>
      <x:c r="C3869">
        <x:v>28</x:v>
      </x:c>
      <x:c r="D3869">
        <x:f>ROUND($C3869*10*VLOOKUP($B3869,Sheet2!$J$5:$K$7,2,FALSE)*VLOOKUP(Sheet1!$A3869,Sheet2!$B$5:$H$29,3,FALSE),0)</x:f>
        <x:v>0</x:v>
      </x:c>
      <x:c r="E3869">
        <x:f>ROUND($C3869*10*VLOOKUP($B3869,Sheet2!$J$5:$K$7,2,FALSE)*VLOOKUP(Sheet1!$A3869,Sheet2!$B$5:$H$29,4,FALSE),0)</x:f>
        <x:v>67</x:v>
      </x:c>
      <x:c r="F3869">
        <x:f>ROUND($C3869*10*VLOOKUP($B3869,Sheet2!$J$5:$K$7,2,FALSE)*VLOOKUP(Sheet1!$A3869,Sheet2!$B$5:$H$29,5,FALSE),0)</x:f>
        <x:v>0</x:v>
      </x:c>
      <x:c r="G3869">
        <x:f>ROUND($C3869*10*VLOOKUP($B3869,Sheet2!$J$5:$K$7,2,FALSE)*VLOOKUP(Sheet1!$A3869,Sheet2!$B$5:$H$29,6,FALSE),0)</x:f>
        <x:v>0</x:v>
      </x:c>
      <x:c r="H3869">
        <x:f>ROUND($C3869*10*VLOOKUP($B3869,Sheet2!$J$5:$K$7,2,FALSE)*VLOOKUP(Sheet1!$A3869,Sheet2!$B$5:$H$29,7,FALSE),0)</x:f>
        <x:v>1008</x:v>
      </x:c>
      <x:c r="I3869">
        <x:f t="shared" si="64"/>
        <x:v>15900</x:v>
      </x:c>
    </x:row>
    <x:row r="3870" spans="1:9" x14ac:dyDescent="0.15">
      <x:c r="A3870">
        <x:v>54202</x:v>
      </x:c>
      <x:c r="B3870">
        <x:v>2</x:v>
      </x:c>
      <x:c r="C3870">
        <x:v>29</x:v>
      </x:c>
      <x:c r="D3870">
        <x:f>ROUND($C3870*10*VLOOKUP($B3870,Sheet2!$J$5:$K$7,2,FALSE)*VLOOKUP(Sheet1!$A3870,Sheet2!$B$5:$H$29,3,FALSE),0)</x:f>
        <x:v>0</x:v>
      </x:c>
      <x:c r="E3870">
        <x:f>ROUND($C3870*10*VLOOKUP($B3870,Sheet2!$J$5:$K$7,2,FALSE)*VLOOKUP(Sheet1!$A3870,Sheet2!$B$5:$H$29,4,FALSE),0)</x:f>
        <x:v>70</x:v>
      </x:c>
      <x:c r="F3870">
        <x:f>ROUND($C3870*10*VLOOKUP($B3870,Sheet2!$J$5:$K$7,2,FALSE)*VLOOKUP(Sheet1!$A3870,Sheet2!$B$5:$H$29,5,FALSE),0)</x:f>
        <x:v>0</x:v>
      </x:c>
      <x:c r="G3870">
        <x:f>ROUND($C3870*10*VLOOKUP($B3870,Sheet2!$J$5:$K$7,2,FALSE)*VLOOKUP(Sheet1!$A3870,Sheet2!$B$5:$H$29,6,FALSE),0)</x:f>
        <x:v>0</x:v>
      </x:c>
      <x:c r="H3870">
        <x:f>ROUND($C3870*10*VLOOKUP($B3870,Sheet2!$J$5:$K$7,2,FALSE)*VLOOKUP(Sheet1!$A3870,Sheet2!$B$5:$H$29,7,FALSE),0)</x:f>
        <x:v>1044</x:v>
      </x:c>
      <x:c r="I3870">
        <x:f t="shared" si="64"/>
        <x:v>16970</x:v>
      </x:c>
    </x:row>
    <x:row r="3871" spans="1:9" x14ac:dyDescent="0.15">
      <x:c r="A3871">
        <x:v>54202</x:v>
      </x:c>
      <x:c r="B3871">
        <x:v>2</x:v>
      </x:c>
      <x:c r="C3871">
        <x:v>30</x:v>
      </x:c>
      <x:c r="D3871">
        <x:f>ROUND($C3871*10*VLOOKUP($B3871,Sheet2!$J$5:$K$7,2,FALSE)*VLOOKUP(Sheet1!$A3871,Sheet2!$B$5:$H$29,3,FALSE),0)</x:f>
        <x:v>0</x:v>
      </x:c>
      <x:c r="E3871">
        <x:f>ROUND($C3871*10*VLOOKUP($B3871,Sheet2!$J$5:$K$7,2,FALSE)*VLOOKUP(Sheet1!$A3871,Sheet2!$B$5:$H$29,4,FALSE),0)</x:f>
        <x:v>72</x:v>
      </x:c>
      <x:c r="F3871">
        <x:f>ROUND($C3871*10*VLOOKUP($B3871,Sheet2!$J$5:$K$7,2,FALSE)*VLOOKUP(Sheet1!$A3871,Sheet2!$B$5:$H$29,5,FALSE),0)</x:f>
        <x:v>0</x:v>
      </x:c>
      <x:c r="G3871">
        <x:f>ROUND($C3871*10*VLOOKUP($B3871,Sheet2!$J$5:$K$7,2,FALSE)*VLOOKUP(Sheet1!$A3871,Sheet2!$B$5:$H$29,6,FALSE),0)</x:f>
        <x:v>0</x:v>
      </x:c>
      <x:c r="H3871">
        <x:f>ROUND($C3871*10*VLOOKUP($B3871,Sheet2!$J$5:$K$7,2,FALSE)*VLOOKUP(Sheet1!$A3871,Sheet2!$B$5:$H$29,7,FALSE),0)</x:f>
        <x:v>1080</x:v>
      </x:c>
      <x:c r="I3871">
        <x:f t="shared" si="64"/>
        <x:v>18070</x:v>
      </x:c>
    </x:row>
    <x:row r="3872" spans="1:9" x14ac:dyDescent="0.15">
      <x:c r="A3872">
        <x:v>54202</x:v>
      </x:c>
      <x:c r="B3872">
        <x:v>2</x:v>
      </x:c>
      <x:c r="C3872">
        <x:v>31</x:v>
      </x:c>
      <x:c r="D3872">
        <x:f>ROUND($C3872*10*VLOOKUP($B3872,Sheet2!$J$5:$K$7,2,FALSE)*VLOOKUP(Sheet1!$A3872,Sheet2!$B$5:$H$29,3,FALSE),0)</x:f>
        <x:v>0</x:v>
      </x:c>
      <x:c r="E3872">
        <x:f>ROUND($C3872*10*VLOOKUP($B3872,Sheet2!$J$5:$K$7,2,FALSE)*VLOOKUP(Sheet1!$A3872,Sheet2!$B$5:$H$29,4,FALSE),0)</x:f>
        <x:v>74</x:v>
      </x:c>
      <x:c r="F3872">
        <x:f>ROUND($C3872*10*VLOOKUP($B3872,Sheet2!$J$5:$K$7,2,FALSE)*VLOOKUP(Sheet1!$A3872,Sheet2!$B$5:$H$29,5,FALSE),0)</x:f>
        <x:v>0</x:v>
      </x:c>
      <x:c r="G3872">
        <x:f>ROUND($C3872*10*VLOOKUP($B3872,Sheet2!$J$5:$K$7,2,FALSE)*VLOOKUP(Sheet1!$A3872,Sheet2!$B$5:$H$29,6,FALSE),0)</x:f>
        <x:v>0</x:v>
      </x:c>
      <x:c r="H3872">
        <x:f>ROUND($C3872*10*VLOOKUP($B3872,Sheet2!$J$5:$K$7,2,FALSE)*VLOOKUP(Sheet1!$A3872,Sheet2!$B$5:$H$29,7,FALSE),0)</x:f>
        <x:v>1116</x:v>
      </x:c>
      <x:c r="I3872">
        <x:f t="shared" si="64"/>
        <x:v>19210</x:v>
      </x:c>
    </x:row>
    <x:row r="3873" spans="1:9" x14ac:dyDescent="0.15">
      <x:c r="A3873">
        <x:v>54202</x:v>
      </x:c>
      <x:c r="B3873">
        <x:v>2</x:v>
      </x:c>
      <x:c r="C3873">
        <x:v>32</x:v>
      </x:c>
      <x:c r="D3873">
        <x:f>ROUND($C3873*10*VLOOKUP($B3873,Sheet2!$J$5:$K$7,2,FALSE)*VLOOKUP(Sheet1!$A3873,Sheet2!$B$5:$H$29,3,FALSE),0)</x:f>
        <x:v>0</x:v>
      </x:c>
      <x:c r="E3873">
        <x:f>ROUND($C3873*10*VLOOKUP($B3873,Sheet2!$J$5:$K$7,2,FALSE)*VLOOKUP(Sheet1!$A3873,Sheet2!$B$5:$H$29,4,FALSE),0)</x:f>
        <x:v>77</x:v>
      </x:c>
      <x:c r="F3873">
        <x:f>ROUND($C3873*10*VLOOKUP($B3873,Sheet2!$J$5:$K$7,2,FALSE)*VLOOKUP(Sheet1!$A3873,Sheet2!$B$5:$H$29,5,FALSE),0)</x:f>
        <x:v>0</x:v>
      </x:c>
      <x:c r="G3873">
        <x:f>ROUND($C3873*10*VLOOKUP($B3873,Sheet2!$J$5:$K$7,2,FALSE)*VLOOKUP(Sheet1!$A3873,Sheet2!$B$5:$H$29,6,FALSE),0)</x:f>
        <x:v>0</x:v>
      </x:c>
      <x:c r="H3873">
        <x:f>ROUND($C3873*10*VLOOKUP($B3873,Sheet2!$J$5:$K$7,2,FALSE)*VLOOKUP(Sheet1!$A3873,Sheet2!$B$5:$H$29,7,FALSE),0)</x:f>
        <x:v>1152</x:v>
      </x:c>
      <x:c r="I3873">
        <x:f t="shared" si="64"/>
        <x:v>20370</x:v>
      </x:c>
    </x:row>
    <x:row r="3874" spans="1:9" x14ac:dyDescent="0.15">
      <x:c r="A3874">
        <x:v>54202</x:v>
      </x:c>
      <x:c r="B3874">
        <x:v>2</x:v>
      </x:c>
      <x:c r="C3874">
        <x:v>33</x:v>
      </x:c>
      <x:c r="D3874">
        <x:f>ROUND($C3874*10*VLOOKUP($B3874,Sheet2!$J$5:$K$7,2,FALSE)*VLOOKUP(Sheet1!$A3874,Sheet2!$B$5:$H$29,3,FALSE),0)</x:f>
        <x:v>0</x:v>
      </x:c>
      <x:c r="E3874">
        <x:f>ROUND($C3874*10*VLOOKUP($B3874,Sheet2!$J$5:$K$7,2,FALSE)*VLOOKUP(Sheet1!$A3874,Sheet2!$B$5:$H$29,4,FALSE),0)</x:f>
        <x:v>79</x:v>
      </x:c>
      <x:c r="F3874">
        <x:f>ROUND($C3874*10*VLOOKUP($B3874,Sheet2!$J$5:$K$7,2,FALSE)*VLOOKUP(Sheet1!$A3874,Sheet2!$B$5:$H$29,5,FALSE),0)</x:f>
        <x:v>0</x:v>
      </x:c>
      <x:c r="G3874">
        <x:f>ROUND($C3874*10*VLOOKUP($B3874,Sheet2!$J$5:$K$7,2,FALSE)*VLOOKUP(Sheet1!$A3874,Sheet2!$B$5:$H$29,6,FALSE),0)</x:f>
        <x:v>0</x:v>
      </x:c>
      <x:c r="H3874">
        <x:f>ROUND($C3874*10*VLOOKUP($B3874,Sheet2!$J$5:$K$7,2,FALSE)*VLOOKUP(Sheet1!$A3874,Sheet2!$B$5:$H$29,7,FALSE),0)</x:f>
        <x:v>1188</x:v>
      </x:c>
      <x:c r="I3874">
        <x:f t="shared" si="64"/>
        <x:v>21560</x:v>
      </x:c>
    </x:row>
    <x:row r="3875" spans="1:9" x14ac:dyDescent="0.15">
      <x:c r="A3875">
        <x:v>54202</x:v>
      </x:c>
      <x:c r="B3875">
        <x:v>2</x:v>
      </x:c>
      <x:c r="C3875">
        <x:v>34</x:v>
      </x:c>
      <x:c r="D3875">
        <x:f>ROUND($C3875*10*VLOOKUP($B3875,Sheet2!$J$5:$K$7,2,FALSE)*VLOOKUP(Sheet1!$A3875,Sheet2!$B$5:$H$29,3,FALSE),0)</x:f>
        <x:v>0</x:v>
      </x:c>
      <x:c r="E3875">
        <x:f>ROUND($C3875*10*VLOOKUP($B3875,Sheet2!$J$5:$K$7,2,FALSE)*VLOOKUP(Sheet1!$A3875,Sheet2!$B$5:$H$29,4,FALSE),0)</x:f>
        <x:v>82</x:v>
      </x:c>
      <x:c r="F3875">
        <x:f>ROUND($C3875*10*VLOOKUP($B3875,Sheet2!$J$5:$K$7,2,FALSE)*VLOOKUP(Sheet1!$A3875,Sheet2!$B$5:$H$29,5,FALSE),0)</x:f>
        <x:v>0</x:v>
      </x:c>
      <x:c r="G3875">
        <x:f>ROUND($C3875*10*VLOOKUP($B3875,Sheet2!$J$5:$K$7,2,FALSE)*VLOOKUP(Sheet1!$A3875,Sheet2!$B$5:$H$29,6,FALSE),0)</x:f>
        <x:v>0</x:v>
      </x:c>
      <x:c r="H3875">
        <x:f>ROUND($C3875*10*VLOOKUP($B3875,Sheet2!$J$5:$K$7,2,FALSE)*VLOOKUP(Sheet1!$A3875,Sheet2!$B$5:$H$29,7,FALSE),0)</x:f>
        <x:v>1224</x:v>
      </x:c>
      <x:c r="I3875">
        <x:f t="shared" si="64"/>
        <x:v>22790</x:v>
      </x:c>
    </x:row>
    <x:row r="3876" spans="1:9" x14ac:dyDescent="0.15">
      <x:c r="A3876">
        <x:v>54202</x:v>
      </x:c>
      <x:c r="B3876">
        <x:v>2</x:v>
      </x:c>
      <x:c r="C3876">
        <x:v>35</x:v>
      </x:c>
      <x:c r="D3876">
        <x:f>ROUND($C3876*10*VLOOKUP($B3876,Sheet2!$J$5:$K$7,2,FALSE)*VLOOKUP(Sheet1!$A3876,Sheet2!$B$5:$H$29,3,FALSE),0)</x:f>
        <x:v>0</x:v>
      </x:c>
      <x:c r="E3876">
        <x:f>ROUND($C3876*10*VLOOKUP($B3876,Sheet2!$J$5:$K$7,2,FALSE)*VLOOKUP(Sheet1!$A3876,Sheet2!$B$5:$H$29,4,FALSE),0)</x:f>
        <x:v>84</x:v>
      </x:c>
      <x:c r="F3876">
        <x:f>ROUND($C3876*10*VLOOKUP($B3876,Sheet2!$J$5:$K$7,2,FALSE)*VLOOKUP(Sheet1!$A3876,Sheet2!$B$5:$H$29,5,FALSE),0)</x:f>
        <x:v>0</x:v>
      </x:c>
      <x:c r="G3876">
        <x:f>ROUND($C3876*10*VLOOKUP($B3876,Sheet2!$J$5:$K$7,2,FALSE)*VLOOKUP(Sheet1!$A3876,Sheet2!$B$5:$H$29,6,FALSE),0)</x:f>
        <x:v>0</x:v>
      </x:c>
      <x:c r="H3876">
        <x:f>ROUND($C3876*10*VLOOKUP($B3876,Sheet2!$J$5:$K$7,2,FALSE)*VLOOKUP(Sheet1!$A3876,Sheet2!$B$5:$H$29,7,FALSE),0)</x:f>
        <x:v>1260</x:v>
      </x:c>
      <x:c r="I3876">
        <x:f t="shared" si="64"/>
        <x:v>24040</x:v>
      </x:c>
    </x:row>
    <x:row r="3877" spans="1:9" x14ac:dyDescent="0.15">
      <x:c r="A3877">
        <x:v>54202</x:v>
      </x:c>
      <x:c r="B3877">
        <x:v>2</x:v>
      </x:c>
      <x:c r="C3877">
        <x:v>36</x:v>
      </x:c>
      <x:c r="D3877">
        <x:f>ROUND($C3877*10*VLOOKUP($B3877,Sheet2!$J$5:$K$7,2,FALSE)*VLOOKUP(Sheet1!$A3877,Sheet2!$B$5:$H$29,3,FALSE),0)</x:f>
        <x:v>0</x:v>
      </x:c>
      <x:c r="E3877">
        <x:f>ROUND($C3877*10*VLOOKUP($B3877,Sheet2!$J$5:$K$7,2,FALSE)*VLOOKUP(Sheet1!$A3877,Sheet2!$B$5:$H$29,4,FALSE),0)</x:f>
        <x:v>86</x:v>
      </x:c>
      <x:c r="F3877">
        <x:f>ROUND($C3877*10*VLOOKUP($B3877,Sheet2!$J$5:$K$7,2,FALSE)*VLOOKUP(Sheet1!$A3877,Sheet2!$B$5:$H$29,5,FALSE),0)</x:f>
        <x:v>0</x:v>
      </x:c>
      <x:c r="G3877">
        <x:f>ROUND($C3877*10*VLOOKUP($B3877,Sheet2!$J$5:$K$7,2,FALSE)*VLOOKUP(Sheet1!$A3877,Sheet2!$B$5:$H$29,6,FALSE),0)</x:f>
        <x:v>0</x:v>
      </x:c>
      <x:c r="H3877">
        <x:f>ROUND($C3877*10*VLOOKUP($B3877,Sheet2!$J$5:$K$7,2,FALSE)*VLOOKUP(Sheet1!$A3877,Sheet2!$B$5:$H$29,7,FALSE),0)</x:f>
        <x:v>1296</x:v>
      </x:c>
      <x:c r="I3877">
        <x:f t="shared" si="64"/>
        <x:v>25330</x:v>
      </x:c>
    </x:row>
    <x:row r="3878" spans="1:9" x14ac:dyDescent="0.15">
      <x:c r="A3878">
        <x:v>54202</x:v>
      </x:c>
      <x:c r="B3878">
        <x:v>2</x:v>
      </x:c>
      <x:c r="C3878">
        <x:v>37</x:v>
      </x:c>
      <x:c r="D3878">
        <x:f>ROUND($C3878*10*VLOOKUP($B3878,Sheet2!$J$5:$K$7,2,FALSE)*VLOOKUP(Sheet1!$A3878,Sheet2!$B$5:$H$29,3,FALSE),0)</x:f>
        <x:v>0</x:v>
      </x:c>
      <x:c r="E3878">
        <x:f>ROUND($C3878*10*VLOOKUP($B3878,Sheet2!$J$5:$K$7,2,FALSE)*VLOOKUP(Sheet1!$A3878,Sheet2!$B$5:$H$29,4,FALSE),0)</x:f>
        <x:v>89</x:v>
      </x:c>
      <x:c r="F3878">
        <x:f>ROUND($C3878*10*VLOOKUP($B3878,Sheet2!$J$5:$K$7,2,FALSE)*VLOOKUP(Sheet1!$A3878,Sheet2!$B$5:$H$29,5,FALSE),0)</x:f>
        <x:v>0</x:v>
      </x:c>
      <x:c r="G3878">
        <x:f>ROUND($C3878*10*VLOOKUP($B3878,Sheet2!$J$5:$K$7,2,FALSE)*VLOOKUP(Sheet1!$A3878,Sheet2!$B$5:$H$29,6,FALSE),0)</x:f>
        <x:v>0</x:v>
      </x:c>
      <x:c r="H3878">
        <x:f>ROUND($C3878*10*VLOOKUP($B3878,Sheet2!$J$5:$K$7,2,FALSE)*VLOOKUP(Sheet1!$A3878,Sheet2!$B$5:$H$29,7,FALSE),0)</x:f>
        <x:v>1332</x:v>
      </x:c>
      <x:c r="I3878">
        <x:f t="shared" si="64"/>
        <x:v>26640</x:v>
      </x:c>
    </x:row>
    <x:row r="3879" spans="1:9" x14ac:dyDescent="0.15">
      <x:c r="A3879">
        <x:v>54202</x:v>
      </x:c>
      <x:c r="B3879">
        <x:v>2</x:v>
      </x:c>
      <x:c r="C3879">
        <x:v>38</x:v>
      </x:c>
      <x:c r="D3879">
        <x:f>ROUND($C3879*10*VLOOKUP($B3879,Sheet2!$J$5:$K$7,2,FALSE)*VLOOKUP(Sheet1!$A3879,Sheet2!$B$5:$H$29,3,FALSE),0)</x:f>
        <x:v>0</x:v>
      </x:c>
      <x:c r="E3879">
        <x:f>ROUND($C3879*10*VLOOKUP($B3879,Sheet2!$J$5:$K$7,2,FALSE)*VLOOKUP(Sheet1!$A3879,Sheet2!$B$5:$H$29,4,FALSE),0)</x:f>
        <x:v>91</x:v>
      </x:c>
      <x:c r="F3879">
        <x:f>ROUND($C3879*10*VLOOKUP($B3879,Sheet2!$J$5:$K$7,2,FALSE)*VLOOKUP(Sheet1!$A3879,Sheet2!$B$5:$H$29,5,FALSE),0)</x:f>
        <x:v>0</x:v>
      </x:c>
      <x:c r="G3879">
        <x:f>ROUND($C3879*10*VLOOKUP($B3879,Sheet2!$J$5:$K$7,2,FALSE)*VLOOKUP(Sheet1!$A3879,Sheet2!$B$5:$H$29,6,FALSE),0)</x:f>
        <x:v>0</x:v>
      </x:c>
      <x:c r="H3879">
        <x:f>ROUND($C3879*10*VLOOKUP($B3879,Sheet2!$J$5:$K$7,2,FALSE)*VLOOKUP(Sheet1!$A3879,Sheet2!$B$5:$H$29,7,FALSE),0)</x:f>
        <x:v>1368</x:v>
      </x:c>
      <x:c r="I3879">
        <x:f t="shared" si="64"/>
        <x:v>27990</x:v>
      </x:c>
    </x:row>
    <x:row r="3880" spans="1:9" x14ac:dyDescent="0.15">
      <x:c r="A3880">
        <x:v>54202</x:v>
      </x:c>
      <x:c r="B3880">
        <x:v>2</x:v>
      </x:c>
      <x:c r="C3880">
        <x:v>39</x:v>
      </x:c>
      <x:c r="D3880">
        <x:f>ROUND($C3880*10*VLOOKUP($B3880,Sheet2!$J$5:$K$7,2,FALSE)*VLOOKUP(Sheet1!$A3880,Sheet2!$B$5:$H$29,3,FALSE),0)</x:f>
        <x:v>0</x:v>
      </x:c>
      <x:c r="E3880">
        <x:f>ROUND($C3880*10*VLOOKUP($B3880,Sheet2!$J$5:$K$7,2,FALSE)*VLOOKUP(Sheet1!$A3880,Sheet2!$B$5:$H$29,4,FALSE),0)</x:f>
        <x:v>94</x:v>
      </x:c>
      <x:c r="F3880">
        <x:f>ROUND($C3880*10*VLOOKUP($B3880,Sheet2!$J$5:$K$7,2,FALSE)*VLOOKUP(Sheet1!$A3880,Sheet2!$B$5:$H$29,5,FALSE),0)</x:f>
        <x:v>0</x:v>
      </x:c>
      <x:c r="G3880">
        <x:f>ROUND($C3880*10*VLOOKUP($B3880,Sheet2!$J$5:$K$7,2,FALSE)*VLOOKUP(Sheet1!$A3880,Sheet2!$B$5:$H$29,6,FALSE),0)</x:f>
        <x:v>0</x:v>
      </x:c>
      <x:c r="H3880">
        <x:f>ROUND($C3880*10*VLOOKUP($B3880,Sheet2!$J$5:$K$7,2,FALSE)*VLOOKUP(Sheet1!$A3880,Sheet2!$B$5:$H$29,7,FALSE),0)</x:f>
        <x:v>1404</x:v>
      </x:c>
      <x:c r="I3880">
        <x:f t="shared" si="64"/>
        <x:v>29360</x:v>
      </x:c>
    </x:row>
    <x:row r="3881" spans="1:9" x14ac:dyDescent="0.15">
      <x:c r="A3881">
        <x:v>54202</x:v>
      </x:c>
      <x:c r="B3881">
        <x:v>2</x:v>
      </x:c>
      <x:c r="C3881">
        <x:v>40</x:v>
      </x:c>
      <x:c r="D3881">
        <x:f>ROUND($C3881*10*VLOOKUP($B3881,Sheet2!$J$5:$K$7,2,FALSE)*VLOOKUP(Sheet1!$A3881,Sheet2!$B$5:$H$29,3,FALSE),0)</x:f>
        <x:v>0</x:v>
      </x:c>
      <x:c r="E3881">
        <x:f>ROUND($C3881*10*VLOOKUP($B3881,Sheet2!$J$5:$K$7,2,FALSE)*VLOOKUP(Sheet1!$A3881,Sheet2!$B$5:$H$29,4,FALSE),0)</x:f>
        <x:v>96</x:v>
      </x:c>
      <x:c r="F3881">
        <x:f>ROUND($C3881*10*VLOOKUP($B3881,Sheet2!$J$5:$K$7,2,FALSE)*VLOOKUP(Sheet1!$A3881,Sheet2!$B$5:$H$29,5,FALSE),0)</x:f>
        <x:v>0</x:v>
      </x:c>
      <x:c r="G3881">
        <x:f>ROUND($C3881*10*VLOOKUP($B3881,Sheet2!$J$5:$K$7,2,FALSE)*VLOOKUP(Sheet1!$A3881,Sheet2!$B$5:$H$29,6,FALSE),0)</x:f>
        <x:v>0</x:v>
      </x:c>
      <x:c r="H3881">
        <x:f>ROUND($C3881*10*VLOOKUP($B3881,Sheet2!$J$5:$K$7,2,FALSE)*VLOOKUP(Sheet1!$A3881,Sheet2!$B$5:$H$29,7,FALSE),0)</x:f>
        <x:v>1440</x:v>
      </x:c>
      <x:c r="I3881">
        <x:f t="shared" si="64"/>
        <x:v>30760</x:v>
      </x:c>
    </x:row>
    <x:row r="3882" spans="1:9" x14ac:dyDescent="0.15">
      <x:c r="A3882">
        <x:v>54202</x:v>
      </x:c>
      <x:c r="B3882">
        <x:v>2</x:v>
      </x:c>
      <x:c r="C3882">
        <x:v>41</x:v>
      </x:c>
      <x:c r="D3882">
        <x:f>ROUND($C3882*10*VLOOKUP($B3882,Sheet2!$J$5:$K$7,2,FALSE)*VLOOKUP(Sheet1!$A3882,Sheet2!$B$5:$H$29,3,FALSE),0)</x:f>
        <x:v>0</x:v>
      </x:c>
      <x:c r="E3882">
        <x:f>ROUND($C3882*10*VLOOKUP($B3882,Sheet2!$J$5:$K$7,2,FALSE)*VLOOKUP(Sheet1!$A3882,Sheet2!$B$5:$H$29,4,FALSE),0)</x:f>
        <x:v>98</x:v>
      </x:c>
      <x:c r="F3882">
        <x:f>ROUND($C3882*10*VLOOKUP($B3882,Sheet2!$J$5:$K$7,2,FALSE)*VLOOKUP(Sheet1!$A3882,Sheet2!$B$5:$H$29,5,FALSE),0)</x:f>
        <x:v>0</x:v>
      </x:c>
      <x:c r="G3882">
        <x:f>ROUND($C3882*10*VLOOKUP($B3882,Sheet2!$J$5:$K$7,2,FALSE)*VLOOKUP(Sheet1!$A3882,Sheet2!$B$5:$H$29,6,FALSE),0)</x:f>
        <x:v>0</x:v>
      </x:c>
      <x:c r="H3882">
        <x:f>ROUND($C3882*10*VLOOKUP($B3882,Sheet2!$J$5:$K$7,2,FALSE)*VLOOKUP(Sheet1!$A3882,Sheet2!$B$5:$H$29,7,FALSE),0)</x:f>
        <x:v>1476</x:v>
      </x:c>
      <x:c r="I3882">
        <x:f t="shared" si="64"/>
        <x:v>32190</x:v>
      </x:c>
    </x:row>
    <x:row r="3883" spans="1:9" x14ac:dyDescent="0.15">
      <x:c r="A3883">
        <x:v>54202</x:v>
      </x:c>
      <x:c r="B3883">
        <x:v>2</x:v>
      </x:c>
      <x:c r="C3883">
        <x:v>42</x:v>
      </x:c>
      <x:c r="D3883">
        <x:f>ROUND($C3883*10*VLOOKUP($B3883,Sheet2!$J$5:$K$7,2,FALSE)*VLOOKUP(Sheet1!$A3883,Sheet2!$B$5:$H$29,3,FALSE),0)</x:f>
        <x:v>0</x:v>
      </x:c>
      <x:c r="E3883">
        <x:f>ROUND($C3883*10*VLOOKUP($B3883,Sheet2!$J$5:$K$7,2,FALSE)*VLOOKUP(Sheet1!$A3883,Sheet2!$B$5:$H$29,4,FALSE),0)</x:f>
        <x:v>101</x:v>
      </x:c>
      <x:c r="F3883">
        <x:f>ROUND($C3883*10*VLOOKUP($B3883,Sheet2!$J$5:$K$7,2,FALSE)*VLOOKUP(Sheet1!$A3883,Sheet2!$B$5:$H$29,5,FALSE),0)</x:f>
        <x:v>0</x:v>
      </x:c>
      <x:c r="G3883">
        <x:f>ROUND($C3883*10*VLOOKUP($B3883,Sheet2!$J$5:$K$7,2,FALSE)*VLOOKUP(Sheet1!$A3883,Sheet2!$B$5:$H$29,6,FALSE),0)</x:f>
        <x:v>0</x:v>
      </x:c>
      <x:c r="H3883">
        <x:f>ROUND($C3883*10*VLOOKUP($B3883,Sheet2!$J$5:$K$7,2,FALSE)*VLOOKUP(Sheet1!$A3883,Sheet2!$B$5:$H$29,7,FALSE),0)</x:f>
        <x:v>1512</x:v>
      </x:c>
      <x:c r="I3883">
        <x:f t="shared" si="64"/>
        <x:v>33650</x:v>
      </x:c>
    </x:row>
    <x:row r="3884" spans="1:9" x14ac:dyDescent="0.15">
      <x:c r="A3884">
        <x:v>54202</x:v>
      </x:c>
      <x:c r="B3884">
        <x:v>2</x:v>
      </x:c>
      <x:c r="C3884">
        <x:v>43</x:v>
      </x:c>
      <x:c r="D3884">
        <x:f>ROUND($C3884*10*VLOOKUP($B3884,Sheet2!$J$5:$K$7,2,FALSE)*VLOOKUP(Sheet1!$A3884,Sheet2!$B$5:$H$29,3,FALSE),0)</x:f>
        <x:v>0</x:v>
      </x:c>
      <x:c r="E3884">
        <x:f>ROUND($C3884*10*VLOOKUP($B3884,Sheet2!$J$5:$K$7,2,FALSE)*VLOOKUP(Sheet1!$A3884,Sheet2!$B$5:$H$29,4,FALSE),0)</x:f>
        <x:v>103</x:v>
      </x:c>
      <x:c r="F3884">
        <x:f>ROUND($C3884*10*VLOOKUP($B3884,Sheet2!$J$5:$K$7,2,FALSE)*VLOOKUP(Sheet1!$A3884,Sheet2!$B$5:$H$29,5,FALSE),0)</x:f>
        <x:v>0</x:v>
      </x:c>
      <x:c r="G3884">
        <x:f>ROUND($C3884*10*VLOOKUP($B3884,Sheet2!$J$5:$K$7,2,FALSE)*VLOOKUP(Sheet1!$A3884,Sheet2!$B$5:$H$29,6,FALSE),0)</x:f>
        <x:v>0</x:v>
      </x:c>
      <x:c r="H3884">
        <x:f>ROUND($C3884*10*VLOOKUP($B3884,Sheet2!$J$5:$K$7,2,FALSE)*VLOOKUP(Sheet1!$A3884,Sheet2!$B$5:$H$29,7,FALSE),0)</x:f>
        <x:v>1548</x:v>
      </x:c>
      <x:c r="I3884">
        <x:f t="shared" si="64"/>
        <x:v>35140</x:v>
      </x:c>
    </x:row>
    <x:row r="3885" spans="1:9" x14ac:dyDescent="0.15">
      <x:c r="A3885">
        <x:v>54202</x:v>
      </x:c>
      <x:c r="B3885">
        <x:v>2</x:v>
      </x:c>
      <x:c r="C3885">
        <x:v>44</x:v>
      </x:c>
      <x:c r="D3885">
        <x:f>ROUND($C3885*10*VLOOKUP($B3885,Sheet2!$J$5:$K$7,2,FALSE)*VLOOKUP(Sheet1!$A3885,Sheet2!$B$5:$H$29,3,FALSE),0)</x:f>
        <x:v>0</x:v>
      </x:c>
      <x:c r="E3885">
        <x:f>ROUND($C3885*10*VLOOKUP($B3885,Sheet2!$J$5:$K$7,2,FALSE)*VLOOKUP(Sheet1!$A3885,Sheet2!$B$5:$H$29,4,FALSE),0)</x:f>
        <x:v>106</x:v>
      </x:c>
      <x:c r="F3885">
        <x:f>ROUND($C3885*10*VLOOKUP($B3885,Sheet2!$J$5:$K$7,2,FALSE)*VLOOKUP(Sheet1!$A3885,Sheet2!$B$5:$H$29,5,FALSE),0)</x:f>
        <x:v>0</x:v>
      </x:c>
      <x:c r="G3885">
        <x:f>ROUND($C3885*10*VLOOKUP($B3885,Sheet2!$J$5:$K$7,2,FALSE)*VLOOKUP(Sheet1!$A3885,Sheet2!$B$5:$H$29,6,FALSE),0)</x:f>
        <x:v>0</x:v>
      </x:c>
      <x:c r="H3885">
        <x:f>ROUND($C3885*10*VLOOKUP($B3885,Sheet2!$J$5:$K$7,2,FALSE)*VLOOKUP(Sheet1!$A3885,Sheet2!$B$5:$H$29,7,FALSE),0)</x:f>
        <x:v>1584</x:v>
      </x:c>
      <x:c r="I3885">
        <x:f t="shared" si="64"/>
        <x:v>36660</x:v>
      </x:c>
    </x:row>
    <x:row r="3886" spans="1:9" x14ac:dyDescent="0.15">
      <x:c r="A3886">
        <x:v>54202</x:v>
      </x:c>
      <x:c r="B3886">
        <x:v>2</x:v>
      </x:c>
      <x:c r="C3886">
        <x:v>45</x:v>
      </x:c>
      <x:c r="D3886">
        <x:f>ROUND($C3886*10*VLOOKUP($B3886,Sheet2!$J$5:$K$7,2,FALSE)*VLOOKUP(Sheet1!$A3886,Sheet2!$B$5:$H$29,3,FALSE),0)</x:f>
        <x:v>0</x:v>
      </x:c>
      <x:c r="E3886">
        <x:f>ROUND($C3886*10*VLOOKUP($B3886,Sheet2!$J$5:$K$7,2,FALSE)*VLOOKUP(Sheet1!$A3886,Sheet2!$B$5:$H$29,4,FALSE),0)</x:f>
        <x:v>108</x:v>
      </x:c>
      <x:c r="F3886">
        <x:f>ROUND($C3886*10*VLOOKUP($B3886,Sheet2!$J$5:$K$7,2,FALSE)*VLOOKUP(Sheet1!$A3886,Sheet2!$B$5:$H$29,5,FALSE),0)</x:f>
        <x:v>0</x:v>
      </x:c>
      <x:c r="G3886">
        <x:f>ROUND($C3886*10*VLOOKUP($B3886,Sheet2!$J$5:$K$7,2,FALSE)*VLOOKUP(Sheet1!$A3886,Sheet2!$B$5:$H$29,6,FALSE),0)</x:f>
        <x:v>0</x:v>
      </x:c>
      <x:c r="H3886">
        <x:f>ROUND($C3886*10*VLOOKUP($B3886,Sheet2!$J$5:$K$7,2,FALSE)*VLOOKUP(Sheet1!$A3886,Sheet2!$B$5:$H$29,7,FALSE),0)</x:f>
        <x:v>1620</x:v>
      </x:c>
      <x:c r="I3886">
        <x:f t="shared" si="64"/>
        <x:v>38210</x:v>
      </x:c>
    </x:row>
    <x:row r="3887" spans="1:9" x14ac:dyDescent="0.15">
      <x:c r="A3887">
        <x:v>54202</x:v>
      </x:c>
      <x:c r="B3887">
        <x:v>2</x:v>
      </x:c>
      <x:c r="C3887">
        <x:v>46</x:v>
      </x:c>
      <x:c r="D3887">
        <x:f>ROUND($C3887*10*VLOOKUP($B3887,Sheet2!$J$5:$K$7,2,FALSE)*VLOOKUP(Sheet1!$A3887,Sheet2!$B$5:$H$29,3,FALSE),0)</x:f>
        <x:v>0</x:v>
      </x:c>
      <x:c r="E3887">
        <x:f>ROUND($C3887*10*VLOOKUP($B3887,Sheet2!$J$5:$K$7,2,FALSE)*VLOOKUP(Sheet1!$A3887,Sheet2!$B$5:$H$29,4,FALSE),0)</x:f>
        <x:v>110</x:v>
      </x:c>
      <x:c r="F3887">
        <x:f>ROUND($C3887*10*VLOOKUP($B3887,Sheet2!$J$5:$K$7,2,FALSE)*VLOOKUP(Sheet1!$A3887,Sheet2!$B$5:$H$29,5,FALSE),0)</x:f>
        <x:v>0</x:v>
      </x:c>
      <x:c r="G3887">
        <x:f>ROUND($C3887*10*VLOOKUP($B3887,Sheet2!$J$5:$K$7,2,FALSE)*VLOOKUP(Sheet1!$A3887,Sheet2!$B$5:$H$29,6,FALSE),0)</x:f>
        <x:v>0</x:v>
      </x:c>
      <x:c r="H3887">
        <x:f>ROUND($C3887*10*VLOOKUP($B3887,Sheet2!$J$5:$K$7,2,FALSE)*VLOOKUP(Sheet1!$A3887,Sheet2!$B$5:$H$29,7,FALSE),0)</x:f>
        <x:v>1656</x:v>
      </x:c>
      <x:c r="I3887">
        <x:f t="shared" si="64"/>
        <x:v>39780</x:v>
      </x:c>
    </x:row>
    <x:row r="3888" spans="1:9" x14ac:dyDescent="0.15">
      <x:c r="A3888">
        <x:v>54202</x:v>
      </x:c>
      <x:c r="B3888">
        <x:v>2</x:v>
      </x:c>
      <x:c r="C3888">
        <x:v>47</x:v>
      </x:c>
      <x:c r="D3888">
        <x:f>ROUND($C3888*10*VLOOKUP($B3888,Sheet2!$J$5:$K$7,2,FALSE)*VLOOKUP(Sheet1!$A3888,Sheet2!$B$5:$H$29,3,FALSE),0)</x:f>
        <x:v>0</x:v>
      </x:c>
      <x:c r="E3888">
        <x:f>ROUND($C3888*10*VLOOKUP($B3888,Sheet2!$J$5:$K$7,2,FALSE)*VLOOKUP(Sheet1!$A3888,Sheet2!$B$5:$H$29,4,FALSE),0)</x:f>
        <x:v>113</x:v>
      </x:c>
      <x:c r="F3888">
        <x:f>ROUND($C3888*10*VLOOKUP($B3888,Sheet2!$J$5:$K$7,2,FALSE)*VLOOKUP(Sheet1!$A3888,Sheet2!$B$5:$H$29,5,FALSE),0)</x:f>
        <x:v>0</x:v>
      </x:c>
      <x:c r="G3888">
        <x:f>ROUND($C3888*10*VLOOKUP($B3888,Sheet2!$J$5:$K$7,2,FALSE)*VLOOKUP(Sheet1!$A3888,Sheet2!$B$5:$H$29,6,FALSE),0)</x:f>
        <x:v>0</x:v>
      </x:c>
      <x:c r="H3888">
        <x:f>ROUND($C3888*10*VLOOKUP($B3888,Sheet2!$J$5:$K$7,2,FALSE)*VLOOKUP(Sheet1!$A3888,Sheet2!$B$5:$H$29,7,FALSE),0)</x:f>
        <x:v>1692</x:v>
      </x:c>
      <x:c r="I3888">
        <x:f t="shared" si="64"/>
        <x:v>41390</x:v>
      </x:c>
    </x:row>
    <x:row r="3889" spans="1:9" x14ac:dyDescent="0.15">
      <x:c r="A3889">
        <x:v>54202</x:v>
      </x:c>
      <x:c r="B3889">
        <x:v>2</x:v>
      </x:c>
      <x:c r="C3889">
        <x:v>48</x:v>
      </x:c>
      <x:c r="D3889">
        <x:f>ROUND($C3889*10*VLOOKUP($B3889,Sheet2!$J$5:$K$7,2,FALSE)*VLOOKUP(Sheet1!$A3889,Sheet2!$B$5:$H$29,3,FALSE),0)</x:f>
        <x:v>0</x:v>
      </x:c>
      <x:c r="E3889">
        <x:f>ROUND($C3889*10*VLOOKUP($B3889,Sheet2!$J$5:$K$7,2,FALSE)*VLOOKUP(Sheet1!$A3889,Sheet2!$B$5:$H$29,4,FALSE),0)</x:f>
        <x:v>115</x:v>
      </x:c>
      <x:c r="F3889">
        <x:f>ROUND($C3889*10*VLOOKUP($B3889,Sheet2!$J$5:$K$7,2,FALSE)*VLOOKUP(Sheet1!$A3889,Sheet2!$B$5:$H$29,5,FALSE),0)</x:f>
        <x:v>0</x:v>
      </x:c>
      <x:c r="G3889">
        <x:f>ROUND($C3889*10*VLOOKUP($B3889,Sheet2!$J$5:$K$7,2,FALSE)*VLOOKUP(Sheet1!$A3889,Sheet2!$B$5:$H$29,6,FALSE),0)</x:f>
        <x:v>0</x:v>
      </x:c>
      <x:c r="H3889">
        <x:f>ROUND($C3889*10*VLOOKUP($B3889,Sheet2!$J$5:$K$7,2,FALSE)*VLOOKUP(Sheet1!$A3889,Sheet2!$B$5:$H$29,7,FALSE),0)</x:f>
        <x:v>1728</x:v>
      </x:c>
      <x:c r="I3889">
        <x:f t="shared" si="64"/>
        <x:v>43020</x:v>
      </x:c>
    </x:row>
    <x:row r="3890" spans="1:9" x14ac:dyDescent="0.15">
      <x:c r="A3890">
        <x:v>54202</x:v>
      </x:c>
      <x:c r="B3890">
        <x:v>2</x:v>
      </x:c>
      <x:c r="C3890">
        <x:v>49</x:v>
      </x:c>
      <x:c r="D3890">
        <x:f>ROUND($C3890*10*VLOOKUP($B3890,Sheet2!$J$5:$K$7,2,FALSE)*VLOOKUP(Sheet1!$A3890,Sheet2!$B$5:$H$29,3,FALSE),0)</x:f>
        <x:v>0</x:v>
      </x:c>
      <x:c r="E3890">
        <x:f>ROUND($C3890*10*VLOOKUP($B3890,Sheet2!$J$5:$K$7,2,FALSE)*VLOOKUP(Sheet1!$A3890,Sheet2!$B$5:$H$29,4,FALSE),0)</x:f>
        <x:v>118</x:v>
      </x:c>
      <x:c r="F3890">
        <x:f>ROUND($C3890*10*VLOOKUP($B3890,Sheet2!$J$5:$K$7,2,FALSE)*VLOOKUP(Sheet1!$A3890,Sheet2!$B$5:$H$29,5,FALSE),0)</x:f>
        <x:v>0</x:v>
      </x:c>
      <x:c r="G3890">
        <x:f>ROUND($C3890*10*VLOOKUP($B3890,Sheet2!$J$5:$K$7,2,FALSE)*VLOOKUP(Sheet1!$A3890,Sheet2!$B$5:$H$29,6,FALSE),0)</x:f>
        <x:v>0</x:v>
      </x:c>
      <x:c r="H3890">
        <x:f>ROUND($C3890*10*VLOOKUP($B3890,Sheet2!$J$5:$K$7,2,FALSE)*VLOOKUP(Sheet1!$A3890,Sheet2!$B$5:$H$29,7,FALSE),0)</x:f>
        <x:v>1764</x:v>
      </x:c>
      <x:c r="I3890">
        <x:f t="shared" si="64"/>
        <x:v>44680</x:v>
      </x:c>
    </x:row>
    <x:row r="3891" spans="1:9" x14ac:dyDescent="0.15">
      <x:c r="A3891">
        <x:v>54202</x:v>
      </x:c>
      <x:c r="B3891">
        <x:v>2</x:v>
      </x:c>
      <x:c r="C3891">
        <x:v>50</x:v>
      </x:c>
      <x:c r="D3891">
        <x:f>ROUND($C3891*10*VLOOKUP($B3891,Sheet2!$J$5:$K$7,2,FALSE)*VLOOKUP(Sheet1!$A3891,Sheet2!$B$5:$H$29,3,FALSE),0)</x:f>
        <x:v>0</x:v>
      </x:c>
      <x:c r="E3891">
        <x:f>ROUND($C3891*10*VLOOKUP($B3891,Sheet2!$J$5:$K$7,2,FALSE)*VLOOKUP(Sheet1!$A3891,Sheet2!$B$5:$H$29,4,FALSE),0)</x:f>
        <x:v>120</x:v>
      </x:c>
      <x:c r="F3891">
        <x:f>ROUND($C3891*10*VLOOKUP($B3891,Sheet2!$J$5:$K$7,2,FALSE)*VLOOKUP(Sheet1!$A3891,Sheet2!$B$5:$H$29,5,FALSE),0)</x:f>
        <x:v>0</x:v>
      </x:c>
      <x:c r="G3891">
        <x:f>ROUND($C3891*10*VLOOKUP($B3891,Sheet2!$J$5:$K$7,2,FALSE)*VLOOKUP(Sheet1!$A3891,Sheet2!$B$5:$H$29,6,FALSE),0)</x:f>
        <x:v>0</x:v>
      </x:c>
      <x:c r="H3891">
        <x:f>ROUND($C3891*10*VLOOKUP($B3891,Sheet2!$J$5:$K$7,2,FALSE)*VLOOKUP(Sheet1!$A3891,Sheet2!$B$5:$H$29,7,FALSE),0)</x:f>
        <x:v>1800</x:v>
      </x:c>
      <x:c r="I3891">
        <x:f t="shared" si="64"/>
        <x:v>46360</x:v>
      </x:c>
    </x:row>
    <x:row r="3892" spans="1:9" x14ac:dyDescent="0.15">
      <x:c r="A3892">
        <x:v>54202</x:v>
      </x:c>
      <x:c r="B3892">
        <x:v>2</x:v>
      </x:c>
      <x:c r="C3892">
        <x:v>51</x:v>
      </x:c>
      <x:c r="D3892">
        <x:f>ROUND($C3892*10*VLOOKUP($B3892,Sheet2!$J$5:$K$7,2,FALSE)*VLOOKUP(Sheet1!$A3892,Sheet2!$B$5:$H$29,3,FALSE),0)</x:f>
        <x:v>0</x:v>
      </x:c>
      <x:c r="E3892">
        <x:f>ROUND($C3892*10*VLOOKUP($B3892,Sheet2!$J$5:$K$7,2,FALSE)*VLOOKUP(Sheet1!$A3892,Sheet2!$B$5:$H$29,4,FALSE),0)</x:f>
        <x:v>122</x:v>
      </x:c>
      <x:c r="F3892">
        <x:f>ROUND($C3892*10*VLOOKUP($B3892,Sheet2!$J$5:$K$7,2,FALSE)*VLOOKUP(Sheet1!$A3892,Sheet2!$B$5:$H$29,5,FALSE),0)</x:f>
        <x:v>0</x:v>
      </x:c>
      <x:c r="G3892">
        <x:f>ROUND($C3892*10*VLOOKUP($B3892,Sheet2!$J$5:$K$7,2,FALSE)*VLOOKUP(Sheet1!$A3892,Sheet2!$B$5:$H$29,6,FALSE),0)</x:f>
        <x:v>0</x:v>
      </x:c>
      <x:c r="H3892">
        <x:f>ROUND($C3892*10*VLOOKUP($B3892,Sheet2!$J$5:$K$7,2,FALSE)*VLOOKUP(Sheet1!$A3892,Sheet2!$B$5:$H$29,7,FALSE),0)</x:f>
        <x:v>1836</x:v>
      </x:c>
      <x:c r="I3892">
        <x:f t="shared" si="64"/>
        <x:v>48080</x:v>
      </x:c>
    </x:row>
    <x:row r="3893" spans="1:9" x14ac:dyDescent="0.15">
      <x:c r="A3893">
        <x:v>54202</x:v>
      </x:c>
      <x:c r="B3893">
        <x:v>2</x:v>
      </x:c>
      <x:c r="C3893">
        <x:v>52</x:v>
      </x:c>
      <x:c r="D3893">
        <x:f>ROUND($C3893*10*VLOOKUP($B3893,Sheet2!$J$5:$K$7,2,FALSE)*VLOOKUP(Sheet1!$A3893,Sheet2!$B$5:$H$29,3,FALSE),0)</x:f>
        <x:v>0</x:v>
      </x:c>
      <x:c r="E3893">
        <x:f>ROUND($C3893*10*VLOOKUP($B3893,Sheet2!$J$5:$K$7,2,FALSE)*VLOOKUP(Sheet1!$A3893,Sheet2!$B$5:$H$29,4,FALSE),0)</x:f>
        <x:v>125</x:v>
      </x:c>
      <x:c r="F3893">
        <x:f>ROUND($C3893*10*VLOOKUP($B3893,Sheet2!$J$5:$K$7,2,FALSE)*VLOOKUP(Sheet1!$A3893,Sheet2!$B$5:$H$29,5,FALSE),0)</x:f>
        <x:v>0</x:v>
      </x:c>
      <x:c r="G3893">
        <x:f>ROUND($C3893*10*VLOOKUP($B3893,Sheet2!$J$5:$K$7,2,FALSE)*VLOOKUP(Sheet1!$A3893,Sheet2!$B$5:$H$29,6,FALSE),0)</x:f>
        <x:v>0</x:v>
      </x:c>
      <x:c r="H3893">
        <x:f>ROUND($C3893*10*VLOOKUP($B3893,Sheet2!$J$5:$K$7,2,FALSE)*VLOOKUP(Sheet1!$A3893,Sheet2!$B$5:$H$29,7,FALSE),0)</x:f>
        <x:v>1872</x:v>
      </x:c>
      <x:c r="I3893">
        <x:f t="shared" si="64"/>
        <x:v>49820</x:v>
      </x:c>
    </x:row>
    <x:row r="3894" spans="1:9" x14ac:dyDescent="0.15">
      <x:c r="A3894">
        <x:v>54202</x:v>
      </x:c>
      <x:c r="B3894">
        <x:v>2</x:v>
      </x:c>
      <x:c r="C3894">
        <x:v>53</x:v>
      </x:c>
      <x:c r="D3894">
        <x:f>ROUND($C3894*10*VLOOKUP($B3894,Sheet2!$J$5:$K$7,2,FALSE)*VLOOKUP(Sheet1!$A3894,Sheet2!$B$5:$H$29,3,FALSE),0)</x:f>
        <x:v>0</x:v>
      </x:c>
      <x:c r="E3894">
        <x:f>ROUND($C3894*10*VLOOKUP($B3894,Sheet2!$J$5:$K$7,2,FALSE)*VLOOKUP(Sheet1!$A3894,Sheet2!$B$5:$H$29,4,FALSE),0)</x:f>
        <x:v>127</x:v>
      </x:c>
      <x:c r="F3894">
        <x:f>ROUND($C3894*10*VLOOKUP($B3894,Sheet2!$J$5:$K$7,2,FALSE)*VLOOKUP(Sheet1!$A3894,Sheet2!$B$5:$H$29,5,FALSE),0)</x:f>
        <x:v>0</x:v>
      </x:c>
      <x:c r="G3894">
        <x:f>ROUND($C3894*10*VLOOKUP($B3894,Sheet2!$J$5:$K$7,2,FALSE)*VLOOKUP(Sheet1!$A3894,Sheet2!$B$5:$H$29,6,FALSE),0)</x:f>
        <x:v>0</x:v>
      </x:c>
      <x:c r="H3894">
        <x:f>ROUND($C3894*10*VLOOKUP($B3894,Sheet2!$J$5:$K$7,2,FALSE)*VLOOKUP(Sheet1!$A3894,Sheet2!$B$5:$H$29,7,FALSE),0)</x:f>
        <x:v>1908</x:v>
      </x:c>
      <x:c r="I3894">
        <x:f t="shared" si="64"/>
        <x:v>51590</x:v>
      </x:c>
    </x:row>
    <x:row r="3895" spans="1:9" x14ac:dyDescent="0.15">
      <x:c r="A3895">
        <x:v>54202</x:v>
      </x:c>
      <x:c r="B3895">
        <x:v>2</x:v>
      </x:c>
      <x:c r="C3895">
        <x:v>54</x:v>
      </x:c>
      <x:c r="D3895">
        <x:f>ROUND($C3895*10*VLOOKUP($B3895,Sheet2!$J$5:$K$7,2,FALSE)*VLOOKUP(Sheet1!$A3895,Sheet2!$B$5:$H$29,3,FALSE),0)</x:f>
        <x:v>0</x:v>
      </x:c>
      <x:c r="E3895">
        <x:f>ROUND($C3895*10*VLOOKUP($B3895,Sheet2!$J$5:$K$7,2,FALSE)*VLOOKUP(Sheet1!$A3895,Sheet2!$B$5:$H$29,4,FALSE),0)</x:f>
        <x:v>130</x:v>
      </x:c>
      <x:c r="F3895">
        <x:f>ROUND($C3895*10*VLOOKUP($B3895,Sheet2!$J$5:$K$7,2,FALSE)*VLOOKUP(Sheet1!$A3895,Sheet2!$B$5:$H$29,5,FALSE),0)</x:f>
        <x:v>0</x:v>
      </x:c>
      <x:c r="G3895">
        <x:f>ROUND($C3895*10*VLOOKUP($B3895,Sheet2!$J$5:$K$7,2,FALSE)*VLOOKUP(Sheet1!$A3895,Sheet2!$B$5:$H$29,6,FALSE),0)</x:f>
        <x:v>0</x:v>
      </x:c>
      <x:c r="H3895">
        <x:f>ROUND($C3895*10*VLOOKUP($B3895,Sheet2!$J$5:$K$7,2,FALSE)*VLOOKUP(Sheet1!$A3895,Sheet2!$B$5:$H$29,7,FALSE),0)</x:f>
        <x:v>1944</x:v>
      </x:c>
      <x:c r="I3895">
        <x:f t="shared" si="64"/>
        <x:v>53390</x:v>
      </x:c>
    </x:row>
    <x:row r="3896" spans="1:9" x14ac:dyDescent="0.15">
      <x:c r="A3896">
        <x:v>54202</x:v>
      </x:c>
      <x:c r="B3896">
        <x:v>2</x:v>
      </x:c>
      <x:c r="C3896">
        <x:v>55</x:v>
      </x:c>
      <x:c r="D3896">
        <x:f>ROUND($C3896*10*VLOOKUP($B3896,Sheet2!$J$5:$K$7,2,FALSE)*VLOOKUP(Sheet1!$A3896,Sheet2!$B$5:$H$29,3,FALSE),0)</x:f>
        <x:v>0</x:v>
      </x:c>
      <x:c r="E3896">
        <x:f>ROUND($C3896*10*VLOOKUP($B3896,Sheet2!$J$5:$K$7,2,FALSE)*VLOOKUP(Sheet1!$A3896,Sheet2!$B$5:$H$29,4,FALSE),0)</x:f>
        <x:v>132</x:v>
      </x:c>
      <x:c r="F3896">
        <x:f>ROUND($C3896*10*VLOOKUP($B3896,Sheet2!$J$5:$K$7,2,FALSE)*VLOOKUP(Sheet1!$A3896,Sheet2!$B$5:$H$29,5,FALSE),0)</x:f>
        <x:v>0</x:v>
      </x:c>
      <x:c r="G3896">
        <x:f>ROUND($C3896*10*VLOOKUP($B3896,Sheet2!$J$5:$K$7,2,FALSE)*VLOOKUP(Sheet1!$A3896,Sheet2!$B$5:$H$29,6,FALSE),0)</x:f>
        <x:v>0</x:v>
      </x:c>
      <x:c r="H3896">
        <x:f>ROUND($C3896*10*VLOOKUP($B3896,Sheet2!$J$5:$K$7,2,FALSE)*VLOOKUP(Sheet1!$A3896,Sheet2!$B$5:$H$29,7,FALSE),0)</x:f>
        <x:v>1980</x:v>
      </x:c>
      <x:c r="I3896">
        <x:f t="shared" si="64"/>
        <x:v>55210</x:v>
      </x:c>
    </x:row>
    <x:row r="3897" spans="1:9" x14ac:dyDescent="0.15">
      <x:c r="A3897">
        <x:v>54202</x:v>
      </x:c>
      <x:c r="B3897">
        <x:v>2</x:v>
      </x:c>
      <x:c r="C3897">
        <x:v>56</x:v>
      </x:c>
      <x:c r="D3897">
        <x:f>ROUND($C3897*10*VLOOKUP($B3897,Sheet2!$J$5:$K$7,2,FALSE)*VLOOKUP(Sheet1!$A3897,Sheet2!$B$5:$H$29,3,FALSE),0)</x:f>
        <x:v>0</x:v>
      </x:c>
      <x:c r="E3897">
        <x:f>ROUND($C3897*10*VLOOKUP($B3897,Sheet2!$J$5:$K$7,2,FALSE)*VLOOKUP(Sheet1!$A3897,Sheet2!$B$5:$H$29,4,FALSE),0)</x:f>
        <x:v>134</x:v>
      </x:c>
      <x:c r="F3897">
        <x:f>ROUND($C3897*10*VLOOKUP($B3897,Sheet2!$J$5:$K$7,2,FALSE)*VLOOKUP(Sheet1!$A3897,Sheet2!$B$5:$H$29,5,FALSE),0)</x:f>
        <x:v>0</x:v>
      </x:c>
      <x:c r="G3897">
        <x:f>ROUND($C3897*10*VLOOKUP($B3897,Sheet2!$J$5:$K$7,2,FALSE)*VLOOKUP(Sheet1!$A3897,Sheet2!$B$5:$H$29,6,FALSE),0)</x:f>
        <x:v>0</x:v>
      </x:c>
      <x:c r="H3897">
        <x:f>ROUND($C3897*10*VLOOKUP($B3897,Sheet2!$J$5:$K$7,2,FALSE)*VLOOKUP(Sheet1!$A3897,Sheet2!$B$5:$H$29,7,FALSE),0)</x:f>
        <x:v>2016</x:v>
      </x:c>
      <x:c r="I3897">
        <x:f t="shared" si="64"/>
        <x:v>57060</x:v>
      </x:c>
    </x:row>
    <x:row r="3898" spans="1:9" x14ac:dyDescent="0.15">
      <x:c r="A3898">
        <x:v>54202</x:v>
      </x:c>
      <x:c r="B3898">
        <x:v>2</x:v>
      </x:c>
      <x:c r="C3898">
        <x:v>57</x:v>
      </x:c>
      <x:c r="D3898">
        <x:f>ROUND($C3898*10*VLOOKUP($B3898,Sheet2!$J$5:$K$7,2,FALSE)*VLOOKUP(Sheet1!$A3898,Sheet2!$B$5:$H$29,3,FALSE),0)</x:f>
        <x:v>0</x:v>
      </x:c>
      <x:c r="E3898">
        <x:f>ROUND($C3898*10*VLOOKUP($B3898,Sheet2!$J$5:$K$7,2,FALSE)*VLOOKUP(Sheet1!$A3898,Sheet2!$B$5:$H$29,4,FALSE),0)</x:f>
        <x:v>137</x:v>
      </x:c>
      <x:c r="F3898">
        <x:f>ROUND($C3898*10*VLOOKUP($B3898,Sheet2!$J$5:$K$7,2,FALSE)*VLOOKUP(Sheet1!$A3898,Sheet2!$B$5:$H$29,5,FALSE),0)</x:f>
        <x:v>0</x:v>
      </x:c>
      <x:c r="G3898">
        <x:f>ROUND($C3898*10*VLOOKUP($B3898,Sheet2!$J$5:$K$7,2,FALSE)*VLOOKUP(Sheet1!$A3898,Sheet2!$B$5:$H$29,6,FALSE),0)</x:f>
        <x:v>0</x:v>
      </x:c>
      <x:c r="H3898">
        <x:f>ROUND($C3898*10*VLOOKUP($B3898,Sheet2!$J$5:$K$7,2,FALSE)*VLOOKUP(Sheet1!$A3898,Sheet2!$B$5:$H$29,7,FALSE),0)</x:f>
        <x:v>2052</x:v>
      </x:c>
      <x:c r="I3898">
        <x:f t="shared" si="64"/>
        <x:v>58940</x:v>
      </x:c>
    </x:row>
    <x:row r="3899" spans="1:9" x14ac:dyDescent="0.15">
      <x:c r="A3899">
        <x:v>54202</x:v>
      </x:c>
      <x:c r="B3899">
        <x:v>2</x:v>
      </x:c>
      <x:c r="C3899">
        <x:v>58</x:v>
      </x:c>
      <x:c r="D3899">
        <x:f>ROUND($C3899*10*VLOOKUP($B3899,Sheet2!$J$5:$K$7,2,FALSE)*VLOOKUP(Sheet1!$A3899,Sheet2!$B$5:$H$29,3,FALSE),0)</x:f>
        <x:v>0</x:v>
      </x:c>
      <x:c r="E3899">
        <x:f>ROUND($C3899*10*VLOOKUP($B3899,Sheet2!$J$5:$K$7,2,FALSE)*VLOOKUP(Sheet1!$A3899,Sheet2!$B$5:$H$29,4,FALSE),0)</x:f>
        <x:v>139</x:v>
      </x:c>
      <x:c r="F3899">
        <x:f>ROUND($C3899*10*VLOOKUP($B3899,Sheet2!$J$5:$K$7,2,FALSE)*VLOOKUP(Sheet1!$A3899,Sheet2!$B$5:$H$29,5,FALSE),0)</x:f>
        <x:v>0</x:v>
      </x:c>
      <x:c r="G3899">
        <x:f>ROUND($C3899*10*VLOOKUP($B3899,Sheet2!$J$5:$K$7,2,FALSE)*VLOOKUP(Sheet1!$A3899,Sheet2!$B$5:$H$29,6,FALSE),0)</x:f>
        <x:v>0</x:v>
      </x:c>
      <x:c r="H3899">
        <x:f>ROUND($C3899*10*VLOOKUP($B3899,Sheet2!$J$5:$K$7,2,FALSE)*VLOOKUP(Sheet1!$A3899,Sheet2!$B$5:$H$29,7,FALSE),0)</x:f>
        <x:v>2088</x:v>
      </x:c>
      <x:c r="I3899">
        <x:f t="shared" si="64"/>
        <x:v>60850</x:v>
      </x:c>
    </x:row>
    <x:row r="3900" spans="1:9" x14ac:dyDescent="0.15">
      <x:c r="A3900">
        <x:v>54202</x:v>
      </x:c>
      <x:c r="B3900">
        <x:v>2</x:v>
      </x:c>
      <x:c r="C3900">
        <x:v>59</x:v>
      </x:c>
      <x:c r="D3900">
        <x:f>ROUND($C3900*10*VLOOKUP($B3900,Sheet2!$J$5:$K$7,2,FALSE)*VLOOKUP(Sheet1!$A3900,Sheet2!$B$5:$H$29,3,FALSE),0)</x:f>
        <x:v>0</x:v>
      </x:c>
      <x:c r="E3900">
        <x:f>ROUND($C3900*10*VLOOKUP($B3900,Sheet2!$J$5:$K$7,2,FALSE)*VLOOKUP(Sheet1!$A3900,Sheet2!$B$5:$H$29,4,FALSE),0)</x:f>
        <x:v>142</x:v>
      </x:c>
      <x:c r="F3900">
        <x:f>ROUND($C3900*10*VLOOKUP($B3900,Sheet2!$J$5:$K$7,2,FALSE)*VLOOKUP(Sheet1!$A3900,Sheet2!$B$5:$H$29,5,FALSE),0)</x:f>
        <x:v>0</x:v>
      </x:c>
      <x:c r="G3900">
        <x:f>ROUND($C3900*10*VLOOKUP($B3900,Sheet2!$J$5:$K$7,2,FALSE)*VLOOKUP(Sheet1!$A3900,Sheet2!$B$5:$H$29,6,FALSE),0)</x:f>
        <x:v>0</x:v>
      </x:c>
      <x:c r="H3900">
        <x:f>ROUND($C3900*10*VLOOKUP($B3900,Sheet2!$J$5:$K$7,2,FALSE)*VLOOKUP(Sheet1!$A3900,Sheet2!$B$5:$H$29,7,FALSE),0)</x:f>
        <x:v>2124</x:v>
      </x:c>
      <x:c r="I3900">
        <x:f t="shared" si="64"/>
        <x:v>62780</x:v>
      </x:c>
    </x:row>
    <x:row r="3901" spans="1:9" x14ac:dyDescent="0.15">
      <x:c r="A3901">
        <x:v>54202</x:v>
      </x:c>
      <x:c r="B3901">
        <x:v>2</x:v>
      </x:c>
      <x:c r="C3901">
        <x:v>60</x:v>
      </x:c>
      <x:c r="D3901">
        <x:f>ROUND($C3901*10*VLOOKUP($B3901,Sheet2!$J$5:$K$7,2,FALSE)*VLOOKUP(Sheet1!$A3901,Sheet2!$B$5:$H$29,3,FALSE),0)</x:f>
        <x:v>0</x:v>
      </x:c>
      <x:c r="E3901">
        <x:f>ROUND($C3901*10*VLOOKUP($B3901,Sheet2!$J$5:$K$7,2,FALSE)*VLOOKUP(Sheet1!$A3901,Sheet2!$B$5:$H$29,4,FALSE),0)</x:f>
        <x:v>144</x:v>
      </x:c>
      <x:c r="F3901">
        <x:f>ROUND($C3901*10*VLOOKUP($B3901,Sheet2!$J$5:$K$7,2,FALSE)*VLOOKUP(Sheet1!$A3901,Sheet2!$B$5:$H$29,5,FALSE),0)</x:f>
        <x:v>0</x:v>
      </x:c>
      <x:c r="G3901">
        <x:f>ROUND($C3901*10*VLOOKUP($B3901,Sheet2!$J$5:$K$7,2,FALSE)*VLOOKUP(Sheet1!$A3901,Sheet2!$B$5:$H$29,6,FALSE),0)</x:f>
        <x:v>0</x:v>
      </x:c>
      <x:c r="H3901">
        <x:f>ROUND($C3901*10*VLOOKUP($B3901,Sheet2!$J$5:$K$7,2,FALSE)*VLOOKUP(Sheet1!$A3901,Sheet2!$B$5:$H$29,7,FALSE),0)</x:f>
        <x:v>2160</x:v>
      </x:c>
      <x:c r="I3901">
        <x:f t="shared" si="64"/>
        <x:v>64740</x:v>
      </x:c>
    </x:row>
    <x:row r="3902" spans="1:9" x14ac:dyDescent="0.15">
      <x:c r="A3902">
        <x:v>54202</x:v>
      </x:c>
      <x:c r="B3902">
        <x:v>3</x:v>
      </x:c>
      <x:c r="C3902">
        <x:v>1</x:v>
      </x:c>
      <x:c r="D3902">
        <x:f>ROUND($C3902*10*VLOOKUP($B3902,Sheet2!$J$5:$K$7,2,FALSE)*VLOOKUP(Sheet1!$A3902,Sheet2!$B$5:$H$29,3,FALSE),0)</x:f>
        <x:v>0</x:v>
      </x:c>
      <x:c r="E3902">
        <x:f>ROUND($C3902*10*VLOOKUP($B3902,Sheet2!$J$5:$K$7,2,FALSE)*VLOOKUP(Sheet1!$A3902,Sheet2!$B$5:$H$29,4,FALSE),0)</x:f>
        <x:v>4</x:v>
      </x:c>
      <x:c r="F3902">
        <x:f>ROUND($C3902*10*VLOOKUP($B3902,Sheet2!$J$5:$K$7,2,FALSE)*VLOOKUP(Sheet1!$A3902,Sheet2!$B$5:$H$29,5,FALSE),0)</x:f>
        <x:v>0</x:v>
      </x:c>
      <x:c r="G3902">
        <x:f>ROUND($C3902*10*VLOOKUP($B3902,Sheet2!$J$5:$K$7,2,FALSE)*VLOOKUP(Sheet1!$A3902,Sheet2!$B$5:$H$29,6,FALSE),0)</x:f>
        <x:v>0</x:v>
      </x:c>
      <x:c r="H3902">
        <x:f>ROUND($C3902*10*VLOOKUP($B3902,Sheet2!$J$5:$K$7,2,FALSE)*VLOOKUP(Sheet1!$A3902,Sheet2!$B$5:$H$29,7,FALSE),0)</x:f>
        <x:v>60</x:v>
      </x:c>
      <x:c r="I3902">
        <x:f t="shared" ref="I3902:I3961" si="65">ROUND(1.2*10*10.5*(C3902-1)^1.8+90,-1)</x:f>
        <x:v>90</x:v>
      </x:c>
    </x:row>
    <x:row r="3903" spans="1:9" x14ac:dyDescent="0.15">
      <x:c r="A3903">
        <x:v>54202</x:v>
      </x:c>
      <x:c r="B3903">
        <x:v>3</x:v>
      </x:c>
      <x:c r="C3903">
        <x:v>2</x:v>
      </x:c>
      <x:c r="D3903">
        <x:f>ROUND($C3903*10*VLOOKUP($B3903,Sheet2!$J$5:$K$7,2,FALSE)*VLOOKUP(Sheet1!$A3903,Sheet2!$B$5:$H$29,3,FALSE),0)</x:f>
        <x:v>0</x:v>
      </x:c>
      <x:c r="E3903">
        <x:f>ROUND($C3903*10*VLOOKUP($B3903,Sheet2!$J$5:$K$7,2,FALSE)*VLOOKUP(Sheet1!$A3903,Sheet2!$B$5:$H$29,4,FALSE),0)</x:f>
        <x:v>8</x:v>
      </x:c>
      <x:c r="F3903">
        <x:f>ROUND($C3903*10*VLOOKUP($B3903,Sheet2!$J$5:$K$7,2,FALSE)*VLOOKUP(Sheet1!$A3903,Sheet2!$B$5:$H$29,5,FALSE),0)</x:f>
        <x:v>0</x:v>
      </x:c>
      <x:c r="G3903">
        <x:f>ROUND($C3903*10*VLOOKUP($B3903,Sheet2!$J$5:$K$7,2,FALSE)*VLOOKUP(Sheet1!$A3903,Sheet2!$B$5:$H$29,6,FALSE),0)</x:f>
        <x:v>0</x:v>
      </x:c>
      <x:c r="H3903">
        <x:f>ROUND($C3903*10*VLOOKUP($B3903,Sheet2!$J$5:$K$7,2,FALSE)*VLOOKUP(Sheet1!$A3903,Sheet2!$B$5:$H$29,7,FALSE),0)</x:f>
        <x:v>120</x:v>
      </x:c>
      <x:c r="I3903">
        <x:f t="shared" si="65"/>
        <x:v>220</x:v>
      </x:c>
    </x:row>
    <x:row r="3904" spans="1:9" x14ac:dyDescent="0.15">
      <x:c r="A3904">
        <x:v>54202</x:v>
      </x:c>
      <x:c r="B3904">
        <x:v>3</x:v>
      </x:c>
      <x:c r="C3904">
        <x:v>3</x:v>
      </x:c>
      <x:c r="D3904">
        <x:f>ROUND($C3904*10*VLOOKUP($B3904,Sheet2!$J$5:$K$7,2,FALSE)*VLOOKUP(Sheet1!$A3904,Sheet2!$B$5:$H$29,3,FALSE),0)</x:f>
        <x:v>0</x:v>
      </x:c>
      <x:c r="E3904">
        <x:f>ROUND($C3904*10*VLOOKUP($B3904,Sheet2!$J$5:$K$7,2,FALSE)*VLOOKUP(Sheet1!$A3904,Sheet2!$B$5:$H$29,4,FALSE),0)</x:f>
        <x:v>12</x:v>
      </x:c>
      <x:c r="F3904">
        <x:f>ROUND($C3904*10*VLOOKUP($B3904,Sheet2!$J$5:$K$7,2,FALSE)*VLOOKUP(Sheet1!$A3904,Sheet2!$B$5:$H$29,5,FALSE),0)</x:f>
        <x:v>0</x:v>
      </x:c>
      <x:c r="G3904">
        <x:f>ROUND($C3904*10*VLOOKUP($B3904,Sheet2!$J$5:$K$7,2,FALSE)*VLOOKUP(Sheet1!$A3904,Sheet2!$B$5:$H$29,6,FALSE),0)</x:f>
        <x:v>0</x:v>
      </x:c>
      <x:c r="H3904">
        <x:f>ROUND($C3904*10*VLOOKUP($B3904,Sheet2!$J$5:$K$7,2,FALSE)*VLOOKUP(Sheet1!$A3904,Sheet2!$B$5:$H$29,7,FALSE),0)</x:f>
        <x:v>180</x:v>
      </x:c>
      <x:c r="I3904">
        <x:f t="shared" si="65"/>
        <x:v>530</x:v>
      </x:c>
    </x:row>
    <x:row r="3905" spans="1:9" x14ac:dyDescent="0.15">
      <x:c r="A3905">
        <x:v>54202</x:v>
      </x:c>
      <x:c r="B3905">
        <x:v>3</x:v>
      </x:c>
      <x:c r="C3905">
        <x:v>4</x:v>
      </x:c>
      <x:c r="D3905">
        <x:f>ROUND($C3905*10*VLOOKUP($B3905,Sheet2!$J$5:$K$7,2,FALSE)*VLOOKUP(Sheet1!$A3905,Sheet2!$B$5:$H$29,3,FALSE),0)</x:f>
        <x:v>0</x:v>
      </x:c>
      <x:c r="E3905">
        <x:f>ROUND($C3905*10*VLOOKUP($B3905,Sheet2!$J$5:$K$7,2,FALSE)*VLOOKUP(Sheet1!$A3905,Sheet2!$B$5:$H$29,4,FALSE),0)</x:f>
        <x:v>16</x:v>
      </x:c>
      <x:c r="F3905">
        <x:f>ROUND($C3905*10*VLOOKUP($B3905,Sheet2!$J$5:$K$7,2,FALSE)*VLOOKUP(Sheet1!$A3905,Sheet2!$B$5:$H$29,5,FALSE),0)</x:f>
        <x:v>0</x:v>
      </x:c>
      <x:c r="G3905">
        <x:f>ROUND($C3905*10*VLOOKUP($B3905,Sheet2!$J$5:$K$7,2,FALSE)*VLOOKUP(Sheet1!$A3905,Sheet2!$B$5:$H$29,6,FALSE),0)</x:f>
        <x:v>0</x:v>
      </x:c>
      <x:c r="H3905">
        <x:f>ROUND($C3905*10*VLOOKUP($B3905,Sheet2!$J$5:$K$7,2,FALSE)*VLOOKUP(Sheet1!$A3905,Sheet2!$B$5:$H$29,7,FALSE),0)</x:f>
        <x:v>240</x:v>
      </x:c>
      <x:c r="I3905">
        <x:f t="shared" si="65"/>
        <x:v>1000</x:v>
      </x:c>
    </x:row>
    <x:row r="3906" spans="1:9" x14ac:dyDescent="0.15">
      <x:c r="A3906">
        <x:v>54202</x:v>
      </x:c>
      <x:c r="B3906">
        <x:v>3</x:v>
      </x:c>
      <x:c r="C3906">
        <x:v>5</x:v>
      </x:c>
      <x:c r="D3906">
        <x:f>ROUND($C3906*10*VLOOKUP($B3906,Sheet2!$J$5:$K$7,2,FALSE)*VLOOKUP(Sheet1!$A3906,Sheet2!$B$5:$H$29,3,FALSE),0)</x:f>
        <x:v>0</x:v>
      </x:c>
      <x:c r="E3906">
        <x:f>ROUND($C3906*10*VLOOKUP($B3906,Sheet2!$J$5:$K$7,2,FALSE)*VLOOKUP(Sheet1!$A3906,Sheet2!$B$5:$H$29,4,FALSE),0)</x:f>
        <x:v>20</x:v>
      </x:c>
      <x:c r="F3906">
        <x:f>ROUND($C3906*10*VLOOKUP($B3906,Sheet2!$J$5:$K$7,2,FALSE)*VLOOKUP(Sheet1!$A3906,Sheet2!$B$5:$H$29,5,FALSE),0)</x:f>
        <x:v>0</x:v>
      </x:c>
      <x:c r="G3906">
        <x:f>ROUND($C3906*10*VLOOKUP($B3906,Sheet2!$J$5:$K$7,2,FALSE)*VLOOKUP(Sheet1!$A3906,Sheet2!$B$5:$H$29,6,FALSE),0)</x:f>
        <x:v>0</x:v>
      </x:c>
      <x:c r="H3906">
        <x:f>ROUND($C3906*10*VLOOKUP($B3906,Sheet2!$J$5:$K$7,2,FALSE)*VLOOKUP(Sheet1!$A3906,Sheet2!$B$5:$H$29,7,FALSE),0)</x:f>
        <x:v>300</x:v>
      </x:c>
      <x:c r="I3906">
        <x:f t="shared" si="65"/>
        <x:v>1620</x:v>
      </x:c>
    </x:row>
    <x:row r="3907" spans="1:9" x14ac:dyDescent="0.15">
      <x:c r="A3907">
        <x:v>54202</x:v>
      </x:c>
      <x:c r="B3907">
        <x:v>3</x:v>
      </x:c>
      <x:c r="C3907">
        <x:v>6</x:v>
      </x:c>
      <x:c r="D3907">
        <x:f>ROUND($C3907*10*VLOOKUP($B3907,Sheet2!$J$5:$K$7,2,FALSE)*VLOOKUP(Sheet1!$A3907,Sheet2!$B$5:$H$29,3,FALSE),0)</x:f>
        <x:v>0</x:v>
      </x:c>
      <x:c r="E3907">
        <x:f>ROUND($C3907*10*VLOOKUP($B3907,Sheet2!$J$5:$K$7,2,FALSE)*VLOOKUP(Sheet1!$A3907,Sheet2!$B$5:$H$29,4,FALSE),0)</x:f>
        <x:v>24</x:v>
      </x:c>
      <x:c r="F3907">
        <x:f>ROUND($C3907*10*VLOOKUP($B3907,Sheet2!$J$5:$K$7,2,FALSE)*VLOOKUP(Sheet1!$A3907,Sheet2!$B$5:$H$29,5,FALSE),0)</x:f>
        <x:v>0</x:v>
      </x:c>
      <x:c r="G3907">
        <x:f>ROUND($C3907*10*VLOOKUP($B3907,Sheet2!$J$5:$K$7,2,FALSE)*VLOOKUP(Sheet1!$A3907,Sheet2!$B$5:$H$29,6,FALSE),0)</x:f>
        <x:v>0</x:v>
      </x:c>
      <x:c r="H3907">
        <x:f>ROUND($C3907*10*VLOOKUP($B3907,Sheet2!$J$5:$K$7,2,FALSE)*VLOOKUP(Sheet1!$A3907,Sheet2!$B$5:$H$29,7,FALSE),0)</x:f>
        <x:v>360</x:v>
      </x:c>
      <x:c r="I3907">
        <x:f t="shared" si="65"/>
        <x:v>2370</x:v>
      </x:c>
    </x:row>
    <x:row r="3908" spans="1:9" x14ac:dyDescent="0.15">
      <x:c r="A3908">
        <x:v>54202</x:v>
      </x:c>
      <x:c r="B3908">
        <x:v>3</x:v>
      </x:c>
      <x:c r="C3908">
        <x:v>7</x:v>
      </x:c>
      <x:c r="D3908">
        <x:f>ROUND($C3908*10*VLOOKUP($B3908,Sheet2!$J$5:$K$7,2,FALSE)*VLOOKUP(Sheet1!$A3908,Sheet2!$B$5:$H$29,3,FALSE),0)</x:f>
        <x:v>0</x:v>
      </x:c>
      <x:c r="E3908">
        <x:f>ROUND($C3908*10*VLOOKUP($B3908,Sheet2!$J$5:$K$7,2,FALSE)*VLOOKUP(Sheet1!$A3908,Sheet2!$B$5:$H$29,4,FALSE),0)</x:f>
        <x:v>28</x:v>
      </x:c>
      <x:c r="F3908">
        <x:f>ROUND($C3908*10*VLOOKUP($B3908,Sheet2!$J$5:$K$7,2,FALSE)*VLOOKUP(Sheet1!$A3908,Sheet2!$B$5:$H$29,5,FALSE),0)</x:f>
        <x:v>0</x:v>
      </x:c>
      <x:c r="G3908">
        <x:f>ROUND($C3908*10*VLOOKUP($B3908,Sheet2!$J$5:$K$7,2,FALSE)*VLOOKUP(Sheet1!$A3908,Sheet2!$B$5:$H$29,6,FALSE),0)</x:f>
        <x:v>0</x:v>
      </x:c>
      <x:c r="H3908">
        <x:f>ROUND($C3908*10*VLOOKUP($B3908,Sheet2!$J$5:$K$7,2,FALSE)*VLOOKUP(Sheet1!$A3908,Sheet2!$B$5:$H$29,7,FALSE),0)</x:f>
        <x:v>420</x:v>
      </x:c>
      <x:c r="I3908">
        <x:f t="shared" si="65"/>
        <x:v>3260</x:v>
      </x:c>
    </x:row>
    <x:row r="3909" spans="1:9" x14ac:dyDescent="0.15">
      <x:c r="A3909">
        <x:v>54202</x:v>
      </x:c>
      <x:c r="B3909">
        <x:v>3</x:v>
      </x:c>
      <x:c r="C3909">
        <x:v>8</x:v>
      </x:c>
      <x:c r="D3909">
        <x:f>ROUND($C3909*10*VLOOKUP($B3909,Sheet2!$J$5:$K$7,2,FALSE)*VLOOKUP(Sheet1!$A3909,Sheet2!$B$5:$H$29,3,FALSE),0)</x:f>
        <x:v>0</x:v>
      </x:c>
      <x:c r="E3909">
        <x:f>ROUND($C3909*10*VLOOKUP($B3909,Sheet2!$J$5:$K$7,2,FALSE)*VLOOKUP(Sheet1!$A3909,Sheet2!$B$5:$H$29,4,FALSE),0)</x:f>
        <x:v>32</x:v>
      </x:c>
      <x:c r="F3909">
        <x:f>ROUND($C3909*10*VLOOKUP($B3909,Sheet2!$J$5:$K$7,2,FALSE)*VLOOKUP(Sheet1!$A3909,Sheet2!$B$5:$H$29,5,FALSE),0)</x:f>
        <x:v>0</x:v>
      </x:c>
      <x:c r="G3909">
        <x:f>ROUND($C3909*10*VLOOKUP($B3909,Sheet2!$J$5:$K$7,2,FALSE)*VLOOKUP(Sheet1!$A3909,Sheet2!$B$5:$H$29,6,FALSE),0)</x:f>
        <x:v>0</x:v>
      </x:c>
      <x:c r="H3909">
        <x:f>ROUND($C3909*10*VLOOKUP($B3909,Sheet2!$J$5:$K$7,2,FALSE)*VLOOKUP(Sheet1!$A3909,Sheet2!$B$5:$H$29,7,FALSE),0)</x:f>
        <x:v>480</x:v>
      </x:c>
      <x:c r="I3909">
        <x:f t="shared" si="65"/>
        <x:v>4270</x:v>
      </x:c>
    </x:row>
    <x:row r="3910" spans="1:9" x14ac:dyDescent="0.15">
      <x:c r="A3910">
        <x:v>54202</x:v>
      </x:c>
      <x:c r="B3910">
        <x:v>3</x:v>
      </x:c>
      <x:c r="C3910">
        <x:v>9</x:v>
      </x:c>
      <x:c r="D3910">
        <x:f>ROUND($C3910*10*VLOOKUP($B3910,Sheet2!$J$5:$K$7,2,FALSE)*VLOOKUP(Sheet1!$A3910,Sheet2!$B$5:$H$29,3,FALSE),0)</x:f>
        <x:v>0</x:v>
      </x:c>
      <x:c r="E3910">
        <x:f>ROUND($C3910*10*VLOOKUP($B3910,Sheet2!$J$5:$K$7,2,FALSE)*VLOOKUP(Sheet1!$A3910,Sheet2!$B$5:$H$29,4,FALSE),0)</x:f>
        <x:v>36</x:v>
      </x:c>
      <x:c r="F3910">
        <x:f>ROUND($C3910*10*VLOOKUP($B3910,Sheet2!$J$5:$K$7,2,FALSE)*VLOOKUP(Sheet1!$A3910,Sheet2!$B$5:$H$29,5,FALSE),0)</x:f>
        <x:v>0</x:v>
      </x:c>
      <x:c r="G3910">
        <x:f>ROUND($C3910*10*VLOOKUP($B3910,Sheet2!$J$5:$K$7,2,FALSE)*VLOOKUP(Sheet1!$A3910,Sheet2!$B$5:$H$29,6,FALSE),0)</x:f>
        <x:v>0</x:v>
      </x:c>
      <x:c r="H3910">
        <x:f>ROUND($C3910*10*VLOOKUP($B3910,Sheet2!$J$5:$K$7,2,FALSE)*VLOOKUP(Sheet1!$A3910,Sheet2!$B$5:$H$29,7,FALSE),0)</x:f>
        <x:v>540</x:v>
      </x:c>
      <x:c r="I3910">
        <x:f t="shared" si="65"/>
        <x:v>5410</x:v>
      </x:c>
    </x:row>
    <x:row r="3911" spans="1:9" x14ac:dyDescent="0.15">
      <x:c r="A3911">
        <x:v>54202</x:v>
      </x:c>
      <x:c r="B3911">
        <x:v>3</x:v>
      </x:c>
      <x:c r="C3911">
        <x:v>10</x:v>
      </x:c>
      <x:c r="D3911">
        <x:f>ROUND($C3911*10*VLOOKUP($B3911,Sheet2!$J$5:$K$7,2,FALSE)*VLOOKUP(Sheet1!$A3911,Sheet2!$B$5:$H$29,3,FALSE),0)</x:f>
        <x:v>0</x:v>
      </x:c>
      <x:c r="E3911">
        <x:f>ROUND($C3911*10*VLOOKUP($B3911,Sheet2!$J$5:$K$7,2,FALSE)*VLOOKUP(Sheet1!$A3911,Sheet2!$B$5:$H$29,4,FALSE),0)</x:f>
        <x:v>40</x:v>
      </x:c>
      <x:c r="F3911">
        <x:f>ROUND($C3911*10*VLOOKUP($B3911,Sheet2!$J$5:$K$7,2,FALSE)*VLOOKUP(Sheet1!$A3911,Sheet2!$B$5:$H$29,5,FALSE),0)</x:f>
        <x:v>0</x:v>
      </x:c>
      <x:c r="G3911">
        <x:f>ROUND($C3911*10*VLOOKUP($B3911,Sheet2!$J$5:$K$7,2,FALSE)*VLOOKUP(Sheet1!$A3911,Sheet2!$B$5:$H$29,6,FALSE),0)</x:f>
        <x:v>0</x:v>
      </x:c>
      <x:c r="H3911">
        <x:f>ROUND($C3911*10*VLOOKUP($B3911,Sheet2!$J$5:$K$7,2,FALSE)*VLOOKUP(Sheet1!$A3911,Sheet2!$B$5:$H$29,7,FALSE),0)</x:f>
        <x:v>600</x:v>
      </x:c>
      <x:c r="I3911">
        <x:f t="shared" si="65"/>
        <x:v>6670</x:v>
      </x:c>
    </x:row>
    <x:row r="3912" spans="1:9" x14ac:dyDescent="0.15">
      <x:c r="A3912">
        <x:v>54202</x:v>
      </x:c>
      <x:c r="B3912">
        <x:v>3</x:v>
      </x:c>
      <x:c r="C3912">
        <x:v>11</x:v>
      </x:c>
      <x:c r="D3912">
        <x:f>ROUND($C3912*10*VLOOKUP($B3912,Sheet2!$J$5:$K$7,2,FALSE)*VLOOKUP(Sheet1!$A3912,Sheet2!$B$5:$H$29,3,FALSE),0)</x:f>
        <x:v>0</x:v>
      </x:c>
      <x:c r="E3912">
        <x:f>ROUND($C3912*10*VLOOKUP($B3912,Sheet2!$J$5:$K$7,2,FALSE)*VLOOKUP(Sheet1!$A3912,Sheet2!$B$5:$H$29,4,FALSE),0)</x:f>
        <x:v>44</x:v>
      </x:c>
      <x:c r="F3912">
        <x:f>ROUND($C3912*10*VLOOKUP($B3912,Sheet2!$J$5:$K$7,2,FALSE)*VLOOKUP(Sheet1!$A3912,Sheet2!$B$5:$H$29,5,FALSE),0)</x:f>
        <x:v>0</x:v>
      </x:c>
      <x:c r="G3912">
        <x:f>ROUND($C3912*10*VLOOKUP($B3912,Sheet2!$J$5:$K$7,2,FALSE)*VLOOKUP(Sheet1!$A3912,Sheet2!$B$5:$H$29,6,FALSE),0)</x:f>
        <x:v>0</x:v>
      </x:c>
      <x:c r="H3912">
        <x:f>ROUND($C3912*10*VLOOKUP($B3912,Sheet2!$J$5:$K$7,2,FALSE)*VLOOKUP(Sheet1!$A3912,Sheet2!$B$5:$H$29,7,FALSE),0)</x:f>
        <x:v>660</x:v>
      </x:c>
      <x:c r="I3912">
        <x:f t="shared" si="65"/>
        <x:v>8040</x:v>
      </x:c>
    </x:row>
    <x:row r="3913" spans="1:9" x14ac:dyDescent="0.15">
      <x:c r="A3913">
        <x:v>54202</x:v>
      </x:c>
      <x:c r="B3913">
        <x:v>3</x:v>
      </x:c>
      <x:c r="C3913">
        <x:v>12</x:v>
      </x:c>
      <x:c r="D3913">
        <x:f>ROUND($C3913*10*VLOOKUP($B3913,Sheet2!$J$5:$K$7,2,FALSE)*VLOOKUP(Sheet1!$A3913,Sheet2!$B$5:$H$29,3,FALSE),0)</x:f>
        <x:v>0</x:v>
      </x:c>
      <x:c r="E3913">
        <x:f>ROUND($C3913*10*VLOOKUP($B3913,Sheet2!$J$5:$K$7,2,FALSE)*VLOOKUP(Sheet1!$A3913,Sheet2!$B$5:$H$29,4,FALSE),0)</x:f>
        <x:v>48</x:v>
      </x:c>
      <x:c r="F3913">
        <x:f>ROUND($C3913*10*VLOOKUP($B3913,Sheet2!$J$5:$K$7,2,FALSE)*VLOOKUP(Sheet1!$A3913,Sheet2!$B$5:$H$29,5,FALSE),0)</x:f>
        <x:v>0</x:v>
      </x:c>
      <x:c r="G3913">
        <x:f>ROUND($C3913*10*VLOOKUP($B3913,Sheet2!$J$5:$K$7,2,FALSE)*VLOOKUP(Sheet1!$A3913,Sheet2!$B$5:$H$29,6,FALSE),0)</x:f>
        <x:v>0</x:v>
      </x:c>
      <x:c r="H3913">
        <x:f>ROUND($C3913*10*VLOOKUP($B3913,Sheet2!$J$5:$K$7,2,FALSE)*VLOOKUP(Sheet1!$A3913,Sheet2!$B$5:$H$29,7,FALSE),0)</x:f>
        <x:v>720</x:v>
      </x:c>
      <x:c r="I3913">
        <x:f t="shared" si="65"/>
        <x:v>9530</x:v>
      </x:c>
    </x:row>
    <x:row r="3914" spans="1:9" x14ac:dyDescent="0.15">
      <x:c r="A3914">
        <x:v>54202</x:v>
      </x:c>
      <x:c r="B3914">
        <x:v>3</x:v>
      </x:c>
      <x:c r="C3914">
        <x:v>13</x:v>
      </x:c>
      <x:c r="D3914">
        <x:f>ROUND($C3914*10*VLOOKUP($B3914,Sheet2!$J$5:$K$7,2,FALSE)*VLOOKUP(Sheet1!$A3914,Sheet2!$B$5:$H$29,3,FALSE),0)</x:f>
        <x:v>0</x:v>
      </x:c>
      <x:c r="E3914">
        <x:f>ROUND($C3914*10*VLOOKUP($B3914,Sheet2!$J$5:$K$7,2,FALSE)*VLOOKUP(Sheet1!$A3914,Sheet2!$B$5:$H$29,4,FALSE),0)</x:f>
        <x:v>52</x:v>
      </x:c>
      <x:c r="F3914">
        <x:f>ROUND($C3914*10*VLOOKUP($B3914,Sheet2!$J$5:$K$7,2,FALSE)*VLOOKUP(Sheet1!$A3914,Sheet2!$B$5:$H$29,5,FALSE),0)</x:f>
        <x:v>0</x:v>
      </x:c>
      <x:c r="G3914">
        <x:f>ROUND($C3914*10*VLOOKUP($B3914,Sheet2!$J$5:$K$7,2,FALSE)*VLOOKUP(Sheet1!$A3914,Sheet2!$B$5:$H$29,6,FALSE),0)</x:f>
        <x:v>0</x:v>
      </x:c>
      <x:c r="H3914">
        <x:f>ROUND($C3914*10*VLOOKUP($B3914,Sheet2!$J$5:$K$7,2,FALSE)*VLOOKUP(Sheet1!$A3914,Sheet2!$B$5:$H$29,7,FALSE),0)</x:f>
        <x:v>780</x:v>
      </x:c>
      <x:c r="I3914">
        <x:f t="shared" si="65"/>
        <x:v>11130</x:v>
      </x:c>
    </x:row>
    <x:row r="3915" spans="1:9" x14ac:dyDescent="0.15">
      <x:c r="A3915">
        <x:v>54202</x:v>
      </x:c>
      <x:c r="B3915">
        <x:v>3</x:v>
      </x:c>
      <x:c r="C3915">
        <x:v>14</x:v>
      </x:c>
      <x:c r="D3915">
        <x:f>ROUND($C3915*10*VLOOKUP($B3915,Sheet2!$J$5:$K$7,2,FALSE)*VLOOKUP(Sheet1!$A3915,Sheet2!$B$5:$H$29,3,FALSE),0)</x:f>
        <x:v>0</x:v>
      </x:c>
      <x:c r="E3915">
        <x:f>ROUND($C3915*10*VLOOKUP($B3915,Sheet2!$J$5:$K$7,2,FALSE)*VLOOKUP(Sheet1!$A3915,Sheet2!$B$5:$H$29,4,FALSE),0)</x:f>
        <x:v>56</x:v>
      </x:c>
      <x:c r="F3915">
        <x:f>ROUND($C3915*10*VLOOKUP($B3915,Sheet2!$J$5:$K$7,2,FALSE)*VLOOKUP(Sheet1!$A3915,Sheet2!$B$5:$H$29,5,FALSE),0)</x:f>
        <x:v>0</x:v>
      </x:c>
      <x:c r="G3915">
        <x:f>ROUND($C3915*10*VLOOKUP($B3915,Sheet2!$J$5:$K$7,2,FALSE)*VLOOKUP(Sheet1!$A3915,Sheet2!$B$5:$H$29,6,FALSE),0)</x:f>
        <x:v>0</x:v>
      </x:c>
      <x:c r="H3915">
        <x:f>ROUND($C3915*10*VLOOKUP($B3915,Sheet2!$J$5:$K$7,2,FALSE)*VLOOKUP(Sheet1!$A3915,Sheet2!$B$5:$H$29,7,FALSE),0)</x:f>
        <x:v>840</x:v>
      </x:c>
      <x:c r="I3915">
        <x:f t="shared" si="65"/>
        <x:v>12840</x:v>
      </x:c>
    </x:row>
    <x:row r="3916" spans="1:9" x14ac:dyDescent="0.15">
      <x:c r="A3916">
        <x:v>54202</x:v>
      </x:c>
      <x:c r="B3916">
        <x:v>3</x:v>
      </x:c>
      <x:c r="C3916">
        <x:v>15</x:v>
      </x:c>
      <x:c r="D3916">
        <x:f>ROUND($C3916*10*VLOOKUP($B3916,Sheet2!$J$5:$K$7,2,FALSE)*VLOOKUP(Sheet1!$A3916,Sheet2!$B$5:$H$29,3,FALSE),0)</x:f>
        <x:v>0</x:v>
      </x:c>
      <x:c r="E3916">
        <x:f>ROUND($C3916*10*VLOOKUP($B3916,Sheet2!$J$5:$K$7,2,FALSE)*VLOOKUP(Sheet1!$A3916,Sheet2!$B$5:$H$29,4,FALSE),0)</x:f>
        <x:v>60</x:v>
      </x:c>
      <x:c r="F3916">
        <x:f>ROUND($C3916*10*VLOOKUP($B3916,Sheet2!$J$5:$K$7,2,FALSE)*VLOOKUP(Sheet1!$A3916,Sheet2!$B$5:$H$29,5,FALSE),0)</x:f>
        <x:v>0</x:v>
      </x:c>
      <x:c r="G3916">
        <x:f>ROUND($C3916*10*VLOOKUP($B3916,Sheet2!$J$5:$K$7,2,FALSE)*VLOOKUP(Sheet1!$A3916,Sheet2!$B$5:$H$29,6,FALSE),0)</x:f>
        <x:v>0</x:v>
      </x:c>
      <x:c r="H3916">
        <x:f>ROUND($C3916*10*VLOOKUP($B3916,Sheet2!$J$5:$K$7,2,FALSE)*VLOOKUP(Sheet1!$A3916,Sheet2!$B$5:$H$29,7,FALSE),0)</x:f>
        <x:v>900</x:v>
      </x:c>
      <x:c r="I3916">
        <x:f t="shared" si="65"/>
        <x:v>14660</x:v>
      </x:c>
    </x:row>
    <x:row r="3917" spans="1:9" x14ac:dyDescent="0.15">
      <x:c r="A3917">
        <x:v>54202</x:v>
      </x:c>
      <x:c r="B3917">
        <x:v>3</x:v>
      </x:c>
      <x:c r="C3917">
        <x:v>16</x:v>
      </x:c>
      <x:c r="D3917">
        <x:f>ROUND($C3917*10*VLOOKUP($B3917,Sheet2!$J$5:$K$7,2,FALSE)*VLOOKUP(Sheet1!$A3917,Sheet2!$B$5:$H$29,3,FALSE),0)</x:f>
        <x:v>0</x:v>
      </x:c>
      <x:c r="E3917">
        <x:f>ROUND($C3917*10*VLOOKUP($B3917,Sheet2!$J$5:$K$7,2,FALSE)*VLOOKUP(Sheet1!$A3917,Sheet2!$B$5:$H$29,4,FALSE),0)</x:f>
        <x:v>64</x:v>
      </x:c>
      <x:c r="F3917">
        <x:f>ROUND($C3917*10*VLOOKUP($B3917,Sheet2!$J$5:$K$7,2,FALSE)*VLOOKUP(Sheet1!$A3917,Sheet2!$B$5:$H$29,5,FALSE),0)</x:f>
        <x:v>0</x:v>
      </x:c>
      <x:c r="G3917">
        <x:f>ROUND($C3917*10*VLOOKUP($B3917,Sheet2!$J$5:$K$7,2,FALSE)*VLOOKUP(Sheet1!$A3917,Sheet2!$B$5:$H$29,6,FALSE),0)</x:f>
        <x:v>0</x:v>
      </x:c>
      <x:c r="H3917">
        <x:f>ROUND($C3917*10*VLOOKUP($B3917,Sheet2!$J$5:$K$7,2,FALSE)*VLOOKUP(Sheet1!$A3917,Sheet2!$B$5:$H$29,7,FALSE),0)</x:f>
        <x:v>960</x:v>
      </x:c>
      <x:c r="I3917">
        <x:f t="shared" si="65"/>
        <x:v>16580</x:v>
      </x:c>
    </x:row>
    <x:row r="3918" spans="1:9" x14ac:dyDescent="0.15">
      <x:c r="A3918">
        <x:v>54202</x:v>
      </x:c>
      <x:c r="B3918">
        <x:v>3</x:v>
      </x:c>
      <x:c r="C3918">
        <x:v>17</x:v>
      </x:c>
      <x:c r="D3918">
        <x:f>ROUND($C3918*10*VLOOKUP($B3918,Sheet2!$J$5:$K$7,2,FALSE)*VLOOKUP(Sheet1!$A3918,Sheet2!$B$5:$H$29,3,FALSE),0)</x:f>
        <x:v>0</x:v>
      </x:c>
      <x:c r="E3918">
        <x:f>ROUND($C3918*10*VLOOKUP($B3918,Sheet2!$J$5:$K$7,2,FALSE)*VLOOKUP(Sheet1!$A3918,Sheet2!$B$5:$H$29,4,FALSE),0)</x:f>
        <x:v>68</x:v>
      </x:c>
      <x:c r="F3918">
        <x:f>ROUND($C3918*10*VLOOKUP($B3918,Sheet2!$J$5:$K$7,2,FALSE)*VLOOKUP(Sheet1!$A3918,Sheet2!$B$5:$H$29,5,FALSE),0)</x:f>
        <x:v>0</x:v>
      </x:c>
      <x:c r="G3918">
        <x:f>ROUND($C3918*10*VLOOKUP($B3918,Sheet2!$J$5:$K$7,2,FALSE)*VLOOKUP(Sheet1!$A3918,Sheet2!$B$5:$H$29,6,FALSE),0)</x:f>
        <x:v>0</x:v>
      </x:c>
      <x:c r="H3918">
        <x:f>ROUND($C3918*10*VLOOKUP($B3918,Sheet2!$J$5:$K$7,2,FALSE)*VLOOKUP(Sheet1!$A3918,Sheet2!$B$5:$H$29,7,FALSE),0)</x:f>
        <x:v>1020</x:v>
      </x:c>
      <x:c r="I3918">
        <x:f t="shared" si="65"/>
        <x:v>18620</x:v>
      </x:c>
    </x:row>
    <x:row r="3919" spans="1:9" x14ac:dyDescent="0.15">
      <x:c r="A3919">
        <x:v>54202</x:v>
      </x:c>
      <x:c r="B3919">
        <x:v>3</x:v>
      </x:c>
      <x:c r="C3919">
        <x:v>18</x:v>
      </x:c>
      <x:c r="D3919">
        <x:f>ROUND($C3919*10*VLOOKUP($B3919,Sheet2!$J$5:$K$7,2,FALSE)*VLOOKUP(Sheet1!$A3919,Sheet2!$B$5:$H$29,3,FALSE),0)</x:f>
        <x:v>0</x:v>
      </x:c>
      <x:c r="E3919">
        <x:f>ROUND($C3919*10*VLOOKUP($B3919,Sheet2!$J$5:$K$7,2,FALSE)*VLOOKUP(Sheet1!$A3919,Sheet2!$B$5:$H$29,4,FALSE),0)</x:f>
        <x:v>72</x:v>
      </x:c>
      <x:c r="F3919">
        <x:f>ROUND($C3919*10*VLOOKUP($B3919,Sheet2!$J$5:$K$7,2,FALSE)*VLOOKUP(Sheet1!$A3919,Sheet2!$B$5:$H$29,5,FALSE),0)</x:f>
        <x:v>0</x:v>
      </x:c>
      <x:c r="G3919">
        <x:f>ROUND($C3919*10*VLOOKUP($B3919,Sheet2!$J$5:$K$7,2,FALSE)*VLOOKUP(Sheet1!$A3919,Sheet2!$B$5:$H$29,6,FALSE),0)</x:f>
        <x:v>0</x:v>
      </x:c>
      <x:c r="H3919">
        <x:f>ROUND($C3919*10*VLOOKUP($B3919,Sheet2!$J$5:$K$7,2,FALSE)*VLOOKUP(Sheet1!$A3919,Sheet2!$B$5:$H$29,7,FALSE),0)</x:f>
        <x:v>1080</x:v>
      </x:c>
      <x:c r="I3919">
        <x:f t="shared" si="65"/>
        <x:v>20750</x:v>
      </x:c>
    </x:row>
    <x:row r="3920" spans="1:9" x14ac:dyDescent="0.15">
      <x:c r="A3920">
        <x:v>54202</x:v>
      </x:c>
      <x:c r="B3920">
        <x:v>3</x:v>
      </x:c>
      <x:c r="C3920">
        <x:v>19</x:v>
      </x:c>
      <x:c r="D3920">
        <x:f>ROUND($C3920*10*VLOOKUP($B3920,Sheet2!$J$5:$K$7,2,FALSE)*VLOOKUP(Sheet1!$A3920,Sheet2!$B$5:$H$29,3,FALSE),0)</x:f>
        <x:v>0</x:v>
      </x:c>
      <x:c r="E3920">
        <x:f>ROUND($C3920*10*VLOOKUP($B3920,Sheet2!$J$5:$K$7,2,FALSE)*VLOOKUP(Sheet1!$A3920,Sheet2!$B$5:$H$29,4,FALSE),0)</x:f>
        <x:v>76</x:v>
      </x:c>
      <x:c r="F3920">
        <x:f>ROUND($C3920*10*VLOOKUP($B3920,Sheet2!$J$5:$K$7,2,FALSE)*VLOOKUP(Sheet1!$A3920,Sheet2!$B$5:$H$29,5,FALSE),0)</x:f>
        <x:v>0</x:v>
      </x:c>
      <x:c r="G3920">
        <x:f>ROUND($C3920*10*VLOOKUP($B3920,Sheet2!$J$5:$K$7,2,FALSE)*VLOOKUP(Sheet1!$A3920,Sheet2!$B$5:$H$29,6,FALSE),0)</x:f>
        <x:v>0</x:v>
      </x:c>
      <x:c r="H3920">
        <x:f>ROUND($C3920*10*VLOOKUP($B3920,Sheet2!$J$5:$K$7,2,FALSE)*VLOOKUP(Sheet1!$A3920,Sheet2!$B$5:$H$29,7,FALSE),0)</x:f>
        <x:v>1140</x:v>
      </x:c>
      <x:c r="I3920">
        <x:f t="shared" si="65"/>
        <x:v>22990</x:v>
      </x:c>
    </x:row>
    <x:row r="3921" spans="1:9" x14ac:dyDescent="0.15">
      <x:c r="A3921">
        <x:v>54202</x:v>
      </x:c>
      <x:c r="B3921">
        <x:v>3</x:v>
      </x:c>
      <x:c r="C3921">
        <x:v>20</x:v>
      </x:c>
      <x:c r="D3921">
        <x:f>ROUND($C3921*10*VLOOKUP($B3921,Sheet2!$J$5:$K$7,2,FALSE)*VLOOKUP(Sheet1!$A3921,Sheet2!$B$5:$H$29,3,FALSE),0)</x:f>
        <x:v>0</x:v>
      </x:c>
      <x:c r="E3921">
        <x:f>ROUND($C3921*10*VLOOKUP($B3921,Sheet2!$J$5:$K$7,2,FALSE)*VLOOKUP(Sheet1!$A3921,Sheet2!$B$5:$H$29,4,FALSE),0)</x:f>
        <x:v>80</x:v>
      </x:c>
      <x:c r="F3921">
        <x:f>ROUND($C3921*10*VLOOKUP($B3921,Sheet2!$J$5:$K$7,2,FALSE)*VLOOKUP(Sheet1!$A3921,Sheet2!$B$5:$H$29,5,FALSE),0)</x:f>
        <x:v>0</x:v>
      </x:c>
      <x:c r="G3921">
        <x:f>ROUND($C3921*10*VLOOKUP($B3921,Sheet2!$J$5:$K$7,2,FALSE)*VLOOKUP(Sheet1!$A3921,Sheet2!$B$5:$H$29,6,FALSE),0)</x:f>
        <x:v>0</x:v>
      </x:c>
      <x:c r="H3921">
        <x:f>ROUND($C3921*10*VLOOKUP($B3921,Sheet2!$J$5:$K$7,2,FALSE)*VLOOKUP(Sheet1!$A3921,Sheet2!$B$5:$H$29,7,FALSE),0)</x:f>
        <x:v>1200</x:v>
      </x:c>
      <x:c r="I3921">
        <x:f t="shared" si="65"/>
        <x:v>25330</x:v>
      </x:c>
    </x:row>
    <x:row r="3922" spans="1:9" x14ac:dyDescent="0.15">
      <x:c r="A3922">
        <x:v>54202</x:v>
      </x:c>
      <x:c r="B3922">
        <x:v>3</x:v>
      </x:c>
      <x:c r="C3922">
        <x:v>21</x:v>
      </x:c>
      <x:c r="D3922">
        <x:f>ROUND($C3922*10*VLOOKUP($B3922,Sheet2!$J$5:$K$7,2,FALSE)*VLOOKUP(Sheet1!$A3922,Sheet2!$B$5:$H$29,3,FALSE),0)</x:f>
        <x:v>0</x:v>
      </x:c>
      <x:c r="E3922">
        <x:f>ROUND($C3922*10*VLOOKUP($B3922,Sheet2!$J$5:$K$7,2,FALSE)*VLOOKUP(Sheet1!$A3922,Sheet2!$B$5:$H$29,4,FALSE),0)</x:f>
        <x:v>84</x:v>
      </x:c>
      <x:c r="F3922">
        <x:f>ROUND($C3922*10*VLOOKUP($B3922,Sheet2!$J$5:$K$7,2,FALSE)*VLOOKUP(Sheet1!$A3922,Sheet2!$B$5:$H$29,5,FALSE),0)</x:f>
        <x:v>0</x:v>
      </x:c>
      <x:c r="G3922">
        <x:f>ROUND($C3922*10*VLOOKUP($B3922,Sheet2!$J$5:$K$7,2,FALSE)*VLOOKUP(Sheet1!$A3922,Sheet2!$B$5:$H$29,6,FALSE),0)</x:f>
        <x:v>0</x:v>
      </x:c>
      <x:c r="H3922">
        <x:f>ROUND($C3922*10*VLOOKUP($B3922,Sheet2!$J$5:$K$7,2,FALSE)*VLOOKUP(Sheet1!$A3922,Sheet2!$B$5:$H$29,7,FALSE),0)</x:f>
        <x:v>1260</x:v>
      </x:c>
      <x:c r="I3922">
        <x:f t="shared" si="65"/>
        <x:v>27770</x:v>
      </x:c>
    </x:row>
    <x:row r="3923" spans="1:9" x14ac:dyDescent="0.15">
      <x:c r="A3923">
        <x:v>54202</x:v>
      </x:c>
      <x:c r="B3923">
        <x:v>3</x:v>
      </x:c>
      <x:c r="C3923">
        <x:v>22</x:v>
      </x:c>
      <x:c r="D3923">
        <x:f>ROUND($C3923*10*VLOOKUP($B3923,Sheet2!$J$5:$K$7,2,FALSE)*VLOOKUP(Sheet1!$A3923,Sheet2!$B$5:$H$29,3,FALSE),0)</x:f>
        <x:v>0</x:v>
      </x:c>
      <x:c r="E3923">
        <x:f>ROUND($C3923*10*VLOOKUP($B3923,Sheet2!$J$5:$K$7,2,FALSE)*VLOOKUP(Sheet1!$A3923,Sheet2!$B$5:$H$29,4,FALSE),0)</x:f>
        <x:v>88</x:v>
      </x:c>
      <x:c r="F3923">
        <x:f>ROUND($C3923*10*VLOOKUP($B3923,Sheet2!$J$5:$K$7,2,FALSE)*VLOOKUP(Sheet1!$A3923,Sheet2!$B$5:$H$29,5,FALSE),0)</x:f>
        <x:v>0</x:v>
      </x:c>
      <x:c r="G3923">
        <x:f>ROUND($C3923*10*VLOOKUP($B3923,Sheet2!$J$5:$K$7,2,FALSE)*VLOOKUP(Sheet1!$A3923,Sheet2!$B$5:$H$29,6,FALSE),0)</x:f>
        <x:v>0</x:v>
      </x:c>
      <x:c r="H3923">
        <x:f>ROUND($C3923*10*VLOOKUP($B3923,Sheet2!$J$5:$K$7,2,FALSE)*VLOOKUP(Sheet1!$A3923,Sheet2!$B$5:$H$29,7,FALSE),0)</x:f>
        <x:v>1320</x:v>
      </x:c>
      <x:c r="I3923">
        <x:f t="shared" si="65"/>
        <x:v>30310</x:v>
      </x:c>
    </x:row>
    <x:row r="3924" spans="1:9" x14ac:dyDescent="0.15">
      <x:c r="A3924">
        <x:v>54202</x:v>
      </x:c>
      <x:c r="B3924">
        <x:v>3</x:v>
      </x:c>
      <x:c r="C3924">
        <x:v>23</x:v>
      </x:c>
      <x:c r="D3924">
        <x:f>ROUND($C3924*10*VLOOKUP($B3924,Sheet2!$J$5:$K$7,2,FALSE)*VLOOKUP(Sheet1!$A3924,Sheet2!$B$5:$H$29,3,FALSE),0)</x:f>
        <x:v>0</x:v>
      </x:c>
      <x:c r="E3924">
        <x:f>ROUND($C3924*10*VLOOKUP($B3924,Sheet2!$J$5:$K$7,2,FALSE)*VLOOKUP(Sheet1!$A3924,Sheet2!$B$5:$H$29,4,FALSE),0)</x:f>
        <x:v>92</x:v>
      </x:c>
      <x:c r="F3924">
        <x:f>ROUND($C3924*10*VLOOKUP($B3924,Sheet2!$J$5:$K$7,2,FALSE)*VLOOKUP(Sheet1!$A3924,Sheet2!$B$5:$H$29,5,FALSE),0)</x:f>
        <x:v>0</x:v>
      </x:c>
      <x:c r="G3924">
        <x:f>ROUND($C3924*10*VLOOKUP($B3924,Sheet2!$J$5:$K$7,2,FALSE)*VLOOKUP(Sheet1!$A3924,Sheet2!$B$5:$H$29,6,FALSE),0)</x:f>
        <x:v>0</x:v>
      </x:c>
      <x:c r="H3924">
        <x:f>ROUND($C3924*10*VLOOKUP($B3924,Sheet2!$J$5:$K$7,2,FALSE)*VLOOKUP(Sheet1!$A3924,Sheet2!$B$5:$H$29,7,FALSE),0)</x:f>
        <x:v>1380</x:v>
      </x:c>
      <x:c r="I3924">
        <x:f t="shared" si="65"/>
        <x:v>32950</x:v>
      </x:c>
    </x:row>
    <x:row r="3925" spans="1:9" x14ac:dyDescent="0.15">
      <x:c r="A3925">
        <x:v>54202</x:v>
      </x:c>
      <x:c r="B3925">
        <x:v>3</x:v>
      </x:c>
      <x:c r="C3925">
        <x:v>24</x:v>
      </x:c>
      <x:c r="D3925">
        <x:f>ROUND($C3925*10*VLOOKUP($B3925,Sheet2!$J$5:$K$7,2,FALSE)*VLOOKUP(Sheet1!$A3925,Sheet2!$B$5:$H$29,3,FALSE),0)</x:f>
        <x:v>0</x:v>
      </x:c>
      <x:c r="E3925">
        <x:f>ROUND($C3925*10*VLOOKUP($B3925,Sheet2!$J$5:$K$7,2,FALSE)*VLOOKUP(Sheet1!$A3925,Sheet2!$B$5:$H$29,4,FALSE),0)</x:f>
        <x:v>96</x:v>
      </x:c>
      <x:c r="F3925">
        <x:f>ROUND($C3925*10*VLOOKUP($B3925,Sheet2!$J$5:$K$7,2,FALSE)*VLOOKUP(Sheet1!$A3925,Sheet2!$B$5:$H$29,5,FALSE),0)</x:f>
        <x:v>0</x:v>
      </x:c>
      <x:c r="G3925">
        <x:f>ROUND($C3925*10*VLOOKUP($B3925,Sheet2!$J$5:$K$7,2,FALSE)*VLOOKUP(Sheet1!$A3925,Sheet2!$B$5:$H$29,6,FALSE),0)</x:f>
        <x:v>0</x:v>
      </x:c>
      <x:c r="H3925">
        <x:f>ROUND($C3925*10*VLOOKUP($B3925,Sheet2!$J$5:$K$7,2,FALSE)*VLOOKUP(Sheet1!$A3925,Sheet2!$B$5:$H$29,7,FALSE),0)</x:f>
        <x:v>1440</x:v>
      </x:c>
      <x:c r="I3925">
        <x:f t="shared" si="65"/>
        <x:v>35690</x:v>
      </x:c>
    </x:row>
    <x:row r="3926" spans="1:9" x14ac:dyDescent="0.15">
      <x:c r="A3926">
        <x:v>54202</x:v>
      </x:c>
      <x:c r="B3926">
        <x:v>3</x:v>
      </x:c>
      <x:c r="C3926">
        <x:v>25</x:v>
      </x:c>
      <x:c r="D3926">
        <x:f>ROUND($C3926*10*VLOOKUP($B3926,Sheet2!$J$5:$K$7,2,FALSE)*VLOOKUP(Sheet1!$A3926,Sheet2!$B$5:$H$29,3,FALSE),0)</x:f>
        <x:v>0</x:v>
      </x:c>
      <x:c r="E3926">
        <x:f>ROUND($C3926*10*VLOOKUP($B3926,Sheet2!$J$5:$K$7,2,FALSE)*VLOOKUP(Sheet1!$A3926,Sheet2!$B$5:$H$29,4,FALSE),0)</x:f>
        <x:v>100</x:v>
      </x:c>
      <x:c r="F3926">
        <x:f>ROUND($C3926*10*VLOOKUP($B3926,Sheet2!$J$5:$K$7,2,FALSE)*VLOOKUP(Sheet1!$A3926,Sheet2!$B$5:$H$29,5,FALSE),0)</x:f>
        <x:v>0</x:v>
      </x:c>
      <x:c r="G3926">
        <x:f>ROUND($C3926*10*VLOOKUP($B3926,Sheet2!$J$5:$K$7,2,FALSE)*VLOOKUP(Sheet1!$A3926,Sheet2!$B$5:$H$29,6,FALSE),0)</x:f>
        <x:v>0</x:v>
      </x:c>
      <x:c r="H3926">
        <x:f>ROUND($C3926*10*VLOOKUP($B3926,Sheet2!$J$5:$K$7,2,FALSE)*VLOOKUP(Sheet1!$A3926,Sheet2!$B$5:$H$29,7,FALSE),0)</x:f>
        <x:v>1500</x:v>
      </x:c>
      <x:c r="I3926">
        <x:f t="shared" si="65"/>
        <x:v>38530</x:v>
      </x:c>
    </x:row>
    <x:row r="3927" spans="1:9" x14ac:dyDescent="0.15">
      <x:c r="A3927">
        <x:v>54202</x:v>
      </x:c>
      <x:c r="B3927">
        <x:v>3</x:v>
      </x:c>
      <x:c r="C3927">
        <x:v>26</x:v>
      </x:c>
      <x:c r="D3927">
        <x:f>ROUND($C3927*10*VLOOKUP($B3927,Sheet2!$J$5:$K$7,2,FALSE)*VLOOKUP(Sheet1!$A3927,Sheet2!$B$5:$H$29,3,FALSE),0)</x:f>
        <x:v>0</x:v>
      </x:c>
      <x:c r="E3927">
        <x:f>ROUND($C3927*10*VLOOKUP($B3927,Sheet2!$J$5:$K$7,2,FALSE)*VLOOKUP(Sheet1!$A3927,Sheet2!$B$5:$H$29,4,FALSE),0)</x:f>
        <x:v>104</x:v>
      </x:c>
      <x:c r="F3927">
        <x:f>ROUND($C3927*10*VLOOKUP($B3927,Sheet2!$J$5:$K$7,2,FALSE)*VLOOKUP(Sheet1!$A3927,Sheet2!$B$5:$H$29,5,FALSE),0)</x:f>
        <x:v>0</x:v>
      </x:c>
      <x:c r="G3927">
        <x:f>ROUND($C3927*10*VLOOKUP($B3927,Sheet2!$J$5:$K$7,2,FALSE)*VLOOKUP(Sheet1!$A3927,Sheet2!$B$5:$H$29,6,FALSE),0)</x:f>
        <x:v>0</x:v>
      </x:c>
      <x:c r="H3927">
        <x:f>ROUND($C3927*10*VLOOKUP($B3927,Sheet2!$J$5:$K$7,2,FALSE)*VLOOKUP(Sheet1!$A3927,Sheet2!$B$5:$H$29,7,FALSE),0)</x:f>
        <x:v>1560</x:v>
      </x:c>
      <x:c r="I3927">
        <x:f t="shared" si="65"/>
        <x:v>41460</x:v>
      </x:c>
    </x:row>
    <x:row r="3928" spans="1:9" x14ac:dyDescent="0.15">
      <x:c r="A3928">
        <x:v>54202</x:v>
      </x:c>
      <x:c r="B3928">
        <x:v>3</x:v>
      </x:c>
      <x:c r="C3928">
        <x:v>27</x:v>
      </x:c>
      <x:c r="D3928">
        <x:f>ROUND($C3928*10*VLOOKUP($B3928,Sheet2!$J$5:$K$7,2,FALSE)*VLOOKUP(Sheet1!$A3928,Sheet2!$B$5:$H$29,3,FALSE),0)</x:f>
        <x:v>0</x:v>
      </x:c>
      <x:c r="E3928">
        <x:f>ROUND($C3928*10*VLOOKUP($B3928,Sheet2!$J$5:$K$7,2,FALSE)*VLOOKUP(Sheet1!$A3928,Sheet2!$B$5:$H$29,4,FALSE),0)</x:f>
        <x:v>108</x:v>
      </x:c>
      <x:c r="F3928">
        <x:f>ROUND($C3928*10*VLOOKUP($B3928,Sheet2!$J$5:$K$7,2,FALSE)*VLOOKUP(Sheet1!$A3928,Sheet2!$B$5:$H$29,5,FALSE),0)</x:f>
        <x:v>0</x:v>
      </x:c>
      <x:c r="G3928">
        <x:f>ROUND($C3928*10*VLOOKUP($B3928,Sheet2!$J$5:$K$7,2,FALSE)*VLOOKUP(Sheet1!$A3928,Sheet2!$B$5:$H$29,6,FALSE),0)</x:f>
        <x:v>0</x:v>
      </x:c>
      <x:c r="H3928">
        <x:f>ROUND($C3928*10*VLOOKUP($B3928,Sheet2!$J$5:$K$7,2,FALSE)*VLOOKUP(Sheet1!$A3928,Sheet2!$B$5:$H$29,7,FALSE),0)</x:f>
        <x:v>1620</x:v>
      </x:c>
      <x:c r="I3928">
        <x:f t="shared" si="65"/>
        <x:v>44480</x:v>
      </x:c>
    </x:row>
    <x:row r="3929" spans="1:9" x14ac:dyDescent="0.15">
      <x:c r="A3929">
        <x:v>54202</x:v>
      </x:c>
      <x:c r="B3929">
        <x:v>3</x:v>
      </x:c>
      <x:c r="C3929">
        <x:v>28</x:v>
      </x:c>
      <x:c r="D3929">
        <x:f>ROUND($C3929*10*VLOOKUP($B3929,Sheet2!$J$5:$K$7,2,FALSE)*VLOOKUP(Sheet1!$A3929,Sheet2!$B$5:$H$29,3,FALSE),0)</x:f>
        <x:v>0</x:v>
      </x:c>
      <x:c r="E3929">
        <x:f>ROUND($C3929*10*VLOOKUP($B3929,Sheet2!$J$5:$K$7,2,FALSE)*VLOOKUP(Sheet1!$A3929,Sheet2!$B$5:$H$29,4,FALSE),0)</x:f>
        <x:v>112</x:v>
      </x:c>
      <x:c r="F3929">
        <x:f>ROUND($C3929*10*VLOOKUP($B3929,Sheet2!$J$5:$K$7,2,FALSE)*VLOOKUP(Sheet1!$A3929,Sheet2!$B$5:$H$29,5,FALSE),0)</x:f>
        <x:v>0</x:v>
      </x:c>
      <x:c r="G3929">
        <x:f>ROUND($C3929*10*VLOOKUP($B3929,Sheet2!$J$5:$K$7,2,FALSE)*VLOOKUP(Sheet1!$A3929,Sheet2!$B$5:$H$29,6,FALSE),0)</x:f>
        <x:v>0</x:v>
      </x:c>
      <x:c r="H3929">
        <x:f>ROUND($C3929*10*VLOOKUP($B3929,Sheet2!$J$5:$K$7,2,FALSE)*VLOOKUP(Sheet1!$A3929,Sheet2!$B$5:$H$29,7,FALSE),0)</x:f>
        <x:v>1680</x:v>
      </x:c>
      <x:c r="I3929">
        <x:f t="shared" si="65"/>
        <x:v>47600</x:v>
      </x:c>
    </x:row>
    <x:row r="3930" spans="1:9" x14ac:dyDescent="0.15">
      <x:c r="A3930">
        <x:v>54202</x:v>
      </x:c>
      <x:c r="B3930">
        <x:v>3</x:v>
      </x:c>
      <x:c r="C3930">
        <x:v>29</x:v>
      </x:c>
      <x:c r="D3930">
        <x:f>ROUND($C3930*10*VLOOKUP($B3930,Sheet2!$J$5:$K$7,2,FALSE)*VLOOKUP(Sheet1!$A3930,Sheet2!$B$5:$H$29,3,FALSE),0)</x:f>
        <x:v>0</x:v>
      </x:c>
      <x:c r="E3930">
        <x:f>ROUND($C3930*10*VLOOKUP($B3930,Sheet2!$J$5:$K$7,2,FALSE)*VLOOKUP(Sheet1!$A3930,Sheet2!$B$5:$H$29,4,FALSE),0)</x:f>
        <x:v>116</x:v>
      </x:c>
      <x:c r="F3930">
        <x:f>ROUND($C3930*10*VLOOKUP($B3930,Sheet2!$J$5:$K$7,2,FALSE)*VLOOKUP(Sheet1!$A3930,Sheet2!$B$5:$H$29,5,FALSE),0)</x:f>
        <x:v>0</x:v>
      </x:c>
      <x:c r="G3930">
        <x:f>ROUND($C3930*10*VLOOKUP($B3930,Sheet2!$J$5:$K$7,2,FALSE)*VLOOKUP(Sheet1!$A3930,Sheet2!$B$5:$H$29,6,FALSE),0)</x:f>
        <x:v>0</x:v>
      </x:c>
      <x:c r="H3930">
        <x:f>ROUND($C3930*10*VLOOKUP($B3930,Sheet2!$J$5:$K$7,2,FALSE)*VLOOKUP(Sheet1!$A3930,Sheet2!$B$5:$H$29,7,FALSE),0)</x:f>
        <x:v>1740</x:v>
      </x:c>
      <x:c r="I3930">
        <x:f t="shared" si="65"/>
        <x:v>50820</x:v>
      </x:c>
    </x:row>
    <x:row r="3931" spans="1:9" x14ac:dyDescent="0.15">
      <x:c r="A3931">
        <x:v>54202</x:v>
      </x:c>
      <x:c r="B3931">
        <x:v>3</x:v>
      </x:c>
      <x:c r="C3931">
        <x:v>30</x:v>
      </x:c>
      <x:c r="D3931">
        <x:f>ROUND($C3931*10*VLOOKUP($B3931,Sheet2!$J$5:$K$7,2,FALSE)*VLOOKUP(Sheet1!$A3931,Sheet2!$B$5:$H$29,3,FALSE),0)</x:f>
        <x:v>0</x:v>
      </x:c>
      <x:c r="E3931">
        <x:f>ROUND($C3931*10*VLOOKUP($B3931,Sheet2!$J$5:$K$7,2,FALSE)*VLOOKUP(Sheet1!$A3931,Sheet2!$B$5:$H$29,4,FALSE),0)</x:f>
        <x:v>120</x:v>
      </x:c>
      <x:c r="F3931">
        <x:f>ROUND($C3931*10*VLOOKUP($B3931,Sheet2!$J$5:$K$7,2,FALSE)*VLOOKUP(Sheet1!$A3931,Sheet2!$B$5:$H$29,5,FALSE),0)</x:f>
        <x:v>0</x:v>
      </x:c>
      <x:c r="G3931">
        <x:f>ROUND($C3931*10*VLOOKUP($B3931,Sheet2!$J$5:$K$7,2,FALSE)*VLOOKUP(Sheet1!$A3931,Sheet2!$B$5:$H$29,6,FALSE),0)</x:f>
        <x:v>0</x:v>
      </x:c>
      <x:c r="H3931">
        <x:f>ROUND($C3931*10*VLOOKUP($B3931,Sheet2!$J$5:$K$7,2,FALSE)*VLOOKUP(Sheet1!$A3931,Sheet2!$B$5:$H$29,7,FALSE),0)</x:f>
        <x:v>1800</x:v>
      </x:c>
      <x:c r="I3931">
        <x:f t="shared" si="65"/>
        <x:v>54130</x:v>
      </x:c>
    </x:row>
    <x:row r="3932" spans="1:9" x14ac:dyDescent="0.15">
      <x:c r="A3932">
        <x:v>54202</x:v>
      </x:c>
      <x:c r="B3932">
        <x:v>3</x:v>
      </x:c>
      <x:c r="C3932">
        <x:v>31</x:v>
      </x:c>
      <x:c r="D3932">
        <x:f>ROUND($C3932*10*VLOOKUP($B3932,Sheet2!$J$5:$K$7,2,FALSE)*VLOOKUP(Sheet1!$A3932,Sheet2!$B$5:$H$29,3,FALSE),0)</x:f>
        <x:v>0</x:v>
      </x:c>
      <x:c r="E3932">
        <x:f>ROUND($C3932*10*VLOOKUP($B3932,Sheet2!$J$5:$K$7,2,FALSE)*VLOOKUP(Sheet1!$A3932,Sheet2!$B$5:$H$29,4,FALSE),0)</x:f>
        <x:v>124</x:v>
      </x:c>
      <x:c r="F3932">
        <x:f>ROUND($C3932*10*VLOOKUP($B3932,Sheet2!$J$5:$K$7,2,FALSE)*VLOOKUP(Sheet1!$A3932,Sheet2!$B$5:$H$29,5,FALSE),0)</x:f>
        <x:v>0</x:v>
      </x:c>
      <x:c r="G3932">
        <x:f>ROUND($C3932*10*VLOOKUP($B3932,Sheet2!$J$5:$K$7,2,FALSE)*VLOOKUP(Sheet1!$A3932,Sheet2!$B$5:$H$29,6,FALSE),0)</x:f>
        <x:v>0</x:v>
      </x:c>
      <x:c r="H3932">
        <x:f>ROUND($C3932*10*VLOOKUP($B3932,Sheet2!$J$5:$K$7,2,FALSE)*VLOOKUP(Sheet1!$A3932,Sheet2!$B$5:$H$29,7,FALSE),0)</x:f>
        <x:v>1860</x:v>
      </x:c>
      <x:c r="I3932">
        <x:f t="shared" si="65"/>
        <x:v>57530</x:v>
      </x:c>
    </x:row>
    <x:row r="3933" spans="1:9" x14ac:dyDescent="0.15">
      <x:c r="A3933">
        <x:v>54202</x:v>
      </x:c>
      <x:c r="B3933">
        <x:v>3</x:v>
      </x:c>
      <x:c r="C3933">
        <x:v>32</x:v>
      </x:c>
      <x:c r="D3933">
        <x:f>ROUND($C3933*10*VLOOKUP($B3933,Sheet2!$J$5:$K$7,2,FALSE)*VLOOKUP(Sheet1!$A3933,Sheet2!$B$5:$H$29,3,FALSE),0)</x:f>
        <x:v>0</x:v>
      </x:c>
      <x:c r="E3933">
        <x:f>ROUND($C3933*10*VLOOKUP($B3933,Sheet2!$J$5:$K$7,2,FALSE)*VLOOKUP(Sheet1!$A3933,Sheet2!$B$5:$H$29,4,FALSE),0)</x:f>
        <x:v>128</x:v>
      </x:c>
      <x:c r="F3933">
        <x:f>ROUND($C3933*10*VLOOKUP($B3933,Sheet2!$J$5:$K$7,2,FALSE)*VLOOKUP(Sheet1!$A3933,Sheet2!$B$5:$H$29,5,FALSE),0)</x:f>
        <x:v>0</x:v>
      </x:c>
      <x:c r="G3933">
        <x:f>ROUND($C3933*10*VLOOKUP($B3933,Sheet2!$J$5:$K$7,2,FALSE)*VLOOKUP(Sheet1!$A3933,Sheet2!$B$5:$H$29,6,FALSE),0)</x:f>
        <x:v>0</x:v>
      </x:c>
      <x:c r="H3933">
        <x:f>ROUND($C3933*10*VLOOKUP($B3933,Sheet2!$J$5:$K$7,2,FALSE)*VLOOKUP(Sheet1!$A3933,Sheet2!$B$5:$H$29,7,FALSE),0)</x:f>
        <x:v>1920</x:v>
      </x:c>
      <x:c r="I3933">
        <x:f t="shared" si="65"/>
        <x:v>61020</x:v>
      </x:c>
    </x:row>
    <x:row r="3934" spans="1:9" x14ac:dyDescent="0.15">
      <x:c r="A3934">
        <x:v>54202</x:v>
      </x:c>
      <x:c r="B3934">
        <x:v>3</x:v>
      </x:c>
      <x:c r="C3934">
        <x:v>33</x:v>
      </x:c>
      <x:c r="D3934">
        <x:f>ROUND($C3934*10*VLOOKUP($B3934,Sheet2!$J$5:$K$7,2,FALSE)*VLOOKUP(Sheet1!$A3934,Sheet2!$B$5:$H$29,3,FALSE),0)</x:f>
        <x:v>0</x:v>
      </x:c>
      <x:c r="E3934">
        <x:f>ROUND($C3934*10*VLOOKUP($B3934,Sheet2!$J$5:$K$7,2,FALSE)*VLOOKUP(Sheet1!$A3934,Sheet2!$B$5:$H$29,4,FALSE),0)</x:f>
        <x:v>132</x:v>
      </x:c>
      <x:c r="F3934">
        <x:f>ROUND($C3934*10*VLOOKUP($B3934,Sheet2!$J$5:$K$7,2,FALSE)*VLOOKUP(Sheet1!$A3934,Sheet2!$B$5:$H$29,5,FALSE),0)</x:f>
        <x:v>0</x:v>
      </x:c>
      <x:c r="G3934">
        <x:f>ROUND($C3934*10*VLOOKUP($B3934,Sheet2!$J$5:$K$7,2,FALSE)*VLOOKUP(Sheet1!$A3934,Sheet2!$B$5:$H$29,6,FALSE),0)</x:f>
        <x:v>0</x:v>
      </x:c>
      <x:c r="H3934">
        <x:f>ROUND($C3934*10*VLOOKUP($B3934,Sheet2!$J$5:$K$7,2,FALSE)*VLOOKUP(Sheet1!$A3934,Sheet2!$B$5:$H$29,7,FALSE),0)</x:f>
        <x:v>1980</x:v>
      </x:c>
      <x:c r="I3934">
        <x:f t="shared" si="65"/>
        <x:v>64600</x:v>
      </x:c>
    </x:row>
    <x:row r="3935" spans="1:9" x14ac:dyDescent="0.15">
      <x:c r="A3935">
        <x:v>54202</x:v>
      </x:c>
      <x:c r="B3935">
        <x:v>3</x:v>
      </x:c>
      <x:c r="C3935">
        <x:v>34</x:v>
      </x:c>
      <x:c r="D3935">
        <x:f>ROUND($C3935*10*VLOOKUP($B3935,Sheet2!$J$5:$K$7,2,FALSE)*VLOOKUP(Sheet1!$A3935,Sheet2!$B$5:$H$29,3,FALSE),0)</x:f>
        <x:v>0</x:v>
      </x:c>
      <x:c r="E3935">
        <x:f>ROUND($C3935*10*VLOOKUP($B3935,Sheet2!$J$5:$K$7,2,FALSE)*VLOOKUP(Sheet1!$A3935,Sheet2!$B$5:$H$29,4,FALSE),0)</x:f>
        <x:v>136</x:v>
      </x:c>
      <x:c r="F3935">
        <x:f>ROUND($C3935*10*VLOOKUP($B3935,Sheet2!$J$5:$K$7,2,FALSE)*VLOOKUP(Sheet1!$A3935,Sheet2!$B$5:$H$29,5,FALSE),0)</x:f>
        <x:v>0</x:v>
      </x:c>
      <x:c r="G3935">
        <x:f>ROUND($C3935*10*VLOOKUP($B3935,Sheet2!$J$5:$K$7,2,FALSE)*VLOOKUP(Sheet1!$A3935,Sheet2!$B$5:$H$29,6,FALSE),0)</x:f>
        <x:v>0</x:v>
      </x:c>
      <x:c r="H3935">
        <x:f>ROUND($C3935*10*VLOOKUP($B3935,Sheet2!$J$5:$K$7,2,FALSE)*VLOOKUP(Sheet1!$A3935,Sheet2!$B$5:$H$29,7,FALSE),0)</x:f>
        <x:v>2040</x:v>
      </x:c>
      <x:c r="I3935">
        <x:f t="shared" si="65"/>
        <x:v>68280</x:v>
      </x:c>
    </x:row>
    <x:row r="3936" spans="1:9" x14ac:dyDescent="0.15">
      <x:c r="A3936">
        <x:v>54202</x:v>
      </x:c>
      <x:c r="B3936">
        <x:v>3</x:v>
      </x:c>
      <x:c r="C3936">
        <x:v>35</x:v>
      </x:c>
      <x:c r="D3936">
        <x:f>ROUND($C3936*10*VLOOKUP($B3936,Sheet2!$J$5:$K$7,2,FALSE)*VLOOKUP(Sheet1!$A3936,Sheet2!$B$5:$H$29,3,FALSE),0)</x:f>
        <x:v>0</x:v>
      </x:c>
      <x:c r="E3936">
        <x:f>ROUND($C3936*10*VLOOKUP($B3936,Sheet2!$J$5:$K$7,2,FALSE)*VLOOKUP(Sheet1!$A3936,Sheet2!$B$5:$H$29,4,FALSE),0)</x:f>
        <x:v>140</x:v>
      </x:c>
      <x:c r="F3936">
        <x:f>ROUND($C3936*10*VLOOKUP($B3936,Sheet2!$J$5:$K$7,2,FALSE)*VLOOKUP(Sheet1!$A3936,Sheet2!$B$5:$H$29,5,FALSE),0)</x:f>
        <x:v>0</x:v>
      </x:c>
      <x:c r="G3936">
        <x:f>ROUND($C3936*10*VLOOKUP($B3936,Sheet2!$J$5:$K$7,2,FALSE)*VLOOKUP(Sheet1!$A3936,Sheet2!$B$5:$H$29,6,FALSE),0)</x:f>
        <x:v>0</x:v>
      </x:c>
      <x:c r="H3936">
        <x:f>ROUND($C3936*10*VLOOKUP($B3936,Sheet2!$J$5:$K$7,2,FALSE)*VLOOKUP(Sheet1!$A3936,Sheet2!$B$5:$H$29,7,FALSE),0)</x:f>
        <x:v>2100</x:v>
      </x:c>
      <x:c r="I3936">
        <x:f t="shared" si="65"/>
        <x:v>72040</x:v>
      </x:c>
    </x:row>
    <x:row r="3937" spans="1:9" x14ac:dyDescent="0.15">
      <x:c r="A3937">
        <x:v>54202</x:v>
      </x:c>
      <x:c r="B3937">
        <x:v>3</x:v>
      </x:c>
      <x:c r="C3937">
        <x:v>36</x:v>
      </x:c>
      <x:c r="D3937">
        <x:f>ROUND($C3937*10*VLOOKUP($B3937,Sheet2!$J$5:$K$7,2,FALSE)*VLOOKUP(Sheet1!$A3937,Sheet2!$B$5:$H$29,3,FALSE),0)</x:f>
        <x:v>0</x:v>
      </x:c>
      <x:c r="E3937">
        <x:f>ROUND($C3937*10*VLOOKUP($B3937,Sheet2!$J$5:$K$7,2,FALSE)*VLOOKUP(Sheet1!$A3937,Sheet2!$B$5:$H$29,4,FALSE),0)</x:f>
        <x:v>144</x:v>
      </x:c>
      <x:c r="F3937">
        <x:f>ROUND($C3937*10*VLOOKUP($B3937,Sheet2!$J$5:$K$7,2,FALSE)*VLOOKUP(Sheet1!$A3937,Sheet2!$B$5:$H$29,5,FALSE),0)</x:f>
        <x:v>0</x:v>
      </x:c>
      <x:c r="G3937">
        <x:f>ROUND($C3937*10*VLOOKUP($B3937,Sheet2!$J$5:$K$7,2,FALSE)*VLOOKUP(Sheet1!$A3937,Sheet2!$B$5:$H$29,6,FALSE),0)</x:f>
        <x:v>0</x:v>
      </x:c>
      <x:c r="H3937">
        <x:f>ROUND($C3937*10*VLOOKUP($B3937,Sheet2!$J$5:$K$7,2,FALSE)*VLOOKUP(Sheet1!$A3937,Sheet2!$B$5:$H$29,7,FALSE),0)</x:f>
        <x:v>2160</x:v>
      </x:c>
      <x:c r="I3937">
        <x:f t="shared" si="65"/>
        <x:v>75890</x:v>
      </x:c>
    </x:row>
    <x:row r="3938" spans="1:9" x14ac:dyDescent="0.15">
      <x:c r="A3938">
        <x:v>54202</x:v>
      </x:c>
      <x:c r="B3938">
        <x:v>3</x:v>
      </x:c>
      <x:c r="C3938">
        <x:v>37</x:v>
      </x:c>
      <x:c r="D3938">
        <x:f>ROUND($C3938*10*VLOOKUP($B3938,Sheet2!$J$5:$K$7,2,FALSE)*VLOOKUP(Sheet1!$A3938,Sheet2!$B$5:$H$29,3,FALSE),0)</x:f>
        <x:v>0</x:v>
      </x:c>
      <x:c r="E3938">
        <x:f>ROUND($C3938*10*VLOOKUP($B3938,Sheet2!$J$5:$K$7,2,FALSE)*VLOOKUP(Sheet1!$A3938,Sheet2!$B$5:$H$29,4,FALSE),0)</x:f>
        <x:v>148</x:v>
      </x:c>
      <x:c r="F3938">
        <x:f>ROUND($C3938*10*VLOOKUP($B3938,Sheet2!$J$5:$K$7,2,FALSE)*VLOOKUP(Sheet1!$A3938,Sheet2!$B$5:$H$29,5,FALSE),0)</x:f>
        <x:v>0</x:v>
      </x:c>
      <x:c r="G3938">
        <x:f>ROUND($C3938*10*VLOOKUP($B3938,Sheet2!$J$5:$K$7,2,FALSE)*VLOOKUP(Sheet1!$A3938,Sheet2!$B$5:$H$29,6,FALSE),0)</x:f>
        <x:v>0</x:v>
      </x:c>
      <x:c r="H3938">
        <x:f>ROUND($C3938*10*VLOOKUP($B3938,Sheet2!$J$5:$K$7,2,FALSE)*VLOOKUP(Sheet1!$A3938,Sheet2!$B$5:$H$29,7,FALSE),0)</x:f>
        <x:v>2220</x:v>
      </x:c>
      <x:c r="I3938">
        <x:f t="shared" si="65"/>
        <x:v>79840</x:v>
      </x:c>
    </x:row>
    <x:row r="3939" spans="1:9" x14ac:dyDescent="0.15">
      <x:c r="A3939">
        <x:v>54202</x:v>
      </x:c>
      <x:c r="B3939">
        <x:v>3</x:v>
      </x:c>
      <x:c r="C3939">
        <x:v>38</x:v>
      </x:c>
      <x:c r="D3939">
        <x:f>ROUND($C3939*10*VLOOKUP($B3939,Sheet2!$J$5:$K$7,2,FALSE)*VLOOKUP(Sheet1!$A3939,Sheet2!$B$5:$H$29,3,FALSE),0)</x:f>
        <x:v>0</x:v>
      </x:c>
      <x:c r="E3939">
        <x:f>ROUND($C3939*10*VLOOKUP($B3939,Sheet2!$J$5:$K$7,2,FALSE)*VLOOKUP(Sheet1!$A3939,Sheet2!$B$5:$H$29,4,FALSE),0)</x:f>
        <x:v>152</x:v>
      </x:c>
      <x:c r="F3939">
        <x:f>ROUND($C3939*10*VLOOKUP($B3939,Sheet2!$J$5:$K$7,2,FALSE)*VLOOKUP(Sheet1!$A3939,Sheet2!$B$5:$H$29,5,FALSE),0)</x:f>
        <x:v>0</x:v>
      </x:c>
      <x:c r="G3939">
        <x:f>ROUND($C3939*10*VLOOKUP($B3939,Sheet2!$J$5:$K$7,2,FALSE)*VLOOKUP(Sheet1!$A3939,Sheet2!$B$5:$H$29,6,FALSE),0)</x:f>
        <x:v>0</x:v>
      </x:c>
      <x:c r="H3939">
        <x:f>ROUND($C3939*10*VLOOKUP($B3939,Sheet2!$J$5:$K$7,2,FALSE)*VLOOKUP(Sheet1!$A3939,Sheet2!$B$5:$H$29,7,FALSE),0)</x:f>
        <x:v>2280</x:v>
      </x:c>
      <x:c r="I3939">
        <x:f t="shared" si="65"/>
        <x:v>83870</x:v>
      </x:c>
    </x:row>
    <x:row r="3940" spans="1:9" x14ac:dyDescent="0.15">
      <x:c r="A3940">
        <x:v>54202</x:v>
      </x:c>
      <x:c r="B3940">
        <x:v>3</x:v>
      </x:c>
      <x:c r="C3940">
        <x:v>39</x:v>
      </x:c>
      <x:c r="D3940">
        <x:f>ROUND($C3940*10*VLOOKUP($B3940,Sheet2!$J$5:$K$7,2,FALSE)*VLOOKUP(Sheet1!$A3940,Sheet2!$B$5:$H$29,3,FALSE),0)</x:f>
        <x:v>0</x:v>
      </x:c>
      <x:c r="E3940">
        <x:f>ROUND($C3940*10*VLOOKUP($B3940,Sheet2!$J$5:$K$7,2,FALSE)*VLOOKUP(Sheet1!$A3940,Sheet2!$B$5:$H$29,4,FALSE),0)</x:f>
        <x:v>156</x:v>
      </x:c>
      <x:c r="F3940">
        <x:f>ROUND($C3940*10*VLOOKUP($B3940,Sheet2!$J$5:$K$7,2,FALSE)*VLOOKUP(Sheet1!$A3940,Sheet2!$B$5:$H$29,5,FALSE),0)</x:f>
        <x:v>0</x:v>
      </x:c>
      <x:c r="G3940">
        <x:f>ROUND($C3940*10*VLOOKUP($B3940,Sheet2!$J$5:$K$7,2,FALSE)*VLOOKUP(Sheet1!$A3940,Sheet2!$B$5:$H$29,6,FALSE),0)</x:f>
        <x:v>0</x:v>
      </x:c>
      <x:c r="H3940">
        <x:f>ROUND($C3940*10*VLOOKUP($B3940,Sheet2!$J$5:$K$7,2,FALSE)*VLOOKUP(Sheet1!$A3940,Sheet2!$B$5:$H$29,7,FALSE),0)</x:f>
        <x:v>2340</x:v>
      </x:c>
      <x:c r="I3940">
        <x:f t="shared" si="65"/>
        <x:v>87990</x:v>
      </x:c>
    </x:row>
    <x:row r="3941" spans="1:9" x14ac:dyDescent="0.15">
      <x:c r="A3941">
        <x:v>54202</x:v>
      </x:c>
      <x:c r="B3941">
        <x:v>3</x:v>
      </x:c>
      <x:c r="C3941">
        <x:v>40</x:v>
      </x:c>
      <x:c r="D3941">
        <x:f>ROUND($C3941*10*VLOOKUP($B3941,Sheet2!$J$5:$K$7,2,FALSE)*VLOOKUP(Sheet1!$A3941,Sheet2!$B$5:$H$29,3,FALSE),0)</x:f>
        <x:v>0</x:v>
      </x:c>
      <x:c r="E3941">
        <x:f>ROUND($C3941*10*VLOOKUP($B3941,Sheet2!$J$5:$K$7,2,FALSE)*VLOOKUP(Sheet1!$A3941,Sheet2!$B$5:$H$29,4,FALSE),0)</x:f>
        <x:v>160</x:v>
      </x:c>
      <x:c r="F3941">
        <x:f>ROUND($C3941*10*VLOOKUP($B3941,Sheet2!$J$5:$K$7,2,FALSE)*VLOOKUP(Sheet1!$A3941,Sheet2!$B$5:$H$29,5,FALSE),0)</x:f>
        <x:v>0</x:v>
      </x:c>
      <x:c r="G3941">
        <x:f>ROUND($C3941*10*VLOOKUP($B3941,Sheet2!$J$5:$K$7,2,FALSE)*VLOOKUP(Sheet1!$A3941,Sheet2!$B$5:$H$29,6,FALSE),0)</x:f>
        <x:v>0</x:v>
      </x:c>
      <x:c r="H3941">
        <x:f>ROUND($C3941*10*VLOOKUP($B3941,Sheet2!$J$5:$K$7,2,FALSE)*VLOOKUP(Sheet1!$A3941,Sheet2!$B$5:$H$29,7,FALSE),0)</x:f>
        <x:v>2400</x:v>
      </x:c>
      <x:c r="I3941">
        <x:f t="shared" si="65"/>
        <x:v>92200</x:v>
      </x:c>
    </x:row>
    <x:row r="3942" spans="1:9" x14ac:dyDescent="0.15">
      <x:c r="A3942">
        <x:v>54202</x:v>
      </x:c>
      <x:c r="B3942">
        <x:v>3</x:v>
      </x:c>
      <x:c r="C3942">
        <x:v>41</x:v>
      </x:c>
      <x:c r="D3942">
        <x:f>ROUND($C3942*10*VLOOKUP($B3942,Sheet2!$J$5:$K$7,2,FALSE)*VLOOKUP(Sheet1!$A3942,Sheet2!$B$5:$H$29,3,FALSE),0)</x:f>
        <x:v>0</x:v>
      </x:c>
      <x:c r="E3942">
        <x:f>ROUND($C3942*10*VLOOKUP($B3942,Sheet2!$J$5:$K$7,2,FALSE)*VLOOKUP(Sheet1!$A3942,Sheet2!$B$5:$H$29,4,FALSE),0)</x:f>
        <x:v>164</x:v>
      </x:c>
      <x:c r="F3942">
        <x:f>ROUND($C3942*10*VLOOKUP($B3942,Sheet2!$J$5:$K$7,2,FALSE)*VLOOKUP(Sheet1!$A3942,Sheet2!$B$5:$H$29,5,FALSE),0)</x:f>
        <x:v>0</x:v>
      </x:c>
      <x:c r="G3942">
        <x:f>ROUND($C3942*10*VLOOKUP($B3942,Sheet2!$J$5:$K$7,2,FALSE)*VLOOKUP(Sheet1!$A3942,Sheet2!$B$5:$H$29,6,FALSE),0)</x:f>
        <x:v>0</x:v>
      </x:c>
      <x:c r="H3942">
        <x:f>ROUND($C3942*10*VLOOKUP($B3942,Sheet2!$J$5:$K$7,2,FALSE)*VLOOKUP(Sheet1!$A3942,Sheet2!$B$5:$H$29,7,FALSE),0)</x:f>
        <x:v>2460</x:v>
      </x:c>
      <x:c r="I3942">
        <x:f t="shared" si="65"/>
        <x:v>96490</x:v>
      </x:c>
    </x:row>
    <x:row r="3943" spans="1:9" x14ac:dyDescent="0.15">
      <x:c r="A3943">
        <x:v>54202</x:v>
      </x:c>
      <x:c r="B3943">
        <x:v>3</x:v>
      </x:c>
      <x:c r="C3943">
        <x:v>42</x:v>
      </x:c>
      <x:c r="D3943">
        <x:f>ROUND($C3943*10*VLOOKUP($B3943,Sheet2!$J$5:$K$7,2,FALSE)*VLOOKUP(Sheet1!$A3943,Sheet2!$B$5:$H$29,3,FALSE),0)</x:f>
        <x:v>0</x:v>
      </x:c>
      <x:c r="E3943">
        <x:f>ROUND($C3943*10*VLOOKUP($B3943,Sheet2!$J$5:$K$7,2,FALSE)*VLOOKUP(Sheet1!$A3943,Sheet2!$B$5:$H$29,4,FALSE),0)</x:f>
        <x:v>168</x:v>
      </x:c>
      <x:c r="F3943">
        <x:f>ROUND($C3943*10*VLOOKUP($B3943,Sheet2!$J$5:$K$7,2,FALSE)*VLOOKUP(Sheet1!$A3943,Sheet2!$B$5:$H$29,5,FALSE),0)</x:f>
        <x:v>0</x:v>
      </x:c>
      <x:c r="G3943">
        <x:f>ROUND($C3943*10*VLOOKUP($B3943,Sheet2!$J$5:$K$7,2,FALSE)*VLOOKUP(Sheet1!$A3943,Sheet2!$B$5:$H$29,6,FALSE),0)</x:f>
        <x:v>0</x:v>
      </x:c>
      <x:c r="H3943">
        <x:f>ROUND($C3943*10*VLOOKUP($B3943,Sheet2!$J$5:$K$7,2,FALSE)*VLOOKUP(Sheet1!$A3943,Sheet2!$B$5:$H$29,7,FALSE),0)</x:f>
        <x:v>2520</x:v>
      </x:c>
      <x:c r="I3943">
        <x:f t="shared" si="65"/>
        <x:v>100870</x:v>
      </x:c>
    </x:row>
    <x:row r="3944" spans="1:9" x14ac:dyDescent="0.15">
      <x:c r="A3944">
        <x:v>54202</x:v>
      </x:c>
      <x:c r="B3944">
        <x:v>3</x:v>
      </x:c>
      <x:c r="C3944">
        <x:v>43</x:v>
      </x:c>
      <x:c r="D3944">
        <x:f>ROUND($C3944*10*VLOOKUP($B3944,Sheet2!$J$5:$K$7,2,FALSE)*VLOOKUP(Sheet1!$A3944,Sheet2!$B$5:$H$29,3,FALSE),0)</x:f>
        <x:v>0</x:v>
      </x:c>
      <x:c r="E3944">
        <x:f>ROUND($C3944*10*VLOOKUP($B3944,Sheet2!$J$5:$K$7,2,FALSE)*VLOOKUP(Sheet1!$A3944,Sheet2!$B$5:$H$29,4,FALSE),0)</x:f>
        <x:v>172</x:v>
      </x:c>
      <x:c r="F3944">
        <x:f>ROUND($C3944*10*VLOOKUP($B3944,Sheet2!$J$5:$K$7,2,FALSE)*VLOOKUP(Sheet1!$A3944,Sheet2!$B$5:$H$29,5,FALSE),0)</x:f>
        <x:v>0</x:v>
      </x:c>
      <x:c r="G3944">
        <x:f>ROUND($C3944*10*VLOOKUP($B3944,Sheet2!$J$5:$K$7,2,FALSE)*VLOOKUP(Sheet1!$A3944,Sheet2!$B$5:$H$29,6,FALSE),0)</x:f>
        <x:v>0</x:v>
      </x:c>
      <x:c r="H3944">
        <x:f>ROUND($C3944*10*VLOOKUP($B3944,Sheet2!$J$5:$K$7,2,FALSE)*VLOOKUP(Sheet1!$A3944,Sheet2!$B$5:$H$29,7,FALSE),0)</x:f>
        <x:v>2580</x:v>
      </x:c>
      <x:c r="I3944">
        <x:f t="shared" si="65"/>
        <x:v>105340</x:v>
      </x:c>
    </x:row>
    <x:row r="3945" spans="1:9" x14ac:dyDescent="0.15">
      <x:c r="A3945">
        <x:v>54202</x:v>
      </x:c>
      <x:c r="B3945">
        <x:v>3</x:v>
      </x:c>
      <x:c r="C3945">
        <x:v>44</x:v>
      </x:c>
      <x:c r="D3945">
        <x:f>ROUND($C3945*10*VLOOKUP($B3945,Sheet2!$J$5:$K$7,2,FALSE)*VLOOKUP(Sheet1!$A3945,Sheet2!$B$5:$H$29,3,FALSE),0)</x:f>
        <x:v>0</x:v>
      </x:c>
      <x:c r="E3945">
        <x:f>ROUND($C3945*10*VLOOKUP($B3945,Sheet2!$J$5:$K$7,2,FALSE)*VLOOKUP(Sheet1!$A3945,Sheet2!$B$5:$H$29,4,FALSE),0)</x:f>
        <x:v>176</x:v>
      </x:c>
      <x:c r="F3945">
        <x:f>ROUND($C3945*10*VLOOKUP($B3945,Sheet2!$J$5:$K$7,2,FALSE)*VLOOKUP(Sheet1!$A3945,Sheet2!$B$5:$H$29,5,FALSE),0)</x:f>
        <x:v>0</x:v>
      </x:c>
      <x:c r="G3945">
        <x:f>ROUND($C3945*10*VLOOKUP($B3945,Sheet2!$J$5:$K$7,2,FALSE)*VLOOKUP(Sheet1!$A3945,Sheet2!$B$5:$H$29,6,FALSE),0)</x:f>
        <x:v>0</x:v>
      </x:c>
      <x:c r="H3945">
        <x:f>ROUND($C3945*10*VLOOKUP($B3945,Sheet2!$J$5:$K$7,2,FALSE)*VLOOKUP(Sheet1!$A3945,Sheet2!$B$5:$H$29,7,FALSE),0)</x:f>
        <x:v>2640</x:v>
      </x:c>
      <x:c r="I3945">
        <x:f t="shared" si="65"/>
        <x:v>109890</x:v>
      </x:c>
    </x:row>
    <x:row r="3946" spans="1:9" x14ac:dyDescent="0.15">
      <x:c r="A3946">
        <x:v>54202</x:v>
      </x:c>
      <x:c r="B3946">
        <x:v>3</x:v>
      </x:c>
      <x:c r="C3946">
        <x:v>45</x:v>
      </x:c>
      <x:c r="D3946">
        <x:f>ROUND($C3946*10*VLOOKUP($B3946,Sheet2!$J$5:$K$7,2,FALSE)*VLOOKUP(Sheet1!$A3946,Sheet2!$B$5:$H$29,3,FALSE),0)</x:f>
        <x:v>0</x:v>
      </x:c>
      <x:c r="E3946">
        <x:f>ROUND($C3946*10*VLOOKUP($B3946,Sheet2!$J$5:$K$7,2,FALSE)*VLOOKUP(Sheet1!$A3946,Sheet2!$B$5:$H$29,4,FALSE),0)</x:f>
        <x:v>180</x:v>
      </x:c>
      <x:c r="F3946">
        <x:f>ROUND($C3946*10*VLOOKUP($B3946,Sheet2!$J$5:$K$7,2,FALSE)*VLOOKUP(Sheet1!$A3946,Sheet2!$B$5:$H$29,5,FALSE),0)</x:f>
        <x:v>0</x:v>
      </x:c>
      <x:c r="G3946">
        <x:f>ROUND($C3946*10*VLOOKUP($B3946,Sheet2!$J$5:$K$7,2,FALSE)*VLOOKUP(Sheet1!$A3946,Sheet2!$B$5:$H$29,6,FALSE),0)</x:f>
        <x:v>0</x:v>
      </x:c>
      <x:c r="H3946">
        <x:f>ROUND($C3946*10*VLOOKUP($B3946,Sheet2!$J$5:$K$7,2,FALSE)*VLOOKUP(Sheet1!$A3946,Sheet2!$B$5:$H$29,7,FALSE),0)</x:f>
        <x:v>2700</x:v>
      </x:c>
      <x:c r="I3946">
        <x:f t="shared" si="65"/>
        <x:v>114530</x:v>
      </x:c>
    </x:row>
    <x:row r="3947" spans="1:9" x14ac:dyDescent="0.15">
      <x:c r="A3947">
        <x:v>54202</x:v>
      </x:c>
      <x:c r="B3947">
        <x:v>3</x:v>
      </x:c>
      <x:c r="C3947">
        <x:v>46</x:v>
      </x:c>
      <x:c r="D3947">
        <x:f>ROUND($C3947*10*VLOOKUP($B3947,Sheet2!$J$5:$K$7,2,FALSE)*VLOOKUP(Sheet1!$A3947,Sheet2!$B$5:$H$29,3,FALSE),0)</x:f>
        <x:v>0</x:v>
      </x:c>
      <x:c r="E3947">
        <x:f>ROUND($C3947*10*VLOOKUP($B3947,Sheet2!$J$5:$K$7,2,FALSE)*VLOOKUP(Sheet1!$A3947,Sheet2!$B$5:$H$29,4,FALSE),0)</x:f>
        <x:v>184</x:v>
      </x:c>
      <x:c r="F3947">
        <x:f>ROUND($C3947*10*VLOOKUP($B3947,Sheet2!$J$5:$K$7,2,FALSE)*VLOOKUP(Sheet1!$A3947,Sheet2!$B$5:$H$29,5,FALSE),0)</x:f>
        <x:v>0</x:v>
      </x:c>
      <x:c r="G3947">
        <x:f>ROUND($C3947*10*VLOOKUP($B3947,Sheet2!$J$5:$K$7,2,FALSE)*VLOOKUP(Sheet1!$A3947,Sheet2!$B$5:$H$29,6,FALSE),0)</x:f>
        <x:v>0</x:v>
      </x:c>
      <x:c r="H3947">
        <x:f>ROUND($C3947*10*VLOOKUP($B3947,Sheet2!$J$5:$K$7,2,FALSE)*VLOOKUP(Sheet1!$A3947,Sheet2!$B$5:$H$29,7,FALSE),0)</x:f>
        <x:v>2760</x:v>
      </x:c>
      <x:c r="I3947">
        <x:f t="shared" si="65"/>
        <x:v>119260</x:v>
      </x:c>
    </x:row>
    <x:row r="3948" spans="1:9" x14ac:dyDescent="0.15">
      <x:c r="A3948">
        <x:v>54202</x:v>
      </x:c>
      <x:c r="B3948">
        <x:v>3</x:v>
      </x:c>
      <x:c r="C3948">
        <x:v>47</x:v>
      </x:c>
      <x:c r="D3948">
        <x:f>ROUND($C3948*10*VLOOKUP($B3948,Sheet2!$J$5:$K$7,2,FALSE)*VLOOKUP(Sheet1!$A3948,Sheet2!$B$5:$H$29,3,FALSE),0)</x:f>
        <x:v>0</x:v>
      </x:c>
      <x:c r="E3948">
        <x:f>ROUND($C3948*10*VLOOKUP($B3948,Sheet2!$J$5:$K$7,2,FALSE)*VLOOKUP(Sheet1!$A3948,Sheet2!$B$5:$H$29,4,FALSE),0)</x:f>
        <x:v>188</x:v>
      </x:c>
      <x:c r="F3948">
        <x:f>ROUND($C3948*10*VLOOKUP($B3948,Sheet2!$J$5:$K$7,2,FALSE)*VLOOKUP(Sheet1!$A3948,Sheet2!$B$5:$H$29,5,FALSE),0)</x:f>
        <x:v>0</x:v>
      </x:c>
      <x:c r="G3948">
        <x:f>ROUND($C3948*10*VLOOKUP($B3948,Sheet2!$J$5:$K$7,2,FALSE)*VLOOKUP(Sheet1!$A3948,Sheet2!$B$5:$H$29,6,FALSE),0)</x:f>
        <x:v>0</x:v>
      </x:c>
      <x:c r="H3948">
        <x:f>ROUND($C3948*10*VLOOKUP($B3948,Sheet2!$J$5:$K$7,2,FALSE)*VLOOKUP(Sheet1!$A3948,Sheet2!$B$5:$H$29,7,FALSE),0)</x:f>
        <x:v>2820</x:v>
      </x:c>
      <x:c r="I3948">
        <x:f t="shared" si="65"/>
        <x:v>124070</x:v>
      </x:c>
    </x:row>
    <x:row r="3949" spans="1:9" x14ac:dyDescent="0.15">
      <x:c r="A3949">
        <x:v>54202</x:v>
      </x:c>
      <x:c r="B3949">
        <x:v>3</x:v>
      </x:c>
      <x:c r="C3949">
        <x:v>48</x:v>
      </x:c>
      <x:c r="D3949">
        <x:f>ROUND($C3949*10*VLOOKUP($B3949,Sheet2!$J$5:$K$7,2,FALSE)*VLOOKUP(Sheet1!$A3949,Sheet2!$B$5:$H$29,3,FALSE),0)</x:f>
        <x:v>0</x:v>
      </x:c>
      <x:c r="E3949">
        <x:f>ROUND($C3949*10*VLOOKUP($B3949,Sheet2!$J$5:$K$7,2,FALSE)*VLOOKUP(Sheet1!$A3949,Sheet2!$B$5:$H$29,4,FALSE),0)</x:f>
        <x:v>192</x:v>
      </x:c>
      <x:c r="F3949">
        <x:f>ROUND($C3949*10*VLOOKUP($B3949,Sheet2!$J$5:$K$7,2,FALSE)*VLOOKUP(Sheet1!$A3949,Sheet2!$B$5:$H$29,5,FALSE),0)</x:f>
        <x:v>0</x:v>
      </x:c>
      <x:c r="G3949">
        <x:f>ROUND($C3949*10*VLOOKUP($B3949,Sheet2!$J$5:$K$7,2,FALSE)*VLOOKUP(Sheet1!$A3949,Sheet2!$B$5:$H$29,6,FALSE),0)</x:f>
        <x:v>0</x:v>
      </x:c>
      <x:c r="H3949">
        <x:f>ROUND($C3949*10*VLOOKUP($B3949,Sheet2!$J$5:$K$7,2,FALSE)*VLOOKUP(Sheet1!$A3949,Sheet2!$B$5:$H$29,7,FALSE),0)</x:f>
        <x:v>2880</x:v>
      </x:c>
      <x:c r="I3949">
        <x:f t="shared" si="65"/>
        <x:v>128960</x:v>
      </x:c>
    </x:row>
    <x:row r="3950" spans="1:9" x14ac:dyDescent="0.15">
      <x:c r="A3950">
        <x:v>54202</x:v>
      </x:c>
      <x:c r="B3950">
        <x:v>3</x:v>
      </x:c>
      <x:c r="C3950">
        <x:v>49</x:v>
      </x:c>
      <x:c r="D3950">
        <x:f>ROUND($C3950*10*VLOOKUP($B3950,Sheet2!$J$5:$K$7,2,FALSE)*VLOOKUP(Sheet1!$A3950,Sheet2!$B$5:$H$29,3,FALSE),0)</x:f>
        <x:v>0</x:v>
      </x:c>
      <x:c r="E3950">
        <x:f>ROUND($C3950*10*VLOOKUP($B3950,Sheet2!$J$5:$K$7,2,FALSE)*VLOOKUP(Sheet1!$A3950,Sheet2!$B$5:$H$29,4,FALSE),0)</x:f>
        <x:v>196</x:v>
      </x:c>
      <x:c r="F3950">
        <x:f>ROUND($C3950*10*VLOOKUP($B3950,Sheet2!$J$5:$K$7,2,FALSE)*VLOOKUP(Sheet1!$A3950,Sheet2!$B$5:$H$29,5,FALSE),0)</x:f>
        <x:v>0</x:v>
      </x:c>
      <x:c r="G3950">
        <x:f>ROUND($C3950*10*VLOOKUP($B3950,Sheet2!$J$5:$K$7,2,FALSE)*VLOOKUP(Sheet1!$A3950,Sheet2!$B$5:$H$29,6,FALSE),0)</x:f>
        <x:v>0</x:v>
      </x:c>
      <x:c r="H3950">
        <x:f>ROUND($C3950*10*VLOOKUP($B3950,Sheet2!$J$5:$K$7,2,FALSE)*VLOOKUP(Sheet1!$A3950,Sheet2!$B$5:$H$29,7,FALSE),0)</x:f>
        <x:v>2940</x:v>
      </x:c>
      <x:c r="I3950">
        <x:f t="shared" si="65"/>
        <x:v>133940</x:v>
      </x:c>
    </x:row>
    <x:row r="3951" spans="1:9" x14ac:dyDescent="0.15">
      <x:c r="A3951">
        <x:v>54202</x:v>
      </x:c>
      <x:c r="B3951">
        <x:v>3</x:v>
      </x:c>
      <x:c r="C3951">
        <x:v>50</x:v>
      </x:c>
      <x:c r="D3951">
        <x:f>ROUND($C3951*10*VLOOKUP($B3951,Sheet2!$J$5:$K$7,2,FALSE)*VLOOKUP(Sheet1!$A3951,Sheet2!$B$5:$H$29,3,FALSE),0)</x:f>
        <x:v>0</x:v>
      </x:c>
      <x:c r="E3951">
        <x:f>ROUND($C3951*10*VLOOKUP($B3951,Sheet2!$J$5:$K$7,2,FALSE)*VLOOKUP(Sheet1!$A3951,Sheet2!$B$5:$H$29,4,FALSE),0)</x:f>
        <x:v>200</x:v>
      </x:c>
      <x:c r="F3951">
        <x:f>ROUND($C3951*10*VLOOKUP($B3951,Sheet2!$J$5:$K$7,2,FALSE)*VLOOKUP(Sheet1!$A3951,Sheet2!$B$5:$H$29,5,FALSE),0)</x:f>
        <x:v>0</x:v>
      </x:c>
      <x:c r="G3951">
        <x:f>ROUND($C3951*10*VLOOKUP($B3951,Sheet2!$J$5:$K$7,2,FALSE)*VLOOKUP(Sheet1!$A3951,Sheet2!$B$5:$H$29,6,FALSE),0)</x:f>
        <x:v>0</x:v>
      </x:c>
      <x:c r="H3951">
        <x:f>ROUND($C3951*10*VLOOKUP($B3951,Sheet2!$J$5:$K$7,2,FALSE)*VLOOKUP(Sheet1!$A3951,Sheet2!$B$5:$H$29,7,FALSE),0)</x:f>
        <x:v>3000</x:v>
      </x:c>
      <x:c r="I3951">
        <x:f t="shared" si="65"/>
        <x:v>139000</x:v>
      </x:c>
    </x:row>
    <x:row r="3952" spans="1:9" x14ac:dyDescent="0.15">
      <x:c r="A3952">
        <x:v>54202</x:v>
      </x:c>
      <x:c r="B3952">
        <x:v>3</x:v>
      </x:c>
      <x:c r="C3952">
        <x:v>51</x:v>
      </x:c>
      <x:c r="D3952">
        <x:f>ROUND($C3952*10*VLOOKUP($B3952,Sheet2!$J$5:$K$7,2,FALSE)*VLOOKUP(Sheet1!$A3952,Sheet2!$B$5:$H$29,3,FALSE),0)</x:f>
        <x:v>0</x:v>
      </x:c>
      <x:c r="E3952">
        <x:f>ROUND($C3952*10*VLOOKUP($B3952,Sheet2!$J$5:$K$7,2,FALSE)*VLOOKUP(Sheet1!$A3952,Sheet2!$B$5:$H$29,4,FALSE),0)</x:f>
        <x:v>204</x:v>
      </x:c>
      <x:c r="F3952">
        <x:f>ROUND($C3952*10*VLOOKUP($B3952,Sheet2!$J$5:$K$7,2,FALSE)*VLOOKUP(Sheet1!$A3952,Sheet2!$B$5:$H$29,5,FALSE),0)</x:f>
        <x:v>0</x:v>
      </x:c>
      <x:c r="G3952">
        <x:f>ROUND($C3952*10*VLOOKUP($B3952,Sheet2!$J$5:$K$7,2,FALSE)*VLOOKUP(Sheet1!$A3952,Sheet2!$B$5:$H$29,6,FALSE),0)</x:f>
        <x:v>0</x:v>
      </x:c>
      <x:c r="H3952">
        <x:f>ROUND($C3952*10*VLOOKUP($B3952,Sheet2!$J$5:$K$7,2,FALSE)*VLOOKUP(Sheet1!$A3952,Sheet2!$B$5:$H$29,7,FALSE),0)</x:f>
        <x:v>3060</x:v>
      </x:c>
      <x:c r="I3952">
        <x:f t="shared" si="65"/>
        <x:v>144140</x:v>
      </x:c>
    </x:row>
    <x:row r="3953" spans="1:9" x14ac:dyDescent="0.15">
      <x:c r="A3953">
        <x:v>54202</x:v>
      </x:c>
      <x:c r="B3953">
        <x:v>3</x:v>
      </x:c>
      <x:c r="C3953">
        <x:v>52</x:v>
      </x:c>
      <x:c r="D3953">
        <x:f>ROUND($C3953*10*VLOOKUP($B3953,Sheet2!$J$5:$K$7,2,FALSE)*VLOOKUP(Sheet1!$A3953,Sheet2!$B$5:$H$29,3,FALSE),0)</x:f>
        <x:v>0</x:v>
      </x:c>
      <x:c r="E3953">
        <x:f>ROUND($C3953*10*VLOOKUP($B3953,Sheet2!$J$5:$K$7,2,FALSE)*VLOOKUP(Sheet1!$A3953,Sheet2!$B$5:$H$29,4,FALSE),0)</x:f>
        <x:v>208</x:v>
      </x:c>
      <x:c r="F3953">
        <x:f>ROUND($C3953*10*VLOOKUP($B3953,Sheet2!$J$5:$K$7,2,FALSE)*VLOOKUP(Sheet1!$A3953,Sheet2!$B$5:$H$29,5,FALSE),0)</x:f>
        <x:v>0</x:v>
      </x:c>
      <x:c r="G3953">
        <x:f>ROUND($C3953*10*VLOOKUP($B3953,Sheet2!$J$5:$K$7,2,FALSE)*VLOOKUP(Sheet1!$A3953,Sheet2!$B$5:$H$29,6,FALSE),0)</x:f>
        <x:v>0</x:v>
      </x:c>
      <x:c r="H3953">
        <x:f>ROUND($C3953*10*VLOOKUP($B3953,Sheet2!$J$5:$K$7,2,FALSE)*VLOOKUP(Sheet1!$A3953,Sheet2!$B$5:$H$29,7,FALSE),0)</x:f>
        <x:v>3120</x:v>
      </x:c>
      <x:c r="I3953">
        <x:f t="shared" si="65"/>
        <x:v>149370</x:v>
      </x:c>
    </x:row>
    <x:row r="3954" spans="1:9" x14ac:dyDescent="0.15">
      <x:c r="A3954">
        <x:v>54202</x:v>
      </x:c>
      <x:c r="B3954">
        <x:v>3</x:v>
      </x:c>
      <x:c r="C3954">
        <x:v>53</x:v>
      </x:c>
      <x:c r="D3954">
        <x:f>ROUND($C3954*10*VLOOKUP($B3954,Sheet2!$J$5:$K$7,2,FALSE)*VLOOKUP(Sheet1!$A3954,Sheet2!$B$5:$H$29,3,FALSE),0)</x:f>
        <x:v>0</x:v>
      </x:c>
      <x:c r="E3954">
        <x:f>ROUND($C3954*10*VLOOKUP($B3954,Sheet2!$J$5:$K$7,2,FALSE)*VLOOKUP(Sheet1!$A3954,Sheet2!$B$5:$H$29,4,FALSE),0)</x:f>
        <x:v>212</x:v>
      </x:c>
      <x:c r="F3954">
        <x:f>ROUND($C3954*10*VLOOKUP($B3954,Sheet2!$J$5:$K$7,2,FALSE)*VLOOKUP(Sheet1!$A3954,Sheet2!$B$5:$H$29,5,FALSE),0)</x:f>
        <x:v>0</x:v>
      </x:c>
      <x:c r="G3954">
        <x:f>ROUND($C3954*10*VLOOKUP($B3954,Sheet2!$J$5:$K$7,2,FALSE)*VLOOKUP(Sheet1!$A3954,Sheet2!$B$5:$H$29,6,FALSE),0)</x:f>
        <x:v>0</x:v>
      </x:c>
      <x:c r="H3954">
        <x:f>ROUND($C3954*10*VLOOKUP($B3954,Sheet2!$J$5:$K$7,2,FALSE)*VLOOKUP(Sheet1!$A3954,Sheet2!$B$5:$H$29,7,FALSE),0)</x:f>
        <x:v>3180</x:v>
      </x:c>
      <x:c r="I3954">
        <x:f t="shared" si="65"/>
        <x:v>154680</x:v>
      </x:c>
    </x:row>
    <x:row r="3955" spans="1:9" x14ac:dyDescent="0.15">
      <x:c r="A3955">
        <x:v>54202</x:v>
      </x:c>
      <x:c r="B3955">
        <x:v>3</x:v>
      </x:c>
      <x:c r="C3955">
        <x:v>54</x:v>
      </x:c>
      <x:c r="D3955">
        <x:f>ROUND($C3955*10*VLOOKUP($B3955,Sheet2!$J$5:$K$7,2,FALSE)*VLOOKUP(Sheet1!$A3955,Sheet2!$B$5:$H$29,3,FALSE),0)</x:f>
        <x:v>0</x:v>
      </x:c>
      <x:c r="E3955">
        <x:f>ROUND($C3955*10*VLOOKUP($B3955,Sheet2!$J$5:$K$7,2,FALSE)*VLOOKUP(Sheet1!$A3955,Sheet2!$B$5:$H$29,4,FALSE),0)</x:f>
        <x:v>216</x:v>
      </x:c>
      <x:c r="F3955">
        <x:f>ROUND($C3955*10*VLOOKUP($B3955,Sheet2!$J$5:$K$7,2,FALSE)*VLOOKUP(Sheet1!$A3955,Sheet2!$B$5:$H$29,5,FALSE),0)</x:f>
        <x:v>0</x:v>
      </x:c>
      <x:c r="G3955">
        <x:f>ROUND($C3955*10*VLOOKUP($B3955,Sheet2!$J$5:$K$7,2,FALSE)*VLOOKUP(Sheet1!$A3955,Sheet2!$B$5:$H$29,6,FALSE),0)</x:f>
        <x:v>0</x:v>
      </x:c>
      <x:c r="H3955">
        <x:f>ROUND($C3955*10*VLOOKUP($B3955,Sheet2!$J$5:$K$7,2,FALSE)*VLOOKUP(Sheet1!$A3955,Sheet2!$B$5:$H$29,7,FALSE),0)</x:f>
        <x:v>3240</x:v>
      </x:c>
      <x:c r="I3955">
        <x:f t="shared" si="65"/>
        <x:v>160070</x:v>
      </x:c>
    </x:row>
    <x:row r="3956" spans="1:9" x14ac:dyDescent="0.15">
      <x:c r="A3956">
        <x:v>54202</x:v>
      </x:c>
      <x:c r="B3956">
        <x:v>3</x:v>
      </x:c>
      <x:c r="C3956">
        <x:v>55</x:v>
      </x:c>
      <x:c r="D3956">
        <x:f>ROUND($C3956*10*VLOOKUP($B3956,Sheet2!$J$5:$K$7,2,FALSE)*VLOOKUP(Sheet1!$A3956,Sheet2!$B$5:$H$29,3,FALSE),0)</x:f>
        <x:v>0</x:v>
      </x:c>
      <x:c r="E3956">
        <x:f>ROUND($C3956*10*VLOOKUP($B3956,Sheet2!$J$5:$K$7,2,FALSE)*VLOOKUP(Sheet1!$A3956,Sheet2!$B$5:$H$29,4,FALSE),0)</x:f>
        <x:v>220</x:v>
      </x:c>
      <x:c r="F3956">
        <x:f>ROUND($C3956*10*VLOOKUP($B3956,Sheet2!$J$5:$K$7,2,FALSE)*VLOOKUP(Sheet1!$A3956,Sheet2!$B$5:$H$29,5,FALSE),0)</x:f>
        <x:v>0</x:v>
      </x:c>
      <x:c r="G3956">
        <x:f>ROUND($C3956*10*VLOOKUP($B3956,Sheet2!$J$5:$K$7,2,FALSE)*VLOOKUP(Sheet1!$A3956,Sheet2!$B$5:$H$29,6,FALSE),0)</x:f>
        <x:v>0</x:v>
      </x:c>
      <x:c r="H3956">
        <x:f>ROUND($C3956*10*VLOOKUP($B3956,Sheet2!$J$5:$K$7,2,FALSE)*VLOOKUP(Sheet1!$A3956,Sheet2!$B$5:$H$29,7,FALSE),0)</x:f>
        <x:v>3300</x:v>
      </x:c>
      <x:c r="I3956">
        <x:f t="shared" si="65"/>
        <x:v>165540</x:v>
      </x:c>
    </x:row>
    <x:row r="3957" spans="1:9" x14ac:dyDescent="0.15">
      <x:c r="A3957">
        <x:v>54202</x:v>
      </x:c>
      <x:c r="B3957">
        <x:v>3</x:v>
      </x:c>
      <x:c r="C3957">
        <x:v>56</x:v>
      </x:c>
      <x:c r="D3957">
        <x:f>ROUND($C3957*10*VLOOKUP($B3957,Sheet2!$J$5:$K$7,2,FALSE)*VLOOKUP(Sheet1!$A3957,Sheet2!$B$5:$H$29,3,FALSE),0)</x:f>
        <x:v>0</x:v>
      </x:c>
      <x:c r="E3957">
        <x:f>ROUND($C3957*10*VLOOKUP($B3957,Sheet2!$J$5:$K$7,2,FALSE)*VLOOKUP(Sheet1!$A3957,Sheet2!$B$5:$H$29,4,FALSE),0)</x:f>
        <x:v>224</x:v>
      </x:c>
      <x:c r="F3957">
        <x:f>ROUND($C3957*10*VLOOKUP($B3957,Sheet2!$J$5:$K$7,2,FALSE)*VLOOKUP(Sheet1!$A3957,Sheet2!$B$5:$H$29,5,FALSE),0)</x:f>
        <x:v>0</x:v>
      </x:c>
      <x:c r="G3957">
        <x:f>ROUND($C3957*10*VLOOKUP($B3957,Sheet2!$J$5:$K$7,2,FALSE)*VLOOKUP(Sheet1!$A3957,Sheet2!$B$5:$H$29,6,FALSE),0)</x:f>
        <x:v>0</x:v>
      </x:c>
      <x:c r="H3957">
        <x:f>ROUND($C3957*10*VLOOKUP($B3957,Sheet2!$J$5:$K$7,2,FALSE)*VLOOKUP(Sheet1!$A3957,Sheet2!$B$5:$H$29,7,FALSE),0)</x:f>
        <x:v>3360</x:v>
      </x:c>
      <x:c r="I3957">
        <x:f t="shared" si="65"/>
        <x:v>171100</x:v>
      </x:c>
    </x:row>
    <x:row r="3958" spans="1:9" x14ac:dyDescent="0.15">
      <x:c r="A3958">
        <x:v>54202</x:v>
      </x:c>
      <x:c r="B3958">
        <x:v>3</x:v>
      </x:c>
      <x:c r="C3958">
        <x:v>57</x:v>
      </x:c>
      <x:c r="D3958">
        <x:f>ROUND($C3958*10*VLOOKUP($B3958,Sheet2!$J$5:$K$7,2,FALSE)*VLOOKUP(Sheet1!$A3958,Sheet2!$B$5:$H$29,3,FALSE),0)</x:f>
        <x:v>0</x:v>
      </x:c>
      <x:c r="E3958">
        <x:f>ROUND($C3958*10*VLOOKUP($B3958,Sheet2!$J$5:$K$7,2,FALSE)*VLOOKUP(Sheet1!$A3958,Sheet2!$B$5:$H$29,4,FALSE),0)</x:f>
        <x:v>228</x:v>
      </x:c>
      <x:c r="F3958">
        <x:f>ROUND($C3958*10*VLOOKUP($B3958,Sheet2!$J$5:$K$7,2,FALSE)*VLOOKUP(Sheet1!$A3958,Sheet2!$B$5:$H$29,5,FALSE),0)</x:f>
        <x:v>0</x:v>
      </x:c>
      <x:c r="G3958">
        <x:f>ROUND($C3958*10*VLOOKUP($B3958,Sheet2!$J$5:$K$7,2,FALSE)*VLOOKUP(Sheet1!$A3958,Sheet2!$B$5:$H$29,6,FALSE),0)</x:f>
        <x:v>0</x:v>
      </x:c>
      <x:c r="H3958">
        <x:f>ROUND($C3958*10*VLOOKUP($B3958,Sheet2!$J$5:$K$7,2,FALSE)*VLOOKUP(Sheet1!$A3958,Sheet2!$B$5:$H$29,7,FALSE),0)</x:f>
        <x:v>3420</x:v>
      </x:c>
      <x:c r="I3958">
        <x:f t="shared" si="65"/>
        <x:v>176740</x:v>
      </x:c>
    </x:row>
    <x:row r="3959" spans="1:9" x14ac:dyDescent="0.15">
      <x:c r="A3959">
        <x:v>54202</x:v>
      </x:c>
      <x:c r="B3959">
        <x:v>3</x:v>
      </x:c>
      <x:c r="C3959">
        <x:v>58</x:v>
      </x:c>
      <x:c r="D3959">
        <x:f>ROUND($C3959*10*VLOOKUP($B3959,Sheet2!$J$5:$K$7,2,FALSE)*VLOOKUP(Sheet1!$A3959,Sheet2!$B$5:$H$29,3,FALSE),0)</x:f>
        <x:v>0</x:v>
      </x:c>
      <x:c r="E3959">
        <x:f>ROUND($C3959*10*VLOOKUP($B3959,Sheet2!$J$5:$K$7,2,FALSE)*VLOOKUP(Sheet1!$A3959,Sheet2!$B$5:$H$29,4,FALSE),0)</x:f>
        <x:v>232</x:v>
      </x:c>
      <x:c r="F3959">
        <x:f>ROUND($C3959*10*VLOOKUP($B3959,Sheet2!$J$5:$K$7,2,FALSE)*VLOOKUP(Sheet1!$A3959,Sheet2!$B$5:$H$29,5,FALSE),0)</x:f>
        <x:v>0</x:v>
      </x:c>
      <x:c r="G3959">
        <x:f>ROUND($C3959*10*VLOOKUP($B3959,Sheet2!$J$5:$K$7,2,FALSE)*VLOOKUP(Sheet1!$A3959,Sheet2!$B$5:$H$29,6,FALSE),0)</x:f>
        <x:v>0</x:v>
      </x:c>
      <x:c r="H3959">
        <x:f>ROUND($C3959*10*VLOOKUP($B3959,Sheet2!$J$5:$K$7,2,FALSE)*VLOOKUP(Sheet1!$A3959,Sheet2!$B$5:$H$29,7,FALSE),0)</x:f>
        <x:v>3480</x:v>
      </x:c>
      <x:c r="I3959">
        <x:f t="shared" si="65"/>
        <x:v>182460</x:v>
      </x:c>
    </x:row>
    <x:row r="3960" spans="1:9" x14ac:dyDescent="0.15">
      <x:c r="A3960">
        <x:v>54202</x:v>
      </x:c>
      <x:c r="B3960">
        <x:v>3</x:v>
      </x:c>
      <x:c r="C3960">
        <x:v>59</x:v>
      </x:c>
      <x:c r="D3960">
        <x:f>ROUND($C3960*10*VLOOKUP($B3960,Sheet2!$J$5:$K$7,2,FALSE)*VLOOKUP(Sheet1!$A3960,Sheet2!$B$5:$H$29,3,FALSE),0)</x:f>
        <x:v>0</x:v>
      </x:c>
      <x:c r="E3960">
        <x:f>ROUND($C3960*10*VLOOKUP($B3960,Sheet2!$J$5:$K$7,2,FALSE)*VLOOKUP(Sheet1!$A3960,Sheet2!$B$5:$H$29,4,FALSE),0)</x:f>
        <x:v>236</x:v>
      </x:c>
      <x:c r="F3960">
        <x:f>ROUND($C3960*10*VLOOKUP($B3960,Sheet2!$J$5:$K$7,2,FALSE)*VLOOKUP(Sheet1!$A3960,Sheet2!$B$5:$H$29,5,FALSE),0)</x:f>
        <x:v>0</x:v>
      </x:c>
      <x:c r="G3960">
        <x:f>ROUND($C3960*10*VLOOKUP($B3960,Sheet2!$J$5:$K$7,2,FALSE)*VLOOKUP(Sheet1!$A3960,Sheet2!$B$5:$H$29,6,FALSE),0)</x:f>
        <x:v>0</x:v>
      </x:c>
      <x:c r="H3960">
        <x:f>ROUND($C3960*10*VLOOKUP($B3960,Sheet2!$J$5:$K$7,2,FALSE)*VLOOKUP(Sheet1!$A3960,Sheet2!$B$5:$H$29,7,FALSE),0)</x:f>
        <x:v>3540</x:v>
      </x:c>
      <x:c r="I3960">
        <x:f t="shared" si="65"/>
        <x:v>188260</x:v>
      </x:c>
    </x:row>
    <x:row r="3961" spans="1:9" x14ac:dyDescent="0.15">
      <x:c r="A3961">
        <x:v>54202</x:v>
      </x:c>
      <x:c r="B3961">
        <x:v>3</x:v>
      </x:c>
      <x:c r="C3961">
        <x:v>60</x:v>
      </x:c>
      <x:c r="D3961">
        <x:f>ROUND($C3961*10*VLOOKUP($B3961,Sheet2!$J$5:$K$7,2,FALSE)*VLOOKUP(Sheet1!$A3961,Sheet2!$B$5:$H$29,3,FALSE),0)</x:f>
        <x:v>0</x:v>
      </x:c>
      <x:c r="E3961">
        <x:f>ROUND($C3961*10*VLOOKUP($B3961,Sheet2!$J$5:$K$7,2,FALSE)*VLOOKUP(Sheet1!$A3961,Sheet2!$B$5:$H$29,4,FALSE),0)</x:f>
        <x:v>240</x:v>
      </x:c>
      <x:c r="F3961">
        <x:f>ROUND($C3961*10*VLOOKUP($B3961,Sheet2!$J$5:$K$7,2,FALSE)*VLOOKUP(Sheet1!$A3961,Sheet2!$B$5:$H$29,5,FALSE),0)</x:f>
        <x:v>0</x:v>
      </x:c>
      <x:c r="G3961">
        <x:f>ROUND($C3961*10*VLOOKUP($B3961,Sheet2!$J$5:$K$7,2,FALSE)*VLOOKUP(Sheet1!$A3961,Sheet2!$B$5:$H$29,6,FALSE),0)</x:f>
        <x:v>0</x:v>
      </x:c>
      <x:c r="H3961">
        <x:f>ROUND($C3961*10*VLOOKUP($B3961,Sheet2!$J$5:$K$7,2,FALSE)*VLOOKUP(Sheet1!$A3961,Sheet2!$B$5:$H$29,7,FALSE),0)</x:f>
        <x:v>3600</x:v>
      </x:c>
      <x:c r="I3961">
        <x:f t="shared" si="65"/>
        <x:v>194140</x:v>
      </x:c>
    </x:row>
    <x:row r="3962" spans="1:9" x14ac:dyDescent="0.15">
      <x:c r="A3962">
        <x:v>54203</x:v>
      </x:c>
      <x:c r="B3962">
        <x:v>1</x:v>
      </x:c>
      <x:c r="C3962">
        <x:v>1</x:v>
      </x:c>
      <x:c r="D3962">
        <x:f>ROUND($C3962*10*VLOOKUP($B3962,Sheet2!$J$5:$K$7,2,FALSE)*VLOOKUP(Sheet1!$A3962,Sheet2!$B$5:$H$29,3,FALSE),0)</x:f>
        <x:v>0</x:v>
      </x:c>
      <x:c r="E3962">
        <x:f>ROUND($C3962*10*VLOOKUP($B3962,Sheet2!$J$5:$K$7,2,FALSE)*VLOOKUP(Sheet1!$A3962,Sheet2!$B$5:$H$29,4,FALSE),0)</x:f>
        <x:v>0</x:v>
      </x:c>
      <x:c r="F3962">
        <x:f>ROUND($C3962*10*VLOOKUP($B3962,Sheet2!$J$5:$K$7,2,FALSE)*VLOOKUP(Sheet1!$A3962,Sheet2!$B$5:$H$29,5,FALSE),0)</x:f>
        <x:v>2</x:v>
      </x:c>
      <x:c r="G3962">
        <x:f>ROUND($C3962*10*VLOOKUP($B3962,Sheet2!$J$5:$K$7,2,FALSE)*VLOOKUP(Sheet1!$A3962,Sheet2!$B$5:$H$29,6,FALSE),0)</x:f>
        <x:v>0</x:v>
      </x:c>
      <x:c r="H3962">
        <x:f>ROUND($C3962*10*VLOOKUP($B3962,Sheet2!$J$5:$K$7,2,FALSE)*VLOOKUP(Sheet1!$A3962,Sheet2!$B$5:$H$29,7,FALSE),0)</x:f>
        <x:v>30</x:v>
      </x:c>
      <x:c r="I3962">
        <x:f t="shared" ref="I3962:I4021" si="66">ROUND(1.2*10*1.8*(C3962-1)^1.8+30,-1)</x:f>
        <x:v>30</x:v>
      </x:c>
    </x:row>
    <x:row r="3963" spans="1:9" x14ac:dyDescent="0.15">
      <x:c r="A3963">
        <x:v>54203</x:v>
      </x:c>
      <x:c r="B3963">
        <x:v>1</x:v>
      </x:c>
      <x:c r="C3963">
        <x:v>2</x:v>
      </x:c>
      <x:c r="D3963">
        <x:f>ROUND($C3963*10*VLOOKUP($B3963,Sheet2!$J$5:$K$7,2,FALSE)*VLOOKUP(Sheet1!$A3963,Sheet2!$B$5:$H$29,3,FALSE),0)</x:f>
        <x:v>0</x:v>
      </x:c>
      <x:c r="E3963">
        <x:f>ROUND($C3963*10*VLOOKUP($B3963,Sheet2!$J$5:$K$7,2,FALSE)*VLOOKUP(Sheet1!$A3963,Sheet2!$B$5:$H$29,4,FALSE),0)</x:f>
        <x:v>0</x:v>
      </x:c>
      <x:c r="F3963">
        <x:f>ROUND($C3963*10*VLOOKUP($B3963,Sheet2!$J$5:$K$7,2,FALSE)*VLOOKUP(Sheet1!$A3963,Sheet2!$B$5:$H$29,5,FALSE),0)</x:f>
        <x:v>3</x:v>
      </x:c>
      <x:c r="G3963">
        <x:f>ROUND($C3963*10*VLOOKUP($B3963,Sheet2!$J$5:$K$7,2,FALSE)*VLOOKUP(Sheet1!$A3963,Sheet2!$B$5:$H$29,6,FALSE),0)</x:f>
        <x:v>0</x:v>
      </x:c>
      <x:c r="H3963">
        <x:f>ROUND($C3963*10*VLOOKUP($B3963,Sheet2!$J$5:$K$7,2,FALSE)*VLOOKUP(Sheet1!$A3963,Sheet2!$B$5:$H$29,7,FALSE),0)</x:f>
        <x:v>60</x:v>
      </x:c>
      <x:c r="I3963">
        <x:f t="shared" si="66"/>
        <x:v>50</x:v>
      </x:c>
    </x:row>
    <x:row r="3964" spans="1:9" x14ac:dyDescent="0.15">
      <x:c r="A3964">
        <x:v>54203</x:v>
      </x:c>
      <x:c r="B3964">
        <x:v>1</x:v>
      </x:c>
      <x:c r="C3964">
        <x:v>3</x:v>
      </x:c>
      <x:c r="D3964">
        <x:f>ROUND($C3964*10*VLOOKUP($B3964,Sheet2!$J$5:$K$7,2,FALSE)*VLOOKUP(Sheet1!$A3964,Sheet2!$B$5:$H$29,3,FALSE),0)</x:f>
        <x:v>0</x:v>
      </x:c>
      <x:c r="E3964">
        <x:f>ROUND($C3964*10*VLOOKUP($B3964,Sheet2!$J$5:$K$7,2,FALSE)*VLOOKUP(Sheet1!$A3964,Sheet2!$B$5:$H$29,4,FALSE),0)</x:f>
        <x:v>0</x:v>
      </x:c>
      <x:c r="F3964">
        <x:f>ROUND($C3964*10*VLOOKUP($B3964,Sheet2!$J$5:$K$7,2,FALSE)*VLOOKUP(Sheet1!$A3964,Sheet2!$B$5:$H$29,5,FALSE),0)</x:f>
        <x:v>5</x:v>
      </x:c>
      <x:c r="G3964">
        <x:f>ROUND($C3964*10*VLOOKUP($B3964,Sheet2!$J$5:$K$7,2,FALSE)*VLOOKUP(Sheet1!$A3964,Sheet2!$B$5:$H$29,6,FALSE),0)</x:f>
        <x:v>0</x:v>
      </x:c>
      <x:c r="H3964">
        <x:f>ROUND($C3964*10*VLOOKUP($B3964,Sheet2!$J$5:$K$7,2,FALSE)*VLOOKUP(Sheet1!$A3964,Sheet2!$B$5:$H$29,7,FALSE),0)</x:f>
        <x:v>90</x:v>
      </x:c>
      <x:c r="I3964">
        <x:f t="shared" si="66"/>
        <x:v>110</x:v>
      </x:c>
    </x:row>
    <x:row r="3965" spans="1:9" x14ac:dyDescent="0.15">
      <x:c r="A3965">
        <x:v>54203</x:v>
      </x:c>
      <x:c r="B3965">
        <x:v>1</x:v>
      </x:c>
      <x:c r="C3965">
        <x:v>4</x:v>
      </x:c>
      <x:c r="D3965">
        <x:f>ROUND($C3965*10*VLOOKUP($B3965,Sheet2!$J$5:$K$7,2,FALSE)*VLOOKUP(Sheet1!$A3965,Sheet2!$B$5:$H$29,3,FALSE),0)</x:f>
        <x:v>0</x:v>
      </x:c>
      <x:c r="E3965">
        <x:f>ROUND($C3965*10*VLOOKUP($B3965,Sheet2!$J$5:$K$7,2,FALSE)*VLOOKUP(Sheet1!$A3965,Sheet2!$B$5:$H$29,4,FALSE),0)</x:f>
        <x:v>0</x:v>
      </x:c>
      <x:c r="F3965">
        <x:f>ROUND($C3965*10*VLOOKUP($B3965,Sheet2!$J$5:$K$7,2,FALSE)*VLOOKUP(Sheet1!$A3965,Sheet2!$B$5:$H$29,5,FALSE),0)</x:f>
        <x:v>6</x:v>
      </x:c>
      <x:c r="G3965">
        <x:f>ROUND($C3965*10*VLOOKUP($B3965,Sheet2!$J$5:$K$7,2,FALSE)*VLOOKUP(Sheet1!$A3965,Sheet2!$B$5:$H$29,6,FALSE),0)</x:f>
        <x:v>0</x:v>
      </x:c>
      <x:c r="H3965">
        <x:f>ROUND($C3965*10*VLOOKUP($B3965,Sheet2!$J$5:$K$7,2,FALSE)*VLOOKUP(Sheet1!$A3965,Sheet2!$B$5:$H$29,7,FALSE),0)</x:f>
        <x:v>120</x:v>
      </x:c>
      <x:c r="I3965">
        <x:f t="shared" si="66"/>
        <x:v>190</x:v>
      </x:c>
    </x:row>
    <x:row r="3966" spans="1:9" x14ac:dyDescent="0.15">
      <x:c r="A3966">
        <x:v>54203</x:v>
      </x:c>
      <x:c r="B3966">
        <x:v>1</x:v>
      </x:c>
      <x:c r="C3966">
        <x:v>5</x:v>
      </x:c>
      <x:c r="D3966">
        <x:f>ROUND($C3966*10*VLOOKUP($B3966,Sheet2!$J$5:$K$7,2,FALSE)*VLOOKUP(Sheet1!$A3966,Sheet2!$B$5:$H$29,3,FALSE),0)</x:f>
        <x:v>0</x:v>
      </x:c>
      <x:c r="E3966">
        <x:f>ROUND($C3966*10*VLOOKUP($B3966,Sheet2!$J$5:$K$7,2,FALSE)*VLOOKUP(Sheet1!$A3966,Sheet2!$B$5:$H$29,4,FALSE),0)</x:f>
        <x:v>0</x:v>
      </x:c>
      <x:c r="F3966">
        <x:f>ROUND($C3966*10*VLOOKUP($B3966,Sheet2!$J$5:$K$7,2,FALSE)*VLOOKUP(Sheet1!$A3966,Sheet2!$B$5:$H$29,5,FALSE),0)</x:f>
        <x:v>8</x:v>
      </x:c>
      <x:c r="G3966">
        <x:f>ROUND($C3966*10*VLOOKUP($B3966,Sheet2!$J$5:$K$7,2,FALSE)*VLOOKUP(Sheet1!$A3966,Sheet2!$B$5:$H$29,6,FALSE),0)</x:f>
        <x:v>0</x:v>
      </x:c>
      <x:c r="H3966">
        <x:f>ROUND($C3966*10*VLOOKUP($B3966,Sheet2!$J$5:$K$7,2,FALSE)*VLOOKUP(Sheet1!$A3966,Sheet2!$B$5:$H$29,7,FALSE),0)</x:f>
        <x:v>150</x:v>
      </x:c>
      <x:c r="I3966">
        <x:f t="shared" si="66"/>
        <x:v>290</x:v>
      </x:c>
    </x:row>
    <x:row r="3967" spans="1:9" x14ac:dyDescent="0.15">
      <x:c r="A3967">
        <x:v>54203</x:v>
      </x:c>
      <x:c r="B3967">
        <x:v>1</x:v>
      </x:c>
      <x:c r="C3967">
        <x:v>6</x:v>
      </x:c>
      <x:c r="D3967">
        <x:f>ROUND($C3967*10*VLOOKUP($B3967,Sheet2!$J$5:$K$7,2,FALSE)*VLOOKUP(Sheet1!$A3967,Sheet2!$B$5:$H$29,3,FALSE),0)</x:f>
        <x:v>0</x:v>
      </x:c>
      <x:c r="E3967">
        <x:f>ROUND($C3967*10*VLOOKUP($B3967,Sheet2!$J$5:$K$7,2,FALSE)*VLOOKUP(Sheet1!$A3967,Sheet2!$B$5:$H$29,4,FALSE),0)</x:f>
        <x:v>0</x:v>
      </x:c>
      <x:c r="F3967">
        <x:f>ROUND($C3967*10*VLOOKUP($B3967,Sheet2!$J$5:$K$7,2,FALSE)*VLOOKUP(Sheet1!$A3967,Sheet2!$B$5:$H$29,5,FALSE),0)</x:f>
        <x:v>10</x:v>
      </x:c>
      <x:c r="G3967">
        <x:f>ROUND($C3967*10*VLOOKUP($B3967,Sheet2!$J$5:$K$7,2,FALSE)*VLOOKUP(Sheet1!$A3967,Sheet2!$B$5:$H$29,6,FALSE),0)</x:f>
        <x:v>0</x:v>
      </x:c>
      <x:c r="H3967">
        <x:f>ROUND($C3967*10*VLOOKUP($B3967,Sheet2!$J$5:$K$7,2,FALSE)*VLOOKUP(Sheet1!$A3967,Sheet2!$B$5:$H$29,7,FALSE),0)</x:f>
        <x:v>180</x:v>
      </x:c>
      <x:c r="I3967">
        <x:f t="shared" si="66"/>
        <x:v>420</x:v>
      </x:c>
    </x:row>
    <x:row r="3968" spans="1:9" x14ac:dyDescent="0.15">
      <x:c r="A3968">
        <x:v>54203</x:v>
      </x:c>
      <x:c r="B3968">
        <x:v>1</x:v>
      </x:c>
      <x:c r="C3968">
        <x:v>7</x:v>
      </x:c>
      <x:c r="D3968">
        <x:f>ROUND($C3968*10*VLOOKUP($B3968,Sheet2!$J$5:$K$7,2,FALSE)*VLOOKUP(Sheet1!$A3968,Sheet2!$B$5:$H$29,3,FALSE),0)</x:f>
        <x:v>0</x:v>
      </x:c>
      <x:c r="E3968">
        <x:f>ROUND($C3968*10*VLOOKUP($B3968,Sheet2!$J$5:$K$7,2,FALSE)*VLOOKUP(Sheet1!$A3968,Sheet2!$B$5:$H$29,4,FALSE),0)</x:f>
        <x:v>0</x:v>
      </x:c>
      <x:c r="F3968">
        <x:f>ROUND($C3968*10*VLOOKUP($B3968,Sheet2!$J$5:$K$7,2,FALSE)*VLOOKUP(Sheet1!$A3968,Sheet2!$B$5:$H$29,5,FALSE),0)</x:f>
        <x:v>11</x:v>
      </x:c>
      <x:c r="G3968">
        <x:f>ROUND($C3968*10*VLOOKUP($B3968,Sheet2!$J$5:$K$7,2,FALSE)*VLOOKUP(Sheet1!$A3968,Sheet2!$B$5:$H$29,6,FALSE),0)</x:f>
        <x:v>0</x:v>
      </x:c>
      <x:c r="H3968">
        <x:f>ROUND($C3968*10*VLOOKUP($B3968,Sheet2!$J$5:$K$7,2,FALSE)*VLOOKUP(Sheet1!$A3968,Sheet2!$B$5:$H$29,7,FALSE),0)</x:f>
        <x:v>210</x:v>
      </x:c>
      <x:c r="I3968">
        <x:f t="shared" si="66"/>
        <x:v>570</x:v>
      </x:c>
    </x:row>
    <x:row r="3969" spans="1:9" x14ac:dyDescent="0.15">
      <x:c r="A3969">
        <x:v>54203</x:v>
      </x:c>
      <x:c r="B3969">
        <x:v>1</x:v>
      </x:c>
      <x:c r="C3969">
        <x:v>8</x:v>
      </x:c>
      <x:c r="D3969">
        <x:f>ROUND($C3969*10*VLOOKUP($B3969,Sheet2!$J$5:$K$7,2,FALSE)*VLOOKUP(Sheet1!$A3969,Sheet2!$B$5:$H$29,3,FALSE),0)</x:f>
        <x:v>0</x:v>
      </x:c>
      <x:c r="E3969">
        <x:f>ROUND($C3969*10*VLOOKUP($B3969,Sheet2!$J$5:$K$7,2,FALSE)*VLOOKUP(Sheet1!$A3969,Sheet2!$B$5:$H$29,4,FALSE),0)</x:f>
        <x:v>0</x:v>
      </x:c>
      <x:c r="F3969">
        <x:f>ROUND($C3969*10*VLOOKUP($B3969,Sheet2!$J$5:$K$7,2,FALSE)*VLOOKUP(Sheet1!$A3969,Sheet2!$B$5:$H$29,5,FALSE),0)</x:f>
        <x:v>13</x:v>
      </x:c>
      <x:c r="G3969">
        <x:f>ROUND($C3969*10*VLOOKUP($B3969,Sheet2!$J$5:$K$7,2,FALSE)*VLOOKUP(Sheet1!$A3969,Sheet2!$B$5:$H$29,6,FALSE),0)</x:f>
        <x:v>0</x:v>
      </x:c>
      <x:c r="H3969">
        <x:f>ROUND($C3969*10*VLOOKUP($B3969,Sheet2!$J$5:$K$7,2,FALSE)*VLOOKUP(Sheet1!$A3969,Sheet2!$B$5:$H$29,7,FALSE),0)</x:f>
        <x:v>240</x:v>
      </x:c>
      <x:c r="I3969">
        <x:f t="shared" si="66"/>
        <x:v>750</x:v>
      </x:c>
    </x:row>
    <x:row r="3970" spans="1:9" x14ac:dyDescent="0.15">
      <x:c r="A3970">
        <x:v>54203</x:v>
      </x:c>
      <x:c r="B3970">
        <x:v>1</x:v>
      </x:c>
      <x:c r="C3970">
        <x:v>9</x:v>
      </x:c>
      <x:c r="D3970">
        <x:f>ROUND($C3970*10*VLOOKUP($B3970,Sheet2!$J$5:$K$7,2,FALSE)*VLOOKUP(Sheet1!$A3970,Sheet2!$B$5:$H$29,3,FALSE),0)</x:f>
        <x:v>0</x:v>
      </x:c>
      <x:c r="E3970">
        <x:f>ROUND($C3970*10*VLOOKUP($B3970,Sheet2!$J$5:$K$7,2,FALSE)*VLOOKUP(Sheet1!$A3970,Sheet2!$B$5:$H$29,4,FALSE),0)</x:f>
        <x:v>0</x:v>
      </x:c>
      <x:c r="F3970">
        <x:f>ROUND($C3970*10*VLOOKUP($B3970,Sheet2!$J$5:$K$7,2,FALSE)*VLOOKUP(Sheet1!$A3970,Sheet2!$B$5:$H$29,5,FALSE),0)</x:f>
        <x:v>14</x:v>
      </x:c>
      <x:c r="G3970">
        <x:f>ROUND($C3970*10*VLOOKUP($B3970,Sheet2!$J$5:$K$7,2,FALSE)*VLOOKUP(Sheet1!$A3970,Sheet2!$B$5:$H$29,6,FALSE),0)</x:f>
        <x:v>0</x:v>
      </x:c>
      <x:c r="H3970">
        <x:f>ROUND($C3970*10*VLOOKUP($B3970,Sheet2!$J$5:$K$7,2,FALSE)*VLOOKUP(Sheet1!$A3970,Sheet2!$B$5:$H$29,7,FALSE),0)</x:f>
        <x:v>270</x:v>
      </x:c>
      <x:c r="I3970">
        <x:f t="shared" si="66"/>
        <x:v>940</x:v>
      </x:c>
    </x:row>
    <x:row r="3971" spans="1:9" x14ac:dyDescent="0.15">
      <x:c r="A3971">
        <x:v>54203</x:v>
      </x:c>
      <x:c r="B3971">
        <x:v>1</x:v>
      </x:c>
      <x:c r="C3971">
        <x:v>10</x:v>
      </x:c>
      <x:c r="D3971">
        <x:f>ROUND($C3971*10*VLOOKUP($B3971,Sheet2!$J$5:$K$7,2,FALSE)*VLOOKUP(Sheet1!$A3971,Sheet2!$B$5:$H$29,3,FALSE),0)</x:f>
        <x:v>0</x:v>
      </x:c>
      <x:c r="E3971">
        <x:f>ROUND($C3971*10*VLOOKUP($B3971,Sheet2!$J$5:$K$7,2,FALSE)*VLOOKUP(Sheet1!$A3971,Sheet2!$B$5:$H$29,4,FALSE),0)</x:f>
        <x:v>0</x:v>
      </x:c>
      <x:c r="F3971">
        <x:f>ROUND($C3971*10*VLOOKUP($B3971,Sheet2!$J$5:$K$7,2,FALSE)*VLOOKUP(Sheet1!$A3971,Sheet2!$B$5:$H$29,5,FALSE),0)</x:f>
        <x:v>16</x:v>
      </x:c>
      <x:c r="G3971">
        <x:f>ROUND($C3971*10*VLOOKUP($B3971,Sheet2!$J$5:$K$7,2,FALSE)*VLOOKUP(Sheet1!$A3971,Sheet2!$B$5:$H$29,6,FALSE),0)</x:f>
        <x:v>0</x:v>
      </x:c>
      <x:c r="H3971">
        <x:f>ROUND($C3971*10*VLOOKUP($B3971,Sheet2!$J$5:$K$7,2,FALSE)*VLOOKUP(Sheet1!$A3971,Sheet2!$B$5:$H$29,7,FALSE),0)</x:f>
        <x:v>300</x:v>
      </x:c>
      <x:c r="I3971">
        <x:f t="shared" si="66"/>
        <x:v>1160</x:v>
      </x:c>
    </x:row>
    <x:row r="3972" spans="1:9" x14ac:dyDescent="0.15">
      <x:c r="A3972">
        <x:v>54203</x:v>
      </x:c>
      <x:c r="B3972">
        <x:v>1</x:v>
      </x:c>
      <x:c r="C3972">
        <x:v>11</x:v>
      </x:c>
      <x:c r="D3972">
        <x:f>ROUND($C3972*10*VLOOKUP($B3972,Sheet2!$J$5:$K$7,2,FALSE)*VLOOKUP(Sheet1!$A3972,Sheet2!$B$5:$H$29,3,FALSE),0)</x:f>
        <x:v>0</x:v>
      </x:c>
      <x:c r="E3972">
        <x:f>ROUND($C3972*10*VLOOKUP($B3972,Sheet2!$J$5:$K$7,2,FALSE)*VLOOKUP(Sheet1!$A3972,Sheet2!$B$5:$H$29,4,FALSE),0)</x:f>
        <x:v>0</x:v>
      </x:c>
      <x:c r="F3972">
        <x:f>ROUND($C3972*10*VLOOKUP($B3972,Sheet2!$J$5:$K$7,2,FALSE)*VLOOKUP(Sheet1!$A3972,Sheet2!$B$5:$H$29,5,FALSE),0)</x:f>
        <x:v>18</x:v>
      </x:c>
      <x:c r="G3972">
        <x:f>ROUND($C3972*10*VLOOKUP($B3972,Sheet2!$J$5:$K$7,2,FALSE)*VLOOKUP(Sheet1!$A3972,Sheet2!$B$5:$H$29,6,FALSE),0)</x:f>
        <x:v>0</x:v>
      </x:c>
      <x:c r="H3972">
        <x:f>ROUND($C3972*10*VLOOKUP($B3972,Sheet2!$J$5:$K$7,2,FALSE)*VLOOKUP(Sheet1!$A3972,Sheet2!$B$5:$H$29,7,FALSE),0)</x:f>
        <x:v>330</x:v>
      </x:c>
      <x:c r="I3972">
        <x:f t="shared" si="66"/>
        <x:v>1390</x:v>
      </x:c>
    </x:row>
    <x:row r="3973" spans="1:9" x14ac:dyDescent="0.15">
      <x:c r="A3973">
        <x:v>54203</x:v>
      </x:c>
      <x:c r="B3973">
        <x:v>1</x:v>
      </x:c>
      <x:c r="C3973">
        <x:v>12</x:v>
      </x:c>
      <x:c r="D3973">
        <x:f>ROUND($C3973*10*VLOOKUP($B3973,Sheet2!$J$5:$K$7,2,FALSE)*VLOOKUP(Sheet1!$A3973,Sheet2!$B$5:$H$29,3,FALSE),0)</x:f>
        <x:v>0</x:v>
      </x:c>
      <x:c r="E3973">
        <x:f>ROUND($C3973*10*VLOOKUP($B3973,Sheet2!$J$5:$K$7,2,FALSE)*VLOOKUP(Sheet1!$A3973,Sheet2!$B$5:$H$29,4,FALSE),0)</x:f>
        <x:v>0</x:v>
      </x:c>
      <x:c r="F3973">
        <x:f>ROUND($C3973*10*VLOOKUP($B3973,Sheet2!$J$5:$K$7,2,FALSE)*VLOOKUP(Sheet1!$A3973,Sheet2!$B$5:$H$29,5,FALSE),0)</x:f>
        <x:v>19</x:v>
      </x:c>
      <x:c r="G3973">
        <x:f>ROUND($C3973*10*VLOOKUP($B3973,Sheet2!$J$5:$K$7,2,FALSE)*VLOOKUP(Sheet1!$A3973,Sheet2!$B$5:$H$29,6,FALSE),0)</x:f>
        <x:v>0</x:v>
      </x:c>
      <x:c r="H3973">
        <x:f>ROUND($C3973*10*VLOOKUP($B3973,Sheet2!$J$5:$K$7,2,FALSE)*VLOOKUP(Sheet1!$A3973,Sheet2!$B$5:$H$29,7,FALSE),0)</x:f>
        <x:v>360</x:v>
      </x:c>
      <x:c r="I3973">
        <x:f t="shared" si="66"/>
        <x:v>1650</x:v>
      </x:c>
    </x:row>
    <x:row r="3974" spans="1:9" x14ac:dyDescent="0.15">
      <x:c r="A3974">
        <x:v>54203</x:v>
      </x:c>
      <x:c r="B3974">
        <x:v>1</x:v>
      </x:c>
      <x:c r="C3974">
        <x:v>13</x:v>
      </x:c>
      <x:c r="D3974">
        <x:f>ROUND($C3974*10*VLOOKUP($B3974,Sheet2!$J$5:$K$7,2,FALSE)*VLOOKUP(Sheet1!$A3974,Sheet2!$B$5:$H$29,3,FALSE),0)</x:f>
        <x:v>0</x:v>
      </x:c>
      <x:c r="E3974">
        <x:f>ROUND($C3974*10*VLOOKUP($B3974,Sheet2!$J$5:$K$7,2,FALSE)*VLOOKUP(Sheet1!$A3974,Sheet2!$B$5:$H$29,4,FALSE),0)</x:f>
        <x:v>0</x:v>
      </x:c>
      <x:c r="F3974">
        <x:f>ROUND($C3974*10*VLOOKUP($B3974,Sheet2!$J$5:$K$7,2,FALSE)*VLOOKUP(Sheet1!$A3974,Sheet2!$B$5:$H$29,5,FALSE),0)</x:f>
        <x:v>21</x:v>
      </x:c>
      <x:c r="G3974">
        <x:f>ROUND($C3974*10*VLOOKUP($B3974,Sheet2!$J$5:$K$7,2,FALSE)*VLOOKUP(Sheet1!$A3974,Sheet2!$B$5:$H$29,6,FALSE),0)</x:f>
        <x:v>0</x:v>
      </x:c>
      <x:c r="H3974">
        <x:f>ROUND($C3974*10*VLOOKUP($B3974,Sheet2!$J$5:$K$7,2,FALSE)*VLOOKUP(Sheet1!$A3974,Sheet2!$B$5:$H$29,7,FALSE),0)</x:f>
        <x:v>390</x:v>
      </x:c>
      <x:c r="I3974">
        <x:f t="shared" si="66"/>
        <x:v>1920</x:v>
      </x:c>
    </x:row>
    <x:row r="3975" spans="1:9" x14ac:dyDescent="0.15">
      <x:c r="A3975">
        <x:v>54203</x:v>
      </x:c>
      <x:c r="B3975">
        <x:v>1</x:v>
      </x:c>
      <x:c r="C3975">
        <x:v>14</x:v>
      </x:c>
      <x:c r="D3975">
        <x:f>ROUND($C3975*10*VLOOKUP($B3975,Sheet2!$J$5:$K$7,2,FALSE)*VLOOKUP(Sheet1!$A3975,Sheet2!$B$5:$H$29,3,FALSE),0)</x:f>
        <x:v>0</x:v>
      </x:c>
      <x:c r="E3975">
        <x:f>ROUND($C3975*10*VLOOKUP($B3975,Sheet2!$J$5:$K$7,2,FALSE)*VLOOKUP(Sheet1!$A3975,Sheet2!$B$5:$H$29,4,FALSE),0)</x:f>
        <x:v>0</x:v>
      </x:c>
      <x:c r="F3975">
        <x:f>ROUND($C3975*10*VLOOKUP($B3975,Sheet2!$J$5:$K$7,2,FALSE)*VLOOKUP(Sheet1!$A3975,Sheet2!$B$5:$H$29,5,FALSE),0)</x:f>
        <x:v>22</x:v>
      </x:c>
      <x:c r="G3975">
        <x:f>ROUND($C3975*10*VLOOKUP($B3975,Sheet2!$J$5:$K$7,2,FALSE)*VLOOKUP(Sheet1!$A3975,Sheet2!$B$5:$H$29,6,FALSE),0)</x:f>
        <x:v>0</x:v>
      </x:c>
      <x:c r="H3975">
        <x:f>ROUND($C3975*10*VLOOKUP($B3975,Sheet2!$J$5:$K$7,2,FALSE)*VLOOKUP(Sheet1!$A3975,Sheet2!$B$5:$H$29,7,FALSE),0)</x:f>
        <x:v>420</x:v>
      </x:c>
      <x:c r="I3975">
        <x:f t="shared" si="66"/>
        <x:v>2220</x:v>
      </x:c>
    </x:row>
    <x:row r="3976" spans="1:9" x14ac:dyDescent="0.15">
      <x:c r="A3976">
        <x:v>54203</x:v>
      </x:c>
      <x:c r="B3976">
        <x:v>1</x:v>
      </x:c>
      <x:c r="C3976">
        <x:v>15</x:v>
      </x:c>
      <x:c r="D3976">
        <x:f>ROUND($C3976*10*VLOOKUP($B3976,Sheet2!$J$5:$K$7,2,FALSE)*VLOOKUP(Sheet1!$A3976,Sheet2!$B$5:$H$29,3,FALSE),0)</x:f>
        <x:v>0</x:v>
      </x:c>
      <x:c r="E3976">
        <x:f>ROUND($C3976*10*VLOOKUP($B3976,Sheet2!$J$5:$K$7,2,FALSE)*VLOOKUP(Sheet1!$A3976,Sheet2!$B$5:$H$29,4,FALSE),0)</x:f>
        <x:v>0</x:v>
      </x:c>
      <x:c r="F3976">
        <x:f>ROUND($C3976*10*VLOOKUP($B3976,Sheet2!$J$5:$K$7,2,FALSE)*VLOOKUP(Sheet1!$A3976,Sheet2!$B$5:$H$29,5,FALSE),0)</x:f>
        <x:v>24</x:v>
      </x:c>
      <x:c r="G3976">
        <x:f>ROUND($C3976*10*VLOOKUP($B3976,Sheet2!$J$5:$K$7,2,FALSE)*VLOOKUP(Sheet1!$A3976,Sheet2!$B$5:$H$29,6,FALSE),0)</x:f>
        <x:v>0</x:v>
      </x:c>
      <x:c r="H3976">
        <x:f>ROUND($C3976*10*VLOOKUP($B3976,Sheet2!$J$5:$K$7,2,FALSE)*VLOOKUP(Sheet1!$A3976,Sheet2!$B$5:$H$29,7,FALSE),0)</x:f>
        <x:v>450</x:v>
      </x:c>
      <x:c r="I3976">
        <x:f t="shared" si="66"/>
        <x:v>2530</x:v>
      </x:c>
    </x:row>
    <x:row r="3977" spans="1:9" x14ac:dyDescent="0.15">
      <x:c r="A3977">
        <x:v>54203</x:v>
      </x:c>
      <x:c r="B3977">
        <x:v>1</x:v>
      </x:c>
      <x:c r="C3977">
        <x:v>16</x:v>
      </x:c>
      <x:c r="D3977">
        <x:f>ROUND($C3977*10*VLOOKUP($B3977,Sheet2!$J$5:$K$7,2,FALSE)*VLOOKUP(Sheet1!$A3977,Sheet2!$B$5:$H$29,3,FALSE),0)</x:f>
        <x:v>0</x:v>
      </x:c>
      <x:c r="E3977">
        <x:f>ROUND($C3977*10*VLOOKUP($B3977,Sheet2!$J$5:$K$7,2,FALSE)*VLOOKUP(Sheet1!$A3977,Sheet2!$B$5:$H$29,4,FALSE),0)</x:f>
        <x:v>0</x:v>
      </x:c>
      <x:c r="F3977">
        <x:f>ROUND($C3977*10*VLOOKUP($B3977,Sheet2!$J$5:$K$7,2,FALSE)*VLOOKUP(Sheet1!$A3977,Sheet2!$B$5:$H$29,5,FALSE),0)</x:f>
        <x:v>26</x:v>
      </x:c>
      <x:c r="G3977">
        <x:f>ROUND($C3977*10*VLOOKUP($B3977,Sheet2!$J$5:$K$7,2,FALSE)*VLOOKUP(Sheet1!$A3977,Sheet2!$B$5:$H$29,6,FALSE),0)</x:f>
        <x:v>0</x:v>
      </x:c>
      <x:c r="H3977">
        <x:f>ROUND($C3977*10*VLOOKUP($B3977,Sheet2!$J$5:$K$7,2,FALSE)*VLOOKUP(Sheet1!$A3977,Sheet2!$B$5:$H$29,7,FALSE),0)</x:f>
        <x:v>480</x:v>
      </x:c>
      <x:c r="I3977">
        <x:f t="shared" si="66"/>
        <x:v>2860</x:v>
      </x:c>
    </x:row>
    <x:row r="3978" spans="1:9" x14ac:dyDescent="0.15">
      <x:c r="A3978">
        <x:v>54203</x:v>
      </x:c>
      <x:c r="B3978">
        <x:v>1</x:v>
      </x:c>
      <x:c r="C3978">
        <x:v>17</x:v>
      </x:c>
      <x:c r="D3978">
        <x:f>ROUND($C3978*10*VLOOKUP($B3978,Sheet2!$J$5:$K$7,2,FALSE)*VLOOKUP(Sheet1!$A3978,Sheet2!$B$5:$H$29,3,FALSE),0)</x:f>
        <x:v>0</x:v>
      </x:c>
      <x:c r="E3978">
        <x:f>ROUND($C3978*10*VLOOKUP($B3978,Sheet2!$J$5:$K$7,2,FALSE)*VLOOKUP(Sheet1!$A3978,Sheet2!$B$5:$H$29,4,FALSE),0)</x:f>
        <x:v>0</x:v>
      </x:c>
      <x:c r="F3978">
        <x:f>ROUND($C3978*10*VLOOKUP($B3978,Sheet2!$J$5:$K$7,2,FALSE)*VLOOKUP(Sheet1!$A3978,Sheet2!$B$5:$H$29,5,FALSE),0)</x:f>
        <x:v>27</x:v>
      </x:c>
      <x:c r="G3978">
        <x:f>ROUND($C3978*10*VLOOKUP($B3978,Sheet2!$J$5:$K$7,2,FALSE)*VLOOKUP(Sheet1!$A3978,Sheet2!$B$5:$H$29,6,FALSE),0)</x:f>
        <x:v>0</x:v>
      </x:c>
      <x:c r="H3978">
        <x:f>ROUND($C3978*10*VLOOKUP($B3978,Sheet2!$J$5:$K$7,2,FALSE)*VLOOKUP(Sheet1!$A3978,Sheet2!$B$5:$H$29,7,FALSE),0)</x:f>
        <x:v>510</x:v>
      </x:c>
      <x:c r="I3978">
        <x:f t="shared" si="66"/>
        <x:v>3210</x:v>
      </x:c>
    </x:row>
    <x:row r="3979" spans="1:9" x14ac:dyDescent="0.15">
      <x:c r="A3979">
        <x:v>54203</x:v>
      </x:c>
      <x:c r="B3979">
        <x:v>1</x:v>
      </x:c>
      <x:c r="C3979">
        <x:v>18</x:v>
      </x:c>
      <x:c r="D3979">
        <x:f>ROUND($C3979*10*VLOOKUP($B3979,Sheet2!$J$5:$K$7,2,FALSE)*VLOOKUP(Sheet1!$A3979,Sheet2!$B$5:$H$29,3,FALSE),0)</x:f>
        <x:v>0</x:v>
      </x:c>
      <x:c r="E3979">
        <x:f>ROUND($C3979*10*VLOOKUP($B3979,Sheet2!$J$5:$K$7,2,FALSE)*VLOOKUP(Sheet1!$A3979,Sheet2!$B$5:$H$29,4,FALSE),0)</x:f>
        <x:v>0</x:v>
      </x:c>
      <x:c r="F3979">
        <x:f>ROUND($C3979*10*VLOOKUP($B3979,Sheet2!$J$5:$K$7,2,FALSE)*VLOOKUP(Sheet1!$A3979,Sheet2!$B$5:$H$29,5,FALSE),0)</x:f>
        <x:v>29</x:v>
      </x:c>
      <x:c r="G3979">
        <x:f>ROUND($C3979*10*VLOOKUP($B3979,Sheet2!$J$5:$K$7,2,FALSE)*VLOOKUP(Sheet1!$A3979,Sheet2!$B$5:$H$29,6,FALSE),0)</x:f>
        <x:v>0</x:v>
      </x:c>
      <x:c r="H3979">
        <x:f>ROUND($C3979*10*VLOOKUP($B3979,Sheet2!$J$5:$K$7,2,FALSE)*VLOOKUP(Sheet1!$A3979,Sheet2!$B$5:$H$29,7,FALSE),0)</x:f>
        <x:v>540</x:v>
      </x:c>
      <x:c r="I3979">
        <x:f t="shared" si="66"/>
        <x:v>3570</x:v>
      </x:c>
    </x:row>
    <x:row r="3980" spans="1:9" x14ac:dyDescent="0.15">
      <x:c r="A3980">
        <x:v>54203</x:v>
      </x:c>
      <x:c r="B3980">
        <x:v>1</x:v>
      </x:c>
      <x:c r="C3980">
        <x:v>19</x:v>
      </x:c>
      <x:c r="D3980">
        <x:f>ROUND($C3980*10*VLOOKUP($B3980,Sheet2!$J$5:$K$7,2,FALSE)*VLOOKUP(Sheet1!$A3980,Sheet2!$B$5:$H$29,3,FALSE),0)</x:f>
        <x:v>0</x:v>
      </x:c>
      <x:c r="E3980">
        <x:f>ROUND($C3980*10*VLOOKUP($B3980,Sheet2!$J$5:$K$7,2,FALSE)*VLOOKUP(Sheet1!$A3980,Sheet2!$B$5:$H$29,4,FALSE),0)</x:f>
        <x:v>0</x:v>
      </x:c>
      <x:c r="F3980">
        <x:f>ROUND($C3980*10*VLOOKUP($B3980,Sheet2!$J$5:$K$7,2,FALSE)*VLOOKUP(Sheet1!$A3980,Sheet2!$B$5:$H$29,5,FALSE),0)</x:f>
        <x:v>30</x:v>
      </x:c>
      <x:c r="G3980">
        <x:f>ROUND($C3980*10*VLOOKUP($B3980,Sheet2!$J$5:$K$7,2,FALSE)*VLOOKUP(Sheet1!$A3980,Sheet2!$B$5:$H$29,6,FALSE),0)</x:f>
        <x:v>0</x:v>
      </x:c>
      <x:c r="H3980">
        <x:f>ROUND($C3980*10*VLOOKUP($B3980,Sheet2!$J$5:$K$7,2,FALSE)*VLOOKUP(Sheet1!$A3980,Sheet2!$B$5:$H$29,7,FALSE),0)</x:f>
        <x:v>570</x:v>
      </x:c>
      <x:c r="I3980">
        <x:f t="shared" si="66"/>
        <x:v>3960</x:v>
      </x:c>
    </x:row>
    <x:row r="3981" spans="1:9" x14ac:dyDescent="0.15">
      <x:c r="A3981">
        <x:v>54203</x:v>
      </x:c>
      <x:c r="B3981">
        <x:v>1</x:v>
      </x:c>
      <x:c r="C3981">
        <x:v>20</x:v>
      </x:c>
      <x:c r="D3981">
        <x:f>ROUND($C3981*10*VLOOKUP($B3981,Sheet2!$J$5:$K$7,2,FALSE)*VLOOKUP(Sheet1!$A3981,Sheet2!$B$5:$H$29,3,FALSE),0)</x:f>
        <x:v>0</x:v>
      </x:c>
      <x:c r="E3981">
        <x:f>ROUND($C3981*10*VLOOKUP($B3981,Sheet2!$J$5:$K$7,2,FALSE)*VLOOKUP(Sheet1!$A3981,Sheet2!$B$5:$H$29,4,FALSE),0)</x:f>
        <x:v>0</x:v>
      </x:c>
      <x:c r="F3981">
        <x:f>ROUND($C3981*10*VLOOKUP($B3981,Sheet2!$J$5:$K$7,2,FALSE)*VLOOKUP(Sheet1!$A3981,Sheet2!$B$5:$H$29,5,FALSE),0)</x:f>
        <x:v>32</x:v>
      </x:c>
      <x:c r="G3981">
        <x:f>ROUND($C3981*10*VLOOKUP($B3981,Sheet2!$J$5:$K$7,2,FALSE)*VLOOKUP(Sheet1!$A3981,Sheet2!$B$5:$H$29,6,FALSE),0)</x:f>
        <x:v>0</x:v>
      </x:c>
      <x:c r="H3981">
        <x:f>ROUND($C3981*10*VLOOKUP($B3981,Sheet2!$J$5:$K$7,2,FALSE)*VLOOKUP(Sheet1!$A3981,Sheet2!$B$5:$H$29,7,FALSE),0)</x:f>
        <x:v>600</x:v>
      </x:c>
      <x:c r="I3981">
        <x:f t="shared" si="66"/>
        <x:v>4360</x:v>
      </x:c>
    </x:row>
    <x:row r="3982" spans="1:9" x14ac:dyDescent="0.15">
      <x:c r="A3982">
        <x:v>54203</x:v>
      </x:c>
      <x:c r="B3982">
        <x:v>1</x:v>
      </x:c>
      <x:c r="C3982">
        <x:v>21</x:v>
      </x:c>
      <x:c r="D3982">
        <x:f>ROUND($C3982*10*VLOOKUP($B3982,Sheet2!$J$5:$K$7,2,FALSE)*VLOOKUP(Sheet1!$A3982,Sheet2!$B$5:$H$29,3,FALSE),0)</x:f>
        <x:v>0</x:v>
      </x:c>
      <x:c r="E3982">
        <x:f>ROUND($C3982*10*VLOOKUP($B3982,Sheet2!$J$5:$K$7,2,FALSE)*VLOOKUP(Sheet1!$A3982,Sheet2!$B$5:$H$29,4,FALSE),0)</x:f>
        <x:v>0</x:v>
      </x:c>
      <x:c r="F3982">
        <x:f>ROUND($C3982*10*VLOOKUP($B3982,Sheet2!$J$5:$K$7,2,FALSE)*VLOOKUP(Sheet1!$A3982,Sheet2!$B$5:$H$29,5,FALSE),0)</x:f>
        <x:v>34</x:v>
      </x:c>
      <x:c r="G3982">
        <x:f>ROUND($C3982*10*VLOOKUP($B3982,Sheet2!$J$5:$K$7,2,FALSE)*VLOOKUP(Sheet1!$A3982,Sheet2!$B$5:$H$29,6,FALSE),0)</x:f>
        <x:v>0</x:v>
      </x:c>
      <x:c r="H3982">
        <x:f>ROUND($C3982*10*VLOOKUP($B3982,Sheet2!$J$5:$K$7,2,FALSE)*VLOOKUP(Sheet1!$A3982,Sheet2!$B$5:$H$29,7,FALSE),0)</x:f>
        <x:v>630</x:v>
      </x:c>
      <x:c r="I3982">
        <x:f t="shared" si="66"/>
        <x:v>4780</x:v>
      </x:c>
    </x:row>
    <x:row r="3983" spans="1:9" x14ac:dyDescent="0.15">
      <x:c r="A3983">
        <x:v>54203</x:v>
      </x:c>
      <x:c r="B3983">
        <x:v>1</x:v>
      </x:c>
      <x:c r="C3983">
        <x:v>22</x:v>
      </x:c>
      <x:c r="D3983">
        <x:f>ROUND($C3983*10*VLOOKUP($B3983,Sheet2!$J$5:$K$7,2,FALSE)*VLOOKUP(Sheet1!$A3983,Sheet2!$B$5:$H$29,3,FALSE),0)</x:f>
        <x:v>0</x:v>
      </x:c>
      <x:c r="E3983">
        <x:f>ROUND($C3983*10*VLOOKUP($B3983,Sheet2!$J$5:$K$7,2,FALSE)*VLOOKUP(Sheet1!$A3983,Sheet2!$B$5:$H$29,4,FALSE),0)</x:f>
        <x:v>0</x:v>
      </x:c>
      <x:c r="F3983">
        <x:f>ROUND($C3983*10*VLOOKUP($B3983,Sheet2!$J$5:$K$7,2,FALSE)*VLOOKUP(Sheet1!$A3983,Sheet2!$B$5:$H$29,5,FALSE),0)</x:f>
        <x:v>35</x:v>
      </x:c>
      <x:c r="G3983">
        <x:f>ROUND($C3983*10*VLOOKUP($B3983,Sheet2!$J$5:$K$7,2,FALSE)*VLOOKUP(Sheet1!$A3983,Sheet2!$B$5:$H$29,6,FALSE),0)</x:f>
        <x:v>0</x:v>
      </x:c>
      <x:c r="H3983">
        <x:f>ROUND($C3983*10*VLOOKUP($B3983,Sheet2!$J$5:$K$7,2,FALSE)*VLOOKUP(Sheet1!$A3983,Sheet2!$B$5:$H$29,7,FALSE),0)</x:f>
        <x:v>660</x:v>
      </x:c>
      <x:c r="I3983">
        <x:f t="shared" si="66"/>
        <x:v>5210</x:v>
      </x:c>
    </x:row>
    <x:row r="3984" spans="1:9" x14ac:dyDescent="0.15">
      <x:c r="A3984">
        <x:v>54203</x:v>
      </x:c>
      <x:c r="B3984">
        <x:v>1</x:v>
      </x:c>
      <x:c r="C3984">
        <x:v>23</x:v>
      </x:c>
      <x:c r="D3984">
        <x:f>ROUND($C3984*10*VLOOKUP($B3984,Sheet2!$J$5:$K$7,2,FALSE)*VLOOKUP(Sheet1!$A3984,Sheet2!$B$5:$H$29,3,FALSE),0)</x:f>
        <x:v>0</x:v>
      </x:c>
      <x:c r="E3984">
        <x:f>ROUND($C3984*10*VLOOKUP($B3984,Sheet2!$J$5:$K$7,2,FALSE)*VLOOKUP(Sheet1!$A3984,Sheet2!$B$5:$H$29,4,FALSE),0)</x:f>
        <x:v>0</x:v>
      </x:c>
      <x:c r="F3984">
        <x:f>ROUND($C3984*10*VLOOKUP($B3984,Sheet2!$J$5:$K$7,2,FALSE)*VLOOKUP(Sheet1!$A3984,Sheet2!$B$5:$H$29,5,FALSE),0)</x:f>
        <x:v>37</x:v>
      </x:c>
      <x:c r="G3984">
        <x:f>ROUND($C3984*10*VLOOKUP($B3984,Sheet2!$J$5:$K$7,2,FALSE)*VLOOKUP(Sheet1!$A3984,Sheet2!$B$5:$H$29,6,FALSE),0)</x:f>
        <x:v>0</x:v>
      </x:c>
      <x:c r="H3984">
        <x:f>ROUND($C3984*10*VLOOKUP($B3984,Sheet2!$J$5:$K$7,2,FALSE)*VLOOKUP(Sheet1!$A3984,Sheet2!$B$5:$H$29,7,FALSE),0)</x:f>
        <x:v>690</x:v>
      </x:c>
      <x:c r="I3984">
        <x:f t="shared" si="66"/>
        <x:v>5660</x:v>
      </x:c>
    </x:row>
    <x:row r="3985" spans="1:9" x14ac:dyDescent="0.15">
      <x:c r="A3985">
        <x:v>54203</x:v>
      </x:c>
      <x:c r="B3985">
        <x:v>1</x:v>
      </x:c>
      <x:c r="C3985">
        <x:v>24</x:v>
      </x:c>
      <x:c r="D3985">
        <x:f>ROUND($C3985*10*VLOOKUP($B3985,Sheet2!$J$5:$K$7,2,FALSE)*VLOOKUP(Sheet1!$A3985,Sheet2!$B$5:$H$29,3,FALSE),0)</x:f>
        <x:v>0</x:v>
      </x:c>
      <x:c r="E3985">
        <x:f>ROUND($C3985*10*VLOOKUP($B3985,Sheet2!$J$5:$K$7,2,FALSE)*VLOOKUP(Sheet1!$A3985,Sheet2!$B$5:$H$29,4,FALSE),0)</x:f>
        <x:v>0</x:v>
      </x:c>
      <x:c r="F3985">
        <x:f>ROUND($C3985*10*VLOOKUP($B3985,Sheet2!$J$5:$K$7,2,FALSE)*VLOOKUP(Sheet1!$A3985,Sheet2!$B$5:$H$29,5,FALSE),0)</x:f>
        <x:v>38</x:v>
      </x:c>
      <x:c r="G3985">
        <x:f>ROUND($C3985*10*VLOOKUP($B3985,Sheet2!$J$5:$K$7,2,FALSE)*VLOOKUP(Sheet1!$A3985,Sheet2!$B$5:$H$29,6,FALSE),0)</x:f>
        <x:v>0</x:v>
      </x:c>
      <x:c r="H3985">
        <x:f>ROUND($C3985*10*VLOOKUP($B3985,Sheet2!$J$5:$K$7,2,FALSE)*VLOOKUP(Sheet1!$A3985,Sheet2!$B$5:$H$29,7,FALSE),0)</x:f>
        <x:v>720</x:v>
      </x:c>
      <x:c r="I3985">
        <x:f t="shared" si="66"/>
        <x:v>6130</x:v>
      </x:c>
    </x:row>
    <x:row r="3986" spans="1:9" x14ac:dyDescent="0.15">
      <x:c r="A3986">
        <x:v>54203</x:v>
      </x:c>
      <x:c r="B3986">
        <x:v>1</x:v>
      </x:c>
      <x:c r="C3986">
        <x:v>25</x:v>
      </x:c>
      <x:c r="D3986">
        <x:f>ROUND($C3986*10*VLOOKUP($B3986,Sheet2!$J$5:$K$7,2,FALSE)*VLOOKUP(Sheet1!$A3986,Sheet2!$B$5:$H$29,3,FALSE),0)</x:f>
        <x:v>0</x:v>
      </x:c>
      <x:c r="E3986">
        <x:f>ROUND($C3986*10*VLOOKUP($B3986,Sheet2!$J$5:$K$7,2,FALSE)*VLOOKUP(Sheet1!$A3986,Sheet2!$B$5:$H$29,4,FALSE),0)</x:f>
        <x:v>0</x:v>
      </x:c>
      <x:c r="F3986">
        <x:f>ROUND($C3986*10*VLOOKUP($B3986,Sheet2!$J$5:$K$7,2,FALSE)*VLOOKUP(Sheet1!$A3986,Sheet2!$B$5:$H$29,5,FALSE),0)</x:f>
        <x:v>40</x:v>
      </x:c>
      <x:c r="G3986">
        <x:f>ROUND($C3986*10*VLOOKUP($B3986,Sheet2!$J$5:$K$7,2,FALSE)*VLOOKUP(Sheet1!$A3986,Sheet2!$B$5:$H$29,6,FALSE),0)</x:f>
        <x:v>0</x:v>
      </x:c>
      <x:c r="H3986">
        <x:f>ROUND($C3986*10*VLOOKUP($B3986,Sheet2!$J$5:$K$7,2,FALSE)*VLOOKUP(Sheet1!$A3986,Sheet2!$B$5:$H$29,7,FALSE),0)</x:f>
        <x:v>750</x:v>
      </x:c>
      <x:c r="I3986">
        <x:f t="shared" si="66"/>
        <x:v>6620</x:v>
      </x:c>
    </x:row>
    <x:row r="3987" spans="1:9" x14ac:dyDescent="0.15">
      <x:c r="A3987">
        <x:v>54203</x:v>
      </x:c>
      <x:c r="B3987">
        <x:v>1</x:v>
      </x:c>
      <x:c r="C3987">
        <x:v>26</x:v>
      </x:c>
      <x:c r="D3987">
        <x:f>ROUND($C3987*10*VLOOKUP($B3987,Sheet2!$J$5:$K$7,2,FALSE)*VLOOKUP(Sheet1!$A3987,Sheet2!$B$5:$H$29,3,FALSE),0)</x:f>
        <x:v>0</x:v>
      </x:c>
      <x:c r="E3987">
        <x:f>ROUND($C3987*10*VLOOKUP($B3987,Sheet2!$J$5:$K$7,2,FALSE)*VLOOKUP(Sheet1!$A3987,Sheet2!$B$5:$H$29,4,FALSE),0)</x:f>
        <x:v>0</x:v>
      </x:c>
      <x:c r="F3987">
        <x:f>ROUND($C3987*10*VLOOKUP($B3987,Sheet2!$J$5:$K$7,2,FALSE)*VLOOKUP(Sheet1!$A3987,Sheet2!$B$5:$H$29,5,FALSE),0)</x:f>
        <x:v>42</x:v>
      </x:c>
      <x:c r="G3987">
        <x:f>ROUND($C3987*10*VLOOKUP($B3987,Sheet2!$J$5:$K$7,2,FALSE)*VLOOKUP(Sheet1!$A3987,Sheet2!$B$5:$H$29,6,FALSE),0)</x:f>
        <x:v>0</x:v>
      </x:c>
      <x:c r="H3987">
        <x:f>ROUND($C3987*10*VLOOKUP($B3987,Sheet2!$J$5:$K$7,2,FALSE)*VLOOKUP(Sheet1!$A3987,Sheet2!$B$5:$H$29,7,FALSE),0)</x:f>
        <x:v>780</x:v>
      </x:c>
      <x:c r="I3987">
        <x:f t="shared" si="66"/>
        <x:v>7120</x:v>
      </x:c>
    </x:row>
    <x:row r="3988" spans="1:9" x14ac:dyDescent="0.15">
      <x:c r="A3988">
        <x:v>54203</x:v>
      </x:c>
      <x:c r="B3988">
        <x:v>1</x:v>
      </x:c>
      <x:c r="C3988">
        <x:v>27</x:v>
      </x:c>
      <x:c r="D3988">
        <x:f>ROUND($C3988*10*VLOOKUP($B3988,Sheet2!$J$5:$K$7,2,FALSE)*VLOOKUP(Sheet1!$A3988,Sheet2!$B$5:$H$29,3,FALSE),0)</x:f>
        <x:v>0</x:v>
      </x:c>
      <x:c r="E3988">
        <x:f>ROUND($C3988*10*VLOOKUP($B3988,Sheet2!$J$5:$K$7,2,FALSE)*VLOOKUP(Sheet1!$A3988,Sheet2!$B$5:$H$29,4,FALSE),0)</x:f>
        <x:v>0</x:v>
      </x:c>
      <x:c r="F3988">
        <x:f>ROUND($C3988*10*VLOOKUP($B3988,Sheet2!$J$5:$K$7,2,FALSE)*VLOOKUP(Sheet1!$A3988,Sheet2!$B$5:$H$29,5,FALSE),0)</x:f>
        <x:v>43</x:v>
      </x:c>
      <x:c r="G3988">
        <x:f>ROUND($C3988*10*VLOOKUP($B3988,Sheet2!$J$5:$K$7,2,FALSE)*VLOOKUP(Sheet1!$A3988,Sheet2!$B$5:$H$29,6,FALSE),0)</x:f>
        <x:v>0</x:v>
      </x:c>
      <x:c r="H3988">
        <x:f>ROUND($C3988*10*VLOOKUP($B3988,Sheet2!$J$5:$K$7,2,FALSE)*VLOOKUP(Sheet1!$A3988,Sheet2!$B$5:$H$29,7,FALSE),0)</x:f>
        <x:v>810</x:v>
      </x:c>
      <x:c r="I3988">
        <x:f t="shared" si="66"/>
        <x:v>7640</x:v>
      </x:c>
    </x:row>
    <x:row r="3989" spans="1:9" x14ac:dyDescent="0.15">
      <x:c r="A3989">
        <x:v>54203</x:v>
      </x:c>
      <x:c r="B3989">
        <x:v>1</x:v>
      </x:c>
      <x:c r="C3989">
        <x:v>28</x:v>
      </x:c>
      <x:c r="D3989">
        <x:f>ROUND($C3989*10*VLOOKUP($B3989,Sheet2!$J$5:$K$7,2,FALSE)*VLOOKUP(Sheet1!$A3989,Sheet2!$B$5:$H$29,3,FALSE),0)</x:f>
        <x:v>0</x:v>
      </x:c>
      <x:c r="E3989">
        <x:f>ROUND($C3989*10*VLOOKUP($B3989,Sheet2!$J$5:$K$7,2,FALSE)*VLOOKUP(Sheet1!$A3989,Sheet2!$B$5:$H$29,4,FALSE),0)</x:f>
        <x:v>0</x:v>
      </x:c>
      <x:c r="F3989">
        <x:f>ROUND($C3989*10*VLOOKUP($B3989,Sheet2!$J$5:$K$7,2,FALSE)*VLOOKUP(Sheet1!$A3989,Sheet2!$B$5:$H$29,5,FALSE),0)</x:f>
        <x:v>45</x:v>
      </x:c>
      <x:c r="G3989">
        <x:f>ROUND($C3989*10*VLOOKUP($B3989,Sheet2!$J$5:$K$7,2,FALSE)*VLOOKUP(Sheet1!$A3989,Sheet2!$B$5:$H$29,6,FALSE),0)</x:f>
        <x:v>0</x:v>
      </x:c>
      <x:c r="H3989">
        <x:f>ROUND($C3989*10*VLOOKUP($B3989,Sheet2!$J$5:$K$7,2,FALSE)*VLOOKUP(Sheet1!$A3989,Sheet2!$B$5:$H$29,7,FALSE),0)</x:f>
        <x:v>840</x:v>
      </x:c>
      <x:c r="I3989">
        <x:f t="shared" si="66"/>
        <x:v>8180</x:v>
      </x:c>
    </x:row>
    <x:row r="3990" spans="1:9" x14ac:dyDescent="0.15">
      <x:c r="A3990">
        <x:v>54203</x:v>
      </x:c>
      <x:c r="B3990">
        <x:v>1</x:v>
      </x:c>
      <x:c r="C3990">
        <x:v>29</x:v>
      </x:c>
      <x:c r="D3990">
        <x:f>ROUND($C3990*10*VLOOKUP($B3990,Sheet2!$J$5:$K$7,2,FALSE)*VLOOKUP(Sheet1!$A3990,Sheet2!$B$5:$H$29,3,FALSE),0)</x:f>
        <x:v>0</x:v>
      </x:c>
      <x:c r="E3990">
        <x:f>ROUND($C3990*10*VLOOKUP($B3990,Sheet2!$J$5:$K$7,2,FALSE)*VLOOKUP(Sheet1!$A3990,Sheet2!$B$5:$H$29,4,FALSE),0)</x:f>
        <x:v>0</x:v>
      </x:c>
      <x:c r="F3990">
        <x:f>ROUND($C3990*10*VLOOKUP($B3990,Sheet2!$J$5:$K$7,2,FALSE)*VLOOKUP(Sheet1!$A3990,Sheet2!$B$5:$H$29,5,FALSE),0)</x:f>
        <x:v>46</x:v>
      </x:c>
      <x:c r="G3990">
        <x:f>ROUND($C3990*10*VLOOKUP($B3990,Sheet2!$J$5:$K$7,2,FALSE)*VLOOKUP(Sheet1!$A3990,Sheet2!$B$5:$H$29,6,FALSE),0)</x:f>
        <x:v>0</x:v>
      </x:c>
      <x:c r="H3990">
        <x:f>ROUND($C3990*10*VLOOKUP($B3990,Sheet2!$J$5:$K$7,2,FALSE)*VLOOKUP(Sheet1!$A3990,Sheet2!$B$5:$H$29,7,FALSE),0)</x:f>
        <x:v>870</x:v>
      </x:c>
      <x:c r="I3990">
        <x:f t="shared" si="66"/>
        <x:v>8730</x:v>
      </x:c>
    </x:row>
    <x:row r="3991" spans="1:9" x14ac:dyDescent="0.15">
      <x:c r="A3991">
        <x:v>54203</x:v>
      </x:c>
      <x:c r="B3991">
        <x:v>1</x:v>
      </x:c>
      <x:c r="C3991">
        <x:v>30</x:v>
      </x:c>
      <x:c r="D3991">
        <x:f>ROUND($C3991*10*VLOOKUP($B3991,Sheet2!$J$5:$K$7,2,FALSE)*VLOOKUP(Sheet1!$A3991,Sheet2!$B$5:$H$29,3,FALSE),0)</x:f>
        <x:v>0</x:v>
      </x:c>
      <x:c r="E3991">
        <x:f>ROUND($C3991*10*VLOOKUP($B3991,Sheet2!$J$5:$K$7,2,FALSE)*VLOOKUP(Sheet1!$A3991,Sheet2!$B$5:$H$29,4,FALSE),0)</x:f>
        <x:v>0</x:v>
      </x:c>
      <x:c r="F3991">
        <x:f>ROUND($C3991*10*VLOOKUP($B3991,Sheet2!$J$5:$K$7,2,FALSE)*VLOOKUP(Sheet1!$A3991,Sheet2!$B$5:$H$29,5,FALSE),0)</x:f>
        <x:v>48</x:v>
      </x:c>
      <x:c r="G3991">
        <x:f>ROUND($C3991*10*VLOOKUP($B3991,Sheet2!$J$5:$K$7,2,FALSE)*VLOOKUP(Sheet1!$A3991,Sheet2!$B$5:$H$29,6,FALSE),0)</x:f>
        <x:v>0</x:v>
      </x:c>
      <x:c r="H3991">
        <x:f>ROUND($C3991*10*VLOOKUP($B3991,Sheet2!$J$5:$K$7,2,FALSE)*VLOOKUP(Sheet1!$A3991,Sheet2!$B$5:$H$29,7,FALSE),0)</x:f>
        <x:v>900</x:v>
      </x:c>
      <x:c r="I3991">
        <x:f t="shared" si="66"/>
        <x:v>9290</x:v>
      </x:c>
    </x:row>
    <x:row r="3992" spans="1:9" x14ac:dyDescent="0.15">
      <x:c r="A3992">
        <x:v>54203</x:v>
      </x:c>
      <x:c r="B3992">
        <x:v>1</x:v>
      </x:c>
      <x:c r="C3992">
        <x:v>31</x:v>
      </x:c>
      <x:c r="D3992">
        <x:f>ROUND($C3992*10*VLOOKUP($B3992,Sheet2!$J$5:$K$7,2,FALSE)*VLOOKUP(Sheet1!$A3992,Sheet2!$B$5:$H$29,3,FALSE),0)</x:f>
        <x:v>0</x:v>
      </x:c>
      <x:c r="E3992">
        <x:f>ROUND($C3992*10*VLOOKUP($B3992,Sheet2!$J$5:$K$7,2,FALSE)*VLOOKUP(Sheet1!$A3992,Sheet2!$B$5:$H$29,4,FALSE),0)</x:f>
        <x:v>0</x:v>
      </x:c>
      <x:c r="F3992">
        <x:f>ROUND($C3992*10*VLOOKUP($B3992,Sheet2!$J$5:$K$7,2,FALSE)*VLOOKUP(Sheet1!$A3992,Sheet2!$B$5:$H$29,5,FALSE),0)</x:f>
        <x:v>50</x:v>
      </x:c>
      <x:c r="G3992">
        <x:f>ROUND($C3992*10*VLOOKUP($B3992,Sheet2!$J$5:$K$7,2,FALSE)*VLOOKUP(Sheet1!$A3992,Sheet2!$B$5:$H$29,6,FALSE),0)</x:f>
        <x:v>0</x:v>
      </x:c>
      <x:c r="H3992">
        <x:f>ROUND($C3992*10*VLOOKUP($B3992,Sheet2!$J$5:$K$7,2,FALSE)*VLOOKUP(Sheet1!$A3992,Sheet2!$B$5:$H$29,7,FALSE),0)</x:f>
        <x:v>930</x:v>
      </x:c>
      <x:c r="I3992">
        <x:f t="shared" si="66"/>
        <x:v>9880</x:v>
      </x:c>
    </x:row>
    <x:row r="3993" spans="1:9" x14ac:dyDescent="0.15">
      <x:c r="A3993">
        <x:v>54203</x:v>
      </x:c>
      <x:c r="B3993">
        <x:v>1</x:v>
      </x:c>
      <x:c r="C3993">
        <x:v>32</x:v>
      </x:c>
      <x:c r="D3993">
        <x:f>ROUND($C3993*10*VLOOKUP($B3993,Sheet2!$J$5:$K$7,2,FALSE)*VLOOKUP(Sheet1!$A3993,Sheet2!$B$5:$H$29,3,FALSE),0)</x:f>
        <x:v>0</x:v>
      </x:c>
      <x:c r="E3993">
        <x:f>ROUND($C3993*10*VLOOKUP($B3993,Sheet2!$J$5:$K$7,2,FALSE)*VLOOKUP(Sheet1!$A3993,Sheet2!$B$5:$H$29,4,FALSE),0)</x:f>
        <x:v>0</x:v>
      </x:c>
      <x:c r="F3993">
        <x:f>ROUND($C3993*10*VLOOKUP($B3993,Sheet2!$J$5:$K$7,2,FALSE)*VLOOKUP(Sheet1!$A3993,Sheet2!$B$5:$H$29,5,FALSE),0)</x:f>
        <x:v>51</x:v>
      </x:c>
      <x:c r="G3993">
        <x:f>ROUND($C3993*10*VLOOKUP($B3993,Sheet2!$J$5:$K$7,2,FALSE)*VLOOKUP(Sheet1!$A3993,Sheet2!$B$5:$H$29,6,FALSE),0)</x:f>
        <x:v>0</x:v>
      </x:c>
      <x:c r="H3993">
        <x:f>ROUND($C3993*10*VLOOKUP($B3993,Sheet2!$J$5:$K$7,2,FALSE)*VLOOKUP(Sheet1!$A3993,Sheet2!$B$5:$H$29,7,FALSE),0)</x:f>
        <x:v>960</x:v>
      </x:c>
      <x:c r="I3993">
        <x:f t="shared" si="66"/>
        <x:v>10470</x:v>
      </x:c>
    </x:row>
    <x:row r="3994" spans="1:9" x14ac:dyDescent="0.15">
      <x:c r="A3994">
        <x:v>54203</x:v>
      </x:c>
      <x:c r="B3994">
        <x:v>1</x:v>
      </x:c>
      <x:c r="C3994">
        <x:v>33</x:v>
      </x:c>
      <x:c r="D3994">
        <x:f>ROUND($C3994*10*VLOOKUP($B3994,Sheet2!$J$5:$K$7,2,FALSE)*VLOOKUP(Sheet1!$A3994,Sheet2!$B$5:$H$29,3,FALSE),0)</x:f>
        <x:v>0</x:v>
      </x:c>
      <x:c r="E3994">
        <x:f>ROUND($C3994*10*VLOOKUP($B3994,Sheet2!$J$5:$K$7,2,FALSE)*VLOOKUP(Sheet1!$A3994,Sheet2!$B$5:$H$29,4,FALSE),0)</x:f>
        <x:v>0</x:v>
      </x:c>
      <x:c r="F3994">
        <x:f>ROUND($C3994*10*VLOOKUP($B3994,Sheet2!$J$5:$K$7,2,FALSE)*VLOOKUP(Sheet1!$A3994,Sheet2!$B$5:$H$29,5,FALSE),0)</x:f>
        <x:v>53</x:v>
      </x:c>
      <x:c r="G3994">
        <x:f>ROUND($C3994*10*VLOOKUP($B3994,Sheet2!$J$5:$K$7,2,FALSE)*VLOOKUP(Sheet1!$A3994,Sheet2!$B$5:$H$29,6,FALSE),0)</x:f>
        <x:v>0</x:v>
      </x:c>
      <x:c r="H3994">
        <x:f>ROUND($C3994*10*VLOOKUP($B3994,Sheet2!$J$5:$K$7,2,FALSE)*VLOOKUP(Sheet1!$A3994,Sheet2!$B$5:$H$29,7,FALSE),0)</x:f>
        <x:v>990</x:v>
      </x:c>
      <x:c r="I3994">
        <x:f t="shared" si="66"/>
        <x:v>11090</x:v>
      </x:c>
    </x:row>
    <x:row r="3995" spans="1:9" x14ac:dyDescent="0.15">
      <x:c r="A3995">
        <x:v>54203</x:v>
      </x:c>
      <x:c r="B3995">
        <x:v>1</x:v>
      </x:c>
      <x:c r="C3995">
        <x:v>34</x:v>
      </x:c>
      <x:c r="D3995">
        <x:f>ROUND($C3995*10*VLOOKUP($B3995,Sheet2!$J$5:$K$7,2,FALSE)*VLOOKUP(Sheet1!$A3995,Sheet2!$B$5:$H$29,3,FALSE),0)</x:f>
        <x:v>0</x:v>
      </x:c>
      <x:c r="E3995">
        <x:f>ROUND($C3995*10*VLOOKUP($B3995,Sheet2!$J$5:$K$7,2,FALSE)*VLOOKUP(Sheet1!$A3995,Sheet2!$B$5:$H$29,4,FALSE),0)</x:f>
        <x:v>0</x:v>
      </x:c>
      <x:c r="F3995">
        <x:f>ROUND($C3995*10*VLOOKUP($B3995,Sheet2!$J$5:$K$7,2,FALSE)*VLOOKUP(Sheet1!$A3995,Sheet2!$B$5:$H$29,5,FALSE),0)</x:f>
        <x:v>54</x:v>
      </x:c>
      <x:c r="G3995">
        <x:f>ROUND($C3995*10*VLOOKUP($B3995,Sheet2!$J$5:$K$7,2,FALSE)*VLOOKUP(Sheet1!$A3995,Sheet2!$B$5:$H$29,6,FALSE),0)</x:f>
        <x:v>0</x:v>
      </x:c>
      <x:c r="H3995">
        <x:f>ROUND($C3995*10*VLOOKUP($B3995,Sheet2!$J$5:$K$7,2,FALSE)*VLOOKUP(Sheet1!$A3995,Sheet2!$B$5:$H$29,7,FALSE),0)</x:f>
        <x:v>1020</x:v>
      </x:c>
      <x:c r="I3995">
        <x:f t="shared" si="66"/>
        <x:v>11720</x:v>
      </x:c>
    </x:row>
    <x:row r="3996" spans="1:9" x14ac:dyDescent="0.15">
      <x:c r="A3996">
        <x:v>54203</x:v>
      </x:c>
      <x:c r="B3996">
        <x:v>1</x:v>
      </x:c>
      <x:c r="C3996">
        <x:v>35</x:v>
      </x:c>
      <x:c r="D3996">
        <x:f>ROUND($C3996*10*VLOOKUP($B3996,Sheet2!$J$5:$K$7,2,FALSE)*VLOOKUP(Sheet1!$A3996,Sheet2!$B$5:$H$29,3,FALSE),0)</x:f>
        <x:v>0</x:v>
      </x:c>
      <x:c r="E3996">
        <x:f>ROUND($C3996*10*VLOOKUP($B3996,Sheet2!$J$5:$K$7,2,FALSE)*VLOOKUP(Sheet1!$A3996,Sheet2!$B$5:$H$29,4,FALSE),0)</x:f>
        <x:v>0</x:v>
      </x:c>
      <x:c r="F3996">
        <x:f>ROUND($C3996*10*VLOOKUP($B3996,Sheet2!$J$5:$K$7,2,FALSE)*VLOOKUP(Sheet1!$A3996,Sheet2!$B$5:$H$29,5,FALSE),0)</x:f>
        <x:v>56</x:v>
      </x:c>
      <x:c r="G3996">
        <x:f>ROUND($C3996*10*VLOOKUP($B3996,Sheet2!$J$5:$K$7,2,FALSE)*VLOOKUP(Sheet1!$A3996,Sheet2!$B$5:$H$29,6,FALSE),0)</x:f>
        <x:v>0</x:v>
      </x:c>
      <x:c r="H3996">
        <x:f>ROUND($C3996*10*VLOOKUP($B3996,Sheet2!$J$5:$K$7,2,FALSE)*VLOOKUP(Sheet1!$A3996,Sheet2!$B$5:$H$29,7,FALSE),0)</x:f>
        <x:v>1050</x:v>
      </x:c>
      <x:c r="I3996">
        <x:f t="shared" si="66"/>
        <x:v>12360</x:v>
      </x:c>
    </x:row>
    <x:row r="3997" spans="1:9" x14ac:dyDescent="0.15">
      <x:c r="A3997">
        <x:v>54203</x:v>
      </x:c>
      <x:c r="B3997">
        <x:v>1</x:v>
      </x:c>
      <x:c r="C3997">
        <x:v>36</x:v>
      </x:c>
      <x:c r="D3997">
        <x:f>ROUND($C3997*10*VLOOKUP($B3997,Sheet2!$J$5:$K$7,2,FALSE)*VLOOKUP(Sheet1!$A3997,Sheet2!$B$5:$H$29,3,FALSE),0)</x:f>
        <x:v>0</x:v>
      </x:c>
      <x:c r="E3997">
        <x:f>ROUND($C3997*10*VLOOKUP($B3997,Sheet2!$J$5:$K$7,2,FALSE)*VLOOKUP(Sheet1!$A3997,Sheet2!$B$5:$H$29,4,FALSE),0)</x:f>
        <x:v>0</x:v>
      </x:c>
      <x:c r="F3997">
        <x:f>ROUND($C3997*10*VLOOKUP($B3997,Sheet2!$J$5:$K$7,2,FALSE)*VLOOKUP(Sheet1!$A3997,Sheet2!$B$5:$H$29,5,FALSE),0)</x:f>
        <x:v>58</x:v>
      </x:c>
      <x:c r="G3997">
        <x:f>ROUND($C3997*10*VLOOKUP($B3997,Sheet2!$J$5:$K$7,2,FALSE)*VLOOKUP(Sheet1!$A3997,Sheet2!$B$5:$H$29,6,FALSE),0)</x:f>
        <x:v>0</x:v>
      </x:c>
      <x:c r="H3997">
        <x:f>ROUND($C3997*10*VLOOKUP($B3997,Sheet2!$J$5:$K$7,2,FALSE)*VLOOKUP(Sheet1!$A3997,Sheet2!$B$5:$H$29,7,FALSE),0)</x:f>
        <x:v>1080</x:v>
      </x:c>
      <x:c r="I3997">
        <x:f t="shared" si="66"/>
        <x:v>13020</x:v>
      </x:c>
    </x:row>
    <x:row r="3998" spans="1:9" x14ac:dyDescent="0.15">
      <x:c r="A3998">
        <x:v>54203</x:v>
      </x:c>
      <x:c r="B3998">
        <x:v>1</x:v>
      </x:c>
      <x:c r="C3998">
        <x:v>37</x:v>
      </x:c>
      <x:c r="D3998">
        <x:f>ROUND($C3998*10*VLOOKUP($B3998,Sheet2!$J$5:$K$7,2,FALSE)*VLOOKUP(Sheet1!$A3998,Sheet2!$B$5:$H$29,3,FALSE),0)</x:f>
        <x:v>0</x:v>
      </x:c>
      <x:c r="E3998">
        <x:f>ROUND($C3998*10*VLOOKUP($B3998,Sheet2!$J$5:$K$7,2,FALSE)*VLOOKUP(Sheet1!$A3998,Sheet2!$B$5:$H$29,4,FALSE),0)</x:f>
        <x:v>0</x:v>
      </x:c>
      <x:c r="F3998">
        <x:f>ROUND($C3998*10*VLOOKUP($B3998,Sheet2!$J$5:$K$7,2,FALSE)*VLOOKUP(Sheet1!$A3998,Sheet2!$B$5:$H$29,5,FALSE),0)</x:f>
        <x:v>59</x:v>
      </x:c>
      <x:c r="G3998">
        <x:f>ROUND($C3998*10*VLOOKUP($B3998,Sheet2!$J$5:$K$7,2,FALSE)*VLOOKUP(Sheet1!$A3998,Sheet2!$B$5:$H$29,6,FALSE),0)</x:f>
        <x:v>0</x:v>
      </x:c>
      <x:c r="H3998">
        <x:f>ROUND($C3998*10*VLOOKUP($B3998,Sheet2!$J$5:$K$7,2,FALSE)*VLOOKUP(Sheet1!$A3998,Sheet2!$B$5:$H$29,7,FALSE),0)</x:f>
        <x:v>1110</x:v>
      </x:c>
      <x:c r="I3998">
        <x:f t="shared" si="66"/>
        <x:v>13700</x:v>
      </x:c>
    </x:row>
    <x:row r="3999" spans="1:9" x14ac:dyDescent="0.15">
      <x:c r="A3999">
        <x:v>54203</x:v>
      </x:c>
      <x:c r="B3999">
        <x:v>1</x:v>
      </x:c>
      <x:c r="C3999">
        <x:v>38</x:v>
      </x:c>
      <x:c r="D3999">
        <x:f>ROUND($C3999*10*VLOOKUP($B3999,Sheet2!$J$5:$K$7,2,FALSE)*VLOOKUP(Sheet1!$A3999,Sheet2!$B$5:$H$29,3,FALSE),0)</x:f>
        <x:v>0</x:v>
      </x:c>
      <x:c r="E3999">
        <x:f>ROUND($C3999*10*VLOOKUP($B3999,Sheet2!$J$5:$K$7,2,FALSE)*VLOOKUP(Sheet1!$A3999,Sheet2!$B$5:$H$29,4,FALSE),0)</x:f>
        <x:v>0</x:v>
      </x:c>
      <x:c r="F3999">
        <x:f>ROUND($C3999*10*VLOOKUP($B3999,Sheet2!$J$5:$K$7,2,FALSE)*VLOOKUP(Sheet1!$A3999,Sheet2!$B$5:$H$29,5,FALSE),0)</x:f>
        <x:v>61</x:v>
      </x:c>
      <x:c r="G3999">
        <x:f>ROUND($C3999*10*VLOOKUP($B3999,Sheet2!$J$5:$K$7,2,FALSE)*VLOOKUP(Sheet1!$A3999,Sheet2!$B$5:$H$29,6,FALSE),0)</x:f>
        <x:v>0</x:v>
      </x:c>
      <x:c r="H3999">
        <x:f>ROUND($C3999*10*VLOOKUP($B3999,Sheet2!$J$5:$K$7,2,FALSE)*VLOOKUP(Sheet1!$A3999,Sheet2!$B$5:$H$29,7,FALSE),0)</x:f>
        <x:v>1140</x:v>
      </x:c>
      <x:c r="I3999">
        <x:f t="shared" si="66"/>
        <x:v>14390</x:v>
      </x:c>
    </x:row>
    <x:row r="4000" spans="1:9" x14ac:dyDescent="0.15">
      <x:c r="A4000">
        <x:v>54203</x:v>
      </x:c>
      <x:c r="B4000">
        <x:v>1</x:v>
      </x:c>
      <x:c r="C4000">
        <x:v>39</x:v>
      </x:c>
      <x:c r="D4000">
        <x:f>ROUND($C4000*10*VLOOKUP($B4000,Sheet2!$J$5:$K$7,2,FALSE)*VLOOKUP(Sheet1!$A4000,Sheet2!$B$5:$H$29,3,FALSE),0)</x:f>
        <x:v>0</x:v>
      </x:c>
      <x:c r="E4000">
        <x:f>ROUND($C4000*10*VLOOKUP($B4000,Sheet2!$J$5:$K$7,2,FALSE)*VLOOKUP(Sheet1!$A4000,Sheet2!$B$5:$H$29,4,FALSE),0)</x:f>
        <x:v>0</x:v>
      </x:c>
      <x:c r="F4000">
        <x:f>ROUND($C4000*10*VLOOKUP($B4000,Sheet2!$J$5:$K$7,2,FALSE)*VLOOKUP(Sheet1!$A4000,Sheet2!$B$5:$H$29,5,FALSE),0)</x:f>
        <x:v>62</x:v>
      </x:c>
      <x:c r="G4000">
        <x:f>ROUND($C4000*10*VLOOKUP($B4000,Sheet2!$J$5:$K$7,2,FALSE)*VLOOKUP(Sheet1!$A4000,Sheet2!$B$5:$H$29,6,FALSE),0)</x:f>
        <x:v>0</x:v>
      </x:c>
      <x:c r="H4000">
        <x:f>ROUND($C4000*10*VLOOKUP($B4000,Sheet2!$J$5:$K$7,2,FALSE)*VLOOKUP(Sheet1!$A4000,Sheet2!$B$5:$H$29,7,FALSE),0)</x:f>
        <x:v>1170</x:v>
      </x:c>
      <x:c r="I4000">
        <x:f t="shared" si="66"/>
        <x:v>15100</x:v>
      </x:c>
    </x:row>
    <x:row r="4001" spans="1:9" x14ac:dyDescent="0.15">
      <x:c r="A4001">
        <x:v>54203</x:v>
      </x:c>
      <x:c r="B4001">
        <x:v>1</x:v>
      </x:c>
      <x:c r="C4001">
        <x:v>40</x:v>
      </x:c>
      <x:c r="D4001">
        <x:f>ROUND($C4001*10*VLOOKUP($B4001,Sheet2!$J$5:$K$7,2,FALSE)*VLOOKUP(Sheet1!$A4001,Sheet2!$B$5:$H$29,3,FALSE),0)</x:f>
        <x:v>0</x:v>
      </x:c>
      <x:c r="E4001">
        <x:f>ROUND($C4001*10*VLOOKUP($B4001,Sheet2!$J$5:$K$7,2,FALSE)*VLOOKUP(Sheet1!$A4001,Sheet2!$B$5:$H$29,4,FALSE),0)</x:f>
        <x:v>0</x:v>
      </x:c>
      <x:c r="F4001">
        <x:f>ROUND($C4001*10*VLOOKUP($B4001,Sheet2!$J$5:$K$7,2,FALSE)*VLOOKUP(Sheet1!$A4001,Sheet2!$B$5:$H$29,5,FALSE),0)</x:f>
        <x:v>64</x:v>
      </x:c>
      <x:c r="G4001">
        <x:f>ROUND($C4001*10*VLOOKUP($B4001,Sheet2!$J$5:$K$7,2,FALSE)*VLOOKUP(Sheet1!$A4001,Sheet2!$B$5:$H$29,6,FALSE),0)</x:f>
        <x:v>0</x:v>
      </x:c>
      <x:c r="H4001">
        <x:f>ROUND($C4001*10*VLOOKUP($B4001,Sheet2!$J$5:$K$7,2,FALSE)*VLOOKUP(Sheet1!$A4001,Sheet2!$B$5:$H$29,7,FALSE),0)</x:f>
        <x:v>1200</x:v>
      </x:c>
      <x:c r="I4001">
        <x:f t="shared" si="66"/>
        <x:v>15820</x:v>
      </x:c>
    </x:row>
    <x:row r="4002" spans="1:9" x14ac:dyDescent="0.15">
      <x:c r="A4002">
        <x:v>54203</x:v>
      </x:c>
      <x:c r="B4002">
        <x:v>1</x:v>
      </x:c>
      <x:c r="C4002">
        <x:v>41</x:v>
      </x:c>
      <x:c r="D4002">
        <x:f>ROUND($C4002*10*VLOOKUP($B4002,Sheet2!$J$5:$K$7,2,FALSE)*VLOOKUP(Sheet1!$A4002,Sheet2!$B$5:$H$29,3,FALSE),0)</x:f>
        <x:v>0</x:v>
      </x:c>
      <x:c r="E4002">
        <x:f>ROUND($C4002*10*VLOOKUP($B4002,Sheet2!$J$5:$K$7,2,FALSE)*VLOOKUP(Sheet1!$A4002,Sheet2!$B$5:$H$29,4,FALSE),0)</x:f>
        <x:v>0</x:v>
      </x:c>
      <x:c r="F4002">
        <x:f>ROUND($C4002*10*VLOOKUP($B4002,Sheet2!$J$5:$K$7,2,FALSE)*VLOOKUP(Sheet1!$A4002,Sheet2!$B$5:$H$29,5,FALSE),0)</x:f>
        <x:v>66</x:v>
      </x:c>
      <x:c r="G4002">
        <x:f>ROUND($C4002*10*VLOOKUP($B4002,Sheet2!$J$5:$K$7,2,FALSE)*VLOOKUP(Sheet1!$A4002,Sheet2!$B$5:$H$29,6,FALSE),0)</x:f>
        <x:v>0</x:v>
      </x:c>
      <x:c r="H4002">
        <x:f>ROUND($C4002*10*VLOOKUP($B4002,Sheet2!$J$5:$K$7,2,FALSE)*VLOOKUP(Sheet1!$A4002,Sheet2!$B$5:$H$29,7,FALSE),0)</x:f>
        <x:v>1230</x:v>
      </x:c>
      <x:c r="I4002">
        <x:f t="shared" si="66"/>
        <x:v>16560</x:v>
      </x:c>
    </x:row>
    <x:row r="4003" spans="1:9" x14ac:dyDescent="0.15">
      <x:c r="A4003">
        <x:v>54203</x:v>
      </x:c>
      <x:c r="B4003">
        <x:v>1</x:v>
      </x:c>
      <x:c r="C4003">
        <x:v>42</x:v>
      </x:c>
      <x:c r="D4003">
        <x:f>ROUND($C4003*10*VLOOKUP($B4003,Sheet2!$J$5:$K$7,2,FALSE)*VLOOKUP(Sheet1!$A4003,Sheet2!$B$5:$H$29,3,FALSE),0)</x:f>
        <x:v>0</x:v>
      </x:c>
      <x:c r="E4003">
        <x:f>ROUND($C4003*10*VLOOKUP($B4003,Sheet2!$J$5:$K$7,2,FALSE)*VLOOKUP(Sheet1!$A4003,Sheet2!$B$5:$H$29,4,FALSE),0)</x:f>
        <x:v>0</x:v>
      </x:c>
      <x:c r="F4003">
        <x:f>ROUND($C4003*10*VLOOKUP($B4003,Sheet2!$J$5:$K$7,2,FALSE)*VLOOKUP(Sheet1!$A4003,Sheet2!$B$5:$H$29,5,FALSE),0)</x:f>
        <x:v>67</x:v>
      </x:c>
      <x:c r="G4003">
        <x:f>ROUND($C4003*10*VLOOKUP($B4003,Sheet2!$J$5:$K$7,2,FALSE)*VLOOKUP(Sheet1!$A4003,Sheet2!$B$5:$H$29,6,FALSE),0)</x:f>
        <x:v>0</x:v>
      </x:c>
      <x:c r="H4003">
        <x:f>ROUND($C4003*10*VLOOKUP($B4003,Sheet2!$J$5:$K$7,2,FALSE)*VLOOKUP(Sheet1!$A4003,Sheet2!$B$5:$H$29,7,FALSE),0)</x:f>
        <x:v>1260</x:v>
      </x:c>
      <x:c r="I4003">
        <x:f t="shared" si="66"/>
        <x:v>17310</x:v>
      </x:c>
    </x:row>
    <x:row r="4004" spans="1:9" x14ac:dyDescent="0.15">
      <x:c r="A4004">
        <x:v>54203</x:v>
      </x:c>
      <x:c r="B4004">
        <x:v>1</x:v>
      </x:c>
      <x:c r="C4004">
        <x:v>43</x:v>
      </x:c>
      <x:c r="D4004">
        <x:f>ROUND($C4004*10*VLOOKUP($B4004,Sheet2!$J$5:$K$7,2,FALSE)*VLOOKUP(Sheet1!$A4004,Sheet2!$B$5:$H$29,3,FALSE),0)</x:f>
        <x:v>0</x:v>
      </x:c>
      <x:c r="E4004">
        <x:f>ROUND($C4004*10*VLOOKUP($B4004,Sheet2!$J$5:$K$7,2,FALSE)*VLOOKUP(Sheet1!$A4004,Sheet2!$B$5:$H$29,4,FALSE),0)</x:f>
        <x:v>0</x:v>
      </x:c>
      <x:c r="F4004">
        <x:f>ROUND($C4004*10*VLOOKUP($B4004,Sheet2!$J$5:$K$7,2,FALSE)*VLOOKUP(Sheet1!$A4004,Sheet2!$B$5:$H$29,5,FALSE),0)</x:f>
        <x:v>69</x:v>
      </x:c>
      <x:c r="G4004">
        <x:f>ROUND($C4004*10*VLOOKUP($B4004,Sheet2!$J$5:$K$7,2,FALSE)*VLOOKUP(Sheet1!$A4004,Sheet2!$B$5:$H$29,6,FALSE),0)</x:f>
        <x:v>0</x:v>
      </x:c>
      <x:c r="H4004">
        <x:f>ROUND($C4004*10*VLOOKUP($B4004,Sheet2!$J$5:$K$7,2,FALSE)*VLOOKUP(Sheet1!$A4004,Sheet2!$B$5:$H$29,7,FALSE),0)</x:f>
        <x:v>1290</x:v>
      </x:c>
      <x:c r="I4004">
        <x:f t="shared" si="66"/>
        <x:v>18070</x:v>
      </x:c>
    </x:row>
    <x:row r="4005" spans="1:9" x14ac:dyDescent="0.15">
      <x:c r="A4005">
        <x:v>54203</x:v>
      </x:c>
      <x:c r="B4005">
        <x:v>1</x:v>
      </x:c>
      <x:c r="C4005">
        <x:v>44</x:v>
      </x:c>
      <x:c r="D4005">
        <x:f>ROUND($C4005*10*VLOOKUP($B4005,Sheet2!$J$5:$K$7,2,FALSE)*VLOOKUP(Sheet1!$A4005,Sheet2!$B$5:$H$29,3,FALSE),0)</x:f>
        <x:v>0</x:v>
      </x:c>
      <x:c r="E4005">
        <x:f>ROUND($C4005*10*VLOOKUP($B4005,Sheet2!$J$5:$K$7,2,FALSE)*VLOOKUP(Sheet1!$A4005,Sheet2!$B$5:$H$29,4,FALSE),0)</x:f>
        <x:v>0</x:v>
      </x:c>
      <x:c r="F4005">
        <x:f>ROUND($C4005*10*VLOOKUP($B4005,Sheet2!$J$5:$K$7,2,FALSE)*VLOOKUP(Sheet1!$A4005,Sheet2!$B$5:$H$29,5,FALSE),0)</x:f>
        <x:v>70</x:v>
      </x:c>
      <x:c r="G4005">
        <x:f>ROUND($C4005*10*VLOOKUP($B4005,Sheet2!$J$5:$K$7,2,FALSE)*VLOOKUP(Sheet1!$A4005,Sheet2!$B$5:$H$29,6,FALSE),0)</x:f>
        <x:v>0</x:v>
      </x:c>
      <x:c r="H4005">
        <x:f>ROUND($C4005*10*VLOOKUP($B4005,Sheet2!$J$5:$K$7,2,FALSE)*VLOOKUP(Sheet1!$A4005,Sheet2!$B$5:$H$29,7,FALSE),0)</x:f>
        <x:v>1320</x:v>
      </x:c>
      <x:c r="I4005">
        <x:f t="shared" si="66"/>
        <x:v>18850</x:v>
      </x:c>
    </x:row>
    <x:row r="4006" spans="1:9" x14ac:dyDescent="0.15">
      <x:c r="A4006">
        <x:v>54203</x:v>
      </x:c>
      <x:c r="B4006">
        <x:v>1</x:v>
      </x:c>
      <x:c r="C4006">
        <x:v>45</x:v>
      </x:c>
      <x:c r="D4006">
        <x:f>ROUND($C4006*10*VLOOKUP($B4006,Sheet2!$J$5:$K$7,2,FALSE)*VLOOKUP(Sheet1!$A4006,Sheet2!$B$5:$H$29,3,FALSE),0)</x:f>
        <x:v>0</x:v>
      </x:c>
      <x:c r="E4006">
        <x:f>ROUND($C4006*10*VLOOKUP($B4006,Sheet2!$J$5:$K$7,2,FALSE)*VLOOKUP(Sheet1!$A4006,Sheet2!$B$5:$H$29,4,FALSE),0)</x:f>
        <x:v>0</x:v>
      </x:c>
      <x:c r="F4006">
        <x:f>ROUND($C4006*10*VLOOKUP($B4006,Sheet2!$J$5:$K$7,2,FALSE)*VLOOKUP(Sheet1!$A4006,Sheet2!$B$5:$H$29,5,FALSE),0)</x:f>
        <x:v>72</x:v>
      </x:c>
      <x:c r="G4006">
        <x:f>ROUND($C4006*10*VLOOKUP($B4006,Sheet2!$J$5:$K$7,2,FALSE)*VLOOKUP(Sheet1!$A4006,Sheet2!$B$5:$H$29,6,FALSE),0)</x:f>
        <x:v>0</x:v>
      </x:c>
      <x:c r="H4006">
        <x:f>ROUND($C4006*10*VLOOKUP($B4006,Sheet2!$J$5:$K$7,2,FALSE)*VLOOKUP(Sheet1!$A4006,Sheet2!$B$5:$H$29,7,FALSE),0)</x:f>
        <x:v>1350</x:v>
      </x:c>
      <x:c r="I4006">
        <x:f t="shared" si="66"/>
        <x:v>19650</x:v>
      </x:c>
    </x:row>
    <x:row r="4007" spans="1:9" x14ac:dyDescent="0.15">
      <x:c r="A4007">
        <x:v>54203</x:v>
      </x:c>
      <x:c r="B4007">
        <x:v>1</x:v>
      </x:c>
      <x:c r="C4007">
        <x:v>46</x:v>
      </x:c>
      <x:c r="D4007">
        <x:f>ROUND($C4007*10*VLOOKUP($B4007,Sheet2!$J$5:$K$7,2,FALSE)*VLOOKUP(Sheet1!$A4007,Sheet2!$B$5:$H$29,3,FALSE),0)</x:f>
        <x:v>0</x:v>
      </x:c>
      <x:c r="E4007">
        <x:f>ROUND($C4007*10*VLOOKUP($B4007,Sheet2!$J$5:$K$7,2,FALSE)*VLOOKUP(Sheet1!$A4007,Sheet2!$B$5:$H$29,4,FALSE),0)</x:f>
        <x:v>0</x:v>
      </x:c>
      <x:c r="F4007">
        <x:f>ROUND($C4007*10*VLOOKUP($B4007,Sheet2!$J$5:$K$7,2,FALSE)*VLOOKUP(Sheet1!$A4007,Sheet2!$B$5:$H$29,5,FALSE),0)</x:f>
        <x:v>74</x:v>
      </x:c>
      <x:c r="G4007">
        <x:f>ROUND($C4007*10*VLOOKUP($B4007,Sheet2!$J$5:$K$7,2,FALSE)*VLOOKUP(Sheet1!$A4007,Sheet2!$B$5:$H$29,6,FALSE),0)</x:f>
        <x:v>0</x:v>
      </x:c>
      <x:c r="H4007">
        <x:f>ROUND($C4007*10*VLOOKUP($B4007,Sheet2!$J$5:$K$7,2,FALSE)*VLOOKUP(Sheet1!$A4007,Sheet2!$B$5:$H$29,7,FALSE),0)</x:f>
        <x:v>1380</x:v>
      </x:c>
      <x:c r="I4007">
        <x:f t="shared" si="66"/>
        <x:v>20460</x:v>
      </x:c>
    </x:row>
    <x:row r="4008" spans="1:9" x14ac:dyDescent="0.15">
      <x:c r="A4008">
        <x:v>54203</x:v>
      </x:c>
      <x:c r="B4008">
        <x:v>1</x:v>
      </x:c>
      <x:c r="C4008">
        <x:v>47</x:v>
      </x:c>
      <x:c r="D4008">
        <x:f>ROUND($C4008*10*VLOOKUP($B4008,Sheet2!$J$5:$K$7,2,FALSE)*VLOOKUP(Sheet1!$A4008,Sheet2!$B$5:$H$29,3,FALSE),0)</x:f>
        <x:v>0</x:v>
      </x:c>
      <x:c r="E4008">
        <x:f>ROUND($C4008*10*VLOOKUP($B4008,Sheet2!$J$5:$K$7,2,FALSE)*VLOOKUP(Sheet1!$A4008,Sheet2!$B$5:$H$29,4,FALSE),0)</x:f>
        <x:v>0</x:v>
      </x:c>
      <x:c r="F4008">
        <x:f>ROUND($C4008*10*VLOOKUP($B4008,Sheet2!$J$5:$K$7,2,FALSE)*VLOOKUP(Sheet1!$A4008,Sheet2!$B$5:$H$29,5,FALSE),0)</x:f>
        <x:v>75</x:v>
      </x:c>
      <x:c r="G4008">
        <x:f>ROUND($C4008*10*VLOOKUP($B4008,Sheet2!$J$5:$K$7,2,FALSE)*VLOOKUP(Sheet1!$A4008,Sheet2!$B$5:$H$29,6,FALSE),0)</x:f>
        <x:v>0</x:v>
      </x:c>
      <x:c r="H4008">
        <x:f>ROUND($C4008*10*VLOOKUP($B4008,Sheet2!$J$5:$K$7,2,FALSE)*VLOOKUP(Sheet1!$A4008,Sheet2!$B$5:$H$29,7,FALSE),0)</x:f>
        <x:v>1410</x:v>
      </x:c>
      <x:c r="I4008">
        <x:f t="shared" si="66"/>
        <x:v>21280</x:v>
      </x:c>
    </x:row>
    <x:row r="4009" spans="1:9" x14ac:dyDescent="0.15">
      <x:c r="A4009">
        <x:v>54203</x:v>
      </x:c>
      <x:c r="B4009">
        <x:v>1</x:v>
      </x:c>
      <x:c r="C4009">
        <x:v>48</x:v>
      </x:c>
      <x:c r="D4009">
        <x:f>ROUND($C4009*10*VLOOKUP($B4009,Sheet2!$J$5:$K$7,2,FALSE)*VLOOKUP(Sheet1!$A4009,Sheet2!$B$5:$H$29,3,FALSE),0)</x:f>
        <x:v>0</x:v>
      </x:c>
      <x:c r="E4009">
        <x:f>ROUND($C4009*10*VLOOKUP($B4009,Sheet2!$J$5:$K$7,2,FALSE)*VLOOKUP(Sheet1!$A4009,Sheet2!$B$5:$H$29,4,FALSE),0)</x:f>
        <x:v>0</x:v>
      </x:c>
      <x:c r="F4009">
        <x:f>ROUND($C4009*10*VLOOKUP($B4009,Sheet2!$J$5:$K$7,2,FALSE)*VLOOKUP(Sheet1!$A4009,Sheet2!$B$5:$H$29,5,FALSE),0)</x:f>
        <x:v>77</x:v>
      </x:c>
      <x:c r="G4009">
        <x:f>ROUND($C4009*10*VLOOKUP($B4009,Sheet2!$J$5:$K$7,2,FALSE)*VLOOKUP(Sheet1!$A4009,Sheet2!$B$5:$H$29,6,FALSE),0)</x:f>
        <x:v>0</x:v>
      </x:c>
      <x:c r="H4009">
        <x:f>ROUND($C4009*10*VLOOKUP($B4009,Sheet2!$J$5:$K$7,2,FALSE)*VLOOKUP(Sheet1!$A4009,Sheet2!$B$5:$H$29,7,FALSE),0)</x:f>
        <x:v>1440</x:v>
      </x:c>
      <x:c r="I4009">
        <x:f t="shared" si="66"/>
        <x:v>22120</x:v>
      </x:c>
    </x:row>
    <x:row r="4010" spans="1:9" x14ac:dyDescent="0.15">
      <x:c r="A4010">
        <x:v>54203</x:v>
      </x:c>
      <x:c r="B4010">
        <x:v>1</x:v>
      </x:c>
      <x:c r="C4010">
        <x:v>49</x:v>
      </x:c>
      <x:c r="D4010">
        <x:f>ROUND($C4010*10*VLOOKUP($B4010,Sheet2!$J$5:$K$7,2,FALSE)*VLOOKUP(Sheet1!$A4010,Sheet2!$B$5:$H$29,3,FALSE),0)</x:f>
        <x:v>0</x:v>
      </x:c>
      <x:c r="E4010">
        <x:f>ROUND($C4010*10*VLOOKUP($B4010,Sheet2!$J$5:$K$7,2,FALSE)*VLOOKUP(Sheet1!$A4010,Sheet2!$B$5:$H$29,4,FALSE),0)</x:f>
        <x:v>0</x:v>
      </x:c>
      <x:c r="F4010">
        <x:f>ROUND($C4010*10*VLOOKUP($B4010,Sheet2!$J$5:$K$7,2,FALSE)*VLOOKUP(Sheet1!$A4010,Sheet2!$B$5:$H$29,5,FALSE),0)</x:f>
        <x:v>78</x:v>
      </x:c>
      <x:c r="G4010">
        <x:f>ROUND($C4010*10*VLOOKUP($B4010,Sheet2!$J$5:$K$7,2,FALSE)*VLOOKUP(Sheet1!$A4010,Sheet2!$B$5:$H$29,6,FALSE),0)</x:f>
        <x:v>0</x:v>
      </x:c>
      <x:c r="H4010">
        <x:f>ROUND($C4010*10*VLOOKUP($B4010,Sheet2!$J$5:$K$7,2,FALSE)*VLOOKUP(Sheet1!$A4010,Sheet2!$B$5:$H$29,7,FALSE),0)</x:f>
        <x:v>1470</x:v>
      </x:c>
      <x:c r="I4010">
        <x:f t="shared" si="66"/>
        <x:v>22970</x:v>
      </x:c>
    </x:row>
    <x:row r="4011" spans="1:9" x14ac:dyDescent="0.15">
      <x:c r="A4011">
        <x:v>54203</x:v>
      </x:c>
      <x:c r="B4011">
        <x:v>1</x:v>
      </x:c>
      <x:c r="C4011">
        <x:v>50</x:v>
      </x:c>
      <x:c r="D4011">
        <x:f>ROUND($C4011*10*VLOOKUP($B4011,Sheet2!$J$5:$K$7,2,FALSE)*VLOOKUP(Sheet1!$A4011,Sheet2!$B$5:$H$29,3,FALSE),0)</x:f>
        <x:v>0</x:v>
      </x:c>
      <x:c r="E4011">
        <x:f>ROUND($C4011*10*VLOOKUP($B4011,Sheet2!$J$5:$K$7,2,FALSE)*VLOOKUP(Sheet1!$A4011,Sheet2!$B$5:$H$29,4,FALSE),0)</x:f>
        <x:v>0</x:v>
      </x:c>
      <x:c r="F4011">
        <x:f>ROUND($C4011*10*VLOOKUP($B4011,Sheet2!$J$5:$K$7,2,FALSE)*VLOOKUP(Sheet1!$A4011,Sheet2!$B$5:$H$29,5,FALSE),0)</x:f>
        <x:v>80</x:v>
      </x:c>
      <x:c r="G4011">
        <x:f>ROUND($C4011*10*VLOOKUP($B4011,Sheet2!$J$5:$K$7,2,FALSE)*VLOOKUP(Sheet1!$A4011,Sheet2!$B$5:$H$29,6,FALSE),0)</x:f>
        <x:v>0</x:v>
      </x:c>
      <x:c r="H4011">
        <x:f>ROUND($C4011*10*VLOOKUP($B4011,Sheet2!$J$5:$K$7,2,FALSE)*VLOOKUP(Sheet1!$A4011,Sheet2!$B$5:$H$29,7,FALSE),0)</x:f>
        <x:v>1500</x:v>
      </x:c>
      <x:c r="I4011">
        <x:f t="shared" si="66"/>
        <x:v>23840</x:v>
      </x:c>
    </x:row>
    <x:row r="4012" spans="1:9" x14ac:dyDescent="0.15">
      <x:c r="A4012">
        <x:v>54203</x:v>
      </x:c>
      <x:c r="B4012">
        <x:v>1</x:v>
      </x:c>
      <x:c r="C4012">
        <x:v>51</x:v>
      </x:c>
      <x:c r="D4012">
        <x:f>ROUND($C4012*10*VLOOKUP($B4012,Sheet2!$J$5:$K$7,2,FALSE)*VLOOKUP(Sheet1!$A4012,Sheet2!$B$5:$H$29,3,FALSE),0)</x:f>
        <x:v>0</x:v>
      </x:c>
      <x:c r="E4012">
        <x:f>ROUND($C4012*10*VLOOKUP($B4012,Sheet2!$J$5:$K$7,2,FALSE)*VLOOKUP(Sheet1!$A4012,Sheet2!$B$5:$H$29,4,FALSE),0)</x:f>
        <x:v>0</x:v>
      </x:c>
      <x:c r="F4012">
        <x:f>ROUND($C4012*10*VLOOKUP($B4012,Sheet2!$J$5:$K$7,2,FALSE)*VLOOKUP(Sheet1!$A4012,Sheet2!$B$5:$H$29,5,FALSE),0)</x:f>
        <x:v>82</x:v>
      </x:c>
      <x:c r="G4012">
        <x:f>ROUND($C4012*10*VLOOKUP($B4012,Sheet2!$J$5:$K$7,2,FALSE)*VLOOKUP(Sheet1!$A4012,Sheet2!$B$5:$H$29,6,FALSE),0)</x:f>
        <x:v>0</x:v>
      </x:c>
      <x:c r="H4012">
        <x:f>ROUND($C4012*10*VLOOKUP($B4012,Sheet2!$J$5:$K$7,2,FALSE)*VLOOKUP(Sheet1!$A4012,Sheet2!$B$5:$H$29,7,FALSE),0)</x:f>
        <x:v>1530</x:v>
      </x:c>
      <x:c r="I4012">
        <x:f t="shared" si="66"/>
        <x:v>24720</x:v>
      </x:c>
    </x:row>
    <x:row r="4013" spans="1:9" x14ac:dyDescent="0.15">
      <x:c r="A4013">
        <x:v>54203</x:v>
      </x:c>
      <x:c r="B4013">
        <x:v>1</x:v>
      </x:c>
      <x:c r="C4013">
        <x:v>52</x:v>
      </x:c>
      <x:c r="D4013">
        <x:f>ROUND($C4013*10*VLOOKUP($B4013,Sheet2!$J$5:$K$7,2,FALSE)*VLOOKUP(Sheet1!$A4013,Sheet2!$B$5:$H$29,3,FALSE),0)</x:f>
        <x:v>0</x:v>
      </x:c>
      <x:c r="E4013">
        <x:f>ROUND($C4013*10*VLOOKUP($B4013,Sheet2!$J$5:$K$7,2,FALSE)*VLOOKUP(Sheet1!$A4013,Sheet2!$B$5:$H$29,4,FALSE),0)</x:f>
        <x:v>0</x:v>
      </x:c>
      <x:c r="F4013">
        <x:f>ROUND($C4013*10*VLOOKUP($B4013,Sheet2!$J$5:$K$7,2,FALSE)*VLOOKUP(Sheet1!$A4013,Sheet2!$B$5:$H$29,5,FALSE),0)</x:f>
        <x:v>83</x:v>
      </x:c>
      <x:c r="G4013">
        <x:f>ROUND($C4013*10*VLOOKUP($B4013,Sheet2!$J$5:$K$7,2,FALSE)*VLOOKUP(Sheet1!$A4013,Sheet2!$B$5:$H$29,6,FALSE),0)</x:f>
        <x:v>0</x:v>
      </x:c>
      <x:c r="H4013">
        <x:f>ROUND($C4013*10*VLOOKUP($B4013,Sheet2!$J$5:$K$7,2,FALSE)*VLOOKUP(Sheet1!$A4013,Sheet2!$B$5:$H$29,7,FALSE),0)</x:f>
        <x:v>1560</x:v>
      </x:c>
      <x:c r="I4013">
        <x:f t="shared" si="66"/>
        <x:v>25620</x:v>
      </x:c>
    </x:row>
    <x:row r="4014" spans="1:9" x14ac:dyDescent="0.15">
      <x:c r="A4014">
        <x:v>54203</x:v>
      </x:c>
      <x:c r="B4014">
        <x:v>1</x:v>
      </x:c>
      <x:c r="C4014">
        <x:v>53</x:v>
      </x:c>
      <x:c r="D4014">
        <x:f>ROUND($C4014*10*VLOOKUP($B4014,Sheet2!$J$5:$K$7,2,FALSE)*VLOOKUP(Sheet1!$A4014,Sheet2!$B$5:$H$29,3,FALSE),0)</x:f>
        <x:v>0</x:v>
      </x:c>
      <x:c r="E4014">
        <x:f>ROUND($C4014*10*VLOOKUP($B4014,Sheet2!$J$5:$K$7,2,FALSE)*VLOOKUP(Sheet1!$A4014,Sheet2!$B$5:$H$29,4,FALSE),0)</x:f>
        <x:v>0</x:v>
      </x:c>
      <x:c r="F4014">
        <x:f>ROUND($C4014*10*VLOOKUP($B4014,Sheet2!$J$5:$K$7,2,FALSE)*VLOOKUP(Sheet1!$A4014,Sheet2!$B$5:$H$29,5,FALSE),0)</x:f>
        <x:v>85</x:v>
      </x:c>
      <x:c r="G4014">
        <x:f>ROUND($C4014*10*VLOOKUP($B4014,Sheet2!$J$5:$K$7,2,FALSE)*VLOOKUP(Sheet1!$A4014,Sheet2!$B$5:$H$29,6,FALSE),0)</x:f>
        <x:v>0</x:v>
      </x:c>
      <x:c r="H4014">
        <x:f>ROUND($C4014*10*VLOOKUP($B4014,Sheet2!$J$5:$K$7,2,FALSE)*VLOOKUP(Sheet1!$A4014,Sheet2!$B$5:$H$29,7,FALSE),0)</x:f>
        <x:v>1590</x:v>
      </x:c>
      <x:c r="I4014">
        <x:f t="shared" si="66"/>
        <x:v>26530</x:v>
      </x:c>
    </x:row>
    <x:row r="4015" spans="1:9" x14ac:dyDescent="0.15">
      <x:c r="A4015">
        <x:v>54203</x:v>
      </x:c>
      <x:c r="B4015">
        <x:v>1</x:v>
      </x:c>
      <x:c r="C4015">
        <x:v>54</x:v>
      </x:c>
      <x:c r="D4015">
        <x:f>ROUND($C4015*10*VLOOKUP($B4015,Sheet2!$J$5:$K$7,2,FALSE)*VLOOKUP(Sheet1!$A4015,Sheet2!$B$5:$H$29,3,FALSE),0)</x:f>
        <x:v>0</x:v>
      </x:c>
      <x:c r="E4015">
        <x:f>ROUND($C4015*10*VLOOKUP($B4015,Sheet2!$J$5:$K$7,2,FALSE)*VLOOKUP(Sheet1!$A4015,Sheet2!$B$5:$H$29,4,FALSE),0)</x:f>
        <x:v>0</x:v>
      </x:c>
      <x:c r="F4015">
        <x:f>ROUND($C4015*10*VLOOKUP($B4015,Sheet2!$J$5:$K$7,2,FALSE)*VLOOKUP(Sheet1!$A4015,Sheet2!$B$5:$H$29,5,FALSE),0)</x:f>
        <x:v>86</x:v>
      </x:c>
      <x:c r="G4015">
        <x:f>ROUND($C4015*10*VLOOKUP($B4015,Sheet2!$J$5:$K$7,2,FALSE)*VLOOKUP(Sheet1!$A4015,Sheet2!$B$5:$H$29,6,FALSE),0)</x:f>
        <x:v>0</x:v>
      </x:c>
      <x:c r="H4015">
        <x:f>ROUND($C4015*10*VLOOKUP($B4015,Sheet2!$J$5:$K$7,2,FALSE)*VLOOKUP(Sheet1!$A4015,Sheet2!$B$5:$H$29,7,FALSE),0)</x:f>
        <x:v>1620</x:v>
      </x:c>
      <x:c r="I4015">
        <x:f t="shared" si="66"/>
        <x:v>27460</x:v>
      </x:c>
    </x:row>
    <x:row r="4016" spans="1:9" x14ac:dyDescent="0.15">
      <x:c r="A4016">
        <x:v>54203</x:v>
      </x:c>
      <x:c r="B4016">
        <x:v>1</x:v>
      </x:c>
      <x:c r="C4016">
        <x:v>55</x:v>
      </x:c>
      <x:c r="D4016">
        <x:f>ROUND($C4016*10*VLOOKUP($B4016,Sheet2!$J$5:$K$7,2,FALSE)*VLOOKUP(Sheet1!$A4016,Sheet2!$B$5:$H$29,3,FALSE),0)</x:f>
        <x:v>0</x:v>
      </x:c>
      <x:c r="E4016">
        <x:f>ROUND($C4016*10*VLOOKUP($B4016,Sheet2!$J$5:$K$7,2,FALSE)*VLOOKUP(Sheet1!$A4016,Sheet2!$B$5:$H$29,4,FALSE),0)</x:f>
        <x:v>0</x:v>
      </x:c>
      <x:c r="F4016">
        <x:f>ROUND($C4016*10*VLOOKUP($B4016,Sheet2!$J$5:$K$7,2,FALSE)*VLOOKUP(Sheet1!$A4016,Sheet2!$B$5:$H$29,5,FALSE),0)</x:f>
        <x:v>88</x:v>
      </x:c>
      <x:c r="G4016">
        <x:f>ROUND($C4016*10*VLOOKUP($B4016,Sheet2!$J$5:$K$7,2,FALSE)*VLOOKUP(Sheet1!$A4016,Sheet2!$B$5:$H$29,6,FALSE),0)</x:f>
        <x:v>0</x:v>
      </x:c>
      <x:c r="H4016">
        <x:f>ROUND($C4016*10*VLOOKUP($B4016,Sheet2!$J$5:$K$7,2,FALSE)*VLOOKUP(Sheet1!$A4016,Sheet2!$B$5:$H$29,7,FALSE),0)</x:f>
        <x:v>1650</x:v>
      </x:c>
      <x:c r="I4016">
        <x:f t="shared" si="66"/>
        <x:v>28390</x:v>
      </x:c>
    </x:row>
    <x:row r="4017" spans="1:9" x14ac:dyDescent="0.15">
      <x:c r="A4017">
        <x:v>54203</x:v>
      </x:c>
      <x:c r="B4017">
        <x:v>1</x:v>
      </x:c>
      <x:c r="C4017">
        <x:v>56</x:v>
      </x:c>
      <x:c r="D4017">
        <x:f>ROUND($C4017*10*VLOOKUP($B4017,Sheet2!$J$5:$K$7,2,FALSE)*VLOOKUP(Sheet1!$A4017,Sheet2!$B$5:$H$29,3,FALSE),0)</x:f>
        <x:v>0</x:v>
      </x:c>
      <x:c r="E4017">
        <x:f>ROUND($C4017*10*VLOOKUP($B4017,Sheet2!$J$5:$K$7,2,FALSE)*VLOOKUP(Sheet1!$A4017,Sheet2!$B$5:$H$29,4,FALSE),0)</x:f>
        <x:v>0</x:v>
      </x:c>
      <x:c r="F4017">
        <x:f>ROUND($C4017*10*VLOOKUP($B4017,Sheet2!$J$5:$K$7,2,FALSE)*VLOOKUP(Sheet1!$A4017,Sheet2!$B$5:$H$29,5,FALSE),0)</x:f>
        <x:v>90</x:v>
      </x:c>
      <x:c r="G4017">
        <x:f>ROUND($C4017*10*VLOOKUP($B4017,Sheet2!$J$5:$K$7,2,FALSE)*VLOOKUP(Sheet1!$A4017,Sheet2!$B$5:$H$29,6,FALSE),0)</x:f>
        <x:v>0</x:v>
      </x:c>
      <x:c r="H4017">
        <x:f>ROUND($C4017*10*VLOOKUP($B4017,Sheet2!$J$5:$K$7,2,FALSE)*VLOOKUP(Sheet1!$A4017,Sheet2!$B$5:$H$29,7,FALSE),0)</x:f>
        <x:v>1680</x:v>
      </x:c>
      <x:c r="I4017">
        <x:f t="shared" si="66"/>
        <x:v>29350</x:v>
      </x:c>
    </x:row>
    <x:row r="4018" spans="1:9" x14ac:dyDescent="0.15">
      <x:c r="A4018">
        <x:v>54203</x:v>
      </x:c>
      <x:c r="B4018">
        <x:v>1</x:v>
      </x:c>
      <x:c r="C4018">
        <x:v>57</x:v>
      </x:c>
      <x:c r="D4018">
        <x:f>ROUND($C4018*10*VLOOKUP($B4018,Sheet2!$J$5:$K$7,2,FALSE)*VLOOKUP(Sheet1!$A4018,Sheet2!$B$5:$H$29,3,FALSE),0)</x:f>
        <x:v>0</x:v>
      </x:c>
      <x:c r="E4018">
        <x:f>ROUND($C4018*10*VLOOKUP($B4018,Sheet2!$J$5:$K$7,2,FALSE)*VLOOKUP(Sheet1!$A4018,Sheet2!$B$5:$H$29,4,FALSE),0)</x:f>
        <x:v>0</x:v>
      </x:c>
      <x:c r="F4018">
        <x:f>ROUND($C4018*10*VLOOKUP($B4018,Sheet2!$J$5:$K$7,2,FALSE)*VLOOKUP(Sheet1!$A4018,Sheet2!$B$5:$H$29,5,FALSE),0)</x:f>
        <x:v>91</x:v>
      </x:c>
      <x:c r="G4018">
        <x:f>ROUND($C4018*10*VLOOKUP($B4018,Sheet2!$J$5:$K$7,2,FALSE)*VLOOKUP(Sheet1!$A4018,Sheet2!$B$5:$H$29,6,FALSE),0)</x:f>
        <x:v>0</x:v>
      </x:c>
      <x:c r="H4018">
        <x:f>ROUND($C4018*10*VLOOKUP($B4018,Sheet2!$J$5:$K$7,2,FALSE)*VLOOKUP(Sheet1!$A4018,Sheet2!$B$5:$H$29,7,FALSE),0)</x:f>
        <x:v>1710</x:v>
      </x:c>
      <x:c r="I4018">
        <x:f t="shared" si="66"/>
        <x:v>30310</x:v>
      </x:c>
    </x:row>
    <x:row r="4019" spans="1:9" x14ac:dyDescent="0.15">
      <x:c r="A4019">
        <x:v>54203</x:v>
      </x:c>
      <x:c r="B4019">
        <x:v>1</x:v>
      </x:c>
      <x:c r="C4019">
        <x:v>58</x:v>
      </x:c>
      <x:c r="D4019">
        <x:f>ROUND($C4019*10*VLOOKUP($B4019,Sheet2!$J$5:$K$7,2,FALSE)*VLOOKUP(Sheet1!$A4019,Sheet2!$B$5:$H$29,3,FALSE),0)</x:f>
        <x:v>0</x:v>
      </x:c>
      <x:c r="E4019">
        <x:f>ROUND($C4019*10*VLOOKUP($B4019,Sheet2!$J$5:$K$7,2,FALSE)*VLOOKUP(Sheet1!$A4019,Sheet2!$B$5:$H$29,4,FALSE),0)</x:f>
        <x:v>0</x:v>
      </x:c>
      <x:c r="F4019">
        <x:f>ROUND($C4019*10*VLOOKUP($B4019,Sheet2!$J$5:$K$7,2,FALSE)*VLOOKUP(Sheet1!$A4019,Sheet2!$B$5:$H$29,5,FALSE),0)</x:f>
        <x:v>93</x:v>
      </x:c>
      <x:c r="G4019">
        <x:f>ROUND($C4019*10*VLOOKUP($B4019,Sheet2!$J$5:$K$7,2,FALSE)*VLOOKUP(Sheet1!$A4019,Sheet2!$B$5:$H$29,6,FALSE),0)</x:f>
        <x:v>0</x:v>
      </x:c>
      <x:c r="H4019">
        <x:f>ROUND($C4019*10*VLOOKUP($B4019,Sheet2!$J$5:$K$7,2,FALSE)*VLOOKUP(Sheet1!$A4019,Sheet2!$B$5:$H$29,7,FALSE),0)</x:f>
        <x:v>1740</x:v>
      </x:c>
      <x:c r="I4019">
        <x:f t="shared" si="66"/>
        <x:v>31290</x:v>
      </x:c>
    </x:row>
    <x:row r="4020" spans="1:9" x14ac:dyDescent="0.15">
      <x:c r="A4020">
        <x:v>54203</x:v>
      </x:c>
      <x:c r="B4020">
        <x:v>1</x:v>
      </x:c>
      <x:c r="C4020">
        <x:v>59</x:v>
      </x:c>
      <x:c r="D4020">
        <x:f>ROUND($C4020*10*VLOOKUP($B4020,Sheet2!$J$5:$K$7,2,FALSE)*VLOOKUP(Sheet1!$A4020,Sheet2!$B$5:$H$29,3,FALSE),0)</x:f>
        <x:v>0</x:v>
      </x:c>
      <x:c r="E4020">
        <x:f>ROUND($C4020*10*VLOOKUP($B4020,Sheet2!$J$5:$K$7,2,FALSE)*VLOOKUP(Sheet1!$A4020,Sheet2!$B$5:$H$29,4,FALSE),0)</x:f>
        <x:v>0</x:v>
      </x:c>
      <x:c r="F4020">
        <x:f>ROUND($C4020*10*VLOOKUP($B4020,Sheet2!$J$5:$K$7,2,FALSE)*VLOOKUP(Sheet1!$A4020,Sheet2!$B$5:$H$29,5,FALSE),0)</x:f>
        <x:v>94</x:v>
      </x:c>
      <x:c r="G4020">
        <x:f>ROUND($C4020*10*VLOOKUP($B4020,Sheet2!$J$5:$K$7,2,FALSE)*VLOOKUP(Sheet1!$A4020,Sheet2!$B$5:$H$29,6,FALSE),0)</x:f>
        <x:v>0</x:v>
      </x:c>
      <x:c r="H4020">
        <x:f>ROUND($C4020*10*VLOOKUP($B4020,Sheet2!$J$5:$K$7,2,FALSE)*VLOOKUP(Sheet1!$A4020,Sheet2!$B$5:$H$29,7,FALSE),0)</x:f>
        <x:v>1770</x:v>
      </x:c>
      <x:c r="I4020">
        <x:f t="shared" si="66"/>
        <x:v>32290</x:v>
      </x:c>
    </x:row>
    <x:row r="4021" spans="1:9" x14ac:dyDescent="0.15">
      <x:c r="A4021">
        <x:v>54203</x:v>
      </x:c>
      <x:c r="B4021">
        <x:v>1</x:v>
      </x:c>
      <x:c r="C4021">
        <x:v>60</x:v>
      </x:c>
      <x:c r="D4021">
        <x:f>ROUND($C4021*10*VLOOKUP($B4021,Sheet2!$J$5:$K$7,2,FALSE)*VLOOKUP(Sheet1!$A4021,Sheet2!$B$5:$H$29,3,FALSE),0)</x:f>
        <x:v>0</x:v>
      </x:c>
      <x:c r="E4021">
        <x:f>ROUND($C4021*10*VLOOKUP($B4021,Sheet2!$J$5:$K$7,2,FALSE)*VLOOKUP(Sheet1!$A4021,Sheet2!$B$5:$H$29,4,FALSE),0)</x:f>
        <x:v>0</x:v>
      </x:c>
      <x:c r="F4021">
        <x:f>ROUND($C4021*10*VLOOKUP($B4021,Sheet2!$J$5:$K$7,2,FALSE)*VLOOKUP(Sheet1!$A4021,Sheet2!$B$5:$H$29,5,FALSE),0)</x:f>
        <x:v>96</x:v>
      </x:c>
      <x:c r="G4021">
        <x:f>ROUND($C4021*10*VLOOKUP($B4021,Sheet2!$J$5:$K$7,2,FALSE)*VLOOKUP(Sheet1!$A4021,Sheet2!$B$5:$H$29,6,FALSE),0)</x:f>
        <x:v>0</x:v>
      </x:c>
      <x:c r="H4021">
        <x:f>ROUND($C4021*10*VLOOKUP($B4021,Sheet2!$J$5:$K$7,2,FALSE)*VLOOKUP(Sheet1!$A4021,Sheet2!$B$5:$H$29,7,FALSE),0)</x:f>
        <x:v>1800</x:v>
      </x:c>
      <x:c r="I4021">
        <x:f t="shared" si="66"/>
        <x:v>33290</x:v>
      </x:c>
    </x:row>
    <x:row r="4022" spans="1:9" x14ac:dyDescent="0.15">
      <x:c r="A4022">
        <x:v>54203</x:v>
      </x:c>
      <x:c r="B4022">
        <x:v>2</x:v>
      </x:c>
      <x:c r="C4022">
        <x:v>1</x:v>
      </x:c>
      <x:c r="D4022">
        <x:f>ROUND($C4022*10*VLOOKUP($B4022,Sheet2!$J$5:$K$7,2,FALSE)*VLOOKUP(Sheet1!$A4022,Sheet2!$B$5:$H$29,3,FALSE),0)</x:f>
        <x:v>0</x:v>
      </x:c>
      <x:c r="E4022">
        <x:f>ROUND($C4022*10*VLOOKUP($B4022,Sheet2!$J$5:$K$7,2,FALSE)*VLOOKUP(Sheet1!$A4022,Sheet2!$B$5:$H$29,4,FALSE),0)</x:f>
        <x:v>0</x:v>
      </x:c>
      <x:c r="F4022">
        <x:f>ROUND($C4022*10*VLOOKUP($B4022,Sheet2!$J$5:$K$7,2,FALSE)*VLOOKUP(Sheet1!$A4022,Sheet2!$B$5:$H$29,5,FALSE),0)</x:f>
        <x:v>2</x:v>
      </x:c>
      <x:c r="G4022">
        <x:f>ROUND($C4022*10*VLOOKUP($B4022,Sheet2!$J$5:$K$7,2,FALSE)*VLOOKUP(Sheet1!$A4022,Sheet2!$B$5:$H$29,6,FALSE),0)</x:f>
        <x:v>0</x:v>
      </x:c>
      <x:c r="H4022">
        <x:f>ROUND($C4022*10*VLOOKUP($B4022,Sheet2!$J$5:$K$7,2,FALSE)*VLOOKUP(Sheet1!$A4022,Sheet2!$B$5:$H$29,7,FALSE),0)</x:f>
        <x:v>36</x:v>
      </x:c>
      <x:c r="I4022">
        <x:f t="shared" ref="I4022:I4081" si="67">ROUND(1.2*10*3.5*(C4022-1)^1.8+60,-1)</x:f>
        <x:v>60</x:v>
      </x:c>
    </x:row>
    <x:row r="4023" spans="1:9" x14ac:dyDescent="0.15">
      <x:c r="A4023">
        <x:v>54203</x:v>
      </x:c>
      <x:c r="B4023">
        <x:v>2</x:v>
      </x:c>
      <x:c r="C4023">
        <x:v>2</x:v>
      </x:c>
      <x:c r="D4023">
        <x:f>ROUND($C4023*10*VLOOKUP($B4023,Sheet2!$J$5:$K$7,2,FALSE)*VLOOKUP(Sheet1!$A4023,Sheet2!$B$5:$H$29,3,FALSE),0)</x:f>
        <x:v>0</x:v>
      </x:c>
      <x:c r="E4023">
        <x:f>ROUND($C4023*10*VLOOKUP($B4023,Sheet2!$J$5:$K$7,2,FALSE)*VLOOKUP(Sheet1!$A4023,Sheet2!$B$5:$H$29,4,FALSE),0)</x:f>
        <x:v>0</x:v>
      </x:c>
      <x:c r="F4023">
        <x:f>ROUND($C4023*10*VLOOKUP($B4023,Sheet2!$J$5:$K$7,2,FALSE)*VLOOKUP(Sheet1!$A4023,Sheet2!$B$5:$H$29,5,FALSE),0)</x:f>
        <x:v>4</x:v>
      </x:c>
      <x:c r="G4023">
        <x:f>ROUND($C4023*10*VLOOKUP($B4023,Sheet2!$J$5:$K$7,2,FALSE)*VLOOKUP(Sheet1!$A4023,Sheet2!$B$5:$H$29,6,FALSE),0)</x:f>
        <x:v>0</x:v>
      </x:c>
      <x:c r="H4023">
        <x:f>ROUND($C4023*10*VLOOKUP($B4023,Sheet2!$J$5:$K$7,2,FALSE)*VLOOKUP(Sheet1!$A4023,Sheet2!$B$5:$H$29,7,FALSE),0)</x:f>
        <x:v>72</x:v>
      </x:c>
      <x:c r="I4023">
        <x:f t="shared" si="67"/>
        <x:v>100</x:v>
      </x:c>
    </x:row>
    <x:row r="4024" spans="1:9" x14ac:dyDescent="0.15">
      <x:c r="A4024">
        <x:v>54203</x:v>
      </x:c>
      <x:c r="B4024">
        <x:v>2</x:v>
      </x:c>
      <x:c r="C4024">
        <x:v>3</x:v>
      </x:c>
      <x:c r="D4024">
        <x:f>ROUND($C4024*10*VLOOKUP($B4024,Sheet2!$J$5:$K$7,2,FALSE)*VLOOKUP(Sheet1!$A4024,Sheet2!$B$5:$H$29,3,FALSE),0)</x:f>
        <x:v>0</x:v>
      </x:c>
      <x:c r="E4024">
        <x:f>ROUND($C4024*10*VLOOKUP($B4024,Sheet2!$J$5:$K$7,2,FALSE)*VLOOKUP(Sheet1!$A4024,Sheet2!$B$5:$H$29,4,FALSE),0)</x:f>
        <x:v>0</x:v>
      </x:c>
      <x:c r="F4024">
        <x:f>ROUND($C4024*10*VLOOKUP($B4024,Sheet2!$J$5:$K$7,2,FALSE)*VLOOKUP(Sheet1!$A4024,Sheet2!$B$5:$H$29,5,FALSE),0)</x:f>
        <x:v>6</x:v>
      </x:c>
      <x:c r="G4024">
        <x:f>ROUND($C4024*10*VLOOKUP($B4024,Sheet2!$J$5:$K$7,2,FALSE)*VLOOKUP(Sheet1!$A4024,Sheet2!$B$5:$H$29,6,FALSE),0)</x:f>
        <x:v>0</x:v>
      </x:c>
      <x:c r="H4024">
        <x:f>ROUND($C4024*10*VLOOKUP($B4024,Sheet2!$J$5:$K$7,2,FALSE)*VLOOKUP(Sheet1!$A4024,Sheet2!$B$5:$H$29,7,FALSE),0)</x:f>
        <x:v>108</x:v>
      </x:c>
      <x:c r="I4024">
        <x:f t="shared" si="67"/>
        <x:v>210</x:v>
      </x:c>
    </x:row>
    <x:row r="4025" spans="1:9" x14ac:dyDescent="0.15">
      <x:c r="A4025">
        <x:v>54203</x:v>
      </x:c>
      <x:c r="B4025">
        <x:v>2</x:v>
      </x:c>
      <x:c r="C4025">
        <x:v>4</x:v>
      </x:c>
      <x:c r="D4025">
        <x:f>ROUND($C4025*10*VLOOKUP($B4025,Sheet2!$J$5:$K$7,2,FALSE)*VLOOKUP(Sheet1!$A4025,Sheet2!$B$5:$H$29,3,FALSE),0)</x:f>
        <x:v>0</x:v>
      </x:c>
      <x:c r="E4025">
        <x:f>ROUND($C4025*10*VLOOKUP($B4025,Sheet2!$J$5:$K$7,2,FALSE)*VLOOKUP(Sheet1!$A4025,Sheet2!$B$5:$H$29,4,FALSE),0)</x:f>
        <x:v>0</x:v>
      </x:c>
      <x:c r="F4025">
        <x:f>ROUND($C4025*10*VLOOKUP($B4025,Sheet2!$J$5:$K$7,2,FALSE)*VLOOKUP(Sheet1!$A4025,Sheet2!$B$5:$H$29,5,FALSE),0)</x:f>
        <x:v>8</x:v>
      </x:c>
      <x:c r="G4025">
        <x:f>ROUND($C4025*10*VLOOKUP($B4025,Sheet2!$J$5:$K$7,2,FALSE)*VLOOKUP(Sheet1!$A4025,Sheet2!$B$5:$H$29,6,FALSE),0)</x:f>
        <x:v>0</x:v>
      </x:c>
      <x:c r="H4025">
        <x:f>ROUND($C4025*10*VLOOKUP($B4025,Sheet2!$J$5:$K$7,2,FALSE)*VLOOKUP(Sheet1!$A4025,Sheet2!$B$5:$H$29,7,FALSE),0)</x:f>
        <x:v>144</x:v>
      </x:c>
      <x:c r="I4025">
        <x:f t="shared" si="67"/>
        <x:v>360</x:v>
      </x:c>
    </x:row>
    <x:row r="4026" spans="1:9" x14ac:dyDescent="0.15">
      <x:c r="A4026">
        <x:v>54203</x:v>
      </x:c>
      <x:c r="B4026">
        <x:v>2</x:v>
      </x:c>
      <x:c r="C4026">
        <x:v>5</x:v>
      </x:c>
      <x:c r="D4026">
        <x:f>ROUND($C4026*10*VLOOKUP($B4026,Sheet2!$J$5:$K$7,2,FALSE)*VLOOKUP(Sheet1!$A4026,Sheet2!$B$5:$H$29,3,FALSE),0)</x:f>
        <x:v>0</x:v>
      </x:c>
      <x:c r="E4026">
        <x:f>ROUND($C4026*10*VLOOKUP($B4026,Sheet2!$J$5:$K$7,2,FALSE)*VLOOKUP(Sheet1!$A4026,Sheet2!$B$5:$H$29,4,FALSE),0)</x:f>
        <x:v>0</x:v>
      </x:c>
      <x:c r="F4026">
        <x:f>ROUND($C4026*10*VLOOKUP($B4026,Sheet2!$J$5:$K$7,2,FALSE)*VLOOKUP(Sheet1!$A4026,Sheet2!$B$5:$H$29,5,FALSE),0)</x:f>
        <x:v>10</x:v>
      </x:c>
      <x:c r="G4026">
        <x:f>ROUND($C4026*10*VLOOKUP($B4026,Sheet2!$J$5:$K$7,2,FALSE)*VLOOKUP(Sheet1!$A4026,Sheet2!$B$5:$H$29,6,FALSE),0)</x:f>
        <x:v>0</x:v>
      </x:c>
      <x:c r="H4026">
        <x:f>ROUND($C4026*10*VLOOKUP($B4026,Sheet2!$J$5:$K$7,2,FALSE)*VLOOKUP(Sheet1!$A4026,Sheet2!$B$5:$H$29,7,FALSE),0)</x:f>
        <x:v>180</x:v>
      </x:c>
      <x:c r="I4026">
        <x:f t="shared" si="67"/>
        <x:v>570</x:v>
      </x:c>
    </x:row>
    <x:row r="4027" spans="1:9" x14ac:dyDescent="0.15">
      <x:c r="A4027">
        <x:v>54203</x:v>
      </x:c>
      <x:c r="B4027">
        <x:v>2</x:v>
      </x:c>
      <x:c r="C4027">
        <x:v>6</x:v>
      </x:c>
      <x:c r="D4027">
        <x:f>ROUND($C4027*10*VLOOKUP($B4027,Sheet2!$J$5:$K$7,2,FALSE)*VLOOKUP(Sheet1!$A4027,Sheet2!$B$5:$H$29,3,FALSE),0)</x:f>
        <x:v>0</x:v>
      </x:c>
      <x:c r="E4027">
        <x:f>ROUND($C4027*10*VLOOKUP($B4027,Sheet2!$J$5:$K$7,2,FALSE)*VLOOKUP(Sheet1!$A4027,Sheet2!$B$5:$H$29,4,FALSE),0)</x:f>
        <x:v>0</x:v>
      </x:c>
      <x:c r="F4027">
        <x:f>ROUND($C4027*10*VLOOKUP($B4027,Sheet2!$J$5:$K$7,2,FALSE)*VLOOKUP(Sheet1!$A4027,Sheet2!$B$5:$H$29,5,FALSE),0)</x:f>
        <x:v>12</x:v>
      </x:c>
      <x:c r="G4027">
        <x:f>ROUND($C4027*10*VLOOKUP($B4027,Sheet2!$J$5:$K$7,2,FALSE)*VLOOKUP(Sheet1!$A4027,Sheet2!$B$5:$H$29,6,FALSE),0)</x:f>
        <x:v>0</x:v>
      </x:c>
      <x:c r="H4027">
        <x:f>ROUND($C4027*10*VLOOKUP($B4027,Sheet2!$J$5:$K$7,2,FALSE)*VLOOKUP(Sheet1!$A4027,Sheet2!$B$5:$H$29,7,FALSE),0)</x:f>
        <x:v>216</x:v>
      </x:c>
      <x:c r="I4027">
        <x:f t="shared" si="67"/>
        <x:v>820</x:v>
      </x:c>
    </x:row>
    <x:row r="4028" spans="1:9" x14ac:dyDescent="0.15">
      <x:c r="A4028">
        <x:v>54203</x:v>
      </x:c>
      <x:c r="B4028">
        <x:v>2</x:v>
      </x:c>
      <x:c r="C4028">
        <x:v>7</x:v>
      </x:c>
      <x:c r="D4028">
        <x:f>ROUND($C4028*10*VLOOKUP($B4028,Sheet2!$J$5:$K$7,2,FALSE)*VLOOKUP(Sheet1!$A4028,Sheet2!$B$5:$H$29,3,FALSE),0)</x:f>
        <x:v>0</x:v>
      </x:c>
      <x:c r="E4028">
        <x:f>ROUND($C4028*10*VLOOKUP($B4028,Sheet2!$J$5:$K$7,2,FALSE)*VLOOKUP(Sheet1!$A4028,Sheet2!$B$5:$H$29,4,FALSE),0)</x:f>
        <x:v>0</x:v>
      </x:c>
      <x:c r="F4028">
        <x:f>ROUND($C4028*10*VLOOKUP($B4028,Sheet2!$J$5:$K$7,2,FALSE)*VLOOKUP(Sheet1!$A4028,Sheet2!$B$5:$H$29,5,FALSE),0)</x:f>
        <x:v>13</x:v>
      </x:c>
      <x:c r="G4028">
        <x:f>ROUND($C4028*10*VLOOKUP($B4028,Sheet2!$J$5:$K$7,2,FALSE)*VLOOKUP(Sheet1!$A4028,Sheet2!$B$5:$H$29,6,FALSE),0)</x:f>
        <x:v>0</x:v>
      </x:c>
      <x:c r="H4028">
        <x:f>ROUND($C4028*10*VLOOKUP($B4028,Sheet2!$J$5:$K$7,2,FALSE)*VLOOKUP(Sheet1!$A4028,Sheet2!$B$5:$H$29,7,FALSE),0)</x:f>
        <x:v>252</x:v>
      </x:c>
      <x:c r="I4028">
        <x:f t="shared" si="67"/>
        <x:v>1120</x:v>
      </x:c>
    </x:row>
    <x:row r="4029" spans="1:9" x14ac:dyDescent="0.15">
      <x:c r="A4029">
        <x:v>54203</x:v>
      </x:c>
      <x:c r="B4029">
        <x:v>2</x:v>
      </x:c>
      <x:c r="C4029">
        <x:v>8</x:v>
      </x:c>
      <x:c r="D4029">
        <x:f>ROUND($C4029*10*VLOOKUP($B4029,Sheet2!$J$5:$K$7,2,FALSE)*VLOOKUP(Sheet1!$A4029,Sheet2!$B$5:$H$29,3,FALSE),0)</x:f>
        <x:v>0</x:v>
      </x:c>
      <x:c r="E4029">
        <x:f>ROUND($C4029*10*VLOOKUP($B4029,Sheet2!$J$5:$K$7,2,FALSE)*VLOOKUP(Sheet1!$A4029,Sheet2!$B$5:$H$29,4,FALSE),0)</x:f>
        <x:v>0</x:v>
      </x:c>
      <x:c r="F4029">
        <x:f>ROUND($C4029*10*VLOOKUP($B4029,Sheet2!$J$5:$K$7,2,FALSE)*VLOOKUP(Sheet1!$A4029,Sheet2!$B$5:$H$29,5,FALSE),0)</x:f>
        <x:v>15</x:v>
      </x:c>
      <x:c r="G4029">
        <x:f>ROUND($C4029*10*VLOOKUP($B4029,Sheet2!$J$5:$K$7,2,FALSE)*VLOOKUP(Sheet1!$A4029,Sheet2!$B$5:$H$29,6,FALSE),0)</x:f>
        <x:v>0</x:v>
      </x:c>
      <x:c r="H4029">
        <x:f>ROUND($C4029*10*VLOOKUP($B4029,Sheet2!$J$5:$K$7,2,FALSE)*VLOOKUP(Sheet1!$A4029,Sheet2!$B$5:$H$29,7,FALSE),0)</x:f>
        <x:v>288</x:v>
      </x:c>
      <x:c r="I4029">
        <x:f t="shared" si="67"/>
        <x:v>1450</x:v>
      </x:c>
    </x:row>
    <x:row r="4030" spans="1:9" x14ac:dyDescent="0.15">
      <x:c r="A4030">
        <x:v>54203</x:v>
      </x:c>
      <x:c r="B4030">
        <x:v>2</x:v>
      </x:c>
      <x:c r="C4030">
        <x:v>9</x:v>
      </x:c>
      <x:c r="D4030">
        <x:f>ROUND($C4030*10*VLOOKUP($B4030,Sheet2!$J$5:$K$7,2,FALSE)*VLOOKUP(Sheet1!$A4030,Sheet2!$B$5:$H$29,3,FALSE),0)</x:f>
        <x:v>0</x:v>
      </x:c>
      <x:c r="E4030">
        <x:f>ROUND($C4030*10*VLOOKUP($B4030,Sheet2!$J$5:$K$7,2,FALSE)*VLOOKUP(Sheet1!$A4030,Sheet2!$B$5:$H$29,4,FALSE),0)</x:f>
        <x:v>0</x:v>
      </x:c>
      <x:c r="F4030">
        <x:f>ROUND($C4030*10*VLOOKUP($B4030,Sheet2!$J$5:$K$7,2,FALSE)*VLOOKUP(Sheet1!$A4030,Sheet2!$B$5:$H$29,5,FALSE),0)</x:f>
        <x:v>17</x:v>
      </x:c>
      <x:c r="G4030">
        <x:f>ROUND($C4030*10*VLOOKUP($B4030,Sheet2!$J$5:$K$7,2,FALSE)*VLOOKUP(Sheet1!$A4030,Sheet2!$B$5:$H$29,6,FALSE),0)</x:f>
        <x:v>0</x:v>
      </x:c>
      <x:c r="H4030">
        <x:f>ROUND($C4030*10*VLOOKUP($B4030,Sheet2!$J$5:$K$7,2,FALSE)*VLOOKUP(Sheet1!$A4030,Sheet2!$B$5:$H$29,7,FALSE),0)</x:f>
        <x:v>324</x:v>
      </x:c>
      <x:c r="I4030">
        <x:f t="shared" si="67"/>
        <x:v>1830</x:v>
      </x:c>
    </x:row>
    <x:row r="4031" spans="1:9" x14ac:dyDescent="0.15">
      <x:c r="A4031">
        <x:v>54203</x:v>
      </x:c>
      <x:c r="B4031">
        <x:v>2</x:v>
      </x:c>
      <x:c r="C4031">
        <x:v>10</x:v>
      </x:c>
      <x:c r="D4031">
        <x:f>ROUND($C4031*10*VLOOKUP($B4031,Sheet2!$J$5:$K$7,2,FALSE)*VLOOKUP(Sheet1!$A4031,Sheet2!$B$5:$H$29,3,FALSE),0)</x:f>
        <x:v>0</x:v>
      </x:c>
      <x:c r="E4031">
        <x:f>ROUND($C4031*10*VLOOKUP($B4031,Sheet2!$J$5:$K$7,2,FALSE)*VLOOKUP(Sheet1!$A4031,Sheet2!$B$5:$H$29,4,FALSE),0)</x:f>
        <x:v>0</x:v>
      </x:c>
      <x:c r="F4031">
        <x:f>ROUND($C4031*10*VLOOKUP($B4031,Sheet2!$J$5:$K$7,2,FALSE)*VLOOKUP(Sheet1!$A4031,Sheet2!$B$5:$H$29,5,FALSE),0)</x:f>
        <x:v>19</x:v>
      </x:c>
      <x:c r="G4031">
        <x:f>ROUND($C4031*10*VLOOKUP($B4031,Sheet2!$J$5:$K$7,2,FALSE)*VLOOKUP(Sheet1!$A4031,Sheet2!$B$5:$H$29,6,FALSE),0)</x:f>
        <x:v>0</x:v>
      </x:c>
      <x:c r="H4031">
        <x:f>ROUND($C4031*10*VLOOKUP($B4031,Sheet2!$J$5:$K$7,2,FALSE)*VLOOKUP(Sheet1!$A4031,Sheet2!$B$5:$H$29,7,FALSE),0)</x:f>
        <x:v>360</x:v>
      </x:c>
      <x:c r="I4031">
        <x:f t="shared" si="67"/>
        <x:v>2250</x:v>
      </x:c>
    </x:row>
    <x:row r="4032" spans="1:9" x14ac:dyDescent="0.15">
      <x:c r="A4032">
        <x:v>54203</x:v>
      </x:c>
      <x:c r="B4032">
        <x:v>2</x:v>
      </x:c>
      <x:c r="C4032">
        <x:v>11</x:v>
      </x:c>
      <x:c r="D4032">
        <x:f>ROUND($C4032*10*VLOOKUP($B4032,Sheet2!$J$5:$K$7,2,FALSE)*VLOOKUP(Sheet1!$A4032,Sheet2!$B$5:$H$29,3,FALSE),0)</x:f>
        <x:v>0</x:v>
      </x:c>
      <x:c r="E4032">
        <x:f>ROUND($C4032*10*VLOOKUP($B4032,Sheet2!$J$5:$K$7,2,FALSE)*VLOOKUP(Sheet1!$A4032,Sheet2!$B$5:$H$29,4,FALSE),0)</x:f>
        <x:v>0</x:v>
      </x:c>
      <x:c r="F4032">
        <x:f>ROUND($C4032*10*VLOOKUP($B4032,Sheet2!$J$5:$K$7,2,FALSE)*VLOOKUP(Sheet1!$A4032,Sheet2!$B$5:$H$29,5,FALSE),0)</x:f>
        <x:v>21</x:v>
      </x:c>
      <x:c r="G4032">
        <x:f>ROUND($C4032*10*VLOOKUP($B4032,Sheet2!$J$5:$K$7,2,FALSE)*VLOOKUP(Sheet1!$A4032,Sheet2!$B$5:$H$29,6,FALSE),0)</x:f>
        <x:v>0</x:v>
      </x:c>
      <x:c r="H4032">
        <x:f>ROUND($C4032*10*VLOOKUP($B4032,Sheet2!$J$5:$K$7,2,FALSE)*VLOOKUP(Sheet1!$A4032,Sheet2!$B$5:$H$29,7,FALSE),0)</x:f>
        <x:v>396</x:v>
      </x:c>
      <x:c r="I4032">
        <x:f t="shared" si="67"/>
        <x:v>2710</x:v>
      </x:c>
    </x:row>
    <x:row r="4033" spans="1:9" x14ac:dyDescent="0.15">
      <x:c r="A4033">
        <x:v>54203</x:v>
      </x:c>
      <x:c r="B4033">
        <x:v>2</x:v>
      </x:c>
      <x:c r="C4033">
        <x:v>12</x:v>
      </x:c>
      <x:c r="D4033">
        <x:f>ROUND($C4033*10*VLOOKUP($B4033,Sheet2!$J$5:$K$7,2,FALSE)*VLOOKUP(Sheet1!$A4033,Sheet2!$B$5:$H$29,3,FALSE),0)</x:f>
        <x:v>0</x:v>
      </x:c>
      <x:c r="E4033">
        <x:f>ROUND($C4033*10*VLOOKUP($B4033,Sheet2!$J$5:$K$7,2,FALSE)*VLOOKUP(Sheet1!$A4033,Sheet2!$B$5:$H$29,4,FALSE),0)</x:f>
        <x:v>0</x:v>
      </x:c>
      <x:c r="F4033">
        <x:f>ROUND($C4033*10*VLOOKUP($B4033,Sheet2!$J$5:$K$7,2,FALSE)*VLOOKUP(Sheet1!$A4033,Sheet2!$B$5:$H$29,5,FALSE),0)</x:f>
        <x:v>23</x:v>
      </x:c>
      <x:c r="G4033">
        <x:f>ROUND($C4033*10*VLOOKUP($B4033,Sheet2!$J$5:$K$7,2,FALSE)*VLOOKUP(Sheet1!$A4033,Sheet2!$B$5:$H$29,6,FALSE),0)</x:f>
        <x:v>0</x:v>
      </x:c>
      <x:c r="H4033">
        <x:f>ROUND($C4033*10*VLOOKUP($B4033,Sheet2!$J$5:$K$7,2,FALSE)*VLOOKUP(Sheet1!$A4033,Sheet2!$B$5:$H$29,7,FALSE),0)</x:f>
        <x:v>432</x:v>
      </x:c>
      <x:c r="I4033">
        <x:f t="shared" si="67"/>
        <x:v>3210</x:v>
      </x:c>
    </x:row>
    <x:row r="4034" spans="1:9" x14ac:dyDescent="0.15">
      <x:c r="A4034">
        <x:v>54203</x:v>
      </x:c>
      <x:c r="B4034">
        <x:v>2</x:v>
      </x:c>
      <x:c r="C4034">
        <x:v>13</x:v>
      </x:c>
      <x:c r="D4034">
        <x:f>ROUND($C4034*10*VLOOKUP($B4034,Sheet2!$J$5:$K$7,2,FALSE)*VLOOKUP(Sheet1!$A4034,Sheet2!$B$5:$H$29,3,FALSE),0)</x:f>
        <x:v>0</x:v>
      </x:c>
      <x:c r="E4034">
        <x:f>ROUND($C4034*10*VLOOKUP($B4034,Sheet2!$J$5:$K$7,2,FALSE)*VLOOKUP(Sheet1!$A4034,Sheet2!$B$5:$H$29,4,FALSE),0)</x:f>
        <x:v>0</x:v>
      </x:c>
      <x:c r="F4034">
        <x:f>ROUND($C4034*10*VLOOKUP($B4034,Sheet2!$J$5:$K$7,2,FALSE)*VLOOKUP(Sheet1!$A4034,Sheet2!$B$5:$H$29,5,FALSE),0)</x:f>
        <x:v>25</x:v>
      </x:c>
      <x:c r="G4034">
        <x:f>ROUND($C4034*10*VLOOKUP($B4034,Sheet2!$J$5:$K$7,2,FALSE)*VLOOKUP(Sheet1!$A4034,Sheet2!$B$5:$H$29,6,FALSE),0)</x:f>
        <x:v>0</x:v>
      </x:c>
      <x:c r="H4034">
        <x:f>ROUND($C4034*10*VLOOKUP($B4034,Sheet2!$J$5:$K$7,2,FALSE)*VLOOKUP(Sheet1!$A4034,Sheet2!$B$5:$H$29,7,FALSE),0)</x:f>
        <x:v>468</x:v>
      </x:c>
      <x:c r="I4034">
        <x:f t="shared" si="67"/>
        <x:v>3740</x:v>
      </x:c>
    </x:row>
    <x:row r="4035" spans="1:9" x14ac:dyDescent="0.15">
      <x:c r="A4035">
        <x:v>54203</x:v>
      </x:c>
      <x:c r="B4035">
        <x:v>2</x:v>
      </x:c>
      <x:c r="C4035">
        <x:v>14</x:v>
      </x:c>
      <x:c r="D4035">
        <x:f>ROUND($C4035*10*VLOOKUP($B4035,Sheet2!$J$5:$K$7,2,FALSE)*VLOOKUP(Sheet1!$A4035,Sheet2!$B$5:$H$29,3,FALSE),0)</x:f>
        <x:v>0</x:v>
      </x:c>
      <x:c r="E4035">
        <x:f>ROUND($C4035*10*VLOOKUP($B4035,Sheet2!$J$5:$K$7,2,FALSE)*VLOOKUP(Sheet1!$A4035,Sheet2!$B$5:$H$29,4,FALSE),0)</x:f>
        <x:v>0</x:v>
      </x:c>
      <x:c r="F4035">
        <x:f>ROUND($C4035*10*VLOOKUP($B4035,Sheet2!$J$5:$K$7,2,FALSE)*VLOOKUP(Sheet1!$A4035,Sheet2!$B$5:$H$29,5,FALSE),0)</x:f>
        <x:v>27</x:v>
      </x:c>
      <x:c r="G4035">
        <x:f>ROUND($C4035*10*VLOOKUP($B4035,Sheet2!$J$5:$K$7,2,FALSE)*VLOOKUP(Sheet1!$A4035,Sheet2!$B$5:$H$29,6,FALSE),0)</x:f>
        <x:v>0</x:v>
      </x:c>
      <x:c r="H4035">
        <x:f>ROUND($C4035*10*VLOOKUP($B4035,Sheet2!$J$5:$K$7,2,FALSE)*VLOOKUP(Sheet1!$A4035,Sheet2!$B$5:$H$29,7,FALSE),0)</x:f>
        <x:v>504</x:v>
      </x:c>
      <x:c r="I4035">
        <x:f t="shared" si="67"/>
        <x:v>4310</x:v>
      </x:c>
    </x:row>
    <x:row r="4036" spans="1:9" x14ac:dyDescent="0.15">
      <x:c r="A4036">
        <x:v>54203</x:v>
      </x:c>
      <x:c r="B4036">
        <x:v>2</x:v>
      </x:c>
      <x:c r="C4036">
        <x:v>15</x:v>
      </x:c>
      <x:c r="D4036">
        <x:f>ROUND($C4036*10*VLOOKUP($B4036,Sheet2!$J$5:$K$7,2,FALSE)*VLOOKUP(Sheet1!$A4036,Sheet2!$B$5:$H$29,3,FALSE),0)</x:f>
        <x:v>0</x:v>
      </x:c>
      <x:c r="E4036">
        <x:f>ROUND($C4036*10*VLOOKUP($B4036,Sheet2!$J$5:$K$7,2,FALSE)*VLOOKUP(Sheet1!$A4036,Sheet2!$B$5:$H$29,4,FALSE),0)</x:f>
        <x:v>0</x:v>
      </x:c>
      <x:c r="F4036">
        <x:f>ROUND($C4036*10*VLOOKUP($B4036,Sheet2!$J$5:$K$7,2,FALSE)*VLOOKUP(Sheet1!$A4036,Sheet2!$B$5:$H$29,5,FALSE),0)</x:f>
        <x:v>29</x:v>
      </x:c>
      <x:c r="G4036">
        <x:f>ROUND($C4036*10*VLOOKUP($B4036,Sheet2!$J$5:$K$7,2,FALSE)*VLOOKUP(Sheet1!$A4036,Sheet2!$B$5:$H$29,6,FALSE),0)</x:f>
        <x:v>0</x:v>
      </x:c>
      <x:c r="H4036">
        <x:f>ROUND($C4036*10*VLOOKUP($B4036,Sheet2!$J$5:$K$7,2,FALSE)*VLOOKUP(Sheet1!$A4036,Sheet2!$B$5:$H$29,7,FALSE),0)</x:f>
        <x:v>540</x:v>
      </x:c>
      <x:c r="I4036">
        <x:f t="shared" si="67"/>
        <x:v>4920</x:v>
      </x:c>
    </x:row>
    <x:row r="4037" spans="1:9" x14ac:dyDescent="0.15">
      <x:c r="A4037">
        <x:v>54203</x:v>
      </x:c>
      <x:c r="B4037">
        <x:v>2</x:v>
      </x:c>
      <x:c r="C4037">
        <x:v>16</x:v>
      </x:c>
      <x:c r="D4037">
        <x:f>ROUND($C4037*10*VLOOKUP($B4037,Sheet2!$J$5:$K$7,2,FALSE)*VLOOKUP(Sheet1!$A4037,Sheet2!$B$5:$H$29,3,FALSE),0)</x:f>
        <x:v>0</x:v>
      </x:c>
      <x:c r="E4037">
        <x:f>ROUND($C4037*10*VLOOKUP($B4037,Sheet2!$J$5:$K$7,2,FALSE)*VLOOKUP(Sheet1!$A4037,Sheet2!$B$5:$H$29,4,FALSE),0)</x:f>
        <x:v>0</x:v>
      </x:c>
      <x:c r="F4037">
        <x:f>ROUND($C4037*10*VLOOKUP($B4037,Sheet2!$J$5:$K$7,2,FALSE)*VLOOKUP(Sheet1!$A4037,Sheet2!$B$5:$H$29,5,FALSE),0)</x:f>
        <x:v>31</x:v>
      </x:c>
      <x:c r="G4037">
        <x:f>ROUND($C4037*10*VLOOKUP($B4037,Sheet2!$J$5:$K$7,2,FALSE)*VLOOKUP(Sheet1!$A4037,Sheet2!$B$5:$H$29,6,FALSE),0)</x:f>
        <x:v>0</x:v>
      </x:c>
      <x:c r="H4037">
        <x:f>ROUND($C4037*10*VLOOKUP($B4037,Sheet2!$J$5:$K$7,2,FALSE)*VLOOKUP(Sheet1!$A4037,Sheet2!$B$5:$H$29,7,FALSE),0)</x:f>
        <x:v>576</x:v>
      </x:c>
      <x:c r="I4037">
        <x:f t="shared" si="67"/>
        <x:v>5560</x:v>
      </x:c>
    </x:row>
    <x:row r="4038" spans="1:9" x14ac:dyDescent="0.15">
      <x:c r="A4038">
        <x:v>54203</x:v>
      </x:c>
      <x:c r="B4038">
        <x:v>2</x:v>
      </x:c>
      <x:c r="C4038">
        <x:v>17</x:v>
      </x:c>
      <x:c r="D4038">
        <x:f>ROUND($C4038*10*VLOOKUP($B4038,Sheet2!$J$5:$K$7,2,FALSE)*VLOOKUP(Sheet1!$A4038,Sheet2!$B$5:$H$29,3,FALSE),0)</x:f>
        <x:v>0</x:v>
      </x:c>
      <x:c r="E4038">
        <x:f>ROUND($C4038*10*VLOOKUP($B4038,Sheet2!$J$5:$K$7,2,FALSE)*VLOOKUP(Sheet1!$A4038,Sheet2!$B$5:$H$29,4,FALSE),0)</x:f>
        <x:v>0</x:v>
      </x:c>
      <x:c r="F4038">
        <x:f>ROUND($C4038*10*VLOOKUP($B4038,Sheet2!$J$5:$K$7,2,FALSE)*VLOOKUP(Sheet1!$A4038,Sheet2!$B$5:$H$29,5,FALSE),0)</x:f>
        <x:v>33</x:v>
      </x:c>
      <x:c r="G4038">
        <x:f>ROUND($C4038*10*VLOOKUP($B4038,Sheet2!$J$5:$K$7,2,FALSE)*VLOOKUP(Sheet1!$A4038,Sheet2!$B$5:$H$29,6,FALSE),0)</x:f>
        <x:v>0</x:v>
      </x:c>
      <x:c r="H4038">
        <x:f>ROUND($C4038*10*VLOOKUP($B4038,Sheet2!$J$5:$K$7,2,FALSE)*VLOOKUP(Sheet1!$A4038,Sheet2!$B$5:$H$29,7,FALSE),0)</x:f>
        <x:v>612</x:v>
      </x:c>
      <x:c r="I4038">
        <x:f t="shared" si="67"/>
        <x:v>6240</x:v>
      </x:c>
    </x:row>
    <x:row r="4039" spans="1:9" x14ac:dyDescent="0.15">
      <x:c r="A4039">
        <x:v>54203</x:v>
      </x:c>
      <x:c r="B4039">
        <x:v>2</x:v>
      </x:c>
      <x:c r="C4039">
        <x:v>18</x:v>
      </x:c>
      <x:c r="D4039">
        <x:f>ROUND($C4039*10*VLOOKUP($B4039,Sheet2!$J$5:$K$7,2,FALSE)*VLOOKUP(Sheet1!$A4039,Sheet2!$B$5:$H$29,3,FALSE),0)</x:f>
        <x:v>0</x:v>
      </x:c>
      <x:c r="E4039">
        <x:f>ROUND($C4039*10*VLOOKUP($B4039,Sheet2!$J$5:$K$7,2,FALSE)*VLOOKUP(Sheet1!$A4039,Sheet2!$B$5:$H$29,4,FALSE),0)</x:f>
        <x:v>0</x:v>
      </x:c>
      <x:c r="F4039">
        <x:f>ROUND($C4039*10*VLOOKUP($B4039,Sheet2!$J$5:$K$7,2,FALSE)*VLOOKUP(Sheet1!$A4039,Sheet2!$B$5:$H$29,5,FALSE),0)</x:f>
        <x:v>35</x:v>
      </x:c>
      <x:c r="G4039">
        <x:f>ROUND($C4039*10*VLOOKUP($B4039,Sheet2!$J$5:$K$7,2,FALSE)*VLOOKUP(Sheet1!$A4039,Sheet2!$B$5:$H$29,6,FALSE),0)</x:f>
        <x:v>0</x:v>
      </x:c>
      <x:c r="H4039">
        <x:f>ROUND($C4039*10*VLOOKUP($B4039,Sheet2!$J$5:$K$7,2,FALSE)*VLOOKUP(Sheet1!$A4039,Sheet2!$B$5:$H$29,7,FALSE),0)</x:f>
        <x:v>648</x:v>
      </x:c>
      <x:c r="I4039">
        <x:f t="shared" si="67"/>
        <x:v>6950</x:v>
      </x:c>
    </x:row>
    <x:row r="4040" spans="1:9" x14ac:dyDescent="0.15">
      <x:c r="A4040">
        <x:v>54203</x:v>
      </x:c>
      <x:c r="B4040">
        <x:v>2</x:v>
      </x:c>
      <x:c r="C4040">
        <x:v>19</x:v>
      </x:c>
      <x:c r="D4040">
        <x:f>ROUND($C4040*10*VLOOKUP($B4040,Sheet2!$J$5:$K$7,2,FALSE)*VLOOKUP(Sheet1!$A4040,Sheet2!$B$5:$H$29,3,FALSE),0)</x:f>
        <x:v>0</x:v>
      </x:c>
      <x:c r="E4040">
        <x:f>ROUND($C4040*10*VLOOKUP($B4040,Sheet2!$J$5:$K$7,2,FALSE)*VLOOKUP(Sheet1!$A4040,Sheet2!$B$5:$H$29,4,FALSE),0)</x:f>
        <x:v>0</x:v>
      </x:c>
      <x:c r="F4040">
        <x:f>ROUND($C4040*10*VLOOKUP($B4040,Sheet2!$J$5:$K$7,2,FALSE)*VLOOKUP(Sheet1!$A4040,Sheet2!$B$5:$H$29,5,FALSE),0)</x:f>
        <x:v>36</x:v>
      </x:c>
      <x:c r="G4040">
        <x:f>ROUND($C4040*10*VLOOKUP($B4040,Sheet2!$J$5:$K$7,2,FALSE)*VLOOKUP(Sheet1!$A4040,Sheet2!$B$5:$H$29,6,FALSE),0)</x:f>
        <x:v>0</x:v>
      </x:c>
      <x:c r="H4040">
        <x:f>ROUND($C4040*10*VLOOKUP($B4040,Sheet2!$J$5:$K$7,2,FALSE)*VLOOKUP(Sheet1!$A4040,Sheet2!$B$5:$H$29,7,FALSE),0)</x:f>
        <x:v>684</x:v>
      </x:c>
      <x:c r="I4040">
        <x:f t="shared" si="67"/>
        <x:v>7690</x:v>
      </x:c>
    </x:row>
    <x:row r="4041" spans="1:9" x14ac:dyDescent="0.15">
      <x:c r="A4041">
        <x:v>54203</x:v>
      </x:c>
      <x:c r="B4041">
        <x:v>2</x:v>
      </x:c>
      <x:c r="C4041">
        <x:v>20</x:v>
      </x:c>
      <x:c r="D4041">
        <x:f>ROUND($C4041*10*VLOOKUP($B4041,Sheet2!$J$5:$K$7,2,FALSE)*VLOOKUP(Sheet1!$A4041,Sheet2!$B$5:$H$29,3,FALSE),0)</x:f>
        <x:v>0</x:v>
      </x:c>
      <x:c r="E4041">
        <x:f>ROUND($C4041*10*VLOOKUP($B4041,Sheet2!$J$5:$K$7,2,FALSE)*VLOOKUP(Sheet1!$A4041,Sheet2!$B$5:$H$29,4,FALSE),0)</x:f>
        <x:v>0</x:v>
      </x:c>
      <x:c r="F4041">
        <x:f>ROUND($C4041*10*VLOOKUP($B4041,Sheet2!$J$5:$K$7,2,FALSE)*VLOOKUP(Sheet1!$A4041,Sheet2!$B$5:$H$29,5,FALSE),0)</x:f>
        <x:v>38</x:v>
      </x:c>
      <x:c r="G4041">
        <x:f>ROUND($C4041*10*VLOOKUP($B4041,Sheet2!$J$5:$K$7,2,FALSE)*VLOOKUP(Sheet1!$A4041,Sheet2!$B$5:$H$29,6,FALSE),0)</x:f>
        <x:v>0</x:v>
      </x:c>
      <x:c r="H4041">
        <x:f>ROUND($C4041*10*VLOOKUP($B4041,Sheet2!$J$5:$K$7,2,FALSE)*VLOOKUP(Sheet1!$A4041,Sheet2!$B$5:$H$29,7,FALSE),0)</x:f>
        <x:v>720</x:v>
      </x:c>
      <x:c r="I4041">
        <x:f t="shared" si="67"/>
        <x:v>8470</x:v>
      </x:c>
    </x:row>
    <x:row r="4042" spans="1:9" x14ac:dyDescent="0.15">
      <x:c r="A4042">
        <x:v>54203</x:v>
      </x:c>
      <x:c r="B4042">
        <x:v>2</x:v>
      </x:c>
      <x:c r="C4042">
        <x:v>21</x:v>
      </x:c>
      <x:c r="D4042">
        <x:f>ROUND($C4042*10*VLOOKUP($B4042,Sheet2!$J$5:$K$7,2,FALSE)*VLOOKUP(Sheet1!$A4042,Sheet2!$B$5:$H$29,3,FALSE),0)</x:f>
        <x:v>0</x:v>
      </x:c>
      <x:c r="E4042">
        <x:f>ROUND($C4042*10*VLOOKUP($B4042,Sheet2!$J$5:$K$7,2,FALSE)*VLOOKUP(Sheet1!$A4042,Sheet2!$B$5:$H$29,4,FALSE),0)</x:f>
        <x:v>0</x:v>
      </x:c>
      <x:c r="F4042">
        <x:f>ROUND($C4042*10*VLOOKUP($B4042,Sheet2!$J$5:$K$7,2,FALSE)*VLOOKUP(Sheet1!$A4042,Sheet2!$B$5:$H$29,5,FALSE),0)</x:f>
        <x:v>40</x:v>
      </x:c>
      <x:c r="G4042">
        <x:f>ROUND($C4042*10*VLOOKUP($B4042,Sheet2!$J$5:$K$7,2,FALSE)*VLOOKUP(Sheet1!$A4042,Sheet2!$B$5:$H$29,6,FALSE),0)</x:f>
        <x:v>0</x:v>
      </x:c>
      <x:c r="H4042">
        <x:f>ROUND($C4042*10*VLOOKUP($B4042,Sheet2!$J$5:$K$7,2,FALSE)*VLOOKUP(Sheet1!$A4042,Sheet2!$B$5:$H$29,7,FALSE),0)</x:f>
        <x:v>756</x:v>
      </x:c>
      <x:c r="I4042">
        <x:f t="shared" si="67"/>
        <x:v>9290</x:v>
      </x:c>
    </x:row>
    <x:row r="4043" spans="1:9" x14ac:dyDescent="0.15">
      <x:c r="A4043">
        <x:v>54203</x:v>
      </x:c>
      <x:c r="B4043">
        <x:v>2</x:v>
      </x:c>
      <x:c r="C4043">
        <x:v>22</x:v>
      </x:c>
      <x:c r="D4043">
        <x:f>ROUND($C4043*10*VLOOKUP($B4043,Sheet2!$J$5:$K$7,2,FALSE)*VLOOKUP(Sheet1!$A4043,Sheet2!$B$5:$H$29,3,FALSE),0)</x:f>
        <x:v>0</x:v>
      </x:c>
      <x:c r="E4043">
        <x:f>ROUND($C4043*10*VLOOKUP($B4043,Sheet2!$J$5:$K$7,2,FALSE)*VLOOKUP(Sheet1!$A4043,Sheet2!$B$5:$H$29,4,FALSE),0)</x:f>
        <x:v>0</x:v>
      </x:c>
      <x:c r="F4043">
        <x:f>ROUND($C4043*10*VLOOKUP($B4043,Sheet2!$J$5:$K$7,2,FALSE)*VLOOKUP(Sheet1!$A4043,Sheet2!$B$5:$H$29,5,FALSE),0)</x:f>
        <x:v>42</x:v>
      </x:c>
      <x:c r="G4043">
        <x:f>ROUND($C4043*10*VLOOKUP($B4043,Sheet2!$J$5:$K$7,2,FALSE)*VLOOKUP(Sheet1!$A4043,Sheet2!$B$5:$H$29,6,FALSE),0)</x:f>
        <x:v>0</x:v>
      </x:c>
      <x:c r="H4043">
        <x:f>ROUND($C4043*10*VLOOKUP($B4043,Sheet2!$J$5:$K$7,2,FALSE)*VLOOKUP(Sheet1!$A4043,Sheet2!$B$5:$H$29,7,FALSE),0)</x:f>
        <x:v>792</x:v>
      </x:c>
      <x:c r="I4043">
        <x:f t="shared" si="67"/>
        <x:v>10130</x:v>
      </x:c>
    </x:row>
    <x:row r="4044" spans="1:9" x14ac:dyDescent="0.15">
      <x:c r="A4044">
        <x:v>54203</x:v>
      </x:c>
      <x:c r="B4044">
        <x:v>2</x:v>
      </x:c>
      <x:c r="C4044">
        <x:v>23</x:v>
      </x:c>
      <x:c r="D4044">
        <x:f>ROUND($C4044*10*VLOOKUP($B4044,Sheet2!$J$5:$K$7,2,FALSE)*VLOOKUP(Sheet1!$A4044,Sheet2!$B$5:$H$29,3,FALSE),0)</x:f>
        <x:v>0</x:v>
      </x:c>
      <x:c r="E4044">
        <x:f>ROUND($C4044*10*VLOOKUP($B4044,Sheet2!$J$5:$K$7,2,FALSE)*VLOOKUP(Sheet1!$A4044,Sheet2!$B$5:$H$29,4,FALSE),0)</x:f>
        <x:v>0</x:v>
      </x:c>
      <x:c r="F4044">
        <x:f>ROUND($C4044*10*VLOOKUP($B4044,Sheet2!$J$5:$K$7,2,FALSE)*VLOOKUP(Sheet1!$A4044,Sheet2!$B$5:$H$29,5,FALSE),0)</x:f>
        <x:v>44</x:v>
      </x:c>
      <x:c r="G4044">
        <x:f>ROUND($C4044*10*VLOOKUP($B4044,Sheet2!$J$5:$K$7,2,FALSE)*VLOOKUP(Sheet1!$A4044,Sheet2!$B$5:$H$29,6,FALSE),0)</x:f>
        <x:v>0</x:v>
      </x:c>
      <x:c r="H4044">
        <x:f>ROUND($C4044*10*VLOOKUP($B4044,Sheet2!$J$5:$K$7,2,FALSE)*VLOOKUP(Sheet1!$A4044,Sheet2!$B$5:$H$29,7,FALSE),0)</x:f>
        <x:v>828</x:v>
      </x:c>
      <x:c r="I4044">
        <x:f t="shared" si="67"/>
        <x:v>11010</x:v>
      </x:c>
    </x:row>
    <x:row r="4045" spans="1:9" x14ac:dyDescent="0.15">
      <x:c r="A4045">
        <x:v>54203</x:v>
      </x:c>
      <x:c r="B4045">
        <x:v>2</x:v>
      </x:c>
      <x:c r="C4045">
        <x:v>24</x:v>
      </x:c>
      <x:c r="D4045">
        <x:f>ROUND($C4045*10*VLOOKUP($B4045,Sheet2!$J$5:$K$7,2,FALSE)*VLOOKUP(Sheet1!$A4045,Sheet2!$B$5:$H$29,3,FALSE),0)</x:f>
        <x:v>0</x:v>
      </x:c>
      <x:c r="E4045">
        <x:f>ROUND($C4045*10*VLOOKUP($B4045,Sheet2!$J$5:$K$7,2,FALSE)*VLOOKUP(Sheet1!$A4045,Sheet2!$B$5:$H$29,4,FALSE),0)</x:f>
        <x:v>0</x:v>
      </x:c>
      <x:c r="F4045">
        <x:f>ROUND($C4045*10*VLOOKUP($B4045,Sheet2!$J$5:$K$7,2,FALSE)*VLOOKUP(Sheet1!$A4045,Sheet2!$B$5:$H$29,5,FALSE),0)</x:f>
        <x:v>46</x:v>
      </x:c>
      <x:c r="G4045">
        <x:f>ROUND($C4045*10*VLOOKUP($B4045,Sheet2!$J$5:$K$7,2,FALSE)*VLOOKUP(Sheet1!$A4045,Sheet2!$B$5:$H$29,6,FALSE),0)</x:f>
        <x:v>0</x:v>
      </x:c>
      <x:c r="H4045">
        <x:f>ROUND($C4045*10*VLOOKUP($B4045,Sheet2!$J$5:$K$7,2,FALSE)*VLOOKUP(Sheet1!$A4045,Sheet2!$B$5:$H$29,7,FALSE),0)</x:f>
        <x:v>864</x:v>
      </x:c>
      <x:c r="I4045">
        <x:f t="shared" si="67"/>
        <x:v>11930</x:v>
      </x:c>
    </x:row>
    <x:row r="4046" spans="1:9" x14ac:dyDescent="0.15">
      <x:c r="A4046">
        <x:v>54203</x:v>
      </x:c>
      <x:c r="B4046">
        <x:v>2</x:v>
      </x:c>
      <x:c r="C4046">
        <x:v>25</x:v>
      </x:c>
      <x:c r="D4046">
        <x:f>ROUND($C4046*10*VLOOKUP($B4046,Sheet2!$J$5:$K$7,2,FALSE)*VLOOKUP(Sheet1!$A4046,Sheet2!$B$5:$H$29,3,FALSE),0)</x:f>
        <x:v>0</x:v>
      </x:c>
      <x:c r="E4046">
        <x:f>ROUND($C4046*10*VLOOKUP($B4046,Sheet2!$J$5:$K$7,2,FALSE)*VLOOKUP(Sheet1!$A4046,Sheet2!$B$5:$H$29,4,FALSE),0)</x:f>
        <x:v>0</x:v>
      </x:c>
      <x:c r="F4046">
        <x:f>ROUND($C4046*10*VLOOKUP($B4046,Sheet2!$J$5:$K$7,2,FALSE)*VLOOKUP(Sheet1!$A4046,Sheet2!$B$5:$H$29,5,FALSE),0)</x:f>
        <x:v>48</x:v>
      </x:c>
      <x:c r="G4046">
        <x:f>ROUND($C4046*10*VLOOKUP($B4046,Sheet2!$J$5:$K$7,2,FALSE)*VLOOKUP(Sheet1!$A4046,Sheet2!$B$5:$H$29,6,FALSE),0)</x:f>
        <x:v>0</x:v>
      </x:c>
      <x:c r="H4046">
        <x:f>ROUND($C4046*10*VLOOKUP($B4046,Sheet2!$J$5:$K$7,2,FALSE)*VLOOKUP(Sheet1!$A4046,Sheet2!$B$5:$H$29,7,FALSE),0)</x:f>
        <x:v>900</x:v>
      </x:c>
      <x:c r="I4046">
        <x:f t="shared" si="67"/>
        <x:v>12870</x:v>
      </x:c>
    </x:row>
    <x:row r="4047" spans="1:9" x14ac:dyDescent="0.15">
      <x:c r="A4047">
        <x:v>54203</x:v>
      </x:c>
      <x:c r="B4047">
        <x:v>2</x:v>
      </x:c>
      <x:c r="C4047">
        <x:v>26</x:v>
      </x:c>
      <x:c r="D4047">
        <x:f>ROUND($C4047*10*VLOOKUP($B4047,Sheet2!$J$5:$K$7,2,FALSE)*VLOOKUP(Sheet1!$A4047,Sheet2!$B$5:$H$29,3,FALSE),0)</x:f>
        <x:v>0</x:v>
      </x:c>
      <x:c r="E4047">
        <x:f>ROUND($C4047*10*VLOOKUP($B4047,Sheet2!$J$5:$K$7,2,FALSE)*VLOOKUP(Sheet1!$A4047,Sheet2!$B$5:$H$29,4,FALSE),0)</x:f>
        <x:v>0</x:v>
      </x:c>
      <x:c r="F4047">
        <x:f>ROUND($C4047*10*VLOOKUP($B4047,Sheet2!$J$5:$K$7,2,FALSE)*VLOOKUP(Sheet1!$A4047,Sheet2!$B$5:$H$29,5,FALSE),0)</x:f>
        <x:v>50</x:v>
      </x:c>
      <x:c r="G4047">
        <x:f>ROUND($C4047*10*VLOOKUP($B4047,Sheet2!$J$5:$K$7,2,FALSE)*VLOOKUP(Sheet1!$A4047,Sheet2!$B$5:$H$29,6,FALSE),0)</x:f>
        <x:v>0</x:v>
      </x:c>
      <x:c r="H4047">
        <x:f>ROUND($C4047*10*VLOOKUP($B4047,Sheet2!$J$5:$K$7,2,FALSE)*VLOOKUP(Sheet1!$A4047,Sheet2!$B$5:$H$29,7,FALSE),0)</x:f>
        <x:v>936</x:v>
      </x:c>
      <x:c r="I4047">
        <x:f t="shared" si="67"/>
        <x:v>13850</x:v>
      </x:c>
    </x:row>
    <x:row r="4048" spans="1:9" x14ac:dyDescent="0.15">
      <x:c r="A4048">
        <x:v>54203</x:v>
      </x:c>
      <x:c r="B4048">
        <x:v>2</x:v>
      </x:c>
      <x:c r="C4048">
        <x:v>27</x:v>
      </x:c>
      <x:c r="D4048">
        <x:f>ROUND($C4048*10*VLOOKUP($B4048,Sheet2!$J$5:$K$7,2,FALSE)*VLOOKUP(Sheet1!$A4048,Sheet2!$B$5:$H$29,3,FALSE),0)</x:f>
        <x:v>0</x:v>
      </x:c>
      <x:c r="E4048">
        <x:f>ROUND($C4048*10*VLOOKUP($B4048,Sheet2!$J$5:$K$7,2,FALSE)*VLOOKUP(Sheet1!$A4048,Sheet2!$B$5:$H$29,4,FALSE),0)</x:f>
        <x:v>0</x:v>
      </x:c>
      <x:c r="F4048">
        <x:f>ROUND($C4048*10*VLOOKUP($B4048,Sheet2!$J$5:$K$7,2,FALSE)*VLOOKUP(Sheet1!$A4048,Sheet2!$B$5:$H$29,5,FALSE),0)</x:f>
        <x:v>52</x:v>
      </x:c>
      <x:c r="G4048">
        <x:f>ROUND($C4048*10*VLOOKUP($B4048,Sheet2!$J$5:$K$7,2,FALSE)*VLOOKUP(Sheet1!$A4048,Sheet2!$B$5:$H$29,6,FALSE),0)</x:f>
        <x:v>0</x:v>
      </x:c>
      <x:c r="H4048">
        <x:f>ROUND($C4048*10*VLOOKUP($B4048,Sheet2!$J$5:$K$7,2,FALSE)*VLOOKUP(Sheet1!$A4048,Sheet2!$B$5:$H$29,7,FALSE),0)</x:f>
        <x:v>972</x:v>
      </x:c>
      <x:c r="I4048">
        <x:f t="shared" si="67"/>
        <x:v>14860</x:v>
      </x:c>
    </x:row>
    <x:row r="4049" spans="1:9" x14ac:dyDescent="0.15">
      <x:c r="A4049">
        <x:v>54203</x:v>
      </x:c>
      <x:c r="B4049">
        <x:v>2</x:v>
      </x:c>
      <x:c r="C4049">
        <x:v>28</x:v>
      </x:c>
      <x:c r="D4049">
        <x:f>ROUND($C4049*10*VLOOKUP($B4049,Sheet2!$J$5:$K$7,2,FALSE)*VLOOKUP(Sheet1!$A4049,Sheet2!$B$5:$H$29,3,FALSE),0)</x:f>
        <x:v>0</x:v>
      </x:c>
      <x:c r="E4049">
        <x:f>ROUND($C4049*10*VLOOKUP($B4049,Sheet2!$J$5:$K$7,2,FALSE)*VLOOKUP(Sheet1!$A4049,Sheet2!$B$5:$H$29,4,FALSE),0)</x:f>
        <x:v>0</x:v>
      </x:c>
      <x:c r="F4049">
        <x:f>ROUND($C4049*10*VLOOKUP($B4049,Sheet2!$J$5:$K$7,2,FALSE)*VLOOKUP(Sheet1!$A4049,Sheet2!$B$5:$H$29,5,FALSE),0)</x:f>
        <x:v>54</x:v>
      </x:c>
      <x:c r="G4049">
        <x:f>ROUND($C4049*10*VLOOKUP($B4049,Sheet2!$J$5:$K$7,2,FALSE)*VLOOKUP(Sheet1!$A4049,Sheet2!$B$5:$H$29,6,FALSE),0)</x:f>
        <x:v>0</x:v>
      </x:c>
      <x:c r="H4049">
        <x:f>ROUND($C4049*10*VLOOKUP($B4049,Sheet2!$J$5:$K$7,2,FALSE)*VLOOKUP(Sheet1!$A4049,Sheet2!$B$5:$H$29,7,FALSE),0)</x:f>
        <x:v>1008</x:v>
      </x:c>
      <x:c r="I4049">
        <x:f t="shared" si="67"/>
        <x:v>15900</x:v>
      </x:c>
    </x:row>
    <x:row r="4050" spans="1:9" x14ac:dyDescent="0.15">
      <x:c r="A4050">
        <x:v>54203</x:v>
      </x:c>
      <x:c r="B4050">
        <x:v>2</x:v>
      </x:c>
      <x:c r="C4050">
        <x:v>29</x:v>
      </x:c>
      <x:c r="D4050">
        <x:f>ROUND($C4050*10*VLOOKUP($B4050,Sheet2!$J$5:$K$7,2,FALSE)*VLOOKUP(Sheet1!$A4050,Sheet2!$B$5:$H$29,3,FALSE),0)</x:f>
        <x:v>0</x:v>
      </x:c>
      <x:c r="E4050">
        <x:f>ROUND($C4050*10*VLOOKUP($B4050,Sheet2!$J$5:$K$7,2,FALSE)*VLOOKUP(Sheet1!$A4050,Sheet2!$B$5:$H$29,4,FALSE),0)</x:f>
        <x:v>0</x:v>
      </x:c>
      <x:c r="F4050">
        <x:f>ROUND($C4050*10*VLOOKUP($B4050,Sheet2!$J$5:$K$7,2,FALSE)*VLOOKUP(Sheet1!$A4050,Sheet2!$B$5:$H$29,5,FALSE),0)</x:f>
        <x:v>56</x:v>
      </x:c>
      <x:c r="G4050">
        <x:f>ROUND($C4050*10*VLOOKUP($B4050,Sheet2!$J$5:$K$7,2,FALSE)*VLOOKUP(Sheet1!$A4050,Sheet2!$B$5:$H$29,6,FALSE),0)</x:f>
        <x:v>0</x:v>
      </x:c>
      <x:c r="H4050">
        <x:f>ROUND($C4050*10*VLOOKUP($B4050,Sheet2!$J$5:$K$7,2,FALSE)*VLOOKUP(Sheet1!$A4050,Sheet2!$B$5:$H$29,7,FALSE),0)</x:f>
        <x:v>1044</x:v>
      </x:c>
      <x:c r="I4050">
        <x:f t="shared" si="67"/>
        <x:v>16970</x:v>
      </x:c>
    </x:row>
    <x:row r="4051" spans="1:9" x14ac:dyDescent="0.15">
      <x:c r="A4051">
        <x:v>54203</x:v>
      </x:c>
      <x:c r="B4051">
        <x:v>2</x:v>
      </x:c>
      <x:c r="C4051">
        <x:v>30</x:v>
      </x:c>
      <x:c r="D4051">
        <x:f>ROUND($C4051*10*VLOOKUP($B4051,Sheet2!$J$5:$K$7,2,FALSE)*VLOOKUP(Sheet1!$A4051,Sheet2!$B$5:$H$29,3,FALSE),0)</x:f>
        <x:v>0</x:v>
      </x:c>
      <x:c r="E4051">
        <x:f>ROUND($C4051*10*VLOOKUP($B4051,Sheet2!$J$5:$K$7,2,FALSE)*VLOOKUP(Sheet1!$A4051,Sheet2!$B$5:$H$29,4,FALSE),0)</x:f>
        <x:v>0</x:v>
      </x:c>
      <x:c r="F4051">
        <x:f>ROUND($C4051*10*VLOOKUP($B4051,Sheet2!$J$5:$K$7,2,FALSE)*VLOOKUP(Sheet1!$A4051,Sheet2!$B$5:$H$29,5,FALSE),0)</x:f>
        <x:v>58</x:v>
      </x:c>
      <x:c r="G4051">
        <x:f>ROUND($C4051*10*VLOOKUP($B4051,Sheet2!$J$5:$K$7,2,FALSE)*VLOOKUP(Sheet1!$A4051,Sheet2!$B$5:$H$29,6,FALSE),0)</x:f>
        <x:v>0</x:v>
      </x:c>
      <x:c r="H4051">
        <x:f>ROUND($C4051*10*VLOOKUP($B4051,Sheet2!$J$5:$K$7,2,FALSE)*VLOOKUP(Sheet1!$A4051,Sheet2!$B$5:$H$29,7,FALSE),0)</x:f>
        <x:v>1080</x:v>
      </x:c>
      <x:c r="I4051">
        <x:f t="shared" si="67"/>
        <x:v>18070</x:v>
      </x:c>
    </x:row>
    <x:row r="4052" spans="1:9" x14ac:dyDescent="0.15">
      <x:c r="A4052">
        <x:v>54203</x:v>
      </x:c>
      <x:c r="B4052">
        <x:v>2</x:v>
      </x:c>
      <x:c r="C4052">
        <x:v>31</x:v>
      </x:c>
      <x:c r="D4052">
        <x:f>ROUND($C4052*10*VLOOKUP($B4052,Sheet2!$J$5:$K$7,2,FALSE)*VLOOKUP(Sheet1!$A4052,Sheet2!$B$5:$H$29,3,FALSE),0)</x:f>
        <x:v>0</x:v>
      </x:c>
      <x:c r="E4052">
        <x:f>ROUND($C4052*10*VLOOKUP($B4052,Sheet2!$J$5:$K$7,2,FALSE)*VLOOKUP(Sheet1!$A4052,Sheet2!$B$5:$H$29,4,FALSE),0)</x:f>
        <x:v>0</x:v>
      </x:c>
      <x:c r="F4052">
        <x:f>ROUND($C4052*10*VLOOKUP($B4052,Sheet2!$J$5:$K$7,2,FALSE)*VLOOKUP(Sheet1!$A4052,Sheet2!$B$5:$H$29,5,FALSE),0)</x:f>
        <x:v>60</x:v>
      </x:c>
      <x:c r="G4052">
        <x:f>ROUND($C4052*10*VLOOKUP($B4052,Sheet2!$J$5:$K$7,2,FALSE)*VLOOKUP(Sheet1!$A4052,Sheet2!$B$5:$H$29,6,FALSE),0)</x:f>
        <x:v>0</x:v>
      </x:c>
      <x:c r="H4052">
        <x:f>ROUND($C4052*10*VLOOKUP($B4052,Sheet2!$J$5:$K$7,2,FALSE)*VLOOKUP(Sheet1!$A4052,Sheet2!$B$5:$H$29,7,FALSE),0)</x:f>
        <x:v>1116</x:v>
      </x:c>
      <x:c r="I4052">
        <x:f t="shared" si="67"/>
        <x:v>19210</x:v>
      </x:c>
    </x:row>
    <x:row r="4053" spans="1:9" x14ac:dyDescent="0.15">
      <x:c r="A4053">
        <x:v>54203</x:v>
      </x:c>
      <x:c r="B4053">
        <x:v>2</x:v>
      </x:c>
      <x:c r="C4053">
        <x:v>32</x:v>
      </x:c>
      <x:c r="D4053">
        <x:f>ROUND($C4053*10*VLOOKUP($B4053,Sheet2!$J$5:$K$7,2,FALSE)*VLOOKUP(Sheet1!$A4053,Sheet2!$B$5:$H$29,3,FALSE),0)</x:f>
        <x:v>0</x:v>
      </x:c>
      <x:c r="E4053">
        <x:f>ROUND($C4053*10*VLOOKUP($B4053,Sheet2!$J$5:$K$7,2,FALSE)*VLOOKUP(Sheet1!$A4053,Sheet2!$B$5:$H$29,4,FALSE),0)</x:f>
        <x:v>0</x:v>
      </x:c>
      <x:c r="F4053">
        <x:f>ROUND($C4053*10*VLOOKUP($B4053,Sheet2!$J$5:$K$7,2,FALSE)*VLOOKUP(Sheet1!$A4053,Sheet2!$B$5:$H$29,5,FALSE),0)</x:f>
        <x:v>61</x:v>
      </x:c>
      <x:c r="G4053">
        <x:f>ROUND($C4053*10*VLOOKUP($B4053,Sheet2!$J$5:$K$7,2,FALSE)*VLOOKUP(Sheet1!$A4053,Sheet2!$B$5:$H$29,6,FALSE),0)</x:f>
        <x:v>0</x:v>
      </x:c>
      <x:c r="H4053">
        <x:f>ROUND($C4053*10*VLOOKUP($B4053,Sheet2!$J$5:$K$7,2,FALSE)*VLOOKUP(Sheet1!$A4053,Sheet2!$B$5:$H$29,7,FALSE),0)</x:f>
        <x:v>1152</x:v>
      </x:c>
      <x:c r="I4053">
        <x:f t="shared" si="67"/>
        <x:v>20370</x:v>
      </x:c>
    </x:row>
    <x:row r="4054" spans="1:9" x14ac:dyDescent="0.15">
      <x:c r="A4054">
        <x:v>54203</x:v>
      </x:c>
      <x:c r="B4054">
        <x:v>2</x:v>
      </x:c>
      <x:c r="C4054">
        <x:v>33</x:v>
      </x:c>
      <x:c r="D4054">
        <x:f>ROUND($C4054*10*VLOOKUP($B4054,Sheet2!$J$5:$K$7,2,FALSE)*VLOOKUP(Sheet1!$A4054,Sheet2!$B$5:$H$29,3,FALSE),0)</x:f>
        <x:v>0</x:v>
      </x:c>
      <x:c r="E4054">
        <x:f>ROUND($C4054*10*VLOOKUP($B4054,Sheet2!$J$5:$K$7,2,FALSE)*VLOOKUP(Sheet1!$A4054,Sheet2!$B$5:$H$29,4,FALSE),0)</x:f>
        <x:v>0</x:v>
      </x:c>
      <x:c r="F4054">
        <x:f>ROUND($C4054*10*VLOOKUP($B4054,Sheet2!$J$5:$K$7,2,FALSE)*VLOOKUP(Sheet1!$A4054,Sheet2!$B$5:$H$29,5,FALSE),0)</x:f>
        <x:v>63</x:v>
      </x:c>
      <x:c r="G4054">
        <x:f>ROUND($C4054*10*VLOOKUP($B4054,Sheet2!$J$5:$K$7,2,FALSE)*VLOOKUP(Sheet1!$A4054,Sheet2!$B$5:$H$29,6,FALSE),0)</x:f>
        <x:v>0</x:v>
      </x:c>
      <x:c r="H4054">
        <x:f>ROUND($C4054*10*VLOOKUP($B4054,Sheet2!$J$5:$K$7,2,FALSE)*VLOOKUP(Sheet1!$A4054,Sheet2!$B$5:$H$29,7,FALSE),0)</x:f>
        <x:v>1188</x:v>
      </x:c>
      <x:c r="I4054">
        <x:f t="shared" si="67"/>
        <x:v>21560</x:v>
      </x:c>
    </x:row>
    <x:row r="4055" spans="1:9" x14ac:dyDescent="0.15">
      <x:c r="A4055">
        <x:v>54203</x:v>
      </x:c>
      <x:c r="B4055">
        <x:v>2</x:v>
      </x:c>
      <x:c r="C4055">
        <x:v>34</x:v>
      </x:c>
      <x:c r="D4055">
        <x:f>ROUND($C4055*10*VLOOKUP($B4055,Sheet2!$J$5:$K$7,2,FALSE)*VLOOKUP(Sheet1!$A4055,Sheet2!$B$5:$H$29,3,FALSE),0)</x:f>
        <x:v>0</x:v>
      </x:c>
      <x:c r="E4055">
        <x:f>ROUND($C4055*10*VLOOKUP($B4055,Sheet2!$J$5:$K$7,2,FALSE)*VLOOKUP(Sheet1!$A4055,Sheet2!$B$5:$H$29,4,FALSE),0)</x:f>
        <x:v>0</x:v>
      </x:c>
      <x:c r="F4055">
        <x:f>ROUND($C4055*10*VLOOKUP($B4055,Sheet2!$J$5:$K$7,2,FALSE)*VLOOKUP(Sheet1!$A4055,Sheet2!$B$5:$H$29,5,FALSE),0)</x:f>
        <x:v>65</x:v>
      </x:c>
      <x:c r="G4055">
        <x:f>ROUND($C4055*10*VLOOKUP($B4055,Sheet2!$J$5:$K$7,2,FALSE)*VLOOKUP(Sheet1!$A4055,Sheet2!$B$5:$H$29,6,FALSE),0)</x:f>
        <x:v>0</x:v>
      </x:c>
      <x:c r="H4055">
        <x:f>ROUND($C4055*10*VLOOKUP($B4055,Sheet2!$J$5:$K$7,2,FALSE)*VLOOKUP(Sheet1!$A4055,Sheet2!$B$5:$H$29,7,FALSE),0)</x:f>
        <x:v>1224</x:v>
      </x:c>
      <x:c r="I4055">
        <x:f t="shared" si="67"/>
        <x:v>22790</x:v>
      </x:c>
    </x:row>
    <x:row r="4056" spans="1:9" x14ac:dyDescent="0.15">
      <x:c r="A4056">
        <x:v>54203</x:v>
      </x:c>
      <x:c r="B4056">
        <x:v>2</x:v>
      </x:c>
      <x:c r="C4056">
        <x:v>35</x:v>
      </x:c>
      <x:c r="D4056">
        <x:f>ROUND($C4056*10*VLOOKUP($B4056,Sheet2!$J$5:$K$7,2,FALSE)*VLOOKUP(Sheet1!$A4056,Sheet2!$B$5:$H$29,3,FALSE),0)</x:f>
        <x:v>0</x:v>
      </x:c>
      <x:c r="E4056">
        <x:f>ROUND($C4056*10*VLOOKUP($B4056,Sheet2!$J$5:$K$7,2,FALSE)*VLOOKUP(Sheet1!$A4056,Sheet2!$B$5:$H$29,4,FALSE),0)</x:f>
        <x:v>0</x:v>
      </x:c>
      <x:c r="F4056">
        <x:f>ROUND($C4056*10*VLOOKUP($B4056,Sheet2!$J$5:$K$7,2,FALSE)*VLOOKUP(Sheet1!$A4056,Sheet2!$B$5:$H$29,5,FALSE),0)</x:f>
        <x:v>67</x:v>
      </x:c>
      <x:c r="G4056">
        <x:f>ROUND($C4056*10*VLOOKUP($B4056,Sheet2!$J$5:$K$7,2,FALSE)*VLOOKUP(Sheet1!$A4056,Sheet2!$B$5:$H$29,6,FALSE),0)</x:f>
        <x:v>0</x:v>
      </x:c>
      <x:c r="H4056">
        <x:f>ROUND($C4056*10*VLOOKUP($B4056,Sheet2!$J$5:$K$7,2,FALSE)*VLOOKUP(Sheet1!$A4056,Sheet2!$B$5:$H$29,7,FALSE),0)</x:f>
        <x:v>1260</x:v>
      </x:c>
      <x:c r="I4056">
        <x:f t="shared" si="67"/>
        <x:v>24040</x:v>
      </x:c>
    </x:row>
    <x:row r="4057" spans="1:9" x14ac:dyDescent="0.15">
      <x:c r="A4057">
        <x:v>54203</x:v>
      </x:c>
      <x:c r="B4057">
        <x:v>2</x:v>
      </x:c>
      <x:c r="C4057">
        <x:v>36</x:v>
      </x:c>
      <x:c r="D4057">
        <x:f>ROUND($C4057*10*VLOOKUP($B4057,Sheet2!$J$5:$K$7,2,FALSE)*VLOOKUP(Sheet1!$A4057,Sheet2!$B$5:$H$29,3,FALSE),0)</x:f>
        <x:v>0</x:v>
      </x:c>
      <x:c r="E4057">
        <x:f>ROUND($C4057*10*VLOOKUP($B4057,Sheet2!$J$5:$K$7,2,FALSE)*VLOOKUP(Sheet1!$A4057,Sheet2!$B$5:$H$29,4,FALSE),0)</x:f>
        <x:v>0</x:v>
      </x:c>
      <x:c r="F4057">
        <x:f>ROUND($C4057*10*VLOOKUP($B4057,Sheet2!$J$5:$K$7,2,FALSE)*VLOOKUP(Sheet1!$A4057,Sheet2!$B$5:$H$29,5,FALSE),0)</x:f>
        <x:v>69</x:v>
      </x:c>
      <x:c r="G4057">
        <x:f>ROUND($C4057*10*VLOOKUP($B4057,Sheet2!$J$5:$K$7,2,FALSE)*VLOOKUP(Sheet1!$A4057,Sheet2!$B$5:$H$29,6,FALSE),0)</x:f>
        <x:v>0</x:v>
      </x:c>
      <x:c r="H4057">
        <x:f>ROUND($C4057*10*VLOOKUP($B4057,Sheet2!$J$5:$K$7,2,FALSE)*VLOOKUP(Sheet1!$A4057,Sheet2!$B$5:$H$29,7,FALSE),0)</x:f>
        <x:v>1296</x:v>
      </x:c>
      <x:c r="I4057">
        <x:f t="shared" si="67"/>
        <x:v>25330</x:v>
      </x:c>
    </x:row>
    <x:row r="4058" spans="1:9" x14ac:dyDescent="0.15">
      <x:c r="A4058">
        <x:v>54203</x:v>
      </x:c>
      <x:c r="B4058">
        <x:v>2</x:v>
      </x:c>
      <x:c r="C4058">
        <x:v>37</x:v>
      </x:c>
      <x:c r="D4058">
        <x:f>ROUND($C4058*10*VLOOKUP($B4058,Sheet2!$J$5:$K$7,2,FALSE)*VLOOKUP(Sheet1!$A4058,Sheet2!$B$5:$H$29,3,FALSE),0)</x:f>
        <x:v>0</x:v>
      </x:c>
      <x:c r="E4058">
        <x:f>ROUND($C4058*10*VLOOKUP($B4058,Sheet2!$J$5:$K$7,2,FALSE)*VLOOKUP(Sheet1!$A4058,Sheet2!$B$5:$H$29,4,FALSE),0)</x:f>
        <x:v>0</x:v>
      </x:c>
      <x:c r="F4058">
        <x:f>ROUND($C4058*10*VLOOKUP($B4058,Sheet2!$J$5:$K$7,2,FALSE)*VLOOKUP(Sheet1!$A4058,Sheet2!$B$5:$H$29,5,FALSE),0)</x:f>
        <x:v>71</x:v>
      </x:c>
      <x:c r="G4058">
        <x:f>ROUND($C4058*10*VLOOKUP($B4058,Sheet2!$J$5:$K$7,2,FALSE)*VLOOKUP(Sheet1!$A4058,Sheet2!$B$5:$H$29,6,FALSE),0)</x:f>
        <x:v>0</x:v>
      </x:c>
      <x:c r="H4058">
        <x:f>ROUND($C4058*10*VLOOKUP($B4058,Sheet2!$J$5:$K$7,2,FALSE)*VLOOKUP(Sheet1!$A4058,Sheet2!$B$5:$H$29,7,FALSE),0)</x:f>
        <x:v>1332</x:v>
      </x:c>
      <x:c r="I4058">
        <x:f t="shared" si="67"/>
        <x:v>26640</x:v>
      </x:c>
    </x:row>
    <x:row r="4059" spans="1:9" x14ac:dyDescent="0.15">
      <x:c r="A4059">
        <x:v>54203</x:v>
      </x:c>
      <x:c r="B4059">
        <x:v>2</x:v>
      </x:c>
      <x:c r="C4059">
        <x:v>38</x:v>
      </x:c>
      <x:c r="D4059">
        <x:f>ROUND($C4059*10*VLOOKUP($B4059,Sheet2!$J$5:$K$7,2,FALSE)*VLOOKUP(Sheet1!$A4059,Sheet2!$B$5:$H$29,3,FALSE),0)</x:f>
        <x:v>0</x:v>
      </x:c>
      <x:c r="E4059">
        <x:f>ROUND($C4059*10*VLOOKUP($B4059,Sheet2!$J$5:$K$7,2,FALSE)*VLOOKUP(Sheet1!$A4059,Sheet2!$B$5:$H$29,4,FALSE),0)</x:f>
        <x:v>0</x:v>
      </x:c>
      <x:c r="F4059">
        <x:f>ROUND($C4059*10*VLOOKUP($B4059,Sheet2!$J$5:$K$7,2,FALSE)*VLOOKUP(Sheet1!$A4059,Sheet2!$B$5:$H$29,5,FALSE),0)</x:f>
        <x:v>73</x:v>
      </x:c>
      <x:c r="G4059">
        <x:f>ROUND($C4059*10*VLOOKUP($B4059,Sheet2!$J$5:$K$7,2,FALSE)*VLOOKUP(Sheet1!$A4059,Sheet2!$B$5:$H$29,6,FALSE),0)</x:f>
        <x:v>0</x:v>
      </x:c>
      <x:c r="H4059">
        <x:f>ROUND($C4059*10*VLOOKUP($B4059,Sheet2!$J$5:$K$7,2,FALSE)*VLOOKUP(Sheet1!$A4059,Sheet2!$B$5:$H$29,7,FALSE),0)</x:f>
        <x:v>1368</x:v>
      </x:c>
      <x:c r="I4059">
        <x:f t="shared" si="67"/>
        <x:v>27990</x:v>
      </x:c>
    </x:row>
    <x:row r="4060" spans="1:9" x14ac:dyDescent="0.15">
      <x:c r="A4060">
        <x:v>54203</x:v>
      </x:c>
      <x:c r="B4060">
        <x:v>2</x:v>
      </x:c>
      <x:c r="C4060">
        <x:v>39</x:v>
      </x:c>
      <x:c r="D4060">
        <x:f>ROUND($C4060*10*VLOOKUP($B4060,Sheet2!$J$5:$K$7,2,FALSE)*VLOOKUP(Sheet1!$A4060,Sheet2!$B$5:$H$29,3,FALSE),0)</x:f>
        <x:v>0</x:v>
      </x:c>
      <x:c r="E4060">
        <x:f>ROUND($C4060*10*VLOOKUP($B4060,Sheet2!$J$5:$K$7,2,FALSE)*VLOOKUP(Sheet1!$A4060,Sheet2!$B$5:$H$29,4,FALSE),0)</x:f>
        <x:v>0</x:v>
      </x:c>
      <x:c r="F4060">
        <x:f>ROUND($C4060*10*VLOOKUP($B4060,Sheet2!$J$5:$K$7,2,FALSE)*VLOOKUP(Sheet1!$A4060,Sheet2!$B$5:$H$29,5,FALSE),0)</x:f>
        <x:v>75</x:v>
      </x:c>
      <x:c r="G4060">
        <x:f>ROUND($C4060*10*VLOOKUP($B4060,Sheet2!$J$5:$K$7,2,FALSE)*VLOOKUP(Sheet1!$A4060,Sheet2!$B$5:$H$29,6,FALSE),0)</x:f>
        <x:v>0</x:v>
      </x:c>
      <x:c r="H4060">
        <x:f>ROUND($C4060*10*VLOOKUP($B4060,Sheet2!$J$5:$K$7,2,FALSE)*VLOOKUP(Sheet1!$A4060,Sheet2!$B$5:$H$29,7,FALSE),0)</x:f>
        <x:v>1404</x:v>
      </x:c>
      <x:c r="I4060">
        <x:f t="shared" si="67"/>
        <x:v>29360</x:v>
      </x:c>
    </x:row>
    <x:row r="4061" spans="1:9" x14ac:dyDescent="0.15">
      <x:c r="A4061">
        <x:v>54203</x:v>
      </x:c>
      <x:c r="B4061">
        <x:v>2</x:v>
      </x:c>
      <x:c r="C4061">
        <x:v>40</x:v>
      </x:c>
      <x:c r="D4061">
        <x:f>ROUND($C4061*10*VLOOKUP($B4061,Sheet2!$J$5:$K$7,2,FALSE)*VLOOKUP(Sheet1!$A4061,Sheet2!$B$5:$H$29,3,FALSE),0)</x:f>
        <x:v>0</x:v>
      </x:c>
      <x:c r="E4061">
        <x:f>ROUND($C4061*10*VLOOKUP($B4061,Sheet2!$J$5:$K$7,2,FALSE)*VLOOKUP(Sheet1!$A4061,Sheet2!$B$5:$H$29,4,FALSE),0)</x:f>
        <x:v>0</x:v>
      </x:c>
      <x:c r="F4061">
        <x:f>ROUND($C4061*10*VLOOKUP($B4061,Sheet2!$J$5:$K$7,2,FALSE)*VLOOKUP(Sheet1!$A4061,Sheet2!$B$5:$H$29,5,FALSE),0)</x:f>
        <x:v>77</x:v>
      </x:c>
      <x:c r="G4061">
        <x:f>ROUND($C4061*10*VLOOKUP($B4061,Sheet2!$J$5:$K$7,2,FALSE)*VLOOKUP(Sheet1!$A4061,Sheet2!$B$5:$H$29,6,FALSE),0)</x:f>
        <x:v>0</x:v>
      </x:c>
      <x:c r="H4061">
        <x:f>ROUND($C4061*10*VLOOKUP($B4061,Sheet2!$J$5:$K$7,2,FALSE)*VLOOKUP(Sheet1!$A4061,Sheet2!$B$5:$H$29,7,FALSE),0)</x:f>
        <x:v>1440</x:v>
      </x:c>
      <x:c r="I4061">
        <x:f t="shared" si="67"/>
        <x:v>30760</x:v>
      </x:c>
    </x:row>
    <x:row r="4062" spans="1:9" x14ac:dyDescent="0.15">
      <x:c r="A4062">
        <x:v>54203</x:v>
      </x:c>
      <x:c r="B4062">
        <x:v>2</x:v>
      </x:c>
      <x:c r="C4062">
        <x:v>41</x:v>
      </x:c>
      <x:c r="D4062">
        <x:f>ROUND($C4062*10*VLOOKUP($B4062,Sheet2!$J$5:$K$7,2,FALSE)*VLOOKUP(Sheet1!$A4062,Sheet2!$B$5:$H$29,3,FALSE),0)</x:f>
        <x:v>0</x:v>
      </x:c>
      <x:c r="E4062">
        <x:f>ROUND($C4062*10*VLOOKUP($B4062,Sheet2!$J$5:$K$7,2,FALSE)*VLOOKUP(Sheet1!$A4062,Sheet2!$B$5:$H$29,4,FALSE),0)</x:f>
        <x:v>0</x:v>
      </x:c>
      <x:c r="F4062">
        <x:f>ROUND($C4062*10*VLOOKUP($B4062,Sheet2!$J$5:$K$7,2,FALSE)*VLOOKUP(Sheet1!$A4062,Sheet2!$B$5:$H$29,5,FALSE),0)</x:f>
        <x:v>79</x:v>
      </x:c>
      <x:c r="G4062">
        <x:f>ROUND($C4062*10*VLOOKUP($B4062,Sheet2!$J$5:$K$7,2,FALSE)*VLOOKUP(Sheet1!$A4062,Sheet2!$B$5:$H$29,6,FALSE),0)</x:f>
        <x:v>0</x:v>
      </x:c>
      <x:c r="H4062">
        <x:f>ROUND($C4062*10*VLOOKUP($B4062,Sheet2!$J$5:$K$7,2,FALSE)*VLOOKUP(Sheet1!$A4062,Sheet2!$B$5:$H$29,7,FALSE),0)</x:f>
        <x:v>1476</x:v>
      </x:c>
      <x:c r="I4062">
        <x:f t="shared" si="67"/>
        <x:v>32190</x:v>
      </x:c>
    </x:row>
    <x:row r="4063" spans="1:9" x14ac:dyDescent="0.15">
      <x:c r="A4063">
        <x:v>54203</x:v>
      </x:c>
      <x:c r="B4063">
        <x:v>2</x:v>
      </x:c>
      <x:c r="C4063">
        <x:v>42</x:v>
      </x:c>
      <x:c r="D4063">
        <x:f>ROUND($C4063*10*VLOOKUP($B4063,Sheet2!$J$5:$K$7,2,FALSE)*VLOOKUP(Sheet1!$A4063,Sheet2!$B$5:$H$29,3,FALSE),0)</x:f>
        <x:v>0</x:v>
      </x:c>
      <x:c r="E4063">
        <x:f>ROUND($C4063*10*VLOOKUP($B4063,Sheet2!$J$5:$K$7,2,FALSE)*VLOOKUP(Sheet1!$A4063,Sheet2!$B$5:$H$29,4,FALSE),0)</x:f>
        <x:v>0</x:v>
      </x:c>
      <x:c r="F4063">
        <x:f>ROUND($C4063*10*VLOOKUP($B4063,Sheet2!$J$5:$K$7,2,FALSE)*VLOOKUP(Sheet1!$A4063,Sheet2!$B$5:$H$29,5,FALSE),0)</x:f>
        <x:v>81</x:v>
      </x:c>
      <x:c r="G4063">
        <x:f>ROUND($C4063*10*VLOOKUP($B4063,Sheet2!$J$5:$K$7,2,FALSE)*VLOOKUP(Sheet1!$A4063,Sheet2!$B$5:$H$29,6,FALSE),0)</x:f>
        <x:v>0</x:v>
      </x:c>
      <x:c r="H4063">
        <x:f>ROUND($C4063*10*VLOOKUP($B4063,Sheet2!$J$5:$K$7,2,FALSE)*VLOOKUP(Sheet1!$A4063,Sheet2!$B$5:$H$29,7,FALSE),0)</x:f>
        <x:v>1512</x:v>
      </x:c>
      <x:c r="I4063">
        <x:f t="shared" si="67"/>
        <x:v>33650</x:v>
      </x:c>
    </x:row>
    <x:row r="4064" spans="1:9" x14ac:dyDescent="0.15">
      <x:c r="A4064">
        <x:v>54203</x:v>
      </x:c>
      <x:c r="B4064">
        <x:v>2</x:v>
      </x:c>
      <x:c r="C4064">
        <x:v>43</x:v>
      </x:c>
      <x:c r="D4064">
        <x:f>ROUND($C4064*10*VLOOKUP($B4064,Sheet2!$J$5:$K$7,2,FALSE)*VLOOKUP(Sheet1!$A4064,Sheet2!$B$5:$H$29,3,FALSE),0)</x:f>
        <x:v>0</x:v>
      </x:c>
      <x:c r="E4064">
        <x:f>ROUND($C4064*10*VLOOKUP($B4064,Sheet2!$J$5:$K$7,2,FALSE)*VLOOKUP(Sheet1!$A4064,Sheet2!$B$5:$H$29,4,FALSE),0)</x:f>
        <x:v>0</x:v>
      </x:c>
      <x:c r="F4064">
        <x:f>ROUND($C4064*10*VLOOKUP($B4064,Sheet2!$J$5:$K$7,2,FALSE)*VLOOKUP(Sheet1!$A4064,Sheet2!$B$5:$H$29,5,FALSE),0)</x:f>
        <x:v>83</x:v>
      </x:c>
      <x:c r="G4064">
        <x:f>ROUND($C4064*10*VLOOKUP($B4064,Sheet2!$J$5:$K$7,2,FALSE)*VLOOKUP(Sheet1!$A4064,Sheet2!$B$5:$H$29,6,FALSE),0)</x:f>
        <x:v>0</x:v>
      </x:c>
      <x:c r="H4064">
        <x:f>ROUND($C4064*10*VLOOKUP($B4064,Sheet2!$J$5:$K$7,2,FALSE)*VLOOKUP(Sheet1!$A4064,Sheet2!$B$5:$H$29,7,FALSE),0)</x:f>
        <x:v>1548</x:v>
      </x:c>
      <x:c r="I4064">
        <x:f t="shared" si="67"/>
        <x:v>35140</x:v>
      </x:c>
    </x:row>
    <x:row r="4065" spans="1:9" x14ac:dyDescent="0.15">
      <x:c r="A4065">
        <x:v>54203</x:v>
      </x:c>
      <x:c r="B4065">
        <x:v>2</x:v>
      </x:c>
      <x:c r="C4065">
        <x:v>44</x:v>
      </x:c>
      <x:c r="D4065">
        <x:f>ROUND($C4065*10*VLOOKUP($B4065,Sheet2!$J$5:$K$7,2,FALSE)*VLOOKUP(Sheet1!$A4065,Sheet2!$B$5:$H$29,3,FALSE),0)</x:f>
        <x:v>0</x:v>
      </x:c>
      <x:c r="E4065">
        <x:f>ROUND($C4065*10*VLOOKUP($B4065,Sheet2!$J$5:$K$7,2,FALSE)*VLOOKUP(Sheet1!$A4065,Sheet2!$B$5:$H$29,4,FALSE),0)</x:f>
        <x:v>0</x:v>
      </x:c>
      <x:c r="F4065">
        <x:f>ROUND($C4065*10*VLOOKUP($B4065,Sheet2!$J$5:$K$7,2,FALSE)*VLOOKUP(Sheet1!$A4065,Sheet2!$B$5:$H$29,5,FALSE),0)</x:f>
        <x:v>84</x:v>
      </x:c>
      <x:c r="G4065">
        <x:f>ROUND($C4065*10*VLOOKUP($B4065,Sheet2!$J$5:$K$7,2,FALSE)*VLOOKUP(Sheet1!$A4065,Sheet2!$B$5:$H$29,6,FALSE),0)</x:f>
        <x:v>0</x:v>
      </x:c>
      <x:c r="H4065">
        <x:f>ROUND($C4065*10*VLOOKUP($B4065,Sheet2!$J$5:$K$7,2,FALSE)*VLOOKUP(Sheet1!$A4065,Sheet2!$B$5:$H$29,7,FALSE),0)</x:f>
        <x:v>1584</x:v>
      </x:c>
      <x:c r="I4065">
        <x:f t="shared" si="67"/>
        <x:v>36660</x:v>
      </x:c>
    </x:row>
    <x:row r="4066" spans="1:9" x14ac:dyDescent="0.15">
      <x:c r="A4066">
        <x:v>54203</x:v>
      </x:c>
      <x:c r="B4066">
        <x:v>2</x:v>
      </x:c>
      <x:c r="C4066">
        <x:v>45</x:v>
      </x:c>
      <x:c r="D4066">
        <x:f>ROUND($C4066*10*VLOOKUP($B4066,Sheet2!$J$5:$K$7,2,FALSE)*VLOOKUP(Sheet1!$A4066,Sheet2!$B$5:$H$29,3,FALSE),0)</x:f>
        <x:v>0</x:v>
      </x:c>
      <x:c r="E4066">
        <x:f>ROUND($C4066*10*VLOOKUP($B4066,Sheet2!$J$5:$K$7,2,FALSE)*VLOOKUP(Sheet1!$A4066,Sheet2!$B$5:$H$29,4,FALSE),0)</x:f>
        <x:v>0</x:v>
      </x:c>
      <x:c r="F4066">
        <x:f>ROUND($C4066*10*VLOOKUP($B4066,Sheet2!$J$5:$K$7,2,FALSE)*VLOOKUP(Sheet1!$A4066,Sheet2!$B$5:$H$29,5,FALSE),0)</x:f>
        <x:v>86</x:v>
      </x:c>
      <x:c r="G4066">
        <x:f>ROUND($C4066*10*VLOOKUP($B4066,Sheet2!$J$5:$K$7,2,FALSE)*VLOOKUP(Sheet1!$A4066,Sheet2!$B$5:$H$29,6,FALSE),0)</x:f>
        <x:v>0</x:v>
      </x:c>
      <x:c r="H4066">
        <x:f>ROUND($C4066*10*VLOOKUP($B4066,Sheet2!$J$5:$K$7,2,FALSE)*VLOOKUP(Sheet1!$A4066,Sheet2!$B$5:$H$29,7,FALSE),0)</x:f>
        <x:v>1620</x:v>
      </x:c>
      <x:c r="I4066">
        <x:f t="shared" si="67"/>
        <x:v>38210</x:v>
      </x:c>
    </x:row>
    <x:row r="4067" spans="1:9" x14ac:dyDescent="0.15">
      <x:c r="A4067">
        <x:v>54203</x:v>
      </x:c>
      <x:c r="B4067">
        <x:v>2</x:v>
      </x:c>
      <x:c r="C4067">
        <x:v>46</x:v>
      </x:c>
      <x:c r="D4067">
        <x:f>ROUND($C4067*10*VLOOKUP($B4067,Sheet2!$J$5:$K$7,2,FALSE)*VLOOKUP(Sheet1!$A4067,Sheet2!$B$5:$H$29,3,FALSE),0)</x:f>
        <x:v>0</x:v>
      </x:c>
      <x:c r="E4067">
        <x:f>ROUND($C4067*10*VLOOKUP($B4067,Sheet2!$J$5:$K$7,2,FALSE)*VLOOKUP(Sheet1!$A4067,Sheet2!$B$5:$H$29,4,FALSE),0)</x:f>
        <x:v>0</x:v>
      </x:c>
      <x:c r="F4067">
        <x:f>ROUND($C4067*10*VLOOKUP($B4067,Sheet2!$J$5:$K$7,2,FALSE)*VLOOKUP(Sheet1!$A4067,Sheet2!$B$5:$H$29,5,FALSE),0)</x:f>
        <x:v>88</x:v>
      </x:c>
      <x:c r="G4067">
        <x:f>ROUND($C4067*10*VLOOKUP($B4067,Sheet2!$J$5:$K$7,2,FALSE)*VLOOKUP(Sheet1!$A4067,Sheet2!$B$5:$H$29,6,FALSE),0)</x:f>
        <x:v>0</x:v>
      </x:c>
      <x:c r="H4067">
        <x:f>ROUND($C4067*10*VLOOKUP($B4067,Sheet2!$J$5:$K$7,2,FALSE)*VLOOKUP(Sheet1!$A4067,Sheet2!$B$5:$H$29,7,FALSE),0)</x:f>
        <x:v>1656</x:v>
      </x:c>
      <x:c r="I4067">
        <x:f t="shared" si="67"/>
        <x:v>39780</x:v>
      </x:c>
    </x:row>
    <x:row r="4068" spans="1:9" x14ac:dyDescent="0.15">
      <x:c r="A4068">
        <x:v>54203</x:v>
      </x:c>
      <x:c r="B4068">
        <x:v>2</x:v>
      </x:c>
      <x:c r="C4068">
        <x:v>47</x:v>
      </x:c>
      <x:c r="D4068">
        <x:f>ROUND($C4068*10*VLOOKUP($B4068,Sheet2!$J$5:$K$7,2,FALSE)*VLOOKUP(Sheet1!$A4068,Sheet2!$B$5:$H$29,3,FALSE),0)</x:f>
        <x:v>0</x:v>
      </x:c>
      <x:c r="E4068">
        <x:f>ROUND($C4068*10*VLOOKUP($B4068,Sheet2!$J$5:$K$7,2,FALSE)*VLOOKUP(Sheet1!$A4068,Sheet2!$B$5:$H$29,4,FALSE),0)</x:f>
        <x:v>0</x:v>
      </x:c>
      <x:c r="F4068">
        <x:f>ROUND($C4068*10*VLOOKUP($B4068,Sheet2!$J$5:$K$7,2,FALSE)*VLOOKUP(Sheet1!$A4068,Sheet2!$B$5:$H$29,5,FALSE),0)</x:f>
        <x:v>90</x:v>
      </x:c>
      <x:c r="G4068">
        <x:f>ROUND($C4068*10*VLOOKUP($B4068,Sheet2!$J$5:$K$7,2,FALSE)*VLOOKUP(Sheet1!$A4068,Sheet2!$B$5:$H$29,6,FALSE),0)</x:f>
        <x:v>0</x:v>
      </x:c>
      <x:c r="H4068">
        <x:f>ROUND($C4068*10*VLOOKUP($B4068,Sheet2!$J$5:$K$7,2,FALSE)*VLOOKUP(Sheet1!$A4068,Sheet2!$B$5:$H$29,7,FALSE),0)</x:f>
        <x:v>1692</x:v>
      </x:c>
      <x:c r="I4068">
        <x:f t="shared" si="67"/>
        <x:v>41390</x:v>
      </x:c>
    </x:row>
    <x:row r="4069" spans="1:9" x14ac:dyDescent="0.15">
      <x:c r="A4069">
        <x:v>54203</x:v>
      </x:c>
      <x:c r="B4069">
        <x:v>2</x:v>
      </x:c>
      <x:c r="C4069">
        <x:v>48</x:v>
      </x:c>
      <x:c r="D4069">
        <x:f>ROUND($C4069*10*VLOOKUP($B4069,Sheet2!$J$5:$K$7,2,FALSE)*VLOOKUP(Sheet1!$A4069,Sheet2!$B$5:$H$29,3,FALSE),0)</x:f>
        <x:v>0</x:v>
      </x:c>
      <x:c r="E4069">
        <x:f>ROUND($C4069*10*VLOOKUP($B4069,Sheet2!$J$5:$K$7,2,FALSE)*VLOOKUP(Sheet1!$A4069,Sheet2!$B$5:$H$29,4,FALSE),0)</x:f>
        <x:v>0</x:v>
      </x:c>
      <x:c r="F4069">
        <x:f>ROUND($C4069*10*VLOOKUP($B4069,Sheet2!$J$5:$K$7,2,FALSE)*VLOOKUP(Sheet1!$A4069,Sheet2!$B$5:$H$29,5,FALSE),0)</x:f>
        <x:v>92</x:v>
      </x:c>
      <x:c r="G4069">
        <x:f>ROUND($C4069*10*VLOOKUP($B4069,Sheet2!$J$5:$K$7,2,FALSE)*VLOOKUP(Sheet1!$A4069,Sheet2!$B$5:$H$29,6,FALSE),0)</x:f>
        <x:v>0</x:v>
      </x:c>
      <x:c r="H4069">
        <x:f>ROUND($C4069*10*VLOOKUP($B4069,Sheet2!$J$5:$K$7,2,FALSE)*VLOOKUP(Sheet1!$A4069,Sheet2!$B$5:$H$29,7,FALSE),0)</x:f>
        <x:v>1728</x:v>
      </x:c>
      <x:c r="I4069">
        <x:f t="shared" si="67"/>
        <x:v>43020</x:v>
      </x:c>
    </x:row>
    <x:row r="4070" spans="1:9" x14ac:dyDescent="0.15">
      <x:c r="A4070">
        <x:v>54203</x:v>
      </x:c>
      <x:c r="B4070">
        <x:v>2</x:v>
      </x:c>
      <x:c r="C4070">
        <x:v>49</x:v>
      </x:c>
      <x:c r="D4070">
        <x:f>ROUND($C4070*10*VLOOKUP($B4070,Sheet2!$J$5:$K$7,2,FALSE)*VLOOKUP(Sheet1!$A4070,Sheet2!$B$5:$H$29,3,FALSE),0)</x:f>
        <x:v>0</x:v>
      </x:c>
      <x:c r="E4070">
        <x:f>ROUND($C4070*10*VLOOKUP($B4070,Sheet2!$J$5:$K$7,2,FALSE)*VLOOKUP(Sheet1!$A4070,Sheet2!$B$5:$H$29,4,FALSE),0)</x:f>
        <x:v>0</x:v>
      </x:c>
      <x:c r="F4070">
        <x:f>ROUND($C4070*10*VLOOKUP($B4070,Sheet2!$J$5:$K$7,2,FALSE)*VLOOKUP(Sheet1!$A4070,Sheet2!$B$5:$H$29,5,FALSE),0)</x:f>
        <x:v>94</x:v>
      </x:c>
      <x:c r="G4070">
        <x:f>ROUND($C4070*10*VLOOKUP($B4070,Sheet2!$J$5:$K$7,2,FALSE)*VLOOKUP(Sheet1!$A4070,Sheet2!$B$5:$H$29,6,FALSE),0)</x:f>
        <x:v>0</x:v>
      </x:c>
      <x:c r="H4070">
        <x:f>ROUND($C4070*10*VLOOKUP($B4070,Sheet2!$J$5:$K$7,2,FALSE)*VLOOKUP(Sheet1!$A4070,Sheet2!$B$5:$H$29,7,FALSE),0)</x:f>
        <x:v>1764</x:v>
      </x:c>
      <x:c r="I4070">
        <x:f t="shared" si="67"/>
        <x:v>44680</x:v>
      </x:c>
    </x:row>
    <x:row r="4071" spans="1:9" x14ac:dyDescent="0.15">
      <x:c r="A4071">
        <x:v>54203</x:v>
      </x:c>
      <x:c r="B4071">
        <x:v>2</x:v>
      </x:c>
      <x:c r="C4071">
        <x:v>50</x:v>
      </x:c>
      <x:c r="D4071">
        <x:f>ROUND($C4071*10*VLOOKUP($B4071,Sheet2!$J$5:$K$7,2,FALSE)*VLOOKUP(Sheet1!$A4071,Sheet2!$B$5:$H$29,3,FALSE),0)</x:f>
        <x:v>0</x:v>
      </x:c>
      <x:c r="E4071">
        <x:f>ROUND($C4071*10*VLOOKUP($B4071,Sheet2!$J$5:$K$7,2,FALSE)*VLOOKUP(Sheet1!$A4071,Sheet2!$B$5:$H$29,4,FALSE),0)</x:f>
        <x:v>0</x:v>
      </x:c>
      <x:c r="F4071">
        <x:f>ROUND($C4071*10*VLOOKUP($B4071,Sheet2!$J$5:$K$7,2,FALSE)*VLOOKUP(Sheet1!$A4071,Sheet2!$B$5:$H$29,5,FALSE),0)</x:f>
        <x:v>96</x:v>
      </x:c>
      <x:c r="G4071">
        <x:f>ROUND($C4071*10*VLOOKUP($B4071,Sheet2!$J$5:$K$7,2,FALSE)*VLOOKUP(Sheet1!$A4071,Sheet2!$B$5:$H$29,6,FALSE),0)</x:f>
        <x:v>0</x:v>
      </x:c>
      <x:c r="H4071">
        <x:f>ROUND($C4071*10*VLOOKUP($B4071,Sheet2!$J$5:$K$7,2,FALSE)*VLOOKUP(Sheet1!$A4071,Sheet2!$B$5:$H$29,7,FALSE),0)</x:f>
        <x:v>1800</x:v>
      </x:c>
      <x:c r="I4071">
        <x:f t="shared" si="67"/>
        <x:v>46360</x:v>
      </x:c>
    </x:row>
    <x:row r="4072" spans="1:9" x14ac:dyDescent="0.15">
      <x:c r="A4072">
        <x:v>54203</x:v>
      </x:c>
      <x:c r="B4072">
        <x:v>2</x:v>
      </x:c>
      <x:c r="C4072">
        <x:v>51</x:v>
      </x:c>
      <x:c r="D4072">
        <x:f>ROUND($C4072*10*VLOOKUP($B4072,Sheet2!$J$5:$K$7,2,FALSE)*VLOOKUP(Sheet1!$A4072,Sheet2!$B$5:$H$29,3,FALSE),0)</x:f>
        <x:v>0</x:v>
      </x:c>
      <x:c r="E4072">
        <x:f>ROUND($C4072*10*VLOOKUP($B4072,Sheet2!$J$5:$K$7,2,FALSE)*VLOOKUP(Sheet1!$A4072,Sheet2!$B$5:$H$29,4,FALSE),0)</x:f>
        <x:v>0</x:v>
      </x:c>
      <x:c r="F4072">
        <x:f>ROUND($C4072*10*VLOOKUP($B4072,Sheet2!$J$5:$K$7,2,FALSE)*VLOOKUP(Sheet1!$A4072,Sheet2!$B$5:$H$29,5,FALSE),0)</x:f>
        <x:v>98</x:v>
      </x:c>
      <x:c r="G4072">
        <x:f>ROUND($C4072*10*VLOOKUP($B4072,Sheet2!$J$5:$K$7,2,FALSE)*VLOOKUP(Sheet1!$A4072,Sheet2!$B$5:$H$29,6,FALSE),0)</x:f>
        <x:v>0</x:v>
      </x:c>
      <x:c r="H4072">
        <x:f>ROUND($C4072*10*VLOOKUP($B4072,Sheet2!$J$5:$K$7,2,FALSE)*VLOOKUP(Sheet1!$A4072,Sheet2!$B$5:$H$29,7,FALSE),0)</x:f>
        <x:v>1836</x:v>
      </x:c>
      <x:c r="I4072">
        <x:f t="shared" si="67"/>
        <x:v>48080</x:v>
      </x:c>
    </x:row>
    <x:row r="4073" spans="1:9" x14ac:dyDescent="0.15">
      <x:c r="A4073">
        <x:v>54203</x:v>
      </x:c>
      <x:c r="B4073">
        <x:v>2</x:v>
      </x:c>
      <x:c r="C4073">
        <x:v>52</x:v>
      </x:c>
      <x:c r="D4073">
        <x:f>ROUND($C4073*10*VLOOKUP($B4073,Sheet2!$J$5:$K$7,2,FALSE)*VLOOKUP(Sheet1!$A4073,Sheet2!$B$5:$H$29,3,FALSE),0)</x:f>
        <x:v>0</x:v>
      </x:c>
      <x:c r="E4073">
        <x:f>ROUND($C4073*10*VLOOKUP($B4073,Sheet2!$J$5:$K$7,2,FALSE)*VLOOKUP(Sheet1!$A4073,Sheet2!$B$5:$H$29,4,FALSE),0)</x:f>
        <x:v>0</x:v>
      </x:c>
      <x:c r="F4073">
        <x:f>ROUND($C4073*10*VLOOKUP($B4073,Sheet2!$J$5:$K$7,2,FALSE)*VLOOKUP(Sheet1!$A4073,Sheet2!$B$5:$H$29,5,FALSE),0)</x:f>
        <x:v>100</x:v>
      </x:c>
      <x:c r="G4073">
        <x:f>ROUND($C4073*10*VLOOKUP($B4073,Sheet2!$J$5:$K$7,2,FALSE)*VLOOKUP(Sheet1!$A4073,Sheet2!$B$5:$H$29,6,FALSE),0)</x:f>
        <x:v>0</x:v>
      </x:c>
      <x:c r="H4073">
        <x:f>ROUND($C4073*10*VLOOKUP($B4073,Sheet2!$J$5:$K$7,2,FALSE)*VLOOKUP(Sheet1!$A4073,Sheet2!$B$5:$H$29,7,FALSE),0)</x:f>
        <x:v>1872</x:v>
      </x:c>
      <x:c r="I4073">
        <x:f t="shared" si="67"/>
        <x:v>49820</x:v>
      </x:c>
    </x:row>
    <x:row r="4074" spans="1:9" x14ac:dyDescent="0.15">
      <x:c r="A4074">
        <x:v>54203</x:v>
      </x:c>
      <x:c r="B4074">
        <x:v>2</x:v>
      </x:c>
      <x:c r="C4074">
        <x:v>53</x:v>
      </x:c>
      <x:c r="D4074">
        <x:f>ROUND($C4074*10*VLOOKUP($B4074,Sheet2!$J$5:$K$7,2,FALSE)*VLOOKUP(Sheet1!$A4074,Sheet2!$B$5:$H$29,3,FALSE),0)</x:f>
        <x:v>0</x:v>
      </x:c>
      <x:c r="E4074">
        <x:f>ROUND($C4074*10*VLOOKUP($B4074,Sheet2!$J$5:$K$7,2,FALSE)*VLOOKUP(Sheet1!$A4074,Sheet2!$B$5:$H$29,4,FALSE),0)</x:f>
        <x:v>0</x:v>
      </x:c>
      <x:c r="F4074">
        <x:f>ROUND($C4074*10*VLOOKUP($B4074,Sheet2!$J$5:$K$7,2,FALSE)*VLOOKUP(Sheet1!$A4074,Sheet2!$B$5:$H$29,5,FALSE),0)</x:f>
        <x:v>102</x:v>
      </x:c>
      <x:c r="G4074">
        <x:f>ROUND($C4074*10*VLOOKUP($B4074,Sheet2!$J$5:$K$7,2,FALSE)*VLOOKUP(Sheet1!$A4074,Sheet2!$B$5:$H$29,6,FALSE),0)</x:f>
        <x:v>0</x:v>
      </x:c>
      <x:c r="H4074">
        <x:f>ROUND($C4074*10*VLOOKUP($B4074,Sheet2!$J$5:$K$7,2,FALSE)*VLOOKUP(Sheet1!$A4074,Sheet2!$B$5:$H$29,7,FALSE),0)</x:f>
        <x:v>1908</x:v>
      </x:c>
      <x:c r="I4074">
        <x:f t="shared" si="67"/>
        <x:v>51590</x:v>
      </x:c>
    </x:row>
    <x:row r="4075" spans="1:9" x14ac:dyDescent="0.15">
      <x:c r="A4075">
        <x:v>54203</x:v>
      </x:c>
      <x:c r="B4075">
        <x:v>2</x:v>
      </x:c>
      <x:c r="C4075">
        <x:v>54</x:v>
      </x:c>
      <x:c r="D4075">
        <x:f>ROUND($C4075*10*VLOOKUP($B4075,Sheet2!$J$5:$K$7,2,FALSE)*VLOOKUP(Sheet1!$A4075,Sheet2!$B$5:$H$29,3,FALSE),0)</x:f>
        <x:v>0</x:v>
      </x:c>
      <x:c r="E4075">
        <x:f>ROUND($C4075*10*VLOOKUP($B4075,Sheet2!$J$5:$K$7,2,FALSE)*VLOOKUP(Sheet1!$A4075,Sheet2!$B$5:$H$29,4,FALSE),0)</x:f>
        <x:v>0</x:v>
      </x:c>
      <x:c r="F4075">
        <x:f>ROUND($C4075*10*VLOOKUP($B4075,Sheet2!$J$5:$K$7,2,FALSE)*VLOOKUP(Sheet1!$A4075,Sheet2!$B$5:$H$29,5,FALSE),0)</x:f>
        <x:v>104</x:v>
      </x:c>
      <x:c r="G4075">
        <x:f>ROUND($C4075*10*VLOOKUP($B4075,Sheet2!$J$5:$K$7,2,FALSE)*VLOOKUP(Sheet1!$A4075,Sheet2!$B$5:$H$29,6,FALSE),0)</x:f>
        <x:v>0</x:v>
      </x:c>
      <x:c r="H4075">
        <x:f>ROUND($C4075*10*VLOOKUP($B4075,Sheet2!$J$5:$K$7,2,FALSE)*VLOOKUP(Sheet1!$A4075,Sheet2!$B$5:$H$29,7,FALSE),0)</x:f>
        <x:v>1944</x:v>
      </x:c>
      <x:c r="I4075">
        <x:f t="shared" si="67"/>
        <x:v>53390</x:v>
      </x:c>
    </x:row>
    <x:row r="4076" spans="1:9" x14ac:dyDescent="0.15">
      <x:c r="A4076">
        <x:v>54203</x:v>
      </x:c>
      <x:c r="B4076">
        <x:v>2</x:v>
      </x:c>
      <x:c r="C4076">
        <x:v>55</x:v>
      </x:c>
      <x:c r="D4076">
        <x:f>ROUND($C4076*10*VLOOKUP($B4076,Sheet2!$J$5:$K$7,2,FALSE)*VLOOKUP(Sheet1!$A4076,Sheet2!$B$5:$H$29,3,FALSE),0)</x:f>
        <x:v>0</x:v>
      </x:c>
      <x:c r="E4076">
        <x:f>ROUND($C4076*10*VLOOKUP($B4076,Sheet2!$J$5:$K$7,2,FALSE)*VLOOKUP(Sheet1!$A4076,Sheet2!$B$5:$H$29,4,FALSE),0)</x:f>
        <x:v>0</x:v>
      </x:c>
      <x:c r="F4076">
        <x:f>ROUND($C4076*10*VLOOKUP($B4076,Sheet2!$J$5:$K$7,2,FALSE)*VLOOKUP(Sheet1!$A4076,Sheet2!$B$5:$H$29,5,FALSE),0)</x:f>
        <x:v>106</x:v>
      </x:c>
      <x:c r="G4076">
        <x:f>ROUND($C4076*10*VLOOKUP($B4076,Sheet2!$J$5:$K$7,2,FALSE)*VLOOKUP(Sheet1!$A4076,Sheet2!$B$5:$H$29,6,FALSE),0)</x:f>
        <x:v>0</x:v>
      </x:c>
      <x:c r="H4076">
        <x:f>ROUND($C4076*10*VLOOKUP($B4076,Sheet2!$J$5:$K$7,2,FALSE)*VLOOKUP(Sheet1!$A4076,Sheet2!$B$5:$H$29,7,FALSE),0)</x:f>
        <x:v>1980</x:v>
      </x:c>
      <x:c r="I4076">
        <x:f t="shared" si="67"/>
        <x:v>55210</x:v>
      </x:c>
    </x:row>
    <x:row r="4077" spans="1:9" x14ac:dyDescent="0.15">
      <x:c r="A4077">
        <x:v>54203</x:v>
      </x:c>
      <x:c r="B4077">
        <x:v>2</x:v>
      </x:c>
      <x:c r="C4077">
        <x:v>56</x:v>
      </x:c>
      <x:c r="D4077">
        <x:f>ROUND($C4077*10*VLOOKUP($B4077,Sheet2!$J$5:$K$7,2,FALSE)*VLOOKUP(Sheet1!$A4077,Sheet2!$B$5:$H$29,3,FALSE),0)</x:f>
        <x:v>0</x:v>
      </x:c>
      <x:c r="E4077">
        <x:f>ROUND($C4077*10*VLOOKUP($B4077,Sheet2!$J$5:$K$7,2,FALSE)*VLOOKUP(Sheet1!$A4077,Sheet2!$B$5:$H$29,4,FALSE),0)</x:f>
        <x:v>0</x:v>
      </x:c>
      <x:c r="F4077">
        <x:f>ROUND($C4077*10*VLOOKUP($B4077,Sheet2!$J$5:$K$7,2,FALSE)*VLOOKUP(Sheet1!$A4077,Sheet2!$B$5:$H$29,5,FALSE),0)</x:f>
        <x:v>108</x:v>
      </x:c>
      <x:c r="G4077">
        <x:f>ROUND($C4077*10*VLOOKUP($B4077,Sheet2!$J$5:$K$7,2,FALSE)*VLOOKUP(Sheet1!$A4077,Sheet2!$B$5:$H$29,6,FALSE),0)</x:f>
        <x:v>0</x:v>
      </x:c>
      <x:c r="H4077">
        <x:f>ROUND($C4077*10*VLOOKUP($B4077,Sheet2!$J$5:$K$7,2,FALSE)*VLOOKUP(Sheet1!$A4077,Sheet2!$B$5:$H$29,7,FALSE),0)</x:f>
        <x:v>2016</x:v>
      </x:c>
      <x:c r="I4077">
        <x:f t="shared" si="67"/>
        <x:v>57060</x:v>
      </x:c>
    </x:row>
    <x:row r="4078" spans="1:9" x14ac:dyDescent="0.15">
      <x:c r="A4078">
        <x:v>54203</x:v>
      </x:c>
      <x:c r="B4078">
        <x:v>2</x:v>
      </x:c>
      <x:c r="C4078">
        <x:v>57</x:v>
      </x:c>
      <x:c r="D4078">
        <x:f>ROUND($C4078*10*VLOOKUP($B4078,Sheet2!$J$5:$K$7,2,FALSE)*VLOOKUP(Sheet1!$A4078,Sheet2!$B$5:$H$29,3,FALSE),0)</x:f>
        <x:v>0</x:v>
      </x:c>
      <x:c r="E4078">
        <x:f>ROUND($C4078*10*VLOOKUP($B4078,Sheet2!$J$5:$K$7,2,FALSE)*VLOOKUP(Sheet1!$A4078,Sheet2!$B$5:$H$29,4,FALSE),0)</x:f>
        <x:v>0</x:v>
      </x:c>
      <x:c r="F4078">
        <x:f>ROUND($C4078*10*VLOOKUP($B4078,Sheet2!$J$5:$K$7,2,FALSE)*VLOOKUP(Sheet1!$A4078,Sheet2!$B$5:$H$29,5,FALSE),0)</x:f>
        <x:v>109</x:v>
      </x:c>
      <x:c r="G4078">
        <x:f>ROUND($C4078*10*VLOOKUP($B4078,Sheet2!$J$5:$K$7,2,FALSE)*VLOOKUP(Sheet1!$A4078,Sheet2!$B$5:$H$29,6,FALSE),0)</x:f>
        <x:v>0</x:v>
      </x:c>
      <x:c r="H4078">
        <x:f>ROUND($C4078*10*VLOOKUP($B4078,Sheet2!$J$5:$K$7,2,FALSE)*VLOOKUP(Sheet1!$A4078,Sheet2!$B$5:$H$29,7,FALSE),0)</x:f>
        <x:v>2052</x:v>
      </x:c>
      <x:c r="I4078">
        <x:f t="shared" si="67"/>
        <x:v>58940</x:v>
      </x:c>
    </x:row>
    <x:row r="4079" spans="1:9" x14ac:dyDescent="0.15">
      <x:c r="A4079">
        <x:v>54203</x:v>
      </x:c>
      <x:c r="B4079">
        <x:v>2</x:v>
      </x:c>
      <x:c r="C4079">
        <x:v>58</x:v>
      </x:c>
      <x:c r="D4079">
        <x:f>ROUND($C4079*10*VLOOKUP($B4079,Sheet2!$J$5:$K$7,2,FALSE)*VLOOKUP(Sheet1!$A4079,Sheet2!$B$5:$H$29,3,FALSE),0)</x:f>
        <x:v>0</x:v>
      </x:c>
      <x:c r="E4079">
        <x:f>ROUND($C4079*10*VLOOKUP($B4079,Sheet2!$J$5:$K$7,2,FALSE)*VLOOKUP(Sheet1!$A4079,Sheet2!$B$5:$H$29,4,FALSE),0)</x:f>
        <x:v>0</x:v>
      </x:c>
      <x:c r="F4079">
        <x:f>ROUND($C4079*10*VLOOKUP($B4079,Sheet2!$J$5:$K$7,2,FALSE)*VLOOKUP(Sheet1!$A4079,Sheet2!$B$5:$H$29,5,FALSE),0)</x:f>
        <x:v>111</x:v>
      </x:c>
      <x:c r="G4079">
        <x:f>ROUND($C4079*10*VLOOKUP($B4079,Sheet2!$J$5:$K$7,2,FALSE)*VLOOKUP(Sheet1!$A4079,Sheet2!$B$5:$H$29,6,FALSE),0)</x:f>
        <x:v>0</x:v>
      </x:c>
      <x:c r="H4079">
        <x:f>ROUND($C4079*10*VLOOKUP($B4079,Sheet2!$J$5:$K$7,2,FALSE)*VLOOKUP(Sheet1!$A4079,Sheet2!$B$5:$H$29,7,FALSE),0)</x:f>
        <x:v>2088</x:v>
      </x:c>
      <x:c r="I4079">
        <x:f t="shared" si="67"/>
        <x:v>60850</x:v>
      </x:c>
    </x:row>
    <x:row r="4080" spans="1:9" x14ac:dyDescent="0.15">
      <x:c r="A4080">
        <x:v>54203</x:v>
      </x:c>
      <x:c r="B4080">
        <x:v>2</x:v>
      </x:c>
      <x:c r="C4080">
        <x:v>59</x:v>
      </x:c>
      <x:c r="D4080">
        <x:f>ROUND($C4080*10*VLOOKUP($B4080,Sheet2!$J$5:$K$7,2,FALSE)*VLOOKUP(Sheet1!$A4080,Sheet2!$B$5:$H$29,3,FALSE),0)</x:f>
        <x:v>0</x:v>
      </x:c>
      <x:c r="E4080">
        <x:f>ROUND($C4080*10*VLOOKUP($B4080,Sheet2!$J$5:$K$7,2,FALSE)*VLOOKUP(Sheet1!$A4080,Sheet2!$B$5:$H$29,4,FALSE),0)</x:f>
        <x:v>0</x:v>
      </x:c>
      <x:c r="F4080">
        <x:f>ROUND($C4080*10*VLOOKUP($B4080,Sheet2!$J$5:$K$7,2,FALSE)*VLOOKUP(Sheet1!$A4080,Sheet2!$B$5:$H$29,5,FALSE),0)</x:f>
        <x:v>113</x:v>
      </x:c>
      <x:c r="G4080">
        <x:f>ROUND($C4080*10*VLOOKUP($B4080,Sheet2!$J$5:$K$7,2,FALSE)*VLOOKUP(Sheet1!$A4080,Sheet2!$B$5:$H$29,6,FALSE),0)</x:f>
        <x:v>0</x:v>
      </x:c>
      <x:c r="H4080">
        <x:f>ROUND($C4080*10*VLOOKUP($B4080,Sheet2!$J$5:$K$7,2,FALSE)*VLOOKUP(Sheet1!$A4080,Sheet2!$B$5:$H$29,7,FALSE),0)</x:f>
        <x:v>2124</x:v>
      </x:c>
      <x:c r="I4080">
        <x:f t="shared" si="67"/>
        <x:v>62780</x:v>
      </x:c>
    </x:row>
    <x:row r="4081" spans="1:9" x14ac:dyDescent="0.15">
      <x:c r="A4081">
        <x:v>54203</x:v>
      </x:c>
      <x:c r="B4081">
        <x:v>2</x:v>
      </x:c>
      <x:c r="C4081">
        <x:v>60</x:v>
      </x:c>
      <x:c r="D4081">
        <x:f>ROUND($C4081*10*VLOOKUP($B4081,Sheet2!$J$5:$K$7,2,FALSE)*VLOOKUP(Sheet1!$A4081,Sheet2!$B$5:$H$29,3,FALSE),0)</x:f>
        <x:v>0</x:v>
      </x:c>
      <x:c r="E4081">
        <x:f>ROUND($C4081*10*VLOOKUP($B4081,Sheet2!$J$5:$K$7,2,FALSE)*VLOOKUP(Sheet1!$A4081,Sheet2!$B$5:$H$29,4,FALSE),0)</x:f>
        <x:v>0</x:v>
      </x:c>
      <x:c r="F4081">
        <x:f>ROUND($C4081*10*VLOOKUP($B4081,Sheet2!$J$5:$K$7,2,FALSE)*VLOOKUP(Sheet1!$A4081,Sheet2!$B$5:$H$29,5,FALSE),0)</x:f>
        <x:v>115</x:v>
      </x:c>
      <x:c r="G4081">
        <x:f>ROUND($C4081*10*VLOOKUP($B4081,Sheet2!$J$5:$K$7,2,FALSE)*VLOOKUP(Sheet1!$A4081,Sheet2!$B$5:$H$29,6,FALSE),0)</x:f>
        <x:v>0</x:v>
      </x:c>
      <x:c r="H4081">
        <x:f>ROUND($C4081*10*VLOOKUP($B4081,Sheet2!$J$5:$K$7,2,FALSE)*VLOOKUP(Sheet1!$A4081,Sheet2!$B$5:$H$29,7,FALSE),0)</x:f>
        <x:v>2160</x:v>
      </x:c>
      <x:c r="I4081">
        <x:f t="shared" si="67"/>
        <x:v>64740</x:v>
      </x:c>
    </x:row>
    <x:row r="4082" spans="1:9" x14ac:dyDescent="0.15">
      <x:c r="A4082">
        <x:v>54203</x:v>
      </x:c>
      <x:c r="B4082">
        <x:v>3</x:v>
      </x:c>
      <x:c r="C4082">
        <x:v>1</x:v>
      </x:c>
      <x:c r="D4082">
        <x:f>ROUND($C4082*10*VLOOKUP($B4082,Sheet2!$J$5:$K$7,2,FALSE)*VLOOKUP(Sheet1!$A4082,Sheet2!$B$5:$H$29,3,FALSE),0)</x:f>
        <x:v>0</x:v>
      </x:c>
      <x:c r="E4082">
        <x:f>ROUND($C4082*10*VLOOKUP($B4082,Sheet2!$J$5:$K$7,2,FALSE)*VLOOKUP(Sheet1!$A4082,Sheet2!$B$5:$H$29,4,FALSE),0)</x:f>
        <x:v>0</x:v>
      </x:c>
      <x:c r="F4082">
        <x:f>ROUND($C4082*10*VLOOKUP($B4082,Sheet2!$J$5:$K$7,2,FALSE)*VLOOKUP(Sheet1!$A4082,Sheet2!$B$5:$H$29,5,FALSE),0)</x:f>
        <x:v>3</x:v>
      </x:c>
      <x:c r="G4082">
        <x:f>ROUND($C4082*10*VLOOKUP($B4082,Sheet2!$J$5:$K$7,2,FALSE)*VLOOKUP(Sheet1!$A4082,Sheet2!$B$5:$H$29,6,FALSE),0)</x:f>
        <x:v>0</x:v>
      </x:c>
      <x:c r="H4082">
        <x:f>ROUND($C4082*10*VLOOKUP($B4082,Sheet2!$J$5:$K$7,2,FALSE)*VLOOKUP(Sheet1!$A4082,Sheet2!$B$5:$H$29,7,FALSE),0)</x:f>
        <x:v>60</x:v>
      </x:c>
      <x:c r="I4082">
        <x:f t="shared" ref="I4082:I4141" si="68">ROUND(1.2*10*10.5*(C4082-1)^1.8+90,-1)</x:f>
        <x:v>90</x:v>
      </x:c>
    </x:row>
    <x:row r="4083" spans="1:9" x14ac:dyDescent="0.15">
      <x:c r="A4083">
        <x:v>54203</x:v>
      </x:c>
      <x:c r="B4083">
        <x:v>3</x:v>
      </x:c>
      <x:c r="C4083">
        <x:v>2</x:v>
      </x:c>
      <x:c r="D4083">
        <x:f>ROUND($C4083*10*VLOOKUP($B4083,Sheet2!$J$5:$K$7,2,FALSE)*VLOOKUP(Sheet1!$A4083,Sheet2!$B$5:$H$29,3,FALSE),0)</x:f>
        <x:v>0</x:v>
      </x:c>
      <x:c r="E4083">
        <x:f>ROUND($C4083*10*VLOOKUP($B4083,Sheet2!$J$5:$K$7,2,FALSE)*VLOOKUP(Sheet1!$A4083,Sheet2!$B$5:$H$29,4,FALSE),0)</x:f>
        <x:v>0</x:v>
      </x:c>
      <x:c r="F4083">
        <x:f>ROUND($C4083*10*VLOOKUP($B4083,Sheet2!$J$5:$K$7,2,FALSE)*VLOOKUP(Sheet1!$A4083,Sheet2!$B$5:$H$29,5,FALSE),0)</x:f>
        <x:v>6</x:v>
      </x:c>
      <x:c r="G4083">
        <x:f>ROUND($C4083*10*VLOOKUP($B4083,Sheet2!$J$5:$K$7,2,FALSE)*VLOOKUP(Sheet1!$A4083,Sheet2!$B$5:$H$29,6,FALSE),0)</x:f>
        <x:v>0</x:v>
      </x:c>
      <x:c r="H4083">
        <x:f>ROUND($C4083*10*VLOOKUP($B4083,Sheet2!$J$5:$K$7,2,FALSE)*VLOOKUP(Sheet1!$A4083,Sheet2!$B$5:$H$29,7,FALSE),0)</x:f>
        <x:v>120</x:v>
      </x:c>
      <x:c r="I4083">
        <x:f t="shared" si="68"/>
        <x:v>220</x:v>
      </x:c>
    </x:row>
    <x:row r="4084" spans="1:9" x14ac:dyDescent="0.15">
      <x:c r="A4084">
        <x:v>54203</x:v>
      </x:c>
      <x:c r="B4084">
        <x:v>3</x:v>
      </x:c>
      <x:c r="C4084">
        <x:v>3</x:v>
      </x:c>
      <x:c r="D4084">
        <x:f>ROUND($C4084*10*VLOOKUP($B4084,Sheet2!$J$5:$K$7,2,FALSE)*VLOOKUP(Sheet1!$A4084,Sheet2!$B$5:$H$29,3,FALSE),0)</x:f>
        <x:v>0</x:v>
      </x:c>
      <x:c r="E4084">
        <x:f>ROUND($C4084*10*VLOOKUP($B4084,Sheet2!$J$5:$K$7,2,FALSE)*VLOOKUP(Sheet1!$A4084,Sheet2!$B$5:$H$29,4,FALSE),0)</x:f>
        <x:v>0</x:v>
      </x:c>
      <x:c r="F4084">
        <x:f>ROUND($C4084*10*VLOOKUP($B4084,Sheet2!$J$5:$K$7,2,FALSE)*VLOOKUP(Sheet1!$A4084,Sheet2!$B$5:$H$29,5,FALSE),0)</x:f>
        <x:v>10</x:v>
      </x:c>
      <x:c r="G4084">
        <x:f>ROUND($C4084*10*VLOOKUP($B4084,Sheet2!$J$5:$K$7,2,FALSE)*VLOOKUP(Sheet1!$A4084,Sheet2!$B$5:$H$29,6,FALSE),0)</x:f>
        <x:v>0</x:v>
      </x:c>
      <x:c r="H4084">
        <x:f>ROUND($C4084*10*VLOOKUP($B4084,Sheet2!$J$5:$K$7,2,FALSE)*VLOOKUP(Sheet1!$A4084,Sheet2!$B$5:$H$29,7,FALSE),0)</x:f>
        <x:v>180</x:v>
      </x:c>
      <x:c r="I4084">
        <x:f t="shared" si="68"/>
        <x:v>530</x:v>
      </x:c>
    </x:row>
    <x:row r="4085" spans="1:9" x14ac:dyDescent="0.15">
      <x:c r="A4085">
        <x:v>54203</x:v>
      </x:c>
      <x:c r="B4085">
        <x:v>3</x:v>
      </x:c>
      <x:c r="C4085">
        <x:v>4</x:v>
      </x:c>
      <x:c r="D4085">
        <x:f>ROUND($C4085*10*VLOOKUP($B4085,Sheet2!$J$5:$K$7,2,FALSE)*VLOOKUP(Sheet1!$A4085,Sheet2!$B$5:$H$29,3,FALSE),0)</x:f>
        <x:v>0</x:v>
      </x:c>
      <x:c r="E4085">
        <x:f>ROUND($C4085*10*VLOOKUP($B4085,Sheet2!$J$5:$K$7,2,FALSE)*VLOOKUP(Sheet1!$A4085,Sheet2!$B$5:$H$29,4,FALSE),0)</x:f>
        <x:v>0</x:v>
      </x:c>
      <x:c r="F4085">
        <x:f>ROUND($C4085*10*VLOOKUP($B4085,Sheet2!$J$5:$K$7,2,FALSE)*VLOOKUP(Sheet1!$A4085,Sheet2!$B$5:$H$29,5,FALSE),0)</x:f>
        <x:v>13</x:v>
      </x:c>
      <x:c r="G4085">
        <x:f>ROUND($C4085*10*VLOOKUP($B4085,Sheet2!$J$5:$K$7,2,FALSE)*VLOOKUP(Sheet1!$A4085,Sheet2!$B$5:$H$29,6,FALSE),0)</x:f>
        <x:v>0</x:v>
      </x:c>
      <x:c r="H4085">
        <x:f>ROUND($C4085*10*VLOOKUP($B4085,Sheet2!$J$5:$K$7,2,FALSE)*VLOOKUP(Sheet1!$A4085,Sheet2!$B$5:$H$29,7,FALSE),0)</x:f>
        <x:v>240</x:v>
      </x:c>
      <x:c r="I4085">
        <x:f t="shared" si="68"/>
        <x:v>1000</x:v>
      </x:c>
    </x:row>
    <x:row r="4086" spans="1:9" x14ac:dyDescent="0.15">
      <x:c r="A4086">
        <x:v>54203</x:v>
      </x:c>
      <x:c r="B4086">
        <x:v>3</x:v>
      </x:c>
      <x:c r="C4086">
        <x:v>5</x:v>
      </x:c>
      <x:c r="D4086">
        <x:f>ROUND($C4086*10*VLOOKUP($B4086,Sheet2!$J$5:$K$7,2,FALSE)*VLOOKUP(Sheet1!$A4086,Sheet2!$B$5:$H$29,3,FALSE),0)</x:f>
        <x:v>0</x:v>
      </x:c>
      <x:c r="E4086">
        <x:f>ROUND($C4086*10*VLOOKUP($B4086,Sheet2!$J$5:$K$7,2,FALSE)*VLOOKUP(Sheet1!$A4086,Sheet2!$B$5:$H$29,4,FALSE),0)</x:f>
        <x:v>0</x:v>
      </x:c>
      <x:c r="F4086">
        <x:f>ROUND($C4086*10*VLOOKUP($B4086,Sheet2!$J$5:$K$7,2,FALSE)*VLOOKUP(Sheet1!$A4086,Sheet2!$B$5:$H$29,5,FALSE),0)</x:f>
        <x:v>16</x:v>
      </x:c>
      <x:c r="G4086">
        <x:f>ROUND($C4086*10*VLOOKUP($B4086,Sheet2!$J$5:$K$7,2,FALSE)*VLOOKUP(Sheet1!$A4086,Sheet2!$B$5:$H$29,6,FALSE),0)</x:f>
        <x:v>0</x:v>
      </x:c>
      <x:c r="H4086">
        <x:f>ROUND($C4086*10*VLOOKUP($B4086,Sheet2!$J$5:$K$7,2,FALSE)*VLOOKUP(Sheet1!$A4086,Sheet2!$B$5:$H$29,7,FALSE),0)</x:f>
        <x:v>300</x:v>
      </x:c>
      <x:c r="I4086">
        <x:f t="shared" si="68"/>
        <x:v>1620</x:v>
      </x:c>
    </x:row>
    <x:row r="4087" spans="1:9" x14ac:dyDescent="0.15">
      <x:c r="A4087">
        <x:v>54203</x:v>
      </x:c>
      <x:c r="B4087">
        <x:v>3</x:v>
      </x:c>
      <x:c r="C4087">
        <x:v>6</x:v>
      </x:c>
      <x:c r="D4087">
        <x:f>ROUND($C4087*10*VLOOKUP($B4087,Sheet2!$J$5:$K$7,2,FALSE)*VLOOKUP(Sheet1!$A4087,Sheet2!$B$5:$H$29,3,FALSE),0)</x:f>
        <x:v>0</x:v>
      </x:c>
      <x:c r="E4087">
        <x:f>ROUND($C4087*10*VLOOKUP($B4087,Sheet2!$J$5:$K$7,2,FALSE)*VLOOKUP(Sheet1!$A4087,Sheet2!$B$5:$H$29,4,FALSE),0)</x:f>
        <x:v>0</x:v>
      </x:c>
      <x:c r="F4087">
        <x:f>ROUND($C4087*10*VLOOKUP($B4087,Sheet2!$J$5:$K$7,2,FALSE)*VLOOKUP(Sheet1!$A4087,Sheet2!$B$5:$H$29,5,FALSE),0)</x:f>
        <x:v>19</x:v>
      </x:c>
      <x:c r="G4087">
        <x:f>ROUND($C4087*10*VLOOKUP($B4087,Sheet2!$J$5:$K$7,2,FALSE)*VLOOKUP(Sheet1!$A4087,Sheet2!$B$5:$H$29,6,FALSE),0)</x:f>
        <x:v>0</x:v>
      </x:c>
      <x:c r="H4087">
        <x:f>ROUND($C4087*10*VLOOKUP($B4087,Sheet2!$J$5:$K$7,2,FALSE)*VLOOKUP(Sheet1!$A4087,Sheet2!$B$5:$H$29,7,FALSE),0)</x:f>
        <x:v>360</x:v>
      </x:c>
      <x:c r="I4087">
        <x:f t="shared" si="68"/>
        <x:v>2370</x:v>
      </x:c>
    </x:row>
    <x:row r="4088" spans="1:9" x14ac:dyDescent="0.15">
      <x:c r="A4088">
        <x:v>54203</x:v>
      </x:c>
      <x:c r="B4088">
        <x:v>3</x:v>
      </x:c>
      <x:c r="C4088">
        <x:v>7</x:v>
      </x:c>
      <x:c r="D4088">
        <x:f>ROUND($C4088*10*VLOOKUP($B4088,Sheet2!$J$5:$K$7,2,FALSE)*VLOOKUP(Sheet1!$A4088,Sheet2!$B$5:$H$29,3,FALSE),0)</x:f>
        <x:v>0</x:v>
      </x:c>
      <x:c r="E4088">
        <x:f>ROUND($C4088*10*VLOOKUP($B4088,Sheet2!$J$5:$K$7,2,FALSE)*VLOOKUP(Sheet1!$A4088,Sheet2!$B$5:$H$29,4,FALSE),0)</x:f>
        <x:v>0</x:v>
      </x:c>
      <x:c r="F4088">
        <x:f>ROUND($C4088*10*VLOOKUP($B4088,Sheet2!$J$5:$K$7,2,FALSE)*VLOOKUP(Sheet1!$A4088,Sheet2!$B$5:$H$29,5,FALSE),0)</x:f>
        <x:v>22</x:v>
      </x:c>
      <x:c r="G4088">
        <x:f>ROUND($C4088*10*VLOOKUP($B4088,Sheet2!$J$5:$K$7,2,FALSE)*VLOOKUP(Sheet1!$A4088,Sheet2!$B$5:$H$29,6,FALSE),0)</x:f>
        <x:v>0</x:v>
      </x:c>
      <x:c r="H4088">
        <x:f>ROUND($C4088*10*VLOOKUP($B4088,Sheet2!$J$5:$K$7,2,FALSE)*VLOOKUP(Sheet1!$A4088,Sheet2!$B$5:$H$29,7,FALSE),0)</x:f>
        <x:v>420</x:v>
      </x:c>
      <x:c r="I4088">
        <x:f t="shared" si="68"/>
        <x:v>3260</x:v>
      </x:c>
    </x:row>
    <x:row r="4089" spans="1:9" x14ac:dyDescent="0.15">
      <x:c r="A4089">
        <x:v>54203</x:v>
      </x:c>
      <x:c r="B4089">
        <x:v>3</x:v>
      </x:c>
      <x:c r="C4089">
        <x:v>8</x:v>
      </x:c>
      <x:c r="D4089">
        <x:f>ROUND($C4089*10*VLOOKUP($B4089,Sheet2!$J$5:$K$7,2,FALSE)*VLOOKUP(Sheet1!$A4089,Sheet2!$B$5:$H$29,3,FALSE),0)</x:f>
        <x:v>0</x:v>
      </x:c>
      <x:c r="E4089">
        <x:f>ROUND($C4089*10*VLOOKUP($B4089,Sheet2!$J$5:$K$7,2,FALSE)*VLOOKUP(Sheet1!$A4089,Sheet2!$B$5:$H$29,4,FALSE),0)</x:f>
        <x:v>0</x:v>
      </x:c>
      <x:c r="F4089">
        <x:f>ROUND($C4089*10*VLOOKUP($B4089,Sheet2!$J$5:$K$7,2,FALSE)*VLOOKUP(Sheet1!$A4089,Sheet2!$B$5:$H$29,5,FALSE),0)</x:f>
        <x:v>26</x:v>
      </x:c>
      <x:c r="G4089">
        <x:f>ROUND($C4089*10*VLOOKUP($B4089,Sheet2!$J$5:$K$7,2,FALSE)*VLOOKUP(Sheet1!$A4089,Sheet2!$B$5:$H$29,6,FALSE),0)</x:f>
        <x:v>0</x:v>
      </x:c>
      <x:c r="H4089">
        <x:f>ROUND($C4089*10*VLOOKUP($B4089,Sheet2!$J$5:$K$7,2,FALSE)*VLOOKUP(Sheet1!$A4089,Sheet2!$B$5:$H$29,7,FALSE),0)</x:f>
        <x:v>480</x:v>
      </x:c>
      <x:c r="I4089">
        <x:f t="shared" si="68"/>
        <x:v>4270</x:v>
      </x:c>
    </x:row>
    <x:row r="4090" spans="1:9" x14ac:dyDescent="0.15">
      <x:c r="A4090">
        <x:v>54203</x:v>
      </x:c>
      <x:c r="B4090">
        <x:v>3</x:v>
      </x:c>
      <x:c r="C4090">
        <x:v>9</x:v>
      </x:c>
      <x:c r="D4090">
        <x:f>ROUND($C4090*10*VLOOKUP($B4090,Sheet2!$J$5:$K$7,2,FALSE)*VLOOKUP(Sheet1!$A4090,Sheet2!$B$5:$H$29,3,FALSE),0)</x:f>
        <x:v>0</x:v>
      </x:c>
      <x:c r="E4090">
        <x:f>ROUND($C4090*10*VLOOKUP($B4090,Sheet2!$J$5:$K$7,2,FALSE)*VLOOKUP(Sheet1!$A4090,Sheet2!$B$5:$H$29,4,FALSE),0)</x:f>
        <x:v>0</x:v>
      </x:c>
      <x:c r="F4090">
        <x:f>ROUND($C4090*10*VLOOKUP($B4090,Sheet2!$J$5:$K$7,2,FALSE)*VLOOKUP(Sheet1!$A4090,Sheet2!$B$5:$H$29,5,FALSE),0)</x:f>
        <x:v>29</x:v>
      </x:c>
      <x:c r="G4090">
        <x:f>ROUND($C4090*10*VLOOKUP($B4090,Sheet2!$J$5:$K$7,2,FALSE)*VLOOKUP(Sheet1!$A4090,Sheet2!$B$5:$H$29,6,FALSE),0)</x:f>
        <x:v>0</x:v>
      </x:c>
      <x:c r="H4090">
        <x:f>ROUND($C4090*10*VLOOKUP($B4090,Sheet2!$J$5:$K$7,2,FALSE)*VLOOKUP(Sheet1!$A4090,Sheet2!$B$5:$H$29,7,FALSE),0)</x:f>
        <x:v>540</x:v>
      </x:c>
      <x:c r="I4090">
        <x:f t="shared" si="68"/>
        <x:v>5410</x:v>
      </x:c>
    </x:row>
    <x:row r="4091" spans="1:9" x14ac:dyDescent="0.15">
      <x:c r="A4091">
        <x:v>54203</x:v>
      </x:c>
      <x:c r="B4091">
        <x:v>3</x:v>
      </x:c>
      <x:c r="C4091">
        <x:v>10</x:v>
      </x:c>
      <x:c r="D4091">
        <x:f>ROUND($C4091*10*VLOOKUP($B4091,Sheet2!$J$5:$K$7,2,FALSE)*VLOOKUP(Sheet1!$A4091,Sheet2!$B$5:$H$29,3,FALSE),0)</x:f>
        <x:v>0</x:v>
      </x:c>
      <x:c r="E4091">
        <x:f>ROUND($C4091*10*VLOOKUP($B4091,Sheet2!$J$5:$K$7,2,FALSE)*VLOOKUP(Sheet1!$A4091,Sheet2!$B$5:$H$29,4,FALSE),0)</x:f>
        <x:v>0</x:v>
      </x:c>
      <x:c r="F4091">
        <x:f>ROUND($C4091*10*VLOOKUP($B4091,Sheet2!$J$5:$K$7,2,FALSE)*VLOOKUP(Sheet1!$A4091,Sheet2!$B$5:$H$29,5,FALSE),0)</x:f>
        <x:v>32</x:v>
      </x:c>
      <x:c r="G4091">
        <x:f>ROUND($C4091*10*VLOOKUP($B4091,Sheet2!$J$5:$K$7,2,FALSE)*VLOOKUP(Sheet1!$A4091,Sheet2!$B$5:$H$29,6,FALSE),0)</x:f>
        <x:v>0</x:v>
      </x:c>
      <x:c r="H4091">
        <x:f>ROUND($C4091*10*VLOOKUP($B4091,Sheet2!$J$5:$K$7,2,FALSE)*VLOOKUP(Sheet1!$A4091,Sheet2!$B$5:$H$29,7,FALSE),0)</x:f>
        <x:v>600</x:v>
      </x:c>
      <x:c r="I4091">
        <x:f t="shared" si="68"/>
        <x:v>6670</x:v>
      </x:c>
    </x:row>
    <x:row r="4092" spans="1:9" x14ac:dyDescent="0.15">
      <x:c r="A4092">
        <x:v>54203</x:v>
      </x:c>
      <x:c r="B4092">
        <x:v>3</x:v>
      </x:c>
      <x:c r="C4092">
        <x:v>11</x:v>
      </x:c>
      <x:c r="D4092">
        <x:f>ROUND($C4092*10*VLOOKUP($B4092,Sheet2!$J$5:$K$7,2,FALSE)*VLOOKUP(Sheet1!$A4092,Sheet2!$B$5:$H$29,3,FALSE),0)</x:f>
        <x:v>0</x:v>
      </x:c>
      <x:c r="E4092">
        <x:f>ROUND($C4092*10*VLOOKUP($B4092,Sheet2!$J$5:$K$7,2,FALSE)*VLOOKUP(Sheet1!$A4092,Sheet2!$B$5:$H$29,4,FALSE),0)</x:f>
        <x:v>0</x:v>
      </x:c>
      <x:c r="F4092">
        <x:f>ROUND($C4092*10*VLOOKUP($B4092,Sheet2!$J$5:$K$7,2,FALSE)*VLOOKUP(Sheet1!$A4092,Sheet2!$B$5:$H$29,5,FALSE),0)</x:f>
        <x:v>35</x:v>
      </x:c>
      <x:c r="G4092">
        <x:f>ROUND($C4092*10*VLOOKUP($B4092,Sheet2!$J$5:$K$7,2,FALSE)*VLOOKUP(Sheet1!$A4092,Sheet2!$B$5:$H$29,6,FALSE),0)</x:f>
        <x:v>0</x:v>
      </x:c>
      <x:c r="H4092">
        <x:f>ROUND($C4092*10*VLOOKUP($B4092,Sheet2!$J$5:$K$7,2,FALSE)*VLOOKUP(Sheet1!$A4092,Sheet2!$B$5:$H$29,7,FALSE),0)</x:f>
        <x:v>660</x:v>
      </x:c>
      <x:c r="I4092">
        <x:f t="shared" si="68"/>
        <x:v>8040</x:v>
      </x:c>
    </x:row>
    <x:row r="4093" spans="1:9" x14ac:dyDescent="0.15">
      <x:c r="A4093">
        <x:v>54203</x:v>
      </x:c>
      <x:c r="B4093">
        <x:v>3</x:v>
      </x:c>
      <x:c r="C4093">
        <x:v>12</x:v>
      </x:c>
      <x:c r="D4093">
        <x:f>ROUND($C4093*10*VLOOKUP($B4093,Sheet2!$J$5:$K$7,2,FALSE)*VLOOKUP(Sheet1!$A4093,Sheet2!$B$5:$H$29,3,FALSE),0)</x:f>
        <x:v>0</x:v>
      </x:c>
      <x:c r="E4093">
        <x:f>ROUND($C4093*10*VLOOKUP($B4093,Sheet2!$J$5:$K$7,2,FALSE)*VLOOKUP(Sheet1!$A4093,Sheet2!$B$5:$H$29,4,FALSE),0)</x:f>
        <x:v>0</x:v>
      </x:c>
      <x:c r="F4093">
        <x:f>ROUND($C4093*10*VLOOKUP($B4093,Sheet2!$J$5:$K$7,2,FALSE)*VLOOKUP(Sheet1!$A4093,Sheet2!$B$5:$H$29,5,FALSE),0)</x:f>
        <x:v>38</x:v>
      </x:c>
      <x:c r="G4093">
        <x:f>ROUND($C4093*10*VLOOKUP($B4093,Sheet2!$J$5:$K$7,2,FALSE)*VLOOKUP(Sheet1!$A4093,Sheet2!$B$5:$H$29,6,FALSE),0)</x:f>
        <x:v>0</x:v>
      </x:c>
      <x:c r="H4093">
        <x:f>ROUND($C4093*10*VLOOKUP($B4093,Sheet2!$J$5:$K$7,2,FALSE)*VLOOKUP(Sheet1!$A4093,Sheet2!$B$5:$H$29,7,FALSE),0)</x:f>
        <x:v>720</x:v>
      </x:c>
      <x:c r="I4093">
        <x:f t="shared" si="68"/>
        <x:v>9530</x:v>
      </x:c>
    </x:row>
    <x:row r="4094" spans="1:9" x14ac:dyDescent="0.15">
      <x:c r="A4094">
        <x:v>54203</x:v>
      </x:c>
      <x:c r="B4094">
        <x:v>3</x:v>
      </x:c>
      <x:c r="C4094">
        <x:v>13</x:v>
      </x:c>
      <x:c r="D4094">
        <x:f>ROUND($C4094*10*VLOOKUP($B4094,Sheet2!$J$5:$K$7,2,FALSE)*VLOOKUP(Sheet1!$A4094,Sheet2!$B$5:$H$29,3,FALSE),0)</x:f>
        <x:v>0</x:v>
      </x:c>
      <x:c r="E4094">
        <x:f>ROUND($C4094*10*VLOOKUP($B4094,Sheet2!$J$5:$K$7,2,FALSE)*VLOOKUP(Sheet1!$A4094,Sheet2!$B$5:$H$29,4,FALSE),0)</x:f>
        <x:v>0</x:v>
      </x:c>
      <x:c r="F4094">
        <x:f>ROUND($C4094*10*VLOOKUP($B4094,Sheet2!$J$5:$K$7,2,FALSE)*VLOOKUP(Sheet1!$A4094,Sheet2!$B$5:$H$29,5,FALSE),0)</x:f>
        <x:v>42</x:v>
      </x:c>
      <x:c r="G4094">
        <x:f>ROUND($C4094*10*VLOOKUP($B4094,Sheet2!$J$5:$K$7,2,FALSE)*VLOOKUP(Sheet1!$A4094,Sheet2!$B$5:$H$29,6,FALSE),0)</x:f>
        <x:v>0</x:v>
      </x:c>
      <x:c r="H4094">
        <x:f>ROUND($C4094*10*VLOOKUP($B4094,Sheet2!$J$5:$K$7,2,FALSE)*VLOOKUP(Sheet1!$A4094,Sheet2!$B$5:$H$29,7,FALSE),0)</x:f>
        <x:v>780</x:v>
      </x:c>
      <x:c r="I4094">
        <x:f t="shared" si="68"/>
        <x:v>11130</x:v>
      </x:c>
    </x:row>
    <x:row r="4095" spans="1:9" x14ac:dyDescent="0.15">
      <x:c r="A4095">
        <x:v>54203</x:v>
      </x:c>
      <x:c r="B4095">
        <x:v>3</x:v>
      </x:c>
      <x:c r="C4095">
        <x:v>14</x:v>
      </x:c>
      <x:c r="D4095">
        <x:f>ROUND($C4095*10*VLOOKUP($B4095,Sheet2!$J$5:$K$7,2,FALSE)*VLOOKUP(Sheet1!$A4095,Sheet2!$B$5:$H$29,3,FALSE),0)</x:f>
        <x:v>0</x:v>
      </x:c>
      <x:c r="E4095">
        <x:f>ROUND($C4095*10*VLOOKUP($B4095,Sheet2!$J$5:$K$7,2,FALSE)*VLOOKUP(Sheet1!$A4095,Sheet2!$B$5:$H$29,4,FALSE),0)</x:f>
        <x:v>0</x:v>
      </x:c>
      <x:c r="F4095">
        <x:f>ROUND($C4095*10*VLOOKUP($B4095,Sheet2!$J$5:$K$7,2,FALSE)*VLOOKUP(Sheet1!$A4095,Sheet2!$B$5:$H$29,5,FALSE),0)</x:f>
        <x:v>45</x:v>
      </x:c>
      <x:c r="G4095">
        <x:f>ROUND($C4095*10*VLOOKUP($B4095,Sheet2!$J$5:$K$7,2,FALSE)*VLOOKUP(Sheet1!$A4095,Sheet2!$B$5:$H$29,6,FALSE),0)</x:f>
        <x:v>0</x:v>
      </x:c>
      <x:c r="H4095">
        <x:f>ROUND($C4095*10*VLOOKUP($B4095,Sheet2!$J$5:$K$7,2,FALSE)*VLOOKUP(Sheet1!$A4095,Sheet2!$B$5:$H$29,7,FALSE),0)</x:f>
        <x:v>840</x:v>
      </x:c>
      <x:c r="I4095">
        <x:f t="shared" si="68"/>
        <x:v>12840</x:v>
      </x:c>
    </x:row>
    <x:row r="4096" spans="1:9" x14ac:dyDescent="0.15">
      <x:c r="A4096">
        <x:v>54203</x:v>
      </x:c>
      <x:c r="B4096">
        <x:v>3</x:v>
      </x:c>
      <x:c r="C4096">
        <x:v>15</x:v>
      </x:c>
      <x:c r="D4096">
        <x:f>ROUND($C4096*10*VLOOKUP($B4096,Sheet2!$J$5:$K$7,2,FALSE)*VLOOKUP(Sheet1!$A4096,Sheet2!$B$5:$H$29,3,FALSE),0)</x:f>
        <x:v>0</x:v>
      </x:c>
      <x:c r="E4096">
        <x:f>ROUND($C4096*10*VLOOKUP($B4096,Sheet2!$J$5:$K$7,2,FALSE)*VLOOKUP(Sheet1!$A4096,Sheet2!$B$5:$H$29,4,FALSE),0)</x:f>
        <x:v>0</x:v>
      </x:c>
      <x:c r="F4096">
        <x:f>ROUND($C4096*10*VLOOKUP($B4096,Sheet2!$J$5:$K$7,2,FALSE)*VLOOKUP(Sheet1!$A4096,Sheet2!$B$5:$H$29,5,FALSE),0)</x:f>
        <x:v>48</x:v>
      </x:c>
      <x:c r="G4096">
        <x:f>ROUND($C4096*10*VLOOKUP($B4096,Sheet2!$J$5:$K$7,2,FALSE)*VLOOKUP(Sheet1!$A4096,Sheet2!$B$5:$H$29,6,FALSE),0)</x:f>
        <x:v>0</x:v>
      </x:c>
      <x:c r="H4096">
        <x:f>ROUND($C4096*10*VLOOKUP($B4096,Sheet2!$J$5:$K$7,2,FALSE)*VLOOKUP(Sheet1!$A4096,Sheet2!$B$5:$H$29,7,FALSE),0)</x:f>
        <x:v>900</x:v>
      </x:c>
      <x:c r="I4096">
        <x:f t="shared" si="68"/>
        <x:v>14660</x:v>
      </x:c>
    </x:row>
    <x:row r="4097" spans="1:9" x14ac:dyDescent="0.15">
      <x:c r="A4097">
        <x:v>54203</x:v>
      </x:c>
      <x:c r="B4097">
        <x:v>3</x:v>
      </x:c>
      <x:c r="C4097">
        <x:v>16</x:v>
      </x:c>
      <x:c r="D4097">
        <x:f>ROUND($C4097*10*VLOOKUP($B4097,Sheet2!$J$5:$K$7,2,FALSE)*VLOOKUP(Sheet1!$A4097,Sheet2!$B$5:$H$29,3,FALSE),0)</x:f>
        <x:v>0</x:v>
      </x:c>
      <x:c r="E4097">
        <x:f>ROUND($C4097*10*VLOOKUP($B4097,Sheet2!$J$5:$K$7,2,FALSE)*VLOOKUP(Sheet1!$A4097,Sheet2!$B$5:$H$29,4,FALSE),0)</x:f>
        <x:v>0</x:v>
      </x:c>
      <x:c r="F4097">
        <x:f>ROUND($C4097*10*VLOOKUP($B4097,Sheet2!$J$5:$K$7,2,FALSE)*VLOOKUP(Sheet1!$A4097,Sheet2!$B$5:$H$29,5,FALSE),0)</x:f>
        <x:v>51</x:v>
      </x:c>
      <x:c r="G4097">
        <x:f>ROUND($C4097*10*VLOOKUP($B4097,Sheet2!$J$5:$K$7,2,FALSE)*VLOOKUP(Sheet1!$A4097,Sheet2!$B$5:$H$29,6,FALSE),0)</x:f>
        <x:v>0</x:v>
      </x:c>
      <x:c r="H4097">
        <x:f>ROUND($C4097*10*VLOOKUP($B4097,Sheet2!$J$5:$K$7,2,FALSE)*VLOOKUP(Sheet1!$A4097,Sheet2!$B$5:$H$29,7,FALSE),0)</x:f>
        <x:v>960</x:v>
      </x:c>
      <x:c r="I4097">
        <x:f t="shared" si="68"/>
        <x:v>16580</x:v>
      </x:c>
    </x:row>
    <x:row r="4098" spans="1:9" x14ac:dyDescent="0.15">
      <x:c r="A4098">
        <x:v>54203</x:v>
      </x:c>
      <x:c r="B4098">
        <x:v>3</x:v>
      </x:c>
      <x:c r="C4098">
        <x:v>17</x:v>
      </x:c>
      <x:c r="D4098">
        <x:f>ROUND($C4098*10*VLOOKUP($B4098,Sheet2!$J$5:$K$7,2,FALSE)*VLOOKUP(Sheet1!$A4098,Sheet2!$B$5:$H$29,3,FALSE),0)</x:f>
        <x:v>0</x:v>
      </x:c>
      <x:c r="E4098">
        <x:f>ROUND($C4098*10*VLOOKUP($B4098,Sheet2!$J$5:$K$7,2,FALSE)*VLOOKUP(Sheet1!$A4098,Sheet2!$B$5:$H$29,4,FALSE),0)</x:f>
        <x:v>0</x:v>
      </x:c>
      <x:c r="F4098">
        <x:f>ROUND($C4098*10*VLOOKUP($B4098,Sheet2!$J$5:$K$7,2,FALSE)*VLOOKUP(Sheet1!$A4098,Sheet2!$B$5:$H$29,5,FALSE),0)</x:f>
        <x:v>54</x:v>
      </x:c>
      <x:c r="G4098">
        <x:f>ROUND($C4098*10*VLOOKUP($B4098,Sheet2!$J$5:$K$7,2,FALSE)*VLOOKUP(Sheet1!$A4098,Sheet2!$B$5:$H$29,6,FALSE),0)</x:f>
        <x:v>0</x:v>
      </x:c>
      <x:c r="H4098">
        <x:f>ROUND($C4098*10*VLOOKUP($B4098,Sheet2!$J$5:$K$7,2,FALSE)*VLOOKUP(Sheet1!$A4098,Sheet2!$B$5:$H$29,7,FALSE),0)</x:f>
        <x:v>1020</x:v>
      </x:c>
      <x:c r="I4098">
        <x:f t="shared" si="68"/>
        <x:v>18620</x:v>
      </x:c>
    </x:row>
    <x:row r="4099" spans="1:9" x14ac:dyDescent="0.15">
      <x:c r="A4099">
        <x:v>54203</x:v>
      </x:c>
      <x:c r="B4099">
        <x:v>3</x:v>
      </x:c>
      <x:c r="C4099">
        <x:v>18</x:v>
      </x:c>
      <x:c r="D4099">
        <x:f>ROUND($C4099*10*VLOOKUP($B4099,Sheet2!$J$5:$K$7,2,FALSE)*VLOOKUP(Sheet1!$A4099,Sheet2!$B$5:$H$29,3,FALSE),0)</x:f>
        <x:v>0</x:v>
      </x:c>
      <x:c r="E4099">
        <x:f>ROUND($C4099*10*VLOOKUP($B4099,Sheet2!$J$5:$K$7,2,FALSE)*VLOOKUP(Sheet1!$A4099,Sheet2!$B$5:$H$29,4,FALSE),0)</x:f>
        <x:v>0</x:v>
      </x:c>
      <x:c r="F4099">
        <x:f>ROUND($C4099*10*VLOOKUP($B4099,Sheet2!$J$5:$K$7,2,FALSE)*VLOOKUP(Sheet1!$A4099,Sheet2!$B$5:$H$29,5,FALSE),0)</x:f>
        <x:v>58</x:v>
      </x:c>
      <x:c r="G4099">
        <x:f>ROUND($C4099*10*VLOOKUP($B4099,Sheet2!$J$5:$K$7,2,FALSE)*VLOOKUP(Sheet1!$A4099,Sheet2!$B$5:$H$29,6,FALSE),0)</x:f>
        <x:v>0</x:v>
      </x:c>
      <x:c r="H4099">
        <x:f>ROUND($C4099*10*VLOOKUP($B4099,Sheet2!$J$5:$K$7,2,FALSE)*VLOOKUP(Sheet1!$A4099,Sheet2!$B$5:$H$29,7,FALSE),0)</x:f>
        <x:v>1080</x:v>
      </x:c>
      <x:c r="I4099">
        <x:f t="shared" si="68"/>
        <x:v>20750</x:v>
      </x:c>
    </x:row>
    <x:row r="4100" spans="1:9" x14ac:dyDescent="0.15">
      <x:c r="A4100">
        <x:v>54203</x:v>
      </x:c>
      <x:c r="B4100">
        <x:v>3</x:v>
      </x:c>
      <x:c r="C4100">
        <x:v>19</x:v>
      </x:c>
      <x:c r="D4100">
        <x:f>ROUND($C4100*10*VLOOKUP($B4100,Sheet2!$J$5:$K$7,2,FALSE)*VLOOKUP(Sheet1!$A4100,Sheet2!$B$5:$H$29,3,FALSE),0)</x:f>
        <x:v>0</x:v>
      </x:c>
      <x:c r="E4100">
        <x:f>ROUND($C4100*10*VLOOKUP($B4100,Sheet2!$J$5:$K$7,2,FALSE)*VLOOKUP(Sheet1!$A4100,Sheet2!$B$5:$H$29,4,FALSE),0)</x:f>
        <x:v>0</x:v>
      </x:c>
      <x:c r="F4100">
        <x:f>ROUND($C4100*10*VLOOKUP($B4100,Sheet2!$J$5:$K$7,2,FALSE)*VLOOKUP(Sheet1!$A4100,Sheet2!$B$5:$H$29,5,FALSE),0)</x:f>
        <x:v>61</x:v>
      </x:c>
      <x:c r="G4100">
        <x:f>ROUND($C4100*10*VLOOKUP($B4100,Sheet2!$J$5:$K$7,2,FALSE)*VLOOKUP(Sheet1!$A4100,Sheet2!$B$5:$H$29,6,FALSE),0)</x:f>
        <x:v>0</x:v>
      </x:c>
      <x:c r="H4100">
        <x:f>ROUND($C4100*10*VLOOKUP($B4100,Sheet2!$J$5:$K$7,2,FALSE)*VLOOKUP(Sheet1!$A4100,Sheet2!$B$5:$H$29,7,FALSE),0)</x:f>
        <x:v>1140</x:v>
      </x:c>
      <x:c r="I4100">
        <x:f t="shared" si="68"/>
        <x:v>22990</x:v>
      </x:c>
    </x:row>
    <x:row r="4101" spans="1:9" x14ac:dyDescent="0.15">
      <x:c r="A4101">
        <x:v>54203</x:v>
      </x:c>
      <x:c r="B4101">
        <x:v>3</x:v>
      </x:c>
      <x:c r="C4101">
        <x:v>20</x:v>
      </x:c>
      <x:c r="D4101">
        <x:f>ROUND($C4101*10*VLOOKUP($B4101,Sheet2!$J$5:$K$7,2,FALSE)*VLOOKUP(Sheet1!$A4101,Sheet2!$B$5:$H$29,3,FALSE),0)</x:f>
        <x:v>0</x:v>
      </x:c>
      <x:c r="E4101">
        <x:f>ROUND($C4101*10*VLOOKUP($B4101,Sheet2!$J$5:$K$7,2,FALSE)*VLOOKUP(Sheet1!$A4101,Sheet2!$B$5:$H$29,4,FALSE),0)</x:f>
        <x:v>0</x:v>
      </x:c>
      <x:c r="F4101">
        <x:f>ROUND($C4101*10*VLOOKUP($B4101,Sheet2!$J$5:$K$7,2,FALSE)*VLOOKUP(Sheet1!$A4101,Sheet2!$B$5:$H$29,5,FALSE),0)</x:f>
        <x:v>64</x:v>
      </x:c>
      <x:c r="G4101">
        <x:f>ROUND($C4101*10*VLOOKUP($B4101,Sheet2!$J$5:$K$7,2,FALSE)*VLOOKUP(Sheet1!$A4101,Sheet2!$B$5:$H$29,6,FALSE),0)</x:f>
        <x:v>0</x:v>
      </x:c>
      <x:c r="H4101">
        <x:f>ROUND($C4101*10*VLOOKUP($B4101,Sheet2!$J$5:$K$7,2,FALSE)*VLOOKUP(Sheet1!$A4101,Sheet2!$B$5:$H$29,7,FALSE),0)</x:f>
        <x:v>1200</x:v>
      </x:c>
      <x:c r="I4101">
        <x:f t="shared" si="68"/>
        <x:v>25330</x:v>
      </x:c>
    </x:row>
    <x:row r="4102" spans="1:9" x14ac:dyDescent="0.15">
      <x:c r="A4102">
        <x:v>54203</x:v>
      </x:c>
      <x:c r="B4102">
        <x:v>3</x:v>
      </x:c>
      <x:c r="C4102">
        <x:v>21</x:v>
      </x:c>
      <x:c r="D4102">
        <x:f>ROUND($C4102*10*VLOOKUP($B4102,Sheet2!$J$5:$K$7,2,FALSE)*VLOOKUP(Sheet1!$A4102,Sheet2!$B$5:$H$29,3,FALSE),0)</x:f>
        <x:v>0</x:v>
      </x:c>
      <x:c r="E4102">
        <x:f>ROUND($C4102*10*VLOOKUP($B4102,Sheet2!$J$5:$K$7,2,FALSE)*VLOOKUP(Sheet1!$A4102,Sheet2!$B$5:$H$29,4,FALSE),0)</x:f>
        <x:v>0</x:v>
      </x:c>
      <x:c r="F4102">
        <x:f>ROUND($C4102*10*VLOOKUP($B4102,Sheet2!$J$5:$K$7,2,FALSE)*VLOOKUP(Sheet1!$A4102,Sheet2!$B$5:$H$29,5,FALSE),0)</x:f>
        <x:v>67</x:v>
      </x:c>
      <x:c r="G4102">
        <x:f>ROUND($C4102*10*VLOOKUP($B4102,Sheet2!$J$5:$K$7,2,FALSE)*VLOOKUP(Sheet1!$A4102,Sheet2!$B$5:$H$29,6,FALSE),0)</x:f>
        <x:v>0</x:v>
      </x:c>
      <x:c r="H4102">
        <x:f>ROUND($C4102*10*VLOOKUP($B4102,Sheet2!$J$5:$K$7,2,FALSE)*VLOOKUP(Sheet1!$A4102,Sheet2!$B$5:$H$29,7,FALSE),0)</x:f>
        <x:v>1260</x:v>
      </x:c>
      <x:c r="I4102">
        <x:f t="shared" si="68"/>
        <x:v>27770</x:v>
      </x:c>
    </x:row>
    <x:row r="4103" spans="1:9" x14ac:dyDescent="0.15">
      <x:c r="A4103">
        <x:v>54203</x:v>
      </x:c>
      <x:c r="B4103">
        <x:v>3</x:v>
      </x:c>
      <x:c r="C4103">
        <x:v>22</x:v>
      </x:c>
      <x:c r="D4103">
        <x:f>ROUND($C4103*10*VLOOKUP($B4103,Sheet2!$J$5:$K$7,2,FALSE)*VLOOKUP(Sheet1!$A4103,Sheet2!$B$5:$H$29,3,FALSE),0)</x:f>
        <x:v>0</x:v>
      </x:c>
      <x:c r="E4103">
        <x:f>ROUND($C4103*10*VLOOKUP($B4103,Sheet2!$J$5:$K$7,2,FALSE)*VLOOKUP(Sheet1!$A4103,Sheet2!$B$5:$H$29,4,FALSE),0)</x:f>
        <x:v>0</x:v>
      </x:c>
      <x:c r="F4103">
        <x:f>ROUND($C4103*10*VLOOKUP($B4103,Sheet2!$J$5:$K$7,2,FALSE)*VLOOKUP(Sheet1!$A4103,Sheet2!$B$5:$H$29,5,FALSE),0)</x:f>
        <x:v>70</x:v>
      </x:c>
      <x:c r="G4103">
        <x:f>ROUND($C4103*10*VLOOKUP($B4103,Sheet2!$J$5:$K$7,2,FALSE)*VLOOKUP(Sheet1!$A4103,Sheet2!$B$5:$H$29,6,FALSE),0)</x:f>
        <x:v>0</x:v>
      </x:c>
      <x:c r="H4103">
        <x:f>ROUND($C4103*10*VLOOKUP($B4103,Sheet2!$J$5:$K$7,2,FALSE)*VLOOKUP(Sheet1!$A4103,Sheet2!$B$5:$H$29,7,FALSE),0)</x:f>
        <x:v>1320</x:v>
      </x:c>
      <x:c r="I4103">
        <x:f t="shared" si="68"/>
        <x:v>30310</x:v>
      </x:c>
    </x:row>
    <x:row r="4104" spans="1:9" x14ac:dyDescent="0.15">
      <x:c r="A4104">
        <x:v>54203</x:v>
      </x:c>
      <x:c r="B4104">
        <x:v>3</x:v>
      </x:c>
      <x:c r="C4104">
        <x:v>23</x:v>
      </x:c>
      <x:c r="D4104">
        <x:f>ROUND($C4104*10*VLOOKUP($B4104,Sheet2!$J$5:$K$7,2,FALSE)*VLOOKUP(Sheet1!$A4104,Sheet2!$B$5:$H$29,3,FALSE),0)</x:f>
        <x:v>0</x:v>
      </x:c>
      <x:c r="E4104">
        <x:f>ROUND($C4104*10*VLOOKUP($B4104,Sheet2!$J$5:$K$7,2,FALSE)*VLOOKUP(Sheet1!$A4104,Sheet2!$B$5:$H$29,4,FALSE),0)</x:f>
        <x:v>0</x:v>
      </x:c>
      <x:c r="F4104">
        <x:f>ROUND($C4104*10*VLOOKUP($B4104,Sheet2!$J$5:$K$7,2,FALSE)*VLOOKUP(Sheet1!$A4104,Sheet2!$B$5:$H$29,5,FALSE),0)</x:f>
        <x:v>74</x:v>
      </x:c>
      <x:c r="G4104">
        <x:f>ROUND($C4104*10*VLOOKUP($B4104,Sheet2!$J$5:$K$7,2,FALSE)*VLOOKUP(Sheet1!$A4104,Sheet2!$B$5:$H$29,6,FALSE),0)</x:f>
        <x:v>0</x:v>
      </x:c>
      <x:c r="H4104">
        <x:f>ROUND($C4104*10*VLOOKUP($B4104,Sheet2!$J$5:$K$7,2,FALSE)*VLOOKUP(Sheet1!$A4104,Sheet2!$B$5:$H$29,7,FALSE),0)</x:f>
        <x:v>1380</x:v>
      </x:c>
      <x:c r="I4104">
        <x:f t="shared" si="68"/>
        <x:v>32950</x:v>
      </x:c>
    </x:row>
    <x:row r="4105" spans="1:9" x14ac:dyDescent="0.15">
      <x:c r="A4105">
        <x:v>54203</x:v>
      </x:c>
      <x:c r="B4105">
        <x:v>3</x:v>
      </x:c>
      <x:c r="C4105">
        <x:v>24</x:v>
      </x:c>
      <x:c r="D4105">
        <x:f>ROUND($C4105*10*VLOOKUP($B4105,Sheet2!$J$5:$K$7,2,FALSE)*VLOOKUP(Sheet1!$A4105,Sheet2!$B$5:$H$29,3,FALSE),0)</x:f>
        <x:v>0</x:v>
      </x:c>
      <x:c r="E4105">
        <x:f>ROUND($C4105*10*VLOOKUP($B4105,Sheet2!$J$5:$K$7,2,FALSE)*VLOOKUP(Sheet1!$A4105,Sheet2!$B$5:$H$29,4,FALSE),0)</x:f>
        <x:v>0</x:v>
      </x:c>
      <x:c r="F4105">
        <x:f>ROUND($C4105*10*VLOOKUP($B4105,Sheet2!$J$5:$K$7,2,FALSE)*VLOOKUP(Sheet1!$A4105,Sheet2!$B$5:$H$29,5,FALSE),0)</x:f>
        <x:v>77</x:v>
      </x:c>
      <x:c r="G4105">
        <x:f>ROUND($C4105*10*VLOOKUP($B4105,Sheet2!$J$5:$K$7,2,FALSE)*VLOOKUP(Sheet1!$A4105,Sheet2!$B$5:$H$29,6,FALSE),0)</x:f>
        <x:v>0</x:v>
      </x:c>
      <x:c r="H4105">
        <x:f>ROUND($C4105*10*VLOOKUP($B4105,Sheet2!$J$5:$K$7,2,FALSE)*VLOOKUP(Sheet1!$A4105,Sheet2!$B$5:$H$29,7,FALSE),0)</x:f>
        <x:v>1440</x:v>
      </x:c>
      <x:c r="I4105">
        <x:f t="shared" si="68"/>
        <x:v>35690</x:v>
      </x:c>
    </x:row>
    <x:row r="4106" spans="1:9" x14ac:dyDescent="0.15">
      <x:c r="A4106">
        <x:v>54203</x:v>
      </x:c>
      <x:c r="B4106">
        <x:v>3</x:v>
      </x:c>
      <x:c r="C4106">
        <x:v>25</x:v>
      </x:c>
      <x:c r="D4106">
        <x:f>ROUND($C4106*10*VLOOKUP($B4106,Sheet2!$J$5:$K$7,2,FALSE)*VLOOKUP(Sheet1!$A4106,Sheet2!$B$5:$H$29,3,FALSE),0)</x:f>
        <x:v>0</x:v>
      </x:c>
      <x:c r="E4106">
        <x:f>ROUND($C4106*10*VLOOKUP($B4106,Sheet2!$J$5:$K$7,2,FALSE)*VLOOKUP(Sheet1!$A4106,Sheet2!$B$5:$H$29,4,FALSE),0)</x:f>
        <x:v>0</x:v>
      </x:c>
      <x:c r="F4106">
        <x:f>ROUND($C4106*10*VLOOKUP($B4106,Sheet2!$J$5:$K$7,2,FALSE)*VLOOKUP(Sheet1!$A4106,Sheet2!$B$5:$H$29,5,FALSE),0)</x:f>
        <x:v>80</x:v>
      </x:c>
      <x:c r="G4106">
        <x:f>ROUND($C4106*10*VLOOKUP($B4106,Sheet2!$J$5:$K$7,2,FALSE)*VLOOKUP(Sheet1!$A4106,Sheet2!$B$5:$H$29,6,FALSE),0)</x:f>
        <x:v>0</x:v>
      </x:c>
      <x:c r="H4106">
        <x:f>ROUND($C4106*10*VLOOKUP($B4106,Sheet2!$J$5:$K$7,2,FALSE)*VLOOKUP(Sheet1!$A4106,Sheet2!$B$5:$H$29,7,FALSE),0)</x:f>
        <x:v>1500</x:v>
      </x:c>
      <x:c r="I4106">
        <x:f t="shared" si="68"/>
        <x:v>38530</x:v>
      </x:c>
    </x:row>
    <x:row r="4107" spans="1:9" x14ac:dyDescent="0.15">
      <x:c r="A4107">
        <x:v>54203</x:v>
      </x:c>
      <x:c r="B4107">
        <x:v>3</x:v>
      </x:c>
      <x:c r="C4107">
        <x:v>26</x:v>
      </x:c>
      <x:c r="D4107">
        <x:f>ROUND($C4107*10*VLOOKUP($B4107,Sheet2!$J$5:$K$7,2,FALSE)*VLOOKUP(Sheet1!$A4107,Sheet2!$B$5:$H$29,3,FALSE),0)</x:f>
        <x:v>0</x:v>
      </x:c>
      <x:c r="E4107">
        <x:f>ROUND($C4107*10*VLOOKUP($B4107,Sheet2!$J$5:$K$7,2,FALSE)*VLOOKUP(Sheet1!$A4107,Sheet2!$B$5:$H$29,4,FALSE),0)</x:f>
        <x:v>0</x:v>
      </x:c>
      <x:c r="F4107">
        <x:f>ROUND($C4107*10*VLOOKUP($B4107,Sheet2!$J$5:$K$7,2,FALSE)*VLOOKUP(Sheet1!$A4107,Sheet2!$B$5:$H$29,5,FALSE),0)</x:f>
        <x:v>83</x:v>
      </x:c>
      <x:c r="G4107">
        <x:f>ROUND($C4107*10*VLOOKUP($B4107,Sheet2!$J$5:$K$7,2,FALSE)*VLOOKUP(Sheet1!$A4107,Sheet2!$B$5:$H$29,6,FALSE),0)</x:f>
        <x:v>0</x:v>
      </x:c>
      <x:c r="H4107">
        <x:f>ROUND($C4107*10*VLOOKUP($B4107,Sheet2!$J$5:$K$7,2,FALSE)*VLOOKUP(Sheet1!$A4107,Sheet2!$B$5:$H$29,7,FALSE),0)</x:f>
        <x:v>1560</x:v>
      </x:c>
      <x:c r="I4107">
        <x:f t="shared" si="68"/>
        <x:v>41460</x:v>
      </x:c>
    </x:row>
    <x:row r="4108" spans="1:9" x14ac:dyDescent="0.15">
      <x:c r="A4108">
        <x:v>54203</x:v>
      </x:c>
      <x:c r="B4108">
        <x:v>3</x:v>
      </x:c>
      <x:c r="C4108">
        <x:v>27</x:v>
      </x:c>
      <x:c r="D4108">
        <x:f>ROUND($C4108*10*VLOOKUP($B4108,Sheet2!$J$5:$K$7,2,FALSE)*VLOOKUP(Sheet1!$A4108,Sheet2!$B$5:$H$29,3,FALSE),0)</x:f>
        <x:v>0</x:v>
      </x:c>
      <x:c r="E4108">
        <x:f>ROUND($C4108*10*VLOOKUP($B4108,Sheet2!$J$5:$K$7,2,FALSE)*VLOOKUP(Sheet1!$A4108,Sheet2!$B$5:$H$29,4,FALSE),0)</x:f>
        <x:v>0</x:v>
      </x:c>
      <x:c r="F4108">
        <x:f>ROUND($C4108*10*VLOOKUP($B4108,Sheet2!$J$5:$K$7,2,FALSE)*VLOOKUP(Sheet1!$A4108,Sheet2!$B$5:$H$29,5,FALSE),0)</x:f>
        <x:v>86</x:v>
      </x:c>
      <x:c r="G4108">
        <x:f>ROUND($C4108*10*VLOOKUP($B4108,Sheet2!$J$5:$K$7,2,FALSE)*VLOOKUP(Sheet1!$A4108,Sheet2!$B$5:$H$29,6,FALSE),0)</x:f>
        <x:v>0</x:v>
      </x:c>
      <x:c r="H4108">
        <x:f>ROUND($C4108*10*VLOOKUP($B4108,Sheet2!$J$5:$K$7,2,FALSE)*VLOOKUP(Sheet1!$A4108,Sheet2!$B$5:$H$29,7,FALSE),0)</x:f>
        <x:v>1620</x:v>
      </x:c>
      <x:c r="I4108">
        <x:f t="shared" si="68"/>
        <x:v>44480</x:v>
      </x:c>
    </x:row>
    <x:row r="4109" spans="1:9" x14ac:dyDescent="0.15">
      <x:c r="A4109">
        <x:v>54203</x:v>
      </x:c>
      <x:c r="B4109">
        <x:v>3</x:v>
      </x:c>
      <x:c r="C4109">
        <x:v>28</x:v>
      </x:c>
      <x:c r="D4109">
        <x:f>ROUND($C4109*10*VLOOKUP($B4109,Sheet2!$J$5:$K$7,2,FALSE)*VLOOKUP(Sheet1!$A4109,Sheet2!$B$5:$H$29,3,FALSE),0)</x:f>
        <x:v>0</x:v>
      </x:c>
      <x:c r="E4109">
        <x:f>ROUND($C4109*10*VLOOKUP($B4109,Sheet2!$J$5:$K$7,2,FALSE)*VLOOKUP(Sheet1!$A4109,Sheet2!$B$5:$H$29,4,FALSE),0)</x:f>
        <x:v>0</x:v>
      </x:c>
      <x:c r="F4109">
        <x:f>ROUND($C4109*10*VLOOKUP($B4109,Sheet2!$J$5:$K$7,2,FALSE)*VLOOKUP(Sheet1!$A4109,Sheet2!$B$5:$H$29,5,FALSE),0)</x:f>
        <x:v>90</x:v>
      </x:c>
      <x:c r="G4109">
        <x:f>ROUND($C4109*10*VLOOKUP($B4109,Sheet2!$J$5:$K$7,2,FALSE)*VLOOKUP(Sheet1!$A4109,Sheet2!$B$5:$H$29,6,FALSE),0)</x:f>
        <x:v>0</x:v>
      </x:c>
      <x:c r="H4109">
        <x:f>ROUND($C4109*10*VLOOKUP($B4109,Sheet2!$J$5:$K$7,2,FALSE)*VLOOKUP(Sheet1!$A4109,Sheet2!$B$5:$H$29,7,FALSE),0)</x:f>
        <x:v>1680</x:v>
      </x:c>
      <x:c r="I4109">
        <x:f t="shared" si="68"/>
        <x:v>47600</x:v>
      </x:c>
    </x:row>
    <x:row r="4110" spans="1:9" x14ac:dyDescent="0.15">
      <x:c r="A4110">
        <x:v>54203</x:v>
      </x:c>
      <x:c r="B4110">
        <x:v>3</x:v>
      </x:c>
      <x:c r="C4110">
        <x:v>29</x:v>
      </x:c>
      <x:c r="D4110">
        <x:f>ROUND($C4110*10*VLOOKUP($B4110,Sheet2!$J$5:$K$7,2,FALSE)*VLOOKUP(Sheet1!$A4110,Sheet2!$B$5:$H$29,3,FALSE),0)</x:f>
        <x:v>0</x:v>
      </x:c>
      <x:c r="E4110">
        <x:f>ROUND($C4110*10*VLOOKUP($B4110,Sheet2!$J$5:$K$7,2,FALSE)*VLOOKUP(Sheet1!$A4110,Sheet2!$B$5:$H$29,4,FALSE),0)</x:f>
        <x:v>0</x:v>
      </x:c>
      <x:c r="F4110">
        <x:f>ROUND($C4110*10*VLOOKUP($B4110,Sheet2!$J$5:$K$7,2,FALSE)*VLOOKUP(Sheet1!$A4110,Sheet2!$B$5:$H$29,5,FALSE),0)</x:f>
        <x:v>93</x:v>
      </x:c>
      <x:c r="G4110">
        <x:f>ROUND($C4110*10*VLOOKUP($B4110,Sheet2!$J$5:$K$7,2,FALSE)*VLOOKUP(Sheet1!$A4110,Sheet2!$B$5:$H$29,6,FALSE),0)</x:f>
        <x:v>0</x:v>
      </x:c>
      <x:c r="H4110">
        <x:f>ROUND($C4110*10*VLOOKUP($B4110,Sheet2!$J$5:$K$7,2,FALSE)*VLOOKUP(Sheet1!$A4110,Sheet2!$B$5:$H$29,7,FALSE),0)</x:f>
        <x:v>1740</x:v>
      </x:c>
      <x:c r="I4110">
        <x:f t="shared" si="68"/>
        <x:v>50820</x:v>
      </x:c>
    </x:row>
    <x:row r="4111" spans="1:9" x14ac:dyDescent="0.15">
      <x:c r="A4111">
        <x:v>54203</x:v>
      </x:c>
      <x:c r="B4111">
        <x:v>3</x:v>
      </x:c>
      <x:c r="C4111">
        <x:v>30</x:v>
      </x:c>
      <x:c r="D4111">
        <x:f>ROUND($C4111*10*VLOOKUP($B4111,Sheet2!$J$5:$K$7,2,FALSE)*VLOOKUP(Sheet1!$A4111,Sheet2!$B$5:$H$29,3,FALSE),0)</x:f>
        <x:v>0</x:v>
      </x:c>
      <x:c r="E4111">
        <x:f>ROUND($C4111*10*VLOOKUP($B4111,Sheet2!$J$5:$K$7,2,FALSE)*VLOOKUP(Sheet1!$A4111,Sheet2!$B$5:$H$29,4,FALSE),0)</x:f>
        <x:v>0</x:v>
      </x:c>
      <x:c r="F4111">
        <x:f>ROUND($C4111*10*VLOOKUP($B4111,Sheet2!$J$5:$K$7,2,FALSE)*VLOOKUP(Sheet1!$A4111,Sheet2!$B$5:$H$29,5,FALSE),0)</x:f>
        <x:v>96</x:v>
      </x:c>
      <x:c r="G4111">
        <x:f>ROUND($C4111*10*VLOOKUP($B4111,Sheet2!$J$5:$K$7,2,FALSE)*VLOOKUP(Sheet1!$A4111,Sheet2!$B$5:$H$29,6,FALSE),0)</x:f>
        <x:v>0</x:v>
      </x:c>
      <x:c r="H4111">
        <x:f>ROUND($C4111*10*VLOOKUP($B4111,Sheet2!$J$5:$K$7,2,FALSE)*VLOOKUP(Sheet1!$A4111,Sheet2!$B$5:$H$29,7,FALSE),0)</x:f>
        <x:v>1800</x:v>
      </x:c>
      <x:c r="I4111">
        <x:f t="shared" si="68"/>
        <x:v>54130</x:v>
      </x:c>
    </x:row>
    <x:row r="4112" spans="1:9" x14ac:dyDescent="0.15">
      <x:c r="A4112">
        <x:v>54203</x:v>
      </x:c>
      <x:c r="B4112">
        <x:v>3</x:v>
      </x:c>
      <x:c r="C4112">
        <x:v>31</x:v>
      </x:c>
      <x:c r="D4112">
        <x:f>ROUND($C4112*10*VLOOKUP($B4112,Sheet2!$J$5:$K$7,2,FALSE)*VLOOKUP(Sheet1!$A4112,Sheet2!$B$5:$H$29,3,FALSE),0)</x:f>
        <x:v>0</x:v>
      </x:c>
      <x:c r="E4112">
        <x:f>ROUND($C4112*10*VLOOKUP($B4112,Sheet2!$J$5:$K$7,2,FALSE)*VLOOKUP(Sheet1!$A4112,Sheet2!$B$5:$H$29,4,FALSE),0)</x:f>
        <x:v>0</x:v>
      </x:c>
      <x:c r="F4112">
        <x:f>ROUND($C4112*10*VLOOKUP($B4112,Sheet2!$J$5:$K$7,2,FALSE)*VLOOKUP(Sheet1!$A4112,Sheet2!$B$5:$H$29,5,FALSE),0)</x:f>
        <x:v>99</x:v>
      </x:c>
      <x:c r="G4112">
        <x:f>ROUND($C4112*10*VLOOKUP($B4112,Sheet2!$J$5:$K$7,2,FALSE)*VLOOKUP(Sheet1!$A4112,Sheet2!$B$5:$H$29,6,FALSE),0)</x:f>
        <x:v>0</x:v>
      </x:c>
      <x:c r="H4112">
        <x:f>ROUND($C4112*10*VLOOKUP($B4112,Sheet2!$J$5:$K$7,2,FALSE)*VLOOKUP(Sheet1!$A4112,Sheet2!$B$5:$H$29,7,FALSE),0)</x:f>
        <x:v>1860</x:v>
      </x:c>
      <x:c r="I4112">
        <x:f t="shared" si="68"/>
        <x:v>57530</x:v>
      </x:c>
    </x:row>
    <x:row r="4113" spans="1:9" x14ac:dyDescent="0.15">
      <x:c r="A4113">
        <x:v>54203</x:v>
      </x:c>
      <x:c r="B4113">
        <x:v>3</x:v>
      </x:c>
      <x:c r="C4113">
        <x:v>32</x:v>
      </x:c>
      <x:c r="D4113">
        <x:f>ROUND($C4113*10*VLOOKUP($B4113,Sheet2!$J$5:$K$7,2,FALSE)*VLOOKUP(Sheet1!$A4113,Sheet2!$B$5:$H$29,3,FALSE),0)</x:f>
        <x:v>0</x:v>
      </x:c>
      <x:c r="E4113">
        <x:f>ROUND($C4113*10*VLOOKUP($B4113,Sheet2!$J$5:$K$7,2,FALSE)*VLOOKUP(Sheet1!$A4113,Sheet2!$B$5:$H$29,4,FALSE),0)</x:f>
        <x:v>0</x:v>
      </x:c>
      <x:c r="F4113">
        <x:f>ROUND($C4113*10*VLOOKUP($B4113,Sheet2!$J$5:$K$7,2,FALSE)*VLOOKUP(Sheet1!$A4113,Sheet2!$B$5:$H$29,5,FALSE),0)</x:f>
        <x:v>102</x:v>
      </x:c>
      <x:c r="G4113">
        <x:f>ROUND($C4113*10*VLOOKUP($B4113,Sheet2!$J$5:$K$7,2,FALSE)*VLOOKUP(Sheet1!$A4113,Sheet2!$B$5:$H$29,6,FALSE),0)</x:f>
        <x:v>0</x:v>
      </x:c>
      <x:c r="H4113">
        <x:f>ROUND($C4113*10*VLOOKUP($B4113,Sheet2!$J$5:$K$7,2,FALSE)*VLOOKUP(Sheet1!$A4113,Sheet2!$B$5:$H$29,7,FALSE),0)</x:f>
        <x:v>1920</x:v>
      </x:c>
      <x:c r="I4113">
        <x:f t="shared" si="68"/>
        <x:v>61020</x:v>
      </x:c>
    </x:row>
    <x:row r="4114" spans="1:9" x14ac:dyDescent="0.15">
      <x:c r="A4114">
        <x:v>54203</x:v>
      </x:c>
      <x:c r="B4114">
        <x:v>3</x:v>
      </x:c>
      <x:c r="C4114">
        <x:v>33</x:v>
      </x:c>
      <x:c r="D4114">
        <x:f>ROUND($C4114*10*VLOOKUP($B4114,Sheet2!$J$5:$K$7,2,FALSE)*VLOOKUP(Sheet1!$A4114,Sheet2!$B$5:$H$29,3,FALSE),0)</x:f>
        <x:v>0</x:v>
      </x:c>
      <x:c r="E4114">
        <x:f>ROUND($C4114*10*VLOOKUP($B4114,Sheet2!$J$5:$K$7,2,FALSE)*VLOOKUP(Sheet1!$A4114,Sheet2!$B$5:$H$29,4,FALSE),0)</x:f>
        <x:v>0</x:v>
      </x:c>
      <x:c r="F4114">
        <x:f>ROUND($C4114*10*VLOOKUP($B4114,Sheet2!$J$5:$K$7,2,FALSE)*VLOOKUP(Sheet1!$A4114,Sheet2!$B$5:$H$29,5,FALSE),0)</x:f>
        <x:v>106</x:v>
      </x:c>
      <x:c r="G4114">
        <x:f>ROUND($C4114*10*VLOOKUP($B4114,Sheet2!$J$5:$K$7,2,FALSE)*VLOOKUP(Sheet1!$A4114,Sheet2!$B$5:$H$29,6,FALSE),0)</x:f>
        <x:v>0</x:v>
      </x:c>
      <x:c r="H4114">
        <x:f>ROUND($C4114*10*VLOOKUP($B4114,Sheet2!$J$5:$K$7,2,FALSE)*VLOOKUP(Sheet1!$A4114,Sheet2!$B$5:$H$29,7,FALSE),0)</x:f>
        <x:v>1980</x:v>
      </x:c>
      <x:c r="I4114">
        <x:f t="shared" si="68"/>
        <x:v>64600</x:v>
      </x:c>
    </x:row>
    <x:row r="4115" spans="1:9" x14ac:dyDescent="0.15">
      <x:c r="A4115">
        <x:v>54203</x:v>
      </x:c>
      <x:c r="B4115">
        <x:v>3</x:v>
      </x:c>
      <x:c r="C4115">
        <x:v>34</x:v>
      </x:c>
      <x:c r="D4115">
        <x:f>ROUND($C4115*10*VLOOKUP($B4115,Sheet2!$J$5:$K$7,2,FALSE)*VLOOKUP(Sheet1!$A4115,Sheet2!$B$5:$H$29,3,FALSE),0)</x:f>
        <x:v>0</x:v>
      </x:c>
      <x:c r="E4115">
        <x:f>ROUND($C4115*10*VLOOKUP($B4115,Sheet2!$J$5:$K$7,2,FALSE)*VLOOKUP(Sheet1!$A4115,Sheet2!$B$5:$H$29,4,FALSE),0)</x:f>
        <x:v>0</x:v>
      </x:c>
      <x:c r="F4115">
        <x:f>ROUND($C4115*10*VLOOKUP($B4115,Sheet2!$J$5:$K$7,2,FALSE)*VLOOKUP(Sheet1!$A4115,Sheet2!$B$5:$H$29,5,FALSE),0)</x:f>
        <x:v>109</x:v>
      </x:c>
      <x:c r="G4115">
        <x:f>ROUND($C4115*10*VLOOKUP($B4115,Sheet2!$J$5:$K$7,2,FALSE)*VLOOKUP(Sheet1!$A4115,Sheet2!$B$5:$H$29,6,FALSE),0)</x:f>
        <x:v>0</x:v>
      </x:c>
      <x:c r="H4115">
        <x:f>ROUND($C4115*10*VLOOKUP($B4115,Sheet2!$J$5:$K$7,2,FALSE)*VLOOKUP(Sheet1!$A4115,Sheet2!$B$5:$H$29,7,FALSE),0)</x:f>
        <x:v>2040</x:v>
      </x:c>
      <x:c r="I4115">
        <x:f t="shared" si="68"/>
        <x:v>68280</x:v>
      </x:c>
    </x:row>
    <x:row r="4116" spans="1:9" x14ac:dyDescent="0.15">
      <x:c r="A4116">
        <x:v>54203</x:v>
      </x:c>
      <x:c r="B4116">
        <x:v>3</x:v>
      </x:c>
      <x:c r="C4116">
        <x:v>35</x:v>
      </x:c>
      <x:c r="D4116">
        <x:f>ROUND($C4116*10*VLOOKUP($B4116,Sheet2!$J$5:$K$7,2,FALSE)*VLOOKUP(Sheet1!$A4116,Sheet2!$B$5:$H$29,3,FALSE),0)</x:f>
        <x:v>0</x:v>
      </x:c>
      <x:c r="E4116">
        <x:f>ROUND($C4116*10*VLOOKUP($B4116,Sheet2!$J$5:$K$7,2,FALSE)*VLOOKUP(Sheet1!$A4116,Sheet2!$B$5:$H$29,4,FALSE),0)</x:f>
        <x:v>0</x:v>
      </x:c>
      <x:c r="F4116">
        <x:f>ROUND($C4116*10*VLOOKUP($B4116,Sheet2!$J$5:$K$7,2,FALSE)*VLOOKUP(Sheet1!$A4116,Sheet2!$B$5:$H$29,5,FALSE),0)</x:f>
        <x:v>112</x:v>
      </x:c>
      <x:c r="G4116">
        <x:f>ROUND($C4116*10*VLOOKUP($B4116,Sheet2!$J$5:$K$7,2,FALSE)*VLOOKUP(Sheet1!$A4116,Sheet2!$B$5:$H$29,6,FALSE),0)</x:f>
        <x:v>0</x:v>
      </x:c>
      <x:c r="H4116">
        <x:f>ROUND($C4116*10*VLOOKUP($B4116,Sheet2!$J$5:$K$7,2,FALSE)*VLOOKUP(Sheet1!$A4116,Sheet2!$B$5:$H$29,7,FALSE),0)</x:f>
        <x:v>2100</x:v>
      </x:c>
      <x:c r="I4116">
        <x:f t="shared" si="68"/>
        <x:v>72040</x:v>
      </x:c>
    </x:row>
    <x:row r="4117" spans="1:9" x14ac:dyDescent="0.15">
      <x:c r="A4117">
        <x:v>54203</x:v>
      </x:c>
      <x:c r="B4117">
        <x:v>3</x:v>
      </x:c>
      <x:c r="C4117">
        <x:v>36</x:v>
      </x:c>
      <x:c r="D4117">
        <x:f>ROUND($C4117*10*VLOOKUP($B4117,Sheet2!$J$5:$K$7,2,FALSE)*VLOOKUP(Sheet1!$A4117,Sheet2!$B$5:$H$29,3,FALSE),0)</x:f>
        <x:v>0</x:v>
      </x:c>
      <x:c r="E4117">
        <x:f>ROUND($C4117*10*VLOOKUP($B4117,Sheet2!$J$5:$K$7,2,FALSE)*VLOOKUP(Sheet1!$A4117,Sheet2!$B$5:$H$29,4,FALSE),0)</x:f>
        <x:v>0</x:v>
      </x:c>
      <x:c r="F4117">
        <x:f>ROUND($C4117*10*VLOOKUP($B4117,Sheet2!$J$5:$K$7,2,FALSE)*VLOOKUP(Sheet1!$A4117,Sheet2!$B$5:$H$29,5,FALSE),0)</x:f>
        <x:v>115</x:v>
      </x:c>
      <x:c r="G4117">
        <x:f>ROUND($C4117*10*VLOOKUP($B4117,Sheet2!$J$5:$K$7,2,FALSE)*VLOOKUP(Sheet1!$A4117,Sheet2!$B$5:$H$29,6,FALSE),0)</x:f>
        <x:v>0</x:v>
      </x:c>
      <x:c r="H4117">
        <x:f>ROUND($C4117*10*VLOOKUP($B4117,Sheet2!$J$5:$K$7,2,FALSE)*VLOOKUP(Sheet1!$A4117,Sheet2!$B$5:$H$29,7,FALSE),0)</x:f>
        <x:v>2160</x:v>
      </x:c>
      <x:c r="I4117">
        <x:f t="shared" si="68"/>
        <x:v>75890</x:v>
      </x:c>
    </x:row>
    <x:row r="4118" spans="1:9" x14ac:dyDescent="0.15">
      <x:c r="A4118">
        <x:v>54203</x:v>
      </x:c>
      <x:c r="B4118">
        <x:v>3</x:v>
      </x:c>
      <x:c r="C4118">
        <x:v>37</x:v>
      </x:c>
      <x:c r="D4118">
        <x:f>ROUND($C4118*10*VLOOKUP($B4118,Sheet2!$J$5:$K$7,2,FALSE)*VLOOKUP(Sheet1!$A4118,Sheet2!$B$5:$H$29,3,FALSE),0)</x:f>
        <x:v>0</x:v>
      </x:c>
      <x:c r="E4118">
        <x:f>ROUND($C4118*10*VLOOKUP($B4118,Sheet2!$J$5:$K$7,2,FALSE)*VLOOKUP(Sheet1!$A4118,Sheet2!$B$5:$H$29,4,FALSE),0)</x:f>
        <x:v>0</x:v>
      </x:c>
      <x:c r="F4118">
        <x:f>ROUND($C4118*10*VLOOKUP($B4118,Sheet2!$J$5:$K$7,2,FALSE)*VLOOKUP(Sheet1!$A4118,Sheet2!$B$5:$H$29,5,FALSE),0)</x:f>
        <x:v>118</x:v>
      </x:c>
      <x:c r="G4118">
        <x:f>ROUND($C4118*10*VLOOKUP($B4118,Sheet2!$J$5:$K$7,2,FALSE)*VLOOKUP(Sheet1!$A4118,Sheet2!$B$5:$H$29,6,FALSE),0)</x:f>
        <x:v>0</x:v>
      </x:c>
      <x:c r="H4118">
        <x:f>ROUND($C4118*10*VLOOKUP($B4118,Sheet2!$J$5:$K$7,2,FALSE)*VLOOKUP(Sheet1!$A4118,Sheet2!$B$5:$H$29,7,FALSE),0)</x:f>
        <x:v>2220</x:v>
      </x:c>
      <x:c r="I4118">
        <x:f t="shared" si="68"/>
        <x:v>79840</x:v>
      </x:c>
    </x:row>
    <x:row r="4119" spans="1:9" x14ac:dyDescent="0.15">
      <x:c r="A4119">
        <x:v>54203</x:v>
      </x:c>
      <x:c r="B4119">
        <x:v>3</x:v>
      </x:c>
      <x:c r="C4119">
        <x:v>38</x:v>
      </x:c>
      <x:c r="D4119">
        <x:f>ROUND($C4119*10*VLOOKUP($B4119,Sheet2!$J$5:$K$7,2,FALSE)*VLOOKUP(Sheet1!$A4119,Sheet2!$B$5:$H$29,3,FALSE),0)</x:f>
        <x:v>0</x:v>
      </x:c>
      <x:c r="E4119">
        <x:f>ROUND($C4119*10*VLOOKUP($B4119,Sheet2!$J$5:$K$7,2,FALSE)*VLOOKUP(Sheet1!$A4119,Sheet2!$B$5:$H$29,4,FALSE),0)</x:f>
        <x:v>0</x:v>
      </x:c>
      <x:c r="F4119">
        <x:f>ROUND($C4119*10*VLOOKUP($B4119,Sheet2!$J$5:$K$7,2,FALSE)*VLOOKUP(Sheet1!$A4119,Sheet2!$B$5:$H$29,5,FALSE),0)</x:f>
        <x:v>122</x:v>
      </x:c>
      <x:c r="G4119">
        <x:f>ROUND($C4119*10*VLOOKUP($B4119,Sheet2!$J$5:$K$7,2,FALSE)*VLOOKUP(Sheet1!$A4119,Sheet2!$B$5:$H$29,6,FALSE),0)</x:f>
        <x:v>0</x:v>
      </x:c>
      <x:c r="H4119">
        <x:f>ROUND($C4119*10*VLOOKUP($B4119,Sheet2!$J$5:$K$7,2,FALSE)*VLOOKUP(Sheet1!$A4119,Sheet2!$B$5:$H$29,7,FALSE),0)</x:f>
        <x:v>2280</x:v>
      </x:c>
      <x:c r="I4119">
        <x:f t="shared" si="68"/>
        <x:v>83870</x:v>
      </x:c>
    </x:row>
    <x:row r="4120" spans="1:9" x14ac:dyDescent="0.15">
      <x:c r="A4120">
        <x:v>54203</x:v>
      </x:c>
      <x:c r="B4120">
        <x:v>3</x:v>
      </x:c>
      <x:c r="C4120">
        <x:v>39</x:v>
      </x:c>
      <x:c r="D4120">
        <x:f>ROUND($C4120*10*VLOOKUP($B4120,Sheet2!$J$5:$K$7,2,FALSE)*VLOOKUP(Sheet1!$A4120,Sheet2!$B$5:$H$29,3,FALSE),0)</x:f>
        <x:v>0</x:v>
      </x:c>
      <x:c r="E4120">
        <x:f>ROUND($C4120*10*VLOOKUP($B4120,Sheet2!$J$5:$K$7,2,FALSE)*VLOOKUP(Sheet1!$A4120,Sheet2!$B$5:$H$29,4,FALSE),0)</x:f>
        <x:v>0</x:v>
      </x:c>
      <x:c r="F4120">
        <x:f>ROUND($C4120*10*VLOOKUP($B4120,Sheet2!$J$5:$K$7,2,FALSE)*VLOOKUP(Sheet1!$A4120,Sheet2!$B$5:$H$29,5,FALSE),0)</x:f>
        <x:v>125</x:v>
      </x:c>
      <x:c r="G4120">
        <x:f>ROUND($C4120*10*VLOOKUP($B4120,Sheet2!$J$5:$K$7,2,FALSE)*VLOOKUP(Sheet1!$A4120,Sheet2!$B$5:$H$29,6,FALSE),0)</x:f>
        <x:v>0</x:v>
      </x:c>
      <x:c r="H4120">
        <x:f>ROUND($C4120*10*VLOOKUP($B4120,Sheet2!$J$5:$K$7,2,FALSE)*VLOOKUP(Sheet1!$A4120,Sheet2!$B$5:$H$29,7,FALSE),0)</x:f>
        <x:v>2340</x:v>
      </x:c>
      <x:c r="I4120">
        <x:f t="shared" si="68"/>
        <x:v>87990</x:v>
      </x:c>
    </x:row>
    <x:row r="4121" spans="1:9" x14ac:dyDescent="0.15">
      <x:c r="A4121">
        <x:v>54203</x:v>
      </x:c>
      <x:c r="B4121">
        <x:v>3</x:v>
      </x:c>
      <x:c r="C4121">
        <x:v>40</x:v>
      </x:c>
      <x:c r="D4121">
        <x:f>ROUND($C4121*10*VLOOKUP($B4121,Sheet2!$J$5:$K$7,2,FALSE)*VLOOKUP(Sheet1!$A4121,Sheet2!$B$5:$H$29,3,FALSE),0)</x:f>
        <x:v>0</x:v>
      </x:c>
      <x:c r="E4121">
        <x:f>ROUND($C4121*10*VLOOKUP($B4121,Sheet2!$J$5:$K$7,2,FALSE)*VLOOKUP(Sheet1!$A4121,Sheet2!$B$5:$H$29,4,FALSE),0)</x:f>
        <x:v>0</x:v>
      </x:c>
      <x:c r="F4121">
        <x:f>ROUND($C4121*10*VLOOKUP($B4121,Sheet2!$J$5:$K$7,2,FALSE)*VLOOKUP(Sheet1!$A4121,Sheet2!$B$5:$H$29,5,FALSE),0)</x:f>
        <x:v>128</x:v>
      </x:c>
      <x:c r="G4121">
        <x:f>ROUND($C4121*10*VLOOKUP($B4121,Sheet2!$J$5:$K$7,2,FALSE)*VLOOKUP(Sheet1!$A4121,Sheet2!$B$5:$H$29,6,FALSE),0)</x:f>
        <x:v>0</x:v>
      </x:c>
      <x:c r="H4121">
        <x:f>ROUND($C4121*10*VLOOKUP($B4121,Sheet2!$J$5:$K$7,2,FALSE)*VLOOKUP(Sheet1!$A4121,Sheet2!$B$5:$H$29,7,FALSE),0)</x:f>
        <x:v>2400</x:v>
      </x:c>
      <x:c r="I4121">
        <x:f t="shared" si="68"/>
        <x:v>92200</x:v>
      </x:c>
    </x:row>
    <x:row r="4122" spans="1:9" x14ac:dyDescent="0.15">
      <x:c r="A4122">
        <x:v>54203</x:v>
      </x:c>
      <x:c r="B4122">
        <x:v>3</x:v>
      </x:c>
      <x:c r="C4122">
        <x:v>41</x:v>
      </x:c>
      <x:c r="D4122">
        <x:f>ROUND($C4122*10*VLOOKUP($B4122,Sheet2!$J$5:$K$7,2,FALSE)*VLOOKUP(Sheet1!$A4122,Sheet2!$B$5:$H$29,3,FALSE),0)</x:f>
        <x:v>0</x:v>
      </x:c>
      <x:c r="E4122">
        <x:f>ROUND($C4122*10*VLOOKUP($B4122,Sheet2!$J$5:$K$7,2,FALSE)*VLOOKUP(Sheet1!$A4122,Sheet2!$B$5:$H$29,4,FALSE),0)</x:f>
        <x:v>0</x:v>
      </x:c>
      <x:c r="F4122">
        <x:f>ROUND($C4122*10*VLOOKUP($B4122,Sheet2!$J$5:$K$7,2,FALSE)*VLOOKUP(Sheet1!$A4122,Sheet2!$B$5:$H$29,5,FALSE),0)</x:f>
        <x:v>131</x:v>
      </x:c>
      <x:c r="G4122">
        <x:f>ROUND($C4122*10*VLOOKUP($B4122,Sheet2!$J$5:$K$7,2,FALSE)*VLOOKUP(Sheet1!$A4122,Sheet2!$B$5:$H$29,6,FALSE),0)</x:f>
        <x:v>0</x:v>
      </x:c>
      <x:c r="H4122">
        <x:f>ROUND($C4122*10*VLOOKUP($B4122,Sheet2!$J$5:$K$7,2,FALSE)*VLOOKUP(Sheet1!$A4122,Sheet2!$B$5:$H$29,7,FALSE),0)</x:f>
        <x:v>2460</x:v>
      </x:c>
      <x:c r="I4122">
        <x:f t="shared" si="68"/>
        <x:v>96490</x:v>
      </x:c>
    </x:row>
    <x:row r="4123" spans="1:9" x14ac:dyDescent="0.15">
      <x:c r="A4123">
        <x:v>54203</x:v>
      </x:c>
      <x:c r="B4123">
        <x:v>3</x:v>
      </x:c>
      <x:c r="C4123">
        <x:v>42</x:v>
      </x:c>
      <x:c r="D4123">
        <x:f>ROUND($C4123*10*VLOOKUP($B4123,Sheet2!$J$5:$K$7,2,FALSE)*VLOOKUP(Sheet1!$A4123,Sheet2!$B$5:$H$29,3,FALSE),0)</x:f>
        <x:v>0</x:v>
      </x:c>
      <x:c r="E4123">
        <x:f>ROUND($C4123*10*VLOOKUP($B4123,Sheet2!$J$5:$K$7,2,FALSE)*VLOOKUP(Sheet1!$A4123,Sheet2!$B$5:$H$29,4,FALSE),0)</x:f>
        <x:v>0</x:v>
      </x:c>
      <x:c r="F4123">
        <x:f>ROUND($C4123*10*VLOOKUP($B4123,Sheet2!$J$5:$K$7,2,FALSE)*VLOOKUP(Sheet1!$A4123,Sheet2!$B$5:$H$29,5,FALSE),0)</x:f>
        <x:v>134</x:v>
      </x:c>
      <x:c r="G4123">
        <x:f>ROUND($C4123*10*VLOOKUP($B4123,Sheet2!$J$5:$K$7,2,FALSE)*VLOOKUP(Sheet1!$A4123,Sheet2!$B$5:$H$29,6,FALSE),0)</x:f>
        <x:v>0</x:v>
      </x:c>
      <x:c r="H4123">
        <x:f>ROUND($C4123*10*VLOOKUP($B4123,Sheet2!$J$5:$K$7,2,FALSE)*VLOOKUP(Sheet1!$A4123,Sheet2!$B$5:$H$29,7,FALSE),0)</x:f>
        <x:v>2520</x:v>
      </x:c>
      <x:c r="I4123">
        <x:f t="shared" si="68"/>
        <x:v>100870</x:v>
      </x:c>
    </x:row>
    <x:row r="4124" spans="1:9" x14ac:dyDescent="0.15">
      <x:c r="A4124">
        <x:v>54203</x:v>
      </x:c>
      <x:c r="B4124">
        <x:v>3</x:v>
      </x:c>
      <x:c r="C4124">
        <x:v>43</x:v>
      </x:c>
      <x:c r="D4124">
        <x:f>ROUND($C4124*10*VLOOKUP($B4124,Sheet2!$J$5:$K$7,2,FALSE)*VLOOKUP(Sheet1!$A4124,Sheet2!$B$5:$H$29,3,FALSE),0)</x:f>
        <x:v>0</x:v>
      </x:c>
      <x:c r="E4124">
        <x:f>ROUND($C4124*10*VLOOKUP($B4124,Sheet2!$J$5:$K$7,2,FALSE)*VLOOKUP(Sheet1!$A4124,Sheet2!$B$5:$H$29,4,FALSE),0)</x:f>
        <x:v>0</x:v>
      </x:c>
      <x:c r="F4124">
        <x:f>ROUND($C4124*10*VLOOKUP($B4124,Sheet2!$J$5:$K$7,2,FALSE)*VLOOKUP(Sheet1!$A4124,Sheet2!$B$5:$H$29,5,FALSE),0)</x:f>
        <x:v>138</x:v>
      </x:c>
      <x:c r="G4124">
        <x:f>ROUND($C4124*10*VLOOKUP($B4124,Sheet2!$J$5:$K$7,2,FALSE)*VLOOKUP(Sheet1!$A4124,Sheet2!$B$5:$H$29,6,FALSE),0)</x:f>
        <x:v>0</x:v>
      </x:c>
      <x:c r="H4124">
        <x:f>ROUND($C4124*10*VLOOKUP($B4124,Sheet2!$J$5:$K$7,2,FALSE)*VLOOKUP(Sheet1!$A4124,Sheet2!$B$5:$H$29,7,FALSE),0)</x:f>
        <x:v>2580</x:v>
      </x:c>
      <x:c r="I4124">
        <x:f t="shared" si="68"/>
        <x:v>105340</x:v>
      </x:c>
    </x:row>
    <x:row r="4125" spans="1:9" x14ac:dyDescent="0.15">
      <x:c r="A4125">
        <x:v>54203</x:v>
      </x:c>
      <x:c r="B4125">
        <x:v>3</x:v>
      </x:c>
      <x:c r="C4125">
        <x:v>44</x:v>
      </x:c>
      <x:c r="D4125">
        <x:f>ROUND($C4125*10*VLOOKUP($B4125,Sheet2!$J$5:$K$7,2,FALSE)*VLOOKUP(Sheet1!$A4125,Sheet2!$B$5:$H$29,3,FALSE),0)</x:f>
        <x:v>0</x:v>
      </x:c>
      <x:c r="E4125">
        <x:f>ROUND($C4125*10*VLOOKUP($B4125,Sheet2!$J$5:$K$7,2,FALSE)*VLOOKUP(Sheet1!$A4125,Sheet2!$B$5:$H$29,4,FALSE),0)</x:f>
        <x:v>0</x:v>
      </x:c>
      <x:c r="F4125">
        <x:f>ROUND($C4125*10*VLOOKUP($B4125,Sheet2!$J$5:$K$7,2,FALSE)*VLOOKUP(Sheet1!$A4125,Sheet2!$B$5:$H$29,5,FALSE),0)</x:f>
        <x:v>141</x:v>
      </x:c>
      <x:c r="G4125">
        <x:f>ROUND($C4125*10*VLOOKUP($B4125,Sheet2!$J$5:$K$7,2,FALSE)*VLOOKUP(Sheet1!$A4125,Sheet2!$B$5:$H$29,6,FALSE),0)</x:f>
        <x:v>0</x:v>
      </x:c>
      <x:c r="H4125">
        <x:f>ROUND($C4125*10*VLOOKUP($B4125,Sheet2!$J$5:$K$7,2,FALSE)*VLOOKUP(Sheet1!$A4125,Sheet2!$B$5:$H$29,7,FALSE),0)</x:f>
        <x:v>2640</x:v>
      </x:c>
      <x:c r="I4125">
        <x:f t="shared" si="68"/>
        <x:v>109890</x:v>
      </x:c>
    </x:row>
    <x:row r="4126" spans="1:9" x14ac:dyDescent="0.15">
      <x:c r="A4126">
        <x:v>54203</x:v>
      </x:c>
      <x:c r="B4126">
        <x:v>3</x:v>
      </x:c>
      <x:c r="C4126">
        <x:v>45</x:v>
      </x:c>
      <x:c r="D4126">
        <x:f>ROUND($C4126*10*VLOOKUP($B4126,Sheet2!$J$5:$K$7,2,FALSE)*VLOOKUP(Sheet1!$A4126,Sheet2!$B$5:$H$29,3,FALSE),0)</x:f>
        <x:v>0</x:v>
      </x:c>
      <x:c r="E4126">
        <x:f>ROUND($C4126*10*VLOOKUP($B4126,Sheet2!$J$5:$K$7,2,FALSE)*VLOOKUP(Sheet1!$A4126,Sheet2!$B$5:$H$29,4,FALSE),0)</x:f>
        <x:v>0</x:v>
      </x:c>
      <x:c r="F4126">
        <x:f>ROUND($C4126*10*VLOOKUP($B4126,Sheet2!$J$5:$K$7,2,FALSE)*VLOOKUP(Sheet1!$A4126,Sheet2!$B$5:$H$29,5,FALSE),0)</x:f>
        <x:v>144</x:v>
      </x:c>
      <x:c r="G4126">
        <x:f>ROUND($C4126*10*VLOOKUP($B4126,Sheet2!$J$5:$K$7,2,FALSE)*VLOOKUP(Sheet1!$A4126,Sheet2!$B$5:$H$29,6,FALSE),0)</x:f>
        <x:v>0</x:v>
      </x:c>
      <x:c r="H4126">
        <x:f>ROUND($C4126*10*VLOOKUP($B4126,Sheet2!$J$5:$K$7,2,FALSE)*VLOOKUP(Sheet1!$A4126,Sheet2!$B$5:$H$29,7,FALSE),0)</x:f>
        <x:v>2700</x:v>
      </x:c>
      <x:c r="I4126">
        <x:f t="shared" si="68"/>
        <x:v>114530</x:v>
      </x:c>
    </x:row>
    <x:row r="4127" spans="1:9" x14ac:dyDescent="0.15">
      <x:c r="A4127">
        <x:v>54203</x:v>
      </x:c>
      <x:c r="B4127">
        <x:v>3</x:v>
      </x:c>
      <x:c r="C4127">
        <x:v>46</x:v>
      </x:c>
      <x:c r="D4127">
        <x:f>ROUND($C4127*10*VLOOKUP($B4127,Sheet2!$J$5:$K$7,2,FALSE)*VLOOKUP(Sheet1!$A4127,Sheet2!$B$5:$H$29,3,FALSE),0)</x:f>
        <x:v>0</x:v>
      </x:c>
      <x:c r="E4127">
        <x:f>ROUND($C4127*10*VLOOKUP($B4127,Sheet2!$J$5:$K$7,2,FALSE)*VLOOKUP(Sheet1!$A4127,Sheet2!$B$5:$H$29,4,FALSE),0)</x:f>
        <x:v>0</x:v>
      </x:c>
      <x:c r="F4127">
        <x:f>ROUND($C4127*10*VLOOKUP($B4127,Sheet2!$J$5:$K$7,2,FALSE)*VLOOKUP(Sheet1!$A4127,Sheet2!$B$5:$H$29,5,FALSE),0)</x:f>
        <x:v>147</x:v>
      </x:c>
      <x:c r="G4127">
        <x:f>ROUND($C4127*10*VLOOKUP($B4127,Sheet2!$J$5:$K$7,2,FALSE)*VLOOKUP(Sheet1!$A4127,Sheet2!$B$5:$H$29,6,FALSE),0)</x:f>
        <x:v>0</x:v>
      </x:c>
      <x:c r="H4127">
        <x:f>ROUND($C4127*10*VLOOKUP($B4127,Sheet2!$J$5:$K$7,2,FALSE)*VLOOKUP(Sheet1!$A4127,Sheet2!$B$5:$H$29,7,FALSE),0)</x:f>
        <x:v>2760</x:v>
      </x:c>
      <x:c r="I4127">
        <x:f t="shared" si="68"/>
        <x:v>119260</x:v>
      </x:c>
    </x:row>
    <x:row r="4128" spans="1:9" x14ac:dyDescent="0.15">
      <x:c r="A4128">
        <x:v>54203</x:v>
      </x:c>
      <x:c r="B4128">
        <x:v>3</x:v>
      </x:c>
      <x:c r="C4128">
        <x:v>47</x:v>
      </x:c>
      <x:c r="D4128">
        <x:f>ROUND($C4128*10*VLOOKUP($B4128,Sheet2!$J$5:$K$7,2,FALSE)*VLOOKUP(Sheet1!$A4128,Sheet2!$B$5:$H$29,3,FALSE),0)</x:f>
        <x:v>0</x:v>
      </x:c>
      <x:c r="E4128">
        <x:f>ROUND($C4128*10*VLOOKUP($B4128,Sheet2!$J$5:$K$7,2,FALSE)*VLOOKUP(Sheet1!$A4128,Sheet2!$B$5:$H$29,4,FALSE),0)</x:f>
        <x:v>0</x:v>
      </x:c>
      <x:c r="F4128">
        <x:f>ROUND($C4128*10*VLOOKUP($B4128,Sheet2!$J$5:$K$7,2,FALSE)*VLOOKUP(Sheet1!$A4128,Sheet2!$B$5:$H$29,5,FALSE),0)</x:f>
        <x:v>150</x:v>
      </x:c>
      <x:c r="G4128">
        <x:f>ROUND($C4128*10*VLOOKUP($B4128,Sheet2!$J$5:$K$7,2,FALSE)*VLOOKUP(Sheet1!$A4128,Sheet2!$B$5:$H$29,6,FALSE),0)</x:f>
        <x:v>0</x:v>
      </x:c>
      <x:c r="H4128">
        <x:f>ROUND($C4128*10*VLOOKUP($B4128,Sheet2!$J$5:$K$7,2,FALSE)*VLOOKUP(Sheet1!$A4128,Sheet2!$B$5:$H$29,7,FALSE),0)</x:f>
        <x:v>2820</x:v>
      </x:c>
      <x:c r="I4128">
        <x:f t="shared" si="68"/>
        <x:v>124070</x:v>
      </x:c>
    </x:row>
    <x:row r="4129" spans="1:9" x14ac:dyDescent="0.15">
      <x:c r="A4129">
        <x:v>54203</x:v>
      </x:c>
      <x:c r="B4129">
        <x:v>3</x:v>
      </x:c>
      <x:c r="C4129">
        <x:v>48</x:v>
      </x:c>
      <x:c r="D4129">
        <x:f>ROUND($C4129*10*VLOOKUP($B4129,Sheet2!$J$5:$K$7,2,FALSE)*VLOOKUP(Sheet1!$A4129,Sheet2!$B$5:$H$29,3,FALSE),0)</x:f>
        <x:v>0</x:v>
      </x:c>
      <x:c r="E4129">
        <x:f>ROUND($C4129*10*VLOOKUP($B4129,Sheet2!$J$5:$K$7,2,FALSE)*VLOOKUP(Sheet1!$A4129,Sheet2!$B$5:$H$29,4,FALSE),0)</x:f>
        <x:v>0</x:v>
      </x:c>
      <x:c r="F4129">
        <x:f>ROUND($C4129*10*VLOOKUP($B4129,Sheet2!$J$5:$K$7,2,FALSE)*VLOOKUP(Sheet1!$A4129,Sheet2!$B$5:$H$29,5,FALSE),0)</x:f>
        <x:v>154</x:v>
      </x:c>
      <x:c r="G4129">
        <x:f>ROUND($C4129*10*VLOOKUP($B4129,Sheet2!$J$5:$K$7,2,FALSE)*VLOOKUP(Sheet1!$A4129,Sheet2!$B$5:$H$29,6,FALSE),0)</x:f>
        <x:v>0</x:v>
      </x:c>
      <x:c r="H4129">
        <x:f>ROUND($C4129*10*VLOOKUP($B4129,Sheet2!$J$5:$K$7,2,FALSE)*VLOOKUP(Sheet1!$A4129,Sheet2!$B$5:$H$29,7,FALSE),0)</x:f>
        <x:v>2880</x:v>
      </x:c>
      <x:c r="I4129">
        <x:f t="shared" si="68"/>
        <x:v>128960</x:v>
      </x:c>
    </x:row>
    <x:row r="4130" spans="1:9" x14ac:dyDescent="0.15">
      <x:c r="A4130">
        <x:v>54203</x:v>
      </x:c>
      <x:c r="B4130">
        <x:v>3</x:v>
      </x:c>
      <x:c r="C4130">
        <x:v>49</x:v>
      </x:c>
      <x:c r="D4130">
        <x:f>ROUND($C4130*10*VLOOKUP($B4130,Sheet2!$J$5:$K$7,2,FALSE)*VLOOKUP(Sheet1!$A4130,Sheet2!$B$5:$H$29,3,FALSE),0)</x:f>
        <x:v>0</x:v>
      </x:c>
      <x:c r="E4130">
        <x:f>ROUND($C4130*10*VLOOKUP($B4130,Sheet2!$J$5:$K$7,2,FALSE)*VLOOKUP(Sheet1!$A4130,Sheet2!$B$5:$H$29,4,FALSE),0)</x:f>
        <x:v>0</x:v>
      </x:c>
      <x:c r="F4130">
        <x:f>ROUND($C4130*10*VLOOKUP($B4130,Sheet2!$J$5:$K$7,2,FALSE)*VLOOKUP(Sheet1!$A4130,Sheet2!$B$5:$H$29,5,FALSE),0)</x:f>
        <x:v>157</x:v>
      </x:c>
      <x:c r="G4130">
        <x:f>ROUND($C4130*10*VLOOKUP($B4130,Sheet2!$J$5:$K$7,2,FALSE)*VLOOKUP(Sheet1!$A4130,Sheet2!$B$5:$H$29,6,FALSE),0)</x:f>
        <x:v>0</x:v>
      </x:c>
      <x:c r="H4130">
        <x:f>ROUND($C4130*10*VLOOKUP($B4130,Sheet2!$J$5:$K$7,2,FALSE)*VLOOKUP(Sheet1!$A4130,Sheet2!$B$5:$H$29,7,FALSE),0)</x:f>
        <x:v>2940</x:v>
      </x:c>
      <x:c r="I4130">
        <x:f t="shared" si="68"/>
        <x:v>133940</x:v>
      </x:c>
    </x:row>
    <x:row r="4131" spans="1:9" x14ac:dyDescent="0.15">
      <x:c r="A4131">
        <x:v>54203</x:v>
      </x:c>
      <x:c r="B4131">
        <x:v>3</x:v>
      </x:c>
      <x:c r="C4131">
        <x:v>50</x:v>
      </x:c>
      <x:c r="D4131">
        <x:f>ROUND($C4131*10*VLOOKUP($B4131,Sheet2!$J$5:$K$7,2,FALSE)*VLOOKUP(Sheet1!$A4131,Sheet2!$B$5:$H$29,3,FALSE),0)</x:f>
        <x:v>0</x:v>
      </x:c>
      <x:c r="E4131">
        <x:f>ROUND($C4131*10*VLOOKUP($B4131,Sheet2!$J$5:$K$7,2,FALSE)*VLOOKUP(Sheet1!$A4131,Sheet2!$B$5:$H$29,4,FALSE),0)</x:f>
        <x:v>0</x:v>
      </x:c>
      <x:c r="F4131">
        <x:f>ROUND($C4131*10*VLOOKUP($B4131,Sheet2!$J$5:$K$7,2,FALSE)*VLOOKUP(Sheet1!$A4131,Sheet2!$B$5:$H$29,5,FALSE),0)</x:f>
        <x:v>160</x:v>
      </x:c>
      <x:c r="G4131">
        <x:f>ROUND($C4131*10*VLOOKUP($B4131,Sheet2!$J$5:$K$7,2,FALSE)*VLOOKUP(Sheet1!$A4131,Sheet2!$B$5:$H$29,6,FALSE),0)</x:f>
        <x:v>0</x:v>
      </x:c>
      <x:c r="H4131">
        <x:f>ROUND($C4131*10*VLOOKUP($B4131,Sheet2!$J$5:$K$7,2,FALSE)*VLOOKUP(Sheet1!$A4131,Sheet2!$B$5:$H$29,7,FALSE),0)</x:f>
        <x:v>3000</x:v>
      </x:c>
      <x:c r="I4131">
        <x:f t="shared" si="68"/>
        <x:v>139000</x:v>
      </x:c>
    </x:row>
    <x:row r="4132" spans="1:9" x14ac:dyDescent="0.15">
      <x:c r="A4132">
        <x:v>54203</x:v>
      </x:c>
      <x:c r="B4132">
        <x:v>3</x:v>
      </x:c>
      <x:c r="C4132">
        <x:v>51</x:v>
      </x:c>
      <x:c r="D4132">
        <x:f>ROUND($C4132*10*VLOOKUP($B4132,Sheet2!$J$5:$K$7,2,FALSE)*VLOOKUP(Sheet1!$A4132,Sheet2!$B$5:$H$29,3,FALSE),0)</x:f>
        <x:v>0</x:v>
      </x:c>
      <x:c r="E4132">
        <x:f>ROUND($C4132*10*VLOOKUP($B4132,Sheet2!$J$5:$K$7,2,FALSE)*VLOOKUP(Sheet1!$A4132,Sheet2!$B$5:$H$29,4,FALSE),0)</x:f>
        <x:v>0</x:v>
      </x:c>
      <x:c r="F4132">
        <x:f>ROUND($C4132*10*VLOOKUP($B4132,Sheet2!$J$5:$K$7,2,FALSE)*VLOOKUP(Sheet1!$A4132,Sheet2!$B$5:$H$29,5,FALSE),0)</x:f>
        <x:v>163</x:v>
      </x:c>
      <x:c r="G4132">
        <x:f>ROUND($C4132*10*VLOOKUP($B4132,Sheet2!$J$5:$K$7,2,FALSE)*VLOOKUP(Sheet1!$A4132,Sheet2!$B$5:$H$29,6,FALSE),0)</x:f>
        <x:v>0</x:v>
      </x:c>
      <x:c r="H4132">
        <x:f>ROUND($C4132*10*VLOOKUP($B4132,Sheet2!$J$5:$K$7,2,FALSE)*VLOOKUP(Sheet1!$A4132,Sheet2!$B$5:$H$29,7,FALSE),0)</x:f>
        <x:v>3060</x:v>
      </x:c>
      <x:c r="I4132">
        <x:f t="shared" si="68"/>
        <x:v>144140</x:v>
      </x:c>
    </x:row>
    <x:row r="4133" spans="1:9" x14ac:dyDescent="0.15">
      <x:c r="A4133">
        <x:v>54203</x:v>
      </x:c>
      <x:c r="B4133">
        <x:v>3</x:v>
      </x:c>
      <x:c r="C4133">
        <x:v>52</x:v>
      </x:c>
      <x:c r="D4133">
        <x:f>ROUND($C4133*10*VLOOKUP($B4133,Sheet2!$J$5:$K$7,2,FALSE)*VLOOKUP(Sheet1!$A4133,Sheet2!$B$5:$H$29,3,FALSE),0)</x:f>
        <x:v>0</x:v>
      </x:c>
      <x:c r="E4133">
        <x:f>ROUND($C4133*10*VLOOKUP($B4133,Sheet2!$J$5:$K$7,2,FALSE)*VLOOKUP(Sheet1!$A4133,Sheet2!$B$5:$H$29,4,FALSE),0)</x:f>
        <x:v>0</x:v>
      </x:c>
      <x:c r="F4133">
        <x:f>ROUND($C4133*10*VLOOKUP($B4133,Sheet2!$J$5:$K$7,2,FALSE)*VLOOKUP(Sheet1!$A4133,Sheet2!$B$5:$H$29,5,FALSE),0)</x:f>
        <x:v>166</x:v>
      </x:c>
      <x:c r="G4133">
        <x:f>ROUND($C4133*10*VLOOKUP($B4133,Sheet2!$J$5:$K$7,2,FALSE)*VLOOKUP(Sheet1!$A4133,Sheet2!$B$5:$H$29,6,FALSE),0)</x:f>
        <x:v>0</x:v>
      </x:c>
      <x:c r="H4133">
        <x:f>ROUND($C4133*10*VLOOKUP($B4133,Sheet2!$J$5:$K$7,2,FALSE)*VLOOKUP(Sheet1!$A4133,Sheet2!$B$5:$H$29,7,FALSE),0)</x:f>
        <x:v>3120</x:v>
      </x:c>
      <x:c r="I4133">
        <x:f t="shared" si="68"/>
        <x:v>149370</x:v>
      </x:c>
    </x:row>
    <x:row r="4134" spans="1:9" x14ac:dyDescent="0.15">
      <x:c r="A4134">
        <x:v>54203</x:v>
      </x:c>
      <x:c r="B4134">
        <x:v>3</x:v>
      </x:c>
      <x:c r="C4134">
        <x:v>53</x:v>
      </x:c>
      <x:c r="D4134">
        <x:f>ROUND($C4134*10*VLOOKUP($B4134,Sheet2!$J$5:$K$7,2,FALSE)*VLOOKUP(Sheet1!$A4134,Sheet2!$B$5:$H$29,3,FALSE),0)</x:f>
        <x:v>0</x:v>
      </x:c>
      <x:c r="E4134">
        <x:f>ROUND($C4134*10*VLOOKUP($B4134,Sheet2!$J$5:$K$7,2,FALSE)*VLOOKUP(Sheet1!$A4134,Sheet2!$B$5:$H$29,4,FALSE),0)</x:f>
        <x:v>0</x:v>
      </x:c>
      <x:c r="F4134">
        <x:f>ROUND($C4134*10*VLOOKUP($B4134,Sheet2!$J$5:$K$7,2,FALSE)*VLOOKUP(Sheet1!$A4134,Sheet2!$B$5:$H$29,5,FALSE),0)</x:f>
        <x:v>170</x:v>
      </x:c>
      <x:c r="G4134">
        <x:f>ROUND($C4134*10*VLOOKUP($B4134,Sheet2!$J$5:$K$7,2,FALSE)*VLOOKUP(Sheet1!$A4134,Sheet2!$B$5:$H$29,6,FALSE),0)</x:f>
        <x:v>0</x:v>
      </x:c>
      <x:c r="H4134">
        <x:f>ROUND($C4134*10*VLOOKUP($B4134,Sheet2!$J$5:$K$7,2,FALSE)*VLOOKUP(Sheet1!$A4134,Sheet2!$B$5:$H$29,7,FALSE),0)</x:f>
        <x:v>3180</x:v>
      </x:c>
      <x:c r="I4134">
        <x:f t="shared" si="68"/>
        <x:v>154680</x:v>
      </x:c>
    </x:row>
    <x:row r="4135" spans="1:9" x14ac:dyDescent="0.15">
      <x:c r="A4135">
        <x:v>54203</x:v>
      </x:c>
      <x:c r="B4135">
        <x:v>3</x:v>
      </x:c>
      <x:c r="C4135">
        <x:v>54</x:v>
      </x:c>
      <x:c r="D4135">
        <x:f>ROUND($C4135*10*VLOOKUP($B4135,Sheet2!$J$5:$K$7,2,FALSE)*VLOOKUP(Sheet1!$A4135,Sheet2!$B$5:$H$29,3,FALSE),0)</x:f>
        <x:v>0</x:v>
      </x:c>
      <x:c r="E4135">
        <x:f>ROUND($C4135*10*VLOOKUP($B4135,Sheet2!$J$5:$K$7,2,FALSE)*VLOOKUP(Sheet1!$A4135,Sheet2!$B$5:$H$29,4,FALSE),0)</x:f>
        <x:v>0</x:v>
      </x:c>
      <x:c r="F4135">
        <x:f>ROUND($C4135*10*VLOOKUP($B4135,Sheet2!$J$5:$K$7,2,FALSE)*VLOOKUP(Sheet1!$A4135,Sheet2!$B$5:$H$29,5,FALSE),0)</x:f>
        <x:v>173</x:v>
      </x:c>
      <x:c r="G4135">
        <x:f>ROUND($C4135*10*VLOOKUP($B4135,Sheet2!$J$5:$K$7,2,FALSE)*VLOOKUP(Sheet1!$A4135,Sheet2!$B$5:$H$29,6,FALSE),0)</x:f>
        <x:v>0</x:v>
      </x:c>
      <x:c r="H4135">
        <x:f>ROUND($C4135*10*VLOOKUP($B4135,Sheet2!$J$5:$K$7,2,FALSE)*VLOOKUP(Sheet1!$A4135,Sheet2!$B$5:$H$29,7,FALSE),0)</x:f>
        <x:v>3240</x:v>
      </x:c>
      <x:c r="I4135">
        <x:f t="shared" si="68"/>
        <x:v>160070</x:v>
      </x:c>
    </x:row>
    <x:row r="4136" spans="1:9" x14ac:dyDescent="0.15">
      <x:c r="A4136">
        <x:v>54203</x:v>
      </x:c>
      <x:c r="B4136">
        <x:v>3</x:v>
      </x:c>
      <x:c r="C4136">
        <x:v>55</x:v>
      </x:c>
      <x:c r="D4136">
        <x:f>ROUND($C4136*10*VLOOKUP($B4136,Sheet2!$J$5:$K$7,2,FALSE)*VLOOKUP(Sheet1!$A4136,Sheet2!$B$5:$H$29,3,FALSE),0)</x:f>
        <x:v>0</x:v>
      </x:c>
      <x:c r="E4136">
        <x:f>ROUND($C4136*10*VLOOKUP($B4136,Sheet2!$J$5:$K$7,2,FALSE)*VLOOKUP(Sheet1!$A4136,Sheet2!$B$5:$H$29,4,FALSE),0)</x:f>
        <x:v>0</x:v>
      </x:c>
      <x:c r="F4136">
        <x:f>ROUND($C4136*10*VLOOKUP($B4136,Sheet2!$J$5:$K$7,2,FALSE)*VLOOKUP(Sheet1!$A4136,Sheet2!$B$5:$H$29,5,FALSE),0)</x:f>
        <x:v>176</x:v>
      </x:c>
      <x:c r="G4136">
        <x:f>ROUND($C4136*10*VLOOKUP($B4136,Sheet2!$J$5:$K$7,2,FALSE)*VLOOKUP(Sheet1!$A4136,Sheet2!$B$5:$H$29,6,FALSE),0)</x:f>
        <x:v>0</x:v>
      </x:c>
      <x:c r="H4136">
        <x:f>ROUND($C4136*10*VLOOKUP($B4136,Sheet2!$J$5:$K$7,2,FALSE)*VLOOKUP(Sheet1!$A4136,Sheet2!$B$5:$H$29,7,FALSE),0)</x:f>
        <x:v>3300</x:v>
      </x:c>
      <x:c r="I4136">
        <x:f t="shared" si="68"/>
        <x:v>165540</x:v>
      </x:c>
    </x:row>
    <x:row r="4137" spans="1:9" x14ac:dyDescent="0.15">
      <x:c r="A4137">
        <x:v>54203</x:v>
      </x:c>
      <x:c r="B4137">
        <x:v>3</x:v>
      </x:c>
      <x:c r="C4137">
        <x:v>56</x:v>
      </x:c>
      <x:c r="D4137">
        <x:f>ROUND($C4137*10*VLOOKUP($B4137,Sheet2!$J$5:$K$7,2,FALSE)*VLOOKUP(Sheet1!$A4137,Sheet2!$B$5:$H$29,3,FALSE),0)</x:f>
        <x:v>0</x:v>
      </x:c>
      <x:c r="E4137">
        <x:f>ROUND($C4137*10*VLOOKUP($B4137,Sheet2!$J$5:$K$7,2,FALSE)*VLOOKUP(Sheet1!$A4137,Sheet2!$B$5:$H$29,4,FALSE),0)</x:f>
        <x:v>0</x:v>
      </x:c>
      <x:c r="F4137">
        <x:f>ROUND($C4137*10*VLOOKUP($B4137,Sheet2!$J$5:$K$7,2,FALSE)*VLOOKUP(Sheet1!$A4137,Sheet2!$B$5:$H$29,5,FALSE),0)</x:f>
        <x:v>179</x:v>
      </x:c>
      <x:c r="G4137">
        <x:f>ROUND($C4137*10*VLOOKUP($B4137,Sheet2!$J$5:$K$7,2,FALSE)*VLOOKUP(Sheet1!$A4137,Sheet2!$B$5:$H$29,6,FALSE),0)</x:f>
        <x:v>0</x:v>
      </x:c>
      <x:c r="H4137">
        <x:f>ROUND($C4137*10*VLOOKUP($B4137,Sheet2!$J$5:$K$7,2,FALSE)*VLOOKUP(Sheet1!$A4137,Sheet2!$B$5:$H$29,7,FALSE),0)</x:f>
        <x:v>3360</x:v>
      </x:c>
      <x:c r="I4137">
        <x:f t="shared" si="68"/>
        <x:v>171100</x:v>
      </x:c>
    </x:row>
    <x:row r="4138" spans="1:9" x14ac:dyDescent="0.15">
      <x:c r="A4138">
        <x:v>54203</x:v>
      </x:c>
      <x:c r="B4138">
        <x:v>3</x:v>
      </x:c>
      <x:c r="C4138">
        <x:v>57</x:v>
      </x:c>
      <x:c r="D4138">
        <x:f>ROUND($C4138*10*VLOOKUP($B4138,Sheet2!$J$5:$K$7,2,FALSE)*VLOOKUP(Sheet1!$A4138,Sheet2!$B$5:$H$29,3,FALSE),0)</x:f>
        <x:v>0</x:v>
      </x:c>
      <x:c r="E4138">
        <x:f>ROUND($C4138*10*VLOOKUP($B4138,Sheet2!$J$5:$K$7,2,FALSE)*VLOOKUP(Sheet1!$A4138,Sheet2!$B$5:$H$29,4,FALSE),0)</x:f>
        <x:v>0</x:v>
      </x:c>
      <x:c r="F4138">
        <x:f>ROUND($C4138*10*VLOOKUP($B4138,Sheet2!$J$5:$K$7,2,FALSE)*VLOOKUP(Sheet1!$A4138,Sheet2!$B$5:$H$29,5,FALSE),0)</x:f>
        <x:v>182</x:v>
      </x:c>
      <x:c r="G4138">
        <x:f>ROUND($C4138*10*VLOOKUP($B4138,Sheet2!$J$5:$K$7,2,FALSE)*VLOOKUP(Sheet1!$A4138,Sheet2!$B$5:$H$29,6,FALSE),0)</x:f>
        <x:v>0</x:v>
      </x:c>
      <x:c r="H4138">
        <x:f>ROUND($C4138*10*VLOOKUP($B4138,Sheet2!$J$5:$K$7,2,FALSE)*VLOOKUP(Sheet1!$A4138,Sheet2!$B$5:$H$29,7,FALSE),0)</x:f>
        <x:v>3420</x:v>
      </x:c>
      <x:c r="I4138">
        <x:f t="shared" si="68"/>
        <x:v>176740</x:v>
      </x:c>
    </x:row>
    <x:row r="4139" spans="1:9" x14ac:dyDescent="0.15">
      <x:c r="A4139">
        <x:v>54203</x:v>
      </x:c>
      <x:c r="B4139">
        <x:v>3</x:v>
      </x:c>
      <x:c r="C4139">
        <x:v>58</x:v>
      </x:c>
      <x:c r="D4139">
        <x:f>ROUND($C4139*10*VLOOKUP($B4139,Sheet2!$J$5:$K$7,2,FALSE)*VLOOKUP(Sheet1!$A4139,Sheet2!$B$5:$H$29,3,FALSE),0)</x:f>
        <x:v>0</x:v>
      </x:c>
      <x:c r="E4139">
        <x:f>ROUND($C4139*10*VLOOKUP($B4139,Sheet2!$J$5:$K$7,2,FALSE)*VLOOKUP(Sheet1!$A4139,Sheet2!$B$5:$H$29,4,FALSE),0)</x:f>
        <x:v>0</x:v>
      </x:c>
      <x:c r="F4139">
        <x:f>ROUND($C4139*10*VLOOKUP($B4139,Sheet2!$J$5:$K$7,2,FALSE)*VLOOKUP(Sheet1!$A4139,Sheet2!$B$5:$H$29,5,FALSE),0)</x:f>
        <x:v>186</x:v>
      </x:c>
      <x:c r="G4139">
        <x:f>ROUND($C4139*10*VLOOKUP($B4139,Sheet2!$J$5:$K$7,2,FALSE)*VLOOKUP(Sheet1!$A4139,Sheet2!$B$5:$H$29,6,FALSE),0)</x:f>
        <x:v>0</x:v>
      </x:c>
      <x:c r="H4139">
        <x:f>ROUND($C4139*10*VLOOKUP($B4139,Sheet2!$J$5:$K$7,2,FALSE)*VLOOKUP(Sheet1!$A4139,Sheet2!$B$5:$H$29,7,FALSE),0)</x:f>
        <x:v>3480</x:v>
      </x:c>
      <x:c r="I4139">
        <x:f t="shared" si="68"/>
        <x:v>182460</x:v>
      </x:c>
    </x:row>
    <x:row r="4140" spans="1:9" x14ac:dyDescent="0.15">
      <x:c r="A4140">
        <x:v>54203</x:v>
      </x:c>
      <x:c r="B4140">
        <x:v>3</x:v>
      </x:c>
      <x:c r="C4140">
        <x:v>59</x:v>
      </x:c>
      <x:c r="D4140">
        <x:f>ROUND($C4140*10*VLOOKUP($B4140,Sheet2!$J$5:$K$7,2,FALSE)*VLOOKUP(Sheet1!$A4140,Sheet2!$B$5:$H$29,3,FALSE),0)</x:f>
        <x:v>0</x:v>
      </x:c>
      <x:c r="E4140">
        <x:f>ROUND($C4140*10*VLOOKUP($B4140,Sheet2!$J$5:$K$7,2,FALSE)*VLOOKUP(Sheet1!$A4140,Sheet2!$B$5:$H$29,4,FALSE),0)</x:f>
        <x:v>0</x:v>
      </x:c>
      <x:c r="F4140">
        <x:f>ROUND($C4140*10*VLOOKUP($B4140,Sheet2!$J$5:$K$7,2,FALSE)*VLOOKUP(Sheet1!$A4140,Sheet2!$B$5:$H$29,5,FALSE),0)</x:f>
        <x:v>189</x:v>
      </x:c>
      <x:c r="G4140">
        <x:f>ROUND($C4140*10*VLOOKUP($B4140,Sheet2!$J$5:$K$7,2,FALSE)*VLOOKUP(Sheet1!$A4140,Sheet2!$B$5:$H$29,6,FALSE),0)</x:f>
        <x:v>0</x:v>
      </x:c>
      <x:c r="H4140">
        <x:f>ROUND($C4140*10*VLOOKUP($B4140,Sheet2!$J$5:$K$7,2,FALSE)*VLOOKUP(Sheet1!$A4140,Sheet2!$B$5:$H$29,7,FALSE),0)</x:f>
        <x:v>3540</x:v>
      </x:c>
      <x:c r="I4140">
        <x:f t="shared" si="68"/>
        <x:v>188260</x:v>
      </x:c>
    </x:row>
    <x:row r="4141" spans="1:9" x14ac:dyDescent="0.15">
      <x:c r="A4141">
        <x:v>54203</x:v>
      </x:c>
      <x:c r="B4141">
        <x:v>3</x:v>
      </x:c>
      <x:c r="C4141">
        <x:v>60</x:v>
      </x:c>
      <x:c r="D4141">
        <x:f>ROUND($C4141*10*VLOOKUP($B4141,Sheet2!$J$5:$K$7,2,FALSE)*VLOOKUP(Sheet1!$A4141,Sheet2!$B$5:$H$29,3,FALSE),0)</x:f>
        <x:v>0</x:v>
      </x:c>
      <x:c r="E4141">
        <x:f>ROUND($C4141*10*VLOOKUP($B4141,Sheet2!$J$5:$K$7,2,FALSE)*VLOOKUP(Sheet1!$A4141,Sheet2!$B$5:$H$29,4,FALSE),0)</x:f>
        <x:v>0</x:v>
      </x:c>
      <x:c r="F4141">
        <x:f>ROUND($C4141*10*VLOOKUP($B4141,Sheet2!$J$5:$K$7,2,FALSE)*VLOOKUP(Sheet1!$A4141,Sheet2!$B$5:$H$29,5,FALSE),0)</x:f>
        <x:v>192</x:v>
      </x:c>
      <x:c r="G4141">
        <x:f>ROUND($C4141*10*VLOOKUP($B4141,Sheet2!$J$5:$K$7,2,FALSE)*VLOOKUP(Sheet1!$A4141,Sheet2!$B$5:$H$29,6,FALSE),0)</x:f>
        <x:v>0</x:v>
      </x:c>
      <x:c r="H4141">
        <x:f>ROUND($C4141*10*VLOOKUP($B4141,Sheet2!$J$5:$K$7,2,FALSE)*VLOOKUP(Sheet1!$A4141,Sheet2!$B$5:$H$29,7,FALSE),0)</x:f>
        <x:v>3600</x:v>
      </x:c>
      <x:c r="I4141">
        <x:f t="shared" si="68"/>
        <x:v>194140</x:v>
      </x:c>
    </x:row>
    <x:row r="4142" spans="1:9" x14ac:dyDescent="0.15">
      <x:c r="A4142">
        <x:v>54204</x:v>
      </x:c>
      <x:c r="B4142">
        <x:v>1</x:v>
      </x:c>
      <x:c r="C4142">
        <x:v>1</x:v>
      </x:c>
      <x:c r="D4142">
        <x:f>ROUND($C4142*10*VLOOKUP($B4142,Sheet2!$J$5:$K$7,2,FALSE)*VLOOKUP(Sheet1!$A4142,Sheet2!$B$5:$H$29,3,FALSE),0)</x:f>
        <x:v>0</x:v>
      </x:c>
      <x:c r="E4142">
        <x:f>ROUND($C4142*10*VLOOKUP($B4142,Sheet2!$J$5:$K$7,2,FALSE)*VLOOKUP(Sheet1!$A4142,Sheet2!$B$5:$H$29,4,FALSE),0)</x:f>
        <x:v>0</x:v>
      </x:c>
      <x:c r="F4142">
        <x:f>ROUND($C4142*10*VLOOKUP($B4142,Sheet2!$J$5:$K$7,2,FALSE)*VLOOKUP(Sheet1!$A4142,Sheet2!$B$5:$H$29,5,FALSE),0)</x:f>
        <x:v>0</x:v>
      </x:c>
      <x:c r="G4142">
        <x:f>ROUND($C4142*10*VLOOKUP($B4142,Sheet2!$J$5:$K$7,2,FALSE)*VLOOKUP(Sheet1!$A4142,Sheet2!$B$5:$H$29,6,FALSE),0)</x:f>
        <x:v>2</x:v>
      </x:c>
      <x:c r="H4142">
        <x:f>ROUND($C4142*10*VLOOKUP($B4142,Sheet2!$J$5:$K$7,2,FALSE)*VLOOKUP(Sheet1!$A4142,Sheet2!$B$5:$H$29,7,FALSE),0)</x:f>
        <x:v>30</x:v>
      </x:c>
      <x:c r="I4142">
        <x:f t="shared" ref="I4142:I4201" si="69">ROUND(1.2*10*1.8*(C4142-1)^1.8+30,-1)</x:f>
        <x:v>30</x:v>
      </x:c>
    </x:row>
    <x:row r="4143" spans="1:9" x14ac:dyDescent="0.15">
      <x:c r="A4143">
        <x:v>54204</x:v>
      </x:c>
      <x:c r="B4143">
        <x:v>1</x:v>
      </x:c>
      <x:c r="C4143">
        <x:v>2</x:v>
      </x:c>
      <x:c r="D4143">
        <x:f>ROUND($C4143*10*VLOOKUP($B4143,Sheet2!$J$5:$K$7,2,FALSE)*VLOOKUP(Sheet1!$A4143,Sheet2!$B$5:$H$29,3,FALSE),0)</x:f>
        <x:v>0</x:v>
      </x:c>
      <x:c r="E4143">
        <x:f>ROUND($C4143*10*VLOOKUP($B4143,Sheet2!$J$5:$K$7,2,FALSE)*VLOOKUP(Sheet1!$A4143,Sheet2!$B$5:$H$29,4,FALSE),0)</x:f>
        <x:v>0</x:v>
      </x:c>
      <x:c r="F4143">
        <x:f>ROUND($C4143*10*VLOOKUP($B4143,Sheet2!$J$5:$K$7,2,FALSE)*VLOOKUP(Sheet1!$A4143,Sheet2!$B$5:$H$29,5,FALSE),0)</x:f>
        <x:v>0</x:v>
      </x:c>
      <x:c r="G4143">
        <x:f>ROUND($C4143*10*VLOOKUP($B4143,Sheet2!$J$5:$K$7,2,FALSE)*VLOOKUP(Sheet1!$A4143,Sheet2!$B$5:$H$29,6,FALSE),0)</x:f>
        <x:v>3</x:v>
      </x:c>
      <x:c r="H4143">
        <x:f>ROUND($C4143*10*VLOOKUP($B4143,Sheet2!$J$5:$K$7,2,FALSE)*VLOOKUP(Sheet1!$A4143,Sheet2!$B$5:$H$29,7,FALSE),0)</x:f>
        <x:v>60</x:v>
      </x:c>
      <x:c r="I4143">
        <x:f t="shared" si="69"/>
        <x:v>50</x:v>
      </x:c>
    </x:row>
    <x:row r="4144" spans="1:9" x14ac:dyDescent="0.15">
      <x:c r="A4144">
        <x:v>54204</x:v>
      </x:c>
      <x:c r="B4144">
        <x:v>1</x:v>
      </x:c>
      <x:c r="C4144">
        <x:v>3</x:v>
      </x:c>
      <x:c r="D4144">
        <x:f>ROUND($C4144*10*VLOOKUP($B4144,Sheet2!$J$5:$K$7,2,FALSE)*VLOOKUP(Sheet1!$A4144,Sheet2!$B$5:$H$29,3,FALSE),0)</x:f>
        <x:v>0</x:v>
      </x:c>
      <x:c r="E4144">
        <x:f>ROUND($C4144*10*VLOOKUP($B4144,Sheet2!$J$5:$K$7,2,FALSE)*VLOOKUP(Sheet1!$A4144,Sheet2!$B$5:$H$29,4,FALSE),0)</x:f>
        <x:v>0</x:v>
      </x:c>
      <x:c r="F4144">
        <x:f>ROUND($C4144*10*VLOOKUP($B4144,Sheet2!$J$5:$K$7,2,FALSE)*VLOOKUP(Sheet1!$A4144,Sheet2!$B$5:$H$29,5,FALSE),0)</x:f>
        <x:v>0</x:v>
      </x:c>
      <x:c r="G4144">
        <x:f>ROUND($C4144*10*VLOOKUP($B4144,Sheet2!$J$5:$K$7,2,FALSE)*VLOOKUP(Sheet1!$A4144,Sheet2!$B$5:$H$29,6,FALSE),0)</x:f>
        <x:v>5</x:v>
      </x:c>
      <x:c r="H4144">
        <x:f>ROUND($C4144*10*VLOOKUP($B4144,Sheet2!$J$5:$K$7,2,FALSE)*VLOOKUP(Sheet1!$A4144,Sheet2!$B$5:$H$29,7,FALSE),0)</x:f>
        <x:v>90</x:v>
      </x:c>
      <x:c r="I4144">
        <x:f t="shared" si="69"/>
        <x:v>110</x:v>
      </x:c>
    </x:row>
    <x:row r="4145" spans="1:9" x14ac:dyDescent="0.15">
      <x:c r="A4145">
        <x:v>54204</x:v>
      </x:c>
      <x:c r="B4145">
        <x:v>1</x:v>
      </x:c>
      <x:c r="C4145">
        <x:v>4</x:v>
      </x:c>
      <x:c r="D4145">
        <x:f>ROUND($C4145*10*VLOOKUP($B4145,Sheet2!$J$5:$K$7,2,FALSE)*VLOOKUP(Sheet1!$A4145,Sheet2!$B$5:$H$29,3,FALSE),0)</x:f>
        <x:v>0</x:v>
      </x:c>
      <x:c r="E4145">
        <x:f>ROUND($C4145*10*VLOOKUP($B4145,Sheet2!$J$5:$K$7,2,FALSE)*VLOOKUP(Sheet1!$A4145,Sheet2!$B$5:$H$29,4,FALSE),0)</x:f>
        <x:v>0</x:v>
      </x:c>
      <x:c r="F4145">
        <x:f>ROUND($C4145*10*VLOOKUP($B4145,Sheet2!$J$5:$K$7,2,FALSE)*VLOOKUP(Sheet1!$A4145,Sheet2!$B$5:$H$29,5,FALSE),0)</x:f>
        <x:v>0</x:v>
      </x:c>
      <x:c r="G4145">
        <x:f>ROUND($C4145*10*VLOOKUP($B4145,Sheet2!$J$5:$K$7,2,FALSE)*VLOOKUP(Sheet1!$A4145,Sheet2!$B$5:$H$29,6,FALSE),0)</x:f>
        <x:v>6</x:v>
      </x:c>
      <x:c r="H4145">
        <x:f>ROUND($C4145*10*VLOOKUP($B4145,Sheet2!$J$5:$K$7,2,FALSE)*VLOOKUP(Sheet1!$A4145,Sheet2!$B$5:$H$29,7,FALSE),0)</x:f>
        <x:v>120</x:v>
      </x:c>
      <x:c r="I4145">
        <x:f t="shared" si="69"/>
        <x:v>190</x:v>
      </x:c>
    </x:row>
    <x:row r="4146" spans="1:9" x14ac:dyDescent="0.15">
      <x:c r="A4146">
        <x:v>54204</x:v>
      </x:c>
      <x:c r="B4146">
        <x:v>1</x:v>
      </x:c>
      <x:c r="C4146">
        <x:v>5</x:v>
      </x:c>
      <x:c r="D4146">
        <x:f>ROUND($C4146*10*VLOOKUP($B4146,Sheet2!$J$5:$K$7,2,FALSE)*VLOOKUP(Sheet1!$A4146,Sheet2!$B$5:$H$29,3,FALSE),0)</x:f>
        <x:v>0</x:v>
      </x:c>
      <x:c r="E4146">
        <x:f>ROUND($C4146*10*VLOOKUP($B4146,Sheet2!$J$5:$K$7,2,FALSE)*VLOOKUP(Sheet1!$A4146,Sheet2!$B$5:$H$29,4,FALSE),0)</x:f>
        <x:v>0</x:v>
      </x:c>
      <x:c r="F4146">
        <x:f>ROUND($C4146*10*VLOOKUP($B4146,Sheet2!$J$5:$K$7,2,FALSE)*VLOOKUP(Sheet1!$A4146,Sheet2!$B$5:$H$29,5,FALSE),0)</x:f>
        <x:v>0</x:v>
      </x:c>
      <x:c r="G4146">
        <x:f>ROUND($C4146*10*VLOOKUP($B4146,Sheet2!$J$5:$K$7,2,FALSE)*VLOOKUP(Sheet1!$A4146,Sheet2!$B$5:$H$29,6,FALSE),0)</x:f>
        <x:v>8</x:v>
      </x:c>
      <x:c r="H4146">
        <x:f>ROUND($C4146*10*VLOOKUP($B4146,Sheet2!$J$5:$K$7,2,FALSE)*VLOOKUP(Sheet1!$A4146,Sheet2!$B$5:$H$29,7,FALSE),0)</x:f>
        <x:v>150</x:v>
      </x:c>
      <x:c r="I4146">
        <x:f t="shared" si="69"/>
        <x:v>290</x:v>
      </x:c>
    </x:row>
    <x:row r="4147" spans="1:9" x14ac:dyDescent="0.15">
      <x:c r="A4147">
        <x:v>54204</x:v>
      </x:c>
      <x:c r="B4147">
        <x:v>1</x:v>
      </x:c>
      <x:c r="C4147">
        <x:v>6</x:v>
      </x:c>
      <x:c r="D4147">
        <x:f>ROUND($C4147*10*VLOOKUP($B4147,Sheet2!$J$5:$K$7,2,FALSE)*VLOOKUP(Sheet1!$A4147,Sheet2!$B$5:$H$29,3,FALSE),0)</x:f>
        <x:v>0</x:v>
      </x:c>
      <x:c r="E4147">
        <x:f>ROUND($C4147*10*VLOOKUP($B4147,Sheet2!$J$5:$K$7,2,FALSE)*VLOOKUP(Sheet1!$A4147,Sheet2!$B$5:$H$29,4,FALSE),0)</x:f>
        <x:v>0</x:v>
      </x:c>
      <x:c r="F4147">
        <x:f>ROUND($C4147*10*VLOOKUP($B4147,Sheet2!$J$5:$K$7,2,FALSE)*VLOOKUP(Sheet1!$A4147,Sheet2!$B$5:$H$29,5,FALSE),0)</x:f>
        <x:v>0</x:v>
      </x:c>
      <x:c r="G4147">
        <x:f>ROUND($C4147*10*VLOOKUP($B4147,Sheet2!$J$5:$K$7,2,FALSE)*VLOOKUP(Sheet1!$A4147,Sheet2!$B$5:$H$29,6,FALSE),0)</x:f>
        <x:v>10</x:v>
      </x:c>
      <x:c r="H4147">
        <x:f>ROUND($C4147*10*VLOOKUP($B4147,Sheet2!$J$5:$K$7,2,FALSE)*VLOOKUP(Sheet1!$A4147,Sheet2!$B$5:$H$29,7,FALSE),0)</x:f>
        <x:v>180</x:v>
      </x:c>
      <x:c r="I4147">
        <x:f t="shared" si="69"/>
        <x:v>420</x:v>
      </x:c>
    </x:row>
    <x:row r="4148" spans="1:9" x14ac:dyDescent="0.15">
      <x:c r="A4148">
        <x:v>54204</x:v>
      </x:c>
      <x:c r="B4148">
        <x:v>1</x:v>
      </x:c>
      <x:c r="C4148">
        <x:v>7</x:v>
      </x:c>
      <x:c r="D4148">
        <x:f>ROUND($C4148*10*VLOOKUP($B4148,Sheet2!$J$5:$K$7,2,FALSE)*VLOOKUP(Sheet1!$A4148,Sheet2!$B$5:$H$29,3,FALSE),0)</x:f>
        <x:v>0</x:v>
      </x:c>
      <x:c r="E4148">
        <x:f>ROUND($C4148*10*VLOOKUP($B4148,Sheet2!$J$5:$K$7,2,FALSE)*VLOOKUP(Sheet1!$A4148,Sheet2!$B$5:$H$29,4,FALSE),0)</x:f>
        <x:v>0</x:v>
      </x:c>
      <x:c r="F4148">
        <x:f>ROUND($C4148*10*VLOOKUP($B4148,Sheet2!$J$5:$K$7,2,FALSE)*VLOOKUP(Sheet1!$A4148,Sheet2!$B$5:$H$29,5,FALSE),0)</x:f>
        <x:v>0</x:v>
      </x:c>
      <x:c r="G4148">
        <x:f>ROUND($C4148*10*VLOOKUP($B4148,Sheet2!$J$5:$K$7,2,FALSE)*VLOOKUP(Sheet1!$A4148,Sheet2!$B$5:$H$29,6,FALSE),0)</x:f>
        <x:v>11</x:v>
      </x:c>
      <x:c r="H4148">
        <x:f>ROUND($C4148*10*VLOOKUP($B4148,Sheet2!$J$5:$K$7,2,FALSE)*VLOOKUP(Sheet1!$A4148,Sheet2!$B$5:$H$29,7,FALSE),0)</x:f>
        <x:v>210</x:v>
      </x:c>
      <x:c r="I4148">
        <x:f t="shared" si="69"/>
        <x:v>570</x:v>
      </x:c>
    </x:row>
    <x:row r="4149" spans="1:9" x14ac:dyDescent="0.15">
      <x:c r="A4149">
        <x:v>54204</x:v>
      </x:c>
      <x:c r="B4149">
        <x:v>1</x:v>
      </x:c>
      <x:c r="C4149">
        <x:v>8</x:v>
      </x:c>
      <x:c r="D4149">
        <x:f>ROUND($C4149*10*VLOOKUP($B4149,Sheet2!$J$5:$K$7,2,FALSE)*VLOOKUP(Sheet1!$A4149,Sheet2!$B$5:$H$29,3,FALSE),0)</x:f>
        <x:v>0</x:v>
      </x:c>
      <x:c r="E4149">
        <x:f>ROUND($C4149*10*VLOOKUP($B4149,Sheet2!$J$5:$K$7,2,FALSE)*VLOOKUP(Sheet1!$A4149,Sheet2!$B$5:$H$29,4,FALSE),0)</x:f>
        <x:v>0</x:v>
      </x:c>
      <x:c r="F4149">
        <x:f>ROUND($C4149*10*VLOOKUP($B4149,Sheet2!$J$5:$K$7,2,FALSE)*VLOOKUP(Sheet1!$A4149,Sheet2!$B$5:$H$29,5,FALSE),0)</x:f>
        <x:v>0</x:v>
      </x:c>
      <x:c r="G4149">
        <x:f>ROUND($C4149*10*VLOOKUP($B4149,Sheet2!$J$5:$K$7,2,FALSE)*VLOOKUP(Sheet1!$A4149,Sheet2!$B$5:$H$29,6,FALSE),0)</x:f>
        <x:v>13</x:v>
      </x:c>
      <x:c r="H4149">
        <x:f>ROUND($C4149*10*VLOOKUP($B4149,Sheet2!$J$5:$K$7,2,FALSE)*VLOOKUP(Sheet1!$A4149,Sheet2!$B$5:$H$29,7,FALSE),0)</x:f>
        <x:v>240</x:v>
      </x:c>
      <x:c r="I4149">
        <x:f t="shared" si="69"/>
        <x:v>750</x:v>
      </x:c>
    </x:row>
    <x:row r="4150" spans="1:9" x14ac:dyDescent="0.15">
      <x:c r="A4150">
        <x:v>54204</x:v>
      </x:c>
      <x:c r="B4150">
        <x:v>1</x:v>
      </x:c>
      <x:c r="C4150">
        <x:v>9</x:v>
      </x:c>
      <x:c r="D4150">
        <x:f>ROUND($C4150*10*VLOOKUP($B4150,Sheet2!$J$5:$K$7,2,FALSE)*VLOOKUP(Sheet1!$A4150,Sheet2!$B$5:$H$29,3,FALSE),0)</x:f>
        <x:v>0</x:v>
      </x:c>
      <x:c r="E4150">
        <x:f>ROUND($C4150*10*VLOOKUP($B4150,Sheet2!$J$5:$K$7,2,FALSE)*VLOOKUP(Sheet1!$A4150,Sheet2!$B$5:$H$29,4,FALSE),0)</x:f>
        <x:v>0</x:v>
      </x:c>
      <x:c r="F4150">
        <x:f>ROUND($C4150*10*VLOOKUP($B4150,Sheet2!$J$5:$K$7,2,FALSE)*VLOOKUP(Sheet1!$A4150,Sheet2!$B$5:$H$29,5,FALSE),0)</x:f>
        <x:v>0</x:v>
      </x:c>
      <x:c r="G4150">
        <x:f>ROUND($C4150*10*VLOOKUP($B4150,Sheet2!$J$5:$K$7,2,FALSE)*VLOOKUP(Sheet1!$A4150,Sheet2!$B$5:$H$29,6,FALSE),0)</x:f>
        <x:v>14</x:v>
      </x:c>
      <x:c r="H4150">
        <x:f>ROUND($C4150*10*VLOOKUP($B4150,Sheet2!$J$5:$K$7,2,FALSE)*VLOOKUP(Sheet1!$A4150,Sheet2!$B$5:$H$29,7,FALSE),0)</x:f>
        <x:v>270</x:v>
      </x:c>
      <x:c r="I4150">
        <x:f t="shared" si="69"/>
        <x:v>940</x:v>
      </x:c>
    </x:row>
    <x:row r="4151" spans="1:9" x14ac:dyDescent="0.15">
      <x:c r="A4151">
        <x:v>54204</x:v>
      </x:c>
      <x:c r="B4151">
        <x:v>1</x:v>
      </x:c>
      <x:c r="C4151">
        <x:v>10</x:v>
      </x:c>
      <x:c r="D4151">
        <x:f>ROUND($C4151*10*VLOOKUP($B4151,Sheet2!$J$5:$K$7,2,FALSE)*VLOOKUP(Sheet1!$A4151,Sheet2!$B$5:$H$29,3,FALSE),0)</x:f>
        <x:v>0</x:v>
      </x:c>
      <x:c r="E4151">
        <x:f>ROUND($C4151*10*VLOOKUP($B4151,Sheet2!$J$5:$K$7,2,FALSE)*VLOOKUP(Sheet1!$A4151,Sheet2!$B$5:$H$29,4,FALSE),0)</x:f>
        <x:v>0</x:v>
      </x:c>
      <x:c r="F4151">
        <x:f>ROUND($C4151*10*VLOOKUP($B4151,Sheet2!$J$5:$K$7,2,FALSE)*VLOOKUP(Sheet1!$A4151,Sheet2!$B$5:$H$29,5,FALSE),0)</x:f>
        <x:v>0</x:v>
      </x:c>
      <x:c r="G4151">
        <x:f>ROUND($C4151*10*VLOOKUP($B4151,Sheet2!$J$5:$K$7,2,FALSE)*VLOOKUP(Sheet1!$A4151,Sheet2!$B$5:$H$29,6,FALSE),0)</x:f>
        <x:v>16</x:v>
      </x:c>
      <x:c r="H4151">
        <x:f>ROUND($C4151*10*VLOOKUP($B4151,Sheet2!$J$5:$K$7,2,FALSE)*VLOOKUP(Sheet1!$A4151,Sheet2!$B$5:$H$29,7,FALSE),0)</x:f>
        <x:v>300</x:v>
      </x:c>
      <x:c r="I4151">
        <x:f t="shared" si="69"/>
        <x:v>1160</x:v>
      </x:c>
    </x:row>
    <x:row r="4152" spans="1:9" x14ac:dyDescent="0.15">
      <x:c r="A4152">
        <x:v>54204</x:v>
      </x:c>
      <x:c r="B4152">
        <x:v>1</x:v>
      </x:c>
      <x:c r="C4152">
        <x:v>11</x:v>
      </x:c>
      <x:c r="D4152">
        <x:f>ROUND($C4152*10*VLOOKUP($B4152,Sheet2!$J$5:$K$7,2,FALSE)*VLOOKUP(Sheet1!$A4152,Sheet2!$B$5:$H$29,3,FALSE),0)</x:f>
        <x:v>0</x:v>
      </x:c>
      <x:c r="E4152">
        <x:f>ROUND($C4152*10*VLOOKUP($B4152,Sheet2!$J$5:$K$7,2,FALSE)*VLOOKUP(Sheet1!$A4152,Sheet2!$B$5:$H$29,4,FALSE),0)</x:f>
        <x:v>0</x:v>
      </x:c>
      <x:c r="F4152">
        <x:f>ROUND($C4152*10*VLOOKUP($B4152,Sheet2!$J$5:$K$7,2,FALSE)*VLOOKUP(Sheet1!$A4152,Sheet2!$B$5:$H$29,5,FALSE),0)</x:f>
        <x:v>0</x:v>
      </x:c>
      <x:c r="G4152">
        <x:f>ROUND($C4152*10*VLOOKUP($B4152,Sheet2!$J$5:$K$7,2,FALSE)*VLOOKUP(Sheet1!$A4152,Sheet2!$B$5:$H$29,6,FALSE),0)</x:f>
        <x:v>18</x:v>
      </x:c>
      <x:c r="H4152">
        <x:f>ROUND($C4152*10*VLOOKUP($B4152,Sheet2!$J$5:$K$7,2,FALSE)*VLOOKUP(Sheet1!$A4152,Sheet2!$B$5:$H$29,7,FALSE),0)</x:f>
        <x:v>330</x:v>
      </x:c>
      <x:c r="I4152">
        <x:f t="shared" si="69"/>
        <x:v>1390</x:v>
      </x:c>
    </x:row>
    <x:row r="4153" spans="1:9" x14ac:dyDescent="0.15">
      <x:c r="A4153">
        <x:v>54204</x:v>
      </x:c>
      <x:c r="B4153">
        <x:v>1</x:v>
      </x:c>
      <x:c r="C4153">
        <x:v>12</x:v>
      </x:c>
      <x:c r="D4153">
        <x:f>ROUND($C4153*10*VLOOKUP($B4153,Sheet2!$J$5:$K$7,2,FALSE)*VLOOKUP(Sheet1!$A4153,Sheet2!$B$5:$H$29,3,FALSE),0)</x:f>
        <x:v>0</x:v>
      </x:c>
      <x:c r="E4153">
        <x:f>ROUND($C4153*10*VLOOKUP($B4153,Sheet2!$J$5:$K$7,2,FALSE)*VLOOKUP(Sheet1!$A4153,Sheet2!$B$5:$H$29,4,FALSE),0)</x:f>
        <x:v>0</x:v>
      </x:c>
      <x:c r="F4153">
        <x:f>ROUND($C4153*10*VLOOKUP($B4153,Sheet2!$J$5:$K$7,2,FALSE)*VLOOKUP(Sheet1!$A4153,Sheet2!$B$5:$H$29,5,FALSE),0)</x:f>
        <x:v>0</x:v>
      </x:c>
      <x:c r="G4153">
        <x:f>ROUND($C4153*10*VLOOKUP($B4153,Sheet2!$J$5:$K$7,2,FALSE)*VLOOKUP(Sheet1!$A4153,Sheet2!$B$5:$H$29,6,FALSE),0)</x:f>
        <x:v>19</x:v>
      </x:c>
      <x:c r="H4153">
        <x:f>ROUND($C4153*10*VLOOKUP($B4153,Sheet2!$J$5:$K$7,2,FALSE)*VLOOKUP(Sheet1!$A4153,Sheet2!$B$5:$H$29,7,FALSE),0)</x:f>
        <x:v>360</x:v>
      </x:c>
      <x:c r="I4153">
        <x:f t="shared" si="69"/>
        <x:v>1650</x:v>
      </x:c>
    </x:row>
    <x:row r="4154" spans="1:9" x14ac:dyDescent="0.15">
      <x:c r="A4154">
        <x:v>54204</x:v>
      </x:c>
      <x:c r="B4154">
        <x:v>1</x:v>
      </x:c>
      <x:c r="C4154">
        <x:v>13</x:v>
      </x:c>
      <x:c r="D4154">
        <x:f>ROUND($C4154*10*VLOOKUP($B4154,Sheet2!$J$5:$K$7,2,FALSE)*VLOOKUP(Sheet1!$A4154,Sheet2!$B$5:$H$29,3,FALSE),0)</x:f>
        <x:v>0</x:v>
      </x:c>
      <x:c r="E4154">
        <x:f>ROUND($C4154*10*VLOOKUP($B4154,Sheet2!$J$5:$K$7,2,FALSE)*VLOOKUP(Sheet1!$A4154,Sheet2!$B$5:$H$29,4,FALSE),0)</x:f>
        <x:v>0</x:v>
      </x:c>
      <x:c r="F4154">
        <x:f>ROUND($C4154*10*VLOOKUP($B4154,Sheet2!$J$5:$K$7,2,FALSE)*VLOOKUP(Sheet1!$A4154,Sheet2!$B$5:$H$29,5,FALSE),0)</x:f>
        <x:v>0</x:v>
      </x:c>
      <x:c r="G4154">
        <x:f>ROUND($C4154*10*VLOOKUP($B4154,Sheet2!$J$5:$K$7,2,FALSE)*VLOOKUP(Sheet1!$A4154,Sheet2!$B$5:$H$29,6,FALSE),0)</x:f>
        <x:v>21</x:v>
      </x:c>
      <x:c r="H4154">
        <x:f>ROUND($C4154*10*VLOOKUP($B4154,Sheet2!$J$5:$K$7,2,FALSE)*VLOOKUP(Sheet1!$A4154,Sheet2!$B$5:$H$29,7,FALSE),0)</x:f>
        <x:v>390</x:v>
      </x:c>
      <x:c r="I4154">
        <x:f t="shared" si="69"/>
        <x:v>1920</x:v>
      </x:c>
    </x:row>
    <x:row r="4155" spans="1:9" x14ac:dyDescent="0.15">
      <x:c r="A4155">
        <x:v>54204</x:v>
      </x:c>
      <x:c r="B4155">
        <x:v>1</x:v>
      </x:c>
      <x:c r="C4155">
        <x:v>14</x:v>
      </x:c>
      <x:c r="D4155">
        <x:f>ROUND($C4155*10*VLOOKUP($B4155,Sheet2!$J$5:$K$7,2,FALSE)*VLOOKUP(Sheet1!$A4155,Sheet2!$B$5:$H$29,3,FALSE),0)</x:f>
        <x:v>0</x:v>
      </x:c>
      <x:c r="E4155">
        <x:f>ROUND($C4155*10*VLOOKUP($B4155,Sheet2!$J$5:$K$7,2,FALSE)*VLOOKUP(Sheet1!$A4155,Sheet2!$B$5:$H$29,4,FALSE),0)</x:f>
        <x:v>0</x:v>
      </x:c>
      <x:c r="F4155">
        <x:f>ROUND($C4155*10*VLOOKUP($B4155,Sheet2!$J$5:$K$7,2,FALSE)*VLOOKUP(Sheet1!$A4155,Sheet2!$B$5:$H$29,5,FALSE),0)</x:f>
        <x:v>0</x:v>
      </x:c>
      <x:c r="G4155">
        <x:f>ROUND($C4155*10*VLOOKUP($B4155,Sheet2!$J$5:$K$7,2,FALSE)*VLOOKUP(Sheet1!$A4155,Sheet2!$B$5:$H$29,6,FALSE),0)</x:f>
        <x:v>22</x:v>
      </x:c>
      <x:c r="H4155">
        <x:f>ROUND($C4155*10*VLOOKUP($B4155,Sheet2!$J$5:$K$7,2,FALSE)*VLOOKUP(Sheet1!$A4155,Sheet2!$B$5:$H$29,7,FALSE),0)</x:f>
        <x:v>420</x:v>
      </x:c>
      <x:c r="I4155">
        <x:f t="shared" si="69"/>
        <x:v>2220</x:v>
      </x:c>
    </x:row>
    <x:row r="4156" spans="1:9" x14ac:dyDescent="0.15">
      <x:c r="A4156">
        <x:v>54204</x:v>
      </x:c>
      <x:c r="B4156">
        <x:v>1</x:v>
      </x:c>
      <x:c r="C4156">
        <x:v>15</x:v>
      </x:c>
      <x:c r="D4156">
        <x:f>ROUND($C4156*10*VLOOKUP($B4156,Sheet2!$J$5:$K$7,2,FALSE)*VLOOKUP(Sheet1!$A4156,Sheet2!$B$5:$H$29,3,FALSE),0)</x:f>
        <x:v>0</x:v>
      </x:c>
      <x:c r="E4156">
        <x:f>ROUND($C4156*10*VLOOKUP($B4156,Sheet2!$J$5:$K$7,2,FALSE)*VLOOKUP(Sheet1!$A4156,Sheet2!$B$5:$H$29,4,FALSE),0)</x:f>
        <x:v>0</x:v>
      </x:c>
      <x:c r="F4156">
        <x:f>ROUND($C4156*10*VLOOKUP($B4156,Sheet2!$J$5:$K$7,2,FALSE)*VLOOKUP(Sheet1!$A4156,Sheet2!$B$5:$H$29,5,FALSE),0)</x:f>
        <x:v>0</x:v>
      </x:c>
      <x:c r="G4156">
        <x:f>ROUND($C4156*10*VLOOKUP($B4156,Sheet2!$J$5:$K$7,2,FALSE)*VLOOKUP(Sheet1!$A4156,Sheet2!$B$5:$H$29,6,FALSE),0)</x:f>
        <x:v>24</x:v>
      </x:c>
      <x:c r="H4156">
        <x:f>ROUND($C4156*10*VLOOKUP($B4156,Sheet2!$J$5:$K$7,2,FALSE)*VLOOKUP(Sheet1!$A4156,Sheet2!$B$5:$H$29,7,FALSE),0)</x:f>
        <x:v>450</x:v>
      </x:c>
      <x:c r="I4156">
        <x:f t="shared" si="69"/>
        <x:v>2530</x:v>
      </x:c>
    </x:row>
    <x:row r="4157" spans="1:9" x14ac:dyDescent="0.15">
      <x:c r="A4157">
        <x:v>54204</x:v>
      </x:c>
      <x:c r="B4157">
        <x:v>1</x:v>
      </x:c>
      <x:c r="C4157">
        <x:v>16</x:v>
      </x:c>
      <x:c r="D4157">
        <x:f>ROUND($C4157*10*VLOOKUP($B4157,Sheet2!$J$5:$K$7,2,FALSE)*VLOOKUP(Sheet1!$A4157,Sheet2!$B$5:$H$29,3,FALSE),0)</x:f>
        <x:v>0</x:v>
      </x:c>
      <x:c r="E4157">
        <x:f>ROUND($C4157*10*VLOOKUP($B4157,Sheet2!$J$5:$K$7,2,FALSE)*VLOOKUP(Sheet1!$A4157,Sheet2!$B$5:$H$29,4,FALSE),0)</x:f>
        <x:v>0</x:v>
      </x:c>
      <x:c r="F4157">
        <x:f>ROUND($C4157*10*VLOOKUP($B4157,Sheet2!$J$5:$K$7,2,FALSE)*VLOOKUP(Sheet1!$A4157,Sheet2!$B$5:$H$29,5,FALSE),0)</x:f>
        <x:v>0</x:v>
      </x:c>
      <x:c r="G4157">
        <x:f>ROUND($C4157*10*VLOOKUP($B4157,Sheet2!$J$5:$K$7,2,FALSE)*VLOOKUP(Sheet1!$A4157,Sheet2!$B$5:$H$29,6,FALSE),0)</x:f>
        <x:v>26</x:v>
      </x:c>
      <x:c r="H4157">
        <x:f>ROUND($C4157*10*VLOOKUP($B4157,Sheet2!$J$5:$K$7,2,FALSE)*VLOOKUP(Sheet1!$A4157,Sheet2!$B$5:$H$29,7,FALSE),0)</x:f>
        <x:v>480</x:v>
      </x:c>
      <x:c r="I4157">
        <x:f t="shared" si="69"/>
        <x:v>2860</x:v>
      </x:c>
    </x:row>
    <x:row r="4158" spans="1:9" x14ac:dyDescent="0.15">
      <x:c r="A4158">
        <x:v>54204</x:v>
      </x:c>
      <x:c r="B4158">
        <x:v>1</x:v>
      </x:c>
      <x:c r="C4158">
        <x:v>17</x:v>
      </x:c>
      <x:c r="D4158">
        <x:f>ROUND($C4158*10*VLOOKUP($B4158,Sheet2!$J$5:$K$7,2,FALSE)*VLOOKUP(Sheet1!$A4158,Sheet2!$B$5:$H$29,3,FALSE),0)</x:f>
        <x:v>0</x:v>
      </x:c>
      <x:c r="E4158">
        <x:f>ROUND($C4158*10*VLOOKUP($B4158,Sheet2!$J$5:$K$7,2,FALSE)*VLOOKUP(Sheet1!$A4158,Sheet2!$B$5:$H$29,4,FALSE),0)</x:f>
        <x:v>0</x:v>
      </x:c>
      <x:c r="F4158">
        <x:f>ROUND($C4158*10*VLOOKUP($B4158,Sheet2!$J$5:$K$7,2,FALSE)*VLOOKUP(Sheet1!$A4158,Sheet2!$B$5:$H$29,5,FALSE),0)</x:f>
        <x:v>0</x:v>
      </x:c>
      <x:c r="G4158">
        <x:f>ROUND($C4158*10*VLOOKUP($B4158,Sheet2!$J$5:$K$7,2,FALSE)*VLOOKUP(Sheet1!$A4158,Sheet2!$B$5:$H$29,6,FALSE),0)</x:f>
        <x:v>27</x:v>
      </x:c>
      <x:c r="H4158">
        <x:f>ROUND($C4158*10*VLOOKUP($B4158,Sheet2!$J$5:$K$7,2,FALSE)*VLOOKUP(Sheet1!$A4158,Sheet2!$B$5:$H$29,7,FALSE),0)</x:f>
        <x:v>510</x:v>
      </x:c>
      <x:c r="I4158">
        <x:f t="shared" si="69"/>
        <x:v>3210</x:v>
      </x:c>
    </x:row>
    <x:row r="4159" spans="1:9" x14ac:dyDescent="0.15">
      <x:c r="A4159">
        <x:v>54204</x:v>
      </x:c>
      <x:c r="B4159">
        <x:v>1</x:v>
      </x:c>
      <x:c r="C4159">
        <x:v>18</x:v>
      </x:c>
      <x:c r="D4159">
        <x:f>ROUND($C4159*10*VLOOKUP($B4159,Sheet2!$J$5:$K$7,2,FALSE)*VLOOKUP(Sheet1!$A4159,Sheet2!$B$5:$H$29,3,FALSE),0)</x:f>
        <x:v>0</x:v>
      </x:c>
      <x:c r="E4159">
        <x:f>ROUND($C4159*10*VLOOKUP($B4159,Sheet2!$J$5:$K$7,2,FALSE)*VLOOKUP(Sheet1!$A4159,Sheet2!$B$5:$H$29,4,FALSE),0)</x:f>
        <x:v>0</x:v>
      </x:c>
      <x:c r="F4159">
        <x:f>ROUND($C4159*10*VLOOKUP($B4159,Sheet2!$J$5:$K$7,2,FALSE)*VLOOKUP(Sheet1!$A4159,Sheet2!$B$5:$H$29,5,FALSE),0)</x:f>
        <x:v>0</x:v>
      </x:c>
      <x:c r="G4159">
        <x:f>ROUND($C4159*10*VLOOKUP($B4159,Sheet2!$J$5:$K$7,2,FALSE)*VLOOKUP(Sheet1!$A4159,Sheet2!$B$5:$H$29,6,FALSE),0)</x:f>
        <x:v>29</x:v>
      </x:c>
      <x:c r="H4159">
        <x:f>ROUND($C4159*10*VLOOKUP($B4159,Sheet2!$J$5:$K$7,2,FALSE)*VLOOKUP(Sheet1!$A4159,Sheet2!$B$5:$H$29,7,FALSE),0)</x:f>
        <x:v>540</x:v>
      </x:c>
      <x:c r="I4159">
        <x:f t="shared" si="69"/>
        <x:v>3570</x:v>
      </x:c>
    </x:row>
    <x:row r="4160" spans="1:9" x14ac:dyDescent="0.15">
      <x:c r="A4160">
        <x:v>54204</x:v>
      </x:c>
      <x:c r="B4160">
        <x:v>1</x:v>
      </x:c>
      <x:c r="C4160">
        <x:v>19</x:v>
      </x:c>
      <x:c r="D4160">
        <x:f>ROUND($C4160*10*VLOOKUP($B4160,Sheet2!$J$5:$K$7,2,FALSE)*VLOOKUP(Sheet1!$A4160,Sheet2!$B$5:$H$29,3,FALSE),0)</x:f>
        <x:v>0</x:v>
      </x:c>
      <x:c r="E4160">
        <x:f>ROUND($C4160*10*VLOOKUP($B4160,Sheet2!$J$5:$K$7,2,FALSE)*VLOOKUP(Sheet1!$A4160,Sheet2!$B$5:$H$29,4,FALSE),0)</x:f>
        <x:v>0</x:v>
      </x:c>
      <x:c r="F4160">
        <x:f>ROUND($C4160*10*VLOOKUP($B4160,Sheet2!$J$5:$K$7,2,FALSE)*VLOOKUP(Sheet1!$A4160,Sheet2!$B$5:$H$29,5,FALSE),0)</x:f>
        <x:v>0</x:v>
      </x:c>
      <x:c r="G4160">
        <x:f>ROUND($C4160*10*VLOOKUP($B4160,Sheet2!$J$5:$K$7,2,FALSE)*VLOOKUP(Sheet1!$A4160,Sheet2!$B$5:$H$29,6,FALSE),0)</x:f>
        <x:v>30</x:v>
      </x:c>
      <x:c r="H4160">
        <x:f>ROUND($C4160*10*VLOOKUP($B4160,Sheet2!$J$5:$K$7,2,FALSE)*VLOOKUP(Sheet1!$A4160,Sheet2!$B$5:$H$29,7,FALSE),0)</x:f>
        <x:v>570</x:v>
      </x:c>
      <x:c r="I4160">
        <x:f t="shared" si="69"/>
        <x:v>3960</x:v>
      </x:c>
    </x:row>
    <x:row r="4161" spans="1:9" x14ac:dyDescent="0.15">
      <x:c r="A4161">
        <x:v>54204</x:v>
      </x:c>
      <x:c r="B4161">
        <x:v>1</x:v>
      </x:c>
      <x:c r="C4161">
        <x:v>20</x:v>
      </x:c>
      <x:c r="D4161">
        <x:f>ROUND($C4161*10*VLOOKUP($B4161,Sheet2!$J$5:$K$7,2,FALSE)*VLOOKUP(Sheet1!$A4161,Sheet2!$B$5:$H$29,3,FALSE),0)</x:f>
        <x:v>0</x:v>
      </x:c>
      <x:c r="E4161">
        <x:f>ROUND($C4161*10*VLOOKUP($B4161,Sheet2!$J$5:$K$7,2,FALSE)*VLOOKUP(Sheet1!$A4161,Sheet2!$B$5:$H$29,4,FALSE),0)</x:f>
        <x:v>0</x:v>
      </x:c>
      <x:c r="F4161">
        <x:f>ROUND($C4161*10*VLOOKUP($B4161,Sheet2!$J$5:$K$7,2,FALSE)*VLOOKUP(Sheet1!$A4161,Sheet2!$B$5:$H$29,5,FALSE),0)</x:f>
        <x:v>0</x:v>
      </x:c>
      <x:c r="G4161">
        <x:f>ROUND($C4161*10*VLOOKUP($B4161,Sheet2!$J$5:$K$7,2,FALSE)*VLOOKUP(Sheet1!$A4161,Sheet2!$B$5:$H$29,6,FALSE),0)</x:f>
        <x:v>32</x:v>
      </x:c>
      <x:c r="H4161">
        <x:f>ROUND($C4161*10*VLOOKUP($B4161,Sheet2!$J$5:$K$7,2,FALSE)*VLOOKUP(Sheet1!$A4161,Sheet2!$B$5:$H$29,7,FALSE),0)</x:f>
        <x:v>600</x:v>
      </x:c>
      <x:c r="I4161">
        <x:f t="shared" si="69"/>
        <x:v>4360</x:v>
      </x:c>
    </x:row>
    <x:row r="4162" spans="1:9" x14ac:dyDescent="0.15">
      <x:c r="A4162">
        <x:v>54204</x:v>
      </x:c>
      <x:c r="B4162">
        <x:v>1</x:v>
      </x:c>
      <x:c r="C4162">
        <x:v>21</x:v>
      </x:c>
      <x:c r="D4162">
        <x:f>ROUND($C4162*10*VLOOKUP($B4162,Sheet2!$J$5:$K$7,2,FALSE)*VLOOKUP(Sheet1!$A4162,Sheet2!$B$5:$H$29,3,FALSE),0)</x:f>
        <x:v>0</x:v>
      </x:c>
      <x:c r="E4162">
        <x:f>ROUND($C4162*10*VLOOKUP($B4162,Sheet2!$J$5:$K$7,2,FALSE)*VLOOKUP(Sheet1!$A4162,Sheet2!$B$5:$H$29,4,FALSE),0)</x:f>
        <x:v>0</x:v>
      </x:c>
      <x:c r="F4162">
        <x:f>ROUND($C4162*10*VLOOKUP($B4162,Sheet2!$J$5:$K$7,2,FALSE)*VLOOKUP(Sheet1!$A4162,Sheet2!$B$5:$H$29,5,FALSE),0)</x:f>
        <x:v>0</x:v>
      </x:c>
      <x:c r="G4162">
        <x:f>ROUND($C4162*10*VLOOKUP($B4162,Sheet2!$J$5:$K$7,2,FALSE)*VLOOKUP(Sheet1!$A4162,Sheet2!$B$5:$H$29,6,FALSE),0)</x:f>
        <x:v>34</x:v>
      </x:c>
      <x:c r="H4162">
        <x:f>ROUND($C4162*10*VLOOKUP($B4162,Sheet2!$J$5:$K$7,2,FALSE)*VLOOKUP(Sheet1!$A4162,Sheet2!$B$5:$H$29,7,FALSE),0)</x:f>
        <x:v>630</x:v>
      </x:c>
      <x:c r="I4162">
        <x:f t="shared" si="69"/>
        <x:v>4780</x:v>
      </x:c>
    </x:row>
    <x:row r="4163" spans="1:9" x14ac:dyDescent="0.15">
      <x:c r="A4163">
        <x:v>54204</x:v>
      </x:c>
      <x:c r="B4163">
        <x:v>1</x:v>
      </x:c>
      <x:c r="C4163">
        <x:v>22</x:v>
      </x:c>
      <x:c r="D4163">
        <x:f>ROUND($C4163*10*VLOOKUP($B4163,Sheet2!$J$5:$K$7,2,FALSE)*VLOOKUP(Sheet1!$A4163,Sheet2!$B$5:$H$29,3,FALSE),0)</x:f>
        <x:v>0</x:v>
      </x:c>
      <x:c r="E4163">
        <x:f>ROUND($C4163*10*VLOOKUP($B4163,Sheet2!$J$5:$K$7,2,FALSE)*VLOOKUP(Sheet1!$A4163,Sheet2!$B$5:$H$29,4,FALSE),0)</x:f>
        <x:v>0</x:v>
      </x:c>
      <x:c r="F4163">
        <x:f>ROUND($C4163*10*VLOOKUP($B4163,Sheet2!$J$5:$K$7,2,FALSE)*VLOOKUP(Sheet1!$A4163,Sheet2!$B$5:$H$29,5,FALSE),0)</x:f>
        <x:v>0</x:v>
      </x:c>
      <x:c r="G4163">
        <x:f>ROUND($C4163*10*VLOOKUP($B4163,Sheet2!$J$5:$K$7,2,FALSE)*VLOOKUP(Sheet1!$A4163,Sheet2!$B$5:$H$29,6,FALSE),0)</x:f>
        <x:v>35</x:v>
      </x:c>
      <x:c r="H4163">
        <x:f>ROUND($C4163*10*VLOOKUP($B4163,Sheet2!$J$5:$K$7,2,FALSE)*VLOOKUP(Sheet1!$A4163,Sheet2!$B$5:$H$29,7,FALSE),0)</x:f>
        <x:v>660</x:v>
      </x:c>
      <x:c r="I4163">
        <x:f t="shared" si="69"/>
        <x:v>5210</x:v>
      </x:c>
    </x:row>
    <x:row r="4164" spans="1:9" x14ac:dyDescent="0.15">
      <x:c r="A4164">
        <x:v>54204</x:v>
      </x:c>
      <x:c r="B4164">
        <x:v>1</x:v>
      </x:c>
      <x:c r="C4164">
        <x:v>23</x:v>
      </x:c>
      <x:c r="D4164">
        <x:f>ROUND($C4164*10*VLOOKUP($B4164,Sheet2!$J$5:$K$7,2,FALSE)*VLOOKUP(Sheet1!$A4164,Sheet2!$B$5:$H$29,3,FALSE),0)</x:f>
        <x:v>0</x:v>
      </x:c>
      <x:c r="E4164">
        <x:f>ROUND($C4164*10*VLOOKUP($B4164,Sheet2!$J$5:$K$7,2,FALSE)*VLOOKUP(Sheet1!$A4164,Sheet2!$B$5:$H$29,4,FALSE),0)</x:f>
        <x:v>0</x:v>
      </x:c>
      <x:c r="F4164">
        <x:f>ROUND($C4164*10*VLOOKUP($B4164,Sheet2!$J$5:$K$7,2,FALSE)*VLOOKUP(Sheet1!$A4164,Sheet2!$B$5:$H$29,5,FALSE),0)</x:f>
        <x:v>0</x:v>
      </x:c>
      <x:c r="G4164">
        <x:f>ROUND($C4164*10*VLOOKUP($B4164,Sheet2!$J$5:$K$7,2,FALSE)*VLOOKUP(Sheet1!$A4164,Sheet2!$B$5:$H$29,6,FALSE),0)</x:f>
        <x:v>37</x:v>
      </x:c>
      <x:c r="H4164">
        <x:f>ROUND($C4164*10*VLOOKUP($B4164,Sheet2!$J$5:$K$7,2,FALSE)*VLOOKUP(Sheet1!$A4164,Sheet2!$B$5:$H$29,7,FALSE),0)</x:f>
        <x:v>690</x:v>
      </x:c>
      <x:c r="I4164">
        <x:f t="shared" si="69"/>
        <x:v>5660</x:v>
      </x:c>
    </x:row>
    <x:row r="4165" spans="1:9" x14ac:dyDescent="0.15">
      <x:c r="A4165">
        <x:v>54204</x:v>
      </x:c>
      <x:c r="B4165">
        <x:v>1</x:v>
      </x:c>
      <x:c r="C4165">
        <x:v>24</x:v>
      </x:c>
      <x:c r="D4165">
        <x:f>ROUND($C4165*10*VLOOKUP($B4165,Sheet2!$J$5:$K$7,2,FALSE)*VLOOKUP(Sheet1!$A4165,Sheet2!$B$5:$H$29,3,FALSE),0)</x:f>
        <x:v>0</x:v>
      </x:c>
      <x:c r="E4165">
        <x:f>ROUND($C4165*10*VLOOKUP($B4165,Sheet2!$J$5:$K$7,2,FALSE)*VLOOKUP(Sheet1!$A4165,Sheet2!$B$5:$H$29,4,FALSE),0)</x:f>
        <x:v>0</x:v>
      </x:c>
      <x:c r="F4165">
        <x:f>ROUND($C4165*10*VLOOKUP($B4165,Sheet2!$J$5:$K$7,2,FALSE)*VLOOKUP(Sheet1!$A4165,Sheet2!$B$5:$H$29,5,FALSE),0)</x:f>
        <x:v>0</x:v>
      </x:c>
      <x:c r="G4165">
        <x:f>ROUND($C4165*10*VLOOKUP($B4165,Sheet2!$J$5:$K$7,2,FALSE)*VLOOKUP(Sheet1!$A4165,Sheet2!$B$5:$H$29,6,FALSE),0)</x:f>
        <x:v>38</x:v>
      </x:c>
      <x:c r="H4165">
        <x:f>ROUND($C4165*10*VLOOKUP($B4165,Sheet2!$J$5:$K$7,2,FALSE)*VLOOKUP(Sheet1!$A4165,Sheet2!$B$5:$H$29,7,FALSE),0)</x:f>
        <x:v>720</x:v>
      </x:c>
      <x:c r="I4165">
        <x:f t="shared" si="69"/>
        <x:v>6130</x:v>
      </x:c>
    </x:row>
    <x:row r="4166" spans="1:9" x14ac:dyDescent="0.15">
      <x:c r="A4166">
        <x:v>54204</x:v>
      </x:c>
      <x:c r="B4166">
        <x:v>1</x:v>
      </x:c>
      <x:c r="C4166">
        <x:v>25</x:v>
      </x:c>
      <x:c r="D4166">
        <x:f>ROUND($C4166*10*VLOOKUP($B4166,Sheet2!$J$5:$K$7,2,FALSE)*VLOOKUP(Sheet1!$A4166,Sheet2!$B$5:$H$29,3,FALSE),0)</x:f>
        <x:v>0</x:v>
      </x:c>
      <x:c r="E4166">
        <x:f>ROUND($C4166*10*VLOOKUP($B4166,Sheet2!$J$5:$K$7,2,FALSE)*VLOOKUP(Sheet1!$A4166,Sheet2!$B$5:$H$29,4,FALSE),0)</x:f>
        <x:v>0</x:v>
      </x:c>
      <x:c r="F4166">
        <x:f>ROUND($C4166*10*VLOOKUP($B4166,Sheet2!$J$5:$K$7,2,FALSE)*VLOOKUP(Sheet1!$A4166,Sheet2!$B$5:$H$29,5,FALSE),0)</x:f>
        <x:v>0</x:v>
      </x:c>
      <x:c r="G4166">
        <x:f>ROUND($C4166*10*VLOOKUP($B4166,Sheet2!$J$5:$K$7,2,FALSE)*VLOOKUP(Sheet1!$A4166,Sheet2!$B$5:$H$29,6,FALSE),0)</x:f>
        <x:v>40</x:v>
      </x:c>
      <x:c r="H4166">
        <x:f>ROUND($C4166*10*VLOOKUP($B4166,Sheet2!$J$5:$K$7,2,FALSE)*VLOOKUP(Sheet1!$A4166,Sheet2!$B$5:$H$29,7,FALSE),0)</x:f>
        <x:v>750</x:v>
      </x:c>
      <x:c r="I4166">
        <x:f t="shared" si="69"/>
        <x:v>6620</x:v>
      </x:c>
    </x:row>
    <x:row r="4167" spans="1:9" x14ac:dyDescent="0.15">
      <x:c r="A4167">
        <x:v>54204</x:v>
      </x:c>
      <x:c r="B4167">
        <x:v>1</x:v>
      </x:c>
      <x:c r="C4167">
        <x:v>26</x:v>
      </x:c>
      <x:c r="D4167">
        <x:f>ROUND($C4167*10*VLOOKUP($B4167,Sheet2!$J$5:$K$7,2,FALSE)*VLOOKUP(Sheet1!$A4167,Sheet2!$B$5:$H$29,3,FALSE),0)</x:f>
        <x:v>0</x:v>
      </x:c>
      <x:c r="E4167">
        <x:f>ROUND($C4167*10*VLOOKUP($B4167,Sheet2!$J$5:$K$7,2,FALSE)*VLOOKUP(Sheet1!$A4167,Sheet2!$B$5:$H$29,4,FALSE),0)</x:f>
        <x:v>0</x:v>
      </x:c>
      <x:c r="F4167">
        <x:f>ROUND($C4167*10*VLOOKUP($B4167,Sheet2!$J$5:$K$7,2,FALSE)*VLOOKUP(Sheet1!$A4167,Sheet2!$B$5:$H$29,5,FALSE),0)</x:f>
        <x:v>0</x:v>
      </x:c>
      <x:c r="G4167">
        <x:f>ROUND($C4167*10*VLOOKUP($B4167,Sheet2!$J$5:$K$7,2,FALSE)*VLOOKUP(Sheet1!$A4167,Sheet2!$B$5:$H$29,6,FALSE),0)</x:f>
        <x:v>42</x:v>
      </x:c>
      <x:c r="H4167">
        <x:f>ROUND($C4167*10*VLOOKUP($B4167,Sheet2!$J$5:$K$7,2,FALSE)*VLOOKUP(Sheet1!$A4167,Sheet2!$B$5:$H$29,7,FALSE),0)</x:f>
        <x:v>780</x:v>
      </x:c>
      <x:c r="I4167">
        <x:f t="shared" si="69"/>
        <x:v>7120</x:v>
      </x:c>
    </x:row>
    <x:row r="4168" spans="1:9" x14ac:dyDescent="0.15">
      <x:c r="A4168">
        <x:v>54204</x:v>
      </x:c>
      <x:c r="B4168">
        <x:v>1</x:v>
      </x:c>
      <x:c r="C4168">
        <x:v>27</x:v>
      </x:c>
      <x:c r="D4168">
        <x:f>ROUND($C4168*10*VLOOKUP($B4168,Sheet2!$J$5:$K$7,2,FALSE)*VLOOKUP(Sheet1!$A4168,Sheet2!$B$5:$H$29,3,FALSE),0)</x:f>
        <x:v>0</x:v>
      </x:c>
      <x:c r="E4168">
        <x:f>ROUND($C4168*10*VLOOKUP($B4168,Sheet2!$J$5:$K$7,2,FALSE)*VLOOKUP(Sheet1!$A4168,Sheet2!$B$5:$H$29,4,FALSE),0)</x:f>
        <x:v>0</x:v>
      </x:c>
      <x:c r="F4168">
        <x:f>ROUND($C4168*10*VLOOKUP($B4168,Sheet2!$J$5:$K$7,2,FALSE)*VLOOKUP(Sheet1!$A4168,Sheet2!$B$5:$H$29,5,FALSE),0)</x:f>
        <x:v>0</x:v>
      </x:c>
      <x:c r="G4168">
        <x:f>ROUND($C4168*10*VLOOKUP($B4168,Sheet2!$J$5:$K$7,2,FALSE)*VLOOKUP(Sheet1!$A4168,Sheet2!$B$5:$H$29,6,FALSE),0)</x:f>
        <x:v>43</x:v>
      </x:c>
      <x:c r="H4168">
        <x:f>ROUND($C4168*10*VLOOKUP($B4168,Sheet2!$J$5:$K$7,2,FALSE)*VLOOKUP(Sheet1!$A4168,Sheet2!$B$5:$H$29,7,FALSE),0)</x:f>
        <x:v>810</x:v>
      </x:c>
      <x:c r="I4168">
        <x:f t="shared" si="69"/>
        <x:v>7640</x:v>
      </x:c>
    </x:row>
    <x:row r="4169" spans="1:9" x14ac:dyDescent="0.15">
      <x:c r="A4169">
        <x:v>54204</x:v>
      </x:c>
      <x:c r="B4169">
        <x:v>1</x:v>
      </x:c>
      <x:c r="C4169">
        <x:v>28</x:v>
      </x:c>
      <x:c r="D4169">
        <x:f>ROUND($C4169*10*VLOOKUP($B4169,Sheet2!$J$5:$K$7,2,FALSE)*VLOOKUP(Sheet1!$A4169,Sheet2!$B$5:$H$29,3,FALSE),0)</x:f>
        <x:v>0</x:v>
      </x:c>
      <x:c r="E4169">
        <x:f>ROUND($C4169*10*VLOOKUP($B4169,Sheet2!$J$5:$K$7,2,FALSE)*VLOOKUP(Sheet1!$A4169,Sheet2!$B$5:$H$29,4,FALSE),0)</x:f>
        <x:v>0</x:v>
      </x:c>
      <x:c r="F4169">
        <x:f>ROUND($C4169*10*VLOOKUP($B4169,Sheet2!$J$5:$K$7,2,FALSE)*VLOOKUP(Sheet1!$A4169,Sheet2!$B$5:$H$29,5,FALSE),0)</x:f>
        <x:v>0</x:v>
      </x:c>
      <x:c r="G4169">
        <x:f>ROUND($C4169*10*VLOOKUP($B4169,Sheet2!$J$5:$K$7,2,FALSE)*VLOOKUP(Sheet1!$A4169,Sheet2!$B$5:$H$29,6,FALSE),0)</x:f>
        <x:v>45</x:v>
      </x:c>
      <x:c r="H4169">
        <x:f>ROUND($C4169*10*VLOOKUP($B4169,Sheet2!$J$5:$K$7,2,FALSE)*VLOOKUP(Sheet1!$A4169,Sheet2!$B$5:$H$29,7,FALSE),0)</x:f>
        <x:v>840</x:v>
      </x:c>
      <x:c r="I4169">
        <x:f t="shared" si="69"/>
        <x:v>8180</x:v>
      </x:c>
    </x:row>
    <x:row r="4170" spans="1:9" x14ac:dyDescent="0.15">
      <x:c r="A4170">
        <x:v>54204</x:v>
      </x:c>
      <x:c r="B4170">
        <x:v>1</x:v>
      </x:c>
      <x:c r="C4170">
        <x:v>29</x:v>
      </x:c>
      <x:c r="D4170">
        <x:f>ROUND($C4170*10*VLOOKUP($B4170,Sheet2!$J$5:$K$7,2,FALSE)*VLOOKUP(Sheet1!$A4170,Sheet2!$B$5:$H$29,3,FALSE),0)</x:f>
        <x:v>0</x:v>
      </x:c>
      <x:c r="E4170">
        <x:f>ROUND($C4170*10*VLOOKUP($B4170,Sheet2!$J$5:$K$7,2,FALSE)*VLOOKUP(Sheet1!$A4170,Sheet2!$B$5:$H$29,4,FALSE),0)</x:f>
        <x:v>0</x:v>
      </x:c>
      <x:c r="F4170">
        <x:f>ROUND($C4170*10*VLOOKUP($B4170,Sheet2!$J$5:$K$7,2,FALSE)*VLOOKUP(Sheet1!$A4170,Sheet2!$B$5:$H$29,5,FALSE),0)</x:f>
        <x:v>0</x:v>
      </x:c>
      <x:c r="G4170">
        <x:f>ROUND($C4170*10*VLOOKUP($B4170,Sheet2!$J$5:$K$7,2,FALSE)*VLOOKUP(Sheet1!$A4170,Sheet2!$B$5:$H$29,6,FALSE),0)</x:f>
        <x:v>46</x:v>
      </x:c>
      <x:c r="H4170">
        <x:f>ROUND($C4170*10*VLOOKUP($B4170,Sheet2!$J$5:$K$7,2,FALSE)*VLOOKUP(Sheet1!$A4170,Sheet2!$B$5:$H$29,7,FALSE),0)</x:f>
        <x:v>870</x:v>
      </x:c>
      <x:c r="I4170">
        <x:f t="shared" si="69"/>
        <x:v>8730</x:v>
      </x:c>
    </x:row>
    <x:row r="4171" spans="1:9" x14ac:dyDescent="0.15">
      <x:c r="A4171">
        <x:v>54204</x:v>
      </x:c>
      <x:c r="B4171">
        <x:v>1</x:v>
      </x:c>
      <x:c r="C4171">
        <x:v>30</x:v>
      </x:c>
      <x:c r="D4171">
        <x:f>ROUND($C4171*10*VLOOKUP($B4171,Sheet2!$J$5:$K$7,2,FALSE)*VLOOKUP(Sheet1!$A4171,Sheet2!$B$5:$H$29,3,FALSE),0)</x:f>
        <x:v>0</x:v>
      </x:c>
      <x:c r="E4171">
        <x:f>ROUND($C4171*10*VLOOKUP($B4171,Sheet2!$J$5:$K$7,2,FALSE)*VLOOKUP(Sheet1!$A4171,Sheet2!$B$5:$H$29,4,FALSE),0)</x:f>
        <x:v>0</x:v>
      </x:c>
      <x:c r="F4171">
        <x:f>ROUND($C4171*10*VLOOKUP($B4171,Sheet2!$J$5:$K$7,2,FALSE)*VLOOKUP(Sheet1!$A4171,Sheet2!$B$5:$H$29,5,FALSE),0)</x:f>
        <x:v>0</x:v>
      </x:c>
      <x:c r="G4171">
        <x:f>ROUND($C4171*10*VLOOKUP($B4171,Sheet2!$J$5:$K$7,2,FALSE)*VLOOKUP(Sheet1!$A4171,Sheet2!$B$5:$H$29,6,FALSE),0)</x:f>
        <x:v>48</x:v>
      </x:c>
      <x:c r="H4171">
        <x:f>ROUND($C4171*10*VLOOKUP($B4171,Sheet2!$J$5:$K$7,2,FALSE)*VLOOKUP(Sheet1!$A4171,Sheet2!$B$5:$H$29,7,FALSE),0)</x:f>
        <x:v>900</x:v>
      </x:c>
      <x:c r="I4171">
        <x:f t="shared" si="69"/>
        <x:v>9290</x:v>
      </x:c>
    </x:row>
    <x:row r="4172" spans="1:9" x14ac:dyDescent="0.15">
      <x:c r="A4172">
        <x:v>54204</x:v>
      </x:c>
      <x:c r="B4172">
        <x:v>1</x:v>
      </x:c>
      <x:c r="C4172">
        <x:v>31</x:v>
      </x:c>
      <x:c r="D4172">
        <x:f>ROUND($C4172*10*VLOOKUP($B4172,Sheet2!$J$5:$K$7,2,FALSE)*VLOOKUP(Sheet1!$A4172,Sheet2!$B$5:$H$29,3,FALSE),0)</x:f>
        <x:v>0</x:v>
      </x:c>
      <x:c r="E4172">
        <x:f>ROUND($C4172*10*VLOOKUP($B4172,Sheet2!$J$5:$K$7,2,FALSE)*VLOOKUP(Sheet1!$A4172,Sheet2!$B$5:$H$29,4,FALSE),0)</x:f>
        <x:v>0</x:v>
      </x:c>
      <x:c r="F4172">
        <x:f>ROUND($C4172*10*VLOOKUP($B4172,Sheet2!$J$5:$K$7,2,FALSE)*VLOOKUP(Sheet1!$A4172,Sheet2!$B$5:$H$29,5,FALSE),0)</x:f>
        <x:v>0</x:v>
      </x:c>
      <x:c r="G4172">
        <x:f>ROUND($C4172*10*VLOOKUP($B4172,Sheet2!$J$5:$K$7,2,FALSE)*VLOOKUP(Sheet1!$A4172,Sheet2!$B$5:$H$29,6,FALSE),0)</x:f>
        <x:v>50</x:v>
      </x:c>
      <x:c r="H4172">
        <x:f>ROUND($C4172*10*VLOOKUP($B4172,Sheet2!$J$5:$K$7,2,FALSE)*VLOOKUP(Sheet1!$A4172,Sheet2!$B$5:$H$29,7,FALSE),0)</x:f>
        <x:v>930</x:v>
      </x:c>
      <x:c r="I4172">
        <x:f t="shared" si="69"/>
        <x:v>9880</x:v>
      </x:c>
    </x:row>
    <x:row r="4173" spans="1:9" x14ac:dyDescent="0.15">
      <x:c r="A4173">
        <x:v>54204</x:v>
      </x:c>
      <x:c r="B4173">
        <x:v>1</x:v>
      </x:c>
      <x:c r="C4173">
        <x:v>32</x:v>
      </x:c>
      <x:c r="D4173">
        <x:f>ROUND($C4173*10*VLOOKUP($B4173,Sheet2!$J$5:$K$7,2,FALSE)*VLOOKUP(Sheet1!$A4173,Sheet2!$B$5:$H$29,3,FALSE),0)</x:f>
        <x:v>0</x:v>
      </x:c>
      <x:c r="E4173">
        <x:f>ROUND($C4173*10*VLOOKUP($B4173,Sheet2!$J$5:$K$7,2,FALSE)*VLOOKUP(Sheet1!$A4173,Sheet2!$B$5:$H$29,4,FALSE),0)</x:f>
        <x:v>0</x:v>
      </x:c>
      <x:c r="F4173">
        <x:f>ROUND($C4173*10*VLOOKUP($B4173,Sheet2!$J$5:$K$7,2,FALSE)*VLOOKUP(Sheet1!$A4173,Sheet2!$B$5:$H$29,5,FALSE),0)</x:f>
        <x:v>0</x:v>
      </x:c>
      <x:c r="G4173">
        <x:f>ROUND($C4173*10*VLOOKUP($B4173,Sheet2!$J$5:$K$7,2,FALSE)*VLOOKUP(Sheet1!$A4173,Sheet2!$B$5:$H$29,6,FALSE),0)</x:f>
        <x:v>51</x:v>
      </x:c>
      <x:c r="H4173">
        <x:f>ROUND($C4173*10*VLOOKUP($B4173,Sheet2!$J$5:$K$7,2,FALSE)*VLOOKUP(Sheet1!$A4173,Sheet2!$B$5:$H$29,7,FALSE),0)</x:f>
        <x:v>960</x:v>
      </x:c>
      <x:c r="I4173">
        <x:f t="shared" si="69"/>
        <x:v>10470</x:v>
      </x:c>
    </x:row>
    <x:row r="4174" spans="1:9" x14ac:dyDescent="0.15">
      <x:c r="A4174">
        <x:v>54204</x:v>
      </x:c>
      <x:c r="B4174">
        <x:v>1</x:v>
      </x:c>
      <x:c r="C4174">
        <x:v>33</x:v>
      </x:c>
      <x:c r="D4174">
        <x:f>ROUND($C4174*10*VLOOKUP($B4174,Sheet2!$J$5:$K$7,2,FALSE)*VLOOKUP(Sheet1!$A4174,Sheet2!$B$5:$H$29,3,FALSE),0)</x:f>
        <x:v>0</x:v>
      </x:c>
      <x:c r="E4174">
        <x:f>ROUND($C4174*10*VLOOKUP($B4174,Sheet2!$J$5:$K$7,2,FALSE)*VLOOKUP(Sheet1!$A4174,Sheet2!$B$5:$H$29,4,FALSE),0)</x:f>
        <x:v>0</x:v>
      </x:c>
      <x:c r="F4174">
        <x:f>ROUND($C4174*10*VLOOKUP($B4174,Sheet2!$J$5:$K$7,2,FALSE)*VLOOKUP(Sheet1!$A4174,Sheet2!$B$5:$H$29,5,FALSE),0)</x:f>
        <x:v>0</x:v>
      </x:c>
      <x:c r="G4174">
        <x:f>ROUND($C4174*10*VLOOKUP($B4174,Sheet2!$J$5:$K$7,2,FALSE)*VLOOKUP(Sheet1!$A4174,Sheet2!$B$5:$H$29,6,FALSE),0)</x:f>
        <x:v>53</x:v>
      </x:c>
      <x:c r="H4174">
        <x:f>ROUND($C4174*10*VLOOKUP($B4174,Sheet2!$J$5:$K$7,2,FALSE)*VLOOKUP(Sheet1!$A4174,Sheet2!$B$5:$H$29,7,FALSE),0)</x:f>
        <x:v>990</x:v>
      </x:c>
      <x:c r="I4174">
        <x:f t="shared" si="69"/>
        <x:v>11090</x:v>
      </x:c>
    </x:row>
    <x:row r="4175" spans="1:9" x14ac:dyDescent="0.15">
      <x:c r="A4175">
        <x:v>54204</x:v>
      </x:c>
      <x:c r="B4175">
        <x:v>1</x:v>
      </x:c>
      <x:c r="C4175">
        <x:v>34</x:v>
      </x:c>
      <x:c r="D4175">
        <x:f>ROUND($C4175*10*VLOOKUP($B4175,Sheet2!$J$5:$K$7,2,FALSE)*VLOOKUP(Sheet1!$A4175,Sheet2!$B$5:$H$29,3,FALSE),0)</x:f>
        <x:v>0</x:v>
      </x:c>
      <x:c r="E4175">
        <x:f>ROUND($C4175*10*VLOOKUP($B4175,Sheet2!$J$5:$K$7,2,FALSE)*VLOOKUP(Sheet1!$A4175,Sheet2!$B$5:$H$29,4,FALSE),0)</x:f>
        <x:v>0</x:v>
      </x:c>
      <x:c r="F4175">
        <x:f>ROUND($C4175*10*VLOOKUP($B4175,Sheet2!$J$5:$K$7,2,FALSE)*VLOOKUP(Sheet1!$A4175,Sheet2!$B$5:$H$29,5,FALSE),0)</x:f>
        <x:v>0</x:v>
      </x:c>
      <x:c r="G4175">
        <x:f>ROUND($C4175*10*VLOOKUP($B4175,Sheet2!$J$5:$K$7,2,FALSE)*VLOOKUP(Sheet1!$A4175,Sheet2!$B$5:$H$29,6,FALSE),0)</x:f>
        <x:v>54</x:v>
      </x:c>
      <x:c r="H4175">
        <x:f>ROUND($C4175*10*VLOOKUP($B4175,Sheet2!$J$5:$K$7,2,FALSE)*VLOOKUP(Sheet1!$A4175,Sheet2!$B$5:$H$29,7,FALSE),0)</x:f>
        <x:v>1020</x:v>
      </x:c>
      <x:c r="I4175">
        <x:f t="shared" si="69"/>
        <x:v>11720</x:v>
      </x:c>
    </x:row>
    <x:row r="4176" spans="1:9" x14ac:dyDescent="0.15">
      <x:c r="A4176">
        <x:v>54204</x:v>
      </x:c>
      <x:c r="B4176">
        <x:v>1</x:v>
      </x:c>
      <x:c r="C4176">
        <x:v>35</x:v>
      </x:c>
      <x:c r="D4176">
        <x:f>ROUND($C4176*10*VLOOKUP($B4176,Sheet2!$J$5:$K$7,2,FALSE)*VLOOKUP(Sheet1!$A4176,Sheet2!$B$5:$H$29,3,FALSE),0)</x:f>
        <x:v>0</x:v>
      </x:c>
      <x:c r="E4176">
        <x:f>ROUND($C4176*10*VLOOKUP($B4176,Sheet2!$J$5:$K$7,2,FALSE)*VLOOKUP(Sheet1!$A4176,Sheet2!$B$5:$H$29,4,FALSE),0)</x:f>
        <x:v>0</x:v>
      </x:c>
      <x:c r="F4176">
        <x:f>ROUND($C4176*10*VLOOKUP($B4176,Sheet2!$J$5:$K$7,2,FALSE)*VLOOKUP(Sheet1!$A4176,Sheet2!$B$5:$H$29,5,FALSE),0)</x:f>
        <x:v>0</x:v>
      </x:c>
      <x:c r="G4176">
        <x:f>ROUND($C4176*10*VLOOKUP($B4176,Sheet2!$J$5:$K$7,2,FALSE)*VLOOKUP(Sheet1!$A4176,Sheet2!$B$5:$H$29,6,FALSE),0)</x:f>
        <x:v>56</x:v>
      </x:c>
      <x:c r="H4176">
        <x:f>ROUND($C4176*10*VLOOKUP($B4176,Sheet2!$J$5:$K$7,2,FALSE)*VLOOKUP(Sheet1!$A4176,Sheet2!$B$5:$H$29,7,FALSE),0)</x:f>
        <x:v>1050</x:v>
      </x:c>
      <x:c r="I4176">
        <x:f t="shared" si="69"/>
        <x:v>12360</x:v>
      </x:c>
    </x:row>
    <x:row r="4177" spans="1:9" x14ac:dyDescent="0.15">
      <x:c r="A4177">
        <x:v>54204</x:v>
      </x:c>
      <x:c r="B4177">
        <x:v>1</x:v>
      </x:c>
      <x:c r="C4177">
        <x:v>36</x:v>
      </x:c>
      <x:c r="D4177">
        <x:f>ROUND($C4177*10*VLOOKUP($B4177,Sheet2!$J$5:$K$7,2,FALSE)*VLOOKUP(Sheet1!$A4177,Sheet2!$B$5:$H$29,3,FALSE),0)</x:f>
        <x:v>0</x:v>
      </x:c>
      <x:c r="E4177">
        <x:f>ROUND($C4177*10*VLOOKUP($B4177,Sheet2!$J$5:$K$7,2,FALSE)*VLOOKUP(Sheet1!$A4177,Sheet2!$B$5:$H$29,4,FALSE),0)</x:f>
        <x:v>0</x:v>
      </x:c>
      <x:c r="F4177">
        <x:f>ROUND($C4177*10*VLOOKUP($B4177,Sheet2!$J$5:$K$7,2,FALSE)*VLOOKUP(Sheet1!$A4177,Sheet2!$B$5:$H$29,5,FALSE),0)</x:f>
        <x:v>0</x:v>
      </x:c>
      <x:c r="G4177">
        <x:f>ROUND($C4177*10*VLOOKUP($B4177,Sheet2!$J$5:$K$7,2,FALSE)*VLOOKUP(Sheet1!$A4177,Sheet2!$B$5:$H$29,6,FALSE),0)</x:f>
        <x:v>58</x:v>
      </x:c>
      <x:c r="H4177">
        <x:f>ROUND($C4177*10*VLOOKUP($B4177,Sheet2!$J$5:$K$7,2,FALSE)*VLOOKUP(Sheet1!$A4177,Sheet2!$B$5:$H$29,7,FALSE),0)</x:f>
        <x:v>1080</x:v>
      </x:c>
      <x:c r="I4177">
        <x:f t="shared" si="69"/>
        <x:v>13020</x:v>
      </x:c>
    </x:row>
    <x:row r="4178" spans="1:9" x14ac:dyDescent="0.15">
      <x:c r="A4178">
        <x:v>54204</x:v>
      </x:c>
      <x:c r="B4178">
        <x:v>1</x:v>
      </x:c>
      <x:c r="C4178">
        <x:v>37</x:v>
      </x:c>
      <x:c r="D4178">
        <x:f>ROUND($C4178*10*VLOOKUP($B4178,Sheet2!$J$5:$K$7,2,FALSE)*VLOOKUP(Sheet1!$A4178,Sheet2!$B$5:$H$29,3,FALSE),0)</x:f>
        <x:v>0</x:v>
      </x:c>
      <x:c r="E4178">
        <x:f>ROUND($C4178*10*VLOOKUP($B4178,Sheet2!$J$5:$K$7,2,FALSE)*VLOOKUP(Sheet1!$A4178,Sheet2!$B$5:$H$29,4,FALSE),0)</x:f>
        <x:v>0</x:v>
      </x:c>
      <x:c r="F4178">
        <x:f>ROUND($C4178*10*VLOOKUP($B4178,Sheet2!$J$5:$K$7,2,FALSE)*VLOOKUP(Sheet1!$A4178,Sheet2!$B$5:$H$29,5,FALSE),0)</x:f>
        <x:v>0</x:v>
      </x:c>
      <x:c r="G4178">
        <x:f>ROUND($C4178*10*VLOOKUP($B4178,Sheet2!$J$5:$K$7,2,FALSE)*VLOOKUP(Sheet1!$A4178,Sheet2!$B$5:$H$29,6,FALSE),0)</x:f>
        <x:v>59</x:v>
      </x:c>
      <x:c r="H4178">
        <x:f>ROUND($C4178*10*VLOOKUP($B4178,Sheet2!$J$5:$K$7,2,FALSE)*VLOOKUP(Sheet1!$A4178,Sheet2!$B$5:$H$29,7,FALSE),0)</x:f>
        <x:v>1110</x:v>
      </x:c>
      <x:c r="I4178">
        <x:f t="shared" si="69"/>
        <x:v>13700</x:v>
      </x:c>
    </x:row>
    <x:row r="4179" spans="1:9" x14ac:dyDescent="0.15">
      <x:c r="A4179">
        <x:v>54204</x:v>
      </x:c>
      <x:c r="B4179">
        <x:v>1</x:v>
      </x:c>
      <x:c r="C4179">
        <x:v>38</x:v>
      </x:c>
      <x:c r="D4179">
        <x:f>ROUND($C4179*10*VLOOKUP($B4179,Sheet2!$J$5:$K$7,2,FALSE)*VLOOKUP(Sheet1!$A4179,Sheet2!$B$5:$H$29,3,FALSE),0)</x:f>
        <x:v>0</x:v>
      </x:c>
      <x:c r="E4179">
        <x:f>ROUND($C4179*10*VLOOKUP($B4179,Sheet2!$J$5:$K$7,2,FALSE)*VLOOKUP(Sheet1!$A4179,Sheet2!$B$5:$H$29,4,FALSE),0)</x:f>
        <x:v>0</x:v>
      </x:c>
      <x:c r="F4179">
        <x:f>ROUND($C4179*10*VLOOKUP($B4179,Sheet2!$J$5:$K$7,2,FALSE)*VLOOKUP(Sheet1!$A4179,Sheet2!$B$5:$H$29,5,FALSE),0)</x:f>
        <x:v>0</x:v>
      </x:c>
      <x:c r="G4179">
        <x:f>ROUND($C4179*10*VLOOKUP($B4179,Sheet2!$J$5:$K$7,2,FALSE)*VLOOKUP(Sheet1!$A4179,Sheet2!$B$5:$H$29,6,FALSE),0)</x:f>
        <x:v>61</x:v>
      </x:c>
      <x:c r="H4179">
        <x:f>ROUND($C4179*10*VLOOKUP($B4179,Sheet2!$J$5:$K$7,2,FALSE)*VLOOKUP(Sheet1!$A4179,Sheet2!$B$5:$H$29,7,FALSE),0)</x:f>
        <x:v>1140</x:v>
      </x:c>
      <x:c r="I4179">
        <x:f t="shared" si="69"/>
        <x:v>14390</x:v>
      </x:c>
    </x:row>
    <x:row r="4180" spans="1:9" x14ac:dyDescent="0.15">
      <x:c r="A4180">
        <x:v>54204</x:v>
      </x:c>
      <x:c r="B4180">
        <x:v>1</x:v>
      </x:c>
      <x:c r="C4180">
        <x:v>39</x:v>
      </x:c>
      <x:c r="D4180">
        <x:f>ROUND($C4180*10*VLOOKUP($B4180,Sheet2!$J$5:$K$7,2,FALSE)*VLOOKUP(Sheet1!$A4180,Sheet2!$B$5:$H$29,3,FALSE),0)</x:f>
        <x:v>0</x:v>
      </x:c>
      <x:c r="E4180">
        <x:f>ROUND($C4180*10*VLOOKUP($B4180,Sheet2!$J$5:$K$7,2,FALSE)*VLOOKUP(Sheet1!$A4180,Sheet2!$B$5:$H$29,4,FALSE),0)</x:f>
        <x:v>0</x:v>
      </x:c>
      <x:c r="F4180">
        <x:f>ROUND($C4180*10*VLOOKUP($B4180,Sheet2!$J$5:$K$7,2,FALSE)*VLOOKUP(Sheet1!$A4180,Sheet2!$B$5:$H$29,5,FALSE),0)</x:f>
        <x:v>0</x:v>
      </x:c>
      <x:c r="G4180">
        <x:f>ROUND($C4180*10*VLOOKUP($B4180,Sheet2!$J$5:$K$7,2,FALSE)*VLOOKUP(Sheet1!$A4180,Sheet2!$B$5:$H$29,6,FALSE),0)</x:f>
        <x:v>62</x:v>
      </x:c>
      <x:c r="H4180">
        <x:f>ROUND($C4180*10*VLOOKUP($B4180,Sheet2!$J$5:$K$7,2,FALSE)*VLOOKUP(Sheet1!$A4180,Sheet2!$B$5:$H$29,7,FALSE),0)</x:f>
        <x:v>1170</x:v>
      </x:c>
      <x:c r="I4180">
        <x:f t="shared" si="69"/>
        <x:v>15100</x:v>
      </x:c>
    </x:row>
    <x:row r="4181" spans="1:9" x14ac:dyDescent="0.15">
      <x:c r="A4181">
        <x:v>54204</x:v>
      </x:c>
      <x:c r="B4181">
        <x:v>1</x:v>
      </x:c>
      <x:c r="C4181">
        <x:v>40</x:v>
      </x:c>
      <x:c r="D4181">
        <x:f>ROUND($C4181*10*VLOOKUP($B4181,Sheet2!$J$5:$K$7,2,FALSE)*VLOOKUP(Sheet1!$A4181,Sheet2!$B$5:$H$29,3,FALSE),0)</x:f>
        <x:v>0</x:v>
      </x:c>
      <x:c r="E4181">
        <x:f>ROUND($C4181*10*VLOOKUP($B4181,Sheet2!$J$5:$K$7,2,FALSE)*VLOOKUP(Sheet1!$A4181,Sheet2!$B$5:$H$29,4,FALSE),0)</x:f>
        <x:v>0</x:v>
      </x:c>
      <x:c r="F4181">
        <x:f>ROUND($C4181*10*VLOOKUP($B4181,Sheet2!$J$5:$K$7,2,FALSE)*VLOOKUP(Sheet1!$A4181,Sheet2!$B$5:$H$29,5,FALSE),0)</x:f>
        <x:v>0</x:v>
      </x:c>
      <x:c r="G4181">
        <x:f>ROUND($C4181*10*VLOOKUP($B4181,Sheet2!$J$5:$K$7,2,FALSE)*VLOOKUP(Sheet1!$A4181,Sheet2!$B$5:$H$29,6,FALSE),0)</x:f>
        <x:v>64</x:v>
      </x:c>
      <x:c r="H4181">
        <x:f>ROUND($C4181*10*VLOOKUP($B4181,Sheet2!$J$5:$K$7,2,FALSE)*VLOOKUP(Sheet1!$A4181,Sheet2!$B$5:$H$29,7,FALSE),0)</x:f>
        <x:v>1200</x:v>
      </x:c>
      <x:c r="I4181">
        <x:f t="shared" si="69"/>
        <x:v>15820</x:v>
      </x:c>
    </x:row>
    <x:row r="4182" spans="1:9" x14ac:dyDescent="0.15">
      <x:c r="A4182">
        <x:v>54204</x:v>
      </x:c>
      <x:c r="B4182">
        <x:v>1</x:v>
      </x:c>
      <x:c r="C4182">
        <x:v>41</x:v>
      </x:c>
      <x:c r="D4182">
        <x:f>ROUND($C4182*10*VLOOKUP($B4182,Sheet2!$J$5:$K$7,2,FALSE)*VLOOKUP(Sheet1!$A4182,Sheet2!$B$5:$H$29,3,FALSE),0)</x:f>
        <x:v>0</x:v>
      </x:c>
      <x:c r="E4182">
        <x:f>ROUND($C4182*10*VLOOKUP($B4182,Sheet2!$J$5:$K$7,2,FALSE)*VLOOKUP(Sheet1!$A4182,Sheet2!$B$5:$H$29,4,FALSE),0)</x:f>
        <x:v>0</x:v>
      </x:c>
      <x:c r="F4182">
        <x:f>ROUND($C4182*10*VLOOKUP($B4182,Sheet2!$J$5:$K$7,2,FALSE)*VLOOKUP(Sheet1!$A4182,Sheet2!$B$5:$H$29,5,FALSE),0)</x:f>
        <x:v>0</x:v>
      </x:c>
      <x:c r="G4182">
        <x:f>ROUND($C4182*10*VLOOKUP($B4182,Sheet2!$J$5:$K$7,2,FALSE)*VLOOKUP(Sheet1!$A4182,Sheet2!$B$5:$H$29,6,FALSE),0)</x:f>
        <x:v>66</x:v>
      </x:c>
      <x:c r="H4182">
        <x:f>ROUND($C4182*10*VLOOKUP($B4182,Sheet2!$J$5:$K$7,2,FALSE)*VLOOKUP(Sheet1!$A4182,Sheet2!$B$5:$H$29,7,FALSE),0)</x:f>
        <x:v>1230</x:v>
      </x:c>
      <x:c r="I4182">
        <x:f t="shared" si="69"/>
        <x:v>16560</x:v>
      </x:c>
    </x:row>
    <x:row r="4183" spans="1:9" x14ac:dyDescent="0.15">
      <x:c r="A4183">
        <x:v>54204</x:v>
      </x:c>
      <x:c r="B4183">
        <x:v>1</x:v>
      </x:c>
      <x:c r="C4183">
        <x:v>42</x:v>
      </x:c>
      <x:c r="D4183">
        <x:f>ROUND($C4183*10*VLOOKUP($B4183,Sheet2!$J$5:$K$7,2,FALSE)*VLOOKUP(Sheet1!$A4183,Sheet2!$B$5:$H$29,3,FALSE),0)</x:f>
        <x:v>0</x:v>
      </x:c>
      <x:c r="E4183">
        <x:f>ROUND($C4183*10*VLOOKUP($B4183,Sheet2!$J$5:$K$7,2,FALSE)*VLOOKUP(Sheet1!$A4183,Sheet2!$B$5:$H$29,4,FALSE),0)</x:f>
        <x:v>0</x:v>
      </x:c>
      <x:c r="F4183">
        <x:f>ROUND($C4183*10*VLOOKUP($B4183,Sheet2!$J$5:$K$7,2,FALSE)*VLOOKUP(Sheet1!$A4183,Sheet2!$B$5:$H$29,5,FALSE),0)</x:f>
        <x:v>0</x:v>
      </x:c>
      <x:c r="G4183">
        <x:f>ROUND($C4183*10*VLOOKUP($B4183,Sheet2!$J$5:$K$7,2,FALSE)*VLOOKUP(Sheet1!$A4183,Sheet2!$B$5:$H$29,6,FALSE),0)</x:f>
        <x:v>67</x:v>
      </x:c>
      <x:c r="H4183">
        <x:f>ROUND($C4183*10*VLOOKUP($B4183,Sheet2!$J$5:$K$7,2,FALSE)*VLOOKUP(Sheet1!$A4183,Sheet2!$B$5:$H$29,7,FALSE),0)</x:f>
        <x:v>1260</x:v>
      </x:c>
      <x:c r="I4183">
        <x:f t="shared" si="69"/>
        <x:v>17310</x:v>
      </x:c>
    </x:row>
    <x:row r="4184" spans="1:9" x14ac:dyDescent="0.15">
      <x:c r="A4184">
        <x:v>54204</x:v>
      </x:c>
      <x:c r="B4184">
        <x:v>1</x:v>
      </x:c>
      <x:c r="C4184">
        <x:v>43</x:v>
      </x:c>
      <x:c r="D4184">
        <x:f>ROUND($C4184*10*VLOOKUP($B4184,Sheet2!$J$5:$K$7,2,FALSE)*VLOOKUP(Sheet1!$A4184,Sheet2!$B$5:$H$29,3,FALSE),0)</x:f>
        <x:v>0</x:v>
      </x:c>
      <x:c r="E4184">
        <x:f>ROUND($C4184*10*VLOOKUP($B4184,Sheet2!$J$5:$K$7,2,FALSE)*VLOOKUP(Sheet1!$A4184,Sheet2!$B$5:$H$29,4,FALSE),0)</x:f>
        <x:v>0</x:v>
      </x:c>
      <x:c r="F4184">
        <x:f>ROUND($C4184*10*VLOOKUP($B4184,Sheet2!$J$5:$K$7,2,FALSE)*VLOOKUP(Sheet1!$A4184,Sheet2!$B$5:$H$29,5,FALSE),0)</x:f>
        <x:v>0</x:v>
      </x:c>
      <x:c r="G4184">
        <x:f>ROUND($C4184*10*VLOOKUP($B4184,Sheet2!$J$5:$K$7,2,FALSE)*VLOOKUP(Sheet1!$A4184,Sheet2!$B$5:$H$29,6,FALSE),0)</x:f>
        <x:v>69</x:v>
      </x:c>
      <x:c r="H4184">
        <x:f>ROUND($C4184*10*VLOOKUP($B4184,Sheet2!$J$5:$K$7,2,FALSE)*VLOOKUP(Sheet1!$A4184,Sheet2!$B$5:$H$29,7,FALSE),0)</x:f>
        <x:v>1290</x:v>
      </x:c>
      <x:c r="I4184">
        <x:f t="shared" si="69"/>
        <x:v>18070</x:v>
      </x:c>
    </x:row>
    <x:row r="4185" spans="1:9" x14ac:dyDescent="0.15">
      <x:c r="A4185">
        <x:v>54204</x:v>
      </x:c>
      <x:c r="B4185">
        <x:v>1</x:v>
      </x:c>
      <x:c r="C4185">
        <x:v>44</x:v>
      </x:c>
      <x:c r="D4185">
        <x:f>ROUND($C4185*10*VLOOKUP($B4185,Sheet2!$J$5:$K$7,2,FALSE)*VLOOKUP(Sheet1!$A4185,Sheet2!$B$5:$H$29,3,FALSE),0)</x:f>
        <x:v>0</x:v>
      </x:c>
      <x:c r="E4185">
        <x:f>ROUND($C4185*10*VLOOKUP($B4185,Sheet2!$J$5:$K$7,2,FALSE)*VLOOKUP(Sheet1!$A4185,Sheet2!$B$5:$H$29,4,FALSE),0)</x:f>
        <x:v>0</x:v>
      </x:c>
      <x:c r="F4185">
        <x:f>ROUND($C4185*10*VLOOKUP($B4185,Sheet2!$J$5:$K$7,2,FALSE)*VLOOKUP(Sheet1!$A4185,Sheet2!$B$5:$H$29,5,FALSE),0)</x:f>
        <x:v>0</x:v>
      </x:c>
      <x:c r="G4185">
        <x:f>ROUND($C4185*10*VLOOKUP($B4185,Sheet2!$J$5:$K$7,2,FALSE)*VLOOKUP(Sheet1!$A4185,Sheet2!$B$5:$H$29,6,FALSE),0)</x:f>
        <x:v>70</x:v>
      </x:c>
      <x:c r="H4185">
        <x:f>ROUND($C4185*10*VLOOKUP($B4185,Sheet2!$J$5:$K$7,2,FALSE)*VLOOKUP(Sheet1!$A4185,Sheet2!$B$5:$H$29,7,FALSE),0)</x:f>
        <x:v>1320</x:v>
      </x:c>
      <x:c r="I4185">
        <x:f t="shared" si="69"/>
        <x:v>18850</x:v>
      </x:c>
    </x:row>
    <x:row r="4186" spans="1:9" x14ac:dyDescent="0.15">
      <x:c r="A4186">
        <x:v>54204</x:v>
      </x:c>
      <x:c r="B4186">
        <x:v>1</x:v>
      </x:c>
      <x:c r="C4186">
        <x:v>45</x:v>
      </x:c>
      <x:c r="D4186">
        <x:f>ROUND($C4186*10*VLOOKUP($B4186,Sheet2!$J$5:$K$7,2,FALSE)*VLOOKUP(Sheet1!$A4186,Sheet2!$B$5:$H$29,3,FALSE),0)</x:f>
        <x:v>0</x:v>
      </x:c>
      <x:c r="E4186">
        <x:f>ROUND($C4186*10*VLOOKUP($B4186,Sheet2!$J$5:$K$7,2,FALSE)*VLOOKUP(Sheet1!$A4186,Sheet2!$B$5:$H$29,4,FALSE),0)</x:f>
        <x:v>0</x:v>
      </x:c>
      <x:c r="F4186">
        <x:f>ROUND($C4186*10*VLOOKUP($B4186,Sheet2!$J$5:$K$7,2,FALSE)*VLOOKUP(Sheet1!$A4186,Sheet2!$B$5:$H$29,5,FALSE),0)</x:f>
        <x:v>0</x:v>
      </x:c>
      <x:c r="G4186">
        <x:f>ROUND($C4186*10*VLOOKUP($B4186,Sheet2!$J$5:$K$7,2,FALSE)*VLOOKUP(Sheet1!$A4186,Sheet2!$B$5:$H$29,6,FALSE),0)</x:f>
        <x:v>72</x:v>
      </x:c>
      <x:c r="H4186">
        <x:f>ROUND($C4186*10*VLOOKUP($B4186,Sheet2!$J$5:$K$7,2,FALSE)*VLOOKUP(Sheet1!$A4186,Sheet2!$B$5:$H$29,7,FALSE),0)</x:f>
        <x:v>1350</x:v>
      </x:c>
      <x:c r="I4186">
        <x:f t="shared" si="69"/>
        <x:v>19650</x:v>
      </x:c>
    </x:row>
    <x:row r="4187" spans="1:9" x14ac:dyDescent="0.15">
      <x:c r="A4187">
        <x:v>54204</x:v>
      </x:c>
      <x:c r="B4187">
        <x:v>1</x:v>
      </x:c>
      <x:c r="C4187">
        <x:v>46</x:v>
      </x:c>
      <x:c r="D4187">
        <x:f>ROUND($C4187*10*VLOOKUP($B4187,Sheet2!$J$5:$K$7,2,FALSE)*VLOOKUP(Sheet1!$A4187,Sheet2!$B$5:$H$29,3,FALSE),0)</x:f>
        <x:v>0</x:v>
      </x:c>
      <x:c r="E4187">
        <x:f>ROUND($C4187*10*VLOOKUP($B4187,Sheet2!$J$5:$K$7,2,FALSE)*VLOOKUP(Sheet1!$A4187,Sheet2!$B$5:$H$29,4,FALSE),0)</x:f>
        <x:v>0</x:v>
      </x:c>
      <x:c r="F4187">
        <x:f>ROUND($C4187*10*VLOOKUP($B4187,Sheet2!$J$5:$K$7,2,FALSE)*VLOOKUP(Sheet1!$A4187,Sheet2!$B$5:$H$29,5,FALSE),0)</x:f>
        <x:v>0</x:v>
      </x:c>
      <x:c r="G4187">
        <x:f>ROUND($C4187*10*VLOOKUP($B4187,Sheet2!$J$5:$K$7,2,FALSE)*VLOOKUP(Sheet1!$A4187,Sheet2!$B$5:$H$29,6,FALSE),0)</x:f>
        <x:v>74</x:v>
      </x:c>
      <x:c r="H4187">
        <x:f>ROUND($C4187*10*VLOOKUP($B4187,Sheet2!$J$5:$K$7,2,FALSE)*VLOOKUP(Sheet1!$A4187,Sheet2!$B$5:$H$29,7,FALSE),0)</x:f>
        <x:v>1380</x:v>
      </x:c>
      <x:c r="I4187">
        <x:f t="shared" si="69"/>
        <x:v>20460</x:v>
      </x:c>
    </x:row>
    <x:row r="4188" spans="1:9" x14ac:dyDescent="0.15">
      <x:c r="A4188">
        <x:v>54204</x:v>
      </x:c>
      <x:c r="B4188">
        <x:v>1</x:v>
      </x:c>
      <x:c r="C4188">
        <x:v>47</x:v>
      </x:c>
      <x:c r="D4188">
        <x:f>ROUND($C4188*10*VLOOKUP($B4188,Sheet2!$J$5:$K$7,2,FALSE)*VLOOKUP(Sheet1!$A4188,Sheet2!$B$5:$H$29,3,FALSE),0)</x:f>
        <x:v>0</x:v>
      </x:c>
      <x:c r="E4188">
        <x:f>ROUND($C4188*10*VLOOKUP($B4188,Sheet2!$J$5:$K$7,2,FALSE)*VLOOKUP(Sheet1!$A4188,Sheet2!$B$5:$H$29,4,FALSE),0)</x:f>
        <x:v>0</x:v>
      </x:c>
      <x:c r="F4188">
        <x:f>ROUND($C4188*10*VLOOKUP($B4188,Sheet2!$J$5:$K$7,2,FALSE)*VLOOKUP(Sheet1!$A4188,Sheet2!$B$5:$H$29,5,FALSE),0)</x:f>
        <x:v>0</x:v>
      </x:c>
      <x:c r="G4188">
        <x:f>ROUND($C4188*10*VLOOKUP($B4188,Sheet2!$J$5:$K$7,2,FALSE)*VLOOKUP(Sheet1!$A4188,Sheet2!$B$5:$H$29,6,FALSE),0)</x:f>
        <x:v>75</x:v>
      </x:c>
      <x:c r="H4188">
        <x:f>ROUND($C4188*10*VLOOKUP($B4188,Sheet2!$J$5:$K$7,2,FALSE)*VLOOKUP(Sheet1!$A4188,Sheet2!$B$5:$H$29,7,FALSE),0)</x:f>
        <x:v>1410</x:v>
      </x:c>
      <x:c r="I4188">
        <x:f t="shared" si="69"/>
        <x:v>21280</x:v>
      </x:c>
    </x:row>
    <x:row r="4189" spans="1:9" x14ac:dyDescent="0.15">
      <x:c r="A4189">
        <x:v>54204</x:v>
      </x:c>
      <x:c r="B4189">
        <x:v>1</x:v>
      </x:c>
      <x:c r="C4189">
        <x:v>48</x:v>
      </x:c>
      <x:c r="D4189">
        <x:f>ROUND($C4189*10*VLOOKUP($B4189,Sheet2!$J$5:$K$7,2,FALSE)*VLOOKUP(Sheet1!$A4189,Sheet2!$B$5:$H$29,3,FALSE),0)</x:f>
        <x:v>0</x:v>
      </x:c>
      <x:c r="E4189">
        <x:f>ROUND($C4189*10*VLOOKUP($B4189,Sheet2!$J$5:$K$7,2,FALSE)*VLOOKUP(Sheet1!$A4189,Sheet2!$B$5:$H$29,4,FALSE),0)</x:f>
        <x:v>0</x:v>
      </x:c>
      <x:c r="F4189">
        <x:f>ROUND($C4189*10*VLOOKUP($B4189,Sheet2!$J$5:$K$7,2,FALSE)*VLOOKUP(Sheet1!$A4189,Sheet2!$B$5:$H$29,5,FALSE),0)</x:f>
        <x:v>0</x:v>
      </x:c>
      <x:c r="G4189">
        <x:f>ROUND($C4189*10*VLOOKUP($B4189,Sheet2!$J$5:$K$7,2,FALSE)*VLOOKUP(Sheet1!$A4189,Sheet2!$B$5:$H$29,6,FALSE),0)</x:f>
        <x:v>77</x:v>
      </x:c>
      <x:c r="H4189">
        <x:f>ROUND($C4189*10*VLOOKUP($B4189,Sheet2!$J$5:$K$7,2,FALSE)*VLOOKUP(Sheet1!$A4189,Sheet2!$B$5:$H$29,7,FALSE),0)</x:f>
        <x:v>1440</x:v>
      </x:c>
      <x:c r="I4189">
        <x:f t="shared" si="69"/>
        <x:v>22120</x:v>
      </x:c>
    </x:row>
    <x:row r="4190" spans="1:9" x14ac:dyDescent="0.15">
      <x:c r="A4190">
        <x:v>54204</x:v>
      </x:c>
      <x:c r="B4190">
        <x:v>1</x:v>
      </x:c>
      <x:c r="C4190">
        <x:v>49</x:v>
      </x:c>
      <x:c r="D4190">
        <x:f>ROUND($C4190*10*VLOOKUP($B4190,Sheet2!$J$5:$K$7,2,FALSE)*VLOOKUP(Sheet1!$A4190,Sheet2!$B$5:$H$29,3,FALSE),0)</x:f>
        <x:v>0</x:v>
      </x:c>
      <x:c r="E4190">
        <x:f>ROUND($C4190*10*VLOOKUP($B4190,Sheet2!$J$5:$K$7,2,FALSE)*VLOOKUP(Sheet1!$A4190,Sheet2!$B$5:$H$29,4,FALSE),0)</x:f>
        <x:v>0</x:v>
      </x:c>
      <x:c r="F4190">
        <x:f>ROUND($C4190*10*VLOOKUP($B4190,Sheet2!$J$5:$K$7,2,FALSE)*VLOOKUP(Sheet1!$A4190,Sheet2!$B$5:$H$29,5,FALSE),0)</x:f>
        <x:v>0</x:v>
      </x:c>
      <x:c r="G4190">
        <x:f>ROUND($C4190*10*VLOOKUP($B4190,Sheet2!$J$5:$K$7,2,FALSE)*VLOOKUP(Sheet1!$A4190,Sheet2!$B$5:$H$29,6,FALSE),0)</x:f>
        <x:v>78</x:v>
      </x:c>
      <x:c r="H4190">
        <x:f>ROUND($C4190*10*VLOOKUP($B4190,Sheet2!$J$5:$K$7,2,FALSE)*VLOOKUP(Sheet1!$A4190,Sheet2!$B$5:$H$29,7,FALSE),0)</x:f>
        <x:v>1470</x:v>
      </x:c>
      <x:c r="I4190">
        <x:f t="shared" si="69"/>
        <x:v>22970</x:v>
      </x:c>
    </x:row>
    <x:row r="4191" spans="1:9" x14ac:dyDescent="0.15">
      <x:c r="A4191">
        <x:v>54204</x:v>
      </x:c>
      <x:c r="B4191">
        <x:v>1</x:v>
      </x:c>
      <x:c r="C4191">
        <x:v>50</x:v>
      </x:c>
      <x:c r="D4191">
        <x:f>ROUND($C4191*10*VLOOKUP($B4191,Sheet2!$J$5:$K$7,2,FALSE)*VLOOKUP(Sheet1!$A4191,Sheet2!$B$5:$H$29,3,FALSE),0)</x:f>
        <x:v>0</x:v>
      </x:c>
      <x:c r="E4191">
        <x:f>ROUND($C4191*10*VLOOKUP($B4191,Sheet2!$J$5:$K$7,2,FALSE)*VLOOKUP(Sheet1!$A4191,Sheet2!$B$5:$H$29,4,FALSE),0)</x:f>
        <x:v>0</x:v>
      </x:c>
      <x:c r="F4191">
        <x:f>ROUND($C4191*10*VLOOKUP($B4191,Sheet2!$J$5:$K$7,2,FALSE)*VLOOKUP(Sheet1!$A4191,Sheet2!$B$5:$H$29,5,FALSE),0)</x:f>
        <x:v>0</x:v>
      </x:c>
      <x:c r="G4191">
        <x:f>ROUND($C4191*10*VLOOKUP($B4191,Sheet2!$J$5:$K$7,2,FALSE)*VLOOKUP(Sheet1!$A4191,Sheet2!$B$5:$H$29,6,FALSE),0)</x:f>
        <x:v>80</x:v>
      </x:c>
      <x:c r="H4191">
        <x:f>ROUND($C4191*10*VLOOKUP($B4191,Sheet2!$J$5:$K$7,2,FALSE)*VLOOKUP(Sheet1!$A4191,Sheet2!$B$5:$H$29,7,FALSE),0)</x:f>
        <x:v>1500</x:v>
      </x:c>
      <x:c r="I4191">
        <x:f t="shared" si="69"/>
        <x:v>23840</x:v>
      </x:c>
    </x:row>
    <x:row r="4192" spans="1:9" x14ac:dyDescent="0.15">
      <x:c r="A4192">
        <x:v>54204</x:v>
      </x:c>
      <x:c r="B4192">
        <x:v>1</x:v>
      </x:c>
      <x:c r="C4192">
        <x:v>51</x:v>
      </x:c>
      <x:c r="D4192">
        <x:f>ROUND($C4192*10*VLOOKUP($B4192,Sheet2!$J$5:$K$7,2,FALSE)*VLOOKUP(Sheet1!$A4192,Sheet2!$B$5:$H$29,3,FALSE),0)</x:f>
        <x:v>0</x:v>
      </x:c>
      <x:c r="E4192">
        <x:f>ROUND($C4192*10*VLOOKUP($B4192,Sheet2!$J$5:$K$7,2,FALSE)*VLOOKUP(Sheet1!$A4192,Sheet2!$B$5:$H$29,4,FALSE),0)</x:f>
        <x:v>0</x:v>
      </x:c>
      <x:c r="F4192">
        <x:f>ROUND($C4192*10*VLOOKUP($B4192,Sheet2!$J$5:$K$7,2,FALSE)*VLOOKUP(Sheet1!$A4192,Sheet2!$B$5:$H$29,5,FALSE),0)</x:f>
        <x:v>0</x:v>
      </x:c>
      <x:c r="G4192">
        <x:f>ROUND($C4192*10*VLOOKUP($B4192,Sheet2!$J$5:$K$7,2,FALSE)*VLOOKUP(Sheet1!$A4192,Sheet2!$B$5:$H$29,6,FALSE),0)</x:f>
        <x:v>82</x:v>
      </x:c>
      <x:c r="H4192">
        <x:f>ROUND($C4192*10*VLOOKUP($B4192,Sheet2!$J$5:$K$7,2,FALSE)*VLOOKUP(Sheet1!$A4192,Sheet2!$B$5:$H$29,7,FALSE),0)</x:f>
        <x:v>1530</x:v>
      </x:c>
      <x:c r="I4192">
        <x:f t="shared" si="69"/>
        <x:v>24720</x:v>
      </x:c>
    </x:row>
    <x:row r="4193" spans="1:9" x14ac:dyDescent="0.15">
      <x:c r="A4193">
        <x:v>54204</x:v>
      </x:c>
      <x:c r="B4193">
        <x:v>1</x:v>
      </x:c>
      <x:c r="C4193">
        <x:v>52</x:v>
      </x:c>
      <x:c r="D4193">
        <x:f>ROUND($C4193*10*VLOOKUP($B4193,Sheet2!$J$5:$K$7,2,FALSE)*VLOOKUP(Sheet1!$A4193,Sheet2!$B$5:$H$29,3,FALSE),0)</x:f>
        <x:v>0</x:v>
      </x:c>
      <x:c r="E4193">
        <x:f>ROUND($C4193*10*VLOOKUP($B4193,Sheet2!$J$5:$K$7,2,FALSE)*VLOOKUP(Sheet1!$A4193,Sheet2!$B$5:$H$29,4,FALSE),0)</x:f>
        <x:v>0</x:v>
      </x:c>
      <x:c r="F4193">
        <x:f>ROUND($C4193*10*VLOOKUP($B4193,Sheet2!$J$5:$K$7,2,FALSE)*VLOOKUP(Sheet1!$A4193,Sheet2!$B$5:$H$29,5,FALSE),0)</x:f>
        <x:v>0</x:v>
      </x:c>
      <x:c r="G4193">
        <x:f>ROUND($C4193*10*VLOOKUP($B4193,Sheet2!$J$5:$K$7,2,FALSE)*VLOOKUP(Sheet1!$A4193,Sheet2!$B$5:$H$29,6,FALSE),0)</x:f>
        <x:v>83</x:v>
      </x:c>
      <x:c r="H4193">
        <x:f>ROUND($C4193*10*VLOOKUP($B4193,Sheet2!$J$5:$K$7,2,FALSE)*VLOOKUP(Sheet1!$A4193,Sheet2!$B$5:$H$29,7,FALSE),0)</x:f>
        <x:v>1560</x:v>
      </x:c>
      <x:c r="I4193">
        <x:f t="shared" si="69"/>
        <x:v>25620</x:v>
      </x:c>
    </x:row>
    <x:row r="4194" spans="1:9" x14ac:dyDescent="0.15">
      <x:c r="A4194">
        <x:v>54204</x:v>
      </x:c>
      <x:c r="B4194">
        <x:v>1</x:v>
      </x:c>
      <x:c r="C4194">
        <x:v>53</x:v>
      </x:c>
      <x:c r="D4194">
        <x:f>ROUND($C4194*10*VLOOKUP($B4194,Sheet2!$J$5:$K$7,2,FALSE)*VLOOKUP(Sheet1!$A4194,Sheet2!$B$5:$H$29,3,FALSE),0)</x:f>
        <x:v>0</x:v>
      </x:c>
      <x:c r="E4194">
        <x:f>ROUND($C4194*10*VLOOKUP($B4194,Sheet2!$J$5:$K$7,2,FALSE)*VLOOKUP(Sheet1!$A4194,Sheet2!$B$5:$H$29,4,FALSE),0)</x:f>
        <x:v>0</x:v>
      </x:c>
      <x:c r="F4194">
        <x:f>ROUND($C4194*10*VLOOKUP($B4194,Sheet2!$J$5:$K$7,2,FALSE)*VLOOKUP(Sheet1!$A4194,Sheet2!$B$5:$H$29,5,FALSE),0)</x:f>
        <x:v>0</x:v>
      </x:c>
      <x:c r="G4194">
        <x:f>ROUND($C4194*10*VLOOKUP($B4194,Sheet2!$J$5:$K$7,2,FALSE)*VLOOKUP(Sheet1!$A4194,Sheet2!$B$5:$H$29,6,FALSE),0)</x:f>
        <x:v>85</x:v>
      </x:c>
      <x:c r="H4194">
        <x:f>ROUND($C4194*10*VLOOKUP($B4194,Sheet2!$J$5:$K$7,2,FALSE)*VLOOKUP(Sheet1!$A4194,Sheet2!$B$5:$H$29,7,FALSE),0)</x:f>
        <x:v>1590</x:v>
      </x:c>
      <x:c r="I4194">
        <x:f t="shared" si="69"/>
        <x:v>26530</x:v>
      </x:c>
    </x:row>
    <x:row r="4195" spans="1:9" x14ac:dyDescent="0.15">
      <x:c r="A4195">
        <x:v>54204</x:v>
      </x:c>
      <x:c r="B4195">
        <x:v>1</x:v>
      </x:c>
      <x:c r="C4195">
        <x:v>54</x:v>
      </x:c>
      <x:c r="D4195">
        <x:f>ROUND($C4195*10*VLOOKUP($B4195,Sheet2!$J$5:$K$7,2,FALSE)*VLOOKUP(Sheet1!$A4195,Sheet2!$B$5:$H$29,3,FALSE),0)</x:f>
        <x:v>0</x:v>
      </x:c>
      <x:c r="E4195">
        <x:f>ROUND($C4195*10*VLOOKUP($B4195,Sheet2!$J$5:$K$7,2,FALSE)*VLOOKUP(Sheet1!$A4195,Sheet2!$B$5:$H$29,4,FALSE),0)</x:f>
        <x:v>0</x:v>
      </x:c>
      <x:c r="F4195">
        <x:f>ROUND($C4195*10*VLOOKUP($B4195,Sheet2!$J$5:$K$7,2,FALSE)*VLOOKUP(Sheet1!$A4195,Sheet2!$B$5:$H$29,5,FALSE),0)</x:f>
        <x:v>0</x:v>
      </x:c>
      <x:c r="G4195">
        <x:f>ROUND($C4195*10*VLOOKUP($B4195,Sheet2!$J$5:$K$7,2,FALSE)*VLOOKUP(Sheet1!$A4195,Sheet2!$B$5:$H$29,6,FALSE),0)</x:f>
        <x:v>86</x:v>
      </x:c>
      <x:c r="H4195">
        <x:f>ROUND($C4195*10*VLOOKUP($B4195,Sheet2!$J$5:$K$7,2,FALSE)*VLOOKUP(Sheet1!$A4195,Sheet2!$B$5:$H$29,7,FALSE),0)</x:f>
        <x:v>1620</x:v>
      </x:c>
      <x:c r="I4195">
        <x:f t="shared" si="69"/>
        <x:v>27460</x:v>
      </x:c>
    </x:row>
    <x:row r="4196" spans="1:9" x14ac:dyDescent="0.15">
      <x:c r="A4196">
        <x:v>54204</x:v>
      </x:c>
      <x:c r="B4196">
        <x:v>1</x:v>
      </x:c>
      <x:c r="C4196">
        <x:v>55</x:v>
      </x:c>
      <x:c r="D4196">
        <x:f>ROUND($C4196*10*VLOOKUP($B4196,Sheet2!$J$5:$K$7,2,FALSE)*VLOOKUP(Sheet1!$A4196,Sheet2!$B$5:$H$29,3,FALSE),0)</x:f>
        <x:v>0</x:v>
      </x:c>
      <x:c r="E4196">
        <x:f>ROUND($C4196*10*VLOOKUP($B4196,Sheet2!$J$5:$K$7,2,FALSE)*VLOOKUP(Sheet1!$A4196,Sheet2!$B$5:$H$29,4,FALSE),0)</x:f>
        <x:v>0</x:v>
      </x:c>
      <x:c r="F4196">
        <x:f>ROUND($C4196*10*VLOOKUP($B4196,Sheet2!$J$5:$K$7,2,FALSE)*VLOOKUP(Sheet1!$A4196,Sheet2!$B$5:$H$29,5,FALSE),0)</x:f>
        <x:v>0</x:v>
      </x:c>
      <x:c r="G4196">
        <x:f>ROUND($C4196*10*VLOOKUP($B4196,Sheet2!$J$5:$K$7,2,FALSE)*VLOOKUP(Sheet1!$A4196,Sheet2!$B$5:$H$29,6,FALSE),0)</x:f>
        <x:v>88</x:v>
      </x:c>
      <x:c r="H4196">
        <x:f>ROUND($C4196*10*VLOOKUP($B4196,Sheet2!$J$5:$K$7,2,FALSE)*VLOOKUP(Sheet1!$A4196,Sheet2!$B$5:$H$29,7,FALSE),0)</x:f>
        <x:v>1650</x:v>
      </x:c>
      <x:c r="I4196">
        <x:f t="shared" si="69"/>
        <x:v>28390</x:v>
      </x:c>
    </x:row>
    <x:row r="4197" spans="1:9" x14ac:dyDescent="0.15">
      <x:c r="A4197">
        <x:v>54204</x:v>
      </x:c>
      <x:c r="B4197">
        <x:v>1</x:v>
      </x:c>
      <x:c r="C4197">
        <x:v>56</x:v>
      </x:c>
      <x:c r="D4197">
        <x:f>ROUND($C4197*10*VLOOKUP($B4197,Sheet2!$J$5:$K$7,2,FALSE)*VLOOKUP(Sheet1!$A4197,Sheet2!$B$5:$H$29,3,FALSE),0)</x:f>
        <x:v>0</x:v>
      </x:c>
      <x:c r="E4197">
        <x:f>ROUND($C4197*10*VLOOKUP($B4197,Sheet2!$J$5:$K$7,2,FALSE)*VLOOKUP(Sheet1!$A4197,Sheet2!$B$5:$H$29,4,FALSE),0)</x:f>
        <x:v>0</x:v>
      </x:c>
      <x:c r="F4197">
        <x:f>ROUND($C4197*10*VLOOKUP($B4197,Sheet2!$J$5:$K$7,2,FALSE)*VLOOKUP(Sheet1!$A4197,Sheet2!$B$5:$H$29,5,FALSE),0)</x:f>
        <x:v>0</x:v>
      </x:c>
      <x:c r="G4197">
        <x:f>ROUND($C4197*10*VLOOKUP($B4197,Sheet2!$J$5:$K$7,2,FALSE)*VLOOKUP(Sheet1!$A4197,Sheet2!$B$5:$H$29,6,FALSE),0)</x:f>
        <x:v>90</x:v>
      </x:c>
      <x:c r="H4197">
        <x:f>ROUND($C4197*10*VLOOKUP($B4197,Sheet2!$J$5:$K$7,2,FALSE)*VLOOKUP(Sheet1!$A4197,Sheet2!$B$5:$H$29,7,FALSE),0)</x:f>
        <x:v>1680</x:v>
      </x:c>
      <x:c r="I4197">
        <x:f t="shared" si="69"/>
        <x:v>29350</x:v>
      </x:c>
    </x:row>
    <x:row r="4198" spans="1:9" x14ac:dyDescent="0.15">
      <x:c r="A4198">
        <x:v>54204</x:v>
      </x:c>
      <x:c r="B4198">
        <x:v>1</x:v>
      </x:c>
      <x:c r="C4198">
        <x:v>57</x:v>
      </x:c>
      <x:c r="D4198">
        <x:f>ROUND($C4198*10*VLOOKUP($B4198,Sheet2!$J$5:$K$7,2,FALSE)*VLOOKUP(Sheet1!$A4198,Sheet2!$B$5:$H$29,3,FALSE),0)</x:f>
        <x:v>0</x:v>
      </x:c>
      <x:c r="E4198">
        <x:f>ROUND($C4198*10*VLOOKUP($B4198,Sheet2!$J$5:$K$7,2,FALSE)*VLOOKUP(Sheet1!$A4198,Sheet2!$B$5:$H$29,4,FALSE),0)</x:f>
        <x:v>0</x:v>
      </x:c>
      <x:c r="F4198">
        <x:f>ROUND($C4198*10*VLOOKUP($B4198,Sheet2!$J$5:$K$7,2,FALSE)*VLOOKUP(Sheet1!$A4198,Sheet2!$B$5:$H$29,5,FALSE),0)</x:f>
        <x:v>0</x:v>
      </x:c>
      <x:c r="G4198">
        <x:f>ROUND($C4198*10*VLOOKUP($B4198,Sheet2!$J$5:$K$7,2,FALSE)*VLOOKUP(Sheet1!$A4198,Sheet2!$B$5:$H$29,6,FALSE),0)</x:f>
        <x:v>91</x:v>
      </x:c>
      <x:c r="H4198">
        <x:f>ROUND($C4198*10*VLOOKUP($B4198,Sheet2!$J$5:$K$7,2,FALSE)*VLOOKUP(Sheet1!$A4198,Sheet2!$B$5:$H$29,7,FALSE),0)</x:f>
        <x:v>1710</x:v>
      </x:c>
      <x:c r="I4198">
        <x:f t="shared" si="69"/>
        <x:v>30310</x:v>
      </x:c>
    </x:row>
    <x:row r="4199" spans="1:9" x14ac:dyDescent="0.15">
      <x:c r="A4199">
        <x:v>54204</x:v>
      </x:c>
      <x:c r="B4199">
        <x:v>1</x:v>
      </x:c>
      <x:c r="C4199">
        <x:v>58</x:v>
      </x:c>
      <x:c r="D4199">
        <x:f>ROUND($C4199*10*VLOOKUP($B4199,Sheet2!$J$5:$K$7,2,FALSE)*VLOOKUP(Sheet1!$A4199,Sheet2!$B$5:$H$29,3,FALSE),0)</x:f>
        <x:v>0</x:v>
      </x:c>
      <x:c r="E4199">
        <x:f>ROUND($C4199*10*VLOOKUP($B4199,Sheet2!$J$5:$K$7,2,FALSE)*VLOOKUP(Sheet1!$A4199,Sheet2!$B$5:$H$29,4,FALSE),0)</x:f>
        <x:v>0</x:v>
      </x:c>
      <x:c r="F4199">
        <x:f>ROUND($C4199*10*VLOOKUP($B4199,Sheet2!$J$5:$K$7,2,FALSE)*VLOOKUP(Sheet1!$A4199,Sheet2!$B$5:$H$29,5,FALSE),0)</x:f>
        <x:v>0</x:v>
      </x:c>
      <x:c r="G4199">
        <x:f>ROUND($C4199*10*VLOOKUP($B4199,Sheet2!$J$5:$K$7,2,FALSE)*VLOOKUP(Sheet1!$A4199,Sheet2!$B$5:$H$29,6,FALSE),0)</x:f>
        <x:v>93</x:v>
      </x:c>
      <x:c r="H4199">
        <x:f>ROUND($C4199*10*VLOOKUP($B4199,Sheet2!$J$5:$K$7,2,FALSE)*VLOOKUP(Sheet1!$A4199,Sheet2!$B$5:$H$29,7,FALSE),0)</x:f>
        <x:v>1740</x:v>
      </x:c>
      <x:c r="I4199">
        <x:f t="shared" si="69"/>
        <x:v>31290</x:v>
      </x:c>
    </x:row>
    <x:row r="4200" spans="1:9" x14ac:dyDescent="0.15">
      <x:c r="A4200">
        <x:v>54204</x:v>
      </x:c>
      <x:c r="B4200">
        <x:v>1</x:v>
      </x:c>
      <x:c r="C4200">
        <x:v>59</x:v>
      </x:c>
      <x:c r="D4200">
        <x:f>ROUND($C4200*10*VLOOKUP($B4200,Sheet2!$J$5:$K$7,2,FALSE)*VLOOKUP(Sheet1!$A4200,Sheet2!$B$5:$H$29,3,FALSE),0)</x:f>
        <x:v>0</x:v>
      </x:c>
      <x:c r="E4200">
        <x:f>ROUND($C4200*10*VLOOKUP($B4200,Sheet2!$J$5:$K$7,2,FALSE)*VLOOKUP(Sheet1!$A4200,Sheet2!$B$5:$H$29,4,FALSE),0)</x:f>
        <x:v>0</x:v>
      </x:c>
      <x:c r="F4200">
        <x:f>ROUND($C4200*10*VLOOKUP($B4200,Sheet2!$J$5:$K$7,2,FALSE)*VLOOKUP(Sheet1!$A4200,Sheet2!$B$5:$H$29,5,FALSE),0)</x:f>
        <x:v>0</x:v>
      </x:c>
      <x:c r="G4200">
        <x:f>ROUND($C4200*10*VLOOKUP($B4200,Sheet2!$J$5:$K$7,2,FALSE)*VLOOKUP(Sheet1!$A4200,Sheet2!$B$5:$H$29,6,FALSE),0)</x:f>
        <x:v>94</x:v>
      </x:c>
      <x:c r="H4200">
        <x:f>ROUND($C4200*10*VLOOKUP($B4200,Sheet2!$J$5:$K$7,2,FALSE)*VLOOKUP(Sheet1!$A4200,Sheet2!$B$5:$H$29,7,FALSE),0)</x:f>
        <x:v>1770</x:v>
      </x:c>
      <x:c r="I4200">
        <x:f t="shared" si="69"/>
        <x:v>32290</x:v>
      </x:c>
    </x:row>
    <x:row r="4201" spans="1:9" x14ac:dyDescent="0.15">
      <x:c r="A4201">
        <x:v>54204</x:v>
      </x:c>
      <x:c r="B4201">
        <x:v>1</x:v>
      </x:c>
      <x:c r="C4201">
        <x:v>60</x:v>
      </x:c>
      <x:c r="D4201">
        <x:f>ROUND($C4201*10*VLOOKUP($B4201,Sheet2!$J$5:$K$7,2,FALSE)*VLOOKUP(Sheet1!$A4201,Sheet2!$B$5:$H$29,3,FALSE),0)</x:f>
        <x:v>0</x:v>
      </x:c>
      <x:c r="E4201">
        <x:f>ROUND($C4201*10*VLOOKUP($B4201,Sheet2!$J$5:$K$7,2,FALSE)*VLOOKUP(Sheet1!$A4201,Sheet2!$B$5:$H$29,4,FALSE),0)</x:f>
        <x:v>0</x:v>
      </x:c>
      <x:c r="F4201">
        <x:f>ROUND($C4201*10*VLOOKUP($B4201,Sheet2!$J$5:$K$7,2,FALSE)*VLOOKUP(Sheet1!$A4201,Sheet2!$B$5:$H$29,5,FALSE),0)</x:f>
        <x:v>0</x:v>
      </x:c>
      <x:c r="G4201">
        <x:f>ROUND($C4201*10*VLOOKUP($B4201,Sheet2!$J$5:$K$7,2,FALSE)*VLOOKUP(Sheet1!$A4201,Sheet2!$B$5:$H$29,6,FALSE),0)</x:f>
        <x:v>96</x:v>
      </x:c>
      <x:c r="H4201">
        <x:f>ROUND($C4201*10*VLOOKUP($B4201,Sheet2!$J$5:$K$7,2,FALSE)*VLOOKUP(Sheet1!$A4201,Sheet2!$B$5:$H$29,7,FALSE),0)</x:f>
        <x:v>1800</x:v>
      </x:c>
      <x:c r="I4201">
        <x:f t="shared" si="69"/>
        <x:v>33290</x:v>
      </x:c>
    </x:row>
    <x:row r="4202" spans="1:9" x14ac:dyDescent="0.15">
      <x:c r="A4202">
        <x:v>54204</x:v>
      </x:c>
      <x:c r="B4202">
        <x:v>2</x:v>
      </x:c>
      <x:c r="C4202">
        <x:v>1</x:v>
      </x:c>
      <x:c r="D4202">
        <x:f>ROUND($C4202*10*VLOOKUP($B4202,Sheet2!$J$5:$K$7,2,FALSE)*VLOOKUP(Sheet1!$A4202,Sheet2!$B$5:$H$29,3,FALSE),0)</x:f>
        <x:v>0</x:v>
      </x:c>
      <x:c r="E4202">
        <x:f>ROUND($C4202*10*VLOOKUP($B4202,Sheet2!$J$5:$K$7,2,FALSE)*VLOOKUP(Sheet1!$A4202,Sheet2!$B$5:$H$29,4,FALSE),0)</x:f>
        <x:v>0</x:v>
      </x:c>
      <x:c r="F4202">
        <x:f>ROUND($C4202*10*VLOOKUP($B4202,Sheet2!$J$5:$K$7,2,FALSE)*VLOOKUP(Sheet1!$A4202,Sheet2!$B$5:$H$29,5,FALSE),0)</x:f>
        <x:v>0</x:v>
      </x:c>
      <x:c r="G4202">
        <x:f>ROUND($C4202*10*VLOOKUP($B4202,Sheet2!$J$5:$K$7,2,FALSE)*VLOOKUP(Sheet1!$A4202,Sheet2!$B$5:$H$29,6,FALSE),0)</x:f>
        <x:v>2</x:v>
      </x:c>
      <x:c r="H4202">
        <x:f>ROUND($C4202*10*VLOOKUP($B4202,Sheet2!$J$5:$K$7,2,FALSE)*VLOOKUP(Sheet1!$A4202,Sheet2!$B$5:$H$29,7,FALSE),0)</x:f>
        <x:v>36</x:v>
      </x:c>
      <x:c r="I4202">
        <x:f t="shared" ref="I4202:I4261" si="70">ROUND(1.2*10*3.5*(C4202-1)^1.8+60,-1)</x:f>
        <x:v>60</x:v>
      </x:c>
    </x:row>
    <x:row r="4203" spans="1:9" x14ac:dyDescent="0.15">
      <x:c r="A4203">
        <x:v>54204</x:v>
      </x:c>
      <x:c r="B4203">
        <x:v>2</x:v>
      </x:c>
      <x:c r="C4203">
        <x:v>2</x:v>
      </x:c>
      <x:c r="D4203">
        <x:f>ROUND($C4203*10*VLOOKUP($B4203,Sheet2!$J$5:$K$7,2,FALSE)*VLOOKUP(Sheet1!$A4203,Sheet2!$B$5:$H$29,3,FALSE),0)</x:f>
        <x:v>0</x:v>
      </x:c>
      <x:c r="E4203">
        <x:f>ROUND($C4203*10*VLOOKUP($B4203,Sheet2!$J$5:$K$7,2,FALSE)*VLOOKUP(Sheet1!$A4203,Sheet2!$B$5:$H$29,4,FALSE),0)</x:f>
        <x:v>0</x:v>
      </x:c>
      <x:c r="F4203">
        <x:f>ROUND($C4203*10*VLOOKUP($B4203,Sheet2!$J$5:$K$7,2,FALSE)*VLOOKUP(Sheet1!$A4203,Sheet2!$B$5:$H$29,5,FALSE),0)</x:f>
        <x:v>0</x:v>
      </x:c>
      <x:c r="G4203">
        <x:f>ROUND($C4203*10*VLOOKUP($B4203,Sheet2!$J$5:$K$7,2,FALSE)*VLOOKUP(Sheet1!$A4203,Sheet2!$B$5:$H$29,6,FALSE),0)</x:f>
        <x:v>4</x:v>
      </x:c>
      <x:c r="H4203">
        <x:f>ROUND($C4203*10*VLOOKUP($B4203,Sheet2!$J$5:$K$7,2,FALSE)*VLOOKUP(Sheet1!$A4203,Sheet2!$B$5:$H$29,7,FALSE),0)</x:f>
        <x:v>72</x:v>
      </x:c>
      <x:c r="I4203">
        <x:f t="shared" si="70"/>
        <x:v>100</x:v>
      </x:c>
    </x:row>
    <x:row r="4204" spans="1:9" x14ac:dyDescent="0.15">
      <x:c r="A4204">
        <x:v>54204</x:v>
      </x:c>
      <x:c r="B4204">
        <x:v>2</x:v>
      </x:c>
      <x:c r="C4204">
        <x:v>3</x:v>
      </x:c>
      <x:c r="D4204">
        <x:f>ROUND($C4204*10*VLOOKUP($B4204,Sheet2!$J$5:$K$7,2,FALSE)*VLOOKUP(Sheet1!$A4204,Sheet2!$B$5:$H$29,3,FALSE),0)</x:f>
        <x:v>0</x:v>
      </x:c>
      <x:c r="E4204">
        <x:f>ROUND($C4204*10*VLOOKUP($B4204,Sheet2!$J$5:$K$7,2,FALSE)*VLOOKUP(Sheet1!$A4204,Sheet2!$B$5:$H$29,4,FALSE),0)</x:f>
        <x:v>0</x:v>
      </x:c>
      <x:c r="F4204">
        <x:f>ROUND($C4204*10*VLOOKUP($B4204,Sheet2!$J$5:$K$7,2,FALSE)*VLOOKUP(Sheet1!$A4204,Sheet2!$B$5:$H$29,5,FALSE),0)</x:f>
        <x:v>0</x:v>
      </x:c>
      <x:c r="G4204">
        <x:f>ROUND($C4204*10*VLOOKUP($B4204,Sheet2!$J$5:$K$7,2,FALSE)*VLOOKUP(Sheet1!$A4204,Sheet2!$B$5:$H$29,6,FALSE),0)</x:f>
        <x:v>6</x:v>
      </x:c>
      <x:c r="H4204">
        <x:f>ROUND($C4204*10*VLOOKUP($B4204,Sheet2!$J$5:$K$7,2,FALSE)*VLOOKUP(Sheet1!$A4204,Sheet2!$B$5:$H$29,7,FALSE),0)</x:f>
        <x:v>108</x:v>
      </x:c>
      <x:c r="I4204">
        <x:f t="shared" si="70"/>
        <x:v>210</x:v>
      </x:c>
    </x:row>
    <x:row r="4205" spans="1:9" x14ac:dyDescent="0.15">
      <x:c r="A4205">
        <x:v>54204</x:v>
      </x:c>
      <x:c r="B4205">
        <x:v>2</x:v>
      </x:c>
      <x:c r="C4205">
        <x:v>4</x:v>
      </x:c>
      <x:c r="D4205">
        <x:f>ROUND($C4205*10*VLOOKUP($B4205,Sheet2!$J$5:$K$7,2,FALSE)*VLOOKUP(Sheet1!$A4205,Sheet2!$B$5:$H$29,3,FALSE),0)</x:f>
        <x:v>0</x:v>
      </x:c>
      <x:c r="E4205">
        <x:f>ROUND($C4205*10*VLOOKUP($B4205,Sheet2!$J$5:$K$7,2,FALSE)*VLOOKUP(Sheet1!$A4205,Sheet2!$B$5:$H$29,4,FALSE),0)</x:f>
        <x:v>0</x:v>
      </x:c>
      <x:c r="F4205">
        <x:f>ROUND($C4205*10*VLOOKUP($B4205,Sheet2!$J$5:$K$7,2,FALSE)*VLOOKUP(Sheet1!$A4205,Sheet2!$B$5:$H$29,5,FALSE),0)</x:f>
        <x:v>0</x:v>
      </x:c>
      <x:c r="G4205">
        <x:f>ROUND($C4205*10*VLOOKUP($B4205,Sheet2!$J$5:$K$7,2,FALSE)*VLOOKUP(Sheet1!$A4205,Sheet2!$B$5:$H$29,6,FALSE),0)</x:f>
        <x:v>8</x:v>
      </x:c>
      <x:c r="H4205">
        <x:f>ROUND($C4205*10*VLOOKUP($B4205,Sheet2!$J$5:$K$7,2,FALSE)*VLOOKUP(Sheet1!$A4205,Sheet2!$B$5:$H$29,7,FALSE),0)</x:f>
        <x:v>144</x:v>
      </x:c>
      <x:c r="I4205">
        <x:f t="shared" si="70"/>
        <x:v>360</x:v>
      </x:c>
    </x:row>
    <x:row r="4206" spans="1:9" x14ac:dyDescent="0.15">
      <x:c r="A4206">
        <x:v>54204</x:v>
      </x:c>
      <x:c r="B4206">
        <x:v>2</x:v>
      </x:c>
      <x:c r="C4206">
        <x:v>5</x:v>
      </x:c>
      <x:c r="D4206">
        <x:f>ROUND($C4206*10*VLOOKUP($B4206,Sheet2!$J$5:$K$7,2,FALSE)*VLOOKUP(Sheet1!$A4206,Sheet2!$B$5:$H$29,3,FALSE),0)</x:f>
        <x:v>0</x:v>
      </x:c>
      <x:c r="E4206">
        <x:f>ROUND($C4206*10*VLOOKUP($B4206,Sheet2!$J$5:$K$7,2,FALSE)*VLOOKUP(Sheet1!$A4206,Sheet2!$B$5:$H$29,4,FALSE),0)</x:f>
        <x:v>0</x:v>
      </x:c>
      <x:c r="F4206">
        <x:f>ROUND($C4206*10*VLOOKUP($B4206,Sheet2!$J$5:$K$7,2,FALSE)*VLOOKUP(Sheet1!$A4206,Sheet2!$B$5:$H$29,5,FALSE),0)</x:f>
        <x:v>0</x:v>
      </x:c>
      <x:c r="G4206">
        <x:f>ROUND($C4206*10*VLOOKUP($B4206,Sheet2!$J$5:$K$7,2,FALSE)*VLOOKUP(Sheet1!$A4206,Sheet2!$B$5:$H$29,6,FALSE),0)</x:f>
        <x:v>10</x:v>
      </x:c>
      <x:c r="H4206">
        <x:f>ROUND($C4206*10*VLOOKUP($B4206,Sheet2!$J$5:$K$7,2,FALSE)*VLOOKUP(Sheet1!$A4206,Sheet2!$B$5:$H$29,7,FALSE),0)</x:f>
        <x:v>180</x:v>
      </x:c>
      <x:c r="I4206">
        <x:f t="shared" si="70"/>
        <x:v>570</x:v>
      </x:c>
    </x:row>
    <x:row r="4207" spans="1:9" x14ac:dyDescent="0.15">
      <x:c r="A4207">
        <x:v>54204</x:v>
      </x:c>
      <x:c r="B4207">
        <x:v>2</x:v>
      </x:c>
      <x:c r="C4207">
        <x:v>6</x:v>
      </x:c>
      <x:c r="D4207">
        <x:f>ROUND($C4207*10*VLOOKUP($B4207,Sheet2!$J$5:$K$7,2,FALSE)*VLOOKUP(Sheet1!$A4207,Sheet2!$B$5:$H$29,3,FALSE),0)</x:f>
        <x:v>0</x:v>
      </x:c>
      <x:c r="E4207">
        <x:f>ROUND($C4207*10*VLOOKUP($B4207,Sheet2!$J$5:$K$7,2,FALSE)*VLOOKUP(Sheet1!$A4207,Sheet2!$B$5:$H$29,4,FALSE),0)</x:f>
        <x:v>0</x:v>
      </x:c>
      <x:c r="F4207">
        <x:f>ROUND($C4207*10*VLOOKUP($B4207,Sheet2!$J$5:$K$7,2,FALSE)*VLOOKUP(Sheet1!$A4207,Sheet2!$B$5:$H$29,5,FALSE),0)</x:f>
        <x:v>0</x:v>
      </x:c>
      <x:c r="G4207">
        <x:f>ROUND($C4207*10*VLOOKUP($B4207,Sheet2!$J$5:$K$7,2,FALSE)*VLOOKUP(Sheet1!$A4207,Sheet2!$B$5:$H$29,6,FALSE),0)</x:f>
        <x:v>12</x:v>
      </x:c>
      <x:c r="H4207">
        <x:f>ROUND($C4207*10*VLOOKUP($B4207,Sheet2!$J$5:$K$7,2,FALSE)*VLOOKUP(Sheet1!$A4207,Sheet2!$B$5:$H$29,7,FALSE),0)</x:f>
        <x:v>216</x:v>
      </x:c>
      <x:c r="I4207">
        <x:f t="shared" si="70"/>
        <x:v>820</x:v>
      </x:c>
    </x:row>
    <x:row r="4208" spans="1:9" x14ac:dyDescent="0.15">
      <x:c r="A4208">
        <x:v>54204</x:v>
      </x:c>
      <x:c r="B4208">
        <x:v>2</x:v>
      </x:c>
      <x:c r="C4208">
        <x:v>7</x:v>
      </x:c>
      <x:c r="D4208">
        <x:f>ROUND($C4208*10*VLOOKUP($B4208,Sheet2!$J$5:$K$7,2,FALSE)*VLOOKUP(Sheet1!$A4208,Sheet2!$B$5:$H$29,3,FALSE),0)</x:f>
        <x:v>0</x:v>
      </x:c>
      <x:c r="E4208">
        <x:f>ROUND($C4208*10*VLOOKUP($B4208,Sheet2!$J$5:$K$7,2,FALSE)*VLOOKUP(Sheet1!$A4208,Sheet2!$B$5:$H$29,4,FALSE),0)</x:f>
        <x:v>0</x:v>
      </x:c>
      <x:c r="F4208">
        <x:f>ROUND($C4208*10*VLOOKUP($B4208,Sheet2!$J$5:$K$7,2,FALSE)*VLOOKUP(Sheet1!$A4208,Sheet2!$B$5:$H$29,5,FALSE),0)</x:f>
        <x:v>0</x:v>
      </x:c>
      <x:c r="G4208">
        <x:f>ROUND($C4208*10*VLOOKUP($B4208,Sheet2!$J$5:$K$7,2,FALSE)*VLOOKUP(Sheet1!$A4208,Sheet2!$B$5:$H$29,6,FALSE),0)</x:f>
        <x:v>13</x:v>
      </x:c>
      <x:c r="H4208">
        <x:f>ROUND($C4208*10*VLOOKUP($B4208,Sheet2!$J$5:$K$7,2,FALSE)*VLOOKUP(Sheet1!$A4208,Sheet2!$B$5:$H$29,7,FALSE),0)</x:f>
        <x:v>252</x:v>
      </x:c>
      <x:c r="I4208">
        <x:f t="shared" si="70"/>
        <x:v>1120</x:v>
      </x:c>
    </x:row>
    <x:row r="4209" spans="1:9" x14ac:dyDescent="0.15">
      <x:c r="A4209">
        <x:v>54204</x:v>
      </x:c>
      <x:c r="B4209">
        <x:v>2</x:v>
      </x:c>
      <x:c r="C4209">
        <x:v>8</x:v>
      </x:c>
      <x:c r="D4209">
        <x:f>ROUND($C4209*10*VLOOKUP($B4209,Sheet2!$J$5:$K$7,2,FALSE)*VLOOKUP(Sheet1!$A4209,Sheet2!$B$5:$H$29,3,FALSE),0)</x:f>
        <x:v>0</x:v>
      </x:c>
      <x:c r="E4209">
        <x:f>ROUND($C4209*10*VLOOKUP($B4209,Sheet2!$J$5:$K$7,2,FALSE)*VLOOKUP(Sheet1!$A4209,Sheet2!$B$5:$H$29,4,FALSE),0)</x:f>
        <x:v>0</x:v>
      </x:c>
      <x:c r="F4209">
        <x:f>ROUND($C4209*10*VLOOKUP($B4209,Sheet2!$J$5:$K$7,2,FALSE)*VLOOKUP(Sheet1!$A4209,Sheet2!$B$5:$H$29,5,FALSE),0)</x:f>
        <x:v>0</x:v>
      </x:c>
      <x:c r="G4209">
        <x:f>ROUND($C4209*10*VLOOKUP($B4209,Sheet2!$J$5:$K$7,2,FALSE)*VLOOKUP(Sheet1!$A4209,Sheet2!$B$5:$H$29,6,FALSE),0)</x:f>
        <x:v>15</x:v>
      </x:c>
      <x:c r="H4209">
        <x:f>ROUND($C4209*10*VLOOKUP($B4209,Sheet2!$J$5:$K$7,2,FALSE)*VLOOKUP(Sheet1!$A4209,Sheet2!$B$5:$H$29,7,FALSE),0)</x:f>
        <x:v>288</x:v>
      </x:c>
      <x:c r="I4209">
        <x:f t="shared" si="70"/>
        <x:v>1450</x:v>
      </x:c>
    </x:row>
    <x:row r="4210" spans="1:9" x14ac:dyDescent="0.15">
      <x:c r="A4210">
        <x:v>54204</x:v>
      </x:c>
      <x:c r="B4210">
        <x:v>2</x:v>
      </x:c>
      <x:c r="C4210">
        <x:v>9</x:v>
      </x:c>
      <x:c r="D4210">
        <x:f>ROUND($C4210*10*VLOOKUP($B4210,Sheet2!$J$5:$K$7,2,FALSE)*VLOOKUP(Sheet1!$A4210,Sheet2!$B$5:$H$29,3,FALSE),0)</x:f>
        <x:v>0</x:v>
      </x:c>
      <x:c r="E4210">
        <x:f>ROUND($C4210*10*VLOOKUP($B4210,Sheet2!$J$5:$K$7,2,FALSE)*VLOOKUP(Sheet1!$A4210,Sheet2!$B$5:$H$29,4,FALSE),0)</x:f>
        <x:v>0</x:v>
      </x:c>
      <x:c r="F4210">
        <x:f>ROUND($C4210*10*VLOOKUP($B4210,Sheet2!$J$5:$K$7,2,FALSE)*VLOOKUP(Sheet1!$A4210,Sheet2!$B$5:$H$29,5,FALSE),0)</x:f>
        <x:v>0</x:v>
      </x:c>
      <x:c r="G4210">
        <x:f>ROUND($C4210*10*VLOOKUP($B4210,Sheet2!$J$5:$K$7,2,FALSE)*VLOOKUP(Sheet1!$A4210,Sheet2!$B$5:$H$29,6,FALSE),0)</x:f>
        <x:v>17</x:v>
      </x:c>
      <x:c r="H4210">
        <x:f>ROUND($C4210*10*VLOOKUP($B4210,Sheet2!$J$5:$K$7,2,FALSE)*VLOOKUP(Sheet1!$A4210,Sheet2!$B$5:$H$29,7,FALSE),0)</x:f>
        <x:v>324</x:v>
      </x:c>
      <x:c r="I4210">
        <x:f t="shared" si="70"/>
        <x:v>1830</x:v>
      </x:c>
    </x:row>
    <x:row r="4211" spans="1:9" x14ac:dyDescent="0.15">
      <x:c r="A4211">
        <x:v>54204</x:v>
      </x:c>
      <x:c r="B4211">
        <x:v>2</x:v>
      </x:c>
      <x:c r="C4211">
        <x:v>10</x:v>
      </x:c>
      <x:c r="D4211">
        <x:f>ROUND($C4211*10*VLOOKUP($B4211,Sheet2!$J$5:$K$7,2,FALSE)*VLOOKUP(Sheet1!$A4211,Sheet2!$B$5:$H$29,3,FALSE),0)</x:f>
        <x:v>0</x:v>
      </x:c>
      <x:c r="E4211">
        <x:f>ROUND($C4211*10*VLOOKUP($B4211,Sheet2!$J$5:$K$7,2,FALSE)*VLOOKUP(Sheet1!$A4211,Sheet2!$B$5:$H$29,4,FALSE),0)</x:f>
        <x:v>0</x:v>
      </x:c>
      <x:c r="F4211">
        <x:f>ROUND($C4211*10*VLOOKUP($B4211,Sheet2!$J$5:$K$7,2,FALSE)*VLOOKUP(Sheet1!$A4211,Sheet2!$B$5:$H$29,5,FALSE),0)</x:f>
        <x:v>0</x:v>
      </x:c>
      <x:c r="G4211">
        <x:f>ROUND($C4211*10*VLOOKUP($B4211,Sheet2!$J$5:$K$7,2,FALSE)*VLOOKUP(Sheet1!$A4211,Sheet2!$B$5:$H$29,6,FALSE),0)</x:f>
        <x:v>19</x:v>
      </x:c>
      <x:c r="H4211">
        <x:f>ROUND($C4211*10*VLOOKUP($B4211,Sheet2!$J$5:$K$7,2,FALSE)*VLOOKUP(Sheet1!$A4211,Sheet2!$B$5:$H$29,7,FALSE),0)</x:f>
        <x:v>360</x:v>
      </x:c>
      <x:c r="I4211">
        <x:f t="shared" si="70"/>
        <x:v>2250</x:v>
      </x:c>
    </x:row>
    <x:row r="4212" spans="1:9" x14ac:dyDescent="0.15">
      <x:c r="A4212">
        <x:v>54204</x:v>
      </x:c>
      <x:c r="B4212">
        <x:v>2</x:v>
      </x:c>
      <x:c r="C4212">
        <x:v>11</x:v>
      </x:c>
      <x:c r="D4212">
        <x:f>ROUND($C4212*10*VLOOKUP($B4212,Sheet2!$J$5:$K$7,2,FALSE)*VLOOKUP(Sheet1!$A4212,Sheet2!$B$5:$H$29,3,FALSE),0)</x:f>
        <x:v>0</x:v>
      </x:c>
      <x:c r="E4212">
        <x:f>ROUND($C4212*10*VLOOKUP($B4212,Sheet2!$J$5:$K$7,2,FALSE)*VLOOKUP(Sheet1!$A4212,Sheet2!$B$5:$H$29,4,FALSE),0)</x:f>
        <x:v>0</x:v>
      </x:c>
      <x:c r="F4212">
        <x:f>ROUND($C4212*10*VLOOKUP($B4212,Sheet2!$J$5:$K$7,2,FALSE)*VLOOKUP(Sheet1!$A4212,Sheet2!$B$5:$H$29,5,FALSE),0)</x:f>
        <x:v>0</x:v>
      </x:c>
      <x:c r="G4212">
        <x:f>ROUND($C4212*10*VLOOKUP($B4212,Sheet2!$J$5:$K$7,2,FALSE)*VLOOKUP(Sheet1!$A4212,Sheet2!$B$5:$H$29,6,FALSE),0)</x:f>
        <x:v>21</x:v>
      </x:c>
      <x:c r="H4212">
        <x:f>ROUND($C4212*10*VLOOKUP($B4212,Sheet2!$J$5:$K$7,2,FALSE)*VLOOKUP(Sheet1!$A4212,Sheet2!$B$5:$H$29,7,FALSE),0)</x:f>
        <x:v>396</x:v>
      </x:c>
      <x:c r="I4212">
        <x:f t="shared" si="70"/>
        <x:v>2710</x:v>
      </x:c>
    </x:row>
    <x:row r="4213" spans="1:9" x14ac:dyDescent="0.15">
      <x:c r="A4213">
        <x:v>54204</x:v>
      </x:c>
      <x:c r="B4213">
        <x:v>2</x:v>
      </x:c>
      <x:c r="C4213">
        <x:v>12</x:v>
      </x:c>
      <x:c r="D4213">
        <x:f>ROUND($C4213*10*VLOOKUP($B4213,Sheet2!$J$5:$K$7,2,FALSE)*VLOOKUP(Sheet1!$A4213,Sheet2!$B$5:$H$29,3,FALSE),0)</x:f>
        <x:v>0</x:v>
      </x:c>
      <x:c r="E4213">
        <x:f>ROUND($C4213*10*VLOOKUP($B4213,Sheet2!$J$5:$K$7,2,FALSE)*VLOOKUP(Sheet1!$A4213,Sheet2!$B$5:$H$29,4,FALSE),0)</x:f>
        <x:v>0</x:v>
      </x:c>
      <x:c r="F4213">
        <x:f>ROUND($C4213*10*VLOOKUP($B4213,Sheet2!$J$5:$K$7,2,FALSE)*VLOOKUP(Sheet1!$A4213,Sheet2!$B$5:$H$29,5,FALSE),0)</x:f>
        <x:v>0</x:v>
      </x:c>
      <x:c r="G4213">
        <x:f>ROUND($C4213*10*VLOOKUP($B4213,Sheet2!$J$5:$K$7,2,FALSE)*VLOOKUP(Sheet1!$A4213,Sheet2!$B$5:$H$29,6,FALSE),0)</x:f>
        <x:v>23</x:v>
      </x:c>
      <x:c r="H4213">
        <x:f>ROUND($C4213*10*VLOOKUP($B4213,Sheet2!$J$5:$K$7,2,FALSE)*VLOOKUP(Sheet1!$A4213,Sheet2!$B$5:$H$29,7,FALSE),0)</x:f>
        <x:v>432</x:v>
      </x:c>
      <x:c r="I4213">
        <x:f t="shared" si="70"/>
        <x:v>3210</x:v>
      </x:c>
    </x:row>
    <x:row r="4214" spans="1:9" x14ac:dyDescent="0.15">
      <x:c r="A4214">
        <x:v>54204</x:v>
      </x:c>
      <x:c r="B4214">
        <x:v>2</x:v>
      </x:c>
      <x:c r="C4214">
        <x:v>13</x:v>
      </x:c>
      <x:c r="D4214">
        <x:f>ROUND($C4214*10*VLOOKUP($B4214,Sheet2!$J$5:$K$7,2,FALSE)*VLOOKUP(Sheet1!$A4214,Sheet2!$B$5:$H$29,3,FALSE),0)</x:f>
        <x:v>0</x:v>
      </x:c>
      <x:c r="E4214">
        <x:f>ROUND($C4214*10*VLOOKUP($B4214,Sheet2!$J$5:$K$7,2,FALSE)*VLOOKUP(Sheet1!$A4214,Sheet2!$B$5:$H$29,4,FALSE),0)</x:f>
        <x:v>0</x:v>
      </x:c>
      <x:c r="F4214">
        <x:f>ROUND($C4214*10*VLOOKUP($B4214,Sheet2!$J$5:$K$7,2,FALSE)*VLOOKUP(Sheet1!$A4214,Sheet2!$B$5:$H$29,5,FALSE),0)</x:f>
        <x:v>0</x:v>
      </x:c>
      <x:c r="G4214">
        <x:f>ROUND($C4214*10*VLOOKUP($B4214,Sheet2!$J$5:$K$7,2,FALSE)*VLOOKUP(Sheet1!$A4214,Sheet2!$B$5:$H$29,6,FALSE),0)</x:f>
        <x:v>25</x:v>
      </x:c>
      <x:c r="H4214">
        <x:f>ROUND($C4214*10*VLOOKUP($B4214,Sheet2!$J$5:$K$7,2,FALSE)*VLOOKUP(Sheet1!$A4214,Sheet2!$B$5:$H$29,7,FALSE),0)</x:f>
        <x:v>468</x:v>
      </x:c>
      <x:c r="I4214">
        <x:f t="shared" si="70"/>
        <x:v>3740</x:v>
      </x:c>
    </x:row>
    <x:row r="4215" spans="1:9" x14ac:dyDescent="0.15">
      <x:c r="A4215">
        <x:v>54204</x:v>
      </x:c>
      <x:c r="B4215">
        <x:v>2</x:v>
      </x:c>
      <x:c r="C4215">
        <x:v>14</x:v>
      </x:c>
      <x:c r="D4215">
        <x:f>ROUND($C4215*10*VLOOKUP($B4215,Sheet2!$J$5:$K$7,2,FALSE)*VLOOKUP(Sheet1!$A4215,Sheet2!$B$5:$H$29,3,FALSE),0)</x:f>
        <x:v>0</x:v>
      </x:c>
      <x:c r="E4215">
        <x:f>ROUND($C4215*10*VLOOKUP($B4215,Sheet2!$J$5:$K$7,2,FALSE)*VLOOKUP(Sheet1!$A4215,Sheet2!$B$5:$H$29,4,FALSE),0)</x:f>
        <x:v>0</x:v>
      </x:c>
      <x:c r="F4215">
        <x:f>ROUND($C4215*10*VLOOKUP($B4215,Sheet2!$J$5:$K$7,2,FALSE)*VLOOKUP(Sheet1!$A4215,Sheet2!$B$5:$H$29,5,FALSE),0)</x:f>
        <x:v>0</x:v>
      </x:c>
      <x:c r="G4215">
        <x:f>ROUND($C4215*10*VLOOKUP($B4215,Sheet2!$J$5:$K$7,2,FALSE)*VLOOKUP(Sheet1!$A4215,Sheet2!$B$5:$H$29,6,FALSE),0)</x:f>
        <x:v>27</x:v>
      </x:c>
      <x:c r="H4215">
        <x:f>ROUND($C4215*10*VLOOKUP($B4215,Sheet2!$J$5:$K$7,2,FALSE)*VLOOKUP(Sheet1!$A4215,Sheet2!$B$5:$H$29,7,FALSE),0)</x:f>
        <x:v>504</x:v>
      </x:c>
      <x:c r="I4215">
        <x:f t="shared" si="70"/>
        <x:v>4310</x:v>
      </x:c>
    </x:row>
    <x:row r="4216" spans="1:9" x14ac:dyDescent="0.15">
      <x:c r="A4216">
        <x:v>54204</x:v>
      </x:c>
      <x:c r="B4216">
        <x:v>2</x:v>
      </x:c>
      <x:c r="C4216">
        <x:v>15</x:v>
      </x:c>
      <x:c r="D4216">
        <x:f>ROUND($C4216*10*VLOOKUP($B4216,Sheet2!$J$5:$K$7,2,FALSE)*VLOOKUP(Sheet1!$A4216,Sheet2!$B$5:$H$29,3,FALSE),0)</x:f>
        <x:v>0</x:v>
      </x:c>
      <x:c r="E4216">
        <x:f>ROUND($C4216*10*VLOOKUP($B4216,Sheet2!$J$5:$K$7,2,FALSE)*VLOOKUP(Sheet1!$A4216,Sheet2!$B$5:$H$29,4,FALSE),0)</x:f>
        <x:v>0</x:v>
      </x:c>
      <x:c r="F4216">
        <x:f>ROUND($C4216*10*VLOOKUP($B4216,Sheet2!$J$5:$K$7,2,FALSE)*VLOOKUP(Sheet1!$A4216,Sheet2!$B$5:$H$29,5,FALSE),0)</x:f>
        <x:v>0</x:v>
      </x:c>
      <x:c r="G4216">
        <x:f>ROUND($C4216*10*VLOOKUP($B4216,Sheet2!$J$5:$K$7,2,FALSE)*VLOOKUP(Sheet1!$A4216,Sheet2!$B$5:$H$29,6,FALSE),0)</x:f>
        <x:v>29</x:v>
      </x:c>
      <x:c r="H4216">
        <x:f>ROUND($C4216*10*VLOOKUP($B4216,Sheet2!$J$5:$K$7,2,FALSE)*VLOOKUP(Sheet1!$A4216,Sheet2!$B$5:$H$29,7,FALSE),0)</x:f>
        <x:v>540</x:v>
      </x:c>
      <x:c r="I4216">
        <x:f t="shared" si="70"/>
        <x:v>4920</x:v>
      </x:c>
    </x:row>
    <x:row r="4217" spans="1:9" x14ac:dyDescent="0.15">
      <x:c r="A4217">
        <x:v>54204</x:v>
      </x:c>
      <x:c r="B4217">
        <x:v>2</x:v>
      </x:c>
      <x:c r="C4217">
        <x:v>16</x:v>
      </x:c>
      <x:c r="D4217">
        <x:f>ROUND($C4217*10*VLOOKUP($B4217,Sheet2!$J$5:$K$7,2,FALSE)*VLOOKUP(Sheet1!$A4217,Sheet2!$B$5:$H$29,3,FALSE),0)</x:f>
        <x:v>0</x:v>
      </x:c>
      <x:c r="E4217">
        <x:f>ROUND($C4217*10*VLOOKUP($B4217,Sheet2!$J$5:$K$7,2,FALSE)*VLOOKUP(Sheet1!$A4217,Sheet2!$B$5:$H$29,4,FALSE),0)</x:f>
        <x:v>0</x:v>
      </x:c>
      <x:c r="F4217">
        <x:f>ROUND($C4217*10*VLOOKUP($B4217,Sheet2!$J$5:$K$7,2,FALSE)*VLOOKUP(Sheet1!$A4217,Sheet2!$B$5:$H$29,5,FALSE),0)</x:f>
        <x:v>0</x:v>
      </x:c>
      <x:c r="G4217">
        <x:f>ROUND($C4217*10*VLOOKUP($B4217,Sheet2!$J$5:$K$7,2,FALSE)*VLOOKUP(Sheet1!$A4217,Sheet2!$B$5:$H$29,6,FALSE),0)</x:f>
        <x:v>31</x:v>
      </x:c>
      <x:c r="H4217">
        <x:f>ROUND($C4217*10*VLOOKUP($B4217,Sheet2!$J$5:$K$7,2,FALSE)*VLOOKUP(Sheet1!$A4217,Sheet2!$B$5:$H$29,7,FALSE),0)</x:f>
        <x:v>576</x:v>
      </x:c>
      <x:c r="I4217">
        <x:f t="shared" si="70"/>
        <x:v>5560</x:v>
      </x:c>
    </x:row>
    <x:row r="4218" spans="1:9" x14ac:dyDescent="0.15">
      <x:c r="A4218">
        <x:v>54204</x:v>
      </x:c>
      <x:c r="B4218">
        <x:v>2</x:v>
      </x:c>
      <x:c r="C4218">
        <x:v>17</x:v>
      </x:c>
      <x:c r="D4218">
        <x:f>ROUND($C4218*10*VLOOKUP($B4218,Sheet2!$J$5:$K$7,2,FALSE)*VLOOKUP(Sheet1!$A4218,Sheet2!$B$5:$H$29,3,FALSE),0)</x:f>
        <x:v>0</x:v>
      </x:c>
      <x:c r="E4218">
        <x:f>ROUND($C4218*10*VLOOKUP($B4218,Sheet2!$J$5:$K$7,2,FALSE)*VLOOKUP(Sheet1!$A4218,Sheet2!$B$5:$H$29,4,FALSE),0)</x:f>
        <x:v>0</x:v>
      </x:c>
      <x:c r="F4218">
        <x:f>ROUND($C4218*10*VLOOKUP($B4218,Sheet2!$J$5:$K$7,2,FALSE)*VLOOKUP(Sheet1!$A4218,Sheet2!$B$5:$H$29,5,FALSE),0)</x:f>
        <x:v>0</x:v>
      </x:c>
      <x:c r="G4218">
        <x:f>ROUND($C4218*10*VLOOKUP($B4218,Sheet2!$J$5:$K$7,2,FALSE)*VLOOKUP(Sheet1!$A4218,Sheet2!$B$5:$H$29,6,FALSE),0)</x:f>
        <x:v>33</x:v>
      </x:c>
      <x:c r="H4218">
        <x:f>ROUND($C4218*10*VLOOKUP($B4218,Sheet2!$J$5:$K$7,2,FALSE)*VLOOKUP(Sheet1!$A4218,Sheet2!$B$5:$H$29,7,FALSE),0)</x:f>
        <x:v>612</x:v>
      </x:c>
      <x:c r="I4218">
        <x:f t="shared" si="70"/>
        <x:v>6240</x:v>
      </x:c>
    </x:row>
    <x:row r="4219" spans="1:9" x14ac:dyDescent="0.15">
      <x:c r="A4219">
        <x:v>54204</x:v>
      </x:c>
      <x:c r="B4219">
        <x:v>2</x:v>
      </x:c>
      <x:c r="C4219">
        <x:v>18</x:v>
      </x:c>
      <x:c r="D4219">
        <x:f>ROUND($C4219*10*VLOOKUP($B4219,Sheet2!$J$5:$K$7,2,FALSE)*VLOOKUP(Sheet1!$A4219,Sheet2!$B$5:$H$29,3,FALSE),0)</x:f>
        <x:v>0</x:v>
      </x:c>
      <x:c r="E4219">
        <x:f>ROUND($C4219*10*VLOOKUP($B4219,Sheet2!$J$5:$K$7,2,FALSE)*VLOOKUP(Sheet1!$A4219,Sheet2!$B$5:$H$29,4,FALSE),0)</x:f>
        <x:v>0</x:v>
      </x:c>
      <x:c r="F4219">
        <x:f>ROUND($C4219*10*VLOOKUP($B4219,Sheet2!$J$5:$K$7,2,FALSE)*VLOOKUP(Sheet1!$A4219,Sheet2!$B$5:$H$29,5,FALSE),0)</x:f>
        <x:v>0</x:v>
      </x:c>
      <x:c r="G4219">
        <x:f>ROUND($C4219*10*VLOOKUP($B4219,Sheet2!$J$5:$K$7,2,FALSE)*VLOOKUP(Sheet1!$A4219,Sheet2!$B$5:$H$29,6,FALSE),0)</x:f>
        <x:v>35</x:v>
      </x:c>
      <x:c r="H4219">
        <x:f>ROUND($C4219*10*VLOOKUP($B4219,Sheet2!$J$5:$K$7,2,FALSE)*VLOOKUP(Sheet1!$A4219,Sheet2!$B$5:$H$29,7,FALSE),0)</x:f>
        <x:v>648</x:v>
      </x:c>
      <x:c r="I4219">
        <x:f t="shared" si="70"/>
        <x:v>6950</x:v>
      </x:c>
    </x:row>
    <x:row r="4220" spans="1:9" x14ac:dyDescent="0.15">
      <x:c r="A4220">
        <x:v>54204</x:v>
      </x:c>
      <x:c r="B4220">
        <x:v>2</x:v>
      </x:c>
      <x:c r="C4220">
        <x:v>19</x:v>
      </x:c>
      <x:c r="D4220">
        <x:f>ROUND($C4220*10*VLOOKUP($B4220,Sheet2!$J$5:$K$7,2,FALSE)*VLOOKUP(Sheet1!$A4220,Sheet2!$B$5:$H$29,3,FALSE),0)</x:f>
        <x:v>0</x:v>
      </x:c>
      <x:c r="E4220">
        <x:f>ROUND($C4220*10*VLOOKUP($B4220,Sheet2!$J$5:$K$7,2,FALSE)*VLOOKUP(Sheet1!$A4220,Sheet2!$B$5:$H$29,4,FALSE),0)</x:f>
        <x:v>0</x:v>
      </x:c>
      <x:c r="F4220">
        <x:f>ROUND($C4220*10*VLOOKUP($B4220,Sheet2!$J$5:$K$7,2,FALSE)*VLOOKUP(Sheet1!$A4220,Sheet2!$B$5:$H$29,5,FALSE),0)</x:f>
        <x:v>0</x:v>
      </x:c>
      <x:c r="G4220">
        <x:f>ROUND($C4220*10*VLOOKUP($B4220,Sheet2!$J$5:$K$7,2,FALSE)*VLOOKUP(Sheet1!$A4220,Sheet2!$B$5:$H$29,6,FALSE),0)</x:f>
        <x:v>36</x:v>
      </x:c>
      <x:c r="H4220">
        <x:f>ROUND($C4220*10*VLOOKUP($B4220,Sheet2!$J$5:$K$7,2,FALSE)*VLOOKUP(Sheet1!$A4220,Sheet2!$B$5:$H$29,7,FALSE),0)</x:f>
        <x:v>684</x:v>
      </x:c>
      <x:c r="I4220">
        <x:f t="shared" si="70"/>
        <x:v>7690</x:v>
      </x:c>
    </x:row>
    <x:row r="4221" spans="1:9" x14ac:dyDescent="0.15">
      <x:c r="A4221">
        <x:v>54204</x:v>
      </x:c>
      <x:c r="B4221">
        <x:v>2</x:v>
      </x:c>
      <x:c r="C4221">
        <x:v>20</x:v>
      </x:c>
      <x:c r="D4221">
        <x:f>ROUND($C4221*10*VLOOKUP($B4221,Sheet2!$J$5:$K$7,2,FALSE)*VLOOKUP(Sheet1!$A4221,Sheet2!$B$5:$H$29,3,FALSE),0)</x:f>
        <x:v>0</x:v>
      </x:c>
      <x:c r="E4221">
        <x:f>ROUND($C4221*10*VLOOKUP($B4221,Sheet2!$J$5:$K$7,2,FALSE)*VLOOKUP(Sheet1!$A4221,Sheet2!$B$5:$H$29,4,FALSE),0)</x:f>
        <x:v>0</x:v>
      </x:c>
      <x:c r="F4221">
        <x:f>ROUND($C4221*10*VLOOKUP($B4221,Sheet2!$J$5:$K$7,2,FALSE)*VLOOKUP(Sheet1!$A4221,Sheet2!$B$5:$H$29,5,FALSE),0)</x:f>
        <x:v>0</x:v>
      </x:c>
      <x:c r="G4221">
        <x:f>ROUND($C4221*10*VLOOKUP($B4221,Sheet2!$J$5:$K$7,2,FALSE)*VLOOKUP(Sheet1!$A4221,Sheet2!$B$5:$H$29,6,FALSE),0)</x:f>
        <x:v>38</x:v>
      </x:c>
      <x:c r="H4221">
        <x:f>ROUND($C4221*10*VLOOKUP($B4221,Sheet2!$J$5:$K$7,2,FALSE)*VLOOKUP(Sheet1!$A4221,Sheet2!$B$5:$H$29,7,FALSE),0)</x:f>
        <x:v>720</x:v>
      </x:c>
      <x:c r="I4221">
        <x:f t="shared" si="70"/>
        <x:v>8470</x:v>
      </x:c>
    </x:row>
    <x:row r="4222" spans="1:9" x14ac:dyDescent="0.15">
      <x:c r="A4222">
        <x:v>54204</x:v>
      </x:c>
      <x:c r="B4222">
        <x:v>2</x:v>
      </x:c>
      <x:c r="C4222">
        <x:v>21</x:v>
      </x:c>
      <x:c r="D4222">
        <x:f>ROUND($C4222*10*VLOOKUP($B4222,Sheet2!$J$5:$K$7,2,FALSE)*VLOOKUP(Sheet1!$A4222,Sheet2!$B$5:$H$29,3,FALSE),0)</x:f>
        <x:v>0</x:v>
      </x:c>
      <x:c r="E4222">
        <x:f>ROUND($C4222*10*VLOOKUP($B4222,Sheet2!$J$5:$K$7,2,FALSE)*VLOOKUP(Sheet1!$A4222,Sheet2!$B$5:$H$29,4,FALSE),0)</x:f>
        <x:v>0</x:v>
      </x:c>
      <x:c r="F4222">
        <x:f>ROUND($C4222*10*VLOOKUP($B4222,Sheet2!$J$5:$K$7,2,FALSE)*VLOOKUP(Sheet1!$A4222,Sheet2!$B$5:$H$29,5,FALSE),0)</x:f>
        <x:v>0</x:v>
      </x:c>
      <x:c r="G4222">
        <x:f>ROUND($C4222*10*VLOOKUP($B4222,Sheet2!$J$5:$K$7,2,FALSE)*VLOOKUP(Sheet1!$A4222,Sheet2!$B$5:$H$29,6,FALSE),0)</x:f>
        <x:v>40</x:v>
      </x:c>
      <x:c r="H4222">
        <x:f>ROUND($C4222*10*VLOOKUP($B4222,Sheet2!$J$5:$K$7,2,FALSE)*VLOOKUP(Sheet1!$A4222,Sheet2!$B$5:$H$29,7,FALSE),0)</x:f>
        <x:v>756</x:v>
      </x:c>
      <x:c r="I4222">
        <x:f t="shared" si="70"/>
        <x:v>9290</x:v>
      </x:c>
    </x:row>
    <x:row r="4223" spans="1:9" x14ac:dyDescent="0.15">
      <x:c r="A4223">
        <x:v>54204</x:v>
      </x:c>
      <x:c r="B4223">
        <x:v>2</x:v>
      </x:c>
      <x:c r="C4223">
        <x:v>22</x:v>
      </x:c>
      <x:c r="D4223">
        <x:f>ROUND($C4223*10*VLOOKUP($B4223,Sheet2!$J$5:$K$7,2,FALSE)*VLOOKUP(Sheet1!$A4223,Sheet2!$B$5:$H$29,3,FALSE),0)</x:f>
        <x:v>0</x:v>
      </x:c>
      <x:c r="E4223">
        <x:f>ROUND($C4223*10*VLOOKUP($B4223,Sheet2!$J$5:$K$7,2,FALSE)*VLOOKUP(Sheet1!$A4223,Sheet2!$B$5:$H$29,4,FALSE),0)</x:f>
        <x:v>0</x:v>
      </x:c>
      <x:c r="F4223">
        <x:f>ROUND($C4223*10*VLOOKUP($B4223,Sheet2!$J$5:$K$7,2,FALSE)*VLOOKUP(Sheet1!$A4223,Sheet2!$B$5:$H$29,5,FALSE),0)</x:f>
        <x:v>0</x:v>
      </x:c>
      <x:c r="G4223">
        <x:f>ROUND($C4223*10*VLOOKUP($B4223,Sheet2!$J$5:$K$7,2,FALSE)*VLOOKUP(Sheet1!$A4223,Sheet2!$B$5:$H$29,6,FALSE),0)</x:f>
        <x:v>42</x:v>
      </x:c>
      <x:c r="H4223">
        <x:f>ROUND($C4223*10*VLOOKUP($B4223,Sheet2!$J$5:$K$7,2,FALSE)*VLOOKUP(Sheet1!$A4223,Sheet2!$B$5:$H$29,7,FALSE),0)</x:f>
        <x:v>792</x:v>
      </x:c>
      <x:c r="I4223">
        <x:f t="shared" si="70"/>
        <x:v>10130</x:v>
      </x:c>
    </x:row>
    <x:row r="4224" spans="1:9" x14ac:dyDescent="0.15">
      <x:c r="A4224">
        <x:v>54204</x:v>
      </x:c>
      <x:c r="B4224">
        <x:v>2</x:v>
      </x:c>
      <x:c r="C4224">
        <x:v>23</x:v>
      </x:c>
      <x:c r="D4224">
        <x:f>ROUND($C4224*10*VLOOKUP($B4224,Sheet2!$J$5:$K$7,2,FALSE)*VLOOKUP(Sheet1!$A4224,Sheet2!$B$5:$H$29,3,FALSE),0)</x:f>
        <x:v>0</x:v>
      </x:c>
      <x:c r="E4224">
        <x:f>ROUND($C4224*10*VLOOKUP($B4224,Sheet2!$J$5:$K$7,2,FALSE)*VLOOKUP(Sheet1!$A4224,Sheet2!$B$5:$H$29,4,FALSE),0)</x:f>
        <x:v>0</x:v>
      </x:c>
      <x:c r="F4224">
        <x:f>ROUND($C4224*10*VLOOKUP($B4224,Sheet2!$J$5:$K$7,2,FALSE)*VLOOKUP(Sheet1!$A4224,Sheet2!$B$5:$H$29,5,FALSE),0)</x:f>
        <x:v>0</x:v>
      </x:c>
      <x:c r="G4224">
        <x:f>ROUND($C4224*10*VLOOKUP($B4224,Sheet2!$J$5:$K$7,2,FALSE)*VLOOKUP(Sheet1!$A4224,Sheet2!$B$5:$H$29,6,FALSE),0)</x:f>
        <x:v>44</x:v>
      </x:c>
      <x:c r="H4224">
        <x:f>ROUND($C4224*10*VLOOKUP($B4224,Sheet2!$J$5:$K$7,2,FALSE)*VLOOKUP(Sheet1!$A4224,Sheet2!$B$5:$H$29,7,FALSE),0)</x:f>
        <x:v>828</x:v>
      </x:c>
      <x:c r="I4224">
        <x:f t="shared" si="70"/>
        <x:v>11010</x:v>
      </x:c>
    </x:row>
    <x:row r="4225" spans="1:9" x14ac:dyDescent="0.15">
      <x:c r="A4225">
        <x:v>54204</x:v>
      </x:c>
      <x:c r="B4225">
        <x:v>2</x:v>
      </x:c>
      <x:c r="C4225">
        <x:v>24</x:v>
      </x:c>
      <x:c r="D4225">
        <x:f>ROUND($C4225*10*VLOOKUP($B4225,Sheet2!$J$5:$K$7,2,FALSE)*VLOOKUP(Sheet1!$A4225,Sheet2!$B$5:$H$29,3,FALSE),0)</x:f>
        <x:v>0</x:v>
      </x:c>
      <x:c r="E4225">
        <x:f>ROUND($C4225*10*VLOOKUP($B4225,Sheet2!$J$5:$K$7,2,FALSE)*VLOOKUP(Sheet1!$A4225,Sheet2!$B$5:$H$29,4,FALSE),0)</x:f>
        <x:v>0</x:v>
      </x:c>
      <x:c r="F4225">
        <x:f>ROUND($C4225*10*VLOOKUP($B4225,Sheet2!$J$5:$K$7,2,FALSE)*VLOOKUP(Sheet1!$A4225,Sheet2!$B$5:$H$29,5,FALSE),0)</x:f>
        <x:v>0</x:v>
      </x:c>
      <x:c r="G4225">
        <x:f>ROUND($C4225*10*VLOOKUP($B4225,Sheet2!$J$5:$K$7,2,FALSE)*VLOOKUP(Sheet1!$A4225,Sheet2!$B$5:$H$29,6,FALSE),0)</x:f>
        <x:v>46</x:v>
      </x:c>
      <x:c r="H4225">
        <x:f>ROUND($C4225*10*VLOOKUP($B4225,Sheet2!$J$5:$K$7,2,FALSE)*VLOOKUP(Sheet1!$A4225,Sheet2!$B$5:$H$29,7,FALSE),0)</x:f>
        <x:v>864</x:v>
      </x:c>
      <x:c r="I4225">
        <x:f t="shared" si="70"/>
        <x:v>11930</x:v>
      </x:c>
    </x:row>
    <x:row r="4226" spans="1:9" x14ac:dyDescent="0.15">
      <x:c r="A4226">
        <x:v>54204</x:v>
      </x:c>
      <x:c r="B4226">
        <x:v>2</x:v>
      </x:c>
      <x:c r="C4226">
        <x:v>25</x:v>
      </x:c>
      <x:c r="D4226">
        <x:f>ROUND($C4226*10*VLOOKUP($B4226,Sheet2!$J$5:$K$7,2,FALSE)*VLOOKUP(Sheet1!$A4226,Sheet2!$B$5:$H$29,3,FALSE),0)</x:f>
        <x:v>0</x:v>
      </x:c>
      <x:c r="E4226">
        <x:f>ROUND($C4226*10*VLOOKUP($B4226,Sheet2!$J$5:$K$7,2,FALSE)*VLOOKUP(Sheet1!$A4226,Sheet2!$B$5:$H$29,4,FALSE),0)</x:f>
        <x:v>0</x:v>
      </x:c>
      <x:c r="F4226">
        <x:f>ROUND($C4226*10*VLOOKUP($B4226,Sheet2!$J$5:$K$7,2,FALSE)*VLOOKUP(Sheet1!$A4226,Sheet2!$B$5:$H$29,5,FALSE),0)</x:f>
        <x:v>0</x:v>
      </x:c>
      <x:c r="G4226">
        <x:f>ROUND($C4226*10*VLOOKUP($B4226,Sheet2!$J$5:$K$7,2,FALSE)*VLOOKUP(Sheet1!$A4226,Sheet2!$B$5:$H$29,6,FALSE),0)</x:f>
        <x:v>48</x:v>
      </x:c>
      <x:c r="H4226">
        <x:f>ROUND($C4226*10*VLOOKUP($B4226,Sheet2!$J$5:$K$7,2,FALSE)*VLOOKUP(Sheet1!$A4226,Sheet2!$B$5:$H$29,7,FALSE),0)</x:f>
        <x:v>900</x:v>
      </x:c>
      <x:c r="I4226">
        <x:f t="shared" si="70"/>
        <x:v>12870</x:v>
      </x:c>
    </x:row>
    <x:row r="4227" spans="1:9" x14ac:dyDescent="0.15">
      <x:c r="A4227">
        <x:v>54204</x:v>
      </x:c>
      <x:c r="B4227">
        <x:v>2</x:v>
      </x:c>
      <x:c r="C4227">
        <x:v>26</x:v>
      </x:c>
      <x:c r="D4227">
        <x:f>ROUND($C4227*10*VLOOKUP($B4227,Sheet2!$J$5:$K$7,2,FALSE)*VLOOKUP(Sheet1!$A4227,Sheet2!$B$5:$H$29,3,FALSE),0)</x:f>
        <x:v>0</x:v>
      </x:c>
      <x:c r="E4227">
        <x:f>ROUND($C4227*10*VLOOKUP($B4227,Sheet2!$J$5:$K$7,2,FALSE)*VLOOKUP(Sheet1!$A4227,Sheet2!$B$5:$H$29,4,FALSE),0)</x:f>
        <x:v>0</x:v>
      </x:c>
      <x:c r="F4227">
        <x:f>ROUND($C4227*10*VLOOKUP($B4227,Sheet2!$J$5:$K$7,2,FALSE)*VLOOKUP(Sheet1!$A4227,Sheet2!$B$5:$H$29,5,FALSE),0)</x:f>
        <x:v>0</x:v>
      </x:c>
      <x:c r="G4227">
        <x:f>ROUND($C4227*10*VLOOKUP($B4227,Sheet2!$J$5:$K$7,2,FALSE)*VLOOKUP(Sheet1!$A4227,Sheet2!$B$5:$H$29,6,FALSE),0)</x:f>
        <x:v>50</x:v>
      </x:c>
      <x:c r="H4227">
        <x:f>ROUND($C4227*10*VLOOKUP($B4227,Sheet2!$J$5:$K$7,2,FALSE)*VLOOKUP(Sheet1!$A4227,Sheet2!$B$5:$H$29,7,FALSE),0)</x:f>
        <x:v>936</x:v>
      </x:c>
      <x:c r="I4227">
        <x:f t="shared" si="70"/>
        <x:v>13850</x:v>
      </x:c>
    </x:row>
    <x:row r="4228" spans="1:9" x14ac:dyDescent="0.15">
      <x:c r="A4228">
        <x:v>54204</x:v>
      </x:c>
      <x:c r="B4228">
        <x:v>2</x:v>
      </x:c>
      <x:c r="C4228">
        <x:v>27</x:v>
      </x:c>
      <x:c r="D4228">
        <x:f>ROUND($C4228*10*VLOOKUP($B4228,Sheet2!$J$5:$K$7,2,FALSE)*VLOOKUP(Sheet1!$A4228,Sheet2!$B$5:$H$29,3,FALSE),0)</x:f>
        <x:v>0</x:v>
      </x:c>
      <x:c r="E4228">
        <x:f>ROUND($C4228*10*VLOOKUP($B4228,Sheet2!$J$5:$K$7,2,FALSE)*VLOOKUP(Sheet1!$A4228,Sheet2!$B$5:$H$29,4,FALSE),0)</x:f>
        <x:v>0</x:v>
      </x:c>
      <x:c r="F4228">
        <x:f>ROUND($C4228*10*VLOOKUP($B4228,Sheet2!$J$5:$K$7,2,FALSE)*VLOOKUP(Sheet1!$A4228,Sheet2!$B$5:$H$29,5,FALSE),0)</x:f>
        <x:v>0</x:v>
      </x:c>
      <x:c r="G4228">
        <x:f>ROUND($C4228*10*VLOOKUP($B4228,Sheet2!$J$5:$K$7,2,FALSE)*VLOOKUP(Sheet1!$A4228,Sheet2!$B$5:$H$29,6,FALSE),0)</x:f>
        <x:v>52</x:v>
      </x:c>
      <x:c r="H4228">
        <x:f>ROUND($C4228*10*VLOOKUP($B4228,Sheet2!$J$5:$K$7,2,FALSE)*VLOOKUP(Sheet1!$A4228,Sheet2!$B$5:$H$29,7,FALSE),0)</x:f>
        <x:v>972</x:v>
      </x:c>
      <x:c r="I4228">
        <x:f t="shared" si="70"/>
        <x:v>14860</x:v>
      </x:c>
    </x:row>
    <x:row r="4229" spans="1:9" x14ac:dyDescent="0.15">
      <x:c r="A4229">
        <x:v>54204</x:v>
      </x:c>
      <x:c r="B4229">
        <x:v>2</x:v>
      </x:c>
      <x:c r="C4229">
        <x:v>28</x:v>
      </x:c>
      <x:c r="D4229">
        <x:f>ROUND($C4229*10*VLOOKUP($B4229,Sheet2!$J$5:$K$7,2,FALSE)*VLOOKUP(Sheet1!$A4229,Sheet2!$B$5:$H$29,3,FALSE),0)</x:f>
        <x:v>0</x:v>
      </x:c>
      <x:c r="E4229">
        <x:f>ROUND($C4229*10*VLOOKUP($B4229,Sheet2!$J$5:$K$7,2,FALSE)*VLOOKUP(Sheet1!$A4229,Sheet2!$B$5:$H$29,4,FALSE),0)</x:f>
        <x:v>0</x:v>
      </x:c>
      <x:c r="F4229">
        <x:f>ROUND($C4229*10*VLOOKUP($B4229,Sheet2!$J$5:$K$7,2,FALSE)*VLOOKUP(Sheet1!$A4229,Sheet2!$B$5:$H$29,5,FALSE),0)</x:f>
        <x:v>0</x:v>
      </x:c>
      <x:c r="G4229">
        <x:f>ROUND($C4229*10*VLOOKUP($B4229,Sheet2!$J$5:$K$7,2,FALSE)*VLOOKUP(Sheet1!$A4229,Sheet2!$B$5:$H$29,6,FALSE),0)</x:f>
        <x:v>54</x:v>
      </x:c>
      <x:c r="H4229">
        <x:f>ROUND($C4229*10*VLOOKUP($B4229,Sheet2!$J$5:$K$7,2,FALSE)*VLOOKUP(Sheet1!$A4229,Sheet2!$B$5:$H$29,7,FALSE),0)</x:f>
        <x:v>1008</x:v>
      </x:c>
      <x:c r="I4229">
        <x:f t="shared" si="70"/>
        <x:v>15900</x:v>
      </x:c>
    </x:row>
    <x:row r="4230" spans="1:9" x14ac:dyDescent="0.15">
      <x:c r="A4230">
        <x:v>54204</x:v>
      </x:c>
      <x:c r="B4230">
        <x:v>2</x:v>
      </x:c>
      <x:c r="C4230">
        <x:v>29</x:v>
      </x:c>
      <x:c r="D4230">
        <x:f>ROUND($C4230*10*VLOOKUP($B4230,Sheet2!$J$5:$K$7,2,FALSE)*VLOOKUP(Sheet1!$A4230,Sheet2!$B$5:$H$29,3,FALSE),0)</x:f>
        <x:v>0</x:v>
      </x:c>
      <x:c r="E4230">
        <x:f>ROUND($C4230*10*VLOOKUP($B4230,Sheet2!$J$5:$K$7,2,FALSE)*VLOOKUP(Sheet1!$A4230,Sheet2!$B$5:$H$29,4,FALSE),0)</x:f>
        <x:v>0</x:v>
      </x:c>
      <x:c r="F4230">
        <x:f>ROUND($C4230*10*VLOOKUP($B4230,Sheet2!$J$5:$K$7,2,FALSE)*VLOOKUP(Sheet1!$A4230,Sheet2!$B$5:$H$29,5,FALSE),0)</x:f>
        <x:v>0</x:v>
      </x:c>
      <x:c r="G4230">
        <x:f>ROUND($C4230*10*VLOOKUP($B4230,Sheet2!$J$5:$K$7,2,FALSE)*VLOOKUP(Sheet1!$A4230,Sheet2!$B$5:$H$29,6,FALSE),0)</x:f>
        <x:v>56</x:v>
      </x:c>
      <x:c r="H4230">
        <x:f>ROUND($C4230*10*VLOOKUP($B4230,Sheet2!$J$5:$K$7,2,FALSE)*VLOOKUP(Sheet1!$A4230,Sheet2!$B$5:$H$29,7,FALSE),0)</x:f>
        <x:v>1044</x:v>
      </x:c>
      <x:c r="I4230">
        <x:f t="shared" si="70"/>
        <x:v>16970</x:v>
      </x:c>
    </x:row>
    <x:row r="4231" spans="1:9" x14ac:dyDescent="0.15">
      <x:c r="A4231">
        <x:v>54204</x:v>
      </x:c>
      <x:c r="B4231">
        <x:v>2</x:v>
      </x:c>
      <x:c r="C4231">
        <x:v>30</x:v>
      </x:c>
      <x:c r="D4231">
        <x:f>ROUND($C4231*10*VLOOKUP($B4231,Sheet2!$J$5:$K$7,2,FALSE)*VLOOKUP(Sheet1!$A4231,Sheet2!$B$5:$H$29,3,FALSE),0)</x:f>
        <x:v>0</x:v>
      </x:c>
      <x:c r="E4231">
        <x:f>ROUND($C4231*10*VLOOKUP($B4231,Sheet2!$J$5:$K$7,2,FALSE)*VLOOKUP(Sheet1!$A4231,Sheet2!$B$5:$H$29,4,FALSE),0)</x:f>
        <x:v>0</x:v>
      </x:c>
      <x:c r="F4231">
        <x:f>ROUND($C4231*10*VLOOKUP($B4231,Sheet2!$J$5:$K$7,2,FALSE)*VLOOKUP(Sheet1!$A4231,Sheet2!$B$5:$H$29,5,FALSE),0)</x:f>
        <x:v>0</x:v>
      </x:c>
      <x:c r="G4231">
        <x:f>ROUND($C4231*10*VLOOKUP($B4231,Sheet2!$J$5:$K$7,2,FALSE)*VLOOKUP(Sheet1!$A4231,Sheet2!$B$5:$H$29,6,FALSE),0)</x:f>
        <x:v>58</x:v>
      </x:c>
      <x:c r="H4231">
        <x:f>ROUND($C4231*10*VLOOKUP($B4231,Sheet2!$J$5:$K$7,2,FALSE)*VLOOKUP(Sheet1!$A4231,Sheet2!$B$5:$H$29,7,FALSE),0)</x:f>
        <x:v>1080</x:v>
      </x:c>
      <x:c r="I4231">
        <x:f t="shared" si="70"/>
        <x:v>18070</x:v>
      </x:c>
    </x:row>
    <x:row r="4232" spans="1:9" x14ac:dyDescent="0.15">
      <x:c r="A4232">
        <x:v>54204</x:v>
      </x:c>
      <x:c r="B4232">
        <x:v>2</x:v>
      </x:c>
      <x:c r="C4232">
        <x:v>31</x:v>
      </x:c>
      <x:c r="D4232">
        <x:f>ROUND($C4232*10*VLOOKUP($B4232,Sheet2!$J$5:$K$7,2,FALSE)*VLOOKUP(Sheet1!$A4232,Sheet2!$B$5:$H$29,3,FALSE),0)</x:f>
        <x:v>0</x:v>
      </x:c>
      <x:c r="E4232">
        <x:f>ROUND($C4232*10*VLOOKUP($B4232,Sheet2!$J$5:$K$7,2,FALSE)*VLOOKUP(Sheet1!$A4232,Sheet2!$B$5:$H$29,4,FALSE),0)</x:f>
        <x:v>0</x:v>
      </x:c>
      <x:c r="F4232">
        <x:f>ROUND($C4232*10*VLOOKUP($B4232,Sheet2!$J$5:$K$7,2,FALSE)*VLOOKUP(Sheet1!$A4232,Sheet2!$B$5:$H$29,5,FALSE),0)</x:f>
        <x:v>0</x:v>
      </x:c>
      <x:c r="G4232">
        <x:f>ROUND($C4232*10*VLOOKUP($B4232,Sheet2!$J$5:$K$7,2,FALSE)*VLOOKUP(Sheet1!$A4232,Sheet2!$B$5:$H$29,6,FALSE),0)</x:f>
        <x:v>60</x:v>
      </x:c>
      <x:c r="H4232">
        <x:f>ROUND($C4232*10*VLOOKUP($B4232,Sheet2!$J$5:$K$7,2,FALSE)*VLOOKUP(Sheet1!$A4232,Sheet2!$B$5:$H$29,7,FALSE),0)</x:f>
        <x:v>1116</x:v>
      </x:c>
      <x:c r="I4232">
        <x:f t="shared" si="70"/>
        <x:v>19210</x:v>
      </x:c>
    </x:row>
    <x:row r="4233" spans="1:9" x14ac:dyDescent="0.15">
      <x:c r="A4233">
        <x:v>54204</x:v>
      </x:c>
      <x:c r="B4233">
        <x:v>2</x:v>
      </x:c>
      <x:c r="C4233">
        <x:v>32</x:v>
      </x:c>
      <x:c r="D4233">
        <x:f>ROUND($C4233*10*VLOOKUP($B4233,Sheet2!$J$5:$K$7,2,FALSE)*VLOOKUP(Sheet1!$A4233,Sheet2!$B$5:$H$29,3,FALSE),0)</x:f>
        <x:v>0</x:v>
      </x:c>
      <x:c r="E4233">
        <x:f>ROUND($C4233*10*VLOOKUP($B4233,Sheet2!$J$5:$K$7,2,FALSE)*VLOOKUP(Sheet1!$A4233,Sheet2!$B$5:$H$29,4,FALSE),0)</x:f>
        <x:v>0</x:v>
      </x:c>
      <x:c r="F4233">
        <x:f>ROUND($C4233*10*VLOOKUP($B4233,Sheet2!$J$5:$K$7,2,FALSE)*VLOOKUP(Sheet1!$A4233,Sheet2!$B$5:$H$29,5,FALSE),0)</x:f>
        <x:v>0</x:v>
      </x:c>
      <x:c r="G4233">
        <x:f>ROUND($C4233*10*VLOOKUP($B4233,Sheet2!$J$5:$K$7,2,FALSE)*VLOOKUP(Sheet1!$A4233,Sheet2!$B$5:$H$29,6,FALSE),0)</x:f>
        <x:v>61</x:v>
      </x:c>
      <x:c r="H4233">
        <x:f>ROUND($C4233*10*VLOOKUP($B4233,Sheet2!$J$5:$K$7,2,FALSE)*VLOOKUP(Sheet1!$A4233,Sheet2!$B$5:$H$29,7,FALSE),0)</x:f>
        <x:v>1152</x:v>
      </x:c>
      <x:c r="I4233">
        <x:f t="shared" si="70"/>
        <x:v>20370</x:v>
      </x:c>
    </x:row>
    <x:row r="4234" spans="1:9" x14ac:dyDescent="0.15">
      <x:c r="A4234">
        <x:v>54204</x:v>
      </x:c>
      <x:c r="B4234">
        <x:v>2</x:v>
      </x:c>
      <x:c r="C4234">
        <x:v>33</x:v>
      </x:c>
      <x:c r="D4234">
        <x:f>ROUND($C4234*10*VLOOKUP($B4234,Sheet2!$J$5:$K$7,2,FALSE)*VLOOKUP(Sheet1!$A4234,Sheet2!$B$5:$H$29,3,FALSE),0)</x:f>
        <x:v>0</x:v>
      </x:c>
      <x:c r="E4234">
        <x:f>ROUND($C4234*10*VLOOKUP($B4234,Sheet2!$J$5:$K$7,2,FALSE)*VLOOKUP(Sheet1!$A4234,Sheet2!$B$5:$H$29,4,FALSE),0)</x:f>
        <x:v>0</x:v>
      </x:c>
      <x:c r="F4234">
        <x:f>ROUND($C4234*10*VLOOKUP($B4234,Sheet2!$J$5:$K$7,2,FALSE)*VLOOKUP(Sheet1!$A4234,Sheet2!$B$5:$H$29,5,FALSE),0)</x:f>
        <x:v>0</x:v>
      </x:c>
      <x:c r="G4234">
        <x:f>ROUND($C4234*10*VLOOKUP($B4234,Sheet2!$J$5:$K$7,2,FALSE)*VLOOKUP(Sheet1!$A4234,Sheet2!$B$5:$H$29,6,FALSE),0)</x:f>
        <x:v>63</x:v>
      </x:c>
      <x:c r="H4234">
        <x:f>ROUND($C4234*10*VLOOKUP($B4234,Sheet2!$J$5:$K$7,2,FALSE)*VLOOKUP(Sheet1!$A4234,Sheet2!$B$5:$H$29,7,FALSE),0)</x:f>
        <x:v>1188</x:v>
      </x:c>
      <x:c r="I4234">
        <x:f t="shared" si="70"/>
        <x:v>21560</x:v>
      </x:c>
    </x:row>
    <x:row r="4235" spans="1:9" x14ac:dyDescent="0.15">
      <x:c r="A4235">
        <x:v>54204</x:v>
      </x:c>
      <x:c r="B4235">
        <x:v>2</x:v>
      </x:c>
      <x:c r="C4235">
        <x:v>34</x:v>
      </x:c>
      <x:c r="D4235">
        <x:f>ROUND($C4235*10*VLOOKUP($B4235,Sheet2!$J$5:$K$7,2,FALSE)*VLOOKUP(Sheet1!$A4235,Sheet2!$B$5:$H$29,3,FALSE),0)</x:f>
        <x:v>0</x:v>
      </x:c>
      <x:c r="E4235">
        <x:f>ROUND($C4235*10*VLOOKUP($B4235,Sheet2!$J$5:$K$7,2,FALSE)*VLOOKUP(Sheet1!$A4235,Sheet2!$B$5:$H$29,4,FALSE),0)</x:f>
        <x:v>0</x:v>
      </x:c>
      <x:c r="F4235">
        <x:f>ROUND($C4235*10*VLOOKUP($B4235,Sheet2!$J$5:$K$7,2,FALSE)*VLOOKUP(Sheet1!$A4235,Sheet2!$B$5:$H$29,5,FALSE),0)</x:f>
        <x:v>0</x:v>
      </x:c>
      <x:c r="G4235">
        <x:f>ROUND($C4235*10*VLOOKUP($B4235,Sheet2!$J$5:$K$7,2,FALSE)*VLOOKUP(Sheet1!$A4235,Sheet2!$B$5:$H$29,6,FALSE),0)</x:f>
        <x:v>65</x:v>
      </x:c>
      <x:c r="H4235">
        <x:f>ROUND($C4235*10*VLOOKUP($B4235,Sheet2!$J$5:$K$7,2,FALSE)*VLOOKUP(Sheet1!$A4235,Sheet2!$B$5:$H$29,7,FALSE),0)</x:f>
        <x:v>1224</x:v>
      </x:c>
      <x:c r="I4235">
        <x:f t="shared" si="70"/>
        <x:v>22790</x:v>
      </x:c>
    </x:row>
    <x:row r="4236" spans="1:9" x14ac:dyDescent="0.15">
      <x:c r="A4236">
        <x:v>54204</x:v>
      </x:c>
      <x:c r="B4236">
        <x:v>2</x:v>
      </x:c>
      <x:c r="C4236">
        <x:v>35</x:v>
      </x:c>
      <x:c r="D4236">
        <x:f>ROUND($C4236*10*VLOOKUP($B4236,Sheet2!$J$5:$K$7,2,FALSE)*VLOOKUP(Sheet1!$A4236,Sheet2!$B$5:$H$29,3,FALSE),0)</x:f>
        <x:v>0</x:v>
      </x:c>
      <x:c r="E4236">
        <x:f>ROUND($C4236*10*VLOOKUP($B4236,Sheet2!$J$5:$K$7,2,FALSE)*VLOOKUP(Sheet1!$A4236,Sheet2!$B$5:$H$29,4,FALSE),0)</x:f>
        <x:v>0</x:v>
      </x:c>
      <x:c r="F4236">
        <x:f>ROUND($C4236*10*VLOOKUP($B4236,Sheet2!$J$5:$K$7,2,FALSE)*VLOOKUP(Sheet1!$A4236,Sheet2!$B$5:$H$29,5,FALSE),0)</x:f>
        <x:v>0</x:v>
      </x:c>
      <x:c r="G4236">
        <x:f>ROUND($C4236*10*VLOOKUP($B4236,Sheet2!$J$5:$K$7,2,FALSE)*VLOOKUP(Sheet1!$A4236,Sheet2!$B$5:$H$29,6,FALSE),0)</x:f>
        <x:v>67</x:v>
      </x:c>
      <x:c r="H4236">
        <x:f>ROUND($C4236*10*VLOOKUP($B4236,Sheet2!$J$5:$K$7,2,FALSE)*VLOOKUP(Sheet1!$A4236,Sheet2!$B$5:$H$29,7,FALSE),0)</x:f>
        <x:v>1260</x:v>
      </x:c>
      <x:c r="I4236">
        <x:f t="shared" si="70"/>
        <x:v>24040</x:v>
      </x:c>
    </x:row>
    <x:row r="4237" spans="1:9" x14ac:dyDescent="0.15">
      <x:c r="A4237">
        <x:v>54204</x:v>
      </x:c>
      <x:c r="B4237">
        <x:v>2</x:v>
      </x:c>
      <x:c r="C4237">
        <x:v>36</x:v>
      </x:c>
      <x:c r="D4237">
        <x:f>ROUND($C4237*10*VLOOKUP($B4237,Sheet2!$J$5:$K$7,2,FALSE)*VLOOKUP(Sheet1!$A4237,Sheet2!$B$5:$H$29,3,FALSE),0)</x:f>
        <x:v>0</x:v>
      </x:c>
      <x:c r="E4237">
        <x:f>ROUND($C4237*10*VLOOKUP($B4237,Sheet2!$J$5:$K$7,2,FALSE)*VLOOKUP(Sheet1!$A4237,Sheet2!$B$5:$H$29,4,FALSE),0)</x:f>
        <x:v>0</x:v>
      </x:c>
      <x:c r="F4237">
        <x:f>ROUND($C4237*10*VLOOKUP($B4237,Sheet2!$J$5:$K$7,2,FALSE)*VLOOKUP(Sheet1!$A4237,Sheet2!$B$5:$H$29,5,FALSE),0)</x:f>
        <x:v>0</x:v>
      </x:c>
      <x:c r="G4237">
        <x:f>ROUND($C4237*10*VLOOKUP($B4237,Sheet2!$J$5:$K$7,2,FALSE)*VLOOKUP(Sheet1!$A4237,Sheet2!$B$5:$H$29,6,FALSE),0)</x:f>
        <x:v>69</x:v>
      </x:c>
      <x:c r="H4237">
        <x:f>ROUND($C4237*10*VLOOKUP($B4237,Sheet2!$J$5:$K$7,2,FALSE)*VLOOKUP(Sheet1!$A4237,Sheet2!$B$5:$H$29,7,FALSE),0)</x:f>
        <x:v>1296</x:v>
      </x:c>
      <x:c r="I4237">
        <x:f t="shared" si="70"/>
        <x:v>25330</x:v>
      </x:c>
    </x:row>
    <x:row r="4238" spans="1:9" x14ac:dyDescent="0.15">
      <x:c r="A4238">
        <x:v>54204</x:v>
      </x:c>
      <x:c r="B4238">
        <x:v>2</x:v>
      </x:c>
      <x:c r="C4238">
        <x:v>37</x:v>
      </x:c>
      <x:c r="D4238">
        <x:f>ROUND($C4238*10*VLOOKUP($B4238,Sheet2!$J$5:$K$7,2,FALSE)*VLOOKUP(Sheet1!$A4238,Sheet2!$B$5:$H$29,3,FALSE),0)</x:f>
        <x:v>0</x:v>
      </x:c>
      <x:c r="E4238">
        <x:f>ROUND($C4238*10*VLOOKUP($B4238,Sheet2!$J$5:$K$7,2,FALSE)*VLOOKUP(Sheet1!$A4238,Sheet2!$B$5:$H$29,4,FALSE),0)</x:f>
        <x:v>0</x:v>
      </x:c>
      <x:c r="F4238">
        <x:f>ROUND($C4238*10*VLOOKUP($B4238,Sheet2!$J$5:$K$7,2,FALSE)*VLOOKUP(Sheet1!$A4238,Sheet2!$B$5:$H$29,5,FALSE),0)</x:f>
        <x:v>0</x:v>
      </x:c>
      <x:c r="G4238">
        <x:f>ROUND($C4238*10*VLOOKUP($B4238,Sheet2!$J$5:$K$7,2,FALSE)*VLOOKUP(Sheet1!$A4238,Sheet2!$B$5:$H$29,6,FALSE),0)</x:f>
        <x:v>71</x:v>
      </x:c>
      <x:c r="H4238">
        <x:f>ROUND($C4238*10*VLOOKUP($B4238,Sheet2!$J$5:$K$7,2,FALSE)*VLOOKUP(Sheet1!$A4238,Sheet2!$B$5:$H$29,7,FALSE),0)</x:f>
        <x:v>1332</x:v>
      </x:c>
      <x:c r="I4238">
        <x:f t="shared" si="70"/>
        <x:v>26640</x:v>
      </x:c>
    </x:row>
    <x:row r="4239" spans="1:9" x14ac:dyDescent="0.15">
      <x:c r="A4239">
        <x:v>54204</x:v>
      </x:c>
      <x:c r="B4239">
        <x:v>2</x:v>
      </x:c>
      <x:c r="C4239">
        <x:v>38</x:v>
      </x:c>
      <x:c r="D4239">
        <x:f>ROUND($C4239*10*VLOOKUP($B4239,Sheet2!$J$5:$K$7,2,FALSE)*VLOOKUP(Sheet1!$A4239,Sheet2!$B$5:$H$29,3,FALSE),0)</x:f>
        <x:v>0</x:v>
      </x:c>
      <x:c r="E4239">
        <x:f>ROUND($C4239*10*VLOOKUP($B4239,Sheet2!$J$5:$K$7,2,FALSE)*VLOOKUP(Sheet1!$A4239,Sheet2!$B$5:$H$29,4,FALSE),0)</x:f>
        <x:v>0</x:v>
      </x:c>
      <x:c r="F4239">
        <x:f>ROUND($C4239*10*VLOOKUP($B4239,Sheet2!$J$5:$K$7,2,FALSE)*VLOOKUP(Sheet1!$A4239,Sheet2!$B$5:$H$29,5,FALSE),0)</x:f>
        <x:v>0</x:v>
      </x:c>
      <x:c r="G4239">
        <x:f>ROUND($C4239*10*VLOOKUP($B4239,Sheet2!$J$5:$K$7,2,FALSE)*VLOOKUP(Sheet1!$A4239,Sheet2!$B$5:$H$29,6,FALSE),0)</x:f>
        <x:v>73</x:v>
      </x:c>
      <x:c r="H4239">
        <x:f>ROUND($C4239*10*VLOOKUP($B4239,Sheet2!$J$5:$K$7,2,FALSE)*VLOOKUP(Sheet1!$A4239,Sheet2!$B$5:$H$29,7,FALSE),0)</x:f>
        <x:v>1368</x:v>
      </x:c>
      <x:c r="I4239">
        <x:f t="shared" si="70"/>
        <x:v>27990</x:v>
      </x:c>
    </x:row>
    <x:row r="4240" spans="1:9" x14ac:dyDescent="0.15">
      <x:c r="A4240">
        <x:v>54204</x:v>
      </x:c>
      <x:c r="B4240">
        <x:v>2</x:v>
      </x:c>
      <x:c r="C4240">
        <x:v>39</x:v>
      </x:c>
      <x:c r="D4240">
        <x:f>ROUND($C4240*10*VLOOKUP($B4240,Sheet2!$J$5:$K$7,2,FALSE)*VLOOKUP(Sheet1!$A4240,Sheet2!$B$5:$H$29,3,FALSE),0)</x:f>
        <x:v>0</x:v>
      </x:c>
      <x:c r="E4240">
        <x:f>ROUND($C4240*10*VLOOKUP($B4240,Sheet2!$J$5:$K$7,2,FALSE)*VLOOKUP(Sheet1!$A4240,Sheet2!$B$5:$H$29,4,FALSE),0)</x:f>
        <x:v>0</x:v>
      </x:c>
      <x:c r="F4240">
        <x:f>ROUND($C4240*10*VLOOKUP($B4240,Sheet2!$J$5:$K$7,2,FALSE)*VLOOKUP(Sheet1!$A4240,Sheet2!$B$5:$H$29,5,FALSE),0)</x:f>
        <x:v>0</x:v>
      </x:c>
      <x:c r="G4240">
        <x:f>ROUND($C4240*10*VLOOKUP($B4240,Sheet2!$J$5:$K$7,2,FALSE)*VLOOKUP(Sheet1!$A4240,Sheet2!$B$5:$H$29,6,FALSE),0)</x:f>
        <x:v>75</x:v>
      </x:c>
      <x:c r="H4240">
        <x:f>ROUND($C4240*10*VLOOKUP($B4240,Sheet2!$J$5:$K$7,2,FALSE)*VLOOKUP(Sheet1!$A4240,Sheet2!$B$5:$H$29,7,FALSE),0)</x:f>
        <x:v>1404</x:v>
      </x:c>
      <x:c r="I4240">
        <x:f t="shared" si="70"/>
        <x:v>29360</x:v>
      </x:c>
    </x:row>
    <x:row r="4241" spans="1:9" x14ac:dyDescent="0.15">
      <x:c r="A4241">
        <x:v>54204</x:v>
      </x:c>
      <x:c r="B4241">
        <x:v>2</x:v>
      </x:c>
      <x:c r="C4241">
        <x:v>40</x:v>
      </x:c>
      <x:c r="D4241">
        <x:f>ROUND($C4241*10*VLOOKUP($B4241,Sheet2!$J$5:$K$7,2,FALSE)*VLOOKUP(Sheet1!$A4241,Sheet2!$B$5:$H$29,3,FALSE),0)</x:f>
        <x:v>0</x:v>
      </x:c>
      <x:c r="E4241">
        <x:f>ROUND($C4241*10*VLOOKUP($B4241,Sheet2!$J$5:$K$7,2,FALSE)*VLOOKUP(Sheet1!$A4241,Sheet2!$B$5:$H$29,4,FALSE),0)</x:f>
        <x:v>0</x:v>
      </x:c>
      <x:c r="F4241">
        <x:f>ROUND($C4241*10*VLOOKUP($B4241,Sheet2!$J$5:$K$7,2,FALSE)*VLOOKUP(Sheet1!$A4241,Sheet2!$B$5:$H$29,5,FALSE),0)</x:f>
        <x:v>0</x:v>
      </x:c>
      <x:c r="G4241">
        <x:f>ROUND($C4241*10*VLOOKUP($B4241,Sheet2!$J$5:$K$7,2,FALSE)*VLOOKUP(Sheet1!$A4241,Sheet2!$B$5:$H$29,6,FALSE),0)</x:f>
        <x:v>77</x:v>
      </x:c>
      <x:c r="H4241">
        <x:f>ROUND($C4241*10*VLOOKUP($B4241,Sheet2!$J$5:$K$7,2,FALSE)*VLOOKUP(Sheet1!$A4241,Sheet2!$B$5:$H$29,7,FALSE),0)</x:f>
        <x:v>1440</x:v>
      </x:c>
      <x:c r="I4241">
        <x:f t="shared" si="70"/>
        <x:v>30760</x:v>
      </x:c>
    </x:row>
    <x:row r="4242" spans="1:9" x14ac:dyDescent="0.15">
      <x:c r="A4242">
        <x:v>54204</x:v>
      </x:c>
      <x:c r="B4242">
        <x:v>2</x:v>
      </x:c>
      <x:c r="C4242">
        <x:v>41</x:v>
      </x:c>
      <x:c r="D4242">
        <x:f>ROUND($C4242*10*VLOOKUP($B4242,Sheet2!$J$5:$K$7,2,FALSE)*VLOOKUP(Sheet1!$A4242,Sheet2!$B$5:$H$29,3,FALSE),0)</x:f>
        <x:v>0</x:v>
      </x:c>
      <x:c r="E4242">
        <x:f>ROUND($C4242*10*VLOOKUP($B4242,Sheet2!$J$5:$K$7,2,FALSE)*VLOOKUP(Sheet1!$A4242,Sheet2!$B$5:$H$29,4,FALSE),0)</x:f>
        <x:v>0</x:v>
      </x:c>
      <x:c r="F4242">
        <x:f>ROUND($C4242*10*VLOOKUP($B4242,Sheet2!$J$5:$K$7,2,FALSE)*VLOOKUP(Sheet1!$A4242,Sheet2!$B$5:$H$29,5,FALSE),0)</x:f>
        <x:v>0</x:v>
      </x:c>
      <x:c r="G4242">
        <x:f>ROUND($C4242*10*VLOOKUP($B4242,Sheet2!$J$5:$K$7,2,FALSE)*VLOOKUP(Sheet1!$A4242,Sheet2!$B$5:$H$29,6,FALSE),0)</x:f>
        <x:v>79</x:v>
      </x:c>
      <x:c r="H4242">
        <x:f>ROUND($C4242*10*VLOOKUP($B4242,Sheet2!$J$5:$K$7,2,FALSE)*VLOOKUP(Sheet1!$A4242,Sheet2!$B$5:$H$29,7,FALSE),0)</x:f>
        <x:v>1476</x:v>
      </x:c>
      <x:c r="I4242">
        <x:f t="shared" si="70"/>
        <x:v>32190</x:v>
      </x:c>
    </x:row>
    <x:row r="4243" spans="1:9" x14ac:dyDescent="0.15">
      <x:c r="A4243">
        <x:v>54204</x:v>
      </x:c>
      <x:c r="B4243">
        <x:v>2</x:v>
      </x:c>
      <x:c r="C4243">
        <x:v>42</x:v>
      </x:c>
      <x:c r="D4243">
        <x:f>ROUND($C4243*10*VLOOKUP($B4243,Sheet2!$J$5:$K$7,2,FALSE)*VLOOKUP(Sheet1!$A4243,Sheet2!$B$5:$H$29,3,FALSE),0)</x:f>
        <x:v>0</x:v>
      </x:c>
      <x:c r="E4243">
        <x:f>ROUND($C4243*10*VLOOKUP($B4243,Sheet2!$J$5:$K$7,2,FALSE)*VLOOKUP(Sheet1!$A4243,Sheet2!$B$5:$H$29,4,FALSE),0)</x:f>
        <x:v>0</x:v>
      </x:c>
      <x:c r="F4243">
        <x:f>ROUND($C4243*10*VLOOKUP($B4243,Sheet2!$J$5:$K$7,2,FALSE)*VLOOKUP(Sheet1!$A4243,Sheet2!$B$5:$H$29,5,FALSE),0)</x:f>
        <x:v>0</x:v>
      </x:c>
      <x:c r="G4243">
        <x:f>ROUND($C4243*10*VLOOKUP($B4243,Sheet2!$J$5:$K$7,2,FALSE)*VLOOKUP(Sheet1!$A4243,Sheet2!$B$5:$H$29,6,FALSE),0)</x:f>
        <x:v>81</x:v>
      </x:c>
      <x:c r="H4243">
        <x:f>ROUND($C4243*10*VLOOKUP($B4243,Sheet2!$J$5:$K$7,2,FALSE)*VLOOKUP(Sheet1!$A4243,Sheet2!$B$5:$H$29,7,FALSE),0)</x:f>
        <x:v>1512</x:v>
      </x:c>
      <x:c r="I4243">
        <x:f t="shared" si="70"/>
        <x:v>33650</x:v>
      </x:c>
    </x:row>
    <x:row r="4244" spans="1:9" x14ac:dyDescent="0.15">
      <x:c r="A4244">
        <x:v>54204</x:v>
      </x:c>
      <x:c r="B4244">
        <x:v>2</x:v>
      </x:c>
      <x:c r="C4244">
        <x:v>43</x:v>
      </x:c>
      <x:c r="D4244">
        <x:f>ROUND($C4244*10*VLOOKUP($B4244,Sheet2!$J$5:$K$7,2,FALSE)*VLOOKUP(Sheet1!$A4244,Sheet2!$B$5:$H$29,3,FALSE),0)</x:f>
        <x:v>0</x:v>
      </x:c>
      <x:c r="E4244">
        <x:f>ROUND($C4244*10*VLOOKUP($B4244,Sheet2!$J$5:$K$7,2,FALSE)*VLOOKUP(Sheet1!$A4244,Sheet2!$B$5:$H$29,4,FALSE),0)</x:f>
        <x:v>0</x:v>
      </x:c>
      <x:c r="F4244">
        <x:f>ROUND($C4244*10*VLOOKUP($B4244,Sheet2!$J$5:$K$7,2,FALSE)*VLOOKUP(Sheet1!$A4244,Sheet2!$B$5:$H$29,5,FALSE),0)</x:f>
        <x:v>0</x:v>
      </x:c>
      <x:c r="G4244">
        <x:f>ROUND($C4244*10*VLOOKUP($B4244,Sheet2!$J$5:$K$7,2,FALSE)*VLOOKUP(Sheet1!$A4244,Sheet2!$B$5:$H$29,6,FALSE),0)</x:f>
        <x:v>83</x:v>
      </x:c>
      <x:c r="H4244">
        <x:f>ROUND($C4244*10*VLOOKUP($B4244,Sheet2!$J$5:$K$7,2,FALSE)*VLOOKUP(Sheet1!$A4244,Sheet2!$B$5:$H$29,7,FALSE),0)</x:f>
        <x:v>1548</x:v>
      </x:c>
      <x:c r="I4244">
        <x:f t="shared" si="70"/>
        <x:v>35140</x:v>
      </x:c>
    </x:row>
    <x:row r="4245" spans="1:9" x14ac:dyDescent="0.15">
      <x:c r="A4245">
        <x:v>54204</x:v>
      </x:c>
      <x:c r="B4245">
        <x:v>2</x:v>
      </x:c>
      <x:c r="C4245">
        <x:v>44</x:v>
      </x:c>
      <x:c r="D4245">
        <x:f>ROUND($C4245*10*VLOOKUP($B4245,Sheet2!$J$5:$K$7,2,FALSE)*VLOOKUP(Sheet1!$A4245,Sheet2!$B$5:$H$29,3,FALSE),0)</x:f>
        <x:v>0</x:v>
      </x:c>
      <x:c r="E4245">
        <x:f>ROUND($C4245*10*VLOOKUP($B4245,Sheet2!$J$5:$K$7,2,FALSE)*VLOOKUP(Sheet1!$A4245,Sheet2!$B$5:$H$29,4,FALSE),0)</x:f>
        <x:v>0</x:v>
      </x:c>
      <x:c r="F4245">
        <x:f>ROUND($C4245*10*VLOOKUP($B4245,Sheet2!$J$5:$K$7,2,FALSE)*VLOOKUP(Sheet1!$A4245,Sheet2!$B$5:$H$29,5,FALSE),0)</x:f>
        <x:v>0</x:v>
      </x:c>
      <x:c r="G4245">
        <x:f>ROUND($C4245*10*VLOOKUP($B4245,Sheet2!$J$5:$K$7,2,FALSE)*VLOOKUP(Sheet1!$A4245,Sheet2!$B$5:$H$29,6,FALSE),0)</x:f>
        <x:v>84</x:v>
      </x:c>
      <x:c r="H4245">
        <x:f>ROUND($C4245*10*VLOOKUP($B4245,Sheet2!$J$5:$K$7,2,FALSE)*VLOOKUP(Sheet1!$A4245,Sheet2!$B$5:$H$29,7,FALSE),0)</x:f>
        <x:v>1584</x:v>
      </x:c>
      <x:c r="I4245">
        <x:f t="shared" si="70"/>
        <x:v>36660</x:v>
      </x:c>
    </x:row>
    <x:row r="4246" spans="1:9" x14ac:dyDescent="0.15">
      <x:c r="A4246">
        <x:v>54204</x:v>
      </x:c>
      <x:c r="B4246">
        <x:v>2</x:v>
      </x:c>
      <x:c r="C4246">
        <x:v>45</x:v>
      </x:c>
      <x:c r="D4246">
        <x:f>ROUND($C4246*10*VLOOKUP($B4246,Sheet2!$J$5:$K$7,2,FALSE)*VLOOKUP(Sheet1!$A4246,Sheet2!$B$5:$H$29,3,FALSE),0)</x:f>
        <x:v>0</x:v>
      </x:c>
      <x:c r="E4246">
        <x:f>ROUND($C4246*10*VLOOKUP($B4246,Sheet2!$J$5:$K$7,2,FALSE)*VLOOKUP(Sheet1!$A4246,Sheet2!$B$5:$H$29,4,FALSE),0)</x:f>
        <x:v>0</x:v>
      </x:c>
      <x:c r="F4246">
        <x:f>ROUND($C4246*10*VLOOKUP($B4246,Sheet2!$J$5:$K$7,2,FALSE)*VLOOKUP(Sheet1!$A4246,Sheet2!$B$5:$H$29,5,FALSE),0)</x:f>
        <x:v>0</x:v>
      </x:c>
      <x:c r="G4246">
        <x:f>ROUND($C4246*10*VLOOKUP($B4246,Sheet2!$J$5:$K$7,2,FALSE)*VLOOKUP(Sheet1!$A4246,Sheet2!$B$5:$H$29,6,FALSE),0)</x:f>
        <x:v>86</x:v>
      </x:c>
      <x:c r="H4246">
        <x:f>ROUND($C4246*10*VLOOKUP($B4246,Sheet2!$J$5:$K$7,2,FALSE)*VLOOKUP(Sheet1!$A4246,Sheet2!$B$5:$H$29,7,FALSE),0)</x:f>
        <x:v>1620</x:v>
      </x:c>
      <x:c r="I4246">
        <x:f t="shared" si="70"/>
        <x:v>38210</x:v>
      </x:c>
    </x:row>
    <x:row r="4247" spans="1:9" x14ac:dyDescent="0.15">
      <x:c r="A4247">
        <x:v>54204</x:v>
      </x:c>
      <x:c r="B4247">
        <x:v>2</x:v>
      </x:c>
      <x:c r="C4247">
        <x:v>46</x:v>
      </x:c>
      <x:c r="D4247">
        <x:f>ROUND($C4247*10*VLOOKUP($B4247,Sheet2!$J$5:$K$7,2,FALSE)*VLOOKUP(Sheet1!$A4247,Sheet2!$B$5:$H$29,3,FALSE),0)</x:f>
        <x:v>0</x:v>
      </x:c>
      <x:c r="E4247">
        <x:f>ROUND($C4247*10*VLOOKUP($B4247,Sheet2!$J$5:$K$7,2,FALSE)*VLOOKUP(Sheet1!$A4247,Sheet2!$B$5:$H$29,4,FALSE),0)</x:f>
        <x:v>0</x:v>
      </x:c>
      <x:c r="F4247">
        <x:f>ROUND($C4247*10*VLOOKUP($B4247,Sheet2!$J$5:$K$7,2,FALSE)*VLOOKUP(Sheet1!$A4247,Sheet2!$B$5:$H$29,5,FALSE),0)</x:f>
        <x:v>0</x:v>
      </x:c>
      <x:c r="G4247">
        <x:f>ROUND($C4247*10*VLOOKUP($B4247,Sheet2!$J$5:$K$7,2,FALSE)*VLOOKUP(Sheet1!$A4247,Sheet2!$B$5:$H$29,6,FALSE),0)</x:f>
        <x:v>88</x:v>
      </x:c>
      <x:c r="H4247">
        <x:f>ROUND($C4247*10*VLOOKUP($B4247,Sheet2!$J$5:$K$7,2,FALSE)*VLOOKUP(Sheet1!$A4247,Sheet2!$B$5:$H$29,7,FALSE),0)</x:f>
        <x:v>1656</x:v>
      </x:c>
      <x:c r="I4247">
        <x:f t="shared" si="70"/>
        <x:v>39780</x:v>
      </x:c>
    </x:row>
    <x:row r="4248" spans="1:9" x14ac:dyDescent="0.15">
      <x:c r="A4248">
        <x:v>54204</x:v>
      </x:c>
      <x:c r="B4248">
        <x:v>2</x:v>
      </x:c>
      <x:c r="C4248">
        <x:v>47</x:v>
      </x:c>
      <x:c r="D4248">
        <x:f>ROUND($C4248*10*VLOOKUP($B4248,Sheet2!$J$5:$K$7,2,FALSE)*VLOOKUP(Sheet1!$A4248,Sheet2!$B$5:$H$29,3,FALSE),0)</x:f>
        <x:v>0</x:v>
      </x:c>
      <x:c r="E4248">
        <x:f>ROUND($C4248*10*VLOOKUP($B4248,Sheet2!$J$5:$K$7,2,FALSE)*VLOOKUP(Sheet1!$A4248,Sheet2!$B$5:$H$29,4,FALSE),0)</x:f>
        <x:v>0</x:v>
      </x:c>
      <x:c r="F4248">
        <x:f>ROUND($C4248*10*VLOOKUP($B4248,Sheet2!$J$5:$K$7,2,FALSE)*VLOOKUP(Sheet1!$A4248,Sheet2!$B$5:$H$29,5,FALSE),0)</x:f>
        <x:v>0</x:v>
      </x:c>
      <x:c r="G4248">
        <x:f>ROUND($C4248*10*VLOOKUP($B4248,Sheet2!$J$5:$K$7,2,FALSE)*VLOOKUP(Sheet1!$A4248,Sheet2!$B$5:$H$29,6,FALSE),0)</x:f>
        <x:v>90</x:v>
      </x:c>
      <x:c r="H4248">
        <x:f>ROUND($C4248*10*VLOOKUP($B4248,Sheet2!$J$5:$K$7,2,FALSE)*VLOOKUP(Sheet1!$A4248,Sheet2!$B$5:$H$29,7,FALSE),0)</x:f>
        <x:v>1692</x:v>
      </x:c>
      <x:c r="I4248">
        <x:f t="shared" si="70"/>
        <x:v>41390</x:v>
      </x:c>
    </x:row>
    <x:row r="4249" spans="1:9" x14ac:dyDescent="0.15">
      <x:c r="A4249">
        <x:v>54204</x:v>
      </x:c>
      <x:c r="B4249">
        <x:v>2</x:v>
      </x:c>
      <x:c r="C4249">
        <x:v>48</x:v>
      </x:c>
      <x:c r="D4249">
        <x:f>ROUND($C4249*10*VLOOKUP($B4249,Sheet2!$J$5:$K$7,2,FALSE)*VLOOKUP(Sheet1!$A4249,Sheet2!$B$5:$H$29,3,FALSE),0)</x:f>
        <x:v>0</x:v>
      </x:c>
      <x:c r="E4249">
        <x:f>ROUND($C4249*10*VLOOKUP($B4249,Sheet2!$J$5:$K$7,2,FALSE)*VLOOKUP(Sheet1!$A4249,Sheet2!$B$5:$H$29,4,FALSE),0)</x:f>
        <x:v>0</x:v>
      </x:c>
      <x:c r="F4249">
        <x:f>ROUND($C4249*10*VLOOKUP($B4249,Sheet2!$J$5:$K$7,2,FALSE)*VLOOKUP(Sheet1!$A4249,Sheet2!$B$5:$H$29,5,FALSE),0)</x:f>
        <x:v>0</x:v>
      </x:c>
      <x:c r="G4249">
        <x:f>ROUND($C4249*10*VLOOKUP($B4249,Sheet2!$J$5:$K$7,2,FALSE)*VLOOKUP(Sheet1!$A4249,Sheet2!$B$5:$H$29,6,FALSE),0)</x:f>
        <x:v>92</x:v>
      </x:c>
      <x:c r="H4249">
        <x:f>ROUND($C4249*10*VLOOKUP($B4249,Sheet2!$J$5:$K$7,2,FALSE)*VLOOKUP(Sheet1!$A4249,Sheet2!$B$5:$H$29,7,FALSE),0)</x:f>
        <x:v>1728</x:v>
      </x:c>
      <x:c r="I4249">
        <x:f t="shared" si="70"/>
        <x:v>43020</x:v>
      </x:c>
    </x:row>
    <x:row r="4250" spans="1:9" x14ac:dyDescent="0.15">
      <x:c r="A4250">
        <x:v>54204</x:v>
      </x:c>
      <x:c r="B4250">
        <x:v>2</x:v>
      </x:c>
      <x:c r="C4250">
        <x:v>49</x:v>
      </x:c>
      <x:c r="D4250">
        <x:f>ROUND($C4250*10*VLOOKUP($B4250,Sheet2!$J$5:$K$7,2,FALSE)*VLOOKUP(Sheet1!$A4250,Sheet2!$B$5:$H$29,3,FALSE),0)</x:f>
        <x:v>0</x:v>
      </x:c>
      <x:c r="E4250">
        <x:f>ROUND($C4250*10*VLOOKUP($B4250,Sheet2!$J$5:$K$7,2,FALSE)*VLOOKUP(Sheet1!$A4250,Sheet2!$B$5:$H$29,4,FALSE),0)</x:f>
        <x:v>0</x:v>
      </x:c>
      <x:c r="F4250">
        <x:f>ROUND($C4250*10*VLOOKUP($B4250,Sheet2!$J$5:$K$7,2,FALSE)*VLOOKUP(Sheet1!$A4250,Sheet2!$B$5:$H$29,5,FALSE),0)</x:f>
        <x:v>0</x:v>
      </x:c>
      <x:c r="G4250">
        <x:f>ROUND($C4250*10*VLOOKUP($B4250,Sheet2!$J$5:$K$7,2,FALSE)*VLOOKUP(Sheet1!$A4250,Sheet2!$B$5:$H$29,6,FALSE),0)</x:f>
        <x:v>94</x:v>
      </x:c>
      <x:c r="H4250">
        <x:f>ROUND($C4250*10*VLOOKUP($B4250,Sheet2!$J$5:$K$7,2,FALSE)*VLOOKUP(Sheet1!$A4250,Sheet2!$B$5:$H$29,7,FALSE),0)</x:f>
        <x:v>1764</x:v>
      </x:c>
      <x:c r="I4250">
        <x:f t="shared" si="70"/>
        <x:v>44680</x:v>
      </x:c>
    </x:row>
    <x:row r="4251" spans="1:9" x14ac:dyDescent="0.15">
      <x:c r="A4251">
        <x:v>54204</x:v>
      </x:c>
      <x:c r="B4251">
        <x:v>2</x:v>
      </x:c>
      <x:c r="C4251">
        <x:v>50</x:v>
      </x:c>
      <x:c r="D4251">
        <x:f>ROUND($C4251*10*VLOOKUP($B4251,Sheet2!$J$5:$K$7,2,FALSE)*VLOOKUP(Sheet1!$A4251,Sheet2!$B$5:$H$29,3,FALSE),0)</x:f>
        <x:v>0</x:v>
      </x:c>
      <x:c r="E4251">
        <x:f>ROUND($C4251*10*VLOOKUP($B4251,Sheet2!$J$5:$K$7,2,FALSE)*VLOOKUP(Sheet1!$A4251,Sheet2!$B$5:$H$29,4,FALSE),0)</x:f>
        <x:v>0</x:v>
      </x:c>
      <x:c r="F4251">
        <x:f>ROUND($C4251*10*VLOOKUP($B4251,Sheet2!$J$5:$K$7,2,FALSE)*VLOOKUP(Sheet1!$A4251,Sheet2!$B$5:$H$29,5,FALSE),0)</x:f>
        <x:v>0</x:v>
      </x:c>
      <x:c r="G4251">
        <x:f>ROUND($C4251*10*VLOOKUP($B4251,Sheet2!$J$5:$K$7,2,FALSE)*VLOOKUP(Sheet1!$A4251,Sheet2!$B$5:$H$29,6,FALSE),0)</x:f>
        <x:v>96</x:v>
      </x:c>
      <x:c r="H4251">
        <x:f>ROUND($C4251*10*VLOOKUP($B4251,Sheet2!$J$5:$K$7,2,FALSE)*VLOOKUP(Sheet1!$A4251,Sheet2!$B$5:$H$29,7,FALSE),0)</x:f>
        <x:v>1800</x:v>
      </x:c>
      <x:c r="I4251">
        <x:f t="shared" si="70"/>
        <x:v>46360</x:v>
      </x:c>
    </x:row>
    <x:row r="4252" spans="1:9" x14ac:dyDescent="0.15">
      <x:c r="A4252">
        <x:v>54204</x:v>
      </x:c>
      <x:c r="B4252">
        <x:v>2</x:v>
      </x:c>
      <x:c r="C4252">
        <x:v>51</x:v>
      </x:c>
      <x:c r="D4252">
        <x:f>ROUND($C4252*10*VLOOKUP($B4252,Sheet2!$J$5:$K$7,2,FALSE)*VLOOKUP(Sheet1!$A4252,Sheet2!$B$5:$H$29,3,FALSE),0)</x:f>
        <x:v>0</x:v>
      </x:c>
      <x:c r="E4252">
        <x:f>ROUND($C4252*10*VLOOKUP($B4252,Sheet2!$J$5:$K$7,2,FALSE)*VLOOKUP(Sheet1!$A4252,Sheet2!$B$5:$H$29,4,FALSE),0)</x:f>
        <x:v>0</x:v>
      </x:c>
      <x:c r="F4252">
        <x:f>ROUND($C4252*10*VLOOKUP($B4252,Sheet2!$J$5:$K$7,2,FALSE)*VLOOKUP(Sheet1!$A4252,Sheet2!$B$5:$H$29,5,FALSE),0)</x:f>
        <x:v>0</x:v>
      </x:c>
      <x:c r="G4252">
        <x:f>ROUND($C4252*10*VLOOKUP($B4252,Sheet2!$J$5:$K$7,2,FALSE)*VLOOKUP(Sheet1!$A4252,Sheet2!$B$5:$H$29,6,FALSE),0)</x:f>
        <x:v>98</x:v>
      </x:c>
      <x:c r="H4252">
        <x:f>ROUND($C4252*10*VLOOKUP($B4252,Sheet2!$J$5:$K$7,2,FALSE)*VLOOKUP(Sheet1!$A4252,Sheet2!$B$5:$H$29,7,FALSE),0)</x:f>
        <x:v>1836</x:v>
      </x:c>
      <x:c r="I4252">
        <x:f t="shared" si="70"/>
        <x:v>48080</x:v>
      </x:c>
    </x:row>
    <x:row r="4253" spans="1:9" x14ac:dyDescent="0.15">
      <x:c r="A4253">
        <x:v>54204</x:v>
      </x:c>
      <x:c r="B4253">
        <x:v>2</x:v>
      </x:c>
      <x:c r="C4253">
        <x:v>52</x:v>
      </x:c>
      <x:c r="D4253">
        <x:f>ROUND($C4253*10*VLOOKUP($B4253,Sheet2!$J$5:$K$7,2,FALSE)*VLOOKUP(Sheet1!$A4253,Sheet2!$B$5:$H$29,3,FALSE),0)</x:f>
        <x:v>0</x:v>
      </x:c>
      <x:c r="E4253">
        <x:f>ROUND($C4253*10*VLOOKUP($B4253,Sheet2!$J$5:$K$7,2,FALSE)*VLOOKUP(Sheet1!$A4253,Sheet2!$B$5:$H$29,4,FALSE),0)</x:f>
        <x:v>0</x:v>
      </x:c>
      <x:c r="F4253">
        <x:f>ROUND($C4253*10*VLOOKUP($B4253,Sheet2!$J$5:$K$7,2,FALSE)*VLOOKUP(Sheet1!$A4253,Sheet2!$B$5:$H$29,5,FALSE),0)</x:f>
        <x:v>0</x:v>
      </x:c>
      <x:c r="G4253">
        <x:f>ROUND($C4253*10*VLOOKUP($B4253,Sheet2!$J$5:$K$7,2,FALSE)*VLOOKUP(Sheet1!$A4253,Sheet2!$B$5:$H$29,6,FALSE),0)</x:f>
        <x:v>100</x:v>
      </x:c>
      <x:c r="H4253">
        <x:f>ROUND($C4253*10*VLOOKUP($B4253,Sheet2!$J$5:$K$7,2,FALSE)*VLOOKUP(Sheet1!$A4253,Sheet2!$B$5:$H$29,7,FALSE),0)</x:f>
        <x:v>1872</x:v>
      </x:c>
      <x:c r="I4253">
        <x:f t="shared" si="70"/>
        <x:v>49820</x:v>
      </x:c>
    </x:row>
    <x:row r="4254" spans="1:9" x14ac:dyDescent="0.15">
      <x:c r="A4254">
        <x:v>54204</x:v>
      </x:c>
      <x:c r="B4254">
        <x:v>2</x:v>
      </x:c>
      <x:c r="C4254">
        <x:v>53</x:v>
      </x:c>
      <x:c r="D4254">
        <x:f>ROUND($C4254*10*VLOOKUP($B4254,Sheet2!$J$5:$K$7,2,FALSE)*VLOOKUP(Sheet1!$A4254,Sheet2!$B$5:$H$29,3,FALSE),0)</x:f>
        <x:v>0</x:v>
      </x:c>
      <x:c r="E4254">
        <x:f>ROUND($C4254*10*VLOOKUP($B4254,Sheet2!$J$5:$K$7,2,FALSE)*VLOOKUP(Sheet1!$A4254,Sheet2!$B$5:$H$29,4,FALSE),0)</x:f>
        <x:v>0</x:v>
      </x:c>
      <x:c r="F4254">
        <x:f>ROUND($C4254*10*VLOOKUP($B4254,Sheet2!$J$5:$K$7,2,FALSE)*VLOOKUP(Sheet1!$A4254,Sheet2!$B$5:$H$29,5,FALSE),0)</x:f>
        <x:v>0</x:v>
      </x:c>
      <x:c r="G4254">
        <x:f>ROUND($C4254*10*VLOOKUP($B4254,Sheet2!$J$5:$K$7,2,FALSE)*VLOOKUP(Sheet1!$A4254,Sheet2!$B$5:$H$29,6,FALSE),0)</x:f>
        <x:v>102</x:v>
      </x:c>
      <x:c r="H4254">
        <x:f>ROUND($C4254*10*VLOOKUP($B4254,Sheet2!$J$5:$K$7,2,FALSE)*VLOOKUP(Sheet1!$A4254,Sheet2!$B$5:$H$29,7,FALSE),0)</x:f>
        <x:v>1908</x:v>
      </x:c>
      <x:c r="I4254">
        <x:f t="shared" si="70"/>
        <x:v>51590</x:v>
      </x:c>
    </x:row>
    <x:row r="4255" spans="1:9" x14ac:dyDescent="0.15">
      <x:c r="A4255">
        <x:v>54204</x:v>
      </x:c>
      <x:c r="B4255">
        <x:v>2</x:v>
      </x:c>
      <x:c r="C4255">
        <x:v>54</x:v>
      </x:c>
      <x:c r="D4255">
        <x:f>ROUND($C4255*10*VLOOKUP($B4255,Sheet2!$J$5:$K$7,2,FALSE)*VLOOKUP(Sheet1!$A4255,Sheet2!$B$5:$H$29,3,FALSE),0)</x:f>
        <x:v>0</x:v>
      </x:c>
      <x:c r="E4255">
        <x:f>ROUND($C4255*10*VLOOKUP($B4255,Sheet2!$J$5:$K$7,2,FALSE)*VLOOKUP(Sheet1!$A4255,Sheet2!$B$5:$H$29,4,FALSE),0)</x:f>
        <x:v>0</x:v>
      </x:c>
      <x:c r="F4255">
        <x:f>ROUND($C4255*10*VLOOKUP($B4255,Sheet2!$J$5:$K$7,2,FALSE)*VLOOKUP(Sheet1!$A4255,Sheet2!$B$5:$H$29,5,FALSE),0)</x:f>
        <x:v>0</x:v>
      </x:c>
      <x:c r="G4255">
        <x:f>ROUND($C4255*10*VLOOKUP($B4255,Sheet2!$J$5:$K$7,2,FALSE)*VLOOKUP(Sheet1!$A4255,Sheet2!$B$5:$H$29,6,FALSE),0)</x:f>
        <x:v>104</x:v>
      </x:c>
      <x:c r="H4255">
        <x:f>ROUND($C4255*10*VLOOKUP($B4255,Sheet2!$J$5:$K$7,2,FALSE)*VLOOKUP(Sheet1!$A4255,Sheet2!$B$5:$H$29,7,FALSE),0)</x:f>
        <x:v>1944</x:v>
      </x:c>
      <x:c r="I4255">
        <x:f t="shared" si="70"/>
        <x:v>53390</x:v>
      </x:c>
    </x:row>
    <x:row r="4256" spans="1:9" x14ac:dyDescent="0.15">
      <x:c r="A4256">
        <x:v>54204</x:v>
      </x:c>
      <x:c r="B4256">
        <x:v>2</x:v>
      </x:c>
      <x:c r="C4256">
        <x:v>55</x:v>
      </x:c>
      <x:c r="D4256">
        <x:f>ROUND($C4256*10*VLOOKUP($B4256,Sheet2!$J$5:$K$7,2,FALSE)*VLOOKUP(Sheet1!$A4256,Sheet2!$B$5:$H$29,3,FALSE),0)</x:f>
        <x:v>0</x:v>
      </x:c>
      <x:c r="E4256">
        <x:f>ROUND($C4256*10*VLOOKUP($B4256,Sheet2!$J$5:$K$7,2,FALSE)*VLOOKUP(Sheet1!$A4256,Sheet2!$B$5:$H$29,4,FALSE),0)</x:f>
        <x:v>0</x:v>
      </x:c>
      <x:c r="F4256">
        <x:f>ROUND($C4256*10*VLOOKUP($B4256,Sheet2!$J$5:$K$7,2,FALSE)*VLOOKUP(Sheet1!$A4256,Sheet2!$B$5:$H$29,5,FALSE),0)</x:f>
        <x:v>0</x:v>
      </x:c>
      <x:c r="G4256">
        <x:f>ROUND($C4256*10*VLOOKUP($B4256,Sheet2!$J$5:$K$7,2,FALSE)*VLOOKUP(Sheet1!$A4256,Sheet2!$B$5:$H$29,6,FALSE),0)</x:f>
        <x:v>106</x:v>
      </x:c>
      <x:c r="H4256">
        <x:f>ROUND($C4256*10*VLOOKUP($B4256,Sheet2!$J$5:$K$7,2,FALSE)*VLOOKUP(Sheet1!$A4256,Sheet2!$B$5:$H$29,7,FALSE),0)</x:f>
        <x:v>1980</x:v>
      </x:c>
      <x:c r="I4256">
        <x:f t="shared" si="70"/>
        <x:v>55210</x:v>
      </x:c>
    </x:row>
    <x:row r="4257" spans="1:9" x14ac:dyDescent="0.15">
      <x:c r="A4257">
        <x:v>54204</x:v>
      </x:c>
      <x:c r="B4257">
        <x:v>2</x:v>
      </x:c>
      <x:c r="C4257">
        <x:v>56</x:v>
      </x:c>
      <x:c r="D4257">
        <x:f>ROUND($C4257*10*VLOOKUP($B4257,Sheet2!$J$5:$K$7,2,FALSE)*VLOOKUP(Sheet1!$A4257,Sheet2!$B$5:$H$29,3,FALSE),0)</x:f>
        <x:v>0</x:v>
      </x:c>
      <x:c r="E4257">
        <x:f>ROUND($C4257*10*VLOOKUP($B4257,Sheet2!$J$5:$K$7,2,FALSE)*VLOOKUP(Sheet1!$A4257,Sheet2!$B$5:$H$29,4,FALSE),0)</x:f>
        <x:v>0</x:v>
      </x:c>
      <x:c r="F4257">
        <x:f>ROUND($C4257*10*VLOOKUP($B4257,Sheet2!$J$5:$K$7,2,FALSE)*VLOOKUP(Sheet1!$A4257,Sheet2!$B$5:$H$29,5,FALSE),0)</x:f>
        <x:v>0</x:v>
      </x:c>
      <x:c r="G4257">
        <x:f>ROUND($C4257*10*VLOOKUP($B4257,Sheet2!$J$5:$K$7,2,FALSE)*VLOOKUP(Sheet1!$A4257,Sheet2!$B$5:$H$29,6,FALSE),0)</x:f>
        <x:v>108</x:v>
      </x:c>
      <x:c r="H4257">
        <x:f>ROUND($C4257*10*VLOOKUP($B4257,Sheet2!$J$5:$K$7,2,FALSE)*VLOOKUP(Sheet1!$A4257,Sheet2!$B$5:$H$29,7,FALSE),0)</x:f>
        <x:v>2016</x:v>
      </x:c>
      <x:c r="I4257">
        <x:f t="shared" si="70"/>
        <x:v>57060</x:v>
      </x:c>
    </x:row>
    <x:row r="4258" spans="1:9" x14ac:dyDescent="0.15">
      <x:c r="A4258">
        <x:v>54204</x:v>
      </x:c>
      <x:c r="B4258">
        <x:v>2</x:v>
      </x:c>
      <x:c r="C4258">
        <x:v>57</x:v>
      </x:c>
      <x:c r="D4258">
        <x:f>ROUND($C4258*10*VLOOKUP($B4258,Sheet2!$J$5:$K$7,2,FALSE)*VLOOKUP(Sheet1!$A4258,Sheet2!$B$5:$H$29,3,FALSE),0)</x:f>
        <x:v>0</x:v>
      </x:c>
      <x:c r="E4258">
        <x:f>ROUND($C4258*10*VLOOKUP($B4258,Sheet2!$J$5:$K$7,2,FALSE)*VLOOKUP(Sheet1!$A4258,Sheet2!$B$5:$H$29,4,FALSE),0)</x:f>
        <x:v>0</x:v>
      </x:c>
      <x:c r="F4258">
        <x:f>ROUND($C4258*10*VLOOKUP($B4258,Sheet2!$J$5:$K$7,2,FALSE)*VLOOKUP(Sheet1!$A4258,Sheet2!$B$5:$H$29,5,FALSE),0)</x:f>
        <x:v>0</x:v>
      </x:c>
      <x:c r="G4258">
        <x:f>ROUND($C4258*10*VLOOKUP($B4258,Sheet2!$J$5:$K$7,2,FALSE)*VLOOKUP(Sheet1!$A4258,Sheet2!$B$5:$H$29,6,FALSE),0)</x:f>
        <x:v>109</x:v>
      </x:c>
      <x:c r="H4258">
        <x:f>ROUND($C4258*10*VLOOKUP($B4258,Sheet2!$J$5:$K$7,2,FALSE)*VLOOKUP(Sheet1!$A4258,Sheet2!$B$5:$H$29,7,FALSE),0)</x:f>
        <x:v>2052</x:v>
      </x:c>
      <x:c r="I4258">
        <x:f t="shared" si="70"/>
        <x:v>58940</x:v>
      </x:c>
    </x:row>
    <x:row r="4259" spans="1:9" x14ac:dyDescent="0.15">
      <x:c r="A4259">
        <x:v>54204</x:v>
      </x:c>
      <x:c r="B4259">
        <x:v>2</x:v>
      </x:c>
      <x:c r="C4259">
        <x:v>58</x:v>
      </x:c>
      <x:c r="D4259">
        <x:f>ROUND($C4259*10*VLOOKUP($B4259,Sheet2!$J$5:$K$7,2,FALSE)*VLOOKUP(Sheet1!$A4259,Sheet2!$B$5:$H$29,3,FALSE),0)</x:f>
        <x:v>0</x:v>
      </x:c>
      <x:c r="E4259">
        <x:f>ROUND($C4259*10*VLOOKUP($B4259,Sheet2!$J$5:$K$7,2,FALSE)*VLOOKUP(Sheet1!$A4259,Sheet2!$B$5:$H$29,4,FALSE),0)</x:f>
        <x:v>0</x:v>
      </x:c>
      <x:c r="F4259">
        <x:f>ROUND($C4259*10*VLOOKUP($B4259,Sheet2!$J$5:$K$7,2,FALSE)*VLOOKUP(Sheet1!$A4259,Sheet2!$B$5:$H$29,5,FALSE),0)</x:f>
        <x:v>0</x:v>
      </x:c>
      <x:c r="G4259">
        <x:f>ROUND($C4259*10*VLOOKUP($B4259,Sheet2!$J$5:$K$7,2,FALSE)*VLOOKUP(Sheet1!$A4259,Sheet2!$B$5:$H$29,6,FALSE),0)</x:f>
        <x:v>111</x:v>
      </x:c>
      <x:c r="H4259">
        <x:f>ROUND($C4259*10*VLOOKUP($B4259,Sheet2!$J$5:$K$7,2,FALSE)*VLOOKUP(Sheet1!$A4259,Sheet2!$B$5:$H$29,7,FALSE),0)</x:f>
        <x:v>2088</x:v>
      </x:c>
      <x:c r="I4259">
        <x:f t="shared" si="70"/>
        <x:v>60850</x:v>
      </x:c>
    </x:row>
    <x:row r="4260" spans="1:9" x14ac:dyDescent="0.15">
      <x:c r="A4260">
        <x:v>54204</x:v>
      </x:c>
      <x:c r="B4260">
        <x:v>2</x:v>
      </x:c>
      <x:c r="C4260">
        <x:v>59</x:v>
      </x:c>
      <x:c r="D4260">
        <x:f>ROUND($C4260*10*VLOOKUP($B4260,Sheet2!$J$5:$K$7,2,FALSE)*VLOOKUP(Sheet1!$A4260,Sheet2!$B$5:$H$29,3,FALSE),0)</x:f>
        <x:v>0</x:v>
      </x:c>
      <x:c r="E4260">
        <x:f>ROUND($C4260*10*VLOOKUP($B4260,Sheet2!$J$5:$K$7,2,FALSE)*VLOOKUP(Sheet1!$A4260,Sheet2!$B$5:$H$29,4,FALSE),0)</x:f>
        <x:v>0</x:v>
      </x:c>
      <x:c r="F4260">
        <x:f>ROUND($C4260*10*VLOOKUP($B4260,Sheet2!$J$5:$K$7,2,FALSE)*VLOOKUP(Sheet1!$A4260,Sheet2!$B$5:$H$29,5,FALSE),0)</x:f>
        <x:v>0</x:v>
      </x:c>
      <x:c r="G4260">
        <x:f>ROUND($C4260*10*VLOOKUP($B4260,Sheet2!$J$5:$K$7,2,FALSE)*VLOOKUP(Sheet1!$A4260,Sheet2!$B$5:$H$29,6,FALSE),0)</x:f>
        <x:v>113</x:v>
      </x:c>
      <x:c r="H4260">
        <x:f>ROUND($C4260*10*VLOOKUP($B4260,Sheet2!$J$5:$K$7,2,FALSE)*VLOOKUP(Sheet1!$A4260,Sheet2!$B$5:$H$29,7,FALSE),0)</x:f>
        <x:v>2124</x:v>
      </x:c>
      <x:c r="I4260">
        <x:f t="shared" si="70"/>
        <x:v>62780</x:v>
      </x:c>
    </x:row>
    <x:row r="4261" spans="1:9" x14ac:dyDescent="0.15">
      <x:c r="A4261">
        <x:v>54204</x:v>
      </x:c>
      <x:c r="B4261">
        <x:v>2</x:v>
      </x:c>
      <x:c r="C4261">
        <x:v>60</x:v>
      </x:c>
      <x:c r="D4261">
        <x:f>ROUND($C4261*10*VLOOKUP($B4261,Sheet2!$J$5:$K$7,2,FALSE)*VLOOKUP(Sheet1!$A4261,Sheet2!$B$5:$H$29,3,FALSE),0)</x:f>
        <x:v>0</x:v>
      </x:c>
      <x:c r="E4261">
        <x:f>ROUND($C4261*10*VLOOKUP($B4261,Sheet2!$J$5:$K$7,2,FALSE)*VLOOKUP(Sheet1!$A4261,Sheet2!$B$5:$H$29,4,FALSE),0)</x:f>
        <x:v>0</x:v>
      </x:c>
      <x:c r="F4261">
        <x:f>ROUND($C4261*10*VLOOKUP($B4261,Sheet2!$J$5:$K$7,2,FALSE)*VLOOKUP(Sheet1!$A4261,Sheet2!$B$5:$H$29,5,FALSE),0)</x:f>
        <x:v>0</x:v>
      </x:c>
      <x:c r="G4261">
        <x:f>ROUND($C4261*10*VLOOKUP($B4261,Sheet2!$J$5:$K$7,2,FALSE)*VLOOKUP(Sheet1!$A4261,Sheet2!$B$5:$H$29,6,FALSE),0)</x:f>
        <x:v>115</x:v>
      </x:c>
      <x:c r="H4261">
        <x:f>ROUND($C4261*10*VLOOKUP($B4261,Sheet2!$J$5:$K$7,2,FALSE)*VLOOKUP(Sheet1!$A4261,Sheet2!$B$5:$H$29,7,FALSE),0)</x:f>
        <x:v>2160</x:v>
      </x:c>
      <x:c r="I4261">
        <x:f t="shared" si="70"/>
        <x:v>64740</x:v>
      </x:c>
    </x:row>
    <x:row r="4262" spans="1:9" x14ac:dyDescent="0.15">
      <x:c r="A4262">
        <x:v>54204</x:v>
      </x:c>
      <x:c r="B4262">
        <x:v>3</x:v>
      </x:c>
      <x:c r="C4262">
        <x:v>1</x:v>
      </x:c>
      <x:c r="D4262">
        <x:f>ROUND($C4262*10*VLOOKUP($B4262,Sheet2!$J$5:$K$7,2,FALSE)*VLOOKUP(Sheet1!$A4262,Sheet2!$B$5:$H$29,3,FALSE),0)</x:f>
        <x:v>0</x:v>
      </x:c>
      <x:c r="E4262">
        <x:f>ROUND($C4262*10*VLOOKUP($B4262,Sheet2!$J$5:$K$7,2,FALSE)*VLOOKUP(Sheet1!$A4262,Sheet2!$B$5:$H$29,4,FALSE),0)</x:f>
        <x:v>0</x:v>
      </x:c>
      <x:c r="F4262">
        <x:f>ROUND($C4262*10*VLOOKUP($B4262,Sheet2!$J$5:$K$7,2,FALSE)*VLOOKUP(Sheet1!$A4262,Sheet2!$B$5:$H$29,5,FALSE),0)</x:f>
        <x:v>0</x:v>
      </x:c>
      <x:c r="G4262">
        <x:f>ROUND($C4262*10*VLOOKUP($B4262,Sheet2!$J$5:$K$7,2,FALSE)*VLOOKUP(Sheet1!$A4262,Sheet2!$B$5:$H$29,6,FALSE),0)</x:f>
        <x:v>3</x:v>
      </x:c>
      <x:c r="H4262">
        <x:f>ROUND($C4262*10*VLOOKUP($B4262,Sheet2!$J$5:$K$7,2,FALSE)*VLOOKUP(Sheet1!$A4262,Sheet2!$B$5:$H$29,7,FALSE),0)</x:f>
        <x:v>60</x:v>
      </x:c>
      <x:c r="I4262">
        <x:f t="shared" ref="I4262:I4321" si="71">ROUND(1.2*10*10.5*(C4262-1)^1.8+90,-1)</x:f>
        <x:v>90</x:v>
      </x:c>
    </x:row>
    <x:row r="4263" spans="1:9" x14ac:dyDescent="0.15">
      <x:c r="A4263">
        <x:v>54204</x:v>
      </x:c>
      <x:c r="B4263">
        <x:v>3</x:v>
      </x:c>
      <x:c r="C4263">
        <x:v>2</x:v>
      </x:c>
      <x:c r="D4263">
        <x:f>ROUND($C4263*10*VLOOKUP($B4263,Sheet2!$J$5:$K$7,2,FALSE)*VLOOKUP(Sheet1!$A4263,Sheet2!$B$5:$H$29,3,FALSE),0)</x:f>
        <x:v>0</x:v>
      </x:c>
      <x:c r="E4263">
        <x:f>ROUND($C4263*10*VLOOKUP($B4263,Sheet2!$J$5:$K$7,2,FALSE)*VLOOKUP(Sheet1!$A4263,Sheet2!$B$5:$H$29,4,FALSE),0)</x:f>
        <x:v>0</x:v>
      </x:c>
      <x:c r="F4263">
        <x:f>ROUND($C4263*10*VLOOKUP($B4263,Sheet2!$J$5:$K$7,2,FALSE)*VLOOKUP(Sheet1!$A4263,Sheet2!$B$5:$H$29,5,FALSE),0)</x:f>
        <x:v>0</x:v>
      </x:c>
      <x:c r="G4263">
        <x:f>ROUND($C4263*10*VLOOKUP($B4263,Sheet2!$J$5:$K$7,2,FALSE)*VLOOKUP(Sheet1!$A4263,Sheet2!$B$5:$H$29,6,FALSE),0)</x:f>
        <x:v>6</x:v>
      </x:c>
      <x:c r="H4263">
        <x:f>ROUND($C4263*10*VLOOKUP($B4263,Sheet2!$J$5:$K$7,2,FALSE)*VLOOKUP(Sheet1!$A4263,Sheet2!$B$5:$H$29,7,FALSE),0)</x:f>
        <x:v>120</x:v>
      </x:c>
      <x:c r="I4263">
        <x:f t="shared" si="71"/>
        <x:v>220</x:v>
      </x:c>
    </x:row>
    <x:row r="4264" spans="1:9" x14ac:dyDescent="0.15">
      <x:c r="A4264">
        <x:v>54204</x:v>
      </x:c>
      <x:c r="B4264">
        <x:v>3</x:v>
      </x:c>
      <x:c r="C4264">
        <x:v>3</x:v>
      </x:c>
      <x:c r="D4264">
        <x:f>ROUND($C4264*10*VLOOKUP($B4264,Sheet2!$J$5:$K$7,2,FALSE)*VLOOKUP(Sheet1!$A4264,Sheet2!$B$5:$H$29,3,FALSE),0)</x:f>
        <x:v>0</x:v>
      </x:c>
      <x:c r="E4264">
        <x:f>ROUND($C4264*10*VLOOKUP($B4264,Sheet2!$J$5:$K$7,2,FALSE)*VLOOKUP(Sheet1!$A4264,Sheet2!$B$5:$H$29,4,FALSE),0)</x:f>
        <x:v>0</x:v>
      </x:c>
      <x:c r="F4264">
        <x:f>ROUND($C4264*10*VLOOKUP($B4264,Sheet2!$J$5:$K$7,2,FALSE)*VLOOKUP(Sheet1!$A4264,Sheet2!$B$5:$H$29,5,FALSE),0)</x:f>
        <x:v>0</x:v>
      </x:c>
      <x:c r="G4264">
        <x:f>ROUND($C4264*10*VLOOKUP($B4264,Sheet2!$J$5:$K$7,2,FALSE)*VLOOKUP(Sheet1!$A4264,Sheet2!$B$5:$H$29,6,FALSE),0)</x:f>
        <x:v>10</x:v>
      </x:c>
      <x:c r="H4264">
        <x:f>ROUND($C4264*10*VLOOKUP($B4264,Sheet2!$J$5:$K$7,2,FALSE)*VLOOKUP(Sheet1!$A4264,Sheet2!$B$5:$H$29,7,FALSE),0)</x:f>
        <x:v>180</x:v>
      </x:c>
      <x:c r="I4264">
        <x:f t="shared" si="71"/>
        <x:v>530</x:v>
      </x:c>
    </x:row>
    <x:row r="4265" spans="1:9" x14ac:dyDescent="0.15">
      <x:c r="A4265">
        <x:v>54204</x:v>
      </x:c>
      <x:c r="B4265">
        <x:v>3</x:v>
      </x:c>
      <x:c r="C4265">
        <x:v>4</x:v>
      </x:c>
      <x:c r="D4265">
        <x:f>ROUND($C4265*10*VLOOKUP($B4265,Sheet2!$J$5:$K$7,2,FALSE)*VLOOKUP(Sheet1!$A4265,Sheet2!$B$5:$H$29,3,FALSE),0)</x:f>
        <x:v>0</x:v>
      </x:c>
      <x:c r="E4265">
        <x:f>ROUND($C4265*10*VLOOKUP($B4265,Sheet2!$J$5:$K$7,2,FALSE)*VLOOKUP(Sheet1!$A4265,Sheet2!$B$5:$H$29,4,FALSE),0)</x:f>
        <x:v>0</x:v>
      </x:c>
      <x:c r="F4265">
        <x:f>ROUND($C4265*10*VLOOKUP($B4265,Sheet2!$J$5:$K$7,2,FALSE)*VLOOKUP(Sheet1!$A4265,Sheet2!$B$5:$H$29,5,FALSE),0)</x:f>
        <x:v>0</x:v>
      </x:c>
      <x:c r="G4265">
        <x:f>ROUND($C4265*10*VLOOKUP($B4265,Sheet2!$J$5:$K$7,2,FALSE)*VLOOKUP(Sheet1!$A4265,Sheet2!$B$5:$H$29,6,FALSE),0)</x:f>
        <x:v>13</x:v>
      </x:c>
      <x:c r="H4265">
        <x:f>ROUND($C4265*10*VLOOKUP($B4265,Sheet2!$J$5:$K$7,2,FALSE)*VLOOKUP(Sheet1!$A4265,Sheet2!$B$5:$H$29,7,FALSE),0)</x:f>
        <x:v>240</x:v>
      </x:c>
      <x:c r="I4265">
        <x:f t="shared" si="71"/>
        <x:v>1000</x:v>
      </x:c>
    </x:row>
    <x:row r="4266" spans="1:9" x14ac:dyDescent="0.15">
      <x:c r="A4266">
        <x:v>54204</x:v>
      </x:c>
      <x:c r="B4266">
        <x:v>3</x:v>
      </x:c>
      <x:c r="C4266">
        <x:v>5</x:v>
      </x:c>
      <x:c r="D4266">
        <x:f>ROUND($C4266*10*VLOOKUP($B4266,Sheet2!$J$5:$K$7,2,FALSE)*VLOOKUP(Sheet1!$A4266,Sheet2!$B$5:$H$29,3,FALSE),0)</x:f>
        <x:v>0</x:v>
      </x:c>
      <x:c r="E4266">
        <x:f>ROUND($C4266*10*VLOOKUP($B4266,Sheet2!$J$5:$K$7,2,FALSE)*VLOOKUP(Sheet1!$A4266,Sheet2!$B$5:$H$29,4,FALSE),0)</x:f>
        <x:v>0</x:v>
      </x:c>
      <x:c r="F4266">
        <x:f>ROUND($C4266*10*VLOOKUP($B4266,Sheet2!$J$5:$K$7,2,FALSE)*VLOOKUP(Sheet1!$A4266,Sheet2!$B$5:$H$29,5,FALSE),0)</x:f>
        <x:v>0</x:v>
      </x:c>
      <x:c r="G4266">
        <x:f>ROUND($C4266*10*VLOOKUP($B4266,Sheet2!$J$5:$K$7,2,FALSE)*VLOOKUP(Sheet1!$A4266,Sheet2!$B$5:$H$29,6,FALSE),0)</x:f>
        <x:v>16</x:v>
      </x:c>
      <x:c r="H4266">
        <x:f>ROUND($C4266*10*VLOOKUP($B4266,Sheet2!$J$5:$K$7,2,FALSE)*VLOOKUP(Sheet1!$A4266,Sheet2!$B$5:$H$29,7,FALSE),0)</x:f>
        <x:v>300</x:v>
      </x:c>
      <x:c r="I4266">
        <x:f t="shared" si="71"/>
        <x:v>1620</x:v>
      </x:c>
    </x:row>
    <x:row r="4267" spans="1:9" x14ac:dyDescent="0.15">
      <x:c r="A4267">
        <x:v>54204</x:v>
      </x:c>
      <x:c r="B4267">
        <x:v>3</x:v>
      </x:c>
      <x:c r="C4267">
        <x:v>6</x:v>
      </x:c>
      <x:c r="D4267">
        <x:f>ROUND($C4267*10*VLOOKUP($B4267,Sheet2!$J$5:$K$7,2,FALSE)*VLOOKUP(Sheet1!$A4267,Sheet2!$B$5:$H$29,3,FALSE),0)</x:f>
        <x:v>0</x:v>
      </x:c>
      <x:c r="E4267">
        <x:f>ROUND($C4267*10*VLOOKUP($B4267,Sheet2!$J$5:$K$7,2,FALSE)*VLOOKUP(Sheet1!$A4267,Sheet2!$B$5:$H$29,4,FALSE),0)</x:f>
        <x:v>0</x:v>
      </x:c>
      <x:c r="F4267">
        <x:f>ROUND($C4267*10*VLOOKUP($B4267,Sheet2!$J$5:$K$7,2,FALSE)*VLOOKUP(Sheet1!$A4267,Sheet2!$B$5:$H$29,5,FALSE),0)</x:f>
        <x:v>0</x:v>
      </x:c>
      <x:c r="G4267">
        <x:f>ROUND($C4267*10*VLOOKUP($B4267,Sheet2!$J$5:$K$7,2,FALSE)*VLOOKUP(Sheet1!$A4267,Sheet2!$B$5:$H$29,6,FALSE),0)</x:f>
        <x:v>19</x:v>
      </x:c>
      <x:c r="H4267">
        <x:f>ROUND($C4267*10*VLOOKUP($B4267,Sheet2!$J$5:$K$7,2,FALSE)*VLOOKUP(Sheet1!$A4267,Sheet2!$B$5:$H$29,7,FALSE),0)</x:f>
        <x:v>360</x:v>
      </x:c>
      <x:c r="I4267">
        <x:f t="shared" si="71"/>
        <x:v>2370</x:v>
      </x:c>
    </x:row>
    <x:row r="4268" spans="1:9" x14ac:dyDescent="0.15">
      <x:c r="A4268">
        <x:v>54204</x:v>
      </x:c>
      <x:c r="B4268">
        <x:v>3</x:v>
      </x:c>
      <x:c r="C4268">
        <x:v>7</x:v>
      </x:c>
      <x:c r="D4268">
        <x:f>ROUND($C4268*10*VLOOKUP($B4268,Sheet2!$J$5:$K$7,2,FALSE)*VLOOKUP(Sheet1!$A4268,Sheet2!$B$5:$H$29,3,FALSE),0)</x:f>
        <x:v>0</x:v>
      </x:c>
      <x:c r="E4268">
        <x:f>ROUND($C4268*10*VLOOKUP($B4268,Sheet2!$J$5:$K$7,2,FALSE)*VLOOKUP(Sheet1!$A4268,Sheet2!$B$5:$H$29,4,FALSE),0)</x:f>
        <x:v>0</x:v>
      </x:c>
      <x:c r="F4268">
        <x:f>ROUND($C4268*10*VLOOKUP($B4268,Sheet2!$J$5:$K$7,2,FALSE)*VLOOKUP(Sheet1!$A4268,Sheet2!$B$5:$H$29,5,FALSE),0)</x:f>
        <x:v>0</x:v>
      </x:c>
      <x:c r="G4268">
        <x:f>ROUND($C4268*10*VLOOKUP($B4268,Sheet2!$J$5:$K$7,2,FALSE)*VLOOKUP(Sheet1!$A4268,Sheet2!$B$5:$H$29,6,FALSE),0)</x:f>
        <x:v>22</x:v>
      </x:c>
      <x:c r="H4268">
        <x:f>ROUND($C4268*10*VLOOKUP($B4268,Sheet2!$J$5:$K$7,2,FALSE)*VLOOKUP(Sheet1!$A4268,Sheet2!$B$5:$H$29,7,FALSE),0)</x:f>
        <x:v>420</x:v>
      </x:c>
      <x:c r="I4268">
        <x:f t="shared" si="71"/>
        <x:v>3260</x:v>
      </x:c>
    </x:row>
    <x:row r="4269" spans="1:9" x14ac:dyDescent="0.15">
      <x:c r="A4269">
        <x:v>54204</x:v>
      </x:c>
      <x:c r="B4269">
        <x:v>3</x:v>
      </x:c>
      <x:c r="C4269">
        <x:v>8</x:v>
      </x:c>
      <x:c r="D4269">
        <x:f>ROUND($C4269*10*VLOOKUP($B4269,Sheet2!$J$5:$K$7,2,FALSE)*VLOOKUP(Sheet1!$A4269,Sheet2!$B$5:$H$29,3,FALSE),0)</x:f>
        <x:v>0</x:v>
      </x:c>
      <x:c r="E4269">
        <x:f>ROUND($C4269*10*VLOOKUP($B4269,Sheet2!$J$5:$K$7,2,FALSE)*VLOOKUP(Sheet1!$A4269,Sheet2!$B$5:$H$29,4,FALSE),0)</x:f>
        <x:v>0</x:v>
      </x:c>
      <x:c r="F4269">
        <x:f>ROUND($C4269*10*VLOOKUP($B4269,Sheet2!$J$5:$K$7,2,FALSE)*VLOOKUP(Sheet1!$A4269,Sheet2!$B$5:$H$29,5,FALSE),0)</x:f>
        <x:v>0</x:v>
      </x:c>
      <x:c r="G4269">
        <x:f>ROUND($C4269*10*VLOOKUP($B4269,Sheet2!$J$5:$K$7,2,FALSE)*VLOOKUP(Sheet1!$A4269,Sheet2!$B$5:$H$29,6,FALSE),0)</x:f>
        <x:v>26</x:v>
      </x:c>
      <x:c r="H4269">
        <x:f>ROUND($C4269*10*VLOOKUP($B4269,Sheet2!$J$5:$K$7,2,FALSE)*VLOOKUP(Sheet1!$A4269,Sheet2!$B$5:$H$29,7,FALSE),0)</x:f>
        <x:v>480</x:v>
      </x:c>
      <x:c r="I4269">
        <x:f t="shared" si="71"/>
        <x:v>4270</x:v>
      </x:c>
    </x:row>
    <x:row r="4270" spans="1:9" x14ac:dyDescent="0.15">
      <x:c r="A4270">
        <x:v>54204</x:v>
      </x:c>
      <x:c r="B4270">
        <x:v>3</x:v>
      </x:c>
      <x:c r="C4270">
        <x:v>9</x:v>
      </x:c>
      <x:c r="D4270">
        <x:f>ROUND($C4270*10*VLOOKUP($B4270,Sheet2!$J$5:$K$7,2,FALSE)*VLOOKUP(Sheet1!$A4270,Sheet2!$B$5:$H$29,3,FALSE),0)</x:f>
        <x:v>0</x:v>
      </x:c>
      <x:c r="E4270">
        <x:f>ROUND($C4270*10*VLOOKUP($B4270,Sheet2!$J$5:$K$7,2,FALSE)*VLOOKUP(Sheet1!$A4270,Sheet2!$B$5:$H$29,4,FALSE),0)</x:f>
        <x:v>0</x:v>
      </x:c>
      <x:c r="F4270">
        <x:f>ROUND($C4270*10*VLOOKUP($B4270,Sheet2!$J$5:$K$7,2,FALSE)*VLOOKUP(Sheet1!$A4270,Sheet2!$B$5:$H$29,5,FALSE),0)</x:f>
        <x:v>0</x:v>
      </x:c>
      <x:c r="G4270">
        <x:f>ROUND($C4270*10*VLOOKUP($B4270,Sheet2!$J$5:$K$7,2,FALSE)*VLOOKUP(Sheet1!$A4270,Sheet2!$B$5:$H$29,6,FALSE),0)</x:f>
        <x:v>29</x:v>
      </x:c>
      <x:c r="H4270">
        <x:f>ROUND($C4270*10*VLOOKUP($B4270,Sheet2!$J$5:$K$7,2,FALSE)*VLOOKUP(Sheet1!$A4270,Sheet2!$B$5:$H$29,7,FALSE),0)</x:f>
        <x:v>540</x:v>
      </x:c>
      <x:c r="I4270">
        <x:f t="shared" si="71"/>
        <x:v>5410</x:v>
      </x:c>
    </x:row>
    <x:row r="4271" spans="1:9" x14ac:dyDescent="0.15">
      <x:c r="A4271">
        <x:v>54204</x:v>
      </x:c>
      <x:c r="B4271">
        <x:v>3</x:v>
      </x:c>
      <x:c r="C4271">
        <x:v>10</x:v>
      </x:c>
      <x:c r="D4271">
        <x:f>ROUND($C4271*10*VLOOKUP($B4271,Sheet2!$J$5:$K$7,2,FALSE)*VLOOKUP(Sheet1!$A4271,Sheet2!$B$5:$H$29,3,FALSE),0)</x:f>
        <x:v>0</x:v>
      </x:c>
      <x:c r="E4271">
        <x:f>ROUND($C4271*10*VLOOKUP($B4271,Sheet2!$J$5:$K$7,2,FALSE)*VLOOKUP(Sheet1!$A4271,Sheet2!$B$5:$H$29,4,FALSE),0)</x:f>
        <x:v>0</x:v>
      </x:c>
      <x:c r="F4271">
        <x:f>ROUND($C4271*10*VLOOKUP($B4271,Sheet2!$J$5:$K$7,2,FALSE)*VLOOKUP(Sheet1!$A4271,Sheet2!$B$5:$H$29,5,FALSE),0)</x:f>
        <x:v>0</x:v>
      </x:c>
      <x:c r="G4271">
        <x:f>ROUND($C4271*10*VLOOKUP($B4271,Sheet2!$J$5:$K$7,2,FALSE)*VLOOKUP(Sheet1!$A4271,Sheet2!$B$5:$H$29,6,FALSE),0)</x:f>
        <x:v>32</x:v>
      </x:c>
      <x:c r="H4271">
        <x:f>ROUND($C4271*10*VLOOKUP($B4271,Sheet2!$J$5:$K$7,2,FALSE)*VLOOKUP(Sheet1!$A4271,Sheet2!$B$5:$H$29,7,FALSE),0)</x:f>
        <x:v>600</x:v>
      </x:c>
      <x:c r="I4271">
        <x:f t="shared" si="71"/>
        <x:v>6670</x:v>
      </x:c>
    </x:row>
    <x:row r="4272" spans="1:9" x14ac:dyDescent="0.15">
      <x:c r="A4272">
        <x:v>54204</x:v>
      </x:c>
      <x:c r="B4272">
        <x:v>3</x:v>
      </x:c>
      <x:c r="C4272">
        <x:v>11</x:v>
      </x:c>
      <x:c r="D4272">
        <x:f>ROUND($C4272*10*VLOOKUP($B4272,Sheet2!$J$5:$K$7,2,FALSE)*VLOOKUP(Sheet1!$A4272,Sheet2!$B$5:$H$29,3,FALSE),0)</x:f>
        <x:v>0</x:v>
      </x:c>
      <x:c r="E4272">
        <x:f>ROUND($C4272*10*VLOOKUP($B4272,Sheet2!$J$5:$K$7,2,FALSE)*VLOOKUP(Sheet1!$A4272,Sheet2!$B$5:$H$29,4,FALSE),0)</x:f>
        <x:v>0</x:v>
      </x:c>
      <x:c r="F4272">
        <x:f>ROUND($C4272*10*VLOOKUP($B4272,Sheet2!$J$5:$K$7,2,FALSE)*VLOOKUP(Sheet1!$A4272,Sheet2!$B$5:$H$29,5,FALSE),0)</x:f>
        <x:v>0</x:v>
      </x:c>
      <x:c r="G4272">
        <x:f>ROUND($C4272*10*VLOOKUP($B4272,Sheet2!$J$5:$K$7,2,FALSE)*VLOOKUP(Sheet1!$A4272,Sheet2!$B$5:$H$29,6,FALSE),0)</x:f>
        <x:v>35</x:v>
      </x:c>
      <x:c r="H4272">
        <x:f>ROUND($C4272*10*VLOOKUP($B4272,Sheet2!$J$5:$K$7,2,FALSE)*VLOOKUP(Sheet1!$A4272,Sheet2!$B$5:$H$29,7,FALSE),0)</x:f>
        <x:v>660</x:v>
      </x:c>
      <x:c r="I4272">
        <x:f t="shared" si="71"/>
        <x:v>8040</x:v>
      </x:c>
    </x:row>
    <x:row r="4273" spans="1:9" x14ac:dyDescent="0.15">
      <x:c r="A4273">
        <x:v>54204</x:v>
      </x:c>
      <x:c r="B4273">
        <x:v>3</x:v>
      </x:c>
      <x:c r="C4273">
        <x:v>12</x:v>
      </x:c>
      <x:c r="D4273">
        <x:f>ROUND($C4273*10*VLOOKUP($B4273,Sheet2!$J$5:$K$7,2,FALSE)*VLOOKUP(Sheet1!$A4273,Sheet2!$B$5:$H$29,3,FALSE),0)</x:f>
        <x:v>0</x:v>
      </x:c>
      <x:c r="E4273">
        <x:f>ROUND($C4273*10*VLOOKUP($B4273,Sheet2!$J$5:$K$7,2,FALSE)*VLOOKUP(Sheet1!$A4273,Sheet2!$B$5:$H$29,4,FALSE),0)</x:f>
        <x:v>0</x:v>
      </x:c>
      <x:c r="F4273">
        <x:f>ROUND($C4273*10*VLOOKUP($B4273,Sheet2!$J$5:$K$7,2,FALSE)*VLOOKUP(Sheet1!$A4273,Sheet2!$B$5:$H$29,5,FALSE),0)</x:f>
        <x:v>0</x:v>
      </x:c>
      <x:c r="G4273">
        <x:f>ROUND($C4273*10*VLOOKUP($B4273,Sheet2!$J$5:$K$7,2,FALSE)*VLOOKUP(Sheet1!$A4273,Sheet2!$B$5:$H$29,6,FALSE),0)</x:f>
        <x:v>38</x:v>
      </x:c>
      <x:c r="H4273">
        <x:f>ROUND($C4273*10*VLOOKUP($B4273,Sheet2!$J$5:$K$7,2,FALSE)*VLOOKUP(Sheet1!$A4273,Sheet2!$B$5:$H$29,7,FALSE),0)</x:f>
        <x:v>720</x:v>
      </x:c>
      <x:c r="I4273">
        <x:f t="shared" si="71"/>
        <x:v>9530</x:v>
      </x:c>
    </x:row>
    <x:row r="4274" spans="1:9" x14ac:dyDescent="0.15">
      <x:c r="A4274">
        <x:v>54204</x:v>
      </x:c>
      <x:c r="B4274">
        <x:v>3</x:v>
      </x:c>
      <x:c r="C4274">
        <x:v>13</x:v>
      </x:c>
      <x:c r="D4274">
        <x:f>ROUND($C4274*10*VLOOKUP($B4274,Sheet2!$J$5:$K$7,2,FALSE)*VLOOKUP(Sheet1!$A4274,Sheet2!$B$5:$H$29,3,FALSE),0)</x:f>
        <x:v>0</x:v>
      </x:c>
      <x:c r="E4274">
        <x:f>ROUND($C4274*10*VLOOKUP($B4274,Sheet2!$J$5:$K$7,2,FALSE)*VLOOKUP(Sheet1!$A4274,Sheet2!$B$5:$H$29,4,FALSE),0)</x:f>
        <x:v>0</x:v>
      </x:c>
      <x:c r="F4274">
        <x:f>ROUND($C4274*10*VLOOKUP($B4274,Sheet2!$J$5:$K$7,2,FALSE)*VLOOKUP(Sheet1!$A4274,Sheet2!$B$5:$H$29,5,FALSE),0)</x:f>
        <x:v>0</x:v>
      </x:c>
      <x:c r="G4274">
        <x:f>ROUND($C4274*10*VLOOKUP($B4274,Sheet2!$J$5:$K$7,2,FALSE)*VLOOKUP(Sheet1!$A4274,Sheet2!$B$5:$H$29,6,FALSE),0)</x:f>
        <x:v>42</x:v>
      </x:c>
      <x:c r="H4274">
        <x:f>ROUND($C4274*10*VLOOKUP($B4274,Sheet2!$J$5:$K$7,2,FALSE)*VLOOKUP(Sheet1!$A4274,Sheet2!$B$5:$H$29,7,FALSE),0)</x:f>
        <x:v>780</x:v>
      </x:c>
      <x:c r="I4274">
        <x:f t="shared" si="71"/>
        <x:v>11130</x:v>
      </x:c>
    </x:row>
    <x:row r="4275" spans="1:9" x14ac:dyDescent="0.15">
      <x:c r="A4275">
        <x:v>54204</x:v>
      </x:c>
      <x:c r="B4275">
        <x:v>3</x:v>
      </x:c>
      <x:c r="C4275">
        <x:v>14</x:v>
      </x:c>
      <x:c r="D4275">
        <x:f>ROUND($C4275*10*VLOOKUP($B4275,Sheet2!$J$5:$K$7,2,FALSE)*VLOOKUP(Sheet1!$A4275,Sheet2!$B$5:$H$29,3,FALSE),0)</x:f>
        <x:v>0</x:v>
      </x:c>
      <x:c r="E4275">
        <x:f>ROUND($C4275*10*VLOOKUP($B4275,Sheet2!$J$5:$K$7,2,FALSE)*VLOOKUP(Sheet1!$A4275,Sheet2!$B$5:$H$29,4,FALSE),0)</x:f>
        <x:v>0</x:v>
      </x:c>
      <x:c r="F4275">
        <x:f>ROUND($C4275*10*VLOOKUP($B4275,Sheet2!$J$5:$K$7,2,FALSE)*VLOOKUP(Sheet1!$A4275,Sheet2!$B$5:$H$29,5,FALSE),0)</x:f>
        <x:v>0</x:v>
      </x:c>
      <x:c r="G4275">
        <x:f>ROUND($C4275*10*VLOOKUP($B4275,Sheet2!$J$5:$K$7,2,FALSE)*VLOOKUP(Sheet1!$A4275,Sheet2!$B$5:$H$29,6,FALSE),0)</x:f>
        <x:v>45</x:v>
      </x:c>
      <x:c r="H4275">
        <x:f>ROUND($C4275*10*VLOOKUP($B4275,Sheet2!$J$5:$K$7,2,FALSE)*VLOOKUP(Sheet1!$A4275,Sheet2!$B$5:$H$29,7,FALSE),0)</x:f>
        <x:v>840</x:v>
      </x:c>
      <x:c r="I4275">
        <x:f t="shared" si="71"/>
        <x:v>12840</x:v>
      </x:c>
    </x:row>
    <x:row r="4276" spans="1:9" x14ac:dyDescent="0.15">
      <x:c r="A4276">
        <x:v>54204</x:v>
      </x:c>
      <x:c r="B4276">
        <x:v>3</x:v>
      </x:c>
      <x:c r="C4276">
        <x:v>15</x:v>
      </x:c>
      <x:c r="D4276">
        <x:f>ROUND($C4276*10*VLOOKUP($B4276,Sheet2!$J$5:$K$7,2,FALSE)*VLOOKUP(Sheet1!$A4276,Sheet2!$B$5:$H$29,3,FALSE),0)</x:f>
        <x:v>0</x:v>
      </x:c>
      <x:c r="E4276">
        <x:f>ROUND($C4276*10*VLOOKUP($B4276,Sheet2!$J$5:$K$7,2,FALSE)*VLOOKUP(Sheet1!$A4276,Sheet2!$B$5:$H$29,4,FALSE),0)</x:f>
        <x:v>0</x:v>
      </x:c>
      <x:c r="F4276">
        <x:f>ROUND($C4276*10*VLOOKUP($B4276,Sheet2!$J$5:$K$7,2,FALSE)*VLOOKUP(Sheet1!$A4276,Sheet2!$B$5:$H$29,5,FALSE),0)</x:f>
        <x:v>0</x:v>
      </x:c>
      <x:c r="G4276">
        <x:f>ROUND($C4276*10*VLOOKUP($B4276,Sheet2!$J$5:$K$7,2,FALSE)*VLOOKUP(Sheet1!$A4276,Sheet2!$B$5:$H$29,6,FALSE),0)</x:f>
        <x:v>48</x:v>
      </x:c>
      <x:c r="H4276">
        <x:f>ROUND($C4276*10*VLOOKUP($B4276,Sheet2!$J$5:$K$7,2,FALSE)*VLOOKUP(Sheet1!$A4276,Sheet2!$B$5:$H$29,7,FALSE),0)</x:f>
        <x:v>900</x:v>
      </x:c>
      <x:c r="I4276">
        <x:f t="shared" si="71"/>
        <x:v>14660</x:v>
      </x:c>
    </x:row>
    <x:row r="4277" spans="1:9" x14ac:dyDescent="0.15">
      <x:c r="A4277">
        <x:v>54204</x:v>
      </x:c>
      <x:c r="B4277">
        <x:v>3</x:v>
      </x:c>
      <x:c r="C4277">
        <x:v>16</x:v>
      </x:c>
      <x:c r="D4277">
        <x:f>ROUND($C4277*10*VLOOKUP($B4277,Sheet2!$J$5:$K$7,2,FALSE)*VLOOKUP(Sheet1!$A4277,Sheet2!$B$5:$H$29,3,FALSE),0)</x:f>
        <x:v>0</x:v>
      </x:c>
      <x:c r="E4277">
        <x:f>ROUND($C4277*10*VLOOKUP($B4277,Sheet2!$J$5:$K$7,2,FALSE)*VLOOKUP(Sheet1!$A4277,Sheet2!$B$5:$H$29,4,FALSE),0)</x:f>
        <x:v>0</x:v>
      </x:c>
      <x:c r="F4277">
        <x:f>ROUND($C4277*10*VLOOKUP($B4277,Sheet2!$J$5:$K$7,2,FALSE)*VLOOKUP(Sheet1!$A4277,Sheet2!$B$5:$H$29,5,FALSE),0)</x:f>
        <x:v>0</x:v>
      </x:c>
      <x:c r="G4277">
        <x:f>ROUND($C4277*10*VLOOKUP($B4277,Sheet2!$J$5:$K$7,2,FALSE)*VLOOKUP(Sheet1!$A4277,Sheet2!$B$5:$H$29,6,FALSE),0)</x:f>
        <x:v>51</x:v>
      </x:c>
      <x:c r="H4277">
        <x:f>ROUND($C4277*10*VLOOKUP($B4277,Sheet2!$J$5:$K$7,2,FALSE)*VLOOKUP(Sheet1!$A4277,Sheet2!$B$5:$H$29,7,FALSE),0)</x:f>
        <x:v>960</x:v>
      </x:c>
      <x:c r="I4277">
        <x:f t="shared" si="71"/>
        <x:v>16580</x:v>
      </x:c>
    </x:row>
    <x:row r="4278" spans="1:9" x14ac:dyDescent="0.15">
      <x:c r="A4278">
        <x:v>54204</x:v>
      </x:c>
      <x:c r="B4278">
        <x:v>3</x:v>
      </x:c>
      <x:c r="C4278">
        <x:v>17</x:v>
      </x:c>
      <x:c r="D4278">
        <x:f>ROUND($C4278*10*VLOOKUP($B4278,Sheet2!$J$5:$K$7,2,FALSE)*VLOOKUP(Sheet1!$A4278,Sheet2!$B$5:$H$29,3,FALSE),0)</x:f>
        <x:v>0</x:v>
      </x:c>
      <x:c r="E4278">
        <x:f>ROUND($C4278*10*VLOOKUP($B4278,Sheet2!$J$5:$K$7,2,FALSE)*VLOOKUP(Sheet1!$A4278,Sheet2!$B$5:$H$29,4,FALSE),0)</x:f>
        <x:v>0</x:v>
      </x:c>
      <x:c r="F4278">
        <x:f>ROUND($C4278*10*VLOOKUP($B4278,Sheet2!$J$5:$K$7,2,FALSE)*VLOOKUP(Sheet1!$A4278,Sheet2!$B$5:$H$29,5,FALSE),0)</x:f>
        <x:v>0</x:v>
      </x:c>
      <x:c r="G4278">
        <x:f>ROUND($C4278*10*VLOOKUP($B4278,Sheet2!$J$5:$K$7,2,FALSE)*VLOOKUP(Sheet1!$A4278,Sheet2!$B$5:$H$29,6,FALSE),0)</x:f>
        <x:v>54</x:v>
      </x:c>
      <x:c r="H4278">
        <x:f>ROUND($C4278*10*VLOOKUP($B4278,Sheet2!$J$5:$K$7,2,FALSE)*VLOOKUP(Sheet1!$A4278,Sheet2!$B$5:$H$29,7,FALSE),0)</x:f>
        <x:v>1020</x:v>
      </x:c>
      <x:c r="I4278">
        <x:f t="shared" si="71"/>
        <x:v>18620</x:v>
      </x:c>
    </x:row>
    <x:row r="4279" spans="1:9" x14ac:dyDescent="0.15">
      <x:c r="A4279">
        <x:v>54204</x:v>
      </x:c>
      <x:c r="B4279">
        <x:v>3</x:v>
      </x:c>
      <x:c r="C4279">
        <x:v>18</x:v>
      </x:c>
      <x:c r="D4279">
        <x:f>ROUND($C4279*10*VLOOKUP($B4279,Sheet2!$J$5:$K$7,2,FALSE)*VLOOKUP(Sheet1!$A4279,Sheet2!$B$5:$H$29,3,FALSE),0)</x:f>
        <x:v>0</x:v>
      </x:c>
      <x:c r="E4279">
        <x:f>ROUND($C4279*10*VLOOKUP($B4279,Sheet2!$J$5:$K$7,2,FALSE)*VLOOKUP(Sheet1!$A4279,Sheet2!$B$5:$H$29,4,FALSE),0)</x:f>
        <x:v>0</x:v>
      </x:c>
      <x:c r="F4279">
        <x:f>ROUND($C4279*10*VLOOKUP($B4279,Sheet2!$J$5:$K$7,2,FALSE)*VLOOKUP(Sheet1!$A4279,Sheet2!$B$5:$H$29,5,FALSE),0)</x:f>
        <x:v>0</x:v>
      </x:c>
      <x:c r="G4279">
        <x:f>ROUND($C4279*10*VLOOKUP($B4279,Sheet2!$J$5:$K$7,2,FALSE)*VLOOKUP(Sheet1!$A4279,Sheet2!$B$5:$H$29,6,FALSE),0)</x:f>
        <x:v>58</x:v>
      </x:c>
      <x:c r="H4279">
        <x:f>ROUND($C4279*10*VLOOKUP($B4279,Sheet2!$J$5:$K$7,2,FALSE)*VLOOKUP(Sheet1!$A4279,Sheet2!$B$5:$H$29,7,FALSE),0)</x:f>
        <x:v>1080</x:v>
      </x:c>
      <x:c r="I4279">
        <x:f t="shared" si="71"/>
        <x:v>20750</x:v>
      </x:c>
    </x:row>
    <x:row r="4280" spans="1:9" x14ac:dyDescent="0.15">
      <x:c r="A4280">
        <x:v>54204</x:v>
      </x:c>
      <x:c r="B4280">
        <x:v>3</x:v>
      </x:c>
      <x:c r="C4280">
        <x:v>19</x:v>
      </x:c>
      <x:c r="D4280">
        <x:f>ROUND($C4280*10*VLOOKUP($B4280,Sheet2!$J$5:$K$7,2,FALSE)*VLOOKUP(Sheet1!$A4280,Sheet2!$B$5:$H$29,3,FALSE),0)</x:f>
        <x:v>0</x:v>
      </x:c>
      <x:c r="E4280">
        <x:f>ROUND($C4280*10*VLOOKUP($B4280,Sheet2!$J$5:$K$7,2,FALSE)*VLOOKUP(Sheet1!$A4280,Sheet2!$B$5:$H$29,4,FALSE),0)</x:f>
        <x:v>0</x:v>
      </x:c>
      <x:c r="F4280">
        <x:f>ROUND($C4280*10*VLOOKUP($B4280,Sheet2!$J$5:$K$7,2,FALSE)*VLOOKUP(Sheet1!$A4280,Sheet2!$B$5:$H$29,5,FALSE),0)</x:f>
        <x:v>0</x:v>
      </x:c>
      <x:c r="G4280">
        <x:f>ROUND($C4280*10*VLOOKUP($B4280,Sheet2!$J$5:$K$7,2,FALSE)*VLOOKUP(Sheet1!$A4280,Sheet2!$B$5:$H$29,6,FALSE),0)</x:f>
        <x:v>61</x:v>
      </x:c>
      <x:c r="H4280">
        <x:f>ROUND($C4280*10*VLOOKUP($B4280,Sheet2!$J$5:$K$7,2,FALSE)*VLOOKUP(Sheet1!$A4280,Sheet2!$B$5:$H$29,7,FALSE),0)</x:f>
        <x:v>1140</x:v>
      </x:c>
      <x:c r="I4280">
        <x:f t="shared" si="71"/>
        <x:v>22990</x:v>
      </x:c>
    </x:row>
    <x:row r="4281" spans="1:9" x14ac:dyDescent="0.15">
      <x:c r="A4281">
        <x:v>54204</x:v>
      </x:c>
      <x:c r="B4281">
        <x:v>3</x:v>
      </x:c>
      <x:c r="C4281">
        <x:v>20</x:v>
      </x:c>
      <x:c r="D4281">
        <x:f>ROUND($C4281*10*VLOOKUP($B4281,Sheet2!$J$5:$K$7,2,FALSE)*VLOOKUP(Sheet1!$A4281,Sheet2!$B$5:$H$29,3,FALSE),0)</x:f>
        <x:v>0</x:v>
      </x:c>
      <x:c r="E4281">
        <x:f>ROUND($C4281*10*VLOOKUP($B4281,Sheet2!$J$5:$K$7,2,FALSE)*VLOOKUP(Sheet1!$A4281,Sheet2!$B$5:$H$29,4,FALSE),0)</x:f>
        <x:v>0</x:v>
      </x:c>
      <x:c r="F4281">
        <x:f>ROUND($C4281*10*VLOOKUP($B4281,Sheet2!$J$5:$K$7,2,FALSE)*VLOOKUP(Sheet1!$A4281,Sheet2!$B$5:$H$29,5,FALSE),0)</x:f>
        <x:v>0</x:v>
      </x:c>
      <x:c r="G4281">
        <x:f>ROUND($C4281*10*VLOOKUP($B4281,Sheet2!$J$5:$K$7,2,FALSE)*VLOOKUP(Sheet1!$A4281,Sheet2!$B$5:$H$29,6,FALSE),0)</x:f>
        <x:v>64</x:v>
      </x:c>
      <x:c r="H4281">
        <x:f>ROUND($C4281*10*VLOOKUP($B4281,Sheet2!$J$5:$K$7,2,FALSE)*VLOOKUP(Sheet1!$A4281,Sheet2!$B$5:$H$29,7,FALSE),0)</x:f>
        <x:v>1200</x:v>
      </x:c>
      <x:c r="I4281">
        <x:f t="shared" si="71"/>
        <x:v>25330</x:v>
      </x:c>
    </x:row>
    <x:row r="4282" spans="1:9" x14ac:dyDescent="0.15">
      <x:c r="A4282">
        <x:v>54204</x:v>
      </x:c>
      <x:c r="B4282">
        <x:v>3</x:v>
      </x:c>
      <x:c r="C4282">
        <x:v>21</x:v>
      </x:c>
      <x:c r="D4282">
        <x:f>ROUND($C4282*10*VLOOKUP($B4282,Sheet2!$J$5:$K$7,2,FALSE)*VLOOKUP(Sheet1!$A4282,Sheet2!$B$5:$H$29,3,FALSE),0)</x:f>
        <x:v>0</x:v>
      </x:c>
      <x:c r="E4282">
        <x:f>ROUND($C4282*10*VLOOKUP($B4282,Sheet2!$J$5:$K$7,2,FALSE)*VLOOKUP(Sheet1!$A4282,Sheet2!$B$5:$H$29,4,FALSE),0)</x:f>
        <x:v>0</x:v>
      </x:c>
      <x:c r="F4282">
        <x:f>ROUND($C4282*10*VLOOKUP($B4282,Sheet2!$J$5:$K$7,2,FALSE)*VLOOKUP(Sheet1!$A4282,Sheet2!$B$5:$H$29,5,FALSE),0)</x:f>
        <x:v>0</x:v>
      </x:c>
      <x:c r="G4282">
        <x:f>ROUND($C4282*10*VLOOKUP($B4282,Sheet2!$J$5:$K$7,2,FALSE)*VLOOKUP(Sheet1!$A4282,Sheet2!$B$5:$H$29,6,FALSE),0)</x:f>
        <x:v>67</x:v>
      </x:c>
      <x:c r="H4282">
        <x:f>ROUND($C4282*10*VLOOKUP($B4282,Sheet2!$J$5:$K$7,2,FALSE)*VLOOKUP(Sheet1!$A4282,Sheet2!$B$5:$H$29,7,FALSE),0)</x:f>
        <x:v>1260</x:v>
      </x:c>
      <x:c r="I4282">
        <x:f t="shared" si="71"/>
        <x:v>27770</x:v>
      </x:c>
    </x:row>
    <x:row r="4283" spans="1:9" x14ac:dyDescent="0.15">
      <x:c r="A4283">
        <x:v>54204</x:v>
      </x:c>
      <x:c r="B4283">
        <x:v>3</x:v>
      </x:c>
      <x:c r="C4283">
        <x:v>22</x:v>
      </x:c>
      <x:c r="D4283">
        <x:f>ROUND($C4283*10*VLOOKUP($B4283,Sheet2!$J$5:$K$7,2,FALSE)*VLOOKUP(Sheet1!$A4283,Sheet2!$B$5:$H$29,3,FALSE),0)</x:f>
        <x:v>0</x:v>
      </x:c>
      <x:c r="E4283">
        <x:f>ROUND($C4283*10*VLOOKUP($B4283,Sheet2!$J$5:$K$7,2,FALSE)*VLOOKUP(Sheet1!$A4283,Sheet2!$B$5:$H$29,4,FALSE),0)</x:f>
        <x:v>0</x:v>
      </x:c>
      <x:c r="F4283">
        <x:f>ROUND($C4283*10*VLOOKUP($B4283,Sheet2!$J$5:$K$7,2,FALSE)*VLOOKUP(Sheet1!$A4283,Sheet2!$B$5:$H$29,5,FALSE),0)</x:f>
        <x:v>0</x:v>
      </x:c>
      <x:c r="G4283">
        <x:f>ROUND($C4283*10*VLOOKUP($B4283,Sheet2!$J$5:$K$7,2,FALSE)*VLOOKUP(Sheet1!$A4283,Sheet2!$B$5:$H$29,6,FALSE),0)</x:f>
        <x:v>70</x:v>
      </x:c>
      <x:c r="H4283">
        <x:f>ROUND($C4283*10*VLOOKUP($B4283,Sheet2!$J$5:$K$7,2,FALSE)*VLOOKUP(Sheet1!$A4283,Sheet2!$B$5:$H$29,7,FALSE),0)</x:f>
        <x:v>1320</x:v>
      </x:c>
      <x:c r="I4283">
        <x:f t="shared" si="71"/>
        <x:v>30310</x:v>
      </x:c>
    </x:row>
    <x:row r="4284" spans="1:9" x14ac:dyDescent="0.15">
      <x:c r="A4284">
        <x:v>54204</x:v>
      </x:c>
      <x:c r="B4284">
        <x:v>3</x:v>
      </x:c>
      <x:c r="C4284">
        <x:v>23</x:v>
      </x:c>
      <x:c r="D4284">
        <x:f>ROUND($C4284*10*VLOOKUP($B4284,Sheet2!$J$5:$K$7,2,FALSE)*VLOOKUP(Sheet1!$A4284,Sheet2!$B$5:$H$29,3,FALSE),0)</x:f>
        <x:v>0</x:v>
      </x:c>
      <x:c r="E4284">
        <x:f>ROUND($C4284*10*VLOOKUP($B4284,Sheet2!$J$5:$K$7,2,FALSE)*VLOOKUP(Sheet1!$A4284,Sheet2!$B$5:$H$29,4,FALSE),0)</x:f>
        <x:v>0</x:v>
      </x:c>
      <x:c r="F4284">
        <x:f>ROUND($C4284*10*VLOOKUP($B4284,Sheet2!$J$5:$K$7,2,FALSE)*VLOOKUP(Sheet1!$A4284,Sheet2!$B$5:$H$29,5,FALSE),0)</x:f>
        <x:v>0</x:v>
      </x:c>
      <x:c r="G4284">
        <x:f>ROUND($C4284*10*VLOOKUP($B4284,Sheet2!$J$5:$K$7,2,FALSE)*VLOOKUP(Sheet1!$A4284,Sheet2!$B$5:$H$29,6,FALSE),0)</x:f>
        <x:v>74</x:v>
      </x:c>
      <x:c r="H4284">
        <x:f>ROUND($C4284*10*VLOOKUP($B4284,Sheet2!$J$5:$K$7,2,FALSE)*VLOOKUP(Sheet1!$A4284,Sheet2!$B$5:$H$29,7,FALSE),0)</x:f>
        <x:v>1380</x:v>
      </x:c>
      <x:c r="I4284">
        <x:f t="shared" si="71"/>
        <x:v>32950</x:v>
      </x:c>
    </x:row>
    <x:row r="4285" spans="1:9" x14ac:dyDescent="0.15">
      <x:c r="A4285">
        <x:v>54204</x:v>
      </x:c>
      <x:c r="B4285">
        <x:v>3</x:v>
      </x:c>
      <x:c r="C4285">
        <x:v>24</x:v>
      </x:c>
      <x:c r="D4285">
        <x:f>ROUND($C4285*10*VLOOKUP($B4285,Sheet2!$J$5:$K$7,2,FALSE)*VLOOKUP(Sheet1!$A4285,Sheet2!$B$5:$H$29,3,FALSE),0)</x:f>
        <x:v>0</x:v>
      </x:c>
      <x:c r="E4285">
        <x:f>ROUND($C4285*10*VLOOKUP($B4285,Sheet2!$J$5:$K$7,2,FALSE)*VLOOKUP(Sheet1!$A4285,Sheet2!$B$5:$H$29,4,FALSE),0)</x:f>
        <x:v>0</x:v>
      </x:c>
      <x:c r="F4285">
        <x:f>ROUND($C4285*10*VLOOKUP($B4285,Sheet2!$J$5:$K$7,2,FALSE)*VLOOKUP(Sheet1!$A4285,Sheet2!$B$5:$H$29,5,FALSE),0)</x:f>
        <x:v>0</x:v>
      </x:c>
      <x:c r="G4285">
        <x:f>ROUND($C4285*10*VLOOKUP($B4285,Sheet2!$J$5:$K$7,2,FALSE)*VLOOKUP(Sheet1!$A4285,Sheet2!$B$5:$H$29,6,FALSE),0)</x:f>
        <x:v>77</x:v>
      </x:c>
      <x:c r="H4285">
        <x:f>ROUND($C4285*10*VLOOKUP($B4285,Sheet2!$J$5:$K$7,2,FALSE)*VLOOKUP(Sheet1!$A4285,Sheet2!$B$5:$H$29,7,FALSE),0)</x:f>
        <x:v>1440</x:v>
      </x:c>
      <x:c r="I4285">
        <x:f t="shared" si="71"/>
        <x:v>35690</x:v>
      </x:c>
    </x:row>
    <x:row r="4286" spans="1:9" x14ac:dyDescent="0.15">
      <x:c r="A4286">
        <x:v>54204</x:v>
      </x:c>
      <x:c r="B4286">
        <x:v>3</x:v>
      </x:c>
      <x:c r="C4286">
        <x:v>25</x:v>
      </x:c>
      <x:c r="D4286">
        <x:f>ROUND($C4286*10*VLOOKUP($B4286,Sheet2!$J$5:$K$7,2,FALSE)*VLOOKUP(Sheet1!$A4286,Sheet2!$B$5:$H$29,3,FALSE),0)</x:f>
        <x:v>0</x:v>
      </x:c>
      <x:c r="E4286">
        <x:f>ROUND($C4286*10*VLOOKUP($B4286,Sheet2!$J$5:$K$7,2,FALSE)*VLOOKUP(Sheet1!$A4286,Sheet2!$B$5:$H$29,4,FALSE),0)</x:f>
        <x:v>0</x:v>
      </x:c>
      <x:c r="F4286">
        <x:f>ROUND($C4286*10*VLOOKUP($B4286,Sheet2!$J$5:$K$7,2,FALSE)*VLOOKUP(Sheet1!$A4286,Sheet2!$B$5:$H$29,5,FALSE),0)</x:f>
        <x:v>0</x:v>
      </x:c>
      <x:c r="G4286">
        <x:f>ROUND($C4286*10*VLOOKUP($B4286,Sheet2!$J$5:$K$7,2,FALSE)*VLOOKUP(Sheet1!$A4286,Sheet2!$B$5:$H$29,6,FALSE),0)</x:f>
        <x:v>80</x:v>
      </x:c>
      <x:c r="H4286">
        <x:f>ROUND($C4286*10*VLOOKUP($B4286,Sheet2!$J$5:$K$7,2,FALSE)*VLOOKUP(Sheet1!$A4286,Sheet2!$B$5:$H$29,7,FALSE),0)</x:f>
        <x:v>1500</x:v>
      </x:c>
      <x:c r="I4286">
        <x:f t="shared" si="71"/>
        <x:v>38530</x:v>
      </x:c>
    </x:row>
    <x:row r="4287" spans="1:9" x14ac:dyDescent="0.15">
      <x:c r="A4287">
        <x:v>54204</x:v>
      </x:c>
      <x:c r="B4287">
        <x:v>3</x:v>
      </x:c>
      <x:c r="C4287">
        <x:v>26</x:v>
      </x:c>
      <x:c r="D4287">
        <x:f>ROUND($C4287*10*VLOOKUP($B4287,Sheet2!$J$5:$K$7,2,FALSE)*VLOOKUP(Sheet1!$A4287,Sheet2!$B$5:$H$29,3,FALSE),0)</x:f>
        <x:v>0</x:v>
      </x:c>
      <x:c r="E4287">
        <x:f>ROUND($C4287*10*VLOOKUP($B4287,Sheet2!$J$5:$K$7,2,FALSE)*VLOOKUP(Sheet1!$A4287,Sheet2!$B$5:$H$29,4,FALSE),0)</x:f>
        <x:v>0</x:v>
      </x:c>
      <x:c r="F4287">
        <x:f>ROUND($C4287*10*VLOOKUP($B4287,Sheet2!$J$5:$K$7,2,FALSE)*VLOOKUP(Sheet1!$A4287,Sheet2!$B$5:$H$29,5,FALSE),0)</x:f>
        <x:v>0</x:v>
      </x:c>
      <x:c r="G4287">
        <x:f>ROUND($C4287*10*VLOOKUP($B4287,Sheet2!$J$5:$K$7,2,FALSE)*VLOOKUP(Sheet1!$A4287,Sheet2!$B$5:$H$29,6,FALSE),0)</x:f>
        <x:v>83</x:v>
      </x:c>
      <x:c r="H4287">
        <x:f>ROUND($C4287*10*VLOOKUP($B4287,Sheet2!$J$5:$K$7,2,FALSE)*VLOOKUP(Sheet1!$A4287,Sheet2!$B$5:$H$29,7,FALSE),0)</x:f>
        <x:v>1560</x:v>
      </x:c>
      <x:c r="I4287">
        <x:f t="shared" si="71"/>
        <x:v>41460</x:v>
      </x:c>
    </x:row>
    <x:row r="4288" spans="1:9" x14ac:dyDescent="0.15">
      <x:c r="A4288">
        <x:v>54204</x:v>
      </x:c>
      <x:c r="B4288">
        <x:v>3</x:v>
      </x:c>
      <x:c r="C4288">
        <x:v>27</x:v>
      </x:c>
      <x:c r="D4288">
        <x:f>ROUND($C4288*10*VLOOKUP($B4288,Sheet2!$J$5:$K$7,2,FALSE)*VLOOKUP(Sheet1!$A4288,Sheet2!$B$5:$H$29,3,FALSE),0)</x:f>
        <x:v>0</x:v>
      </x:c>
      <x:c r="E4288">
        <x:f>ROUND($C4288*10*VLOOKUP($B4288,Sheet2!$J$5:$K$7,2,FALSE)*VLOOKUP(Sheet1!$A4288,Sheet2!$B$5:$H$29,4,FALSE),0)</x:f>
        <x:v>0</x:v>
      </x:c>
      <x:c r="F4288">
        <x:f>ROUND($C4288*10*VLOOKUP($B4288,Sheet2!$J$5:$K$7,2,FALSE)*VLOOKUP(Sheet1!$A4288,Sheet2!$B$5:$H$29,5,FALSE),0)</x:f>
        <x:v>0</x:v>
      </x:c>
      <x:c r="G4288">
        <x:f>ROUND($C4288*10*VLOOKUP($B4288,Sheet2!$J$5:$K$7,2,FALSE)*VLOOKUP(Sheet1!$A4288,Sheet2!$B$5:$H$29,6,FALSE),0)</x:f>
        <x:v>86</x:v>
      </x:c>
      <x:c r="H4288">
        <x:f>ROUND($C4288*10*VLOOKUP($B4288,Sheet2!$J$5:$K$7,2,FALSE)*VLOOKUP(Sheet1!$A4288,Sheet2!$B$5:$H$29,7,FALSE),0)</x:f>
        <x:v>1620</x:v>
      </x:c>
      <x:c r="I4288">
        <x:f t="shared" si="71"/>
        <x:v>44480</x:v>
      </x:c>
    </x:row>
    <x:row r="4289" spans="1:9" x14ac:dyDescent="0.15">
      <x:c r="A4289">
        <x:v>54204</x:v>
      </x:c>
      <x:c r="B4289">
        <x:v>3</x:v>
      </x:c>
      <x:c r="C4289">
        <x:v>28</x:v>
      </x:c>
      <x:c r="D4289">
        <x:f>ROUND($C4289*10*VLOOKUP($B4289,Sheet2!$J$5:$K$7,2,FALSE)*VLOOKUP(Sheet1!$A4289,Sheet2!$B$5:$H$29,3,FALSE),0)</x:f>
        <x:v>0</x:v>
      </x:c>
      <x:c r="E4289">
        <x:f>ROUND($C4289*10*VLOOKUP($B4289,Sheet2!$J$5:$K$7,2,FALSE)*VLOOKUP(Sheet1!$A4289,Sheet2!$B$5:$H$29,4,FALSE),0)</x:f>
        <x:v>0</x:v>
      </x:c>
      <x:c r="F4289">
        <x:f>ROUND($C4289*10*VLOOKUP($B4289,Sheet2!$J$5:$K$7,2,FALSE)*VLOOKUP(Sheet1!$A4289,Sheet2!$B$5:$H$29,5,FALSE),0)</x:f>
        <x:v>0</x:v>
      </x:c>
      <x:c r="G4289">
        <x:f>ROUND($C4289*10*VLOOKUP($B4289,Sheet2!$J$5:$K$7,2,FALSE)*VLOOKUP(Sheet1!$A4289,Sheet2!$B$5:$H$29,6,FALSE),0)</x:f>
        <x:v>90</x:v>
      </x:c>
      <x:c r="H4289">
        <x:f>ROUND($C4289*10*VLOOKUP($B4289,Sheet2!$J$5:$K$7,2,FALSE)*VLOOKUP(Sheet1!$A4289,Sheet2!$B$5:$H$29,7,FALSE),0)</x:f>
        <x:v>1680</x:v>
      </x:c>
      <x:c r="I4289">
        <x:f t="shared" si="71"/>
        <x:v>47600</x:v>
      </x:c>
    </x:row>
    <x:row r="4290" spans="1:9" x14ac:dyDescent="0.15">
      <x:c r="A4290">
        <x:v>54204</x:v>
      </x:c>
      <x:c r="B4290">
        <x:v>3</x:v>
      </x:c>
      <x:c r="C4290">
        <x:v>29</x:v>
      </x:c>
      <x:c r="D4290">
        <x:f>ROUND($C4290*10*VLOOKUP($B4290,Sheet2!$J$5:$K$7,2,FALSE)*VLOOKUP(Sheet1!$A4290,Sheet2!$B$5:$H$29,3,FALSE),0)</x:f>
        <x:v>0</x:v>
      </x:c>
      <x:c r="E4290">
        <x:f>ROUND($C4290*10*VLOOKUP($B4290,Sheet2!$J$5:$K$7,2,FALSE)*VLOOKUP(Sheet1!$A4290,Sheet2!$B$5:$H$29,4,FALSE),0)</x:f>
        <x:v>0</x:v>
      </x:c>
      <x:c r="F4290">
        <x:f>ROUND($C4290*10*VLOOKUP($B4290,Sheet2!$J$5:$K$7,2,FALSE)*VLOOKUP(Sheet1!$A4290,Sheet2!$B$5:$H$29,5,FALSE),0)</x:f>
        <x:v>0</x:v>
      </x:c>
      <x:c r="G4290">
        <x:f>ROUND($C4290*10*VLOOKUP($B4290,Sheet2!$J$5:$K$7,2,FALSE)*VLOOKUP(Sheet1!$A4290,Sheet2!$B$5:$H$29,6,FALSE),0)</x:f>
        <x:v>93</x:v>
      </x:c>
      <x:c r="H4290">
        <x:f>ROUND($C4290*10*VLOOKUP($B4290,Sheet2!$J$5:$K$7,2,FALSE)*VLOOKUP(Sheet1!$A4290,Sheet2!$B$5:$H$29,7,FALSE),0)</x:f>
        <x:v>1740</x:v>
      </x:c>
      <x:c r="I4290">
        <x:f t="shared" si="71"/>
        <x:v>50820</x:v>
      </x:c>
    </x:row>
    <x:row r="4291" spans="1:9" x14ac:dyDescent="0.15">
      <x:c r="A4291">
        <x:v>54204</x:v>
      </x:c>
      <x:c r="B4291">
        <x:v>3</x:v>
      </x:c>
      <x:c r="C4291">
        <x:v>30</x:v>
      </x:c>
      <x:c r="D4291">
        <x:f>ROUND($C4291*10*VLOOKUP($B4291,Sheet2!$J$5:$K$7,2,FALSE)*VLOOKUP(Sheet1!$A4291,Sheet2!$B$5:$H$29,3,FALSE),0)</x:f>
        <x:v>0</x:v>
      </x:c>
      <x:c r="E4291">
        <x:f>ROUND($C4291*10*VLOOKUP($B4291,Sheet2!$J$5:$K$7,2,FALSE)*VLOOKUP(Sheet1!$A4291,Sheet2!$B$5:$H$29,4,FALSE),0)</x:f>
        <x:v>0</x:v>
      </x:c>
      <x:c r="F4291">
        <x:f>ROUND($C4291*10*VLOOKUP($B4291,Sheet2!$J$5:$K$7,2,FALSE)*VLOOKUP(Sheet1!$A4291,Sheet2!$B$5:$H$29,5,FALSE),0)</x:f>
        <x:v>0</x:v>
      </x:c>
      <x:c r="G4291">
        <x:f>ROUND($C4291*10*VLOOKUP($B4291,Sheet2!$J$5:$K$7,2,FALSE)*VLOOKUP(Sheet1!$A4291,Sheet2!$B$5:$H$29,6,FALSE),0)</x:f>
        <x:v>96</x:v>
      </x:c>
      <x:c r="H4291">
        <x:f>ROUND($C4291*10*VLOOKUP($B4291,Sheet2!$J$5:$K$7,2,FALSE)*VLOOKUP(Sheet1!$A4291,Sheet2!$B$5:$H$29,7,FALSE),0)</x:f>
        <x:v>1800</x:v>
      </x:c>
      <x:c r="I4291">
        <x:f t="shared" si="71"/>
        <x:v>54130</x:v>
      </x:c>
    </x:row>
    <x:row r="4292" spans="1:9" x14ac:dyDescent="0.15">
      <x:c r="A4292">
        <x:v>54204</x:v>
      </x:c>
      <x:c r="B4292">
        <x:v>3</x:v>
      </x:c>
      <x:c r="C4292">
        <x:v>31</x:v>
      </x:c>
      <x:c r="D4292">
        <x:f>ROUND($C4292*10*VLOOKUP($B4292,Sheet2!$J$5:$K$7,2,FALSE)*VLOOKUP(Sheet1!$A4292,Sheet2!$B$5:$H$29,3,FALSE),0)</x:f>
        <x:v>0</x:v>
      </x:c>
      <x:c r="E4292">
        <x:f>ROUND($C4292*10*VLOOKUP($B4292,Sheet2!$J$5:$K$7,2,FALSE)*VLOOKUP(Sheet1!$A4292,Sheet2!$B$5:$H$29,4,FALSE),0)</x:f>
        <x:v>0</x:v>
      </x:c>
      <x:c r="F4292">
        <x:f>ROUND($C4292*10*VLOOKUP($B4292,Sheet2!$J$5:$K$7,2,FALSE)*VLOOKUP(Sheet1!$A4292,Sheet2!$B$5:$H$29,5,FALSE),0)</x:f>
        <x:v>0</x:v>
      </x:c>
      <x:c r="G4292">
        <x:f>ROUND($C4292*10*VLOOKUP($B4292,Sheet2!$J$5:$K$7,2,FALSE)*VLOOKUP(Sheet1!$A4292,Sheet2!$B$5:$H$29,6,FALSE),0)</x:f>
        <x:v>99</x:v>
      </x:c>
      <x:c r="H4292">
        <x:f>ROUND($C4292*10*VLOOKUP($B4292,Sheet2!$J$5:$K$7,2,FALSE)*VLOOKUP(Sheet1!$A4292,Sheet2!$B$5:$H$29,7,FALSE),0)</x:f>
        <x:v>1860</x:v>
      </x:c>
      <x:c r="I4292">
        <x:f t="shared" si="71"/>
        <x:v>57530</x:v>
      </x:c>
    </x:row>
    <x:row r="4293" spans="1:9" x14ac:dyDescent="0.15">
      <x:c r="A4293">
        <x:v>54204</x:v>
      </x:c>
      <x:c r="B4293">
        <x:v>3</x:v>
      </x:c>
      <x:c r="C4293">
        <x:v>32</x:v>
      </x:c>
      <x:c r="D4293">
        <x:f>ROUND($C4293*10*VLOOKUP($B4293,Sheet2!$J$5:$K$7,2,FALSE)*VLOOKUP(Sheet1!$A4293,Sheet2!$B$5:$H$29,3,FALSE),0)</x:f>
        <x:v>0</x:v>
      </x:c>
      <x:c r="E4293">
        <x:f>ROUND($C4293*10*VLOOKUP($B4293,Sheet2!$J$5:$K$7,2,FALSE)*VLOOKUP(Sheet1!$A4293,Sheet2!$B$5:$H$29,4,FALSE),0)</x:f>
        <x:v>0</x:v>
      </x:c>
      <x:c r="F4293">
        <x:f>ROUND($C4293*10*VLOOKUP($B4293,Sheet2!$J$5:$K$7,2,FALSE)*VLOOKUP(Sheet1!$A4293,Sheet2!$B$5:$H$29,5,FALSE),0)</x:f>
        <x:v>0</x:v>
      </x:c>
      <x:c r="G4293">
        <x:f>ROUND($C4293*10*VLOOKUP($B4293,Sheet2!$J$5:$K$7,2,FALSE)*VLOOKUP(Sheet1!$A4293,Sheet2!$B$5:$H$29,6,FALSE),0)</x:f>
        <x:v>102</x:v>
      </x:c>
      <x:c r="H4293">
        <x:f>ROUND($C4293*10*VLOOKUP($B4293,Sheet2!$J$5:$K$7,2,FALSE)*VLOOKUP(Sheet1!$A4293,Sheet2!$B$5:$H$29,7,FALSE),0)</x:f>
        <x:v>1920</x:v>
      </x:c>
      <x:c r="I4293">
        <x:f t="shared" si="71"/>
        <x:v>61020</x:v>
      </x:c>
    </x:row>
    <x:row r="4294" spans="1:9" x14ac:dyDescent="0.15">
      <x:c r="A4294">
        <x:v>54204</x:v>
      </x:c>
      <x:c r="B4294">
        <x:v>3</x:v>
      </x:c>
      <x:c r="C4294">
        <x:v>33</x:v>
      </x:c>
      <x:c r="D4294">
        <x:f>ROUND($C4294*10*VLOOKUP($B4294,Sheet2!$J$5:$K$7,2,FALSE)*VLOOKUP(Sheet1!$A4294,Sheet2!$B$5:$H$29,3,FALSE),0)</x:f>
        <x:v>0</x:v>
      </x:c>
      <x:c r="E4294">
        <x:f>ROUND($C4294*10*VLOOKUP($B4294,Sheet2!$J$5:$K$7,2,FALSE)*VLOOKUP(Sheet1!$A4294,Sheet2!$B$5:$H$29,4,FALSE),0)</x:f>
        <x:v>0</x:v>
      </x:c>
      <x:c r="F4294">
        <x:f>ROUND($C4294*10*VLOOKUP($B4294,Sheet2!$J$5:$K$7,2,FALSE)*VLOOKUP(Sheet1!$A4294,Sheet2!$B$5:$H$29,5,FALSE),0)</x:f>
        <x:v>0</x:v>
      </x:c>
      <x:c r="G4294">
        <x:f>ROUND($C4294*10*VLOOKUP($B4294,Sheet2!$J$5:$K$7,2,FALSE)*VLOOKUP(Sheet1!$A4294,Sheet2!$B$5:$H$29,6,FALSE),0)</x:f>
        <x:v>106</x:v>
      </x:c>
      <x:c r="H4294">
        <x:f>ROUND($C4294*10*VLOOKUP($B4294,Sheet2!$J$5:$K$7,2,FALSE)*VLOOKUP(Sheet1!$A4294,Sheet2!$B$5:$H$29,7,FALSE),0)</x:f>
        <x:v>1980</x:v>
      </x:c>
      <x:c r="I4294">
        <x:f t="shared" si="71"/>
        <x:v>64600</x:v>
      </x:c>
    </x:row>
    <x:row r="4295" spans="1:9" x14ac:dyDescent="0.15">
      <x:c r="A4295">
        <x:v>54204</x:v>
      </x:c>
      <x:c r="B4295">
        <x:v>3</x:v>
      </x:c>
      <x:c r="C4295">
        <x:v>34</x:v>
      </x:c>
      <x:c r="D4295">
        <x:f>ROUND($C4295*10*VLOOKUP($B4295,Sheet2!$J$5:$K$7,2,FALSE)*VLOOKUP(Sheet1!$A4295,Sheet2!$B$5:$H$29,3,FALSE),0)</x:f>
        <x:v>0</x:v>
      </x:c>
      <x:c r="E4295">
        <x:f>ROUND($C4295*10*VLOOKUP($B4295,Sheet2!$J$5:$K$7,2,FALSE)*VLOOKUP(Sheet1!$A4295,Sheet2!$B$5:$H$29,4,FALSE),0)</x:f>
        <x:v>0</x:v>
      </x:c>
      <x:c r="F4295">
        <x:f>ROUND($C4295*10*VLOOKUP($B4295,Sheet2!$J$5:$K$7,2,FALSE)*VLOOKUP(Sheet1!$A4295,Sheet2!$B$5:$H$29,5,FALSE),0)</x:f>
        <x:v>0</x:v>
      </x:c>
      <x:c r="G4295">
        <x:f>ROUND($C4295*10*VLOOKUP($B4295,Sheet2!$J$5:$K$7,2,FALSE)*VLOOKUP(Sheet1!$A4295,Sheet2!$B$5:$H$29,6,FALSE),0)</x:f>
        <x:v>109</x:v>
      </x:c>
      <x:c r="H4295">
        <x:f>ROUND($C4295*10*VLOOKUP($B4295,Sheet2!$J$5:$K$7,2,FALSE)*VLOOKUP(Sheet1!$A4295,Sheet2!$B$5:$H$29,7,FALSE),0)</x:f>
        <x:v>2040</x:v>
      </x:c>
      <x:c r="I4295">
        <x:f t="shared" si="71"/>
        <x:v>68280</x:v>
      </x:c>
    </x:row>
    <x:row r="4296" spans="1:9" x14ac:dyDescent="0.15">
      <x:c r="A4296">
        <x:v>54204</x:v>
      </x:c>
      <x:c r="B4296">
        <x:v>3</x:v>
      </x:c>
      <x:c r="C4296">
        <x:v>35</x:v>
      </x:c>
      <x:c r="D4296">
        <x:f>ROUND($C4296*10*VLOOKUP($B4296,Sheet2!$J$5:$K$7,2,FALSE)*VLOOKUP(Sheet1!$A4296,Sheet2!$B$5:$H$29,3,FALSE),0)</x:f>
        <x:v>0</x:v>
      </x:c>
      <x:c r="E4296">
        <x:f>ROUND($C4296*10*VLOOKUP($B4296,Sheet2!$J$5:$K$7,2,FALSE)*VLOOKUP(Sheet1!$A4296,Sheet2!$B$5:$H$29,4,FALSE),0)</x:f>
        <x:v>0</x:v>
      </x:c>
      <x:c r="F4296">
        <x:f>ROUND($C4296*10*VLOOKUP($B4296,Sheet2!$J$5:$K$7,2,FALSE)*VLOOKUP(Sheet1!$A4296,Sheet2!$B$5:$H$29,5,FALSE),0)</x:f>
        <x:v>0</x:v>
      </x:c>
      <x:c r="G4296">
        <x:f>ROUND($C4296*10*VLOOKUP($B4296,Sheet2!$J$5:$K$7,2,FALSE)*VLOOKUP(Sheet1!$A4296,Sheet2!$B$5:$H$29,6,FALSE),0)</x:f>
        <x:v>112</x:v>
      </x:c>
      <x:c r="H4296">
        <x:f>ROUND($C4296*10*VLOOKUP($B4296,Sheet2!$J$5:$K$7,2,FALSE)*VLOOKUP(Sheet1!$A4296,Sheet2!$B$5:$H$29,7,FALSE),0)</x:f>
        <x:v>2100</x:v>
      </x:c>
      <x:c r="I4296">
        <x:f t="shared" si="71"/>
        <x:v>72040</x:v>
      </x:c>
    </x:row>
    <x:row r="4297" spans="1:9" x14ac:dyDescent="0.15">
      <x:c r="A4297">
        <x:v>54204</x:v>
      </x:c>
      <x:c r="B4297">
        <x:v>3</x:v>
      </x:c>
      <x:c r="C4297">
        <x:v>36</x:v>
      </x:c>
      <x:c r="D4297">
        <x:f>ROUND($C4297*10*VLOOKUP($B4297,Sheet2!$J$5:$K$7,2,FALSE)*VLOOKUP(Sheet1!$A4297,Sheet2!$B$5:$H$29,3,FALSE),0)</x:f>
        <x:v>0</x:v>
      </x:c>
      <x:c r="E4297">
        <x:f>ROUND($C4297*10*VLOOKUP($B4297,Sheet2!$J$5:$K$7,2,FALSE)*VLOOKUP(Sheet1!$A4297,Sheet2!$B$5:$H$29,4,FALSE),0)</x:f>
        <x:v>0</x:v>
      </x:c>
      <x:c r="F4297">
        <x:f>ROUND($C4297*10*VLOOKUP($B4297,Sheet2!$J$5:$K$7,2,FALSE)*VLOOKUP(Sheet1!$A4297,Sheet2!$B$5:$H$29,5,FALSE),0)</x:f>
        <x:v>0</x:v>
      </x:c>
      <x:c r="G4297">
        <x:f>ROUND($C4297*10*VLOOKUP($B4297,Sheet2!$J$5:$K$7,2,FALSE)*VLOOKUP(Sheet1!$A4297,Sheet2!$B$5:$H$29,6,FALSE),0)</x:f>
        <x:v>115</x:v>
      </x:c>
      <x:c r="H4297">
        <x:f>ROUND($C4297*10*VLOOKUP($B4297,Sheet2!$J$5:$K$7,2,FALSE)*VLOOKUP(Sheet1!$A4297,Sheet2!$B$5:$H$29,7,FALSE),0)</x:f>
        <x:v>2160</x:v>
      </x:c>
      <x:c r="I4297">
        <x:f t="shared" si="71"/>
        <x:v>75890</x:v>
      </x:c>
    </x:row>
    <x:row r="4298" spans="1:9" x14ac:dyDescent="0.15">
      <x:c r="A4298">
        <x:v>54204</x:v>
      </x:c>
      <x:c r="B4298">
        <x:v>3</x:v>
      </x:c>
      <x:c r="C4298">
        <x:v>37</x:v>
      </x:c>
      <x:c r="D4298">
        <x:f>ROUND($C4298*10*VLOOKUP($B4298,Sheet2!$J$5:$K$7,2,FALSE)*VLOOKUP(Sheet1!$A4298,Sheet2!$B$5:$H$29,3,FALSE),0)</x:f>
        <x:v>0</x:v>
      </x:c>
      <x:c r="E4298">
        <x:f>ROUND($C4298*10*VLOOKUP($B4298,Sheet2!$J$5:$K$7,2,FALSE)*VLOOKUP(Sheet1!$A4298,Sheet2!$B$5:$H$29,4,FALSE),0)</x:f>
        <x:v>0</x:v>
      </x:c>
      <x:c r="F4298">
        <x:f>ROUND($C4298*10*VLOOKUP($B4298,Sheet2!$J$5:$K$7,2,FALSE)*VLOOKUP(Sheet1!$A4298,Sheet2!$B$5:$H$29,5,FALSE),0)</x:f>
        <x:v>0</x:v>
      </x:c>
      <x:c r="G4298">
        <x:f>ROUND($C4298*10*VLOOKUP($B4298,Sheet2!$J$5:$K$7,2,FALSE)*VLOOKUP(Sheet1!$A4298,Sheet2!$B$5:$H$29,6,FALSE),0)</x:f>
        <x:v>118</x:v>
      </x:c>
      <x:c r="H4298">
        <x:f>ROUND($C4298*10*VLOOKUP($B4298,Sheet2!$J$5:$K$7,2,FALSE)*VLOOKUP(Sheet1!$A4298,Sheet2!$B$5:$H$29,7,FALSE),0)</x:f>
        <x:v>2220</x:v>
      </x:c>
      <x:c r="I4298">
        <x:f t="shared" si="71"/>
        <x:v>79840</x:v>
      </x:c>
    </x:row>
    <x:row r="4299" spans="1:9" x14ac:dyDescent="0.15">
      <x:c r="A4299">
        <x:v>54204</x:v>
      </x:c>
      <x:c r="B4299">
        <x:v>3</x:v>
      </x:c>
      <x:c r="C4299">
        <x:v>38</x:v>
      </x:c>
      <x:c r="D4299">
        <x:f>ROUND($C4299*10*VLOOKUP($B4299,Sheet2!$J$5:$K$7,2,FALSE)*VLOOKUP(Sheet1!$A4299,Sheet2!$B$5:$H$29,3,FALSE),0)</x:f>
        <x:v>0</x:v>
      </x:c>
      <x:c r="E4299">
        <x:f>ROUND($C4299*10*VLOOKUP($B4299,Sheet2!$J$5:$K$7,2,FALSE)*VLOOKUP(Sheet1!$A4299,Sheet2!$B$5:$H$29,4,FALSE),0)</x:f>
        <x:v>0</x:v>
      </x:c>
      <x:c r="F4299">
        <x:f>ROUND($C4299*10*VLOOKUP($B4299,Sheet2!$J$5:$K$7,2,FALSE)*VLOOKUP(Sheet1!$A4299,Sheet2!$B$5:$H$29,5,FALSE),0)</x:f>
        <x:v>0</x:v>
      </x:c>
      <x:c r="G4299">
        <x:f>ROUND($C4299*10*VLOOKUP($B4299,Sheet2!$J$5:$K$7,2,FALSE)*VLOOKUP(Sheet1!$A4299,Sheet2!$B$5:$H$29,6,FALSE),0)</x:f>
        <x:v>122</x:v>
      </x:c>
      <x:c r="H4299">
        <x:f>ROUND($C4299*10*VLOOKUP($B4299,Sheet2!$J$5:$K$7,2,FALSE)*VLOOKUP(Sheet1!$A4299,Sheet2!$B$5:$H$29,7,FALSE),0)</x:f>
        <x:v>2280</x:v>
      </x:c>
      <x:c r="I4299">
        <x:f t="shared" si="71"/>
        <x:v>83870</x:v>
      </x:c>
    </x:row>
    <x:row r="4300" spans="1:9" x14ac:dyDescent="0.15">
      <x:c r="A4300">
        <x:v>54204</x:v>
      </x:c>
      <x:c r="B4300">
        <x:v>3</x:v>
      </x:c>
      <x:c r="C4300">
        <x:v>39</x:v>
      </x:c>
      <x:c r="D4300">
        <x:f>ROUND($C4300*10*VLOOKUP($B4300,Sheet2!$J$5:$K$7,2,FALSE)*VLOOKUP(Sheet1!$A4300,Sheet2!$B$5:$H$29,3,FALSE),0)</x:f>
        <x:v>0</x:v>
      </x:c>
      <x:c r="E4300">
        <x:f>ROUND($C4300*10*VLOOKUP($B4300,Sheet2!$J$5:$K$7,2,FALSE)*VLOOKUP(Sheet1!$A4300,Sheet2!$B$5:$H$29,4,FALSE),0)</x:f>
        <x:v>0</x:v>
      </x:c>
      <x:c r="F4300">
        <x:f>ROUND($C4300*10*VLOOKUP($B4300,Sheet2!$J$5:$K$7,2,FALSE)*VLOOKUP(Sheet1!$A4300,Sheet2!$B$5:$H$29,5,FALSE),0)</x:f>
        <x:v>0</x:v>
      </x:c>
      <x:c r="G4300">
        <x:f>ROUND($C4300*10*VLOOKUP($B4300,Sheet2!$J$5:$K$7,2,FALSE)*VLOOKUP(Sheet1!$A4300,Sheet2!$B$5:$H$29,6,FALSE),0)</x:f>
        <x:v>125</x:v>
      </x:c>
      <x:c r="H4300">
        <x:f>ROUND($C4300*10*VLOOKUP($B4300,Sheet2!$J$5:$K$7,2,FALSE)*VLOOKUP(Sheet1!$A4300,Sheet2!$B$5:$H$29,7,FALSE),0)</x:f>
        <x:v>2340</x:v>
      </x:c>
      <x:c r="I4300">
        <x:f t="shared" si="71"/>
        <x:v>87990</x:v>
      </x:c>
    </x:row>
    <x:row r="4301" spans="1:9" x14ac:dyDescent="0.15">
      <x:c r="A4301">
        <x:v>54204</x:v>
      </x:c>
      <x:c r="B4301">
        <x:v>3</x:v>
      </x:c>
      <x:c r="C4301">
        <x:v>40</x:v>
      </x:c>
      <x:c r="D4301">
        <x:f>ROUND($C4301*10*VLOOKUP($B4301,Sheet2!$J$5:$K$7,2,FALSE)*VLOOKUP(Sheet1!$A4301,Sheet2!$B$5:$H$29,3,FALSE),0)</x:f>
        <x:v>0</x:v>
      </x:c>
      <x:c r="E4301">
        <x:f>ROUND($C4301*10*VLOOKUP($B4301,Sheet2!$J$5:$K$7,2,FALSE)*VLOOKUP(Sheet1!$A4301,Sheet2!$B$5:$H$29,4,FALSE),0)</x:f>
        <x:v>0</x:v>
      </x:c>
      <x:c r="F4301">
        <x:f>ROUND($C4301*10*VLOOKUP($B4301,Sheet2!$J$5:$K$7,2,FALSE)*VLOOKUP(Sheet1!$A4301,Sheet2!$B$5:$H$29,5,FALSE),0)</x:f>
        <x:v>0</x:v>
      </x:c>
      <x:c r="G4301">
        <x:f>ROUND($C4301*10*VLOOKUP($B4301,Sheet2!$J$5:$K$7,2,FALSE)*VLOOKUP(Sheet1!$A4301,Sheet2!$B$5:$H$29,6,FALSE),0)</x:f>
        <x:v>128</x:v>
      </x:c>
      <x:c r="H4301">
        <x:f>ROUND($C4301*10*VLOOKUP($B4301,Sheet2!$J$5:$K$7,2,FALSE)*VLOOKUP(Sheet1!$A4301,Sheet2!$B$5:$H$29,7,FALSE),0)</x:f>
        <x:v>2400</x:v>
      </x:c>
      <x:c r="I4301">
        <x:f t="shared" si="71"/>
        <x:v>92200</x:v>
      </x:c>
    </x:row>
    <x:row r="4302" spans="1:9" x14ac:dyDescent="0.15">
      <x:c r="A4302">
        <x:v>54204</x:v>
      </x:c>
      <x:c r="B4302">
        <x:v>3</x:v>
      </x:c>
      <x:c r="C4302">
        <x:v>41</x:v>
      </x:c>
      <x:c r="D4302">
        <x:f>ROUND($C4302*10*VLOOKUP($B4302,Sheet2!$J$5:$K$7,2,FALSE)*VLOOKUP(Sheet1!$A4302,Sheet2!$B$5:$H$29,3,FALSE),0)</x:f>
        <x:v>0</x:v>
      </x:c>
      <x:c r="E4302">
        <x:f>ROUND($C4302*10*VLOOKUP($B4302,Sheet2!$J$5:$K$7,2,FALSE)*VLOOKUP(Sheet1!$A4302,Sheet2!$B$5:$H$29,4,FALSE),0)</x:f>
        <x:v>0</x:v>
      </x:c>
      <x:c r="F4302">
        <x:f>ROUND($C4302*10*VLOOKUP($B4302,Sheet2!$J$5:$K$7,2,FALSE)*VLOOKUP(Sheet1!$A4302,Sheet2!$B$5:$H$29,5,FALSE),0)</x:f>
        <x:v>0</x:v>
      </x:c>
      <x:c r="G4302">
        <x:f>ROUND($C4302*10*VLOOKUP($B4302,Sheet2!$J$5:$K$7,2,FALSE)*VLOOKUP(Sheet1!$A4302,Sheet2!$B$5:$H$29,6,FALSE),0)</x:f>
        <x:v>131</x:v>
      </x:c>
      <x:c r="H4302">
        <x:f>ROUND($C4302*10*VLOOKUP($B4302,Sheet2!$J$5:$K$7,2,FALSE)*VLOOKUP(Sheet1!$A4302,Sheet2!$B$5:$H$29,7,FALSE),0)</x:f>
        <x:v>2460</x:v>
      </x:c>
      <x:c r="I4302">
        <x:f t="shared" si="71"/>
        <x:v>96490</x:v>
      </x:c>
    </x:row>
    <x:row r="4303" spans="1:9" x14ac:dyDescent="0.15">
      <x:c r="A4303">
        <x:v>54204</x:v>
      </x:c>
      <x:c r="B4303">
        <x:v>3</x:v>
      </x:c>
      <x:c r="C4303">
        <x:v>42</x:v>
      </x:c>
      <x:c r="D4303">
        <x:f>ROUND($C4303*10*VLOOKUP($B4303,Sheet2!$J$5:$K$7,2,FALSE)*VLOOKUP(Sheet1!$A4303,Sheet2!$B$5:$H$29,3,FALSE),0)</x:f>
        <x:v>0</x:v>
      </x:c>
      <x:c r="E4303">
        <x:f>ROUND($C4303*10*VLOOKUP($B4303,Sheet2!$J$5:$K$7,2,FALSE)*VLOOKUP(Sheet1!$A4303,Sheet2!$B$5:$H$29,4,FALSE),0)</x:f>
        <x:v>0</x:v>
      </x:c>
      <x:c r="F4303">
        <x:f>ROUND($C4303*10*VLOOKUP($B4303,Sheet2!$J$5:$K$7,2,FALSE)*VLOOKUP(Sheet1!$A4303,Sheet2!$B$5:$H$29,5,FALSE),0)</x:f>
        <x:v>0</x:v>
      </x:c>
      <x:c r="G4303">
        <x:f>ROUND($C4303*10*VLOOKUP($B4303,Sheet2!$J$5:$K$7,2,FALSE)*VLOOKUP(Sheet1!$A4303,Sheet2!$B$5:$H$29,6,FALSE),0)</x:f>
        <x:v>134</x:v>
      </x:c>
      <x:c r="H4303">
        <x:f>ROUND($C4303*10*VLOOKUP($B4303,Sheet2!$J$5:$K$7,2,FALSE)*VLOOKUP(Sheet1!$A4303,Sheet2!$B$5:$H$29,7,FALSE),0)</x:f>
        <x:v>2520</x:v>
      </x:c>
      <x:c r="I4303">
        <x:f t="shared" si="71"/>
        <x:v>100870</x:v>
      </x:c>
    </x:row>
    <x:row r="4304" spans="1:9" x14ac:dyDescent="0.15">
      <x:c r="A4304">
        <x:v>54204</x:v>
      </x:c>
      <x:c r="B4304">
        <x:v>3</x:v>
      </x:c>
      <x:c r="C4304">
        <x:v>43</x:v>
      </x:c>
      <x:c r="D4304">
        <x:f>ROUND($C4304*10*VLOOKUP($B4304,Sheet2!$J$5:$K$7,2,FALSE)*VLOOKUP(Sheet1!$A4304,Sheet2!$B$5:$H$29,3,FALSE),0)</x:f>
        <x:v>0</x:v>
      </x:c>
      <x:c r="E4304">
        <x:f>ROUND($C4304*10*VLOOKUP($B4304,Sheet2!$J$5:$K$7,2,FALSE)*VLOOKUP(Sheet1!$A4304,Sheet2!$B$5:$H$29,4,FALSE),0)</x:f>
        <x:v>0</x:v>
      </x:c>
      <x:c r="F4304">
        <x:f>ROUND($C4304*10*VLOOKUP($B4304,Sheet2!$J$5:$K$7,2,FALSE)*VLOOKUP(Sheet1!$A4304,Sheet2!$B$5:$H$29,5,FALSE),0)</x:f>
        <x:v>0</x:v>
      </x:c>
      <x:c r="G4304">
        <x:f>ROUND($C4304*10*VLOOKUP($B4304,Sheet2!$J$5:$K$7,2,FALSE)*VLOOKUP(Sheet1!$A4304,Sheet2!$B$5:$H$29,6,FALSE),0)</x:f>
        <x:v>138</x:v>
      </x:c>
      <x:c r="H4304">
        <x:f>ROUND($C4304*10*VLOOKUP($B4304,Sheet2!$J$5:$K$7,2,FALSE)*VLOOKUP(Sheet1!$A4304,Sheet2!$B$5:$H$29,7,FALSE),0)</x:f>
        <x:v>2580</x:v>
      </x:c>
      <x:c r="I4304">
        <x:f t="shared" si="71"/>
        <x:v>105340</x:v>
      </x:c>
    </x:row>
    <x:row r="4305" spans="1:9" x14ac:dyDescent="0.15">
      <x:c r="A4305">
        <x:v>54204</x:v>
      </x:c>
      <x:c r="B4305">
        <x:v>3</x:v>
      </x:c>
      <x:c r="C4305">
        <x:v>44</x:v>
      </x:c>
      <x:c r="D4305">
        <x:f>ROUND($C4305*10*VLOOKUP($B4305,Sheet2!$J$5:$K$7,2,FALSE)*VLOOKUP(Sheet1!$A4305,Sheet2!$B$5:$H$29,3,FALSE),0)</x:f>
        <x:v>0</x:v>
      </x:c>
      <x:c r="E4305">
        <x:f>ROUND($C4305*10*VLOOKUP($B4305,Sheet2!$J$5:$K$7,2,FALSE)*VLOOKUP(Sheet1!$A4305,Sheet2!$B$5:$H$29,4,FALSE),0)</x:f>
        <x:v>0</x:v>
      </x:c>
      <x:c r="F4305">
        <x:f>ROUND($C4305*10*VLOOKUP($B4305,Sheet2!$J$5:$K$7,2,FALSE)*VLOOKUP(Sheet1!$A4305,Sheet2!$B$5:$H$29,5,FALSE),0)</x:f>
        <x:v>0</x:v>
      </x:c>
      <x:c r="G4305">
        <x:f>ROUND($C4305*10*VLOOKUP($B4305,Sheet2!$J$5:$K$7,2,FALSE)*VLOOKUP(Sheet1!$A4305,Sheet2!$B$5:$H$29,6,FALSE),0)</x:f>
        <x:v>141</x:v>
      </x:c>
      <x:c r="H4305">
        <x:f>ROUND($C4305*10*VLOOKUP($B4305,Sheet2!$J$5:$K$7,2,FALSE)*VLOOKUP(Sheet1!$A4305,Sheet2!$B$5:$H$29,7,FALSE),0)</x:f>
        <x:v>2640</x:v>
      </x:c>
      <x:c r="I4305">
        <x:f t="shared" si="71"/>
        <x:v>109890</x:v>
      </x:c>
    </x:row>
    <x:row r="4306" spans="1:9" x14ac:dyDescent="0.15">
      <x:c r="A4306">
        <x:v>54204</x:v>
      </x:c>
      <x:c r="B4306">
        <x:v>3</x:v>
      </x:c>
      <x:c r="C4306">
        <x:v>45</x:v>
      </x:c>
      <x:c r="D4306">
        <x:f>ROUND($C4306*10*VLOOKUP($B4306,Sheet2!$J$5:$K$7,2,FALSE)*VLOOKUP(Sheet1!$A4306,Sheet2!$B$5:$H$29,3,FALSE),0)</x:f>
        <x:v>0</x:v>
      </x:c>
      <x:c r="E4306">
        <x:f>ROUND($C4306*10*VLOOKUP($B4306,Sheet2!$J$5:$K$7,2,FALSE)*VLOOKUP(Sheet1!$A4306,Sheet2!$B$5:$H$29,4,FALSE),0)</x:f>
        <x:v>0</x:v>
      </x:c>
      <x:c r="F4306">
        <x:f>ROUND($C4306*10*VLOOKUP($B4306,Sheet2!$J$5:$K$7,2,FALSE)*VLOOKUP(Sheet1!$A4306,Sheet2!$B$5:$H$29,5,FALSE),0)</x:f>
        <x:v>0</x:v>
      </x:c>
      <x:c r="G4306">
        <x:f>ROUND($C4306*10*VLOOKUP($B4306,Sheet2!$J$5:$K$7,2,FALSE)*VLOOKUP(Sheet1!$A4306,Sheet2!$B$5:$H$29,6,FALSE),0)</x:f>
        <x:v>144</x:v>
      </x:c>
      <x:c r="H4306">
        <x:f>ROUND($C4306*10*VLOOKUP($B4306,Sheet2!$J$5:$K$7,2,FALSE)*VLOOKUP(Sheet1!$A4306,Sheet2!$B$5:$H$29,7,FALSE),0)</x:f>
        <x:v>2700</x:v>
      </x:c>
      <x:c r="I4306">
        <x:f t="shared" si="71"/>
        <x:v>114530</x:v>
      </x:c>
    </x:row>
    <x:row r="4307" spans="1:9" x14ac:dyDescent="0.15">
      <x:c r="A4307">
        <x:v>54204</x:v>
      </x:c>
      <x:c r="B4307">
        <x:v>3</x:v>
      </x:c>
      <x:c r="C4307">
        <x:v>46</x:v>
      </x:c>
      <x:c r="D4307">
        <x:f>ROUND($C4307*10*VLOOKUP($B4307,Sheet2!$J$5:$K$7,2,FALSE)*VLOOKUP(Sheet1!$A4307,Sheet2!$B$5:$H$29,3,FALSE),0)</x:f>
        <x:v>0</x:v>
      </x:c>
      <x:c r="E4307">
        <x:f>ROUND($C4307*10*VLOOKUP($B4307,Sheet2!$J$5:$K$7,2,FALSE)*VLOOKUP(Sheet1!$A4307,Sheet2!$B$5:$H$29,4,FALSE),0)</x:f>
        <x:v>0</x:v>
      </x:c>
      <x:c r="F4307">
        <x:f>ROUND($C4307*10*VLOOKUP($B4307,Sheet2!$J$5:$K$7,2,FALSE)*VLOOKUP(Sheet1!$A4307,Sheet2!$B$5:$H$29,5,FALSE),0)</x:f>
        <x:v>0</x:v>
      </x:c>
      <x:c r="G4307">
        <x:f>ROUND($C4307*10*VLOOKUP($B4307,Sheet2!$J$5:$K$7,2,FALSE)*VLOOKUP(Sheet1!$A4307,Sheet2!$B$5:$H$29,6,FALSE),0)</x:f>
        <x:v>147</x:v>
      </x:c>
      <x:c r="H4307">
        <x:f>ROUND($C4307*10*VLOOKUP($B4307,Sheet2!$J$5:$K$7,2,FALSE)*VLOOKUP(Sheet1!$A4307,Sheet2!$B$5:$H$29,7,FALSE),0)</x:f>
        <x:v>2760</x:v>
      </x:c>
      <x:c r="I4307">
        <x:f t="shared" si="71"/>
        <x:v>119260</x:v>
      </x:c>
    </x:row>
    <x:row r="4308" spans="1:9" x14ac:dyDescent="0.15">
      <x:c r="A4308">
        <x:v>54204</x:v>
      </x:c>
      <x:c r="B4308">
        <x:v>3</x:v>
      </x:c>
      <x:c r="C4308">
        <x:v>47</x:v>
      </x:c>
      <x:c r="D4308">
        <x:f>ROUND($C4308*10*VLOOKUP($B4308,Sheet2!$J$5:$K$7,2,FALSE)*VLOOKUP(Sheet1!$A4308,Sheet2!$B$5:$H$29,3,FALSE),0)</x:f>
        <x:v>0</x:v>
      </x:c>
      <x:c r="E4308">
        <x:f>ROUND($C4308*10*VLOOKUP($B4308,Sheet2!$J$5:$K$7,2,FALSE)*VLOOKUP(Sheet1!$A4308,Sheet2!$B$5:$H$29,4,FALSE),0)</x:f>
        <x:v>0</x:v>
      </x:c>
      <x:c r="F4308">
        <x:f>ROUND($C4308*10*VLOOKUP($B4308,Sheet2!$J$5:$K$7,2,FALSE)*VLOOKUP(Sheet1!$A4308,Sheet2!$B$5:$H$29,5,FALSE),0)</x:f>
        <x:v>0</x:v>
      </x:c>
      <x:c r="G4308">
        <x:f>ROUND($C4308*10*VLOOKUP($B4308,Sheet2!$J$5:$K$7,2,FALSE)*VLOOKUP(Sheet1!$A4308,Sheet2!$B$5:$H$29,6,FALSE),0)</x:f>
        <x:v>150</x:v>
      </x:c>
      <x:c r="H4308">
        <x:f>ROUND($C4308*10*VLOOKUP($B4308,Sheet2!$J$5:$K$7,2,FALSE)*VLOOKUP(Sheet1!$A4308,Sheet2!$B$5:$H$29,7,FALSE),0)</x:f>
        <x:v>2820</x:v>
      </x:c>
      <x:c r="I4308">
        <x:f t="shared" si="71"/>
        <x:v>124070</x:v>
      </x:c>
    </x:row>
    <x:row r="4309" spans="1:9" x14ac:dyDescent="0.15">
      <x:c r="A4309">
        <x:v>54204</x:v>
      </x:c>
      <x:c r="B4309">
        <x:v>3</x:v>
      </x:c>
      <x:c r="C4309">
        <x:v>48</x:v>
      </x:c>
      <x:c r="D4309">
        <x:f>ROUND($C4309*10*VLOOKUP($B4309,Sheet2!$J$5:$K$7,2,FALSE)*VLOOKUP(Sheet1!$A4309,Sheet2!$B$5:$H$29,3,FALSE),0)</x:f>
        <x:v>0</x:v>
      </x:c>
      <x:c r="E4309">
        <x:f>ROUND($C4309*10*VLOOKUP($B4309,Sheet2!$J$5:$K$7,2,FALSE)*VLOOKUP(Sheet1!$A4309,Sheet2!$B$5:$H$29,4,FALSE),0)</x:f>
        <x:v>0</x:v>
      </x:c>
      <x:c r="F4309">
        <x:f>ROUND($C4309*10*VLOOKUP($B4309,Sheet2!$J$5:$K$7,2,FALSE)*VLOOKUP(Sheet1!$A4309,Sheet2!$B$5:$H$29,5,FALSE),0)</x:f>
        <x:v>0</x:v>
      </x:c>
      <x:c r="G4309">
        <x:f>ROUND($C4309*10*VLOOKUP($B4309,Sheet2!$J$5:$K$7,2,FALSE)*VLOOKUP(Sheet1!$A4309,Sheet2!$B$5:$H$29,6,FALSE),0)</x:f>
        <x:v>154</x:v>
      </x:c>
      <x:c r="H4309">
        <x:f>ROUND($C4309*10*VLOOKUP($B4309,Sheet2!$J$5:$K$7,2,FALSE)*VLOOKUP(Sheet1!$A4309,Sheet2!$B$5:$H$29,7,FALSE),0)</x:f>
        <x:v>2880</x:v>
      </x:c>
      <x:c r="I4309">
        <x:f t="shared" si="71"/>
        <x:v>128960</x:v>
      </x:c>
    </x:row>
    <x:row r="4310" spans="1:9" x14ac:dyDescent="0.15">
      <x:c r="A4310">
        <x:v>54204</x:v>
      </x:c>
      <x:c r="B4310">
        <x:v>3</x:v>
      </x:c>
      <x:c r="C4310">
        <x:v>49</x:v>
      </x:c>
      <x:c r="D4310">
        <x:f>ROUND($C4310*10*VLOOKUP($B4310,Sheet2!$J$5:$K$7,2,FALSE)*VLOOKUP(Sheet1!$A4310,Sheet2!$B$5:$H$29,3,FALSE),0)</x:f>
        <x:v>0</x:v>
      </x:c>
      <x:c r="E4310">
        <x:f>ROUND($C4310*10*VLOOKUP($B4310,Sheet2!$J$5:$K$7,2,FALSE)*VLOOKUP(Sheet1!$A4310,Sheet2!$B$5:$H$29,4,FALSE),0)</x:f>
        <x:v>0</x:v>
      </x:c>
      <x:c r="F4310">
        <x:f>ROUND($C4310*10*VLOOKUP($B4310,Sheet2!$J$5:$K$7,2,FALSE)*VLOOKUP(Sheet1!$A4310,Sheet2!$B$5:$H$29,5,FALSE),0)</x:f>
        <x:v>0</x:v>
      </x:c>
      <x:c r="G4310">
        <x:f>ROUND($C4310*10*VLOOKUP($B4310,Sheet2!$J$5:$K$7,2,FALSE)*VLOOKUP(Sheet1!$A4310,Sheet2!$B$5:$H$29,6,FALSE),0)</x:f>
        <x:v>157</x:v>
      </x:c>
      <x:c r="H4310">
        <x:f>ROUND($C4310*10*VLOOKUP($B4310,Sheet2!$J$5:$K$7,2,FALSE)*VLOOKUP(Sheet1!$A4310,Sheet2!$B$5:$H$29,7,FALSE),0)</x:f>
        <x:v>2940</x:v>
      </x:c>
      <x:c r="I4310">
        <x:f t="shared" si="71"/>
        <x:v>133940</x:v>
      </x:c>
    </x:row>
    <x:row r="4311" spans="1:9" x14ac:dyDescent="0.15">
      <x:c r="A4311">
        <x:v>54204</x:v>
      </x:c>
      <x:c r="B4311">
        <x:v>3</x:v>
      </x:c>
      <x:c r="C4311">
        <x:v>50</x:v>
      </x:c>
      <x:c r="D4311">
        <x:f>ROUND($C4311*10*VLOOKUP($B4311,Sheet2!$J$5:$K$7,2,FALSE)*VLOOKUP(Sheet1!$A4311,Sheet2!$B$5:$H$29,3,FALSE),0)</x:f>
        <x:v>0</x:v>
      </x:c>
      <x:c r="E4311">
        <x:f>ROUND($C4311*10*VLOOKUP($B4311,Sheet2!$J$5:$K$7,2,FALSE)*VLOOKUP(Sheet1!$A4311,Sheet2!$B$5:$H$29,4,FALSE),0)</x:f>
        <x:v>0</x:v>
      </x:c>
      <x:c r="F4311">
        <x:f>ROUND($C4311*10*VLOOKUP($B4311,Sheet2!$J$5:$K$7,2,FALSE)*VLOOKUP(Sheet1!$A4311,Sheet2!$B$5:$H$29,5,FALSE),0)</x:f>
        <x:v>0</x:v>
      </x:c>
      <x:c r="G4311">
        <x:f>ROUND($C4311*10*VLOOKUP($B4311,Sheet2!$J$5:$K$7,2,FALSE)*VLOOKUP(Sheet1!$A4311,Sheet2!$B$5:$H$29,6,FALSE),0)</x:f>
        <x:v>160</x:v>
      </x:c>
      <x:c r="H4311">
        <x:f>ROUND($C4311*10*VLOOKUP($B4311,Sheet2!$J$5:$K$7,2,FALSE)*VLOOKUP(Sheet1!$A4311,Sheet2!$B$5:$H$29,7,FALSE),0)</x:f>
        <x:v>3000</x:v>
      </x:c>
      <x:c r="I4311">
        <x:f t="shared" si="71"/>
        <x:v>139000</x:v>
      </x:c>
    </x:row>
    <x:row r="4312" spans="1:9" x14ac:dyDescent="0.15">
      <x:c r="A4312">
        <x:v>54204</x:v>
      </x:c>
      <x:c r="B4312">
        <x:v>3</x:v>
      </x:c>
      <x:c r="C4312">
        <x:v>51</x:v>
      </x:c>
      <x:c r="D4312">
        <x:f>ROUND($C4312*10*VLOOKUP($B4312,Sheet2!$J$5:$K$7,2,FALSE)*VLOOKUP(Sheet1!$A4312,Sheet2!$B$5:$H$29,3,FALSE),0)</x:f>
        <x:v>0</x:v>
      </x:c>
      <x:c r="E4312">
        <x:f>ROUND($C4312*10*VLOOKUP($B4312,Sheet2!$J$5:$K$7,2,FALSE)*VLOOKUP(Sheet1!$A4312,Sheet2!$B$5:$H$29,4,FALSE),0)</x:f>
        <x:v>0</x:v>
      </x:c>
      <x:c r="F4312">
        <x:f>ROUND($C4312*10*VLOOKUP($B4312,Sheet2!$J$5:$K$7,2,FALSE)*VLOOKUP(Sheet1!$A4312,Sheet2!$B$5:$H$29,5,FALSE),0)</x:f>
        <x:v>0</x:v>
      </x:c>
      <x:c r="G4312">
        <x:f>ROUND($C4312*10*VLOOKUP($B4312,Sheet2!$J$5:$K$7,2,FALSE)*VLOOKUP(Sheet1!$A4312,Sheet2!$B$5:$H$29,6,FALSE),0)</x:f>
        <x:v>163</x:v>
      </x:c>
      <x:c r="H4312">
        <x:f>ROUND($C4312*10*VLOOKUP($B4312,Sheet2!$J$5:$K$7,2,FALSE)*VLOOKUP(Sheet1!$A4312,Sheet2!$B$5:$H$29,7,FALSE),0)</x:f>
        <x:v>3060</x:v>
      </x:c>
      <x:c r="I4312">
        <x:f t="shared" si="71"/>
        <x:v>144140</x:v>
      </x:c>
    </x:row>
    <x:row r="4313" spans="1:9" x14ac:dyDescent="0.15">
      <x:c r="A4313">
        <x:v>54204</x:v>
      </x:c>
      <x:c r="B4313">
        <x:v>3</x:v>
      </x:c>
      <x:c r="C4313">
        <x:v>52</x:v>
      </x:c>
      <x:c r="D4313">
        <x:f>ROUND($C4313*10*VLOOKUP($B4313,Sheet2!$J$5:$K$7,2,FALSE)*VLOOKUP(Sheet1!$A4313,Sheet2!$B$5:$H$29,3,FALSE),0)</x:f>
        <x:v>0</x:v>
      </x:c>
      <x:c r="E4313">
        <x:f>ROUND($C4313*10*VLOOKUP($B4313,Sheet2!$J$5:$K$7,2,FALSE)*VLOOKUP(Sheet1!$A4313,Sheet2!$B$5:$H$29,4,FALSE),0)</x:f>
        <x:v>0</x:v>
      </x:c>
      <x:c r="F4313">
        <x:f>ROUND($C4313*10*VLOOKUP($B4313,Sheet2!$J$5:$K$7,2,FALSE)*VLOOKUP(Sheet1!$A4313,Sheet2!$B$5:$H$29,5,FALSE),0)</x:f>
        <x:v>0</x:v>
      </x:c>
      <x:c r="G4313">
        <x:f>ROUND($C4313*10*VLOOKUP($B4313,Sheet2!$J$5:$K$7,2,FALSE)*VLOOKUP(Sheet1!$A4313,Sheet2!$B$5:$H$29,6,FALSE),0)</x:f>
        <x:v>166</x:v>
      </x:c>
      <x:c r="H4313">
        <x:f>ROUND($C4313*10*VLOOKUP($B4313,Sheet2!$J$5:$K$7,2,FALSE)*VLOOKUP(Sheet1!$A4313,Sheet2!$B$5:$H$29,7,FALSE),0)</x:f>
        <x:v>3120</x:v>
      </x:c>
      <x:c r="I4313">
        <x:f t="shared" si="71"/>
        <x:v>149370</x:v>
      </x:c>
    </x:row>
    <x:row r="4314" spans="1:9" x14ac:dyDescent="0.15">
      <x:c r="A4314">
        <x:v>54204</x:v>
      </x:c>
      <x:c r="B4314">
        <x:v>3</x:v>
      </x:c>
      <x:c r="C4314">
        <x:v>53</x:v>
      </x:c>
      <x:c r="D4314">
        <x:f>ROUND($C4314*10*VLOOKUP($B4314,Sheet2!$J$5:$K$7,2,FALSE)*VLOOKUP(Sheet1!$A4314,Sheet2!$B$5:$H$29,3,FALSE),0)</x:f>
        <x:v>0</x:v>
      </x:c>
      <x:c r="E4314">
        <x:f>ROUND($C4314*10*VLOOKUP($B4314,Sheet2!$J$5:$K$7,2,FALSE)*VLOOKUP(Sheet1!$A4314,Sheet2!$B$5:$H$29,4,FALSE),0)</x:f>
        <x:v>0</x:v>
      </x:c>
      <x:c r="F4314">
        <x:f>ROUND($C4314*10*VLOOKUP($B4314,Sheet2!$J$5:$K$7,2,FALSE)*VLOOKUP(Sheet1!$A4314,Sheet2!$B$5:$H$29,5,FALSE),0)</x:f>
        <x:v>0</x:v>
      </x:c>
      <x:c r="G4314">
        <x:f>ROUND($C4314*10*VLOOKUP($B4314,Sheet2!$J$5:$K$7,2,FALSE)*VLOOKUP(Sheet1!$A4314,Sheet2!$B$5:$H$29,6,FALSE),0)</x:f>
        <x:v>170</x:v>
      </x:c>
      <x:c r="H4314">
        <x:f>ROUND($C4314*10*VLOOKUP($B4314,Sheet2!$J$5:$K$7,2,FALSE)*VLOOKUP(Sheet1!$A4314,Sheet2!$B$5:$H$29,7,FALSE),0)</x:f>
        <x:v>3180</x:v>
      </x:c>
      <x:c r="I4314">
        <x:f t="shared" si="71"/>
        <x:v>154680</x:v>
      </x:c>
    </x:row>
    <x:row r="4315" spans="1:9" x14ac:dyDescent="0.15">
      <x:c r="A4315">
        <x:v>54204</x:v>
      </x:c>
      <x:c r="B4315">
        <x:v>3</x:v>
      </x:c>
      <x:c r="C4315">
        <x:v>54</x:v>
      </x:c>
      <x:c r="D4315">
        <x:f>ROUND($C4315*10*VLOOKUP($B4315,Sheet2!$J$5:$K$7,2,FALSE)*VLOOKUP(Sheet1!$A4315,Sheet2!$B$5:$H$29,3,FALSE),0)</x:f>
        <x:v>0</x:v>
      </x:c>
      <x:c r="E4315">
        <x:f>ROUND($C4315*10*VLOOKUP($B4315,Sheet2!$J$5:$K$7,2,FALSE)*VLOOKUP(Sheet1!$A4315,Sheet2!$B$5:$H$29,4,FALSE),0)</x:f>
        <x:v>0</x:v>
      </x:c>
      <x:c r="F4315">
        <x:f>ROUND($C4315*10*VLOOKUP($B4315,Sheet2!$J$5:$K$7,2,FALSE)*VLOOKUP(Sheet1!$A4315,Sheet2!$B$5:$H$29,5,FALSE),0)</x:f>
        <x:v>0</x:v>
      </x:c>
      <x:c r="G4315">
        <x:f>ROUND($C4315*10*VLOOKUP($B4315,Sheet2!$J$5:$K$7,2,FALSE)*VLOOKUP(Sheet1!$A4315,Sheet2!$B$5:$H$29,6,FALSE),0)</x:f>
        <x:v>173</x:v>
      </x:c>
      <x:c r="H4315">
        <x:f>ROUND($C4315*10*VLOOKUP($B4315,Sheet2!$J$5:$K$7,2,FALSE)*VLOOKUP(Sheet1!$A4315,Sheet2!$B$5:$H$29,7,FALSE),0)</x:f>
        <x:v>3240</x:v>
      </x:c>
      <x:c r="I4315">
        <x:f t="shared" si="71"/>
        <x:v>160070</x:v>
      </x:c>
    </x:row>
    <x:row r="4316" spans="1:9" x14ac:dyDescent="0.15">
      <x:c r="A4316">
        <x:v>54204</x:v>
      </x:c>
      <x:c r="B4316">
        <x:v>3</x:v>
      </x:c>
      <x:c r="C4316">
        <x:v>55</x:v>
      </x:c>
      <x:c r="D4316">
        <x:f>ROUND($C4316*10*VLOOKUP($B4316,Sheet2!$J$5:$K$7,2,FALSE)*VLOOKUP(Sheet1!$A4316,Sheet2!$B$5:$H$29,3,FALSE),0)</x:f>
        <x:v>0</x:v>
      </x:c>
      <x:c r="E4316">
        <x:f>ROUND($C4316*10*VLOOKUP($B4316,Sheet2!$J$5:$K$7,2,FALSE)*VLOOKUP(Sheet1!$A4316,Sheet2!$B$5:$H$29,4,FALSE),0)</x:f>
        <x:v>0</x:v>
      </x:c>
      <x:c r="F4316">
        <x:f>ROUND($C4316*10*VLOOKUP($B4316,Sheet2!$J$5:$K$7,2,FALSE)*VLOOKUP(Sheet1!$A4316,Sheet2!$B$5:$H$29,5,FALSE),0)</x:f>
        <x:v>0</x:v>
      </x:c>
      <x:c r="G4316">
        <x:f>ROUND($C4316*10*VLOOKUP($B4316,Sheet2!$J$5:$K$7,2,FALSE)*VLOOKUP(Sheet1!$A4316,Sheet2!$B$5:$H$29,6,FALSE),0)</x:f>
        <x:v>176</x:v>
      </x:c>
      <x:c r="H4316">
        <x:f>ROUND($C4316*10*VLOOKUP($B4316,Sheet2!$J$5:$K$7,2,FALSE)*VLOOKUP(Sheet1!$A4316,Sheet2!$B$5:$H$29,7,FALSE),0)</x:f>
        <x:v>3300</x:v>
      </x:c>
      <x:c r="I4316">
        <x:f t="shared" si="71"/>
        <x:v>165540</x:v>
      </x:c>
    </x:row>
    <x:row r="4317" spans="1:9" x14ac:dyDescent="0.15">
      <x:c r="A4317">
        <x:v>54204</x:v>
      </x:c>
      <x:c r="B4317">
        <x:v>3</x:v>
      </x:c>
      <x:c r="C4317">
        <x:v>56</x:v>
      </x:c>
      <x:c r="D4317">
        <x:f>ROUND($C4317*10*VLOOKUP($B4317,Sheet2!$J$5:$K$7,2,FALSE)*VLOOKUP(Sheet1!$A4317,Sheet2!$B$5:$H$29,3,FALSE),0)</x:f>
        <x:v>0</x:v>
      </x:c>
      <x:c r="E4317">
        <x:f>ROUND($C4317*10*VLOOKUP($B4317,Sheet2!$J$5:$K$7,2,FALSE)*VLOOKUP(Sheet1!$A4317,Sheet2!$B$5:$H$29,4,FALSE),0)</x:f>
        <x:v>0</x:v>
      </x:c>
      <x:c r="F4317">
        <x:f>ROUND($C4317*10*VLOOKUP($B4317,Sheet2!$J$5:$K$7,2,FALSE)*VLOOKUP(Sheet1!$A4317,Sheet2!$B$5:$H$29,5,FALSE),0)</x:f>
        <x:v>0</x:v>
      </x:c>
      <x:c r="G4317">
        <x:f>ROUND($C4317*10*VLOOKUP($B4317,Sheet2!$J$5:$K$7,2,FALSE)*VLOOKUP(Sheet1!$A4317,Sheet2!$B$5:$H$29,6,FALSE),0)</x:f>
        <x:v>179</x:v>
      </x:c>
      <x:c r="H4317">
        <x:f>ROUND($C4317*10*VLOOKUP($B4317,Sheet2!$J$5:$K$7,2,FALSE)*VLOOKUP(Sheet1!$A4317,Sheet2!$B$5:$H$29,7,FALSE),0)</x:f>
        <x:v>3360</x:v>
      </x:c>
      <x:c r="I4317">
        <x:f t="shared" si="71"/>
        <x:v>171100</x:v>
      </x:c>
    </x:row>
    <x:row r="4318" spans="1:9" x14ac:dyDescent="0.15">
      <x:c r="A4318">
        <x:v>54204</x:v>
      </x:c>
      <x:c r="B4318">
        <x:v>3</x:v>
      </x:c>
      <x:c r="C4318">
        <x:v>57</x:v>
      </x:c>
      <x:c r="D4318">
        <x:f>ROUND($C4318*10*VLOOKUP($B4318,Sheet2!$J$5:$K$7,2,FALSE)*VLOOKUP(Sheet1!$A4318,Sheet2!$B$5:$H$29,3,FALSE),0)</x:f>
        <x:v>0</x:v>
      </x:c>
      <x:c r="E4318">
        <x:f>ROUND($C4318*10*VLOOKUP($B4318,Sheet2!$J$5:$K$7,2,FALSE)*VLOOKUP(Sheet1!$A4318,Sheet2!$B$5:$H$29,4,FALSE),0)</x:f>
        <x:v>0</x:v>
      </x:c>
      <x:c r="F4318">
        <x:f>ROUND($C4318*10*VLOOKUP($B4318,Sheet2!$J$5:$K$7,2,FALSE)*VLOOKUP(Sheet1!$A4318,Sheet2!$B$5:$H$29,5,FALSE),0)</x:f>
        <x:v>0</x:v>
      </x:c>
      <x:c r="G4318">
        <x:f>ROUND($C4318*10*VLOOKUP($B4318,Sheet2!$J$5:$K$7,2,FALSE)*VLOOKUP(Sheet1!$A4318,Sheet2!$B$5:$H$29,6,FALSE),0)</x:f>
        <x:v>182</x:v>
      </x:c>
      <x:c r="H4318">
        <x:f>ROUND($C4318*10*VLOOKUP($B4318,Sheet2!$J$5:$K$7,2,FALSE)*VLOOKUP(Sheet1!$A4318,Sheet2!$B$5:$H$29,7,FALSE),0)</x:f>
        <x:v>3420</x:v>
      </x:c>
      <x:c r="I4318">
        <x:f t="shared" si="71"/>
        <x:v>176740</x:v>
      </x:c>
    </x:row>
    <x:row r="4319" spans="1:9" x14ac:dyDescent="0.15">
      <x:c r="A4319">
        <x:v>54204</x:v>
      </x:c>
      <x:c r="B4319">
        <x:v>3</x:v>
      </x:c>
      <x:c r="C4319">
        <x:v>58</x:v>
      </x:c>
      <x:c r="D4319">
        <x:f>ROUND($C4319*10*VLOOKUP($B4319,Sheet2!$J$5:$K$7,2,FALSE)*VLOOKUP(Sheet1!$A4319,Sheet2!$B$5:$H$29,3,FALSE),0)</x:f>
        <x:v>0</x:v>
      </x:c>
      <x:c r="E4319">
        <x:f>ROUND($C4319*10*VLOOKUP($B4319,Sheet2!$J$5:$K$7,2,FALSE)*VLOOKUP(Sheet1!$A4319,Sheet2!$B$5:$H$29,4,FALSE),0)</x:f>
        <x:v>0</x:v>
      </x:c>
      <x:c r="F4319">
        <x:f>ROUND($C4319*10*VLOOKUP($B4319,Sheet2!$J$5:$K$7,2,FALSE)*VLOOKUP(Sheet1!$A4319,Sheet2!$B$5:$H$29,5,FALSE),0)</x:f>
        <x:v>0</x:v>
      </x:c>
      <x:c r="G4319">
        <x:f>ROUND($C4319*10*VLOOKUP($B4319,Sheet2!$J$5:$K$7,2,FALSE)*VLOOKUP(Sheet1!$A4319,Sheet2!$B$5:$H$29,6,FALSE),0)</x:f>
        <x:v>186</x:v>
      </x:c>
      <x:c r="H4319">
        <x:f>ROUND($C4319*10*VLOOKUP($B4319,Sheet2!$J$5:$K$7,2,FALSE)*VLOOKUP(Sheet1!$A4319,Sheet2!$B$5:$H$29,7,FALSE),0)</x:f>
        <x:v>3480</x:v>
      </x:c>
      <x:c r="I4319">
        <x:f t="shared" si="71"/>
        <x:v>182460</x:v>
      </x:c>
    </x:row>
    <x:row r="4320" spans="1:9" x14ac:dyDescent="0.15">
      <x:c r="A4320">
        <x:v>54204</x:v>
      </x:c>
      <x:c r="B4320">
        <x:v>3</x:v>
      </x:c>
      <x:c r="C4320">
        <x:v>59</x:v>
      </x:c>
      <x:c r="D4320">
        <x:f>ROUND($C4320*10*VLOOKUP($B4320,Sheet2!$J$5:$K$7,2,FALSE)*VLOOKUP(Sheet1!$A4320,Sheet2!$B$5:$H$29,3,FALSE),0)</x:f>
        <x:v>0</x:v>
      </x:c>
      <x:c r="E4320">
        <x:f>ROUND($C4320*10*VLOOKUP($B4320,Sheet2!$J$5:$K$7,2,FALSE)*VLOOKUP(Sheet1!$A4320,Sheet2!$B$5:$H$29,4,FALSE),0)</x:f>
        <x:v>0</x:v>
      </x:c>
      <x:c r="F4320">
        <x:f>ROUND($C4320*10*VLOOKUP($B4320,Sheet2!$J$5:$K$7,2,FALSE)*VLOOKUP(Sheet1!$A4320,Sheet2!$B$5:$H$29,5,FALSE),0)</x:f>
        <x:v>0</x:v>
      </x:c>
      <x:c r="G4320">
        <x:f>ROUND($C4320*10*VLOOKUP($B4320,Sheet2!$J$5:$K$7,2,FALSE)*VLOOKUP(Sheet1!$A4320,Sheet2!$B$5:$H$29,6,FALSE),0)</x:f>
        <x:v>189</x:v>
      </x:c>
      <x:c r="H4320">
        <x:f>ROUND($C4320*10*VLOOKUP($B4320,Sheet2!$J$5:$K$7,2,FALSE)*VLOOKUP(Sheet1!$A4320,Sheet2!$B$5:$H$29,7,FALSE),0)</x:f>
        <x:v>3540</x:v>
      </x:c>
      <x:c r="I4320">
        <x:f t="shared" si="71"/>
        <x:v>188260</x:v>
      </x:c>
    </x:row>
    <x:row r="4321" spans="1:9" x14ac:dyDescent="0.15">
      <x:c r="A4321">
        <x:v>54204</x:v>
      </x:c>
      <x:c r="B4321">
        <x:v>3</x:v>
      </x:c>
      <x:c r="C4321">
        <x:v>60</x:v>
      </x:c>
      <x:c r="D4321">
        <x:f>ROUND($C4321*10*VLOOKUP($B4321,Sheet2!$J$5:$K$7,2,FALSE)*VLOOKUP(Sheet1!$A4321,Sheet2!$B$5:$H$29,3,FALSE),0)</x:f>
        <x:v>0</x:v>
      </x:c>
      <x:c r="E4321">
        <x:f>ROUND($C4321*10*VLOOKUP($B4321,Sheet2!$J$5:$K$7,2,FALSE)*VLOOKUP(Sheet1!$A4321,Sheet2!$B$5:$H$29,4,FALSE),0)</x:f>
        <x:v>0</x:v>
      </x:c>
      <x:c r="F4321">
        <x:f>ROUND($C4321*10*VLOOKUP($B4321,Sheet2!$J$5:$K$7,2,FALSE)*VLOOKUP(Sheet1!$A4321,Sheet2!$B$5:$H$29,5,FALSE),0)</x:f>
        <x:v>0</x:v>
      </x:c>
      <x:c r="G4321">
        <x:f>ROUND($C4321*10*VLOOKUP($B4321,Sheet2!$J$5:$K$7,2,FALSE)*VLOOKUP(Sheet1!$A4321,Sheet2!$B$5:$H$29,6,FALSE),0)</x:f>
        <x:v>192</x:v>
      </x:c>
      <x:c r="H4321">
        <x:f>ROUND($C4321*10*VLOOKUP($B4321,Sheet2!$J$5:$K$7,2,FALSE)*VLOOKUP(Sheet1!$A4321,Sheet2!$B$5:$H$29,7,FALSE),0)</x:f>
        <x:v>3600</x:v>
      </x:c>
      <x:c r="I4321">
        <x:f t="shared" si="71"/>
        <x:v>194140</x:v>
      </x:c>
    </x:row>
    <x:row r="4322" spans="1:9" x14ac:dyDescent="0.15">
      <x:c r="A4322">
        <x:v>54205</x:v>
      </x:c>
      <x:c r="B4322">
        <x:v>1</x:v>
      </x:c>
      <x:c r="C4322">
        <x:v>1</x:v>
      </x:c>
      <x:c r="D4322">
        <x:f>ROUND($C4322*10*VLOOKUP($B4322,Sheet2!$J$5:$K$7,2,FALSE)*VLOOKUP(Sheet1!$A4322,Sheet2!$B$5:$H$29,3,FALSE),0)</x:f>
        <x:v>0</x:v>
      </x:c>
      <x:c r="E4322">
        <x:f>ROUND($C4322*10*VLOOKUP($B4322,Sheet2!$J$5:$K$7,2,FALSE)*VLOOKUP(Sheet1!$A4322,Sheet2!$B$5:$H$29,4,FALSE),0)</x:f>
        <x:v>0</x:v>
      </x:c>
      <x:c r="F4322">
        <x:f>ROUND($C4322*10*VLOOKUP($B4322,Sheet2!$J$5:$K$7,2,FALSE)*VLOOKUP(Sheet1!$A4322,Sheet2!$B$5:$H$29,5,FALSE),0)</x:f>
        <x:v>0</x:v>
      </x:c>
      <x:c r="G4322">
        <x:f>ROUND($C4322*10*VLOOKUP($B4322,Sheet2!$J$5:$K$7,2,FALSE)*VLOOKUP(Sheet1!$A4322,Sheet2!$B$5:$H$29,6,FALSE),0)</x:f>
        <x:v>0</x:v>
      </x:c>
      <x:c r="H4322">
        <x:f>ROUND($C4322*10*VLOOKUP($B4322,Sheet2!$J$5:$K$7,2,FALSE)*VLOOKUP(Sheet1!$A4322,Sheet2!$B$5:$H$29,7,FALSE),0)</x:f>
        <x:v>50</x:v>
      </x:c>
      <x:c r="I4322">
        <x:f t="shared" ref="I4322:I4381" si="72">ROUND(1.2*10*1.8*(C4322-1)^1.8+30,-1)</x:f>
        <x:v>30</x:v>
      </x:c>
    </x:row>
    <x:row r="4323" spans="1:9" x14ac:dyDescent="0.15">
      <x:c r="A4323">
        <x:v>54205</x:v>
      </x:c>
      <x:c r="B4323">
        <x:v>1</x:v>
      </x:c>
      <x:c r="C4323">
        <x:v>2</x:v>
      </x:c>
      <x:c r="D4323">
        <x:f>ROUND($C4323*10*VLOOKUP($B4323,Sheet2!$J$5:$K$7,2,FALSE)*VLOOKUP(Sheet1!$A4323,Sheet2!$B$5:$H$29,3,FALSE),0)</x:f>
        <x:v>0</x:v>
      </x:c>
      <x:c r="E4323">
        <x:f>ROUND($C4323*10*VLOOKUP($B4323,Sheet2!$J$5:$K$7,2,FALSE)*VLOOKUP(Sheet1!$A4323,Sheet2!$B$5:$H$29,4,FALSE),0)</x:f>
        <x:v>0</x:v>
      </x:c>
      <x:c r="F4323">
        <x:f>ROUND($C4323*10*VLOOKUP($B4323,Sheet2!$J$5:$K$7,2,FALSE)*VLOOKUP(Sheet1!$A4323,Sheet2!$B$5:$H$29,5,FALSE),0)</x:f>
        <x:v>0</x:v>
      </x:c>
      <x:c r="G4323">
        <x:f>ROUND($C4323*10*VLOOKUP($B4323,Sheet2!$J$5:$K$7,2,FALSE)*VLOOKUP(Sheet1!$A4323,Sheet2!$B$5:$H$29,6,FALSE),0)</x:f>
        <x:v>0</x:v>
      </x:c>
      <x:c r="H4323">
        <x:f>ROUND($C4323*10*VLOOKUP($B4323,Sheet2!$J$5:$K$7,2,FALSE)*VLOOKUP(Sheet1!$A4323,Sheet2!$B$5:$H$29,7,FALSE),0)</x:f>
        <x:v>100</x:v>
      </x:c>
      <x:c r="I4323">
        <x:f t="shared" si="72"/>
        <x:v>50</x:v>
      </x:c>
    </x:row>
    <x:row r="4324" spans="1:9" x14ac:dyDescent="0.15">
      <x:c r="A4324">
        <x:v>54205</x:v>
      </x:c>
      <x:c r="B4324">
        <x:v>1</x:v>
      </x:c>
      <x:c r="C4324">
        <x:v>3</x:v>
      </x:c>
      <x:c r="D4324">
        <x:f>ROUND($C4324*10*VLOOKUP($B4324,Sheet2!$J$5:$K$7,2,FALSE)*VLOOKUP(Sheet1!$A4324,Sheet2!$B$5:$H$29,3,FALSE),0)</x:f>
        <x:v>0</x:v>
      </x:c>
      <x:c r="E4324">
        <x:f>ROUND($C4324*10*VLOOKUP($B4324,Sheet2!$J$5:$K$7,2,FALSE)*VLOOKUP(Sheet1!$A4324,Sheet2!$B$5:$H$29,4,FALSE),0)</x:f>
        <x:v>0</x:v>
      </x:c>
      <x:c r="F4324">
        <x:f>ROUND($C4324*10*VLOOKUP($B4324,Sheet2!$J$5:$K$7,2,FALSE)*VLOOKUP(Sheet1!$A4324,Sheet2!$B$5:$H$29,5,FALSE),0)</x:f>
        <x:v>0</x:v>
      </x:c>
      <x:c r="G4324">
        <x:f>ROUND($C4324*10*VLOOKUP($B4324,Sheet2!$J$5:$K$7,2,FALSE)*VLOOKUP(Sheet1!$A4324,Sheet2!$B$5:$H$29,6,FALSE),0)</x:f>
        <x:v>0</x:v>
      </x:c>
      <x:c r="H4324">
        <x:f>ROUND($C4324*10*VLOOKUP($B4324,Sheet2!$J$5:$K$7,2,FALSE)*VLOOKUP(Sheet1!$A4324,Sheet2!$B$5:$H$29,7,FALSE),0)</x:f>
        <x:v>150</x:v>
      </x:c>
      <x:c r="I4324">
        <x:f t="shared" si="72"/>
        <x:v>110</x:v>
      </x:c>
    </x:row>
    <x:row r="4325" spans="1:9" x14ac:dyDescent="0.15">
      <x:c r="A4325">
        <x:v>54205</x:v>
      </x:c>
      <x:c r="B4325">
        <x:v>1</x:v>
      </x:c>
      <x:c r="C4325">
        <x:v>4</x:v>
      </x:c>
      <x:c r="D4325">
        <x:f>ROUND($C4325*10*VLOOKUP($B4325,Sheet2!$J$5:$K$7,2,FALSE)*VLOOKUP(Sheet1!$A4325,Sheet2!$B$5:$H$29,3,FALSE),0)</x:f>
        <x:v>0</x:v>
      </x:c>
      <x:c r="E4325">
        <x:f>ROUND($C4325*10*VLOOKUP($B4325,Sheet2!$J$5:$K$7,2,FALSE)*VLOOKUP(Sheet1!$A4325,Sheet2!$B$5:$H$29,4,FALSE),0)</x:f>
        <x:v>0</x:v>
      </x:c>
      <x:c r="F4325">
        <x:f>ROUND($C4325*10*VLOOKUP($B4325,Sheet2!$J$5:$K$7,2,FALSE)*VLOOKUP(Sheet1!$A4325,Sheet2!$B$5:$H$29,5,FALSE),0)</x:f>
        <x:v>0</x:v>
      </x:c>
      <x:c r="G4325">
        <x:f>ROUND($C4325*10*VLOOKUP($B4325,Sheet2!$J$5:$K$7,2,FALSE)*VLOOKUP(Sheet1!$A4325,Sheet2!$B$5:$H$29,6,FALSE),0)</x:f>
        <x:v>0</x:v>
      </x:c>
      <x:c r="H4325">
        <x:f>ROUND($C4325*10*VLOOKUP($B4325,Sheet2!$J$5:$K$7,2,FALSE)*VLOOKUP(Sheet1!$A4325,Sheet2!$B$5:$H$29,7,FALSE),0)</x:f>
        <x:v>200</x:v>
      </x:c>
      <x:c r="I4325">
        <x:f t="shared" si="72"/>
        <x:v>190</x:v>
      </x:c>
    </x:row>
    <x:row r="4326" spans="1:9" x14ac:dyDescent="0.15">
      <x:c r="A4326">
        <x:v>54205</x:v>
      </x:c>
      <x:c r="B4326">
        <x:v>1</x:v>
      </x:c>
      <x:c r="C4326">
        <x:v>5</x:v>
      </x:c>
      <x:c r="D4326">
        <x:f>ROUND($C4326*10*VLOOKUP($B4326,Sheet2!$J$5:$K$7,2,FALSE)*VLOOKUP(Sheet1!$A4326,Sheet2!$B$5:$H$29,3,FALSE),0)</x:f>
        <x:v>0</x:v>
      </x:c>
      <x:c r="E4326">
        <x:f>ROUND($C4326*10*VLOOKUP($B4326,Sheet2!$J$5:$K$7,2,FALSE)*VLOOKUP(Sheet1!$A4326,Sheet2!$B$5:$H$29,4,FALSE),0)</x:f>
        <x:v>0</x:v>
      </x:c>
      <x:c r="F4326">
        <x:f>ROUND($C4326*10*VLOOKUP($B4326,Sheet2!$J$5:$K$7,2,FALSE)*VLOOKUP(Sheet1!$A4326,Sheet2!$B$5:$H$29,5,FALSE),0)</x:f>
        <x:v>0</x:v>
      </x:c>
      <x:c r="G4326">
        <x:f>ROUND($C4326*10*VLOOKUP($B4326,Sheet2!$J$5:$K$7,2,FALSE)*VLOOKUP(Sheet1!$A4326,Sheet2!$B$5:$H$29,6,FALSE),0)</x:f>
        <x:v>0</x:v>
      </x:c>
      <x:c r="H4326">
        <x:f>ROUND($C4326*10*VLOOKUP($B4326,Sheet2!$J$5:$K$7,2,FALSE)*VLOOKUP(Sheet1!$A4326,Sheet2!$B$5:$H$29,7,FALSE),0)</x:f>
        <x:v>250</x:v>
      </x:c>
      <x:c r="I4326">
        <x:f t="shared" si="72"/>
        <x:v>290</x:v>
      </x:c>
    </x:row>
    <x:row r="4327" spans="1:9" x14ac:dyDescent="0.15">
      <x:c r="A4327">
        <x:v>54205</x:v>
      </x:c>
      <x:c r="B4327">
        <x:v>1</x:v>
      </x:c>
      <x:c r="C4327">
        <x:v>6</x:v>
      </x:c>
      <x:c r="D4327">
        <x:f>ROUND($C4327*10*VLOOKUP($B4327,Sheet2!$J$5:$K$7,2,FALSE)*VLOOKUP(Sheet1!$A4327,Sheet2!$B$5:$H$29,3,FALSE),0)</x:f>
        <x:v>0</x:v>
      </x:c>
      <x:c r="E4327">
        <x:f>ROUND($C4327*10*VLOOKUP($B4327,Sheet2!$J$5:$K$7,2,FALSE)*VLOOKUP(Sheet1!$A4327,Sheet2!$B$5:$H$29,4,FALSE),0)</x:f>
        <x:v>0</x:v>
      </x:c>
      <x:c r="F4327">
        <x:f>ROUND($C4327*10*VLOOKUP($B4327,Sheet2!$J$5:$K$7,2,FALSE)*VLOOKUP(Sheet1!$A4327,Sheet2!$B$5:$H$29,5,FALSE),0)</x:f>
        <x:v>0</x:v>
      </x:c>
      <x:c r="G4327">
        <x:f>ROUND($C4327*10*VLOOKUP($B4327,Sheet2!$J$5:$K$7,2,FALSE)*VLOOKUP(Sheet1!$A4327,Sheet2!$B$5:$H$29,6,FALSE),0)</x:f>
        <x:v>0</x:v>
      </x:c>
      <x:c r="H4327">
        <x:f>ROUND($C4327*10*VLOOKUP($B4327,Sheet2!$J$5:$K$7,2,FALSE)*VLOOKUP(Sheet1!$A4327,Sheet2!$B$5:$H$29,7,FALSE),0)</x:f>
        <x:v>300</x:v>
      </x:c>
      <x:c r="I4327">
        <x:f t="shared" si="72"/>
        <x:v>420</x:v>
      </x:c>
    </x:row>
    <x:row r="4328" spans="1:9" x14ac:dyDescent="0.15">
      <x:c r="A4328">
        <x:v>54205</x:v>
      </x:c>
      <x:c r="B4328">
        <x:v>1</x:v>
      </x:c>
      <x:c r="C4328">
        <x:v>7</x:v>
      </x:c>
      <x:c r="D4328">
        <x:f>ROUND($C4328*10*VLOOKUP($B4328,Sheet2!$J$5:$K$7,2,FALSE)*VLOOKUP(Sheet1!$A4328,Sheet2!$B$5:$H$29,3,FALSE),0)</x:f>
        <x:v>0</x:v>
      </x:c>
      <x:c r="E4328">
        <x:f>ROUND($C4328*10*VLOOKUP($B4328,Sheet2!$J$5:$K$7,2,FALSE)*VLOOKUP(Sheet1!$A4328,Sheet2!$B$5:$H$29,4,FALSE),0)</x:f>
        <x:v>0</x:v>
      </x:c>
      <x:c r="F4328">
        <x:f>ROUND($C4328*10*VLOOKUP($B4328,Sheet2!$J$5:$K$7,2,FALSE)*VLOOKUP(Sheet1!$A4328,Sheet2!$B$5:$H$29,5,FALSE),0)</x:f>
        <x:v>0</x:v>
      </x:c>
      <x:c r="G4328">
        <x:f>ROUND($C4328*10*VLOOKUP($B4328,Sheet2!$J$5:$K$7,2,FALSE)*VLOOKUP(Sheet1!$A4328,Sheet2!$B$5:$H$29,6,FALSE),0)</x:f>
        <x:v>0</x:v>
      </x:c>
      <x:c r="H4328">
        <x:f>ROUND($C4328*10*VLOOKUP($B4328,Sheet2!$J$5:$K$7,2,FALSE)*VLOOKUP(Sheet1!$A4328,Sheet2!$B$5:$H$29,7,FALSE),0)</x:f>
        <x:v>350</x:v>
      </x:c>
      <x:c r="I4328">
        <x:f t="shared" si="72"/>
        <x:v>570</x:v>
      </x:c>
    </x:row>
    <x:row r="4329" spans="1:9" x14ac:dyDescent="0.15">
      <x:c r="A4329">
        <x:v>54205</x:v>
      </x:c>
      <x:c r="B4329">
        <x:v>1</x:v>
      </x:c>
      <x:c r="C4329">
        <x:v>8</x:v>
      </x:c>
      <x:c r="D4329">
        <x:f>ROUND($C4329*10*VLOOKUP($B4329,Sheet2!$J$5:$K$7,2,FALSE)*VLOOKUP(Sheet1!$A4329,Sheet2!$B$5:$H$29,3,FALSE),0)</x:f>
        <x:v>0</x:v>
      </x:c>
      <x:c r="E4329">
        <x:f>ROUND($C4329*10*VLOOKUP($B4329,Sheet2!$J$5:$K$7,2,FALSE)*VLOOKUP(Sheet1!$A4329,Sheet2!$B$5:$H$29,4,FALSE),0)</x:f>
        <x:v>0</x:v>
      </x:c>
      <x:c r="F4329">
        <x:f>ROUND($C4329*10*VLOOKUP($B4329,Sheet2!$J$5:$K$7,2,FALSE)*VLOOKUP(Sheet1!$A4329,Sheet2!$B$5:$H$29,5,FALSE),0)</x:f>
        <x:v>0</x:v>
      </x:c>
      <x:c r="G4329">
        <x:f>ROUND($C4329*10*VLOOKUP($B4329,Sheet2!$J$5:$K$7,2,FALSE)*VLOOKUP(Sheet1!$A4329,Sheet2!$B$5:$H$29,6,FALSE),0)</x:f>
        <x:v>0</x:v>
      </x:c>
      <x:c r="H4329">
        <x:f>ROUND($C4329*10*VLOOKUP($B4329,Sheet2!$J$5:$K$7,2,FALSE)*VLOOKUP(Sheet1!$A4329,Sheet2!$B$5:$H$29,7,FALSE),0)</x:f>
        <x:v>400</x:v>
      </x:c>
      <x:c r="I4329">
        <x:f t="shared" si="72"/>
        <x:v>750</x:v>
      </x:c>
    </x:row>
    <x:row r="4330" spans="1:9" x14ac:dyDescent="0.15">
      <x:c r="A4330">
        <x:v>54205</x:v>
      </x:c>
      <x:c r="B4330">
        <x:v>1</x:v>
      </x:c>
      <x:c r="C4330">
        <x:v>9</x:v>
      </x:c>
      <x:c r="D4330">
        <x:f>ROUND($C4330*10*VLOOKUP($B4330,Sheet2!$J$5:$K$7,2,FALSE)*VLOOKUP(Sheet1!$A4330,Sheet2!$B$5:$H$29,3,FALSE),0)</x:f>
        <x:v>0</x:v>
      </x:c>
      <x:c r="E4330">
        <x:f>ROUND($C4330*10*VLOOKUP($B4330,Sheet2!$J$5:$K$7,2,FALSE)*VLOOKUP(Sheet1!$A4330,Sheet2!$B$5:$H$29,4,FALSE),0)</x:f>
        <x:v>0</x:v>
      </x:c>
      <x:c r="F4330">
        <x:f>ROUND($C4330*10*VLOOKUP($B4330,Sheet2!$J$5:$K$7,2,FALSE)*VLOOKUP(Sheet1!$A4330,Sheet2!$B$5:$H$29,5,FALSE),0)</x:f>
        <x:v>0</x:v>
      </x:c>
      <x:c r="G4330">
        <x:f>ROUND($C4330*10*VLOOKUP($B4330,Sheet2!$J$5:$K$7,2,FALSE)*VLOOKUP(Sheet1!$A4330,Sheet2!$B$5:$H$29,6,FALSE),0)</x:f>
        <x:v>0</x:v>
      </x:c>
      <x:c r="H4330">
        <x:f>ROUND($C4330*10*VLOOKUP($B4330,Sheet2!$J$5:$K$7,2,FALSE)*VLOOKUP(Sheet1!$A4330,Sheet2!$B$5:$H$29,7,FALSE),0)</x:f>
        <x:v>450</x:v>
      </x:c>
      <x:c r="I4330">
        <x:f t="shared" si="72"/>
        <x:v>940</x:v>
      </x:c>
    </x:row>
    <x:row r="4331" spans="1:9" x14ac:dyDescent="0.15">
      <x:c r="A4331">
        <x:v>54205</x:v>
      </x:c>
      <x:c r="B4331">
        <x:v>1</x:v>
      </x:c>
      <x:c r="C4331">
        <x:v>10</x:v>
      </x:c>
      <x:c r="D4331">
        <x:f>ROUND($C4331*10*VLOOKUP($B4331,Sheet2!$J$5:$K$7,2,FALSE)*VLOOKUP(Sheet1!$A4331,Sheet2!$B$5:$H$29,3,FALSE),0)</x:f>
        <x:v>0</x:v>
      </x:c>
      <x:c r="E4331">
        <x:f>ROUND($C4331*10*VLOOKUP($B4331,Sheet2!$J$5:$K$7,2,FALSE)*VLOOKUP(Sheet1!$A4331,Sheet2!$B$5:$H$29,4,FALSE),0)</x:f>
        <x:v>0</x:v>
      </x:c>
      <x:c r="F4331">
        <x:f>ROUND($C4331*10*VLOOKUP($B4331,Sheet2!$J$5:$K$7,2,FALSE)*VLOOKUP(Sheet1!$A4331,Sheet2!$B$5:$H$29,5,FALSE),0)</x:f>
        <x:v>0</x:v>
      </x:c>
      <x:c r="G4331">
        <x:f>ROUND($C4331*10*VLOOKUP($B4331,Sheet2!$J$5:$K$7,2,FALSE)*VLOOKUP(Sheet1!$A4331,Sheet2!$B$5:$H$29,6,FALSE),0)</x:f>
        <x:v>0</x:v>
      </x:c>
      <x:c r="H4331">
        <x:f>ROUND($C4331*10*VLOOKUP($B4331,Sheet2!$J$5:$K$7,2,FALSE)*VLOOKUP(Sheet1!$A4331,Sheet2!$B$5:$H$29,7,FALSE),0)</x:f>
        <x:v>500</x:v>
      </x:c>
      <x:c r="I4331">
        <x:f t="shared" si="72"/>
        <x:v>1160</x:v>
      </x:c>
    </x:row>
    <x:row r="4332" spans="1:9" x14ac:dyDescent="0.15">
      <x:c r="A4332">
        <x:v>54205</x:v>
      </x:c>
      <x:c r="B4332">
        <x:v>1</x:v>
      </x:c>
      <x:c r="C4332">
        <x:v>11</x:v>
      </x:c>
      <x:c r="D4332">
        <x:f>ROUND($C4332*10*VLOOKUP($B4332,Sheet2!$J$5:$K$7,2,FALSE)*VLOOKUP(Sheet1!$A4332,Sheet2!$B$5:$H$29,3,FALSE),0)</x:f>
        <x:v>0</x:v>
      </x:c>
      <x:c r="E4332">
        <x:f>ROUND($C4332*10*VLOOKUP($B4332,Sheet2!$J$5:$K$7,2,FALSE)*VLOOKUP(Sheet1!$A4332,Sheet2!$B$5:$H$29,4,FALSE),0)</x:f>
        <x:v>0</x:v>
      </x:c>
      <x:c r="F4332">
        <x:f>ROUND($C4332*10*VLOOKUP($B4332,Sheet2!$J$5:$K$7,2,FALSE)*VLOOKUP(Sheet1!$A4332,Sheet2!$B$5:$H$29,5,FALSE),0)</x:f>
        <x:v>0</x:v>
      </x:c>
      <x:c r="G4332">
        <x:f>ROUND($C4332*10*VLOOKUP($B4332,Sheet2!$J$5:$K$7,2,FALSE)*VLOOKUP(Sheet1!$A4332,Sheet2!$B$5:$H$29,6,FALSE),0)</x:f>
        <x:v>0</x:v>
      </x:c>
      <x:c r="H4332">
        <x:f>ROUND($C4332*10*VLOOKUP($B4332,Sheet2!$J$5:$K$7,2,FALSE)*VLOOKUP(Sheet1!$A4332,Sheet2!$B$5:$H$29,7,FALSE),0)</x:f>
        <x:v>550</x:v>
      </x:c>
      <x:c r="I4332">
        <x:f t="shared" si="72"/>
        <x:v>1390</x:v>
      </x:c>
    </x:row>
    <x:row r="4333" spans="1:9" x14ac:dyDescent="0.15">
      <x:c r="A4333">
        <x:v>54205</x:v>
      </x:c>
      <x:c r="B4333">
        <x:v>1</x:v>
      </x:c>
      <x:c r="C4333">
        <x:v>12</x:v>
      </x:c>
      <x:c r="D4333">
        <x:f>ROUND($C4333*10*VLOOKUP($B4333,Sheet2!$J$5:$K$7,2,FALSE)*VLOOKUP(Sheet1!$A4333,Sheet2!$B$5:$H$29,3,FALSE),0)</x:f>
        <x:v>0</x:v>
      </x:c>
      <x:c r="E4333">
        <x:f>ROUND($C4333*10*VLOOKUP($B4333,Sheet2!$J$5:$K$7,2,FALSE)*VLOOKUP(Sheet1!$A4333,Sheet2!$B$5:$H$29,4,FALSE),0)</x:f>
        <x:v>0</x:v>
      </x:c>
      <x:c r="F4333">
        <x:f>ROUND($C4333*10*VLOOKUP($B4333,Sheet2!$J$5:$K$7,2,FALSE)*VLOOKUP(Sheet1!$A4333,Sheet2!$B$5:$H$29,5,FALSE),0)</x:f>
        <x:v>0</x:v>
      </x:c>
      <x:c r="G4333">
        <x:f>ROUND($C4333*10*VLOOKUP($B4333,Sheet2!$J$5:$K$7,2,FALSE)*VLOOKUP(Sheet1!$A4333,Sheet2!$B$5:$H$29,6,FALSE),0)</x:f>
        <x:v>0</x:v>
      </x:c>
      <x:c r="H4333">
        <x:f>ROUND($C4333*10*VLOOKUP($B4333,Sheet2!$J$5:$K$7,2,FALSE)*VLOOKUP(Sheet1!$A4333,Sheet2!$B$5:$H$29,7,FALSE),0)</x:f>
        <x:v>600</x:v>
      </x:c>
      <x:c r="I4333">
        <x:f t="shared" si="72"/>
        <x:v>1650</x:v>
      </x:c>
    </x:row>
    <x:row r="4334" spans="1:9" x14ac:dyDescent="0.15">
      <x:c r="A4334">
        <x:v>54205</x:v>
      </x:c>
      <x:c r="B4334">
        <x:v>1</x:v>
      </x:c>
      <x:c r="C4334">
        <x:v>13</x:v>
      </x:c>
      <x:c r="D4334">
        <x:f>ROUND($C4334*10*VLOOKUP($B4334,Sheet2!$J$5:$K$7,2,FALSE)*VLOOKUP(Sheet1!$A4334,Sheet2!$B$5:$H$29,3,FALSE),0)</x:f>
        <x:v>0</x:v>
      </x:c>
      <x:c r="E4334">
        <x:f>ROUND($C4334*10*VLOOKUP($B4334,Sheet2!$J$5:$K$7,2,FALSE)*VLOOKUP(Sheet1!$A4334,Sheet2!$B$5:$H$29,4,FALSE),0)</x:f>
        <x:v>0</x:v>
      </x:c>
      <x:c r="F4334">
        <x:f>ROUND($C4334*10*VLOOKUP($B4334,Sheet2!$J$5:$K$7,2,FALSE)*VLOOKUP(Sheet1!$A4334,Sheet2!$B$5:$H$29,5,FALSE),0)</x:f>
        <x:v>0</x:v>
      </x:c>
      <x:c r="G4334">
        <x:f>ROUND($C4334*10*VLOOKUP($B4334,Sheet2!$J$5:$K$7,2,FALSE)*VLOOKUP(Sheet1!$A4334,Sheet2!$B$5:$H$29,6,FALSE),0)</x:f>
        <x:v>0</x:v>
      </x:c>
      <x:c r="H4334">
        <x:f>ROUND($C4334*10*VLOOKUP($B4334,Sheet2!$J$5:$K$7,2,FALSE)*VLOOKUP(Sheet1!$A4334,Sheet2!$B$5:$H$29,7,FALSE),0)</x:f>
        <x:v>650</x:v>
      </x:c>
      <x:c r="I4334">
        <x:f t="shared" si="72"/>
        <x:v>1920</x:v>
      </x:c>
    </x:row>
    <x:row r="4335" spans="1:9" x14ac:dyDescent="0.15">
      <x:c r="A4335">
        <x:v>54205</x:v>
      </x:c>
      <x:c r="B4335">
        <x:v>1</x:v>
      </x:c>
      <x:c r="C4335">
        <x:v>14</x:v>
      </x:c>
      <x:c r="D4335">
        <x:f>ROUND($C4335*10*VLOOKUP($B4335,Sheet2!$J$5:$K$7,2,FALSE)*VLOOKUP(Sheet1!$A4335,Sheet2!$B$5:$H$29,3,FALSE),0)</x:f>
        <x:v>0</x:v>
      </x:c>
      <x:c r="E4335">
        <x:f>ROUND($C4335*10*VLOOKUP($B4335,Sheet2!$J$5:$K$7,2,FALSE)*VLOOKUP(Sheet1!$A4335,Sheet2!$B$5:$H$29,4,FALSE),0)</x:f>
        <x:v>0</x:v>
      </x:c>
      <x:c r="F4335">
        <x:f>ROUND($C4335*10*VLOOKUP($B4335,Sheet2!$J$5:$K$7,2,FALSE)*VLOOKUP(Sheet1!$A4335,Sheet2!$B$5:$H$29,5,FALSE),0)</x:f>
        <x:v>0</x:v>
      </x:c>
      <x:c r="G4335">
        <x:f>ROUND($C4335*10*VLOOKUP($B4335,Sheet2!$J$5:$K$7,2,FALSE)*VLOOKUP(Sheet1!$A4335,Sheet2!$B$5:$H$29,6,FALSE),0)</x:f>
        <x:v>0</x:v>
      </x:c>
      <x:c r="H4335">
        <x:f>ROUND($C4335*10*VLOOKUP($B4335,Sheet2!$J$5:$K$7,2,FALSE)*VLOOKUP(Sheet1!$A4335,Sheet2!$B$5:$H$29,7,FALSE),0)</x:f>
        <x:v>700</x:v>
      </x:c>
      <x:c r="I4335">
        <x:f t="shared" si="72"/>
        <x:v>2220</x:v>
      </x:c>
    </x:row>
    <x:row r="4336" spans="1:9" x14ac:dyDescent="0.15">
      <x:c r="A4336">
        <x:v>54205</x:v>
      </x:c>
      <x:c r="B4336">
        <x:v>1</x:v>
      </x:c>
      <x:c r="C4336">
        <x:v>15</x:v>
      </x:c>
      <x:c r="D4336">
        <x:f>ROUND($C4336*10*VLOOKUP($B4336,Sheet2!$J$5:$K$7,2,FALSE)*VLOOKUP(Sheet1!$A4336,Sheet2!$B$5:$H$29,3,FALSE),0)</x:f>
        <x:v>0</x:v>
      </x:c>
      <x:c r="E4336">
        <x:f>ROUND($C4336*10*VLOOKUP($B4336,Sheet2!$J$5:$K$7,2,FALSE)*VLOOKUP(Sheet1!$A4336,Sheet2!$B$5:$H$29,4,FALSE),0)</x:f>
        <x:v>0</x:v>
      </x:c>
      <x:c r="F4336">
        <x:f>ROUND($C4336*10*VLOOKUP($B4336,Sheet2!$J$5:$K$7,2,FALSE)*VLOOKUP(Sheet1!$A4336,Sheet2!$B$5:$H$29,5,FALSE),0)</x:f>
        <x:v>0</x:v>
      </x:c>
      <x:c r="G4336">
        <x:f>ROUND($C4336*10*VLOOKUP($B4336,Sheet2!$J$5:$K$7,2,FALSE)*VLOOKUP(Sheet1!$A4336,Sheet2!$B$5:$H$29,6,FALSE),0)</x:f>
        <x:v>0</x:v>
      </x:c>
      <x:c r="H4336">
        <x:f>ROUND($C4336*10*VLOOKUP($B4336,Sheet2!$J$5:$K$7,2,FALSE)*VLOOKUP(Sheet1!$A4336,Sheet2!$B$5:$H$29,7,FALSE),0)</x:f>
        <x:v>750</x:v>
      </x:c>
      <x:c r="I4336">
        <x:f t="shared" si="72"/>
        <x:v>2530</x:v>
      </x:c>
    </x:row>
    <x:row r="4337" spans="1:9" x14ac:dyDescent="0.15">
      <x:c r="A4337">
        <x:v>54205</x:v>
      </x:c>
      <x:c r="B4337">
        <x:v>1</x:v>
      </x:c>
      <x:c r="C4337">
        <x:v>16</x:v>
      </x:c>
      <x:c r="D4337">
        <x:f>ROUND($C4337*10*VLOOKUP($B4337,Sheet2!$J$5:$K$7,2,FALSE)*VLOOKUP(Sheet1!$A4337,Sheet2!$B$5:$H$29,3,FALSE),0)</x:f>
        <x:v>0</x:v>
      </x:c>
      <x:c r="E4337">
        <x:f>ROUND($C4337*10*VLOOKUP($B4337,Sheet2!$J$5:$K$7,2,FALSE)*VLOOKUP(Sheet1!$A4337,Sheet2!$B$5:$H$29,4,FALSE),0)</x:f>
        <x:v>0</x:v>
      </x:c>
      <x:c r="F4337">
        <x:f>ROUND($C4337*10*VLOOKUP($B4337,Sheet2!$J$5:$K$7,2,FALSE)*VLOOKUP(Sheet1!$A4337,Sheet2!$B$5:$H$29,5,FALSE),0)</x:f>
        <x:v>0</x:v>
      </x:c>
      <x:c r="G4337">
        <x:f>ROUND($C4337*10*VLOOKUP($B4337,Sheet2!$J$5:$K$7,2,FALSE)*VLOOKUP(Sheet1!$A4337,Sheet2!$B$5:$H$29,6,FALSE),0)</x:f>
        <x:v>0</x:v>
      </x:c>
      <x:c r="H4337">
        <x:f>ROUND($C4337*10*VLOOKUP($B4337,Sheet2!$J$5:$K$7,2,FALSE)*VLOOKUP(Sheet1!$A4337,Sheet2!$B$5:$H$29,7,FALSE),0)</x:f>
        <x:v>800</x:v>
      </x:c>
      <x:c r="I4337">
        <x:f t="shared" si="72"/>
        <x:v>2860</x:v>
      </x:c>
    </x:row>
    <x:row r="4338" spans="1:9" x14ac:dyDescent="0.15">
      <x:c r="A4338">
        <x:v>54205</x:v>
      </x:c>
      <x:c r="B4338">
        <x:v>1</x:v>
      </x:c>
      <x:c r="C4338">
        <x:v>17</x:v>
      </x:c>
      <x:c r="D4338">
        <x:f>ROUND($C4338*10*VLOOKUP($B4338,Sheet2!$J$5:$K$7,2,FALSE)*VLOOKUP(Sheet1!$A4338,Sheet2!$B$5:$H$29,3,FALSE),0)</x:f>
        <x:v>0</x:v>
      </x:c>
      <x:c r="E4338">
        <x:f>ROUND($C4338*10*VLOOKUP($B4338,Sheet2!$J$5:$K$7,2,FALSE)*VLOOKUP(Sheet1!$A4338,Sheet2!$B$5:$H$29,4,FALSE),0)</x:f>
        <x:v>0</x:v>
      </x:c>
      <x:c r="F4338">
        <x:f>ROUND($C4338*10*VLOOKUP($B4338,Sheet2!$J$5:$K$7,2,FALSE)*VLOOKUP(Sheet1!$A4338,Sheet2!$B$5:$H$29,5,FALSE),0)</x:f>
        <x:v>0</x:v>
      </x:c>
      <x:c r="G4338">
        <x:f>ROUND($C4338*10*VLOOKUP($B4338,Sheet2!$J$5:$K$7,2,FALSE)*VLOOKUP(Sheet1!$A4338,Sheet2!$B$5:$H$29,6,FALSE),0)</x:f>
        <x:v>0</x:v>
      </x:c>
      <x:c r="H4338">
        <x:f>ROUND($C4338*10*VLOOKUP($B4338,Sheet2!$J$5:$K$7,2,FALSE)*VLOOKUP(Sheet1!$A4338,Sheet2!$B$5:$H$29,7,FALSE),0)</x:f>
        <x:v>850</x:v>
      </x:c>
      <x:c r="I4338">
        <x:f t="shared" si="72"/>
        <x:v>3210</x:v>
      </x:c>
    </x:row>
    <x:row r="4339" spans="1:9" x14ac:dyDescent="0.15">
      <x:c r="A4339">
        <x:v>54205</x:v>
      </x:c>
      <x:c r="B4339">
        <x:v>1</x:v>
      </x:c>
      <x:c r="C4339">
        <x:v>18</x:v>
      </x:c>
      <x:c r="D4339">
        <x:f>ROUND($C4339*10*VLOOKUP($B4339,Sheet2!$J$5:$K$7,2,FALSE)*VLOOKUP(Sheet1!$A4339,Sheet2!$B$5:$H$29,3,FALSE),0)</x:f>
        <x:v>0</x:v>
      </x:c>
      <x:c r="E4339">
        <x:f>ROUND($C4339*10*VLOOKUP($B4339,Sheet2!$J$5:$K$7,2,FALSE)*VLOOKUP(Sheet1!$A4339,Sheet2!$B$5:$H$29,4,FALSE),0)</x:f>
        <x:v>0</x:v>
      </x:c>
      <x:c r="F4339">
        <x:f>ROUND($C4339*10*VLOOKUP($B4339,Sheet2!$J$5:$K$7,2,FALSE)*VLOOKUP(Sheet1!$A4339,Sheet2!$B$5:$H$29,5,FALSE),0)</x:f>
        <x:v>0</x:v>
      </x:c>
      <x:c r="G4339">
        <x:f>ROUND($C4339*10*VLOOKUP($B4339,Sheet2!$J$5:$K$7,2,FALSE)*VLOOKUP(Sheet1!$A4339,Sheet2!$B$5:$H$29,6,FALSE),0)</x:f>
        <x:v>0</x:v>
      </x:c>
      <x:c r="H4339">
        <x:f>ROUND($C4339*10*VLOOKUP($B4339,Sheet2!$J$5:$K$7,2,FALSE)*VLOOKUP(Sheet1!$A4339,Sheet2!$B$5:$H$29,7,FALSE),0)</x:f>
        <x:v>900</x:v>
      </x:c>
      <x:c r="I4339">
        <x:f t="shared" si="72"/>
        <x:v>3570</x:v>
      </x:c>
    </x:row>
    <x:row r="4340" spans="1:9" x14ac:dyDescent="0.15">
      <x:c r="A4340">
        <x:v>54205</x:v>
      </x:c>
      <x:c r="B4340">
        <x:v>1</x:v>
      </x:c>
      <x:c r="C4340">
        <x:v>19</x:v>
      </x:c>
      <x:c r="D4340">
        <x:f>ROUND($C4340*10*VLOOKUP($B4340,Sheet2!$J$5:$K$7,2,FALSE)*VLOOKUP(Sheet1!$A4340,Sheet2!$B$5:$H$29,3,FALSE),0)</x:f>
        <x:v>0</x:v>
      </x:c>
      <x:c r="E4340">
        <x:f>ROUND($C4340*10*VLOOKUP($B4340,Sheet2!$J$5:$K$7,2,FALSE)*VLOOKUP(Sheet1!$A4340,Sheet2!$B$5:$H$29,4,FALSE),0)</x:f>
        <x:v>0</x:v>
      </x:c>
      <x:c r="F4340">
        <x:f>ROUND($C4340*10*VLOOKUP($B4340,Sheet2!$J$5:$K$7,2,FALSE)*VLOOKUP(Sheet1!$A4340,Sheet2!$B$5:$H$29,5,FALSE),0)</x:f>
        <x:v>0</x:v>
      </x:c>
      <x:c r="G4340">
        <x:f>ROUND($C4340*10*VLOOKUP($B4340,Sheet2!$J$5:$K$7,2,FALSE)*VLOOKUP(Sheet1!$A4340,Sheet2!$B$5:$H$29,6,FALSE),0)</x:f>
        <x:v>0</x:v>
      </x:c>
      <x:c r="H4340">
        <x:f>ROUND($C4340*10*VLOOKUP($B4340,Sheet2!$J$5:$K$7,2,FALSE)*VLOOKUP(Sheet1!$A4340,Sheet2!$B$5:$H$29,7,FALSE),0)</x:f>
        <x:v>950</x:v>
      </x:c>
      <x:c r="I4340">
        <x:f t="shared" si="72"/>
        <x:v>3960</x:v>
      </x:c>
    </x:row>
    <x:row r="4341" spans="1:9" x14ac:dyDescent="0.15">
      <x:c r="A4341">
        <x:v>54205</x:v>
      </x:c>
      <x:c r="B4341">
        <x:v>1</x:v>
      </x:c>
      <x:c r="C4341">
        <x:v>20</x:v>
      </x:c>
      <x:c r="D4341">
        <x:f>ROUND($C4341*10*VLOOKUP($B4341,Sheet2!$J$5:$K$7,2,FALSE)*VLOOKUP(Sheet1!$A4341,Sheet2!$B$5:$H$29,3,FALSE),0)</x:f>
        <x:v>0</x:v>
      </x:c>
      <x:c r="E4341">
        <x:f>ROUND($C4341*10*VLOOKUP($B4341,Sheet2!$J$5:$K$7,2,FALSE)*VLOOKUP(Sheet1!$A4341,Sheet2!$B$5:$H$29,4,FALSE),0)</x:f>
        <x:v>0</x:v>
      </x:c>
      <x:c r="F4341">
        <x:f>ROUND($C4341*10*VLOOKUP($B4341,Sheet2!$J$5:$K$7,2,FALSE)*VLOOKUP(Sheet1!$A4341,Sheet2!$B$5:$H$29,5,FALSE),0)</x:f>
        <x:v>0</x:v>
      </x:c>
      <x:c r="G4341">
        <x:f>ROUND($C4341*10*VLOOKUP($B4341,Sheet2!$J$5:$K$7,2,FALSE)*VLOOKUP(Sheet1!$A4341,Sheet2!$B$5:$H$29,6,FALSE),0)</x:f>
        <x:v>0</x:v>
      </x:c>
      <x:c r="H4341">
        <x:f>ROUND($C4341*10*VLOOKUP($B4341,Sheet2!$J$5:$K$7,2,FALSE)*VLOOKUP(Sheet1!$A4341,Sheet2!$B$5:$H$29,7,FALSE),0)</x:f>
        <x:v>1000</x:v>
      </x:c>
      <x:c r="I4341">
        <x:f t="shared" si="72"/>
        <x:v>4360</x:v>
      </x:c>
    </x:row>
    <x:row r="4342" spans="1:9" x14ac:dyDescent="0.15">
      <x:c r="A4342">
        <x:v>54205</x:v>
      </x:c>
      <x:c r="B4342">
        <x:v>1</x:v>
      </x:c>
      <x:c r="C4342">
        <x:v>21</x:v>
      </x:c>
      <x:c r="D4342">
        <x:f>ROUND($C4342*10*VLOOKUP($B4342,Sheet2!$J$5:$K$7,2,FALSE)*VLOOKUP(Sheet1!$A4342,Sheet2!$B$5:$H$29,3,FALSE),0)</x:f>
        <x:v>0</x:v>
      </x:c>
      <x:c r="E4342">
        <x:f>ROUND($C4342*10*VLOOKUP($B4342,Sheet2!$J$5:$K$7,2,FALSE)*VLOOKUP(Sheet1!$A4342,Sheet2!$B$5:$H$29,4,FALSE),0)</x:f>
        <x:v>0</x:v>
      </x:c>
      <x:c r="F4342">
        <x:f>ROUND($C4342*10*VLOOKUP($B4342,Sheet2!$J$5:$K$7,2,FALSE)*VLOOKUP(Sheet1!$A4342,Sheet2!$B$5:$H$29,5,FALSE),0)</x:f>
        <x:v>0</x:v>
      </x:c>
      <x:c r="G4342">
        <x:f>ROUND($C4342*10*VLOOKUP($B4342,Sheet2!$J$5:$K$7,2,FALSE)*VLOOKUP(Sheet1!$A4342,Sheet2!$B$5:$H$29,6,FALSE),0)</x:f>
        <x:v>0</x:v>
      </x:c>
      <x:c r="H4342">
        <x:f>ROUND($C4342*10*VLOOKUP($B4342,Sheet2!$J$5:$K$7,2,FALSE)*VLOOKUP(Sheet1!$A4342,Sheet2!$B$5:$H$29,7,FALSE),0)</x:f>
        <x:v>1050</x:v>
      </x:c>
      <x:c r="I4342">
        <x:f t="shared" si="72"/>
        <x:v>4780</x:v>
      </x:c>
    </x:row>
    <x:row r="4343" spans="1:9" x14ac:dyDescent="0.15">
      <x:c r="A4343">
        <x:v>54205</x:v>
      </x:c>
      <x:c r="B4343">
        <x:v>1</x:v>
      </x:c>
      <x:c r="C4343">
        <x:v>22</x:v>
      </x:c>
      <x:c r="D4343">
        <x:f>ROUND($C4343*10*VLOOKUP($B4343,Sheet2!$J$5:$K$7,2,FALSE)*VLOOKUP(Sheet1!$A4343,Sheet2!$B$5:$H$29,3,FALSE),0)</x:f>
        <x:v>0</x:v>
      </x:c>
      <x:c r="E4343">
        <x:f>ROUND($C4343*10*VLOOKUP($B4343,Sheet2!$J$5:$K$7,2,FALSE)*VLOOKUP(Sheet1!$A4343,Sheet2!$B$5:$H$29,4,FALSE),0)</x:f>
        <x:v>0</x:v>
      </x:c>
      <x:c r="F4343">
        <x:f>ROUND($C4343*10*VLOOKUP($B4343,Sheet2!$J$5:$K$7,2,FALSE)*VLOOKUP(Sheet1!$A4343,Sheet2!$B$5:$H$29,5,FALSE),0)</x:f>
        <x:v>0</x:v>
      </x:c>
      <x:c r="G4343">
        <x:f>ROUND($C4343*10*VLOOKUP($B4343,Sheet2!$J$5:$K$7,2,FALSE)*VLOOKUP(Sheet1!$A4343,Sheet2!$B$5:$H$29,6,FALSE),0)</x:f>
        <x:v>0</x:v>
      </x:c>
      <x:c r="H4343">
        <x:f>ROUND($C4343*10*VLOOKUP($B4343,Sheet2!$J$5:$K$7,2,FALSE)*VLOOKUP(Sheet1!$A4343,Sheet2!$B$5:$H$29,7,FALSE),0)</x:f>
        <x:v>1100</x:v>
      </x:c>
      <x:c r="I4343">
        <x:f t="shared" si="72"/>
        <x:v>5210</x:v>
      </x:c>
    </x:row>
    <x:row r="4344" spans="1:9" x14ac:dyDescent="0.15">
      <x:c r="A4344">
        <x:v>54205</x:v>
      </x:c>
      <x:c r="B4344">
        <x:v>1</x:v>
      </x:c>
      <x:c r="C4344">
        <x:v>23</x:v>
      </x:c>
      <x:c r="D4344">
        <x:f>ROUND($C4344*10*VLOOKUP($B4344,Sheet2!$J$5:$K$7,2,FALSE)*VLOOKUP(Sheet1!$A4344,Sheet2!$B$5:$H$29,3,FALSE),0)</x:f>
        <x:v>0</x:v>
      </x:c>
      <x:c r="E4344">
        <x:f>ROUND($C4344*10*VLOOKUP($B4344,Sheet2!$J$5:$K$7,2,FALSE)*VLOOKUP(Sheet1!$A4344,Sheet2!$B$5:$H$29,4,FALSE),0)</x:f>
        <x:v>0</x:v>
      </x:c>
      <x:c r="F4344">
        <x:f>ROUND($C4344*10*VLOOKUP($B4344,Sheet2!$J$5:$K$7,2,FALSE)*VLOOKUP(Sheet1!$A4344,Sheet2!$B$5:$H$29,5,FALSE),0)</x:f>
        <x:v>0</x:v>
      </x:c>
      <x:c r="G4344">
        <x:f>ROUND($C4344*10*VLOOKUP($B4344,Sheet2!$J$5:$K$7,2,FALSE)*VLOOKUP(Sheet1!$A4344,Sheet2!$B$5:$H$29,6,FALSE),0)</x:f>
        <x:v>0</x:v>
      </x:c>
      <x:c r="H4344">
        <x:f>ROUND($C4344*10*VLOOKUP($B4344,Sheet2!$J$5:$K$7,2,FALSE)*VLOOKUP(Sheet1!$A4344,Sheet2!$B$5:$H$29,7,FALSE),0)</x:f>
        <x:v>1150</x:v>
      </x:c>
      <x:c r="I4344">
        <x:f t="shared" si="72"/>
        <x:v>5660</x:v>
      </x:c>
    </x:row>
    <x:row r="4345" spans="1:9" x14ac:dyDescent="0.15">
      <x:c r="A4345">
        <x:v>54205</x:v>
      </x:c>
      <x:c r="B4345">
        <x:v>1</x:v>
      </x:c>
      <x:c r="C4345">
        <x:v>24</x:v>
      </x:c>
      <x:c r="D4345">
        <x:f>ROUND($C4345*10*VLOOKUP($B4345,Sheet2!$J$5:$K$7,2,FALSE)*VLOOKUP(Sheet1!$A4345,Sheet2!$B$5:$H$29,3,FALSE),0)</x:f>
        <x:v>0</x:v>
      </x:c>
      <x:c r="E4345">
        <x:f>ROUND($C4345*10*VLOOKUP($B4345,Sheet2!$J$5:$K$7,2,FALSE)*VLOOKUP(Sheet1!$A4345,Sheet2!$B$5:$H$29,4,FALSE),0)</x:f>
        <x:v>0</x:v>
      </x:c>
      <x:c r="F4345">
        <x:f>ROUND($C4345*10*VLOOKUP($B4345,Sheet2!$J$5:$K$7,2,FALSE)*VLOOKUP(Sheet1!$A4345,Sheet2!$B$5:$H$29,5,FALSE),0)</x:f>
        <x:v>0</x:v>
      </x:c>
      <x:c r="G4345">
        <x:f>ROUND($C4345*10*VLOOKUP($B4345,Sheet2!$J$5:$K$7,2,FALSE)*VLOOKUP(Sheet1!$A4345,Sheet2!$B$5:$H$29,6,FALSE),0)</x:f>
        <x:v>0</x:v>
      </x:c>
      <x:c r="H4345">
        <x:f>ROUND($C4345*10*VLOOKUP($B4345,Sheet2!$J$5:$K$7,2,FALSE)*VLOOKUP(Sheet1!$A4345,Sheet2!$B$5:$H$29,7,FALSE),0)</x:f>
        <x:v>1200</x:v>
      </x:c>
      <x:c r="I4345">
        <x:f t="shared" si="72"/>
        <x:v>6130</x:v>
      </x:c>
    </x:row>
    <x:row r="4346" spans="1:9" x14ac:dyDescent="0.15">
      <x:c r="A4346">
        <x:v>54205</x:v>
      </x:c>
      <x:c r="B4346">
        <x:v>1</x:v>
      </x:c>
      <x:c r="C4346">
        <x:v>25</x:v>
      </x:c>
      <x:c r="D4346">
        <x:f>ROUND($C4346*10*VLOOKUP($B4346,Sheet2!$J$5:$K$7,2,FALSE)*VLOOKUP(Sheet1!$A4346,Sheet2!$B$5:$H$29,3,FALSE),0)</x:f>
        <x:v>0</x:v>
      </x:c>
      <x:c r="E4346">
        <x:f>ROUND($C4346*10*VLOOKUP($B4346,Sheet2!$J$5:$K$7,2,FALSE)*VLOOKUP(Sheet1!$A4346,Sheet2!$B$5:$H$29,4,FALSE),0)</x:f>
        <x:v>0</x:v>
      </x:c>
      <x:c r="F4346">
        <x:f>ROUND($C4346*10*VLOOKUP($B4346,Sheet2!$J$5:$K$7,2,FALSE)*VLOOKUP(Sheet1!$A4346,Sheet2!$B$5:$H$29,5,FALSE),0)</x:f>
        <x:v>0</x:v>
      </x:c>
      <x:c r="G4346">
        <x:f>ROUND($C4346*10*VLOOKUP($B4346,Sheet2!$J$5:$K$7,2,FALSE)*VLOOKUP(Sheet1!$A4346,Sheet2!$B$5:$H$29,6,FALSE),0)</x:f>
        <x:v>0</x:v>
      </x:c>
      <x:c r="H4346">
        <x:f>ROUND($C4346*10*VLOOKUP($B4346,Sheet2!$J$5:$K$7,2,FALSE)*VLOOKUP(Sheet1!$A4346,Sheet2!$B$5:$H$29,7,FALSE),0)</x:f>
        <x:v>1250</x:v>
      </x:c>
      <x:c r="I4346">
        <x:f t="shared" si="72"/>
        <x:v>6620</x:v>
      </x:c>
    </x:row>
    <x:row r="4347" spans="1:9" x14ac:dyDescent="0.15">
      <x:c r="A4347">
        <x:v>54205</x:v>
      </x:c>
      <x:c r="B4347">
        <x:v>1</x:v>
      </x:c>
      <x:c r="C4347">
        <x:v>26</x:v>
      </x:c>
      <x:c r="D4347">
        <x:f>ROUND($C4347*10*VLOOKUP($B4347,Sheet2!$J$5:$K$7,2,FALSE)*VLOOKUP(Sheet1!$A4347,Sheet2!$B$5:$H$29,3,FALSE),0)</x:f>
        <x:v>0</x:v>
      </x:c>
      <x:c r="E4347">
        <x:f>ROUND($C4347*10*VLOOKUP($B4347,Sheet2!$J$5:$K$7,2,FALSE)*VLOOKUP(Sheet1!$A4347,Sheet2!$B$5:$H$29,4,FALSE),0)</x:f>
        <x:v>0</x:v>
      </x:c>
      <x:c r="F4347">
        <x:f>ROUND($C4347*10*VLOOKUP($B4347,Sheet2!$J$5:$K$7,2,FALSE)*VLOOKUP(Sheet1!$A4347,Sheet2!$B$5:$H$29,5,FALSE),0)</x:f>
        <x:v>0</x:v>
      </x:c>
      <x:c r="G4347">
        <x:f>ROUND($C4347*10*VLOOKUP($B4347,Sheet2!$J$5:$K$7,2,FALSE)*VLOOKUP(Sheet1!$A4347,Sheet2!$B$5:$H$29,6,FALSE),0)</x:f>
        <x:v>0</x:v>
      </x:c>
      <x:c r="H4347">
        <x:f>ROUND($C4347*10*VLOOKUP($B4347,Sheet2!$J$5:$K$7,2,FALSE)*VLOOKUP(Sheet1!$A4347,Sheet2!$B$5:$H$29,7,FALSE),0)</x:f>
        <x:v>1300</x:v>
      </x:c>
      <x:c r="I4347">
        <x:f t="shared" si="72"/>
        <x:v>7120</x:v>
      </x:c>
    </x:row>
    <x:row r="4348" spans="1:9" x14ac:dyDescent="0.15">
      <x:c r="A4348">
        <x:v>54205</x:v>
      </x:c>
      <x:c r="B4348">
        <x:v>1</x:v>
      </x:c>
      <x:c r="C4348">
        <x:v>27</x:v>
      </x:c>
      <x:c r="D4348">
        <x:f>ROUND($C4348*10*VLOOKUP($B4348,Sheet2!$J$5:$K$7,2,FALSE)*VLOOKUP(Sheet1!$A4348,Sheet2!$B$5:$H$29,3,FALSE),0)</x:f>
        <x:v>0</x:v>
      </x:c>
      <x:c r="E4348">
        <x:f>ROUND($C4348*10*VLOOKUP($B4348,Sheet2!$J$5:$K$7,2,FALSE)*VLOOKUP(Sheet1!$A4348,Sheet2!$B$5:$H$29,4,FALSE),0)</x:f>
        <x:v>0</x:v>
      </x:c>
      <x:c r="F4348">
        <x:f>ROUND($C4348*10*VLOOKUP($B4348,Sheet2!$J$5:$K$7,2,FALSE)*VLOOKUP(Sheet1!$A4348,Sheet2!$B$5:$H$29,5,FALSE),0)</x:f>
        <x:v>0</x:v>
      </x:c>
      <x:c r="G4348">
        <x:f>ROUND($C4348*10*VLOOKUP($B4348,Sheet2!$J$5:$K$7,2,FALSE)*VLOOKUP(Sheet1!$A4348,Sheet2!$B$5:$H$29,6,FALSE),0)</x:f>
        <x:v>0</x:v>
      </x:c>
      <x:c r="H4348">
        <x:f>ROUND($C4348*10*VLOOKUP($B4348,Sheet2!$J$5:$K$7,2,FALSE)*VLOOKUP(Sheet1!$A4348,Sheet2!$B$5:$H$29,7,FALSE),0)</x:f>
        <x:v>1350</x:v>
      </x:c>
      <x:c r="I4348">
        <x:f t="shared" si="72"/>
        <x:v>7640</x:v>
      </x:c>
    </x:row>
    <x:row r="4349" spans="1:9" x14ac:dyDescent="0.15">
      <x:c r="A4349">
        <x:v>54205</x:v>
      </x:c>
      <x:c r="B4349">
        <x:v>1</x:v>
      </x:c>
      <x:c r="C4349">
        <x:v>28</x:v>
      </x:c>
      <x:c r="D4349">
        <x:f>ROUND($C4349*10*VLOOKUP($B4349,Sheet2!$J$5:$K$7,2,FALSE)*VLOOKUP(Sheet1!$A4349,Sheet2!$B$5:$H$29,3,FALSE),0)</x:f>
        <x:v>0</x:v>
      </x:c>
      <x:c r="E4349">
        <x:f>ROUND($C4349*10*VLOOKUP($B4349,Sheet2!$J$5:$K$7,2,FALSE)*VLOOKUP(Sheet1!$A4349,Sheet2!$B$5:$H$29,4,FALSE),0)</x:f>
        <x:v>0</x:v>
      </x:c>
      <x:c r="F4349">
        <x:f>ROUND($C4349*10*VLOOKUP($B4349,Sheet2!$J$5:$K$7,2,FALSE)*VLOOKUP(Sheet1!$A4349,Sheet2!$B$5:$H$29,5,FALSE),0)</x:f>
        <x:v>0</x:v>
      </x:c>
      <x:c r="G4349">
        <x:f>ROUND($C4349*10*VLOOKUP($B4349,Sheet2!$J$5:$K$7,2,FALSE)*VLOOKUP(Sheet1!$A4349,Sheet2!$B$5:$H$29,6,FALSE),0)</x:f>
        <x:v>0</x:v>
      </x:c>
      <x:c r="H4349">
        <x:f>ROUND($C4349*10*VLOOKUP($B4349,Sheet2!$J$5:$K$7,2,FALSE)*VLOOKUP(Sheet1!$A4349,Sheet2!$B$5:$H$29,7,FALSE),0)</x:f>
        <x:v>1400</x:v>
      </x:c>
      <x:c r="I4349">
        <x:f t="shared" si="72"/>
        <x:v>8180</x:v>
      </x:c>
    </x:row>
    <x:row r="4350" spans="1:9" x14ac:dyDescent="0.15">
      <x:c r="A4350">
        <x:v>54205</x:v>
      </x:c>
      <x:c r="B4350">
        <x:v>1</x:v>
      </x:c>
      <x:c r="C4350">
        <x:v>29</x:v>
      </x:c>
      <x:c r="D4350">
        <x:f>ROUND($C4350*10*VLOOKUP($B4350,Sheet2!$J$5:$K$7,2,FALSE)*VLOOKUP(Sheet1!$A4350,Sheet2!$B$5:$H$29,3,FALSE),0)</x:f>
        <x:v>0</x:v>
      </x:c>
      <x:c r="E4350">
        <x:f>ROUND($C4350*10*VLOOKUP($B4350,Sheet2!$J$5:$K$7,2,FALSE)*VLOOKUP(Sheet1!$A4350,Sheet2!$B$5:$H$29,4,FALSE),0)</x:f>
        <x:v>0</x:v>
      </x:c>
      <x:c r="F4350">
        <x:f>ROUND($C4350*10*VLOOKUP($B4350,Sheet2!$J$5:$K$7,2,FALSE)*VLOOKUP(Sheet1!$A4350,Sheet2!$B$5:$H$29,5,FALSE),0)</x:f>
        <x:v>0</x:v>
      </x:c>
      <x:c r="G4350">
        <x:f>ROUND($C4350*10*VLOOKUP($B4350,Sheet2!$J$5:$K$7,2,FALSE)*VLOOKUP(Sheet1!$A4350,Sheet2!$B$5:$H$29,6,FALSE),0)</x:f>
        <x:v>0</x:v>
      </x:c>
      <x:c r="H4350">
        <x:f>ROUND($C4350*10*VLOOKUP($B4350,Sheet2!$J$5:$K$7,2,FALSE)*VLOOKUP(Sheet1!$A4350,Sheet2!$B$5:$H$29,7,FALSE),0)</x:f>
        <x:v>1450</x:v>
      </x:c>
      <x:c r="I4350">
        <x:f t="shared" si="72"/>
        <x:v>8730</x:v>
      </x:c>
    </x:row>
    <x:row r="4351" spans="1:9" x14ac:dyDescent="0.15">
      <x:c r="A4351">
        <x:v>54205</x:v>
      </x:c>
      <x:c r="B4351">
        <x:v>1</x:v>
      </x:c>
      <x:c r="C4351">
        <x:v>30</x:v>
      </x:c>
      <x:c r="D4351">
        <x:f>ROUND($C4351*10*VLOOKUP($B4351,Sheet2!$J$5:$K$7,2,FALSE)*VLOOKUP(Sheet1!$A4351,Sheet2!$B$5:$H$29,3,FALSE),0)</x:f>
        <x:v>0</x:v>
      </x:c>
      <x:c r="E4351">
        <x:f>ROUND($C4351*10*VLOOKUP($B4351,Sheet2!$J$5:$K$7,2,FALSE)*VLOOKUP(Sheet1!$A4351,Sheet2!$B$5:$H$29,4,FALSE),0)</x:f>
        <x:v>0</x:v>
      </x:c>
      <x:c r="F4351">
        <x:f>ROUND($C4351*10*VLOOKUP($B4351,Sheet2!$J$5:$K$7,2,FALSE)*VLOOKUP(Sheet1!$A4351,Sheet2!$B$5:$H$29,5,FALSE),0)</x:f>
        <x:v>0</x:v>
      </x:c>
      <x:c r="G4351">
        <x:f>ROUND($C4351*10*VLOOKUP($B4351,Sheet2!$J$5:$K$7,2,FALSE)*VLOOKUP(Sheet1!$A4351,Sheet2!$B$5:$H$29,6,FALSE),0)</x:f>
        <x:v>0</x:v>
      </x:c>
      <x:c r="H4351">
        <x:f>ROUND($C4351*10*VLOOKUP($B4351,Sheet2!$J$5:$K$7,2,FALSE)*VLOOKUP(Sheet1!$A4351,Sheet2!$B$5:$H$29,7,FALSE),0)</x:f>
        <x:v>1500</x:v>
      </x:c>
      <x:c r="I4351">
        <x:f t="shared" si="72"/>
        <x:v>9290</x:v>
      </x:c>
    </x:row>
    <x:row r="4352" spans="1:9" x14ac:dyDescent="0.15">
      <x:c r="A4352">
        <x:v>54205</x:v>
      </x:c>
      <x:c r="B4352">
        <x:v>1</x:v>
      </x:c>
      <x:c r="C4352">
        <x:v>31</x:v>
      </x:c>
      <x:c r="D4352">
        <x:f>ROUND($C4352*10*VLOOKUP($B4352,Sheet2!$J$5:$K$7,2,FALSE)*VLOOKUP(Sheet1!$A4352,Sheet2!$B$5:$H$29,3,FALSE),0)</x:f>
        <x:v>0</x:v>
      </x:c>
      <x:c r="E4352">
        <x:f>ROUND($C4352*10*VLOOKUP($B4352,Sheet2!$J$5:$K$7,2,FALSE)*VLOOKUP(Sheet1!$A4352,Sheet2!$B$5:$H$29,4,FALSE),0)</x:f>
        <x:v>0</x:v>
      </x:c>
      <x:c r="F4352">
        <x:f>ROUND($C4352*10*VLOOKUP($B4352,Sheet2!$J$5:$K$7,2,FALSE)*VLOOKUP(Sheet1!$A4352,Sheet2!$B$5:$H$29,5,FALSE),0)</x:f>
        <x:v>0</x:v>
      </x:c>
      <x:c r="G4352">
        <x:f>ROUND($C4352*10*VLOOKUP($B4352,Sheet2!$J$5:$K$7,2,FALSE)*VLOOKUP(Sheet1!$A4352,Sheet2!$B$5:$H$29,6,FALSE),0)</x:f>
        <x:v>0</x:v>
      </x:c>
      <x:c r="H4352">
        <x:f>ROUND($C4352*10*VLOOKUP($B4352,Sheet2!$J$5:$K$7,2,FALSE)*VLOOKUP(Sheet1!$A4352,Sheet2!$B$5:$H$29,7,FALSE),0)</x:f>
        <x:v>1550</x:v>
      </x:c>
      <x:c r="I4352">
        <x:f t="shared" si="72"/>
        <x:v>9880</x:v>
      </x:c>
    </x:row>
    <x:row r="4353" spans="1:9" x14ac:dyDescent="0.15">
      <x:c r="A4353">
        <x:v>54205</x:v>
      </x:c>
      <x:c r="B4353">
        <x:v>1</x:v>
      </x:c>
      <x:c r="C4353">
        <x:v>32</x:v>
      </x:c>
      <x:c r="D4353">
        <x:f>ROUND($C4353*10*VLOOKUP($B4353,Sheet2!$J$5:$K$7,2,FALSE)*VLOOKUP(Sheet1!$A4353,Sheet2!$B$5:$H$29,3,FALSE),0)</x:f>
        <x:v>0</x:v>
      </x:c>
      <x:c r="E4353">
        <x:f>ROUND($C4353*10*VLOOKUP($B4353,Sheet2!$J$5:$K$7,2,FALSE)*VLOOKUP(Sheet1!$A4353,Sheet2!$B$5:$H$29,4,FALSE),0)</x:f>
        <x:v>0</x:v>
      </x:c>
      <x:c r="F4353">
        <x:f>ROUND($C4353*10*VLOOKUP($B4353,Sheet2!$J$5:$K$7,2,FALSE)*VLOOKUP(Sheet1!$A4353,Sheet2!$B$5:$H$29,5,FALSE),0)</x:f>
        <x:v>0</x:v>
      </x:c>
      <x:c r="G4353">
        <x:f>ROUND($C4353*10*VLOOKUP($B4353,Sheet2!$J$5:$K$7,2,FALSE)*VLOOKUP(Sheet1!$A4353,Sheet2!$B$5:$H$29,6,FALSE),0)</x:f>
        <x:v>0</x:v>
      </x:c>
      <x:c r="H4353">
        <x:f>ROUND($C4353*10*VLOOKUP($B4353,Sheet2!$J$5:$K$7,2,FALSE)*VLOOKUP(Sheet1!$A4353,Sheet2!$B$5:$H$29,7,FALSE),0)</x:f>
        <x:v>1600</x:v>
      </x:c>
      <x:c r="I4353">
        <x:f t="shared" si="72"/>
        <x:v>10470</x:v>
      </x:c>
    </x:row>
    <x:row r="4354" spans="1:9" x14ac:dyDescent="0.15">
      <x:c r="A4354">
        <x:v>54205</x:v>
      </x:c>
      <x:c r="B4354">
        <x:v>1</x:v>
      </x:c>
      <x:c r="C4354">
        <x:v>33</x:v>
      </x:c>
      <x:c r="D4354">
        <x:f>ROUND($C4354*10*VLOOKUP($B4354,Sheet2!$J$5:$K$7,2,FALSE)*VLOOKUP(Sheet1!$A4354,Sheet2!$B$5:$H$29,3,FALSE),0)</x:f>
        <x:v>0</x:v>
      </x:c>
      <x:c r="E4354">
        <x:f>ROUND($C4354*10*VLOOKUP($B4354,Sheet2!$J$5:$K$7,2,FALSE)*VLOOKUP(Sheet1!$A4354,Sheet2!$B$5:$H$29,4,FALSE),0)</x:f>
        <x:v>0</x:v>
      </x:c>
      <x:c r="F4354">
        <x:f>ROUND($C4354*10*VLOOKUP($B4354,Sheet2!$J$5:$K$7,2,FALSE)*VLOOKUP(Sheet1!$A4354,Sheet2!$B$5:$H$29,5,FALSE),0)</x:f>
        <x:v>0</x:v>
      </x:c>
      <x:c r="G4354">
        <x:f>ROUND($C4354*10*VLOOKUP($B4354,Sheet2!$J$5:$K$7,2,FALSE)*VLOOKUP(Sheet1!$A4354,Sheet2!$B$5:$H$29,6,FALSE),0)</x:f>
        <x:v>0</x:v>
      </x:c>
      <x:c r="H4354">
        <x:f>ROUND($C4354*10*VLOOKUP($B4354,Sheet2!$J$5:$K$7,2,FALSE)*VLOOKUP(Sheet1!$A4354,Sheet2!$B$5:$H$29,7,FALSE),0)</x:f>
        <x:v>1650</x:v>
      </x:c>
      <x:c r="I4354">
        <x:f t="shared" si="72"/>
        <x:v>11090</x:v>
      </x:c>
    </x:row>
    <x:row r="4355" spans="1:9" x14ac:dyDescent="0.15">
      <x:c r="A4355">
        <x:v>54205</x:v>
      </x:c>
      <x:c r="B4355">
        <x:v>1</x:v>
      </x:c>
      <x:c r="C4355">
        <x:v>34</x:v>
      </x:c>
      <x:c r="D4355">
        <x:f>ROUND($C4355*10*VLOOKUP($B4355,Sheet2!$J$5:$K$7,2,FALSE)*VLOOKUP(Sheet1!$A4355,Sheet2!$B$5:$H$29,3,FALSE),0)</x:f>
        <x:v>0</x:v>
      </x:c>
      <x:c r="E4355">
        <x:f>ROUND($C4355*10*VLOOKUP($B4355,Sheet2!$J$5:$K$7,2,FALSE)*VLOOKUP(Sheet1!$A4355,Sheet2!$B$5:$H$29,4,FALSE),0)</x:f>
        <x:v>0</x:v>
      </x:c>
      <x:c r="F4355">
        <x:f>ROUND($C4355*10*VLOOKUP($B4355,Sheet2!$J$5:$K$7,2,FALSE)*VLOOKUP(Sheet1!$A4355,Sheet2!$B$5:$H$29,5,FALSE),0)</x:f>
        <x:v>0</x:v>
      </x:c>
      <x:c r="G4355">
        <x:f>ROUND($C4355*10*VLOOKUP($B4355,Sheet2!$J$5:$K$7,2,FALSE)*VLOOKUP(Sheet1!$A4355,Sheet2!$B$5:$H$29,6,FALSE),0)</x:f>
        <x:v>0</x:v>
      </x:c>
      <x:c r="H4355">
        <x:f>ROUND($C4355*10*VLOOKUP($B4355,Sheet2!$J$5:$K$7,2,FALSE)*VLOOKUP(Sheet1!$A4355,Sheet2!$B$5:$H$29,7,FALSE),0)</x:f>
        <x:v>1700</x:v>
      </x:c>
      <x:c r="I4355">
        <x:f t="shared" si="72"/>
        <x:v>11720</x:v>
      </x:c>
    </x:row>
    <x:row r="4356" spans="1:9" x14ac:dyDescent="0.15">
      <x:c r="A4356">
        <x:v>54205</x:v>
      </x:c>
      <x:c r="B4356">
        <x:v>1</x:v>
      </x:c>
      <x:c r="C4356">
        <x:v>35</x:v>
      </x:c>
      <x:c r="D4356">
        <x:f>ROUND($C4356*10*VLOOKUP($B4356,Sheet2!$J$5:$K$7,2,FALSE)*VLOOKUP(Sheet1!$A4356,Sheet2!$B$5:$H$29,3,FALSE),0)</x:f>
        <x:v>0</x:v>
      </x:c>
      <x:c r="E4356">
        <x:f>ROUND($C4356*10*VLOOKUP($B4356,Sheet2!$J$5:$K$7,2,FALSE)*VLOOKUP(Sheet1!$A4356,Sheet2!$B$5:$H$29,4,FALSE),0)</x:f>
        <x:v>0</x:v>
      </x:c>
      <x:c r="F4356">
        <x:f>ROUND($C4356*10*VLOOKUP($B4356,Sheet2!$J$5:$K$7,2,FALSE)*VLOOKUP(Sheet1!$A4356,Sheet2!$B$5:$H$29,5,FALSE),0)</x:f>
        <x:v>0</x:v>
      </x:c>
      <x:c r="G4356">
        <x:f>ROUND($C4356*10*VLOOKUP($B4356,Sheet2!$J$5:$K$7,2,FALSE)*VLOOKUP(Sheet1!$A4356,Sheet2!$B$5:$H$29,6,FALSE),0)</x:f>
        <x:v>0</x:v>
      </x:c>
      <x:c r="H4356">
        <x:f>ROUND($C4356*10*VLOOKUP($B4356,Sheet2!$J$5:$K$7,2,FALSE)*VLOOKUP(Sheet1!$A4356,Sheet2!$B$5:$H$29,7,FALSE),0)</x:f>
        <x:v>1750</x:v>
      </x:c>
      <x:c r="I4356">
        <x:f t="shared" si="72"/>
        <x:v>12360</x:v>
      </x:c>
    </x:row>
    <x:row r="4357" spans="1:9" x14ac:dyDescent="0.15">
      <x:c r="A4357">
        <x:v>54205</x:v>
      </x:c>
      <x:c r="B4357">
        <x:v>1</x:v>
      </x:c>
      <x:c r="C4357">
        <x:v>36</x:v>
      </x:c>
      <x:c r="D4357">
        <x:f>ROUND($C4357*10*VLOOKUP($B4357,Sheet2!$J$5:$K$7,2,FALSE)*VLOOKUP(Sheet1!$A4357,Sheet2!$B$5:$H$29,3,FALSE),0)</x:f>
        <x:v>0</x:v>
      </x:c>
      <x:c r="E4357">
        <x:f>ROUND($C4357*10*VLOOKUP($B4357,Sheet2!$J$5:$K$7,2,FALSE)*VLOOKUP(Sheet1!$A4357,Sheet2!$B$5:$H$29,4,FALSE),0)</x:f>
        <x:v>0</x:v>
      </x:c>
      <x:c r="F4357">
        <x:f>ROUND($C4357*10*VLOOKUP($B4357,Sheet2!$J$5:$K$7,2,FALSE)*VLOOKUP(Sheet1!$A4357,Sheet2!$B$5:$H$29,5,FALSE),0)</x:f>
        <x:v>0</x:v>
      </x:c>
      <x:c r="G4357">
        <x:f>ROUND($C4357*10*VLOOKUP($B4357,Sheet2!$J$5:$K$7,2,FALSE)*VLOOKUP(Sheet1!$A4357,Sheet2!$B$5:$H$29,6,FALSE),0)</x:f>
        <x:v>0</x:v>
      </x:c>
      <x:c r="H4357">
        <x:f>ROUND($C4357*10*VLOOKUP($B4357,Sheet2!$J$5:$K$7,2,FALSE)*VLOOKUP(Sheet1!$A4357,Sheet2!$B$5:$H$29,7,FALSE),0)</x:f>
        <x:v>1800</x:v>
      </x:c>
      <x:c r="I4357">
        <x:f t="shared" si="72"/>
        <x:v>13020</x:v>
      </x:c>
    </x:row>
    <x:row r="4358" spans="1:9" x14ac:dyDescent="0.15">
      <x:c r="A4358">
        <x:v>54205</x:v>
      </x:c>
      <x:c r="B4358">
        <x:v>1</x:v>
      </x:c>
      <x:c r="C4358">
        <x:v>37</x:v>
      </x:c>
      <x:c r="D4358">
        <x:f>ROUND($C4358*10*VLOOKUP($B4358,Sheet2!$J$5:$K$7,2,FALSE)*VLOOKUP(Sheet1!$A4358,Sheet2!$B$5:$H$29,3,FALSE),0)</x:f>
        <x:v>0</x:v>
      </x:c>
      <x:c r="E4358">
        <x:f>ROUND($C4358*10*VLOOKUP($B4358,Sheet2!$J$5:$K$7,2,FALSE)*VLOOKUP(Sheet1!$A4358,Sheet2!$B$5:$H$29,4,FALSE),0)</x:f>
        <x:v>0</x:v>
      </x:c>
      <x:c r="F4358">
        <x:f>ROUND($C4358*10*VLOOKUP($B4358,Sheet2!$J$5:$K$7,2,FALSE)*VLOOKUP(Sheet1!$A4358,Sheet2!$B$5:$H$29,5,FALSE),0)</x:f>
        <x:v>0</x:v>
      </x:c>
      <x:c r="G4358">
        <x:f>ROUND($C4358*10*VLOOKUP($B4358,Sheet2!$J$5:$K$7,2,FALSE)*VLOOKUP(Sheet1!$A4358,Sheet2!$B$5:$H$29,6,FALSE),0)</x:f>
        <x:v>0</x:v>
      </x:c>
      <x:c r="H4358">
        <x:f>ROUND($C4358*10*VLOOKUP($B4358,Sheet2!$J$5:$K$7,2,FALSE)*VLOOKUP(Sheet1!$A4358,Sheet2!$B$5:$H$29,7,FALSE),0)</x:f>
        <x:v>1850</x:v>
      </x:c>
      <x:c r="I4358">
        <x:f t="shared" si="72"/>
        <x:v>13700</x:v>
      </x:c>
    </x:row>
    <x:row r="4359" spans="1:9" x14ac:dyDescent="0.15">
      <x:c r="A4359">
        <x:v>54205</x:v>
      </x:c>
      <x:c r="B4359">
        <x:v>1</x:v>
      </x:c>
      <x:c r="C4359">
        <x:v>38</x:v>
      </x:c>
      <x:c r="D4359">
        <x:f>ROUND($C4359*10*VLOOKUP($B4359,Sheet2!$J$5:$K$7,2,FALSE)*VLOOKUP(Sheet1!$A4359,Sheet2!$B$5:$H$29,3,FALSE),0)</x:f>
        <x:v>0</x:v>
      </x:c>
      <x:c r="E4359">
        <x:f>ROUND($C4359*10*VLOOKUP($B4359,Sheet2!$J$5:$K$7,2,FALSE)*VLOOKUP(Sheet1!$A4359,Sheet2!$B$5:$H$29,4,FALSE),0)</x:f>
        <x:v>0</x:v>
      </x:c>
      <x:c r="F4359">
        <x:f>ROUND($C4359*10*VLOOKUP($B4359,Sheet2!$J$5:$K$7,2,FALSE)*VLOOKUP(Sheet1!$A4359,Sheet2!$B$5:$H$29,5,FALSE),0)</x:f>
        <x:v>0</x:v>
      </x:c>
      <x:c r="G4359">
        <x:f>ROUND($C4359*10*VLOOKUP($B4359,Sheet2!$J$5:$K$7,2,FALSE)*VLOOKUP(Sheet1!$A4359,Sheet2!$B$5:$H$29,6,FALSE),0)</x:f>
        <x:v>0</x:v>
      </x:c>
      <x:c r="H4359">
        <x:f>ROUND($C4359*10*VLOOKUP($B4359,Sheet2!$J$5:$K$7,2,FALSE)*VLOOKUP(Sheet1!$A4359,Sheet2!$B$5:$H$29,7,FALSE),0)</x:f>
        <x:v>1900</x:v>
      </x:c>
      <x:c r="I4359">
        <x:f t="shared" si="72"/>
        <x:v>14390</x:v>
      </x:c>
    </x:row>
    <x:row r="4360" spans="1:9" x14ac:dyDescent="0.15">
      <x:c r="A4360">
        <x:v>54205</x:v>
      </x:c>
      <x:c r="B4360">
        <x:v>1</x:v>
      </x:c>
      <x:c r="C4360">
        <x:v>39</x:v>
      </x:c>
      <x:c r="D4360">
        <x:f>ROUND($C4360*10*VLOOKUP($B4360,Sheet2!$J$5:$K$7,2,FALSE)*VLOOKUP(Sheet1!$A4360,Sheet2!$B$5:$H$29,3,FALSE),0)</x:f>
        <x:v>0</x:v>
      </x:c>
      <x:c r="E4360">
        <x:f>ROUND($C4360*10*VLOOKUP($B4360,Sheet2!$J$5:$K$7,2,FALSE)*VLOOKUP(Sheet1!$A4360,Sheet2!$B$5:$H$29,4,FALSE),0)</x:f>
        <x:v>0</x:v>
      </x:c>
      <x:c r="F4360">
        <x:f>ROUND($C4360*10*VLOOKUP($B4360,Sheet2!$J$5:$K$7,2,FALSE)*VLOOKUP(Sheet1!$A4360,Sheet2!$B$5:$H$29,5,FALSE),0)</x:f>
        <x:v>0</x:v>
      </x:c>
      <x:c r="G4360">
        <x:f>ROUND($C4360*10*VLOOKUP($B4360,Sheet2!$J$5:$K$7,2,FALSE)*VLOOKUP(Sheet1!$A4360,Sheet2!$B$5:$H$29,6,FALSE),0)</x:f>
        <x:v>0</x:v>
      </x:c>
      <x:c r="H4360">
        <x:f>ROUND($C4360*10*VLOOKUP($B4360,Sheet2!$J$5:$K$7,2,FALSE)*VLOOKUP(Sheet1!$A4360,Sheet2!$B$5:$H$29,7,FALSE),0)</x:f>
        <x:v>1950</x:v>
      </x:c>
      <x:c r="I4360">
        <x:f t="shared" si="72"/>
        <x:v>15100</x:v>
      </x:c>
    </x:row>
    <x:row r="4361" spans="1:9" x14ac:dyDescent="0.15">
      <x:c r="A4361">
        <x:v>54205</x:v>
      </x:c>
      <x:c r="B4361">
        <x:v>1</x:v>
      </x:c>
      <x:c r="C4361">
        <x:v>40</x:v>
      </x:c>
      <x:c r="D4361">
        <x:f>ROUND($C4361*10*VLOOKUP($B4361,Sheet2!$J$5:$K$7,2,FALSE)*VLOOKUP(Sheet1!$A4361,Sheet2!$B$5:$H$29,3,FALSE),0)</x:f>
        <x:v>0</x:v>
      </x:c>
      <x:c r="E4361">
        <x:f>ROUND($C4361*10*VLOOKUP($B4361,Sheet2!$J$5:$K$7,2,FALSE)*VLOOKUP(Sheet1!$A4361,Sheet2!$B$5:$H$29,4,FALSE),0)</x:f>
        <x:v>0</x:v>
      </x:c>
      <x:c r="F4361">
        <x:f>ROUND($C4361*10*VLOOKUP($B4361,Sheet2!$J$5:$K$7,2,FALSE)*VLOOKUP(Sheet1!$A4361,Sheet2!$B$5:$H$29,5,FALSE),0)</x:f>
        <x:v>0</x:v>
      </x:c>
      <x:c r="G4361">
        <x:f>ROUND($C4361*10*VLOOKUP($B4361,Sheet2!$J$5:$K$7,2,FALSE)*VLOOKUP(Sheet1!$A4361,Sheet2!$B$5:$H$29,6,FALSE),0)</x:f>
        <x:v>0</x:v>
      </x:c>
      <x:c r="H4361">
        <x:f>ROUND($C4361*10*VLOOKUP($B4361,Sheet2!$J$5:$K$7,2,FALSE)*VLOOKUP(Sheet1!$A4361,Sheet2!$B$5:$H$29,7,FALSE),0)</x:f>
        <x:v>2000</x:v>
      </x:c>
      <x:c r="I4361">
        <x:f t="shared" si="72"/>
        <x:v>15820</x:v>
      </x:c>
    </x:row>
    <x:row r="4362" spans="1:9" x14ac:dyDescent="0.15">
      <x:c r="A4362">
        <x:v>54205</x:v>
      </x:c>
      <x:c r="B4362">
        <x:v>1</x:v>
      </x:c>
      <x:c r="C4362">
        <x:v>41</x:v>
      </x:c>
      <x:c r="D4362">
        <x:f>ROUND($C4362*10*VLOOKUP($B4362,Sheet2!$J$5:$K$7,2,FALSE)*VLOOKUP(Sheet1!$A4362,Sheet2!$B$5:$H$29,3,FALSE),0)</x:f>
        <x:v>0</x:v>
      </x:c>
      <x:c r="E4362">
        <x:f>ROUND($C4362*10*VLOOKUP($B4362,Sheet2!$J$5:$K$7,2,FALSE)*VLOOKUP(Sheet1!$A4362,Sheet2!$B$5:$H$29,4,FALSE),0)</x:f>
        <x:v>0</x:v>
      </x:c>
      <x:c r="F4362">
        <x:f>ROUND($C4362*10*VLOOKUP($B4362,Sheet2!$J$5:$K$7,2,FALSE)*VLOOKUP(Sheet1!$A4362,Sheet2!$B$5:$H$29,5,FALSE),0)</x:f>
        <x:v>0</x:v>
      </x:c>
      <x:c r="G4362">
        <x:f>ROUND($C4362*10*VLOOKUP($B4362,Sheet2!$J$5:$K$7,2,FALSE)*VLOOKUP(Sheet1!$A4362,Sheet2!$B$5:$H$29,6,FALSE),0)</x:f>
        <x:v>0</x:v>
      </x:c>
      <x:c r="H4362">
        <x:f>ROUND($C4362*10*VLOOKUP($B4362,Sheet2!$J$5:$K$7,2,FALSE)*VLOOKUP(Sheet1!$A4362,Sheet2!$B$5:$H$29,7,FALSE),0)</x:f>
        <x:v>2050</x:v>
      </x:c>
      <x:c r="I4362">
        <x:f t="shared" si="72"/>
        <x:v>16560</x:v>
      </x:c>
    </x:row>
    <x:row r="4363" spans="1:9" x14ac:dyDescent="0.15">
      <x:c r="A4363">
        <x:v>54205</x:v>
      </x:c>
      <x:c r="B4363">
        <x:v>1</x:v>
      </x:c>
      <x:c r="C4363">
        <x:v>42</x:v>
      </x:c>
      <x:c r="D4363">
        <x:f>ROUND($C4363*10*VLOOKUP($B4363,Sheet2!$J$5:$K$7,2,FALSE)*VLOOKUP(Sheet1!$A4363,Sheet2!$B$5:$H$29,3,FALSE),0)</x:f>
        <x:v>0</x:v>
      </x:c>
      <x:c r="E4363">
        <x:f>ROUND($C4363*10*VLOOKUP($B4363,Sheet2!$J$5:$K$7,2,FALSE)*VLOOKUP(Sheet1!$A4363,Sheet2!$B$5:$H$29,4,FALSE),0)</x:f>
        <x:v>0</x:v>
      </x:c>
      <x:c r="F4363">
        <x:f>ROUND($C4363*10*VLOOKUP($B4363,Sheet2!$J$5:$K$7,2,FALSE)*VLOOKUP(Sheet1!$A4363,Sheet2!$B$5:$H$29,5,FALSE),0)</x:f>
        <x:v>0</x:v>
      </x:c>
      <x:c r="G4363">
        <x:f>ROUND($C4363*10*VLOOKUP($B4363,Sheet2!$J$5:$K$7,2,FALSE)*VLOOKUP(Sheet1!$A4363,Sheet2!$B$5:$H$29,6,FALSE),0)</x:f>
        <x:v>0</x:v>
      </x:c>
      <x:c r="H4363">
        <x:f>ROUND($C4363*10*VLOOKUP($B4363,Sheet2!$J$5:$K$7,2,FALSE)*VLOOKUP(Sheet1!$A4363,Sheet2!$B$5:$H$29,7,FALSE),0)</x:f>
        <x:v>2100</x:v>
      </x:c>
      <x:c r="I4363">
        <x:f t="shared" si="72"/>
        <x:v>17310</x:v>
      </x:c>
    </x:row>
    <x:row r="4364" spans="1:9" x14ac:dyDescent="0.15">
      <x:c r="A4364">
        <x:v>54205</x:v>
      </x:c>
      <x:c r="B4364">
        <x:v>1</x:v>
      </x:c>
      <x:c r="C4364">
        <x:v>43</x:v>
      </x:c>
      <x:c r="D4364">
        <x:f>ROUND($C4364*10*VLOOKUP($B4364,Sheet2!$J$5:$K$7,2,FALSE)*VLOOKUP(Sheet1!$A4364,Sheet2!$B$5:$H$29,3,FALSE),0)</x:f>
        <x:v>0</x:v>
      </x:c>
      <x:c r="E4364">
        <x:f>ROUND($C4364*10*VLOOKUP($B4364,Sheet2!$J$5:$K$7,2,FALSE)*VLOOKUP(Sheet1!$A4364,Sheet2!$B$5:$H$29,4,FALSE),0)</x:f>
        <x:v>0</x:v>
      </x:c>
      <x:c r="F4364">
        <x:f>ROUND($C4364*10*VLOOKUP($B4364,Sheet2!$J$5:$K$7,2,FALSE)*VLOOKUP(Sheet1!$A4364,Sheet2!$B$5:$H$29,5,FALSE),0)</x:f>
        <x:v>0</x:v>
      </x:c>
      <x:c r="G4364">
        <x:f>ROUND($C4364*10*VLOOKUP($B4364,Sheet2!$J$5:$K$7,2,FALSE)*VLOOKUP(Sheet1!$A4364,Sheet2!$B$5:$H$29,6,FALSE),0)</x:f>
        <x:v>0</x:v>
      </x:c>
      <x:c r="H4364">
        <x:f>ROUND($C4364*10*VLOOKUP($B4364,Sheet2!$J$5:$K$7,2,FALSE)*VLOOKUP(Sheet1!$A4364,Sheet2!$B$5:$H$29,7,FALSE),0)</x:f>
        <x:v>2150</x:v>
      </x:c>
      <x:c r="I4364">
        <x:f t="shared" si="72"/>
        <x:v>18070</x:v>
      </x:c>
    </x:row>
    <x:row r="4365" spans="1:9" x14ac:dyDescent="0.15">
      <x:c r="A4365">
        <x:v>54205</x:v>
      </x:c>
      <x:c r="B4365">
        <x:v>1</x:v>
      </x:c>
      <x:c r="C4365">
        <x:v>44</x:v>
      </x:c>
      <x:c r="D4365">
        <x:f>ROUND($C4365*10*VLOOKUP($B4365,Sheet2!$J$5:$K$7,2,FALSE)*VLOOKUP(Sheet1!$A4365,Sheet2!$B$5:$H$29,3,FALSE),0)</x:f>
        <x:v>0</x:v>
      </x:c>
      <x:c r="E4365">
        <x:f>ROUND($C4365*10*VLOOKUP($B4365,Sheet2!$J$5:$K$7,2,FALSE)*VLOOKUP(Sheet1!$A4365,Sheet2!$B$5:$H$29,4,FALSE),0)</x:f>
        <x:v>0</x:v>
      </x:c>
      <x:c r="F4365">
        <x:f>ROUND($C4365*10*VLOOKUP($B4365,Sheet2!$J$5:$K$7,2,FALSE)*VLOOKUP(Sheet1!$A4365,Sheet2!$B$5:$H$29,5,FALSE),0)</x:f>
        <x:v>0</x:v>
      </x:c>
      <x:c r="G4365">
        <x:f>ROUND($C4365*10*VLOOKUP($B4365,Sheet2!$J$5:$K$7,2,FALSE)*VLOOKUP(Sheet1!$A4365,Sheet2!$B$5:$H$29,6,FALSE),0)</x:f>
        <x:v>0</x:v>
      </x:c>
      <x:c r="H4365">
        <x:f>ROUND($C4365*10*VLOOKUP($B4365,Sheet2!$J$5:$K$7,2,FALSE)*VLOOKUP(Sheet1!$A4365,Sheet2!$B$5:$H$29,7,FALSE),0)</x:f>
        <x:v>2200</x:v>
      </x:c>
      <x:c r="I4365">
        <x:f t="shared" si="72"/>
        <x:v>18850</x:v>
      </x:c>
    </x:row>
    <x:row r="4366" spans="1:9" x14ac:dyDescent="0.15">
      <x:c r="A4366">
        <x:v>54205</x:v>
      </x:c>
      <x:c r="B4366">
        <x:v>1</x:v>
      </x:c>
      <x:c r="C4366">
        <x:v>45</x:v>
      </x:c>
      <x:c r="D4366">
        <x:f>ROUND($C4366*10*VLOOKUP($B4366,Sheet2!$J$5:$K$7,2,FALSE)*VLOOKUP(Sheet1!$A4366,Sheet2!$B$5:$H$29,3,FALSE),0)</x:f>
        <x:v>0</x:v>
      </x:c>
      <x:c r="E4366">
        <x:f>ROUND($C4366*10*VLOOKUP($B4366,Sheet2!$J$5:$K$7,2,FALSE)*VLOOKUP(Sheet1!$A4366,Sheet2!$B$5:$H$29,4,FALSE),0)</x:f>
        <x:v>0</x:v>
      </x:c>
      <x:c r="F4366">
        <x:f>ROUND($C4366*10*VLOOKUP($B4366,Sheet2!$J$5:$K$7,2,FALSE)*VLOOKUP(Sheet1!$A4366,Sheet2!$B$5:$H$29,5,FALSE),0)</x:f>
        <x:v>0</x:v>
      </x:c>
      <x:c r="G4366">
        <x:f>ROUND($C4366*10*VLOOKUP($B4366,Sheet2!$J$5:$K$7,2,FALSE)*VLOOKUP(Sheet1!$A4366,Sheet2!$B$5:$H$29,6,FALSE),0)</x:f>
        <x:v>0</x:v>
      </x:c>
      <x:c r="H4366">
        <x:f>ROUND($C4366*10*VLOOKUP($B4366,Sheet2!$J$5:$K$7,2,FALSE)*VLOOKUP(Sheet1!$A4366,Sheet2!$B$5:$H$29,7,FALSE),0)</x:f>
        <x:v>2250</x:v>
      </x:c>
      <x:c r="I4366">
        <x:f t="shared" si="72"/>
        <x:v>19650</x:v>
      </x:c>
    </x:row>
    <x:row r="4367" spans="1:9" x14ac:dyDescent="0.15">
      <x:c r="A4367">
        <x:v>54205</x:v>
      </x:c>
      <x:c r="B4367">
        <x:v>1</x:v>
      </x:c>
      <x:c r="C4367">
        <x:v>46</x:v>
      </x:c>
      <x:c r="D4367">
        <x:f>ROUND($C4367*10*VLOOKUP($B4367,Sheet2!$J$5:$K$7,2,FALSE)*VLOOKUP(Sheet1!$A4367,Sheet2!$B$5:$H$29,3,FALSE),0)</x:f>
        <x:v>0</x:v>
      </x:c>
      <x:c r="E4367">
        <x:f>ROUND($C4367*10*VLOOKUP($B4367,Sheet2!$J$5:$K$7,2,FALSE)*VLOOKUP(Sheet1!$A4367,Sheet2!$B$5:$H$29,4,FALSE),0)</x:f>
        <x:v>0</x:v>
      </x:c>
      <x:c r="F4367">
        <x:f>ROUND($C4367*10*VLOOKUP($B4367,Sheet2!$J$5:$K$7,2,FALSE)*VLOOKUP(Sheet1!$A4367,Sheet2!$B$5:$H$29,5,FALSE),0)</x:f>
        <x:v>0</x:v>
      </x:c>
      <x:c r="G4367">
        <x:f>ROUND($C4367*10*VLOOKUP($B4367,Sheet2!$J$5:$K$7,2,FALSE)*VLOOKUP(Sheet1!$A4367,Sheet2!$B$5:$H$29,6,FALSE),0)</x:f>
        <x:v>0</x:v>
      </x:c>
      <x:c r="H4367">
        <x:f>ROUND($C4367*10*VLOOKUP($B4367,Sheet2!$J$5:$K$7,2,FALSE)*VLOOKUP(Sheet1!$A4367,Sheet2!$B$5:$H$29,7,FALSE),0)</x:f>
        <x:v>2300</x:v>
      </x:c>
      <x:c r="I4367">
        <x:f t="shared" si="72"/>
        <x:v>20460</x:v>
      </x:c>
    </x:row>
    <x:row r="4368" spans="1:9" x14ac:dyDescent="0.15">
      <x:c r="A4368">
        <x:v>54205</x:v>
      </x:c>
      <x:c r="B4368">
        <x:v>1</x:v>
      </x:c>
      <x:c r="C4368">
        <x:v>47</x:v>
      </x:c>
      <x:c r="D4368">
        <x:f>ROUND($C4368*10*VLOOKUP($B4368,Sheet2!$J$5:$K$7,2,FALSE)*VLOOKUP(Sheet1!$A4368,Sheet2!$B$5:$H$29,3,FALSE),0)</x:f>
        <x:v>0</x:v>
      </x:c>
      <x:c r="E4368">
        <x:f>ROUND($C4368*10*VLOOKUP($B4368,Sheet2!$J$5:$K$7,2,FALSE)*VLOOKUP(Sheet1!$A4368,Sheet2!$B$5:$H$29,4,FALSE),0)</x:f>
        <x:v>0</x:v>
      </x:c>
      <x:c r="F4368">
        <x:f>ROUND($C4368*10*VLOOKUP($B4368,Sheet2!$J$5:$K$7,2,FALSE)*VLOOKUP(Sheet1!$A4368,Sheet2!$B$5:$H$29,5,FALSE),0)</x:f>
        <x:v>0</x:v>
      </x:c>
      <x:c r="G4368">
        <x:f>ROUND($C4368*10*VLOOKUP($B4368,Sheet2!$J$5:$K$7,2,FALSE)*VLOOKUP(Sheet1!$A4368,Sheet2!$B$5:$H$29,6,FALSE),0)</x:f>
        <x:v>0</x:v>
      </x:c>
      <x:c r="H4368">
        <x:f>ROUND($C4368*10*VLOOKUP($B4368,Sheet2!$J$5:$K$7,2,FALSE)*VLOOKUP(Sheet1!$A4368,Sheet2!$B$5:$H$29,7,FALSE),0)</x:f>
        <x:v>2350</x:v>
      </x:c>
      <x:c r="I4368">
        <x:f t="shared" si="72"/>
        <x:v>21280</x:v>
      </x:c>
    </x:row>
    <x:row r="4369" spans="1:9" x14ac:dyDescent="0.15">
      <x:c r="A4369">
        <x:v>54205</x:v>
      </x:c>
      <x:c r="B4369">
        <x:v>1</x:v>
      </x:c>
      <x:c r="C4369">
        <x:v>48</x:v>
      </x:c>
      <x:c r="D4369">
        <x:f>ROUND($C4369*10*VLOOKUP($B4369,Sheet2!$J$5:$K$7,2,FALSE)*VLOOKUP(Sheet1!$A4369,Sheet2!$B$5:$H$29,3,FALSE),0)</x:f>
        <x:v>0</x:v>
      </x:c>
      <x:c r="E4369">
        <x:f>ROUND($C4369*10*VLOOKUP($B4369,Sheet2!$J$5:$K$7,2,FALSE)*VLOOKUP(Sheet1!$A4369,Sheet2!$B$5:$H$29,4,FALSE),0)</x:f>
        <x:v>0</x:v>
      </x:c>
      <x:c r="F4369">
        <x:f>ROUND($C4369*10*VLOOKUP($B4369,Sheet2!$J$5:$K$7,2,FALSE)*VLOOKUP(Sheet1!$A4369,Sheet2!$B$5:$H$29,5,FALSE),0)</x:f>
        <x:v>0</x:v>
      </x:c>
      <x:c r="G4369">
        <x:f>ROUND($C4369*10*VLOOKUP($B4369,Sheet2!$J$5:$K$7,2,FALSE)*VLOOKUP(Sheet1!$A4369,Sheet2!$B$5:$H$29,6,FALSE),0)</x:f>
        <x:v>0</x:v>
      </x:c>
      <x:c r="H4369">
        <x:f>ROUND($C4369*10*VLOOKUP($B4369,Sheet2!$J$5:$K$7,2,FALSE)*VLOOKUP(Sheet1!$A4369,Sheet2!$B$5:$H$29,7,FALSE),0)</x:f>
        <x:v>2400</x:v>
      </x:c>
      <x:c r="I4369">
        <x:f t="shared" si="72"/>
        <x:v>22120</x:v>
      </x:c>
    </x:row>
    <x:row r="4370" spans="1:9" x14ac:dyDescent="0.15">
      <x:c r="A4370">
        <x:v>54205</x:v>
      </x:c>
      <x:c r="B4370">
        <x:v>1</x:v>
      </x:c>
      <x:c r="C4370">
        <x:v>49</x:v>
      </x:c>
      <x:c r="D4370">
        <x:f>ROUND($C4370*10*VLOOKUP($B4370,Sheet2!$J$5:$K$7,2,FALSE)*VLOOKUP(Sheet1!$A4370,Sheet2!$B$5:$H$29,3,FALSE),0)</x:f>
        <x:v>0</x:v>
      </x:c>
      <x:c r="E4370">
        <x:f>ROUND($C4370*10*VLOOKUP($B4370,Sheet2!$J$5:$K$7,2,FALSE)*VLOOKUP(Sheet1!$A4370,Sheet2!$B$5:$H$29,4,FALSE),0)</x:f>
        <x:v>0</x:v>
      </x:c>
      <x:c r="F4370">
        <x:f>ROUND($C4370*10*VLOOKUP($B4370,Sheet2!$J$5:$K$7,2,FALSE)*VLOOKUP(Sheet1!$A4370,Sheet2!$B$5:$H$29,5,FALSE),0)</x:f>
        <x:v>0</x:v>
      </x:c>
      <x:c r="G4370">
        <x:f>ROUND($C4370*10*VLOOKUP($B4370,Sheet2!$J$5:$K$7,2,FALSE)*VLOOKUP(Sheet1!$A4370,Sheet2!$B$5:$H$29,6,FALSE),0)</x:f>
        <x:v>0</x:v>
      </x:c>
      <x:c r="H4370">
        <x:f>ROUND($C4370*10*VLOOKUP($B4370,Sheet2!$J$5:$K$7,2,FALSE)*VLOOKUP(Sheet1!$A4370,Sheet2!$B$5:$H$29,7,FALSE),0)</x:f>
        <x:v>2450</x:v>
      </x:c>
      <x:c r="I4370">
        <x:f t="shared" si="72"/>
        <x:v>22970</x:v>
      </x:c>
    </x:row>
    <x:row r="4371" spans="1:9" x14ac:dyDescent="0.15">
      <x:c r="A4371">
        <x:v>54205</x:v>
      </x:c>
      <x:c r="B4371">
        <x:v>1</x:v>
      </x:c>
      <x:c r="C4371">
        <x:v>50</x:v>
      </x:c>
      <x:c r="D4371">
        <x:f>ROUND($C4371*10*VLOOKUP($B4371,Sheet2!$J$5:$K$7,2,FALSE)*VLOOKUP(Sheet1!$A4371,Sheet2!$B$5:$H$29,3,FALSE),0)</x:f>
        <x:v>0</x:v>
      </x:c>
      <x:c r="E4371">
        <x:f>ROUND($C4371*10*VLOOKUP($B4371,Sheet2!$J$5:$K$7,2,FALSE)*VLOOKUP(Sheet1!$A4371,Sheet2!$B$5:$H$29,4,FALSE),0)</x:f>
        <x:v>0</x:v>
      </x:c>
      <x:c r="F4371">
        <x:f>ROUND($C4371*10*VLOOKUP($B4371,Sheet2!$J$5:$K$7,2,FALSE)*VLOOKUP(Sheet1!$A4371,Sheet2!$B$5:$H$29,5,FALSE),0)</x:f>
        <x:v>0</x:v>
      </x:c>
      <x:c r="G4371">
        <x:f>ROUND($C4371*10*VLOOKUP($B4371,Sheet2!$J$5:$K$7,2,FALSE)*VLOOKUP(Sheet1!$A4371,Sheet2!$B$5:$H$29,6,FALSE),0)</x:f>
        <x:v>0</x:v>
      </x:c>
      <x:c r="H4371">
        <x:f>ROUND($C4371*10*VLOOKUP($B4371,Sheet2!$J$5:$K$7,2,FALSE)*VLOOKUP(Sheet1!$A4371,Sheet2!$B$5:$H$29,7,FALSE),0)</x:f>
        <x:v>2500</x:v>
      </x:c>
      <x:c r="I4371">
        <x:f t="shared" si="72"/>
        <x:v>23840</x:v>
      </x:c>
    </x:row>
    <x:row r="4372" spans="1:9" x14ac:dyDescent="0.15">
      <x:c r="A4372">
        <x:v>54205</x:v>
      </x:c>
      <x:c r="B4372">
        <x:v>1</x:v>
      </x:c>
      <x:c r="C4372">
        <x:v>51</x:v>
      </x:c>
      <x:c r="D4372">
        <x:f>ROUND($C4372*10*VLOOKUP($B4372,Sheet2!$J$5:$K$7,2,FALSE)*VLOOKUP(Sheet1!$A4372,Sheet2!$B$5:$H$29,3,FALSE),0)</x:f>
        <x:v>0</x:v>
      </x:c>
      <x:c r="E4372">
        <x:f>ROUND($C4372*10*VLOOKUP($B4372,Sheet2!$J$5:$K$7,2,FALSE)*VLOOKUP(Sheet1!$A4372,Sheet2!$B$5:$H$29,4,FALSE),0)</x:f>
        <x:v>0</x:v>
      </x:c>
      <x:c r="F4372">
        <x:f>ROUND($C4372*10*VLOOKUP($B4372,Sheet2!$J$5:$K$7,2,FALSE)*VLOOKUP(Sheet1!$A4372,Sheet2!$B$5:$H$29,5,FALSE),0)</x:f>
        <x:v>0</x:v>
      </x:c>
      <x:c r="G4372">
        <x:f>ROUND($C4372*10*VLOOKUP($B4372,Sheet2!$J$5:$K$7,2,FALSE)*VLOOKUP(Sheet1!$A4372,Sheet2!$B$5:$H$29,6,FALSE),0)</x:f>
        <x:v>0</x:v>
      </x:c>
      <x:c r="H4372">
        <x:f>ROUND($C4372*10*VLOOKUP($B4372,Sheet2!$J$5:$K$7,2,FALSE)*VLOOKUP(Sheet1!$A4372,Sheet2!$B$5:$H$29,7,FALSE),0)</x:f>
        <x:v>2550</x:v>
      </x:c>
      <x:c r="I4372">
        <x:f t="shared" si="72"/>
        <x:v>24720</x:v>
      </x:c>
    </x:row>
    <x:row r="4373" spans="1:9" x14ac:dyDescent="0.15">
      <x:c r="A4373">
        <x:v>54205</x:v>
      </x:c>
      <x:c r="B4373">
        <x:v>1</x:v>
      </x:c>
      <x:c r="C4373">
        <x:v>52</x:v>
      </x:c>
      <x:c r="D4373">
        <x:f>ROUND($C4373*10*VLOOKUP($B4373,Sheet2!$J$5:$K$7,2,FALSE)*VLOOKUP(Sheet1!$A4373,Sheet2!$B$5:$H$29,3,FALSE),0)</x:f>
        <x:v>0</x:v>
      </x:c>
      <x:c r="E4373">
        <x:f>ROUND($C4373*10*VLOOKUP($B4373,Sheet2!$J$5:$K$7,2,FALSE)*VLOOKUP(Sheet1!$A4373,Sheet2!$B$5:$H$29,4,FALSE),0)</x:f>
        <x:v>0</x:v>
      </x:c>
      <x:c r="F4373">
        <x:f>ROUND($C4373*10*VLOOKUP($B4373,Sheet2!$J$5:$K$7,2,FALSE)*VLOOKUP(Sheet1!$A4373,Sheet2!$B$5:$H$29,5,FALSE),0)</x:f>
        <x:v>0</x:v>
      </x:c>
      <x:c r="G4373">
        <x:f>ROUND($C4373*10*VLOOKUP($B4373,Sheet2!$J$5:$K$7,2,FALSE)*VLOOKUP(Sheet1!$A4373,Sheet2!$B$5:$H$29,6,FALSE),0)</x:f>
        <x:v>0</x:v>
      </x:c>
      <x:c r="H4373">
        <x:f>ROUND($C4373*10*VLOOKUP($B4373,Sheet2!$J$5:$K$7,2,FALSE)*VLOOKUP(Sheet1!$A4373,Sheet2!$B$5:$H$29,7,FALSE),0)</x:f>
        <x:v>2600</x:v>
      </x:c>
      <x:c r="I4373">
        <x:f t="shared" si="72"/>
        <x:v>25620</x:v>
      </x:c>
    </x:row>
    <x:row r="4374" spans="1:9" x14ac:dyDescent="0.15">
      <x:c r="A4374">
        <x:v>54205</x:v>
      </x:c>
      <x:c r="B4374">
        <x:v>1</x:v>
      </x:c>
      <x:c r="C4374">
        <x:v>53</x:v>
      </x:c>
      <x:c r="D4374">
        <x:f>ROUND($C4374*10*VLOOKUP($B4374,Sheet2!$J$5:$K$7,2,FALSE)*VLOOKUP(Sheet1!$A4374,Sheet2!$B$5:$H$29,3,FALSE),0)</x:f>
        <x:v>0</x:v>
      </x:c>
      <x:c r="E4374">
        <x:f>ROUND($C4374*10*VLOOKUP($B4374,Sheet2!$J$5:$K$7,2,FALSE)*VLOOKUP(Sheet1!$A4374,Sheet2!$B$5:$H$29,4,FALSE),0)</x:f>
        <x:v>0</x:v>
      </x:c>
      <x:c r="F4374">
        <x:f>ROUND($C4374*10*VLOOKUP($B4374,Sheet2!$J$5:$K$7,2,FALSE)*VLOOKUP(Sheet1!$A4374,Sheet2!$B$5:$H$29,5,FALSE),0)</x:f>
        <x:v>0</x:v>
      </x:c>
      <x:c r="G4374">
        <x:f>ROUND($C4374*10*VLOOKUP($B4374,Sheet2!$J$5:$K$7,2,FALSE)*VLOOKUP(Sheet1!$A4374,Sheet2!$B$5:$H$29,6,FALSE),0)</x:f>
        <x:v>0</x:v>
      </x:c>
      <x:c r="H4374">
        <x:f>ROUND($C4374*10*VLOOKUP($B4374,Sheet2!$J$5:$K$7,2,FALSE)*VLOOKUP(Sheet1!$A4374,Sheet2!$B$5:$H$29,7,FALSE),0)</x:f>
        <x:v>2650</x:v>
      </x:c>
      <x:c r="I4374">
        <x:f t="shared" si="72"/>
        <x:v>26530</x:v>
      </x:c>
    </x:row>
    <x:row r="4375" spans="1:9" x14ac:dyDescent="0.15">
      <x:c r="A4375">
        <x:v>54205</x:v>
      </x:c>
      <x:c r="B4375">
        <x:v>1</x:v>
      </x:c>
      <x:c r="C4375">
        <x:v>54</x:v>
      </x:c>
      <x:c r="D4375">
        <x:f>ROUND($C4375*10*VLOOKUP($B4375,Sheet2!$J$5:$K$7,2,FALSE)*VLOOKUP(Sheet1!$A4375,Sheet2!$B$5:$H$29,3,FALSE),0)</x:f>
        <x:v>0</x:v>
      </x:c>
      <x:c r="E4375">
        <x:f>ROUND($C4375*10*VLOOKUP($B4375,Sheet2!$J$5:$K$7,2,FALSE)*VLOOKUP(Sheet1!$A4375,Sheet2!$B$5:$H$29,4,FALSE),0)</x:f>
        <x:v>0</x:v>
      </x:c>
      <x:c r="F4375">
        <x:f>ROUND($C4375*10*VLOOKUP($B4375,Sheet2!$J$5:$K$7,2,FALSE)*VLOOKUP(Sheet1!$A4375,Sheet2!$B$5:$H$29,5,FALSE),0)</x:f>
        <x:v>0</x:v>
      </x:c>
      <x:c r="G4375">
        <x:f>ROUND($C4375*10*VLOOKUP($B4375,Sheet2!$J$5:$K$7,2,FALSE)*VLOOKUP(Sheet1!$A4375,Sheet2!$B$5:$H$29,6,FALSE),0)</x:f>
        <x:v>0</x:v>
      </x:c>
      <x:c r="H4375">
        <x:f>ROUND($C4375*10*VLOOKUP($B4375,Sheet2!$J$5:$K$7,2,FALSE)*VLOOKUP(Sheet1!$A4375,Sheet2!$B$5:$H$29,7,FALSE),0)</x:f>
        <x:v>2700</x:v>
      </x:c>
      <x:c r="I4375">
        <x:f t="shared" si="72"/>
        <x:v>27460</x:v>
      </x:c>
    </x:row>
    <x:row r="4376" spans="1:9" x14ac:dyDescent="0.15">
      <x:c r="A4376">
        <x:v>54205</x:v>
      </x:c>
      <x:c r="B4376">
        <x:v>1</x:v>
      </x:c>
      <x:c r="C4376">
        <x:v>55</x:v>
      </x:c>
      <x:c r="D4376">
        <x:f>ROUND($C4376*10*VLOOKUP($B4376,Sheet2!$J$5:$K$7,2,FALSE)*VLOOKUP(Sheet1!$A4376,Sheet2!$B$5:$H$29,3,FALSE),0)</x:f>
        <x:v>0</x:v>
      </x:c>
      <x:c r="E4376">
        <x:f>ROUND($C4376*10*VLOOKUP($B4376,Sheet2!$J$5:$K$7,2,FALSE)*VLOOKUP(Sheet1!$A4376,Sheet2!$B$5:$H$29,4,FALSE),0)</x:f>
        <x:v>0</x:v>
      </x:c>
      <x:c r="F4376">
        <x:f>ROUND($C4376*10*VLOOKUP($B4376,Sheet2!$J$5:$K$7,2,FALSE)*VLOOKUP(Sheet1!$A4376,Sheet2!$B$5:$H$29,5,FALSE),0)</x:f>
        <x:v>0</x:v>
      </x:c>
      <x:c r="G4376">
        <x:f>ROUND($C4376*10*VLOOKUP($B4376,Sheet2!$J$5:$K$7,2,FALSE)*VLOOKUP(Sheet1!$A4376,Sheet2!$B$5:$H$29,6,FALSE),0)</x:f>
        <x:v>0</x:v>
      </x:c>
      <x:c r="H4376">
        <x:f>ROUND($C4376*10*VLOOKUP($B4376,Sheet2!$J$5:$K$7,2,FALSE)*VLOOKUP(Sheet1!$A4376,Sheet2!$B$5:$H$29,7,FALSE),0)</x:f>
        <x:v>2750</x:v>
      </x:c>
      <x:c r="I4376">
        <x:f t="shared" si="72"/>
        <x:v>28390</x:v>
      </x:c>
    </x:row>
    <x:row r="4377" spans="1:9" x14ac:dyDescent="0.15">
      <x:c r="A4377">
        <x:v>54205</x:v>
      </x:c>
      <x:c r="B4377">
        <x:v>1</x:v>
      </x:c>
      <x:c r="C4377">
        <x:v>56</x:v>
      </x:c>
      <x:c r="D4377">
        <x:f>ROUND($C4377*10*VLOOKUP($B4377,Sheet2!$J$5:$K$7,2,FALSE)*VLOOKUP(Sheet1!$A4377,Sheet2!$B$5:$H$29,3,FALSE),0)</x:f>
        <x:v>0</x:v>
      </x:c>
      <x:c r="E4377">
        <x:f>ROUND($C4377*10*VLOOKUP($B4377,Sheet2!$J$5:$K$7,2,FALSE)*VLOOKUP(Sheet1!$A4377,Sheet2!$B$5:$H$29,4,FALSE),0)</x:f>
        <x:v>0</x:v>
      </x:c>
      <x:c r="F4377">
        <x:f>ROUND($C4377*10*VLOOKUP($B4377,Sheet2!$J$5:$K$7,2,FALSE)*VLOOKUP(Sheet1!$A4377,Sheet2!$B$5:$H$29,5,FALSE),0)</x:f>
        <x:v>0</x:v>
      </x:c>
      <x:c r="G4377">
        <x:f>ROUND($C4377*10*VLOOKUP($B4377,Sheet2!$J$5:$K$7,2,FALSE)*VLOOKUP(Sheet1!$A4377,Sheet2!$B$5:$H$29,6,FALSE),0)</x:f>
        <x:v>0</x:v>
      </x:c>
      <x:c r="H4377">
        <x:f>ROUND($C4377*10*VLOOKUP($B4377,Sheet2!$J$5:$K$7,2,FALSE)*VLOOKUP(Sheet1!$A4377,Sheet2!$B$5:$H$29,7,FALSE),0)</x:f>
        <x:v>2800</x:v>
      </x:c>
      <x:c r="I4377">
        <x:f t="shared" si="72"/>
        <x:v>29350</x:v>
      </x:c>
    </x:row>
    <x:row r="4378" spans="1:9" x14ac:dyDescent="0.15">
      <x:c r="A4378">
        <x:v>54205</x:v>
      </x:c>
      <x:c r="B4378">
        <x:v>1</x:v>
      </x:c>
      <x:c r="C4378">
        <x:v>57</x:v>
      </x:c>
      <x:c r="D4378">
        <x:f>ROUND($C4378*10*VLOOKUP($B4378,Sheet2!$J$5:$K$7,2,FALSE)*VLOOKUP(Sheet1!$A4378,Sheet2!$B$5:$H$29,3,FALSE),0)</x:f>
        <x:v>0</x:v>
      </x:c>
      <x:c r="E4378">
        <x:f>ROUND($C4378*10*VLOOKUP($B4378,Sheet2!$J$5:$K$7,2,FALSE)*VLOOKUP(Sheet1!$A4378,Sheet2!$B$5:$H$29,4,FALSE),0)</x:f>
        <x:v>0</x:v>
      </x:c>
      <x:c r="F4378">
        <x:f>ROUND($C4378*10*VLOOKUP($B4378,Sheet2!$J$5:$K$7,2,FALSE)*VLOOKUP(Sheet1!$A4378,Sheet2!$B$5:$H$29,5,FALSE),0)</x:f>
        <x:v>0</x:v>
      </x:c>
      <x:c r="G4378">
        <x:f>ROUND($C4378*10*VLOOKUP($B4378,Sheet2!$J$5:$K$7,2,FALSE)*VLOOKUP(Sheet1!$A4378,Sheet2!$B$5:$H$29,6,FALSE),0)</x:f>
        <x:v>0</x:v>
      </x:c>
      <x:c r="H4378">
        <x:f>ROUND($C4378*10*VLOOKUP($B4378,Sheet2!$J$5:$K$7,2,FALSE)*VLOOKUP(Sheet1!$A4378,Sheet2!$B$5:$H$29,7,FALSE),0)</x:f>
        <x:v>2850</x:v>
      </x:c>
      <x:c r="I4378">
        <x:f t="shared" si="72"/>
        <x:v>30310</x:v>
      </x:c>
    </x:row>
    <x:row r="4379" spans="1:9" x14ac:dyDescent="0.15">
      <x:c r="A4379">
        <x:v>54205</x:v>
      </x:c>
      <x:c r="B4379">
        <x:v>1</x:v>
      </x:c>
      <x:c r="C4379">
        <x:v>58</x:v>
      </x:c>
      <x:c r="D4379">
        <x:f>ROUND($C4379*10*VLOOKUP($B4379,Sheet2!$J$5:$K$7,2,FALSE)*VLOOKUP(Sheet1!$A4379,Sheet2!$B$5:$H$29,3,FALSE),0)</x:f>
        <x:v>0</x:v>
      </x:c>
      <x:c r="E4379">
        <x:f>ROUND($C4379*10*VLOOKUP($B4379,Sheet2!$J$5:$K$7,2,FALSE)*VLOOKUP(Sheet1!$A4379,Sheet2!$B$5:$H$29,4,FALSE),0)</x:f>
        <x:v>0</x:v>
      </x:c>
      <x:c r="F4379">
        <x:f>ROUND($C4379*10*VLOOKUP($B4379,Sheet2!$J$5:$K$7,2,FALSE)*VLOOKUP(Sheet1!$A4379,Sheet2!$B$5:$H$29,5,FALSE),0)</x:f>
        <x:v>0</x:v>
      </x:c>
      <x:c r="G4379">
        <x:f>ROUND($C4379*10*VLOOKUP($B4379,Sheet2!$J$5:$K$7,2,FALSE)*VLOOKUP(Sheet1!$A4379,Sheet2!$B$5:$H$29,6,FALSE),0)</x:f>
        <x:v>0</x:v>
      </x:c>
      <x:c r="H4379">
        <x:f>ROUND($C4379*10*VLOOKUP($B4379,Sheet2!$J$5:$K$7,2,FALSE)*VLOOKUP(Sheet1!$A4379,Sheet2!$B$5:$H$29,7,FALSE),0)</x:f>
        <x:v>2900</x:v>
      </x:c>
      <x:c r="I4379">
        <x:f t="shared" si="72"/>
        <x:v>31290</x:v>
      </x:c>
    </x:row>
    <x:row r="4380" spans="1:9" x14ac:dyDescent="0.15">
      <x:c r="A4380">
        <x:v>54205</x:v>
      </x:c>
      <x:c r="B4380">
        <x:v>1</x:v>
      </x:c>
      <x:c r="C4380">
        <x:v>59</x:v>
      </x:c>
      <x:c r="D4380">
        <x:f>ROUND($C4380*10*VLOOKUP($B4380,Sheet2!$J$5:$K$7,2,FALSE)*VLOOKUP(Sheet1!$A4380,Sheet2!$B$5:$H$29,3,FALSE),0)</x:f>
        <x:v>0</x:v>
      </x:c>
      <x:c r="E4380">
        <x:f>ROUND($C4380*10*VLOOKUP($B4380,Sheet2!$J$5:$K$7,2,FALSE)*VLOOKUP(Sheet1!$A4380,Sheet2!$B$5:$H$29,4,FALSE),0)</x:f>
        <x:v>0</x:v>
      </x:c>
      <x:c r="F4380">
        <x:f>ROUND($C4380*10*VLOOKUP($B4380,Sheet2!$J$5:$K$7,2,FALSE)*VLOOKUP(Sheet1!$A4380,Sheet2!$B$5:$H$29,5,FALSE),0)</x:f>
        <x:v>0</x:v>
      </x:c>
      <x:c r="G4380">
        <x:f>ROUND($C4380*10*VLOOKUP($B4380,Sheet2!$J$5:$K$7,2,FALSE)*VLOOKUP(Sheet1!$A4380,Sheet2!$B$5:$H$29,6,FALSE),0)</x:f>
        <x:v>0</x:v>
      </x:c>
      <x:c r="H4380">
        <x:f>ROUND($C4380*10*VLOOKUP($B4380,Sheet2!$J$5:$K$7,2,FALSE)*VLOOKUP(Sheet1!$A4380,Sheet2!$B$5:$H$29,7,FALSE),0)</x:f>
        <x:v>2950</x:v>
      </x:c>
      <x:c r="I4380">
        <x:f t="shared" si="72"/>
        <x:v>32290</x:v>
      </x:c>
    </x:row>
    <x:row r="4381" spans="1:9" x14ac:dyDescent="0.15">
      <x:c r="A4381">
        <x:v>54205</x:v>
      </x:c>
      <x:c r="B4381">
        <x:v>1</x:v>
      </x:c>
      <x:c r="C4381">
        <x:v>60</x:v>
      </x:c>
      <x:c r="D4381">
        <x:f>ROUND($C4381*10*VLOOKUP($B4381,Sheet2!$J$5:$K$7,2,FALSE)*VLOOKUP(Sheet1!$A4381,Sheet2!$B$5:$H$29,3,FALSE),0)</x:f>
        <x:v>0</x:v>
      </x:c>
      <x:c r="E4381">
        <x:f>ROUND($C4381*10*VLOOKUP($B4381,Sheet2!$J$5:$K$7,2,FALSE)*VLOOKUP(Sheet1!$A4381,Sheet2!$B$5:$H$29,4,FALSE),0)</x:f>
        <x:v>0</x:v>
      </x:c>
      <x:c r="F4381">
        <x:f>ROUND($C4381*10*VLOOKUP($B4381,Sheet2!$J$5:$K$7,2,FALSE)*VLOOKUP(Sheet1!$A4381,Sheet2!$B$5:$H$29,5,FALSE),0)</x:f>
        <x:v>0</x:v>
      </x:c>
      <x:c r="G4381">
        <x:f>ROUND($C4381*10*VLOOKUP($B4381,Sheet2!$J$5:$K$7,2,FALSE)*VLOOKUP(Sheet1!$A4381,Sheet2!$B$5:$H$29,6,FALSE),0)</x:f>
        <x:v>0</x:v>
      </x:c>
      <x:c r="H4381">
        <x:f>ROUND($C4381*10*VLOOKUP($B4381,Sheet2!$J$5:$K$7,2,FALSE)*VLOOKUP(Sheet1!$A4381,Sheet2!$B$5:$H$29,7,FALSE),0)</x:f>
        <x:v>3000</x:v>
      </x:c>
      <x:c r="I4381">
        <x:f t="shared" si="72"/>
        <x:v>33290</x:v>
      </x:c>
    </x:row>
    <x:row r="4382" spans="1:9" x14ac:dyDescent="0.15">
      <x:c r="A4382">
        <x:v>54205</x:v>
      </x:c>
      <x:c r="B4382">
        <x:v>2</x:v>
      </x:c>
      <x:c r="C4382">
        <x:v>1</x:v>
      </x:c>
      <x:c r="D4382">
        <x:f>ROUND($C4382*10*VLOOKUP($B4382,Sheet2!$J$5:$K$7,2,FALSE)*VLOOKUP(Sheet1!$A4382,Sheet2!$B$5:$H$29,3,FALSE),0)</x:f>
        <x:v>0</x:v>
      </x:c>
      <x:c r="E4382">
        <x:f>ROUND($C4382*10*VLOOKUP($B4382,Sheet2!$J$5:$K$7,2,FALSE)*VLOOKUP(Sheet1!$A4382,Sheet2!$B$5:$H$29,4,FALSE),0)</x:f>
        <x:v>0</x:v>
      </x:c>
      <x:c r="F4382">
        <x:f>ROUND($C4382*10*VLOOKUP($B4382,Sheet2!$J$5:$K$7,2,FALSE)*VLOOKUP(Sheet1!$A4382,Sheet2!$B$5:$H$29,5,FALSE),0)</x:f>
        <x:v>0</x:v>
      </x:c>
      <x:c r="G4382">
        <x:f>ROUND($C4382*10*VLOOKUP($B4382,Sheet2!$J$5:$K$7,2,FALSE)*VLOOKUP(Sheet1!$A4382,Sheet2!$B$5:$H$29,6,FALSE),0)</x:f>
        <x:v>0</x:v>
      </x:c>
      <x:c r="H4382">
        <x:f>ROUND($C4382*10*VLOOKUP($B4382,Sheet2!$J$5:$K$7,2,FALSE)*VLOOKUP(Sheet1!$A4382,Sheet2!$B$5:$H$29,7,FALSE),0)</x:f>
        <x:v>60</x:v>
      </x:c>
      <x:c r="I4382">
        <x:f t="shared" ref="I4382:I4441" si="73">ROUND(1.2*10*3.5*(C4382-1)^1.8+60,-1)</x:f>
        <x:v>60</x:v>
      </x:c>
    </x:row>
    <x:row r="4383" spans="1:9" x14ac:dyDescent="0.15">
      <x:c r="A4383">
        <x:v>54205</x:v>
      </x:c>
      <x:c r="B4383">
        <x:v>2</x:v>
      </x:c>
      <x:c r="C4383">
        <x:v>2</x:v>
      </x:c>
      <x:c r="D4383">
        <x:f>ROUND($C4383*10*VLOOKUP($B4383,Sheet2!$J$5:$K$7,2,FALSE)*VLOOKUP(Sheet1!$A4383,Sheet2!$B$5:$H$29,3,FALSE),0)</x:f>
        <x:v>0</x:v>
      </x:c>
      <x:c r="E4383">
        <x:f>ROUND($C4383*10*VLOOKUP($B4383,Sheet2!$J$5:$K$7,2,FALSE)*VLOOKUP(Sheet1!$A4383,Sheet2!$B$5:$H$29,4,FALSE),0)</x:f>
        <x:v>0</x:v>
      </x:c>
      <x:c r="F4383">
        <x:f>ROUND($C4383*10*VLOOKUP($B4383,Sheet2!$J$5:$K$7,2,FALSE)*VLOOKUP(Sheet1!$A4383,Sheet2!$B$5:$H$29,5,FALSE),0)</x:f>
        <x:v>0</x:v>
      </x:c>
      <x:c r="G4383">
        <x:f>ROUND($C4383*10*VLOOKUP($B4383,Sheet2!$J$5:$K$7,2,FALSE)*VLOOKUP(Sheet1!$A4383,Sheet2!$B$5:$H$29,6,FALSE),0)</x:f>
        <x:v>0</x:v>
      </x:c>
      <x:c r="H4383">
        <x:f>ROUND($C4383*10*VLOOKUP($B4383,Sheet2!$J$5:$K$7,2,FALSE)*VLOOKUP(Sheet1!$A4383,Sheet2!$B$5:$H$29,7,FALSE),0)</x:f>
        <x:v>120</x:v>
      </x:c>
      <x:c r="I4383">
        <x:f t="shared" si="73"/>
        <x:v>100</x:v>
      </x:c>
    </x:row>
    <x:row r="4384" spans="1:9" x14ac:dyDescent="0.15">
      <x:c r="A4384">
        <x:v>54205</x:v>
      </x:c>
      <x:c r="B4384">
        <x:v>2</x:v>
      </x:c>
      <x:c r="C4384">
        <x:v>3</x:v>
      </x:c>
      <x:c r="D4384">
        <x:f>ROUND($C4384*10*VLOOKUP($B4384,Sheet2!$J$5:$K$7,2,FALSE)*VLOOKUP(Sheet1!$A4384,Sheet2!$B$5:$H$29,3,FALSE),0)</x:f>
        <x:v>0</x:v>
      </x:c>
      <x:c r="E4384">
        <x:f>ROUND($C4384*10*VLOOKUP($B4384,Sheet2!$J$5:$K$7,2,FALSE)*VLOOKUP(Sheet1!$A4384,Sheet2!$B$5:$H$29,4,FALSE),0)</x:f>
        <x:v>0</x:v>
      </x:c>
      <x:c r="F4384">
        <x:f>ROUND($C4384*10*VLOOKUP($B4384,Sheet2!$J$5:$K$7,2,FALSE)*VLOOKUP(Sheet1!$A4384,Sheet2!$B$5:$H$29,5,FALSE),0)</x:f>
        <x:v>0</x:v>
      </x:c>
      <x:c r="G4384">
        <x:f>ROUND($C4384*10*VLOOKUP($B4384,Sheet2!$J$5:$K$7,2,FALSE)*VLOOKUP(Sheet1!$A4384,Sheet2!$B$5:$H$29,6,FALSE),0)</x:f>
        <x:v>0</x:v>
      </x:c>
      <x:c r="H4384">
        <x:f>ROUND($C4384*10*VLOOKUP($B4384,Sheet2!$J$5:$K$7,2,FALSE)*VLOOKUP(Sheet1!$A4384,Sheet2!$B$5:$H$29,7,FALSE),0)</x:f>
        <x:v>180</x:v>
      </x:c>
      <x:c r="I4384">
        <x:f t="shared" si="73"/>
        <x:v>210</x:v>
      </x:c>
    </x:row>
    <x:row r="4385" spans="1:9" x14ac:dyDescent="0.15">
      <x:c r="A4385">
        <x:v>54205</x:v>
      </x:c>
      <x:c r="B4385">
        <x:v>2</x:v>
      </x:c>
      <x:c r="C4385">
        <x:v>4</x:v>
      </x:c>
      <x:c r="D4385">
        <x:f>ROUND($C4385*10*VLOOKUP($B4385,Sheet2!$J$5:$K$7,2,FALSE)*VLOOKUP(Sheet1!$A4385,Sheet2!$B$5:$H$29,3,FALSE),0)</x:f>
        <x:v>0</x:v>
      </x:c>
      <x:c r="E4385">
        <x:f>ROUND($C4385*10*VLOOKUP($B4385,Sheet2!$J$5:$K$7,2,FALSE)*VLOOKUP(Sheet1!$A4385,Sheet2!$B$5:$H$29,4,FALSE),0)</x:f>
        <x:v>0</x:v>
      </x:c>
      <x:c r="F4385">
        <x:f>ROUND($C4385*10*VLOOKUP($B4385,Sheet2!$J$5:$K$7,2,FALSE)*VLOOKUP(Sheet1!$A4385,Sheet2!$B$5:$H$29,5,FALSE),0)</x:f>
        <x:v>0</x:v>
      </x:c>
      <x:c r="G4385">
        <x:f>ROUND($C4385*10*VLOOKUP($B4385,Sheet2!$J$5:$K$7,2,FALSE)*VLOOKUP(Sheet1!$A4385,Sheet2!$B$5:$H$29,6,FALSE),0)</x:f>
        <x:v>0</x:v>
      </x:c>
      <x:c r="H4385">
        <x:f>ROUND($C4385*10*VLOOKUP($B4385,Sheet2!$J$5:$K$7,2,FALSE)*VLOOKUP(Sheet1!$A4385,Sheet2!$B$5:$H$29,7,FALSE),0)</x:f>
        <x:v>240</x:v>
      </x:c>
      <x:c r="I4385">
        <x:f t="shared" si="73"/>
        <x:v>360</x:v>
      </x:c>
    </x:row>
    <x:row r="4386" spans="1:9" x14ac:dyDescent="0.15">
      <x:c r="A4386">
        <x:v>54205</x:v>
      </x:c>
      <x:c r="B4386">
        <x:v>2</x:v>
      </x:c>
      <x:c r="C4386">
        <x:v>5</x:v>
      </x:c>
      <x:c r="D4386">
        <x:f>ROUND($C4386*10*VLOOKUP($B4386,Sheet2!$J$5:$K$7,2,FALSE)*VLOOKUP(Sheet1!$A4386,Sheet2!$B$5:$H$29,3,FALSE),0)</x:f>
        <x:v>0</x:v>
      </x:c>
      <x:c r="E4386">
        <x:f>ROUND($C4386*10*VLOOKUP($B4386,Sheet2!$J$5:$K$7,2,FALSE)*VLOOKUP(Sheet1!$A4386,Sheet2!$B$5:$H$29,4,FALSE),0)</x:f>
        <x:v>0</x:v>
      </x:c>
      <x:c r="F4386">
        <x:f>ROUND($C4386*10*VLOOKUP($B4386,Sheet2!$J$5:$K$7,2,FALSE)*VLOOKUP(Sheet1!$A4386,Sheet2!$B$5:$H$29,5,FALSE),0)</x:f>
        <x:v>0</x:v>
      </x:c>
      <x:c r="G4386">
        <x:f>ROUND($C4386*10*VLOOKUP($B4386,Sheet2!$J$5:$K$7,2,FALSE)*VLOOKUP(Sheet1!$A4386,Sheet2!$B$5:$H$29,6,FALSE),0)</x:f>
        <x:v>0</x:v>
      </x:c>
      <x:c r="H4386">
        <x:f>ROUND($C4386*10*VLOOKUP($B4386,Sheet2!$J$5:$K$7,2,FALSE)*VLOOKUP(Sheet1!$A4386,Sheet2!$B$5:$H$29,7,FALSE),0)</x:f>
        <x:v>300</x:v>
      </x:c>
      <x:c r="I4386">
        <x:f t="shared" si="73"/>
        <x:v>570</x:v>
      </x:c>
    </x:row>
    <x:row r="4387" spans="1:9" x14ac:dyDescent="0.15">
      <x:c r="A4387">
        <x:v>54205</x:v>
      </x:c>
      <x:c r="B4387">
        <x:v>2</x:v>
      </x:c>
      <x:c r="C4387">
        <x:v>6</x:v>
      </x:c>
      <x:c r="D4387">
        <x:f>ROUND($C4387*10*VLOOKUP($B4387,Sheet2!$J$5:$K$7,2,FALSE)*VLOOKUP(Sheet1!$A4387,Sheet2!$B$5:$H$29,3,FALSE),0)</x:f>
        <x:v>0</x:v>
      </x:c>
      <x:c r="E4387">
        <x:f>ROUND($C4387*10*VLOOKUP($B4387,Sheet2!$J$5:$K$7,2,FALSE)*VLOOKUP(Sheet1!$A4387,Sheet2!$B$5:$H$29,4,FALSE),0)</x:f>
        <x:v>0</x:v>
      </x:c>
      <x:c r="F4387">
        <x:f>ROUND($C4387*10*VLOOKUP($B4387,Sheet2!$J$5:$K$7,2,FALSE)*VLOOKUP(Sheet1!$A4387,Sheet2!$B$5:$H$29,5,FALSE),0)</x:f>
        <x:v>0</x:v>
      </x:c>
      <x:c r="G4387">
        <x:f>ROUND($C4387*10*VLOOKUP($B4387,Sheet2!$J$5:$K$7,2,FALSE)*VLOOKUP(Sheet1!$A4387,Sheet2!$B$5:$H$29,6,FALSE),0)</x:f>
        <x:v>0</x:v>
      </x:c>
      <x:c r="H4387">
        <x:f>ROUND($C4387*10*VLOOKUP($B4387,Sheet2!$J$5:$K$7,2,FALSE)*VLOOKUP(Sheet1!$A4387,Sheet2!$B$5:$H$29,7,FALSE),0)</x:f>
        <x:v>360</x:v>
      </x:c>
      <x:c r="I4387">
        <x:f t="shared" si="73"/>
        <x:v>820</x:v>
      </x:c>
    </x:row>
    <x:row r="4388" spans="1:9" x14ac:dyDescent="0.15">
      <x:c r="A4388">
        <x:v>54205</x:v>
      </x:c>
      <x:c r="B4388">
        <x:v>2</x:v>
      </x:c>
      <x:c r="C4388">
        <x:v>7</x:v>
      </x:c>
      <x:c r="D4388">
        <x:f>ROUND($C4388*10*VLOOKUP($B4388,Sheet2!$J$5:$K$7,2,FALSE)*VLOOKUP(Sheet1!$A4388,Sheet2!$B$5:$H$29,3,FALSE),0)</x:f>
        <x:v>0</x:v>
      </x:c>
      <x:c r="E4388">
        <x:f>ROUND($C4388*10*VLOOKUP($B4388,Sheet2!$J$5:$K$7,2,FALSE)*VLOOKUP(Sheet1!$A4388,Sheet2!$B$5:$H$29,4,FALSE),0)</x:f>
        <x:v>0</x:v>
      </x:c>
      <x:c r="F4388">
        <x:f>ROUND($C4388*10*VLOOKUP($B4388,Sheet2!$J$5:$K$7,2,FALSE)*VLOOKUP(Sheet1!$A4388,Sheet2!$B$5:$H$29,5,FALSE),0)</x:f>
        <x:v>0</x:v>
      </x:c>
      <x:c r="G4388">
        <x:f>ROUND($C4388*10*VLOOKUP($B4388,Sheet2!$J$5:$K$7,2,FALSE)*VLOOKUP(Sheet1!$A4388,Sheet2!$B$5:$H$29,6,FALSE),0)</x:f>
        <x:v>0</x:v>
      </x:c>
      <x:c r="H4388">
        <x:f>ROUND($C4388*10*VLOOKUP($B4388,Sheet2!$J$5:$K$7,2,FALSE)*VLOOKUP(Sheet1!$A4388,Sheet2!$B$5:$H$29,7,FALSE),0)</x:f>
        <x:v>420</x:v>
      </x:c>
      <x:c r="I4388">
        <x:f t="shared" si="73"/>
        <x:v>1120</x:v>
      </x:c>
    </x:row>
    <x:row r="4389" spans="1:9" x14ac:dyDescent="0.15">
      <x:c r="A4389">
        <x:v>54205</x:v>
      </x:c>
      <x:c r="B4389">
        <x:v>2</x:v>
      </x:c>
      <x:c r="C4389">
        <x:v>8</x:v>
      </x:c>
      <x:c r="D4389">
        <x:f>ROUND($C4389*10*VLOOKUP($B4389,Sheet2!$J$5:$K$7,2,FALSE)*VLOOKUP(Sheet1!$A4389,Sheet2!$B$5:$H$29,3,FALSE),0)</x:f>
        <x:v>0</x:v>
      </x:c>
      <x:c r="E4389">
        <x:f>ROUND($C4389*10*VLOOKUP($B4389,Sheet2!$J$5:$K$7,2,FALSE)*VLOOKUP(Sheet1!$A4389,Sheet2!$B$5:$H$29,4,FALSE),0)</x:f>
        <x:v>0</x:v>
      </x:c>
      <x:c r="F4389">
        <x:f>ROUND($C4389*10*VLOOKUP($B4389,Sheet2!$J$5:$K$7,2,FALSE)*VLOOKUP(Sheet1!$A4389,Sheet2!$B$5:$H$29,5,FALSE),0)</x:f>
        <x:v>0</x:v>
      </x:c>
      <x:c r="G4389">
        <x:f>ROUND($C4389*10*VLOOKUP($B4389,Sheet2!$J$5:$K$7,2,FALSE)*VLOOKUP(Sheet1!$A4389,Sheet2!$B$5:$H$29,6,FALSE),0)</x:f>
        <x:v>0</x:v>
      </x:c>
      <x:c r="H4389">
        <x:f>ROUND($C4389*10*VLOOKUP($B4389,Sheet2!$J$5:$K$7,2,FALSE)*VLOOKUP(Sheet1!$A4389,Sheet2!$B$5:$H$29,7,FALSE),0)</x:f>
        <x:v>480</x:v>
      </x:c>
      <x:c r="I4389">
        <x:f t="shared" si="73"/>
        <x:v>1450</x:v>
      </x:c>
    </x:row>
    <x:row r="4390" spans="1:9" x14ac:dyDescent="0.15">
      <x:c r="A4390">
        <x:v>54205</x:v>
      </x:c>
      <x:c r="B4390">
        <x:v>2</x:v>
      </x:c>
      <x:c r="C4390">
        <x:v>9</x:v>
      </x:c>
      <x:c r="D4390">
        <x:f>ROUND($C4390*10*VLOOKUP($B4390,Sheet2!$J$5:$K$7,2,FALSE)*VLOOKUP(Sheet1!$A4390,Sheet2!$B$5:$H$29,3,FALSE),0)</x:f>
        <x:v>0</x:v>
      </x:c>
      <x:c r="E4390">
        <x:f>ROUND($C4390*10*VLOOKUP($B4390,Sheet2!$J$5:$K$7,2,FALSE)*VLOOKUP(Sheet1!$A4390,Sheet2!$B$5:$H$29,4,FALSE),0)</x:f>
        <x:v>0</x:v>
      </x:c>
      <x:c r="F4390">
        <x:f>ROUND($C4390*10*VLOOKUP($B4390,Sheet2!$J$5:$K$7,2,FALSE)*VLOOKUP(Sheet1!$A4390,Sheet2!$B$5:$H$29,5,FALSE),0)</x:f>
        <x:v>0</x:v>
      </x:c>
      <x:c r="G4390">
        <x:f>ROUND($C4390*10*VLOOKUP($B4390,Sheet2!$J$5:$K$7,2,FALSE)*VLOOKUP(Sheet1!$A4390,Sheet2!$B$5:$H$29,6,FALSE),0)</x:f>
        <x:v>0</x:v>
      </x:c>
      <x:c r="H4390">
        <x:f>ROUND($C4390*10*VLOOKUP($B4390,Sheet2!$J$5:$K$7,2,FALSE)*VLOOKUP(Sheet1!$A4390,Sheet2!$B$5:$H$29,7,FALSE),0)</x:f>
        <x:v>540</x:v>
      </x:c>
      <x:c r="I4390">
        <x:f t="shared" si="73"/>
        <x:v>1830</x:v>
      </x:c>
    </x:row>
    <x:row r="4391" spans="1:9" x14ac:dyDescent="0.15">
      <x:c r="A4391">
        <x:v>54205</x:v>
      </x:c>
      <x:c r="B4391">
        <x:v>2</x:v>
      </x:c>
      <x:c r="C4391">
        <x:v>10</x:v>
      </x:c>
      <x:c r="D4391">
        <x:f>ROUND($C4391*10*VLOOKUP($B4391,Sheet2!$J$5:$K$7,2,FALSE)*VLOOKUP(Sheet1!$A4391,Sheet2!$B$5:$H$29,3,FALSE),0)</x:f>
        <x:v>0</x:v>
      </x:c>
      <x:c r="E4391">
        <x:f>ROUND($C4391*10*VLOOKUP($B4391,Sheet2!$J$5:$K$7,2,FALSE)*VLOOKUP(Sheet1!$A4391,Sheet2!$B$5:$H$29,4,FALSE),0)</x:f>
        <x:v>0</x:v>
      </x:c>
      <x:c r="F4391">
        <x:f>ROUND($C4391*10*VLOOKUP($B4391,Sheet2!$J$5:$K$7,2,FALSE)*VLOOKUP(Sheet1!$A4391,Sheet2!$B$5:$H$29,5,FALSE),0)</x:f>
        <x:v>0</x:v>
      </x:c>
      <x:c r="G4391">
        <x:f>ROUND($C4391*10*VLOOKUP($B4391,Sheet2!$J$5:$K$7,2,FALSE)*VLOOKUP(Sheet1!$A4391,Sheet2!$B$5:$H$29,6,FALSE),0)</x:f>
        <x:v>0</x:v>
      </x:c>
      <x:c r="H4391">
        <x:f>ROUND($C4391*10*VLOOKUP($B4391,Sheet2!$J$5:$K$7,2,FALSE)*VLOOKUP(Sheet1!$A4391,Sheet2!$B$5:$H$29,7,FALSE),0)</x:f>
        <x:v>600</x:v>
      </x:c>
      <x:c r="I4391">
        <x:f t="shared" si="73"/>
        <x:v>2250</x:v>
      </x:c>
    </x:row>
    <x:row r="4392" spans="1:9" x14ac:dyDescent="0.15">
      <x:c r="A4392">
        <x:v>54205</x:v>
      </x:c>
      <x:c r="B4392">
        <x:v>2</x:v>
      </x:c>
      <x:c r="C4392">
        <x:v>11</x:v>
      </x:c>
      <x:c r="D4392">
        <x:f>ROUND($C4392*10*VLOOKUP($B4392,Sheet2!$J$5:$K$7,2,FALSE)*VLOOKUP(Sheet1!$A4392,Sheet2!$B$5:$H$29,3,FALSE),0)</x:f>
        <x:v>0</x:v>
      </x:c>
      <x:c r="E4392">
        <x:f>ROUND($C4392*10*VLOOKUP($B4392,Sheet2!$J$5:$K$7,2,FALSE)*VLOOKUP(Sheet1!$A4392,Sheet2!$B$5:$H$29,4,FALSE),0)</x:f>
        <x:v>0</x:v>
      </x:c>
      <x:c r="F4392">
        <x:f>ROUND($C4392*10*VLOOKUP($B4392,Sheet2!$J$5:$K$7,2,FALSE)*VLOOKUP(Sheet1!$A4392,Sheet2!$B$5:$H$29,5,FALSE),0)</x:f>
        <x:v>0</x:v>
      </x:c>
      <x:c r="G4392">
        <x:f>ROUND($C4392*10*VLOOKUP($B4392,Sheet2!$J$5:$K$7,2,FALSE)*VLOOKUP(Sheet1!$A4392,Sheet2!$B$5:$H$29,6,FALSE),0)</x:f>
        <x:v>0</x:v>
      </x:c>
      <x:c r="H4392">
        <x:f>ROUND($C4392*10*VLOOKUP($B4392,Sheet2!$J$5:$K$7,2,FALSE)*VLOOKUP(Sheet1!$A4392,Sheet2!$B$5:$H$29,7,FALSE),0)</x:f>
        <x:v>660</x:v>
      </x:c>
      <x:c r="I4392">
        <x:f t="shared" si="73"/>
        <x:v>2710</x:v>
      </x:c>
    </x:row>
    <x:row r="4393" spans="1:9" x14ac:dyDescent="0.15">
      <x:c r="A4393">
        <x:v>54205</x:v>
      </x:c>
      <x:c r="B4393">
        <x:v>2</x:v>
      </x:c>
      <x:c r="C4393">
        <x:v>12</x:v>
      </x:c>
      <x:c r="D4393">
        <x:f>ROUND($C4393*10*VLOOKUP($B4393,Sheet2!$J$5:$K$7,2,FALSE)*VLOOKUP(Sheet1!$A4393,Sheet2!$B$5:$H$29,3,FALSE),0)</x:f>
        <x:v>0</x:v>
      </x:c>
      <x:c r="E4393">
        <x:f>ROUND($C4393*10*VLOOKUP($B4393,Sheet2!$J$5:$K$7,2,FALSE)*VLOOKUP(Sheet1!$A4393,Sheet2!$B$5:$H$29,4,FALSE),0)</x:f>
        <x:v>0</x:v>
      </x:c>
      <x:c r="F4393">
        <x:f>ROUND($C4393*10*VLOOKUP($B4393,Sheet2!$J$5:$K$7,2,FALSE)*VLOOKUP(Sheet1!$A4393,Sheet2!$B$5:$H$29,5,FALSE),0)</x:f>
        <x:v>0</x:v>
      </x:c>
      <x:c r="G4393">
        <x:f>ROUND($C4393*10*VLOOKUP($B4393,Sheet2!$J$5:$K$7,2,FALSE)*VLOOKUP(Sheet1!$A4393,Sheet2!$B$5:$H$29,6,FALSE),0)</x:f>
        <x:v>0</x:v>
      </x:c>
      <x:c r="H4393">
        <x:f>ROUND($C4393*10*VLOOKUP($B4393,Sheet2!$J$5:$K$7,2,FALSE)*VLOOKUP(Sheet1!$A4393,Sheet2!$B$5:$H$29,7,FALSE),0)</x:f>
        <x:v>720</x:v>
      </x:c>
      <x:c r="I4393">
        <x:f t="shared" si="73"/>
        <x:v>3210</x:v>
      </x:c>
    </x:row>
    <x:row r="4394" spans="1:9" x14ac:dyDescent="0.15">
      <x:c r="A4394">
        <x:v>54205</x:v>
      </x:c>
      <x:c r="B4394">
        <x:v>2</x:v>
      </x:c>
      <x:c r="C4394">
        <x:v>13</x:v>
      </x:c>
      <x:c r="D4394">
        <x:f>ROUND($C4394*10*VLOOKUP($B4394,Sheet2!$J$5:$K$7,2,FALSE)*VLOOKUP(Sheet1!$A4394,Sheet2!$B$5:$H$29,3,FALSE),0)</x:f>
        <x:v>0</x:v>
      </x:c>
      <x:c r="E4394">
        <x:f>ROUND($C4394*10*VLOOKUP($B4394,Sheet2!$J$5:$K$7,2,FALSE)*VLOOKUP(Sheet1!$A4394,Sheet2!$B$5:$H$29,4,FALSE),0)</x:f>
        <x:v>0</x:v>
      </x:c>
      <x:c r="F4394">
        <x:f>ROUND($C4394*10*VLOOKUP($B4394,Sheet2!$J$5:$K$7,2,FALSE)*VLOOKUP(Sheet1!$A4394,Sheet2!$B$5:$H$29,5,FALSE),0)</x:f>
        <x:v>0</x:v>
      </x:c>
      <x:c r="G4394">
        <x:f>ROUND($C4394*10*VLOOKUP($B4394,Sheet2!$J$5:$K$7,2,FALSE)*VLOOKUP(Sheet1!$A4394,Sheet2!$B$5:$H$29,6,FALSE),0)</x:f>
        <x:v>0</x:v>
      </x:c>
      <x:c r="H4394">
        <x:f>ROUND($C4394*10*VLOOKUP($B4394,Sheet2!$J$5:$K$7,2,FALSE)*VLOOKUP(Sheet1!$A4394,Sheet2!$B$5:$H$29,7,FALSE),0)</x:f>
        <x:v>780</x:v>
      </x:c>
      <x:c r="I4394">
        <x:f t="shared" si="73"/>
        <x:v>3740</x:v>
      </x:c>
    </x:row>
    <x:row r="4395" spans="1:9" x14ac:dyDescent="0.15">
      <x:c r="A4395">
        <x:v>54205</x:v>
      </x:c>
      <x:c r="B4395">
        <x:v>2</x:v>
      </x:c>
      <x:c r="C4395">
        <x:v>14</x:v>
      </x:c>
      <x:c r="D4395">
        <x:f>ROUND($C4395*10*VLOOKUP($B4395,Sheet2!$J$5:$K$7,2,FALSE)*VLOOKUP(Sheet1!$A4395,Sheet2!$B$5:$H$29,3,FALSE),0)</x:f>
        <x:v>0</x:v>
      </x:c>
      <x:c r="E4395">
        <x:f>ROUND($C4395*10*VLOOKUP($B4395,Sheet2!$J$5:$K$7,2,FALSE)*VLOOKUP(Sheet1!$A4395,Sheet2!$B$5:$H$29,4,FALSE),0)</x:f>
        <x:v>0</x:v>
      </x:c>
      <x:c r="F4395">
        <x:f>ROUND($C4395*10*VLOOKUP($B4395,Sheet2!$J$5:$K$7,2,FALSE)*VLOOKUP(Sheet1!$A4395,Sheet2!$B$5:$H$29,5,FALSE),0)</x:f>
        <x:v>0</x:v>
      </x:c>
      <x:c r="G4395">
        <x:f>ROUND($C4395*10*VLOOKUP($B4395,Sheet2!$J$5:$K$7,2,FALSE)*VLOOKUP(Sheet1!$A4395,Sheet2!$B$5:$H$29,6,FALSE),0)</x:f>
        <x:v>0</x:v>
      </x:c>
      <x:c r="H4395">
        <x:f>ROUND($C4395*10*VLOOKUP($B4395,Sheet2!$J$5:$K$7,2,FALSE)*VLOOKUP(Sheet1!$A4395,Sheet2!$B$5:$H$29,7,FALSE),0)</x:f>
        <x:v>840</x:v>
      </x:c>
      <x:c r="I4395">
        <x:f t="shared" si="73"/>
        <x:v>4310</x:v>
      </x:c>
    </x:row>
    <x:row r="4396" spans="1:9" x14ac:dyDescent="0.15">
      <x:c r="A4396">
        <x:v>54205</x:v>
      </x:c>
      <x:c r="B4396">
        <x:v>2</x:v>
      </x:c>
      <x:c r="C4396">
        <x:v>15</x:v>
      </x:c>
      <x:c r="D4396">
        <x:f>ROUND($C4396*10*VLOOKUP($B4396,Sheet2!$J$5:$K$7,2,FALSE)*VLOOKUP(Sheet1!$A4396,Sheet2!$B$5:$H$29,3,FALSE),0)</x:f>
        <x:v>0</x:v>
      </x:c>
      <x:c r="E4396">
        <x:f>ROUND($C4396*10*VLOOKUP($B4396,Sheet2!$J$5:$K$7,2,FALSE)*VLOOKUP(Sheet1!$A4396,Sheet2!$B$5:$H$29,4,FALSE),0)</x:f>
        <x:v>0</x:v>
      </x:c>
      <x:c r="F4396">
        <x:f>ROUND($C4396*10*VLOOKUP($B4396,Sheet2!$J$5:$K$7,2,FALSE)*VLOOKUP(Sheet1!$A4396,Sheet2!$B$5:$H$29,5,FALSE),0)</x:f>
        <x:v>0</x:v>
      </x:c>
      <x:c r="G4396">
        <x:f>ROUND($C4396*10*VLOOKUP($B4396,Sheet2!$J$5:$K$7,2,FALSE)*VLOOKUP(Sheet1!$A4396,Sheet2!$B$5:$H$29,6,FALSE),0)</x:f>
        <x:v>0</x:v>
      </x:c>
      <x:c r="H4396">
        <x:f>ROUND($C4396*10*VLOOKUP($B4396,Sheet2!$J$5:$K$7,2,FALSE)*VLOOKUP(Sheet1!$A4396,Sheet2!$B$5:$H$29,7,FALSE),0)</x:f>
        <x:v>900</x:v>
      </x:c>
      <x:c r="I4396">
        <x:f t="shared" si="73"/>
        <x:v>4920</x:v>
      </x:c>
    </x:row>
    <x:row r="4397" spans="1:9" x14ac:dyDescent="0.15">
      <x:c r="A4397">
        <x:v>54205</x:v>
      </x:c>
      <x:c r="B4397">
        <x:v>2</x:v>
      </x:c>
      <x:c r="C4397">
        <x:v>16</x:v>
      </x:c>
      <x:c r="D4397">
        <x:f>ROUND($C4397*10*VLOOKUP($B4397,Sheet2!$J$5:$K$7,2,FALSE)*VLOOKUP(Sheet1!$A4397,Sheet2!$B$5:$H$29,3,FALSE),0)</x:f>
        <x:v>0</x:v>
      </x:c>
      <x:c r="E4397">
        <x:f>ROUND($C4397*10*VLOOKUP($B4397,Sheet2!$J$5:$K$7,2,FALSE)*VLOOKUP(Sheet1!$A4397,Sheet2!$B$5:$H$29,4,FALSE),0)</x:f>
        <x:v>0</x:v>
      </x:c>
      <x:c r="F4397">
        <x:f>ROUND($C4397*10*VLOOKUP($B4397,Sheet2!$J$5:$K$7,2,FALSE)*VLOOKUP(Sheet1!$A4397,Sheet2!$B$5:$H$29,5,FALSE),0)</x:f>
        <x:v>0</x:v>
      </x:c>
      <x:c r="G4397">
        <x:f>ROUND($C4397*10*VLOOKUP($B4397,Sheet2!$J$5:$K$7,2,FALSE)*VLOOKUP(Sheet1!$A4397,Sheet2!$B$5:$H$29,6,FALSE),0)</x:f>
        <x:v>0</x:v>
      </x:c>
      <x:c r="H4397">
        <x:f>ROUND($C4397*10*VLOOKUP($B4397,Sheet2!$J$5:$K$7,2,FALSE)*VLOOKUP(Sheet1!$A4397,Sheet2!$B$5:$H$29,7,FALSE),0)</x:f>
        <x:v>960</x:v>
      </x:c>
      <x:c r="I4397">
        <x:f t="shared" si="73"/>
        <x:v>5560</x:v>
      </x:c>
    </x:row>
    <x:row r="4398" spans="1:9" x14ac:dyDescent="0.15">
      <x:c r="A4398">
        <x:v>54205</x:v>
      </x:c>
      <x:c r="B4398">
        <x:v>2</x:v>
      </x:c>
      <x:c r="C4398">
        <x:v>17</x:v>
      </x:c>
      <x:c r="D4398">
        <x:f>ROUND($C4398*10*VLOOKUP($B4398,Sheet2!$J$5:$K$7,2,FALSE)*VLOOKUP(Sheet1!$A4398,Sheet2!$B$5:$H$29,3,FALSE),0)</x:f>
        <x:v>0</x:v>
      </x:c>
      <x:c r="E4398">
        <x:f>ROUND($C4398*10*VLOOKUP($B4398,Sheet2!$J$5:$K$7,2,FALSE)*VLOOKUP(Sheet1!$A4398,Sheet2!$B$5:$H$29,4,FALSE),0)</x:f>
        <x:v>0</x:v>
      </x:c>
      <x:c r="F4398">
        <x:f>ROUND($C4398*10*VLOOKUP($B4398,Sheet2!$J$5:$K$7,2,FALSE)*VLOOKUP(Sheet1!$A4398,Sheet2!$B$5:$H$29,5,FALSE),0)</x:f>
        <x:v>0</x:v>
      </x:c>
      <x:c r="G4398">
        <x:f>ROUND($C4398*10*VLOOKUP($B4398,Sheet2!$J$5:$K$7,2,FALSE)*VLOOKUP(Sheet1!$A4398,Sheet2!$B$5:$H$29,6,FALSE),0)</x:f>
        <x:v>0</x:v>
      </x:c>
      <x:c r="H4398">
        <x:f>ROUND($C4398*10*VLOOKUP($B4398,Sheet2!$J$5:$K$7,2,FALSE)*VLOOKUP(Sheet1!$A4398,Sheet2!$B$5:$H$29,7,FALSE),0)</x:f>
        <x:v>1020</x:v>
      </x:c>
      <x:c r="I4398">
        <x:f t="shared" si="73"/>
        <x:v>6240</x:v>
      </x:c>
    </x:row>
    <x:row r="4399" spans="1:9" x14ac:dyDescent="0.15">
      <x:c r="A4399">
        <x:v>54205</x:v>
      </x:c>
      <x:c r="B4399">
        <x:v>2</x:v>
      </x:c>
      <x:c r="C4399">
        <x:v>18</x:v>
      </x:c>
      <x:c r="D4399">
        <x:f>ROUND($C4399*10*VLOOKUP($B4399,Sheet2!$J$5:$K$7,2,FALSE)*VLOOKUP(Sheet1!$A4399,Sheet2!$B$5:$H$29,3,FALSE),0)</x:f>
        <x:v>0</x:v>
      </x:c>
      <x:c r="E4399">
        <x:f>ROUND($C4399*10*VLOOKUP($B4399,Sheet2!$J$5:$K$7,2,FALSE)*VLOOKUP(Sheet1!$A4399,Sheet2!$B$5:$H$29,4,FALSE),0)</x:f>
        <x:v>0</x:v>
      </x:c>
      <x:c r="F4399">
        <x:f>ROUND($C4399*10*VLOOKUP($B4399,Sheet2!$J$5:$K$7,2,FALSE)*VLOOKUP(Sheet1!$A4399,Sheet2!$B$5:$H$29,5,FALSE),0)</x:f>
        <x:v>0</x:v>
      </x:c>
      <x:c r="G4399">
        <x:f>ROUND($C4399*10*VLOOKUP($B4399,Sheet2!$J$5:$K$7,2,FALSE)*VLOOKUP(Sheet1!$A4399,Sheet2!$B$5:$H$29,6,FALSE),0)</x:f>
        <x:v>0</x:v>
      </x:c>
      <x:c r="H4399">
        <x:f>ROUND($C4399*10*VLOOKUP($B4399,Sheet2!$J$5:$K$7,2,FALSE)*VLOOKUP(Sheet1!$A4399,Sheet2!$B$5:$H$29,7,FALSE),0)</x:f>
        <x:v>1080</x:v>
      </x:c>
      <x:c r="I4399">
        <x:f t="shared" si="73"/>
        <x:v>6950</x:v>
      </x:c>
    </x:row>
    <x:row r="4400" spans="1:9" x14ac:dyDescent="0.15">
      <x:c r="A4400">
        <x:v>54205</x:v>
      </x:c>
      <x:c r="B4400">
        <x:v>2</x:v>
      </x:c>
      <x:c r="C4400">
        <x:v>19</x:v>
      </x:c>
      <x:c r="D4400">
        <x:f>ROUND($C4400*10*VLOOKUP($B4400,Sheet2!$J$5:$K$7,2,FALSE)*VLOOKUP(Sheet1!$A4400,Sheet2!$B$5:$H$29,3,FALSE),0)</x:f>
        <x:v>0</x:v>
      </x:c>
      <x:c r="E4400">
        <x:f>ROUND($C4400*10*VLOOKUP($B4400,Sheet2!$J$5:$K$7,2,FALSE)*VLOOKUP(Sheet1!$A4400,Sheet2!$B$5:$H$29,4,FALSE),0)</x:f>
        <x:v>0</x:v>
      </x:c>
      <x:c r="F4400">
        <x:f>ROUND($C4400*10*VLOOKUP($B4400,Sheet2!$J$5:$K$7,2,FALSE)*VLOOKUP(Sheet1!$A4400,Sheet2!$B$5:$H$29,5,FALSE),0)</x:f>
        <x:v>0</x:v>
      </x:c>
      <x:c r="G4400">
        <x:f>ROUND($C4400*10*VLOOKUP($B4400,Sheet2!$J$5:$K$7,2,FALSE)*VLOOKUP(Sheet1!$A4400,Sheet2!$B$5:$H$29,6,FALSE),0)</x:f>
        <x:v>0</x:v>
      </x:c>
      <x:c r="H4400">
        <x:f>ROUND($C4400*10*VLOOKUP($B4400,Sheet2!$J$5:$K$7,2,FALSE)*VLOOKUP(Sheet1!$A4400,Sheet2!$B$5:$H$29,7,FALSE),0)</x:f>
        <x:v>1140</x:v>
      </x:c>
      <x:c r="I4400">
        <x:f t="shared" si="73"/>
        <x:v>7690</x:v>
      </x:c>
    </x:row>
    <x:row r="4401" spans="1:9" x14ac:dyDescent="0.15">
      <x:c r="A4401">
        <x:v>54205</x:v>
      </x:c>
      <x:c r="B4401">
        <x:v>2</x:v>
      </x:c>
      <x:c r="C4401">
        <x:v>20</x:v>
      </x:c>
      <x:c r="D4401">
        <x:f>ROUND($C4401*10*VLOOKUP($B4401,Sheet2!$J$5:$K$7,2,FALSE)*VLOOKUP(Sheet1!$A4401,Sheet2!$B$5:$H$29,3,FALSE),0)</x:f>
        <x:v>0</x:v>
      </x:c>
      <x:c r="E4401">
        <x:f>ROUND($C4401*10*VLOOKUP($B4401,Sheet2!$J$5:$K$7,2,FALSE)*VLOOKUP(Sheet1!$A4401,Sheet2!$B$5:$H$29,4,FALSE),0)</x:f>
        <x:v>0</x:v>
      </x:c>
      <x:c r="F4401">
        <x:f>ROUND($C4401*10*VLOOKUP($B4401,Sheet2!$J$5:$K$7,2,FALSE)*VLOOKUP(Sheet1!$A4401,Sheet2!$B$5:$H$29,5,FALSE),0)</x:f>
        <x:v>0</x:v>
      </x:c>
      <x:c r="G4401">
        <x:f>ROUND($C4401*10*VLOOKUP($B4401,Sheet2!$J$5:$K$7,2,FALSE)*VLOOKUP(Sheet1!$A4401,Sheet2!$B$5:$H$29,6,FALSE),0)</x:f>
        <x:v>0</x:v>
      </x:c>
      <x:c r="H4401">
        <x:f>ROUND($C4401*10*VLOOKUP($B4401,Sheet2!$J$5:$K$7,2,FALSE)*VLOOKUP(Sheet1!$A4401,Sheet2!$B$5:$H$29,7,FALSE),0)</x:f>
        <x:v>1200</x:v>
      </x:c>
      <x:c r="I4401">
        <x:f t="shared" si="73"/>
        <x:v>8470</x:v>
      </x:c>
    </x:row>
    <x:row r="4402" spans="1:9" x14ac:dyDescent="0.15">
      <x:c r="A4402">
        <x:v>54205</x:v>
      </x:c>
      <x:c r="B4402">
        <x:v>2</x:v>
      </x:c>
      <x:c r="C4402">
        <x:v>21</x:v>
      </x:c>
      <x:c r="D4402">
        <x:f>ROUND($C4402*10*VLOOKUP($B4402,Sheet2!$J$5:$K$7,2,FALSE)*VLOOKUP(Sheet1!$A4402,Sheet2!$B$5:$H$29,3,FALSE),0)</x:f>
        <x:v>0</x:v>
      </x:c>
      <x:c r="E4402">
        <x:f>ROUND($C4402*10*VLOOKUP($B4402,Sheet2!$J$5:$K$7,2,FALSE)*VLOOKUP(Sheet1!$A4402,Sheet2!$B$5:$H$29,4,FALSE),0)</x:f>
        <x:v>0</x:v>
      </x:c>
      <x:c r="F4402">
        <x:f>ROUND($C4402*10*VLOOKUP($B4402,Sheet2!$J$5:$K$7,2,FALSE)*VLOOKUP(Sheet1!$A4402,Sheet2!$B$5:$H$29,5,FALSE),0)</x:f>
        <x:v>0</x:v>
      </x:c>
      <x:c r="G4402">
        <x:f>ROUND($C4402*10*VLOOKUP($B4402,Sheet2!$J$5:$K$7,2,FALSE)*VLOOKUP(Sheet1!$A4402,Sheet2!$B$5:$H$29,6,FALSE),0)</x:f>
        <x:v>0</x:v>
      </x:c>
      <x:c r="H4402">
        <x:f>ROUND($C4402*10*VLOOKUP($B4402,Sheet2!$J$5:$K$7,2,FALSE)*VLOOKUP(Sheet1!$A4402,Sheet2!$B$5:$H$29,7,FALSE),0)</x:f>
        <x:v>1260</x:v>
      </x:c>
      <x:c r="I4402">
        <x:f t="shared" si="73"/>
        <x:v>9290</x:v>
      </x:c>
    </x:row>
    <x:row r="4403" spans="1:9" x14ac:dyDescent="0.15">
      <x:c r="A4403">
        <x:v>54205</x:v>
      </x:c>
      <x:c r="B4403">
        <x:v>2</x:v>
      </x:c>
      <x:c r="C4403">
        <x:v>22</x:v>
      </x:c>
      <x:c r="D4403">
        <x:f>ROUND($C4403*10*VLOOKUP($B4403,Sheet2!$J$5:$K$7,2,FALSE)*VLOOKUP(Sheet1!$A4403,Sheet2!$B$5:$H$29,3,FALSE),0)</x:f>
        <x:v>0</x:v>
      </x:c>
      <x:c r="E4403">
        <x:f>ROUND($C4403*10*VLOOKUP($B4403,Sheet2!$J$5:$K$7,2,FALSE)*VLOOKUP(Sheet1!$A4403,Sheet2!$B$5:$H$29,4,FALSE),0)</x:f>
        <x:v>0</x:v>
      </x:c>
      <x:c r="F4403">
        <x:f>ROUND($C4403*10*VLOOKUP($B4403,Sheet2!$J$5:$K$7,2,FALSE)*VLOOKUP(Sheet1!$A4403,Sheet2!$B$5:$H$29,5,FALSE),0)</x:f>
        <x:v>0</x:v>
      </x:c>
      <x:c r="G4403">
        <x:f>ROUND($C4403*10*VLOOKUP($B4403,Sheet2!$J$5:$K$7,2,FALSE)*VLOOKUP(Sheet1!$A4403,Sheet2!$B$5:$H$29,6,FALSE),0)</x:f>
        <x:v>0</x:v>
      </x:c>
      <x:c r="H4403">
        <x:f>ROUND($C4403*10*VLOOKUP($B4403,Sheet2!$J$5:$K$7,2,FALSE)*VLOOKUP(Sheet1!$A4403,Sheet2!$B$5:$H$29,7,FALSE),0)</x:f>
        <x:v>1320</x:v>
      </x:c>
      <x:c r="I4403">
        <x:f t="shared" si="73"/>
        <x:v>10130</x:v>
      </x:c>
    </x:row>
    <x:row r="4404" spans="1:9" x14ac:dyDescent="0.15">
      <x:c r="A4404">
        <x:v>54205</x:v>
      </x:c>
      <x:c r="B4404">
        <x:v>2</x:v>
      </x:c>
      <x:c r="C4404">
        <x:v>23</x:v>
      </x:c>
      <x:c r="D4404">
        <x:f>ROUND($C4404*10*VLOOKUP($B4404,Sheet2!$J$5:$K$7,2,FALSE)*VLOOKUP(Sheet1!$A4404,Sheet2!$B$5:$H$29,3,FALSE),0)</x:f>
        <x:v>0</x:v>
      </x:c>
      <x:c r="E4404">
        <x:f>ROUND($C4404*10*VLOOKUP($B4404,Sheet2!$J$5:$K$7,2,FALSE)*VLOOKUP(Sheet1!$A4404,Sheet2!$B$5:$H$29,4,FALSE),0)</x:f>
        <x:v>0</x:v>
      </x:c>
      <x:c r="F4404">
        <x:f>ROUND($C4404*10*VLOOKUP($B4404,Sheet2!$J$5:$K$7,2,FALSE)*VLOOKUP(Sheet1!$A4404,Sheet2!$B$5:$H$29,5,FALSE),0)</x:f>
        <x:v>0</x:v>
      </x:c>
      <x:c r="G4404">
        <x:f>ROUND($C4404*10*VLOOKUP($B4404,Sheet2!$J$5:$K$7,2,FALSE)*VLOOKUP(Sheet1!$A4404,Sheet2!$B$5:$H$29,6,FALSE),0)</x:f>
        <x:v>0</x:v>
      </x:c>
      <x:c r="H4404">
        <x:f>ROUND($C4404*10*VLOOKUP($B4404,Sheet2!$J$5:$K$7,2,FALSE)*VLOOKUP(Sheet1!$A4404,Sheet2!$B$5:$H$29,7,FALSE),0)</x:f>
        <x:v>1380</x:v>
      </x:c>
      <x:c r="I4404">
        <x:f t="shared" si="73"/>
        <x:v>11010</x:v>
      </x:c>
    </x:row>
    <x:row r="4405" spans="1:9" x14ac:dyDescent="0.15">
      <x:c r="A4405">
        <x:v>54205</x:v>
      </x:c>
      <x:c r="B4405">
        <x:v>2</x:v>
      </x:c>
      <x:c r="C4405">
        <x:v>24</x:v>
      </x:c>
      <x:c r="D4405">
        <x:f>ROUND($C4405*10*VLOOKUP($B4405,Sheet2!$J$5:$K$7,2,FALSE)*VLOOKUP(Sheet1!$A4405,Sheet2!$B$5:$H$29,3,FALSE),0)</x:f>
        <x:v>0</x:v>
      </x:c>
      <x:c r="E4405">
        <x:f>ROUND($C4405*10*VLOOKUP($B4405,Sheet2!$J$5:$K$7,2,FALSE)*VLOOKUP(Sheet1!$A4405,Sheet2!$B$5:$H$29,4,FALSE),0)</x:f>
        <x:v>0</x:v>
      </x:c>
      <x:c r="F4405">
        <x:f>ROUND($C4405*10*VLOOKUP($B4405,Sheet2!$J$5:$K$7,2,FALSE)*VLOOKUP(Sheet1!$A4405,Sheet2!$B$5:$H$29,5,FALSE),0)</x:f>
        <x:v>0</x:v>
      </x:c>
      <x:c r="G4405">
        <x:f>ROUND($C4405*10*VLOOKUP($B4405,Sheet2!$J$5:$K$7,2,FALSE)*VLOOKUP(Sheet1!$A4405,Sheet2!$B$5:$H$29,6,FALSE),0)</x:f>
        <x:v>0</x:v>
      </x:c>
      <x:c r="H4405">
        <x:f>ROUND($C4405*10*VLOOKUP($B4405,Sheet2!$J$5:$K$7,2,FALSE)*VLOOKUP(Sheet1!$A4405,Sheet2!$B$5:$H$29,7,FALSE),0)</x:f>
        <x:v>1440</x:v>
      </x:c>
      <x:c r="I4405">
        <x:f t="shared" si="73"/>
        <x:v>11930</x:v>
      </x:c>
    </x:row>
    <x:row r="4406" spans="1:9" x14ac:dyDescent="0.15">
      <x:c r="A4406">
        <x:v>54205</x:v>
      </x:c>
      <x:c r="B4406">
        <x:v>2</x:v>
      </x:c>
      <x:c r="C4406">
        <x:v>25</x:v>
      </x:c>
      <x:c r="D4406">
        <x:f>ROUND($C4406*10*VLOOKUP($B4406,Sheet2!$J$5:$K$7,2,FALSE)*VLOOKUP(Sheet1!$A4406,Sheet2!$B$5:$H$29,3,FALSE),0)</x:f>
        <x:v>0</x:v>
      </x:c>
      <x:c r="E4406">
        <x:f>ROUND($C4406*10*VLOOKUP($B4406,Sheet2!$J$5:$K$7,2,FALSE)*VLOOKUP(Sheet1!$A4406,Sheet2!$B$5:$H$29,4,FALSE),0)</x:f>
        <x:v>0</x:v>
      </x:c>
      <x:c r="F4406">
        <x:f>ROUND($C4406*10*VLOOKUP($B4406,Sheet2!$J$5:$K$7,2,FALSE)*VLOOKUP(Sheet1!$A4406,Sheet2!$B$5:$H$29,5,FALSE),0)</x:f>
        <x:v>0</x:v>
      </x:c>
      <x:c r="G4406">
        <x:f>ROUND($C4406*10*VLOOKUP($B4406,Sheet2!$J$5:$K$7,2,FALSE)*VLOOKUP(Sheet1!$A4406,Sheet2!$B$5:$H$29,6,FALSE),0)</x:f>
        <x:v>0</x:v>
      </x:c>
      <x:c r="H4406">
        <x:f>ROUND($C4406*10*VLOOKUP($B4406,Sheet2!$J$5:$K$7,2,FALSE)*VLOOKUP(Sheet1!$A4406,Sheet2!$B$5:$H$29,7,FALSE),0)</x:f>
        <x:v>1500</x:v>
      </x:c>
      <x:c r="I4406">
        <x:f t="shared" si="73"/>
        <x:v>12870</x:v>
      </x:c>
    </x:row>
    <x:row r="4407" spans="1:9" x14ac:dyDescent="0.15">
      <x:c r="A4407">
        <x:v>54205</x:v>
      </x:c>
      <x:c r="B4407">
        <x:v>2</x:v>
      </x:c>
      <x:c r="C4407">
        <x:v>26</x:v>
      </x:c>
      <x:c r="D4407">
        <x:f>ROUND($C4407*10*VLOOKUP($B4407,Sheet2!$J$5:$K$7,2,FALSE)*VLOOKUP(Sheet1!$A4407,Sheet2!$B$5:$H$29,3,FALSE),0)</x:f>
        <x:v>0</x:v>
      </x:c>
      <x:c r="E4407">
        <x:f>ROUND($C4407*10*VLOOKUP($B4407,Sheet2!$J$5:$K$7,2,FALSE)*VLOOKUP(Sheet1!$A4407,Sheet2!$B$5:$H$29,4,FALSE),0)</x:f>
        <x:v>0</x:v>
      </x:c>
      <x:c r="F4407">
        <x:f>ROUND($C4407*10*VLOOKUP($B4407,Sheet2!$J$5:$K$7,2,FALSE)*VLOOKUP(Sheet1!$A4407,Sheet2!$B$5:$H$29,5,FALSE),0)</x:f>
        <x:v>0</x:v>
      </x:c>
      <x:c r="G4407">
        <x:f>ROUND($C4407*10*VLOOKUP($B4407,Sheet2!$J$5:$K$7,2,FALSE)*VLOOKUP(Sheet1!$A4407,Sheet2!$B$5:$H$29,6,FALSE),0)</x:f>
        <x:v>0</x:v>
      </x:c>
      <x:c r="H4407">
        <x:f>ROUND($C4407*10*VLOOKUP($B4407,Sheet2!$J$5:$K$7,2,FALSE)*VLOOKUP(Sheet1!$A4407,Sheet2!$B$5:$H$29,7,FALSE),0)</x:f>
        <x:v>1560</x:v>
      </x:c>
      <x:c r="I4407">
        <x:f t="shared" si="73"/>
        <x:v>13850</x:v>
      </x:c>
    </x:row>
    <x:row r="4408" spans="1:9" x14ac:dyDescent="0.15">
      <x:c r="A4408">
        <x:v>54205</x:v>
      </x:c>
      <x:c r="B4408">
        <x:v>2</x:v>
      </x:c>
      <x:c r="C4408">
        <x:v>27</x:v>
      </x:c>
      <x:c r="D4408">
        <x:f>ROUND($C4408*10*VLOOKUP($B4408,Sheet2!$J$5:$K$7,2,FALSE)*VLOOKUP(Sheet1!$A4408,Sheet2!$B$5:$H$29,3,FALSE),0)</x:f>
        <x:v>0</x:v>
      </x:c>
      <x:c r="E4408">
        <x:f>ROUND($C4408*10*VLOOKUP($B4408,Sheet2!$J$5:$K$7,2,FALSE)*VLOOKUP(Sheet1!$A4408,Sheet2!$B$5:$H$29,4,FALSE),0)</x:f>
        <x:v>0</x:v>
      </x:c>
      <x:c r="F4408">
        <x:f>ROUND($C4408*10*VLOOKUP($B4408,Sheet2!$J$5:$K$7,2,FALSE)*VLOOKUP(Sheet1!$A4408,Sheet2!$B$5:$H$29,5,FALSE),0)</x:f>
        <x:v>0</x:v>
      </x:c>
      <x:c r="G4408">
        <x:f>ROUND($C4408*10*VLOOKUP($B4408,Sheet2!$J$5:$K$7,2,FALSE)*VLOOKUP(Sheet1!$A4408,Sheet2!$B$5:$H$29,6,FALSE),0)</x:f>
        <x:v>0</x:v>
      </x:c>
      <x:c r="H4408">
        <x:f>ROUND($C4408*10*VLOOKUP($B4408,Sheet2!$J$5:$K$7,2,FALSE)*VLOOKUP(Sheet1!$A4408,Sheet2!$B$5:$H$29,7,FALSE),0)</x:f>
        <x:v>1620</x:v>
      </x:c>
      <x:c r="I4408">
        <x:f t="shared" si="73"/>
        <x:v>14860</x:v>
      </x:c>
    </x:row>
    <x:row r="4409" spans="1:9" x14ac:dyDescent="0.15">
      <x:c r="A4409">
        <x:v>54205</x:v>
      </x:c>
      <x:c r="B4409">
        <x:v>2</x:v>
      </x:c>
      <x:c r="C4409">
        <x:v>28</x:v>
      </x:c>
      <x:c r="D4409">
        <x:f>ROUND($C4409*10*VLOOKUP($B4409,Sheet2!$J$5:$K$7,2,FALSE)*VLOOKUP(Sheet1!$A4409,Sheet2!$B$5:$H$29,3,FALSE),0)</x:f>
        <x:v>0</x:v>
      </x:c>
      <x:c r="E4409">
        <x:f>ROUND($C4409*10*VLOOKUP($B4409,Sheet2!$J$5:$K$7,2,FALSE)*VLOOKUP(Sheet1!$A4409,Sheet2!$B$5:$H$29,4,FALSE),0)</x:f>
        <x:v>0</x:v>
      </x:c>
      <x:c r="F4409">
        <x:f>ROUND($C4409*10*VLOOKUP($B4409,Sheet2!$J$5:$K$7,2,FALSE)*VLOOKUP(Sheet1!$A4409,Sheet2!$B$5:$H$29,5,FALSE),0)</x:f>
        <x:v>0</x:v>
      </x:c>
      <x:c r="G4409">
        <x:f>ROUND($C4409*10*VLOOKUP($B4409,Sheet2!$J$5:$K$7,2,FALSE)*VLOOKUP(Sheet1!$A4409,Sheet2!$B$5:$H$29,6,FALSE),0)</x:f>
        <x:v>0</x:v>
      </x:c>
      <x:c r="H4409">
        <x:f>ROUND($C4409*10*VLOOKUP($B4409,Sheet2!$J$5:$K$7,2,FALSE)*VLOOKUP(Sheet1!$A4409,Sheet2!$B$5:$H$29,7,FALSE),0)</x:f>
        <x:v>1680</x:v>
      </x:c>
      <x:c r="I4409">
        <x:f t="shared" si="73"/>
        <x:v>15900</x:v>
      </x:c>
    </x:row>
    <x:row r="4410" spans="1:9" x14ac:dyDescent="0.15">
      <x:c r="A4410">
        <x:v>54205</x:v>
      </x:c>
      <x:c r="B4410">
        <x:v>2</x:v>
      </x:c>
      <x:c r="C4410">
        <x:v>29</x:v>
      </x:c>
      <x:c r="D4410">
        <x:f>ROUND($C4410*10*VLOOKUP($B4410,Sheet2!$J$5:$K$7,2,FALSE)*VLOOKUP(Sheet1!$A4410,Sheet2!$B$5:$H$29,3,FALSE),0)</x:f>
        <x:v>0</x:v>
      </x:c>
      <x:c r="E4410">
        <x:f>ROUND($C4410*10*VLOOKUP($B4410,Sheet2!$J$5:$K$7,2,FALSE)*VLOOKUP(Sheet1!$A4410,Sheet2!$B$5:$H$29,4,FALSE),0)</x:f>
        <x:v>0</x:v>
      </x:c>
      <x:c r="F4410">
        <x:f>ROUND($C4410*10*VLOOKUP($B4410,Sheet2!$J$5:$K$7,2,FALSE)*VLOOKUP(Sheet1!$A4410,Sheet2!$B$5:$H$29,5,FALSE),0)</x:f>
        <x:v>0</x:v>
      </x:c>
      <x:c r="G4410">
        <x:f>ROUND($C4410*10*VLOOKUP($B4410,Sheet2!$J$5:$K$7,2,FALSE)*VLOOKUP(Sheet1!$A4410,Sheet2!$B$5:$H$29,6,FALSE),0)</x:f>
        <x:v>0</x:v>
      </x:c>
      <x:c r="H4410">
        <x:f>ROUND($C4410*10*VLOOKUP($B4410,Sheet2!$J$5:$K$7,2,FALSE)*VLOOKUP(Sheet1!$A4410,Sheet2!$B$5:$H$29,7,FALSE),0)</x:f>
        <x:v>1740</x:v>
      </x:c>
      <x:c r="I4410">
        <x:f t="shared" si="73"/>
        <x:v>16970</x:v>
      </x:c>
    </x:row>
    <x:row r="4411" spans="1:9" x14ac:dyDescent="0.15">
      <x:c r="A4411">
        <x:v>54205</x:v>
      </x:c>
      <x:c r="B4411">
        <x:v>2</x:v>
      </x:c>
      <x:c r="C4411">
        <x:v>30</x:v>
      </x:c>
      <x:c r="D4411">
        <x:f>ROUND($C4411*10*VLOOKUP($B4411,Sheet2!$J$5:$K$7,2,FALSE)*VLOOKUP(Sheet1!$A4411,Sheet2!$B$5:$H$29,3,FALSE),0)</x:f>
        <x:v>0</x:v>
      </x:c>
      <x:c r="E4411">
        <x:f>ROUND($C4411*10*VLOOKUP($B4411,Sheet2!$J$5:$K$7,2,FALSE)*VLOOKUP(Sheet1!$A4411,Sheet2!$B$5:$H$29,4,FALSE),0)</x:f>
        <x:v>0</x:v>
      </x:c>
      <x:c r="F4411">
        <x:f>ROUND($C4411*10*VLOOKUP($B4411,Sheet2!$J$5:$K$7,2,FALSE)*VLOOKUP(Sheet1!$A4411,Sheet2!$B$5:$H$29,5,FALSE),0)</x:f>
        <x:v>0</x:v>
      </x:c>
      <x:c r="G4411">
        <x:f>ROUND($C4411*10*VLOOKUP($B4411,Sheet2!$J$5:$K$7,2,FALSE)*VLOOKUP(Sheet1!$A4411,Sheet2!$B$5:$H$29,6,FALSE),0)</x:f>
        <x:v>0</x:v>
      </x:c>
      <x:c r="H4411">
        <x:f>ROUND($C4411*10*VLOOKUP($B4411,Sheet2!$J$5:$K$7,2,FALSE)*VLOOKUP(Sheet1!$A4411,Sheet2!$B$5:$H$29,7,FALSE),0)</x:f>
        <x:v>1800</x:v>
      </x:c>
      <x:c r="I4411">
        <x:f t="shared" si="73"/>
        <x:v>18070</x:v>
      </x:c>
    </x:row>
    <x:row r="4412" spans="1:9" x14ac:dyDescent="0.15">
      <x:c r="A4412">
        <x:v>54205</x:v>
      </x:c>
      <x:c r="B4412">
        <x:v>2</x:v>
      </x:c>
      <x:c r="C4412">
        <x:v>31</x:v>
      </x:c>
      <x:c r="D4412">
        <x:f>ROUND($C4412*10*VLOOKUP($B4412,Sheet2!$J$5:$K$7,2,FALSE)*VLOOKUP(Sheet1!$A4412,Sheet2!$B$5:$H$29,3,FALSE),0)</x:f>
        <x:v>0</x:v>
      </x:c>
      <x:c r="E4412">
        <x:f>ROUND($C4412*10*VLOOKUP($B4412,Sheet2!$J$5:$K$7,2,FALSE)*VLOOKUP(Sheet1!$A4412,Sheet2!$B$5:$H$29,4,FALSE),0)</x:f>
        <x:v>0</x:v>
      </x:c>
      <x:c r="F4412">
        <x:f>ROUND($C4412*10*VLOOKUP($B4412,Sheet2!$J$5:$K$7,2,FALSE)*VLOOKUP(Sheet1!$A4412,Sheet2!$B$5:$H$29,5,FALSE),0)</x:f>
        <x:v>0</x:v>
      </x:c>
      <x:c r="G4412">
        <x:f>ROUND($C4412*10*VLOOKUP($B4412,Sheet2!$J$5:$K$7,2,FALSE)*VLOOKUP(Sheet1!$A4412,Sheet2!$B$5:$H$29,6,FALSE),0)</x:f>
        <x:v>0</x:v>
      </x:c>
      <x:c r="H4412">
        <x:f>ROUND($C4412*10*VLOOKUP($B4412,Sheet2!$J$5:$K$7,2,FALSE)*VLOOKUP(Sheet1!$A4412,Sheet2!$B$5:$H$29,7,FALSE),0)</x:f>
        <x:v>1860</x:v>
      </x:c>
      <x:c r="I4412">
        <x:f t="shared" si="73"/>
        <x:v>19210</x:v>
      </x:c>
    </x:row>
    <x:row r="4413" spans="1:9" x14ac:dyDescent="0.15">
      <x:c r="A4413">
        <x:v>54205</x:v>
      </x:c>
      <x:c r="B4413">
        <x:v>2</x:v>
      </x:c>
      <x:c r="C4413">
        <x:v>32</x:v>
      </x:c>
      <x:c r="D4413">
        <x:f>ROUND($C4413*10*VLOOKUP($B4413,Sheet2!$J$5:$K$7,2,FALSE)*VLOOKUP(Sheet1!$A4413,Sheet2!$B$5:$H$29,3,FALSE),0)</x:f>
        <x:v>0</x:v>
      </x:c>
      <x:c r="E4413">
        <x:f>ROUND($C4413*10*VLOOKUP($B4413,Sheet2!$J$5:$K$7,2,FALSE)*VLOOKUP(Sheet1!$A4413,Sheet2!$B$5:$H$29,4,FALSE),0)</x:f>
        <x:v>0</x:v>
      </x:c>
      <x:c r="F4413">
        <x:f>ROUND($C4413*10*VLOOKUP($B4413,Sheet2!$J$5:$K$7,2,FALSE)*VLOOKUP(Sheet1!$A4413,Sheet2!$B$5:$H$29,5,FALSE),0)</x:f>
        <x:v>0</x:v>
      </x:c>
      <x:c r="G4413">
        <x:f>ROUND($C4413*10*VLOOKUP($B4413,Sheet2!$J$5:$K$7,2,FALSE)*VLOOKUP(Sheet1!$A4413,Sheet2!$B$5:$H$29,6,FALSE),0)</x:f>
        <x:v>0</x:v>
      </x:c>
      <x:c r="H4413">
        <x:f>ROUND($C4413*10*VLOOKUP($B4413,Sheet2!$J$5:$K$7,2,FALSE)*VLOOKUP(Sheet1!$A4413,Sheet2!$B$5:$H$29,7,FALSE),0)</x:f>
        <x:v>1920</x:v>
      </x:c>
      <x:c r="I4413">
        <x:f t="shared" si="73"/>
        <x:v>20370</x:v>
      </x:c>
    </x:row>
    <x:row r="4414" spans="1:9" x14ac:dyDescent="0.15">
      <x:c r="A4414">
        <x:v>54205</x:v>
      </x:c>
      <x:c r="B4414">
        <x:v>2</x:v>
      </x:c>
      <x:c r="C4414">
        <x:v>33</x:v>
      </x:c>
      <x:c r="D4414">
        <x:f>ROUND($C4414*10*VLOOKUP($B4414,Sheet2!$J$5:$K$7,2,FALSE)*VLOOKUP(Sheet1!$A4414,Sheet2!$B$5:$H$29,3,FALSE),0)</x:f>
        <x:v>0</x:v>
      </x:c>
      <x:c r="E4414">
        <x:f>ROUND($C4414*10*VLOOKUP($B4414,Sheet2!$J$5:$K$7,2,FALSE)*VLOOKUP(Sheet1!$A4414,Sheet2!$B$5:$H$29,4,FALSE),0)</x:f>
        <x:v>0</x:v>
      </x:c>
      <x:c r="F4414">
        <x:f>ROUND($C4414*10*VLOOKUP($B4414,Sheet2!$J$5:$K$7,2,FALSE)*VLOOKUP(Sheet1!$A4414,Sheet2!$B$5:$H$29,5,FALSE),0)</x:f>
        <x:v>0</x:v>
      </x:c>
      <x:c r="G4414">
        <x:f>ROUND($C4414*10*VLOOKUP($B4414,Sheet2!$J$5:$K$7,2,FALSE)*VLOOKUP(Sheet1!$A4414,Sheet2!$B$5:$H$29,6,FALSE),0)</x:f>
        <x:v>0</x:v>
      </x:c>
      <x:c r="H4414">
        <x:f>ROUND($C4414*10*VLOOKUP($B4414,Sheet2!$J$5:$K$7,2,FALSE)*VLOOKUP(Sheet1!$A4414,Sheet2!$B$5:$H$29,7,FALSE),0)</x:f>
        <x:v>1980</x:v>
      </x:c>
      <x:c r="I4414">
        <x:f t="shared" si="73"/>
        <x:v>21560</x:v>
      </x:c>
    </x:row>
    <x:row r="4415" spans="1:9" x14ac:dyDescent="0.15">
      <x:c r="A4415">
        <x:v>54205</x:v>
      </x:c>
      <x:c r="B4415">
        <x:v>2</x:v>
      </x:c>
      <x:c r="C4415">
        <x:v>34</x:v>
      </x:c>
      <x:c r="D4415">
        <x:f>ROUND($C4415*10*VLOOKUP($B4415,Sheet2!$J$5:$K$7,2,FALSE)*VLOOKUP(Sheet1!$A4415,Sheet2!$B$5:$H$29,3,FALSE),0)</x:f>
        <x:v>0</x:v>
      </x:c>
      <x:c r="E4415">
        <x:f>ROUND($C4415*10*VLOOKUP($B4415,Sheet2!$J$5:$K$7,2,FALSE)*VLOOKUP(Sheet1!$A4415,Sheet2!$B$5:$H$29,4,FALSE),0)</x:f>
        <x:v>0</x:v>
      </x:c>
      <x:c r="F4415">
        <x:f>ROUND($C4415*10*VLOOKUP($B4415,Sheet2!$J$5:$K$7,2,FALSE)*VLOOKUP(Sheet1!$A4415,Sheet2!$B$5:$H$29,5,FALSE),0)</x:f>
        <x:v>0</x:v>
      </x:c>
      <x:c r="G4415">
        <x:f>ROUND($C4415*10*VLOOKUP($B4415,Sheet2!$J$5:$K$7,2,FALSE)*VLOOKUP(Sheet1!$A4415,Sheet2!$B$5:$H$29,6,FALSE),0)</x:f>
        <x:v>0</x:v>
      </x:c>
      <x:c r="H4415">
        <x:f>ROUND($C4415*10*VLOOKUP($B4415,Sheet2!$J$5:$K$7,2,FALSE)*VLOOKUP(Sheet1!$A4415,Sheet2!$B$5:$H$29,7,FALSE),0)</x:f>
        <x:v>2040</x:v>
      </x:c>
      <x:c r="I4415">
        <x:f t="shared" si="73"/>
        <x:v>22790</x:v>
      </x:c>
    </x:row>
    <x:row r="4416" spans="1:9" x14ac:dyDescent="0.15">
      <x:c r="A4416">
        <x:v>54205</x:v>
      </x:c>
      <x:c r="B4416">
        <x:v>2</x:v>
      </x:c>
      <x:c r="C4416">
        <x:v>35</x:v>
      </x:c>
      <x:c r="D4416">
        <x:f>ROUND($C4416*10*VLOOKUP($B4416,Sheet2!$J$5:$K$7,2,FALSE)*VLOOKUP(Sheet1!$A4416,Sheet2!$B$5:$H$29,3,FALSE),0)</x:f>
        <x:v>0</x:v>
      </x:c>
      <x:c r="E4416">
        <x:f>ROUND($C4416*10*VLOOKUP($B4416,Sheet2!$J$5:$K$7,2,FALSE)*VLOOKUP(Sheet1!$A4416,Sheet2!$B$5:$H$29,4,FALSE),0)</x:f>
        <x:v>0</x:v>
      </x:c>
      <x:c r="F4416">
        <x:f>ROUND($C4416*10*VLOOKUP($B4416,Sheet2!$J$5:$K$7,2,FALSE)*VLOOKUP(Sheet1!$A4416,Sheet2!$B$5:$H$29,5,FALSE),0)</x:f>
        <x:v>0</x:v>
      </x:c>
      <x:c r="G4416">
        <x:f>ROUND($C4416*10*VLOOKUP($B4416,Sheet2!$J$5:$K$7,2,FALSE)*VLOOKUP(Sheet1!$A4416,Sheet2!$B$5:$H$29,6,FALSE),0)</x:f>
        <x:v>0</x:v>
      </x:c>
      <x:c r="H4416">
        <x:f>ROUND($C4416*10*VLOOKUP($B4416,Sheet2!$J$5:$K$7,2,FALSE)*VLOOKUP(Sheet1!$A4416,Sheet2!$B$5:$H$29,7,FALSE),0)</x:f>
        <x:v>2100</x:v>
      </x:c>
      <x:c r="I4416">
        <x:f t="shared" si="73"/>
        <x:v>24040</x:v>
      </x:c>
    </x:row>
    <x:row r="4417" spans="1:9" x14ac:dyDescent="0.15">
      <x:c r="A4417">
        <x:v>54205</x:v>
      </x:c>
      <x:c r="B4417">
        <x:v>2</x:v>
      </x:c>
      <x:c r="C4417">
        <x:v>36</x:v>
      </x:c>
      <x:c r="D4417">
        <x:f>ROUND($C4417*10*VLOOKUP($B4417,Sheet2!$J$5:$K$7,2,FALSE)*VLOOKUP(Sheet1!$A4417,Sheet2!$B$5:$H$29,3,FALSE),0)</x:f>
        <x:v>0</x:v>
      </x:c>
      <x:c r="E4417">
        <x:f>ROUND($C4417*10*VLOOKUP($B4417,Sheet2!$J$5:$K$7,2,FALSE)*VLOOKUP(Sheet1!$A4417,Sheet2!$B$5:$H$29,4,FALSE),0)</x:f>
        <x:v>0</x:v>
      </x:c>
      <x:c r="F4417">
        <x:f>ROUND($C4417*10*VLOOKUP($B4417,Sheet2!$J$5:$K$7,2,FALSE)*VLOOKUP(Sheet1!$A4417,Sheet2!$B$5:$H$29,5,FALSE),0)</x:f>
        <x:v>0</x:v>
      </x:c>
      <x:c r="G4417">
        <x:f>ROUND($C4417*10*VLOOKUP($B4417,Sheet2!$J$5:$K$7,2,FALSE)*VLOOKUP(Sheet1!$A4417,Sheet2!$B$5:$H$29,6,FALSE),0)</x:f>
        <x:v>0</x:v>
      </x:c>
      <x:c r="H4417">
        <x:f>ROUND($C4417*10*VLOOKUP($B4417,Sheet2!$J$5:$K$7,2,FALSE)*VLOOKUP(Sheet1!$A4417,Sheet2!$B$5:$H$29,7,FALSE),0)</x:f>
        <x:v>2160</x:v>
      </x:c>
      <x:c r="I4417">
        <x:f t="shared" si="73"/>
        <x:v>25330</x:v>
      </x:c>
    </x:row>
    <x:row r="4418" spans="1:9" x14ac:dyDescent="0.15">
      <x:c r="A4418">
        <x:v>54205</x:v>
      </x:c>
      <x:c r="B4418">
        <x:v>2</x:v>
      </x:c>
      <x:c r="C4418">
        <x:v>37</x:v>
      </x:c>
      <x:c r="D4418">
        <x:f>ROUND($C4418*10*VLOOKUP($B4418,Sheet2!$J$5:$K$7,2,FALSE)*VLOOKUP(Sheet1!$A4418,Sheet2!$B$5:$H$29,3,FALSE),0)</x:f>
        <x:v>0</x:v>
      </x:c>
      <x:c r="E4418">
        <x:f>ROUND($C4418*10*VLOOKUP($B4418,Sheet2!$J$5:$K$7,2,FALSE)*VLOOKUP(Sheet1!$A4418,Sheet2!$B$5:$H$29,4,FALSE),0)</x:f>
        <x:v>0</x:v>
      </x:c>
      <x:c r="F4418">
        <x:f>ROUND($C4418*10*VLOOKUP($B4418,Sheet2!$J$5:$K$7,2,FALSE)*VLOOKUP(Sheet1!$A4418,Sheet2!$B$5:$H$29,5,FALSE),0)</x:f>
        <x:v>0</x:v>
      </x:c>
      <x:c r="G4418">
        <x:f>ROUND($C4418*10*VLOOKUP($B4418,Sheet2!$J$5:$K$7,2,FALSE)*VLOOKUP(Sheet1!$A4418,Sheet2!$B$5:$H$29,6,FALSE),0)</x:f>
        <x:v>0</x:v>
      </x:c>
      <x:c r="H4418">
        <x:f>ROUND($C4418*10*VLOOKUP($B4418,Sheet2!$J$5:$K$7,2,FALSE)*VLOOKUP(Sheet1!$A4418,Sheet2!$B$5:$H$29,7,FALSE),0)</x:f>
        <x:v>2220</x:v>
      </x:c>
      <x:c r="I4418">
        <x:f t="shared" si="73"/>
        <x:v>26640</x:v>
      </x:c>
    </x:row>
    <x:row r="4419" spans="1:9" x14ac:dyDescent="0.15">
      <x:c r="A4419">
        <x:v>54205</x:v>
      </x:c>
      <x:c r="B4419">
        <x:v>2</x:v>
      </x:c>
      <x:c r="C4419">
        <x:v>38</x:v>
      </x:c>
      <x:c r="D4419">
        <x:f>ROUND($C4419*10*VLOOKUP($B4419,Sheet2!$J$5:$K$7,2,FALSE)*VLOOKUP(Sheet1!$A4419,Sheet2!$B$5:$H$29,3,FALSE),0)</x:f>
        <x:v>0</x:v>
      </x:c>
      <x:c r="E4419">
        <x:f>ROUND($C4419*10*VLOOKUP($B4419,Sheet2!$J$5:$K$7,2,FALSE)*VLOOKUP(Sheet1!$A4419,Sheet2!$B$5:$H$29,4,FALSE),0)</x:f>
        <x:v>0</x:v>
      </x:c>
      <x:c r="F4419">
        <x:f>ROUND($C4419*10*VLOOKUP($B4419,Sheet2!$J$5:$K$7,2,FALSE)*VLOOKUP(Sheet1!$A4419,Sheet2!$B$5:$H$29,5,FALSE),0)</x:f>
        <x:v>0</x:v>
      </x:c>
      <x:c r="G4419">
        <x:f>ROUND($C4419*10*VLOOKUP($B4419,Sheet2!$J$5:$K$7,2,FALSE)*VLOOKUP(Sheet1!$A4419,Sheet2!$B$5:$H$29,6,FALSE),0)</x:f>
        <x:v>0</x:v>
      </x:c>
      <x:c r="H4419">
        <x:f>ROUND($C4419*10*VLOOKUP($B4419,Sheet2!$J$5:$K$7,2,FALSE)*VLOOKUP(Sheet1!$A4419,Sheet2!$B$5:$H$29,7,FALSE),0)</x:f>
        <x:v>2280</x:v>
      </x:c>
      <x:c r="I4419">
        <x:f t="shared" si="73"/>
        <x:v>27990</x:v>
      </x:c>
    </x:row>
    <x:row r="4420" spans="1:9" x14ac:dyDescent="0.15">
      <x:c r="A4420">
        <x:v>54205</x:v>
      </x:c>
      <x:c r="B4420">
        <x:v>2</x:v>
      </x:c>
      <x:c r="C4420">
        <x:v>39</x:v>
      </x:c>
      <x:c r="D4420">
        <x:f>ROUND($C4420*10*VLOOKUP($B4420,Sheet2!$J$5:$K$7,2,FALSE)*VLOOKUP(Sheet1!$A4420,Sheet2!$B$5:$H$29,3,FALSE),0)</x:f>
        <x:v>0</x:v>
      </x:c>
      <x:c r="E4420">
        <x:f>ROUND($C4420*10*VLOOKUP($B4420,Sheet2!$J$5:$K$7,2,FALSE)*VLOOKUP(Sheet1!$A4420,Sheet2!$B$5:$H$29,4,FALSE),0)</x:f>
        <x:v>0</x:v>
      </x:c>
      <x:c r="F4420">
        <x:f>ROUND($C4420*10*VLOOKUP($B4420,Sheet2!$J$5:$K$7,2,FALSE)*VLOOKUP(Sheet1!$A4420,Sheet2!$B$5:$H$29,5,FALSE),0)</x:f>
        <x:v>0</x:v>
      </x:c>
      <x:c r="G4420">
        <x:f>ROUND($C4420*10*VLOOKUP($B4420,Sheet2!$J$5:$K$7,2,FALSE)*VLOOKUP(Sheet1!$A4420,Sheet2!$B$5:$H$29,6,FALSE),0)</x:f>
        <x:v>0</x:v>
      </x:c>
      <x:c r="H4420">
        <x:f>ROUND($C4420*10*VLOOKUP($B4420,Sheet2!$J$5:$K$7,2,FALSE)*VLOOKUP(Sheet1!$A4420,Sheet2!$B$5:$H$29,7,FALSE),0)</x:f>
        <x:v>2340</x:v>
      </x:c>
      <x:c r="I4420">
        <x:f t="shared" si="73"/>
        <x:v>29360</x:v>
      </x:c>
    </x:row>
    <x:row r="4421" spans="1:9" x14ac:dyDescent="0.15">
      <x:c r="A4421">
        <x:v>54205</x:v>
      </x:c>
      <x:c r="B4421">
        <x:v>2</x:v>
      </x:c>
      <x:c r="C4421">
        <x:v>40</x:v>
      </x:c>
      <x:c r="D4421">
        <x:f>ROUND($C4421*10*VLOOKUP($B4421,Sheet2!$J$5:$K$7,2,FALSE)*VLOOKUP(Sheet1!$A4421,Sheet2!$B$5:$H$29,3,FALSE),0)</x:f>
        <x:v>0</x:v>
      </x:c>
      <x:c r="E4421">
        <x:f>ROUND($C4421*10*VLOOKUP($B4421,Sheet2!$J$5:$K$7,2,FALSE)*VLOOKUP(Sheet1!$A4421,Sheet2!$B$5:$H$29,4,FALSE),0)</x:f>
        <x:v>0</x:v>
      </x:c>
      <x:c r="F4421">
        <x:f>ROUND($C4421*10*VLOOKUP($B4421,Sheet2!$J$5:$K$7,2,FALSE)*VLOOKUP(Sheet1!$A4421,Sheet2!$B$5:$H$29,5,FALSE),0)</x:f>
        <x:v>0</x:v>
      </x:c>
      <x:c r="G4421">
        <x:f>ROUND($C4421*10*VLOOKUP($B4421,Sheet2!$J$5:$K$7,2,FALSE)*VLOOKUP(Sheet1!$A4421,Sheet2!$B$5:$H$29,6,FALSE),0)</x:f>
        <x:v>0</x:v>
      </x:c>
      <x:c r="H4421">
        <x:f>ROUND($C4421*10*VLOOKUP($B4421,Sheet2!$J$5:$K$7,2,FALSE)*VLOOKUP(Sheet1!$A4421,Sheet2!$B$5:$H$29,7,FALSE),0)</x:f>
        <x:v>2400</x:v>
      </x:c>
      <x:c r="I4421">
        <x:f t="shared" si="73"/>
        <x:v>30760</x:v>
      </x:c>
    </x:row>
    <x:row r="4422" spans="1:9" x14ac:dyDescent="0.15">
      <x:c r="A4422">
        <x:v>54205</x:v>
      </x:c>
      <x:c r="B4422">
        <x:v>2</x:v>
      </x:c>
      <x:c r="C4422">
        <x:v>41</x:v>
      </x:c>
      <x:c r="D4422">
        <x:f>ROUND($C4422*10*VLOOKUP($B4422,Sheet2!$J$5:$K$7,2,FALSE)*VLOOKUP(Sheet1!$A4422,Sheet2!$B$5:$H$29,3,FALSE),0)</x:f>
        <x:v>0</x:v>
      </x:c>
      <x:c r="E4422">
        <x:f>ROUND($C4422*10*VLOOKUP($B4422,Sheet2!$J$5:$K$7,2,FALSE)*VLOOKUP(Sheet1!$A4422,Sheet2!$B$5:$H$29,4,FALSE),0)</x:f>
        <x:v>0</x:v>
      </x:c>
      <x:c r="F4422">
        <x:f>ROUND($C4422*10*VLOOKUP($B4422,Sheet2!$J$5:$K$7,2,FALSE)*VLOOKUP(Sheet1!$A4422,Sheet2!$B$5:$H$29,5,FALSE),0)</x:f>
        <x:v>0</x:v>
      </x:c>
      <x:c r="G4422">
        <x:f>ROUND($C4422*10*VLOOKUP($B4422,Sheet2!$J$5:$K$7,2,FALSE)*VLOOKUP(Sheet1!$A4422,Sheet2!$B$5:$H$29,6,FALSE),0)</x:f>
        <x:v>0</x:v>
      </x:c>
      <x:c r="H4422">
        <x:f>ROUND($C4422*10*VLOOKUP($B4422,Sheet2!$J$5:$K$7,2,FALSE)*VLOOKUP(Sheet1!$A4422,Sheet2!$B$5:$H$29,7,FALSE),0)</x:f>
        <x:v>2460</x:v>
      </x:c>
      <x:c r="I4422">
        <x:f t="shared" si="73"/>
        <x:v>32190</x:v>
      </x:c>
    </x:row>
    <x:row r="4423" spans="1:9" x14ac:dyDescent="0.15">
      <x:c r="A4423">
        <x:v>54205</x:v>
      </x:c>
      <x:c r="B4423">
        <x:v>2</x:v>
      </x:c>
      <x:c r="C4423">
        <x:v>42</x:v>
      </x:c>
      <x:c r="D4423">
        <x:f>ROUND($C4423*10*VLOOKUP($B4423,Sheet2!$J$5:$K$7,2,FALSE)*VLOOKUP(Sheet1!$A4423,Sheet2!$B$5:$H$29,3,FALSE),0)</x:f>
        <x:v>0</x:v>
      </x:c>
      <x:c r="E4423">
        <x:f>ROUND($C4423*10*VLOOKUP($B4423,Sheet2!$J$5:$K$7,2,FALSE)*VLOOKUP(Sheet1!$A4423,Sheet2!$B$5:$H$29,4,FALSE),0)</x:f>
        <x:v>0</x:v>
      </x:c>
      <x:c r="F4423">
        <x:f>ROUND($C4423*10*VLOOKUP($B4423,Sheet2!$J$5:$K$7,2,FALSE)*VLOOKUP(Sheet1!$A4423,Sheet2!$B$5:$H$29,5,FALSE),0)</x:f>
        <x:v>0</x:v>
      </x:c>
      <x:c r="G4423">
        <x:f>ROUND($C4423*10*VLOOKUP($B4423,Sheet2!$J$5:$K$7,2,FALSE)*VLOOKUP(Sheet1!$A4423,Sheet2!$B$5:$H$29,6,FALSE),0)</x:f>
        <x:v>0</x:v>
      </x:c>
      <x:c r="H4423">
        <x:f>ROUND($C4423*10*VLOOKUP($B4423,Sheet2!$J$5:$K$7,2,FALSE)*VLOOKUP(Sheet1!$A4423,Sheet2!$B$5:$H$29,7,FALSE),0)</x:f>
        <x:v>2520</x:v>
      </x:c>
      <x:c r="I4423">
        <x:f t="shared" si="73"/>
        <x:v>33650</x:v>
      </x:c>
    </x:row>
    <x:row r="4424" spans="1:9" x14ac:dyDescent="0.15">
      <x:c r="A4424">
        <x:v>54205</x:v>
      </x:c>
      <x:c r="B4424">
        <x:v>2</x:v>
      </x:c>
      <x:c r="C4424">
        <x:v>43</x:v>
      </x:c>
      <x:c r="D4424">
        <x:f>ROUND($C4424*10*VLOOKUP($B4424,Sheet2!$J$5:$K$7,2,FALSE)*VLOOKUP(Sheet1!$A4424,Sheet2!$B$5:$H$29,3,FALSE),0)</x:f>
        <x:v>0</x:v>
      </x:c>
      <x:c r="E4424">
        <x:f>ROUND($C4424*10*VLOOKUP($B4424,Sheet2!$J$5:$K$7,2,FALSE)*VLOOKUP(Sheet1!$A4424,Sheet2!$B$5:$H$29,4,FALSE),0)</x:f>
        <x:v>0</x:v>
      </x:c>
      <x:c r="F4424">
        <x:f>ROUND($C4424*10*VLOOKUP($B4424,Sheet2!$J$5:$K$7,2,FALSE)*VLOOKUP(Sheet1!$A4424,Sheet2!$B$5:$H$29,5,FALSE),0)</x:f>
        <x:v>0</x:v>
      </x:c>
      <x:c r="G4424">
        <x:f>ROUND($C4424*10*VLOOKUP($B4424,Sheet2!$J$5:$K$7,2,FALSE)*VLOOKUP(Sheet1!$A4424,Sheet2!$B$5:$H$29,6,FALSE),0)</x:f>
        <x:v>0</x:v>
      </x:c>
      <x:c r="H4424">
        <x:f>ROUND($C4424*10*VLOOKUP($B4424,Sheet2!$J$5:$K$7,2,FALSE)*VLOOKUP(Sheet1!$A4424,Sheet2!$B$5:$H$29,7,FALSE),0)</x:f>
        <x:v>2580</x:v>
      </x:c>
      <x:c r="I4424">
        <x:f t="shared" si="73"/>
        <x:v>35140</x:v>
      </x:c>
    </x:row>
    <x:row r="4425" spans="1:9" x14ac:dyDescent="0.15">
      <x:c r="A4425">
        <x:v>54205</x:v>
      </x:c>
      <x:c r="B4425">
        <x:v>2</x:v>
      </x:c>
      <x:c r="C4425">
        <x:v>44</x:v>
      </x:c>
      <x:c r="D4425">
        <x:f>ROUND($C4425*10*VLOOKUP($B4425,Sheet2!$J$5:$K$7,2,FALSE)*VLOOKUP(Sheet1!$A4425,Sheet2!$B$5:$H$29,3,FALSE),0)</x:f>
        <x:v>0</x:v>
      </x:c>
      <x:c r="E4425">
        <x:f>ROUND($C4425*10*VLOOKUP($B4425,Sheet2!$J$5:$K$7,2,FALSE)*VLOOKUP(Sheet1!$A4425,Sheet2!$B$5:$H$29,4,FALSE),0)</x:f>
        <x:v>0</x:v>
      </x:c>
      <x:c r="F4425">
        <x:f>ROUND($C4425*10*VLOOKUP($B4425,Sheet2!$J$5:$K$7,2,FALSE)*VLOOKUP(Sheet1!$A4425,Sheet2!$B$5:$H$29,5,FALSE),0)</x:f>
        <x:v>0</x:v>
      </x:c>
      <x:c r="G4425">
        <x:f>ROUND($C4425*10*VLOOKUP($B4425,Sheet2!$J$5:$K$7,2,FALSE)*VLOOKUP(Sheet1!$A4425,Sheet2!$B$5:$H$29,6,FALSE),0)</x:f>
        <x:v>0</x:v>
      </x:c>
      <x:c r="H4425">
        <x:f>ROUND($C4425*10*VLOOKUP($B4425,Sheet2!$J$5:$K$7,2,FALSE)*VLOOKUP(Sheet1!$A4425,Sheet2!$B$5:$H$29,7,FALSE),0)</x:f>
        <x:v>2640</x:v>
      </x:c>
      <x:c r="I4425">
        <x:f t="shared" si="73"/>
        <x:v>36660</x:v>
      </x:c>
    </x:row>
    <x:row r="4426" spans="1:9" x14ac:dyDescent="0.15">
      <x:c r="A4426">
        <x:v>54205</x:v>
      </x:c>
      <x:c r="B4426">
        <x:v>2</x:v>
      </x:c>
      <x:c r="C4426">
        <x:v>45</x:v>
      </x:c>
      <x:c r="D4426">
        <x:f>ROUND($C4426*10*VLOOKUP($B4426,Sheet2!$J$5:$K$7,2,FALSE)*VLOOKUP(Sheet1!$A4426,Sheet2!$B$5:$H$29,3,FALSE),0)</x:f>
        <x:v>0</x:v>
      </x:c>
      <x:c r="E4426">
        <x:f>ROUND($C4426*10*VLOOKUP($B4426,Sheet2!$J$5:$K$7,2,FALSE)*VLOOKUP(Sheet1!$A4426,Sheet2!$B$5:$H$29,4,FALSE),0)</x:f>
        <x:v>0</x:v>
      </x:c>
      <x:c r="F4426">
        <x:f>ROUND($C4426*10*VLOOKUP($B4426,Sheet2!$J$5:$K$7,2,FALSE)*VLOOKUP(Sheet1!$A4426,Sheet2!$B$5:$H$29,5,FALSE),0)</x:f>
        <x:v>0</x:v>
      </x:c>
      <x:c r="G4426">
        <x:f>ROUND($C4426*10*VLOOKUP($B4426,Sheet2!$J$5:$K$7,2,FALSE)*VLOOKUP(Sheet1!$A4426,Sheet2!$B$5:$H$29,6,FALSE),0)</x:f>
        <x:v>0</x:v>
      </x:c>
      <x:c r="H4426">
        <x:f>ROUND($C4426*10*VLOOKUP($B4426,Sheet2!$J$5:$K$7,2,FALSE)*VLOOKUP(Sheet1!$A4426,Sheet2!$B$5:$H$29,7,FALSE),0)</x:f>
        <x:v>2700</x:v>
      </x:c>
      <x:c r="I4426">
        <x:f t="shared" si="73"/>
        <x:v>38210</x:v>
      </x:c>
    </x:row>
    <x:row r="4427" spans="1:9" x14ac:dyDescent="0.15">
      <x:c r="A4427">
        <x:v>54205</x:v>
      </x:c>
      <x:c r="B4427">
        <x:v>2</x:v>
      </x:c>
      <x:c r="C4427">
        <x:v>46</x:v>
      </x:c>
      <x:c r="D4427">
        <x:f>ROUND($C4427*10*VLOOKUP($B4427,Sheet2!$J$5:$K$7,2,FALSE)*VLOOKUP(Sheet1!$A4427,Sheet2!$B$5:$H$29,3,FALSE),0)</x:f>
        <x:v>0</x:v>
      </x:c>
      <x:c r="E4427">
        <x:f>ROUND($C4427*10*VLOOKUP($B4427,Sheet2!$J$5:$K$7,2,FALSE)*VLOOKUP(Sheet1!$A4427,Sheet2!$B$5:$H$29,4,FALSE),0)</x:f>
        <x:v>0</x:v>
      </x:c>
      <x:c r="F4427">
        <x:f>ROUND($C4427*10*VLOOKUP($B4427,Sheet2!$J$5:$K$7,2,FALSE)*VLOOKUP(Sheet1!$A4427,Sheet2!$B$5:$H$29,5,FALSE),0)</x:f>
        <x:v>0</x:v>
      </x:c>
      <x:c r="G4427">
        <x:f>ROUND($C4427*10*VLOOKUP($B4427,Sheet2!$J$5:$K$7,2,FALSE)*VLOOKUP(Sheet1!$A4427,Sheet2!$B$5:$H$29,6,FALSE),0)</x:f>
        <x:v>0</x:v>
      </x:c>
      <x:c r="H4427">
        <x:f>ROUND($C4427*10*VLOOKUP($B4427,Sheet2!$J$5:$K$7,2,FALSE)*VLOOKUP(Sheet1!$A4427,Sheet2!$B$5:$H$29,7,FALSE),0)</x:f>
        <x:v>2760</x:v>
      </x:c>
      <x:c r="I4427">
        <x:f t="shared" si="73"/>
        <x:v>39780</x:v>
      </x:c>
    </x:row>
    <x:row r="4428" spans="1:9" x14ac:dyDescent="0.15">
      <x:c r="A4428">
        <x:v>54205</x:v>
      </x:c>
      <x:c r="B4428">
        <x:v>2</x:v>
      </x:c>
      <x:c r="C4428">
        <x:v>47</x:v>
      </x:c>
      <x:c r="D4428">
        <x:f>ROUND($C4428*10*VLOOKUP($B4428,Sheet2!$J$5:$K$7,2,FALSE)*VLOOKUP(Sheet1!$A4428,Sheet2!$B$5:$H$29,3,FALSE),0)</x:f>
        <x:v>0</x:v>
      </x:c>
      <x:c r="E4428">
        <x:f>ROUND($C4428*10*VLOOKUP($B4428,Sheet2!$J$5:$K$7,2,FALSE)*VLOOKUP(Sheet1!$A4428,Sheet2!$B$5:$H$29,4,FALSE),0)</x:f>
        <x:v>0</x:v>
      </x:c>
      <x:c r="F4428">
        <x:f>ROUND($C4428*10*VLOOKUP($B4428,Sheet2!$J$5:$K$7,2,FALSE)*VLOOKUP(Sheet1!$A4428,Sheet2!$B$5:$H$29,5,FALSE),0)</x:f>
        <x:v>0</x:v>
      </x:c>
      <x:c r="G4428">
        <x:f>ROUND($C4428*10*VLOOKUP($B4428,Sheet2!$J$5:$K$7,2,FALSE)*VLOOKUP(Sheet1!$A4428,Sheet2!$B$5:$H$29,6,FALSE),0)</x:f>
        <x:v>0</x:v>
      </x:c>
      <x:c r="H4428">
        <x:f>ROUND($C4428*10*VLOOKUP($B4428,Sheet2!$J$5:$K$7,2,FALSE)*VLOOKUP(Sheet1!$A4428,Sheet2!$B$5:$H$29,7,FALSE),0)</x:f>
        <x:v>2820</x:v>
      </x:c>
      <x:c r="I4428">
        <x:f t="shared" si="73"/>
        <x:v>41390</x:v>
      </x:c>
    </x:row>
    <x:row r="4429" spans="1:9" x14ac:dyDescent="0.15">
      <x:c r="A4429">
        <x:v>54205</x:v>
      </x:c>
      <x:c r="B4429">
        <x:v>2</x:v>
      </x:c>
      <x:c r="C4429">
        <x:v>48</x:v>
      </x:c>
      <x:c r="D4429">
        <x:f>ROUND($C4429*10*VLOOKUP($B4429,Sheet2!$J$5:$K$7,2,FALSE)*VLOOKUP(Sheet1!$A4429,Sheet2!$B$5:$H$29,3,FALSE),0)</x:f>
        <x:v>0</x:v>
      </x:c>
      <x:c r="E4429">
        <x:f>ROUND($C4429*10*VLOOKUP($B4429,Sheet2!$J$5:$K$7,2,FALSE)*VLOOKUP(Sheet1!$A4429,Sheet2!$B$5:$H$29,4,FALSE),0)</x:f>
        <x:v>0</x:v>
      </x:c>
      <x:c r="F4429">
        <x:f>ROUND($C4429*10*VLOOKUP($B4429,Sheet2!$J$5:$K$7,2,FALSE)*VLOOKUP(Sheet1!$A4429,Sheet2!$B$5:$H$29,5,FALSE),0)</x:f>
        <x:v>0</x:v>
      </x:c>
      <x:c r="G4429">
        <x:f>ROUND($C4429*10*VLOOKUP($B4429,Sheet2!$J$5:$K$7,2,FALSE)*VLOOKUP(Sheet1!$A4429,Sheet2!$B$5:$H$29,6,FALSE),0)</x:f>
        <x:v>0</x:v>
      </x:c>
      <x:c r="H4429">
        <x:f>ROUND($C4429*10*VLOOKUP($B4429,Sheet2!$J$5:$K$7,2,FALSE)*VLOOKUP(Sheet1!$A4429,Sheet2!$B$5:$H$29,7,FALSE),0)</x:f>
        <x:v>2880</x:v>
      </x:c>
      <x:c r="I4429">
        <x:f t="shared" si="73"/>
        <x:v>43020</x:v>
      </x:c>
    </x:row>
    <x:row r="4430" spans="1:9" x14ac:dyDescent="0.15">
      <x:c r="A4430">
        <x:v>54205</x:v>
      </x:c>
      <x:c r="B4430">
        <x:v>2</x:v>
      </x:c>
      <x:c r="C4430">
        <x:v>49</x:v>
      </x:c>
      <x:c r="D4430">
        <x:f>ROUND($C4430*10*VLOOKUP($B4430,Sheet2!$J$5:$K$7,2,FALSE)*VLOOKUP(Sheet1!$A4430,Sheet2!$B$5:$H$29,3,FALSE),0)</x:f>
        <x:v>0</x:v>
      </x:c>
      <x:c r="E4430">
        <x:f>ROUND($C4430*10*VLOOKUP($B4430,Sheet2!$J$5:$K$7,2,FALSE)*VLOOKUP(Sheet1!$A4430,Sheet2!$B$5:$H$29,4,FALSE),0)</x:f>
        <x:v>0</x:v>
      </x:c>
      <x:c r="F4430">
        <x:f>ROUND($C4430*10*VLOOKUP($B4430,Sheet2!$J$5:$K$7,2,FALSE)*VLOOKUP(Sheet1!$A4430,Sheet2!$B$5:$H$29,5,FALSE),0)</x:f>
        <x:v>0</x:v>
      </x:c>
      <x:c r="G4430">
        <x:f>ROUND($C4430*10*VLOOKUP($B4430,Sheet2!$J$5:$K$7,2,FALSE)*VLOOKUP(Sheet1!$A4430,Sheet2!$B$5:$H$29,6,FALSE),0)</x:f>
        <x:v>0</x:v>
      </x:c>
      <x:c r="H4430">
        <x:f>ROUND($C4430*10*VLOOKUP($B4430,Sheet2!$J$5:$K$7,2,FALSE)*VLOOKUP(Sheet1!$A4430,Sheet2!$B$5:$H$29,7,FALSE),0)</x:f>
        <x:v>2940</x:v>
      </x:c>
      <x:c r="I4430">
        <x:f t="shared" si="73"/>
        <x:v>44680</x:v>
      </x:c>
    </x:row>
    <x:row r="4431" spans="1:9" x14ac:dyDescent="0.15">
      <x:c r="A4431">
        <x:v>54205</x:v>
      </x:c>
      <x:c r="B4431">
        <x:v>2</x:v>
      </x:c>
      <x:c r="C4431">
        <x:v>50</x:v>
      </x:c>
      <x:c r="D4431">
        <x:f>ROUND($C4431*10*VLOOKUP($B4431,Sheet2!$J$5:$K$7,2,FALSE)*VLOOKUP(Sheet1!$A4431,Sheet2!$B$5:$H$29,3,FALSE),0)</x:f>
        <x:v>0</x:v>
      </x:c>
      <x:c r="E4431">
        <x:f>ROUND($C4431*10*VLOOKUP($B4431,Sheet2!$J$5:$K$7,2,FALSE)*VLOOKUP(Sheet1!$A4431,Sheet2!$B$5:$H$29,4,FALSE),0)</x:f>
        <x:v>0</x:v>
      </x:c>
      <x:c r="F4431">
        <x:f>ROUND($C4431*10*VLOOKUP($B4431,Sheet2!$J$5:$K$7,2,FALSE)*VLOOKUP(Sheet1!$A4431,Sheet2!$B$5:$H$29,5,FALSE),0)</x:f>
        <x:v>0</x:v>
      </x:c>
      <x:c r="G4431">
        <x:f>ROUND($C4431*10*VLOOKUP($B4431,Sheet2!$J$5:$K$7,2,FALSE)*VLOOKUP(Sheet1!$A4431,Sheet2!$B$5:$H$29,6,FALSE),0)</x:f>
        <x:v>0</x:v>
      </x:c>
      <x:c r="H4431">
        <x:f>ROUND($C4431*10*VLOOKUP($B4431,Sheet2!$J$5:$K$7,2,FALSE)*VLOOKUP(Sheet1!$A4431,Sheet2!$B$5:$H$29,7,FALSE),0)</x:f>
        <x:v>3000</x:v>
      </x:c>
      <x:c r="I4431">
        <x:f t="shared" si="73"/>
        <x:v>46360</x:v>
      </x:c>
    </x:row>
    <x:row r="4432" spans="1:9" x14ac:dyDescent="0.15">
      <x:c r="A4432">
        <x:v>54205</x:v>
      </x:c>
      <x:c r="B4432">
        <x:v>2</x:v>
      </x:c>
      <x:c r="C4432">
        <x:v>51</x:v>
      </x:c>
      <x:c r="D4432">
        <x:f>ROUND($C4432*10*VLOOKUP($B4432,Sheet2!$J$5:$K$7,2,FALSE)*VLOOKUP(Sheet1!$A4432,Sheet2!$B$5:$H$29,3,FALSE),0)</x:f>
        <x:v>0</x:v>
      </x:c>
      <x:c r="E4432">
        <x:f>ROUND($C4432*10*VLOOKUP($B4432,Sheet2!$J$5:$K$7,2,FALSE)*VLOOKUP(Sheet1!$A4432,Sheet2!$B$5:$H$29,4,FALSE),0)</x:f>
        <x:v>0</x:v>
      </x:c>
      <x:c r="F4432">
        <x:f>ROUND($C4432*10*VLOOKUP($B4432,Sheet2!$J$5:$K$7,2,FALSE)*VLOOKUP(Sheet1!$A4432,Sheet2!$B$5:$H$29,5,FALSE),0)</x:f>
        <x:v>0</x:v>
      </x:c>
      <x:c r="G4432">
        <x:f>ROUND($C4432*10*VLOOKUP($B4432,Sheet2!$J$5:$K$7,2,FALSE)*VLOOKUP(Sheet1!$A4432,Sheet2!$B$5:$H$29,6,FALSE),0)</x:f>
        <x:v>0</x:v>
      </x:c>
      <x:c r="H4432">
        <x:f>ROUND($C4432*10*VLOOKUP($B4432,Sheet2!$J$5:$K$7,2,FALSE)*VLOOKUP(Sheet1!$A4432,Sheet2!$B$5:$H$29,7,FALSE),0)</x:f>
        <x:v>3060</x:v>
      </x:c>
      <x:c r="I4432">
        <x:f t="shared" si="73"/>
        <x:v>48080</x:v>
      </x:c>
    </x:row>
    <x:row r="4433" spans="1:9" x14ac:dyDescent="0.15">
      <x:c r="A4433">
        <x:v>54205</x:v>
      </x:c>
      <x:c r="B4433">
        <x:v>2</x:v>
      </x:c>
      <x:c r="C4433">
        <x:v>52</x:v>
      </x:c>
      <x:c r="D4433">
        <x:f>ROUND($C4433*10*VLOOKUP($B4433,Sheet2!$J$5:$K$7,2,FALSE)*VLOOKUP(Sheet1!$A4433,Sheet2!$B$5:$H$29,3,FALSE),0)</x:f>
        <x:v>0</x:v>
      </x:c>
      <x:c r="E4433">
        <x:f>ROUND($C4433*10*VLOOKUP($B4433,Sheet2!$J$5:$K$7,2,FALSE)*VLOOKUP(Sheet1!$A4433,Sheet2!$B$5:$H$29,4,FALSE),0)</x:f>
        <x:v>0</x:v>
      </x:c>
      <x:c r="F4433">
        <x:f>ROUND($C4433*10*VLOOKUP($B4433,Sheet2!$J$5:$K$7,2,FALSE)*VLOOKUP(Sheet1!$A4433,Sheet2!$B$5:$H$29,5,FALSE),0)</x:f>
        <x:v>0</x:v>
      </x:c>
      <x:c r="G4433">
        <x:f>ROUND($C4433*10*VLOOKUP($B4433,Sheet2!$J$5:$K$7,2,FALSE)*VLOOKUP(Sheet1!$A4433,Sheet2!$B$5:$H$29,6,FALSE),0)</x:f>
        <x:v>0</x:v>
      </x:c>
      <x:c r="H4433">
        <x:f>ROUND($C4433*10*VLOOKUP($B4433,Sheet2!$J$5:$K$7,2,FALSE)*VLOOKUP(Sheet1!$A4433,Sheet2!$B$5:$H$29,7,FALSE),0)</x:f>
        <x:v>3120</x:v>
      </x:c>
      <x:c r="I4433">
        <x:f t="shared" si="73"/>
        <x:v>49820</x:v>
      </x:c>
    </x:row>
    <x:row r="4434" spans="1:9" x14ac:dyDescent="0.15">
      <x:c r="A4434">
        <x:v>54205</x:v>
      </x:c>
      <x:c r="B4434">
        <x:v>2</x:v>
      </x:c>
      <x:c r="C4434">
        <x:v>53</x:v>
      </x:c>
      <x:c r="D4434">
        <x:f>ROUND($C4434*10*VLOOKUP($B4434,Sheet2!$J$5:$K$7,2,FALSE)*VLOOKUP(Sheet1!$A4434,Sheet2!$B$5:$H$29,3,FALSE),0)</x:f>
        <x:v>0</x:v>
      </x:c>
      <x:c r="E4434">
        <x:f>ROUND($C4434*10*VLOOKUP($B4434,Sheet2!$J$5:$K$7,2,FALSE)*VLOOKUP(Sheet1!$A4434,Sheet2!$B$5:$H$29,4,FALSE),0)</x:f>
        <x:v>0</x:v>
      </x:c>
      <x:c r="F4434">
        <x:f>ROUND($C4434*10*VLOOKUP($B4434,Sheet2!$J$5:$K$7,2,FALSE)*VLOOKUP(Sheet1!$A4434,Sheet2!$B$5:$H$29,5,FALSE),0)</x:f>
        <x:v>0</x:v>
      </x:c>
      <x:c r="G4434">
        <x:f>ROUND($C4434*10*VLOOKUP($B4434,Sheet2!$J$5:$K$7,2,FALSE)*VLOOKUP(Sheet1!$A4434,Sheet2!$B$5:$H$29,6,FALSE),0)</x:f>
        <x:v>0</x:v>
      </x:c>
      <x:c r="H4434">
        <x:f>ROUND($C4434*10*VLOOKUP($B4434,Sheet2!$J$5:$K$7,2,FALSE)*VLOOKUP(Sheet1!$A4434,Sheet2!$B$5:$H$29,7,FALSE),0)</x:f>
        <x:v>3180</x:v>
      </x:c>
      <x:c r="I4434">
        <x:f t="shared" si="73"/>
        <x:v>51590</x:v>
      </x:c>
    </x:row>
    <x:row r="4435" spans="1:9" x14ac:dyDescent="0.15">
      <x:c r="A4435">
        <x:v>54205</x:v>
      </x:c>
      <x:c r="B4435">
        <x:v>2</x:v>
      </x:c>
      <x:c r="C4435">
        <x:v>54</x:v>
      </x:c>
      <x:c r="D4435">
        <x:f>ROUND($C4435*10*VLOOKUP($B4435,Sheet2!$J$5:$K$7,2,FALSE)*VLOOKUP(Sheet1!$A4435,Sheet2!$B$5:$H$29,3,FALSE),0)</x:f>
        <x:v>0</x:v>
      </x:c>
      <x:c r="E4435">
        <x:f>ROUND($C4435*10*VLOOKUP($B4435,Sheet2!$J$5:$K$7,2,FALSE)*VLOOKUP(Sheet1!$A4435,Sheet2!$B$5:$H$29,4,FALSE),0)</x:f>
        <x:v>0</x:v>
      </x:c>
      <x:c r="F4435">
        <x:f>ROUND($C4435*10*VLOOKUP($B4435,Sheet2!$J$5:$K$7,2,FALSE)*VLOOKUP(Sheet1!$A4435,Sheet2!$B$5:$H$29,5,FALSE),0)</x:f>
        <x:v>0</x:v>
      </x:c>
      <x:c r="G4435">
        <x:f>ROUND($C4435*10*VLOOKUP($B4435,Sheet2!$J$5:$K$7,2,FALSE)*VLOOKUP(Sheet1!$A4435,Sheet2!$B$5:$H$29,6,FALSE),0)</x:f>
        <x:v>0</x:v>
      </x:c>
      <x:c r="H4435">
        <x:f>ROUND($C4435*10*VLOOKUP($B4435,Sheet2!$J$5:$K$7,2,FALSE)*VLOOKUP(Sheet1!$A4435,Sheet2!$B$5:$H$29,7,FALSE),0)</x:f>
        <x:v>3240</x:v>
      </x:c>
      <x:c r="I4435">
        <x:f t="shared" si="73"/>
        <x:v>53390</x:v>
      </x:c>
    </x:row>
    <x:row r="4436" spans="1:9" x14ac:dyDescent="0.15">
      <x:c r="A4436">
        <x:v>54205</x:v>
      </x:c>
      <x:c r="B4436">
        <x:v>2</x:v>
      </x:c>
      <x:c r="C4436">
        <x:v>55</x:v>
      </x:c>
      <x:c r="D4436">
        <x:f>ROUND($C4436*10*VLOOKUP($B4436,Sheet2!$J$5:$K$7,2,FALSE)*VLOOKUP(Sheet1!$A4436,Sheet2!$B$5:$H$29,3,FALSE),0)</x:f>
        <x:v>0</x:v>
      </x:c>
      <x:c r="E4436">
        <x:f>ROUND($C4436*10*VLOOKUP($B4436,Sheet2!$J$5:$K$7,2,FALSE)*VLOOKUP(Sheet1!$A4436,Sheet2!$B$5:$H$29,4,FALSE),0)</x:f>
        <x:v>0</x:v>
      </x:c>
      <x:c r="F4436">
        <x:f>ROUND($C4436*10*VLOOKUP($B4436,Sheet2!$J$5:$K$7,2,FALSE)*VLOOKUP(Sheet1!$A4436,Sheet2!$B$5:$H$29,5,FALSE),0)</x:f>
        <x:v>0</x:v>
      </x:c>
      <x:c r="G4436">
        <x:f>ROUND($C4436*10*VLOOKUP($B4436,Sheet2!$J$5:$K$7,2,FALSE)*VLOOKUP(Sheet1!$A4436,Sheet2!$B$5:$H$29,6,FALSE),0)</x:f>
        <x:v>0</x:v>
      </x:c>
      <x:c r="H4436">
        <x:f>ROUND($C4436*10*VLOOKUP($B4436,Sheet2!$J$5:$K$7,2,FALSE)*VLOOKUP(Sheet1!$A4436,Sheet2!$B$5:$H$29,7,FALSE),0)</x:f>
        <x:v>3300</x:v>
      </x:c>
      <x:c r="I4436">
        <x:f t="shared" si="73"/>
        <x:v>55210</x:v>
      </x:c>
    </x:row>
    <x:row r="4437" spans="1:9" x14ac:dyDescent="0.15">
      <x:c r="A4437">
        <x:v>54205</x:v>
      </x:c>
      <x:c r="B4437">
        <x:v>2</x:v>
      </x:c>
      <x:c r="C4437">
        <x:v>56</x:v>
      </x:c>
      <x:c r="D4437">
        <x:f>ROUND($C4437*10*VLOOKUP($B4437,Sheet2!$J$5:$K$7,2,FALSE)*VLOOKUP(Sheet1!$A4437,Sheet2!$B$5:$H$29,3,FALSE),0)</x:f>
        <x:v>0</x:v>
      </x:c>
      <x:c r="E4437">
        <x:f>ROUND($C4437*10*VLOOKUP($B4437,Sheet2!$J$5:$K$7,2,FALSE)*VLOOKUP(Sheet1!$A4437,Sheet2!$B$5:$H$29,4,FALSE),0)</x:f>
        <x:v>0</x:v>
      </x:c>
      <x:c r="F4437">
        <x:f>ROUND($C4437*10*VLOOKUP($B4437,Sheet2!$J$5:$K$7,2,FALSE)*VLOOKUP(Sheet1!$A4437,Sheet2!$B$5:$H$29,5,FALSE),0)</x:f>
        <x:v>0</x:v>
      </x:c>
      <x:c r="G4437">
        <x:f>ROUND($C4437*10*VLOOKUP($B4437,Sheet2!$J$5:$K$7,2,FALSE)*VLOOKUP(Sheet1!$A4437,Sheet2!$B$5:$H$29,6,FALSE),0)</x:f>
        <x:v>0</x:v>
      </x:c>
      <x:c r="H4437">
        <x:f>ROUND($C4437*10*VLOOKUP($B4437,Sheet2!$J$5:$K$7,2,FALSE)*VLOOKUP(Sheet1!$A4437,Sheet2!$B$5:$H$29,7,FALSE),0)</x:f>
        <x:v>3360</x:v>
      </x:c>
      <x:c r="I4437">
        <x:f t="shared" si="73"/>
        <x:v>57060</x:v>
      </x:c>
    </x:row>
    <x:row r="4438" spans="1:9" x14ac:dyDescent="0.15">
      <x:c r="A4438">
        <x:v>54205</x:v>
      </x:c>
      <x:c r="B4438">
        <x:v>2</x:v>
      </x:c>
      <x:c r="C4438">
        <x:v>57</x:v>
      </x:c>
      <x:c r="D4438">
        <x:f>ROUND($C4438*10*VLOOKUP($B4438,Sheet2!$J$5:$K$7,2,FALSE)*VLOOKUP(Sheet1!$A4438,Sheet2!$B$5:$H$29,3,FALSE),0)</x:f>
        <x:v>0</x:v>
      </x:c>
      <x:c r="E4438">
        <x:f>ROUND($C4438*10*VLOOKUP($B4438,Sheet2!$J$5:$K$7,2,FALSE)*VLOOKUP(Sheet1!$A4438,Sheet2!$B$5:$H$29,4,FALSE),0)</x:f>
        <x:v>0</x:v>
      </x:c>
      <x:c r="F4438">
        <x:f>ROUND($C4438*10*VLOOKUP($B4438,Sheet2!$J$5:$K$7,2,FALSE)*VLOOKUP(Sheet1!$A4438,Sheet2!$B$5:$H$29,5,FALSE),0)</x:f>
        <x:v>0</x:v>
      </x:c>
      <x:c r="G4438">
        <x:f>ROUND($C4438*10*VLOOKUP($B4438,Sheet2!$J$5:$K$7,2,FALSE)*VLOOKUP(Sheet1!$A4438,Sheet2!$B$5:$H$29,6,FALSE),0)</x:f>
        <x:v>0</x:v>
      </x:c>
      <x:c r="H4438">
        <x:f>ROUND($C4438*10*VLOOKUP($B4438,Sheet2!$J$5:$K$7,2,FALSE)*VLOOKUP(Sheet1!$A4438,Sheet2!$B$5:$H$29,7,FALSE),0)</x:f>
        <x:v>3420</x:v>
      </x:c>
      <x:c r="I4438">
        <x:f t="shared" si="73"/>
        <x:v>58940</x:v>
      </x:c>
    </x:row>
    <x:row r="4439" spans="1:9" x14ac:dyDescent="0.15">
      <x:c r="A4439">
        <x:v>54205</x:v>
      </x:c>
      <x:c r="B4439">
        <x:v>2</x:v>
      </x:c>
      <x:c r="C4439">
        <x:v>58</x:v>
      </x:c>
      <x:c r="D4439">
        <x:f>ROUND($C4439*10*VLOOKUP($B4439,Sheet2!$J$5:$K$7,2,FALSE)*VLOOKUP(Sheet1!$A4439,Sheet2!$B$5:$H$29,3,FALSE),0)</x:f>
        <x:v>0</x:v>
      </x:c>
      <x:c r="E4439">
        <x:f>ROUND($C4439*10*VLOOKUP($B4439,Sheet2!$J$5:$K$7,2,FALSE)*VLOOKUP(Sheet1!$A4439,Sheet2!$B$5:$H$29,4,FALSE),0)</x:f>
        <x:v>0</x:v>
      </x:c>
      <x:c r="F4439">
        <x:f>ROUND($C4439*10*VLOOKUP($B4439,Sheet2!$J$5:$K$7,2,FALSE)*VLOOKUP(Sheet1!$A4439,Sheet2!$B$5:$H$29,5,FALSE),0)</x:f>
        <x:v>0</x:v>
      </x:c>
      <x:c r="G4439">
        <x:f>ROUND($C4439*10*VLOOKUP($B4439,Sheet2!$J$5:$K$7,2,FALSE)*VLOOKUP(Sheet1!$A4439,Sheet2!$B$5:$H$29,6,FALSE),0)</x:f>
        <x:v>0</x:v>
      </x:c>
      <x:c r="H4439">
        <x:f>ROUND($C4439*10*VLOOKUP($B4439,Sheet2!$J$5:$K$7,2,FALSE)*VLOOKUP(Sheet1!$A4439,Sheet2!$B$5:$H$29,7,FALSE),0)</x:f>
        <x:v>3480</x:v>
      </x:c>
      <x:c r="I4439">
        <x:f t="shared" si="73"/>
        <x:v>60850</x:v>
      </x:c>
    </x:row>
    <x:row r="4440" spans="1:9" x14ac:dyDescent="0.15">
      <x:c r="A4440">
        <x:v>54205</x:v>
      </x:c>
      <x:c r="B4440">
        <x:v>2</x:v>
      </x:c>
      <x:c r="C4440">
        <x:v>59</x:v>
      </x:c>
      <x:c r="D4440">
        <x:f>ROUND($C4440*10*VLOOKUP($B4440,Sheet2!$J$5:$K$7,2,FALSE)*VLOOKUP(Sheet1!$A4440,Sheet2!$B$5:$H$29,3,FALSE),0)</x:f>
        <x:v>0</x:v>
      </x:c>
      <x:c r="E4440">
        <x:f>ROUND($C4440*10*VLOOKUP($B4440,Sheet2!$J$5:$K$7,2,FALSE)*VLOOKUP(Sheet1!$A4440,Sheet2!$B$5:$H$29,4,FALSE),0)</x:f>
        <x:v>0</x:v>
      </x:c>
      <x:c r="F4440">
        <x:f>ROUND($C4440*10*VLOOKUP($B4440,Sheet2!$J$5:$K$7,2,FALSE)*VLOOKUP(Sheet1!$A4440,Sheet2!$B$5:$H$29,5,FALSE),0)</x:f>
        <x:v>0</x:v>
      </x:c>
      <x:c r="G4440">
        <x:f>ROUND($C4440*10*VLOOKUP($B4440,Sheet2!$J$5:$K$7,2,FALSE)*VLOOKUP(Sheet1!$A4440,Sheet2!$B$5:$H$29,6,FALSE),0)</x:f>
        <x:v>0</x:v>
      </x:c>
      <x:c r="H4440">
        <x:f>ROUND($C4440*10*VLOOKUP($B4440,Sheet2!$J$5:$K$7,2,FALSE)*VLOOKUP(Sheet1!$A4440,Sheet2!$B$5:$H$29,7,FALSE),0)</x:f>
        <x:v>3540</x:v>
      </x:c>
      <x:c r="I4440">
        <x:f t="shared" si="73"/>
        <x:v>62780</x:v>
      </x:c>
    </x:row>
    <x:row r="4441" spans="1:9" x14ac:dyDescent="0.15">
      <x:c r="A4441">
        <x:v>54205</x:v>
      </x:c>
      <x:c r="B4441">
        <x:v>2</x:v>
      </x:c>
      <x:c r="C4441">
        <x:v>60</x:v>
      </x:c>
      <x:c r="D4441">
        <x:f>ROUND($C4441*10*VLOOKUP($B4441,Sheet2!$J$5:$K$7,2,FALSE)*VLOOKUP(Sheet1!$A4441,Sheet2!$B$5:$H$29,3,FALSE),0)</x:f>
        <x:v>0</x:v>
      </x:c>
      <x:c r="E4441">
        <x:f>ROUND($C4441*10*VLOOKUP($B4441,Sheet2!$J$5:$K$7,2,FALSE)*VLOOKUP(Sheet1!$A4441,Sheet2!$B$5:$H$29,4,FALSE),0)</x:f>
        <x:v>0</x:v>
      </x:c>
      <x:c r="F4441">
        <x:f>ROUND($C4441*10*VLOOKUP($B4441,Sheet2!$J$5:$K$7,2,FALSE)*VLOOKUP(Sheet1!$A4441,Sheet2!$B$5:$H$29,5,FALSE),0)</x:f>
        <x:v>0</x:v>
      </x:c>
      <x:c r="G4441">
        <x:f>ROUND($C4441*10*VLOOKUP($B4441,Sheet2!$J$5:$K$7,2,FALSE)*VLOOKUP(Sheet1!$A4441,Sheet2!$B$5:$H$29,6,FALSE),0)</x:f>
        <x:v>0</x:v>
      </x:c>
      <x:c r="H4441">
        <x:f>ROUND($C4441*10*VLOOKUP($B4441,Sheet2!$J$5:$K$7,2,FALSE)*VLOOKUP(Sheet1!$A4441,Sheet2!$B$5:$H$29,7,FALSE),0)</x:f>
        <x:v>3600</x:v>
      </x:c>
      <x:c r="I4441">
        <x:f t="shared" si="73"/>
        <x:v>64740</x:v>
      </x:c>
    </x:row>
    <x:row r="4442" spans="1:9" x14ac:dyDescent="0.15">
      <x:c r="A4442">
        <x:v>54205</x:v>
      </x:c>
      <x:c r="B4442">
        <x:v>3</x:v>
      </x:c>
      <x:c r="C4442">
        <x:v>1</x:v>
      </x:c>
      <x:c r="D4442">
        <x:f>ROUND($C4442*10*VLOOKUP($B4442,Sheet2!$J$5:$K$7,2,FALSE)*VLOOKUP(Sheet1!$A4442,Sheet2!$B$5:$H$29,3,FALSE),0)</x:f>
        <x:v>0</x:v>
      </x:c>
      <x:c r="E4442">
        <x:f>ROUND($C4442*10*VLOOKUP($B4442,Sheet2!$J$5:$K$7,2,FALSE)*VLOOKUP(Sheet1!$A4442,Sheet2!$B$5:$H$29,4,FALSE),0)</x:f>
        <x:v>0</x:v>
      </x:c>
      <x:c r="F4442">
        <x:f>ROUND($C4442*10*VLOOKUP($B4442,Sheet2!$J$5:$K$7,2,FALSE)*VLOOKUP(Sheet1!$A4442,Sheet2!$B$5:$H$29,5,FALSE),0)</x:f>
        <x:v>0</x:v>
      </x:c>
      <x:c r="G4442">
        <x:f>ROUND($C4442*10*VLOOKUP($B4442,Sheet2!$J$5:$K$7,2,FALSE)*VLOOKUP(Sheet1!$A4442,Sheet2!$B$5:$H$29,6,FALSE),0)</x:f>
        <x:v>0</x:v>
      </x:c>
      <x:c r="H4442">
        <x:f>ROUND($C4442*10*VLOOKUP($B4442,Sheet2!$J$5:$K$7,2,FALSE)*VLOOKUP(Sheet1!$A4442,Sheet2!$B$5:$H$29,7,FALSE),0)</x:f>
        <x:v>100</x:v>
      </x:c>
      <x:c r="I4442">
        <x:f t="shared" ref="I4442:I4501" si="74">ROUND(1.2*10*10.5*(C4442-1)^1.8+90,-1)</x:f>
        <x:v>90</x:v>
      </x:c>
    </x:row>
    <x:row r="4443" spans="1:9" x14ac:dyDescent="0.15">
      <x:c r="A4443">
        <x:v>54205</x:v>
      </x:c>
      <x:c r="B4443">
        <x:v>3</x:v>
      </x:c>
      <x:c r="C4443">
        <x:v>2</x:v>
      </x:c>
      <x:c r="D4443">
        <x:f>ROUND($C4443*10*VLOOKUP($B4443,Sheet2!$J$5:$K$7,2,FALSE)*VLOOKUP(Sheet1!$A4443,Sheet2!$B$5:$H$29,3,FALSE),0)</x:f>
        <x:v>0</x:v>
      </x:c>
      <x:c r="E4443">
        <x:f>ROUND($C4443*10*VLOOKUP($B4443,Sheet2!$J$5:$K$7,2,FALSE)*VLOOKUP(Sheet1!$A4443,Sheet2!$B$5:$H$29,4,FALSE),0)</x:f>
        <x:v>0</x:v>
      </x:c>
      <x:c r="F4443">
        <x:f>ROUND($C4443*10*VLOOKUP($B4443,Sheet2!$J$5:$K$7,2,FALSE)*VLOOKUP(Sheet1!$A4443,Sheet2!$B$5:$H$29,5,FALSE),0)</x:f>
        <x:v>0</x:v>
      </x:c>
      <x:c r="G4443">
        <x:f>ROUND($C4443*10*VLOOKUP($B4443,Sheet2!$J$5:$K$7,2,FALSE)*VLOOKUP(Sheet1!$A4443,Sheet2!$B$5:$H$29,6,FALSE),0)</x:f>
        <x:v>0</x:v>
      </x:c>
      <x:c r="H4443">
        <x:f>ROUND($C4443*10*VLOOKUP($B4443,Sheet2!$J$5:$K$7,2,FALSE)*VLOOKUP(Sheet1!$A4443,Sheet2!$B$5:$H$29,7,FALSE),0)</x:f>
        <x:v>200</x:v>
      </x:c>
      <x:c r="I4443">
        <x:f t="shared" si="74"/>
        <x:v>220</x:v>
      </x:c>
    </x:row>
    <x:row r="4444" spans="1:9" x14ac:dyDescent="0.15">
      <x:c r="A4444">
        <x:v>54205</x:v>
      </x:c>
      <x:c r="B4444">
        <x:v>3</x:v>
      </x:c>
      <x:c r="C4444">
        <x:v>3</x:v>
      </x:c>
      <x:c r="D4444">
        <x:f>ROUND($C4444*10*VLOOKUP($B4444,Sheet2!$J$5:$K$7,2,FALSE)*VLOOKUP(Sheet1!$A4444,Sheet2!$B$5:$H$29,3,FALSE),0)</x:f>
        <x:v>0</x:v>
      </x:c>
      <x:c r="E4444">
        <x:f>ROUND($C4444*10*VLOOKUP($B4444,Sheet2!$J$5:$K$7,2,FALSE)*VLOOKUP(Sheet1!$A4444,Sheet2!$B$5:$H$29,4,FALSE),0)</x:f>
        <x:v>0</x:v>
      </x:c>
      <x:c r="F4444">
        <x:f>ROUND($C4444*10*VLOOKUP($B4444,Sheet2!$J$5:$K$7,2,FALSE)*VLOOKUP(Sheet1!$A4444,Sheet2!$B$5:$H$29,5,FALSE),0)</x:f>
        <x:v>0</x:v>
      </x:c>
      <x:c r="G4444">
        <x:f>ROUND($C4444*10*VLOOKUP($B4444,Sheet2!$J$5:$K$7,2,FALSE)*VLOOKUP(Sheet1!$A4444,Sheet2!$B$5:$H$29,6,FALSE),0)</x:f>
        <x:v>0</x:v>
      </x:c>
      <x:c r="H4444">
        <x:f>ROUND($C4444*10*VLOOKUP($B4444,Sheet2!$J$5:$K$7,2,FALSE)*VLOOKUP(Sheet1!$A4444,Sheet2!$B$5:$H$29,7,FALSE),0)</x:f>
        <x:v>300</x:v>
      </x:c>
      <x:c r="I4444">
        <x:f t="shared" si="74"/>
        <x:v>530</x:v>
      </x:c>
    </x:row>
    <x:row r="4445" spans="1:9" x14ac:dyDescent="0.15">
      <x:c r="A4445">
        <x:v>54205</x:v>
      </x:c>
      <x:c r="B4445">
        <x:v>3</x:v>
      </x:c>
      <x:c r="C4445">
        <x:v>4</x:v>
      </x:c>
      <x:c r="D4445">
        <x:f>ROUND($C4445*10*VLOOKUP($B4445,Sheet2!$J$5:$K$7,2,FALSE)*VLOOKUP(Sheet1!$A4445,Sheet2!$B$5:$H$29,3,FALSE),0)</x:f>
        <x:v>0</x:v>
      </x:c>
      <x:c r="E4445">
        <x:f>ROUND($C4445*10*VLOOKUP($B4445,Sheet2!$J$5:$K$7,2,FALSE)*VLOOKUP(Sheet1!$A4445,Sheet2!$B$5:$H$29,4,FALSE),0)</x:f>
        <x:v>0</x:v>
      </x:c>
      <x:c r="F4445">
        <x:f>ROUND($C4445*10*VLOOKUP($B4445,Sheet2!$J$5:$K$7,2,FALSE)*VLOOKUP(Sheet1!$A4445,Sheet2!$B$5:$H$29,5,FALSE),0)</x:f>
        <x:v>0</x:v>
      </x:c>
      <x:c r="G4445">
        <x:f>ROUND($C4445*10*VLOOKUP($B4445,Sheet2!$J$5:$K$7,2,FALSE)*VLOOKUP(Sheet1!$A4445,Sheet2!$B$5:$H$29,6,FALSE),0)</x:f>
        <x:v>0</x:v>
      </x:c>
      <x:c r="H4445">
        <x:f>ROUND($C4445*10*VLOOKUP($B4445,Sheet2!$J$5:$K$7,2,FALSE)*VLOOKUP(Sheet1!$A4445,Sheet2!$B$5:$H$29,7,FALSE),0)</x:f>
        <x:v>400</x:v>
      </x:c>
      <x:c r="I4445">
        <x:f t="shared" si="74"/>
        <x:v>1000</x:v>
      </x:c>
    </x:row>
    <x:row r="4446" spans="1:9" x14ac:dyDescent="0.15">
      <x:c r="A4446">
        <x:v>54205</x:v>
      </x:c>
      <x:c r="B4446">
        <x:v>3</x:v>
      </x:c>
      <x:c r="C4446">
        <x:v>5</x:v>
      </x:c>
      <x:c r="D4446">
        <x:f>ROUND($C4446*10*VLOOKUP($B4446,Sheet2!$J$5:$K$7,2,FALSE)*VLOOKUP(Sheet1!$A4446,Sheet2!$B$5:$H$29,3,FALSE),0)</x:f>
        <x:v>0</x:v>
      </x:c>
      <x:c r="E4446">
        <x:f>ROUND($C4446*10*VLOOKUP($B4446,Sheet2!$J$5:$K$7,2,FALSE)*VLOOKUP(Sheet1!$A4446,Sheet2!$B$5:$H$29,4,FALSE),0)</x:f>
        <x:v>0</x:v>
      </x:c>
      <x:c r="F4446">
        <x:f>ROUND($C4446*10*VLOOKUP($B4446,Sheet2!$J$5:$K$7,2,FALSE)*VLOOKUP(Sheet1!$A4446,Sheet2!$B$5:$H$29,5,FALSE),0)</x:f>
        <x:v>0</x:v>
      </x:c>
      <x:c r="G4446">
        <x:f>ROUND($C4446*10*VLOOKUP($B4446,Sheet2!$J$5:$K$7,2,FALSE)*VLOOKUP(Sheet1!$A4446,Sheet2!$B$5:$H$29,6,FALSE),0)</x:f>
        <x:v>0</x:v>
      </x:c>
      <x:c r="H4446">
        <x:f>ROUND($C4446*10*VLOOKUP($B4446,Sheet2!$J$5:$K$7,2,FALSE)*VLOOKUP(Sheet1!$A4446,Sheet2!$B$5:$H$29,7,FALSE),0)</x:f>
        <x:v>500</x:v>
      </x:c>
      <x:c r="I4446">
        <x:f t="shared" si="74"/>
        <x:v>1620</x:v>
      </x:c>
    </x:row>
    <x:row r="4447" spans="1:9" x14ac:dyDescent="0.15">
      <x:c r="A4447">
        <x:v>54205</x:v>
      </x:c>
      <x:c r="B4447">
        <x:v>3</x:v>
      </x:c>
      <x:c r="C4447">
        <x:v>6</x:v>
      </x:c>
      <x:c r="D4447">
        <x:f>ROUND($C4447*10*VLOOKUP($B4447,Sheet2!$J$5:$K$7,2,FALSE)*VLOOKUP(Sheet1!$A4447,Sheet2!$B$5:$H$29,3,FALSE),0)</x:f>
        <x:v>0</x:v>
      </x:c>
      <x:c r="E4447">
        <x:f>ROUND($C4447*10*VLOOKUP($B4447,Sheet2!$J$5:$K$7,2,FALSE)*VLOOKUP(Sheet1!$A4447,Sheet2!$B$5:$H$29,4,FALSE),0)</x:f>
        <x:v>0</x:v>
      </x:c>
      <x:c r="F4447">
        <x:f>ROUND($C4447*10*VLOOKUP($B4447,Sheet2!$J$5:$K$7,2,FALSE)*VLOOKUP(Sheet1!$A4447,Sheet2!$B$5:$H$29,5,FALSE),0)</x:f>
        <x:v>0</x:v>
      </x:c>
      <x:c r="G4447">
        <x:f>ROUND($C4447*10*VLOOKUP($B4447,Sheet2!$J$5:$K$7,2,FALSE)*VLOOKUP(Sheet1!$A4447,Sheet2!$B$5:$H$29,6,FALSE),0)</x:f>
        <x:v>0</x:v>
      </x:c>
      <x:c r="H4447">
        <x:f>ROUND($C4447*10*VLOOKUP($B4447,Sheet2!$J$5:$K$7,2,FALSE)*VLOOKUP(Sheet1!$A4447,Sheet2!$B$5:$H$29,7,FALSE),0)</x:f>
        <x:v>600</x:v>
      </x:c>
      <x:c r="I4447">
        <x:f t="shared" si="74"/>
        <x:v>2370</x:v>
      </x:c>
    </x:row>
    <x:row r="4448" spans="1:9" x14ac:dyDescent="0.15">
      <x:c r="A4448">
        <x:v>54205</x:v>
      </x:c>
      <x:c r="B4448">
        <x:v>3</x:v>
      </x:c>
      <x:c r="C4448">
        <x:v>7</x:v>
      </x:c>
      <x:c r="D4448">
        <x:f>ROUND($C4448*10*VLOOKUP($B4448,Sheet2!$J$5:$K$7,2,FALSE)*VLOOKUP(Sheet1!$A4448,Sheet2!$B$5:$H$29,3,FALSE),0)</x:f>
        <x:v>0</x:v>
      </x:c>
      <x:c r="E4448">
        <x:f>ROUND($C4448*10*VLOOKUP($B4448,Sheet2!$J$5:$K$7,2,FALSE)*VLOOKUP(Sheet1!$A4448,Sheet2!$B$5:$H$29,4,FALSE),0)</x:f>
        <x:v>0</x:v>
      </x:c>
      <x:c r="F4448">
        <x:f>ROUND($C4448*10*VLOOKUP($B4448,Sheet2!$J$5:$K$7,2,FALSE)*VLOOKUP(Sheet1!$A4448,Sheet2!$B$5:$H$29,5,FALSE),0)</x:f>
        <x:v>0</x:v>
      </x:c>
      <x:c r="G4448">
        <x:f>ROUND($C4448*10*VLOOKUP($B4448,Sheet2!$J$5:$K$7,2,FALSE)*VLOOKUP(Sheet1!$A4448,Sheet2!$B$5:$H$29,6,FALSE),0)</x:f>
        <x:v>0</x:v>
      </x:c>
      <x:c r="H4448">
        <x:f>ROUND($C4448*10*VLOOKUP($B4448,Sheet2!$J$5:$K$7,2,FALSE)*VLOOKUP(Sheet1!$A4448,Sheet2!$B$5:$H$29,7,FALSE),0)</x:f>
        <x:v>700</x:v>
      </x:c>
      <x:c r="I4448">
        <x:f t="shared" si="74"/>
        <x:v>3260</x:v>
      </x:c>
    </x:row>
    <x:row r="4449" spans="1:9" x14ac:dyDescent="0.15">
      <x:c r="A4449">
        <x:v>54205</x:v>
      </x:c>
      <x:c r="B4449">
        <x:v>3</x:v>
      </x:c>
      <x:c r="C4449">
        <x:v>8</x:v>
      </x:c>
      <x:c r="D4449">
        <x:f>ROUND($C4449*10*VLOOKUP($B4449,Sheet2!$J$5:$K$7,2,FALSE)*VLOOKUP(Sheet1!$A4449,Sheet2!$B$5:$H$29,3,FALSE),0)</x:f>
        <x:v>0</x:v>
      </x:c>
      <x:c r="E4449">
        <x:f>ROUND($C4449*10*VLOOKUP($B4449,Sheet2!$J$5:$K$7,2,FALSE)*VLOOKUP(Sheet1!$A4449,Sheet2!$B$5:$H$29,4,FALSE),0)</x:f>
        <x:v>0</x:v>
      </x:c>
      <x:c r="F4449">
        <x:f>ROUND($C4449*10*VLOOKUP($B4449,Sheet2!$J$5:$K$7,2,FALSE)*VLOOKUP(Sheet1!$A4449,Sheet2!$B$5:$H$29,5,FALSE),0)</x:f>
        <x:v>0</x:v>
      </x:c>
      <x:c r="G4449">
        <x:f>ROUND($C4449*10*VLOOKUP($B4449,Sheet2!$J$5:$K$7,2,FALSE)*VLOOKUP(Sheet1!$A4449,Sheet2!$B$5:$H$29,6,FALSE),0)</x:f>
        <x:v>0</x:v>
      </x:c>
      <x:c r="H4449">
        <x:f>ROUND($C4449*10*VLOOKUP($B4449,Sheet2!$J$5:$K$7,2,FALSE)*VLOOKUP(Sheet1!$A4449,Sheet2!$B$5:$H$29,7,FALSE),0)</x:f>
        <x:v>800</x:v>
      </x:c>
      <x:c r="I4449">
        <x:f t="shared" si="74"/>
        <x:v>4270</x:v>
      </x:c>
    </x:row>
    <x:row r="4450" spans="1:9" x14ac:dyDescent="0.15">
      <x:c r="A4450">
        <x:v>54205</x:v>
      </x:c>
      <x:c r="B4450">
        <x:v>3</x:v>
      </x:c>
      <x:c r="C4450">
        <x:v>9</x:v>
      </x:c>
      <x:c r="D4450">
        <x:f>ROUND($C4450*10*VLOOKUP($B4450,Sheet2!$J$5:$K$7,2,FALSE)*VLOOKUP(Sheet1!$A4450,Sheet2!$B$5:$H$29,3,FALSE),0)</x:f>
        <x:v>0</x:v>
      </x:c>
      <x:c r="E4450">
        <x:f>ROUND($C4450*10*VLOOKUP($B4450,Sheet2!$J$5:$K$7,2,FALSE)*VLOOKUP(Sheet1!$A4450,Sheet2!$B$5:$H$29,4,FALSE),0)</x:f>
        <x:v>0</x:v>
      </x:c>
      <x:c r="F4450">
        <x:f>ROUND($C4450*10*VLOOKUP($B4450,Sheet2!$J$5:$K$7,2,FALSE)*VLOOKUP(Sheet1!$A4450,Sheet2!$B$5:$H$29,5,FALSE),0)</x:f>
        <x:v>0</x:v>
      </x:c>
      <x:c r="G4450">
        <x:f>ROUND($C4450*10*VLOOKUP($B4450,Sheet2!$J$5:$K$7,2,FALSE)*VLOOKUP(Sheet1!$A4450,Sheet2!$B$5:$H$29,6,FALSE),0)</x:f>
        <x:v>0</x:v>
      </x:c>
      <x:c r="H4450">
        <x:f>ROUND($C4450*10*VLOOKUP($B4450,Sheet2!$J$5:$K$7,2,FALSE)*VLOOKUP(Sheet1!$A4450,Sheet2!$B$5:$H$29,7,FALSE),0)</x:f>
        <x:v>900</x:v>
      </x:c>
      <x:c r="I4450">
        <x:f t="shared" si="74"/>
        <x:v>5410</x:v>
      </x:c>
    </x:row>
    <x:row r="4451" spans="1:9" x14ac:dyDescent="0.15">
      <x:c r="A4451">
        <x:v>54205</x:v>
      </x:c>
      <x:c r="B4451">
        <x:v>3</x:v>
      </x:c>
      <x:c r="C4451">
        <x:v>10</x:v>
      </x:c>
      <x:c r="D4451">
        <x:f>ROUND($C4451*10*VLOOKUP($B4451,Sheet2!$J$5:$K$7,2,FALSE)*VLOOKUP(Sheet1!$A4451,Sheet2!$B$5:$H$29,3,FALSE),0)</x:f>
        <x:v>0</x:v>
      </x:c>
      <x:c r="E4451">
        <x:f>ROUND($C4451*10*VLOOKUP($B4451,Sheet2!$J$5:$K$7,2,FALSE)*VLOOKUP(Sheet1!$A4451,Sheet2!$B$5:$H$29,4,FALSE),0)</x:f>
        <x:v>0</x:v>
      </x:c>
      <x:c r="F4451">
        <x:f>ROUND($C4451*10*VLOOKUP($B4451,Sheet2!$J$5:$K$7,2,FALSE)*VLOOKUP(Sheet1!$A4451,Sheet2!$B$5:$H$29,5,FALSE),0)</x:f>
        <x:v>0</x:v>
      </x:c>
      <x:c r="G4451">
        <x:f>ROUND($C4451*10*VLOOKUP($B4451,Sheet2!$J$5:$K$7,2,FALSE)*VLOOKUP(Sheet1!$A4451,Sheet2!$B$5:$H$29,6,FALSE),0)</x:f>
        <x:v>0</x:v>
      </x:c>
      <x:c r="H4451">
        <x:f>ROUND($C4451*10*VLOOKUP($B4451,Sheet2!$J$5:$K$7,2,FALSE)*VLOOKUP(Sheet1!$A4451,Sheet2!$B$5:$H$29,7,FALSE),0)</x:f>
        <x:v>1000</x:v>
      </x:c>
      <x:c r="I4451">
        <x:f t="shared" si="74"/>
        <x:v>6670</x:v>
      </x:c>
    </x:row>
    <x:row r="4452" spans="1:9" x14ac:dyDescent="0.15">
      <x:c r="A4452">
        <x:v>54205</x:v>
      </x:c>
      <x:c r="B4452">
        <x:v>3</x:v>
      </x:c>
      <x:c r="C4452">
        <x:v>11</x:v>
      </x:c>
      <x:c r="D4452">
        <x:f>ROUND($C4452*10*VLOOKUP($B4452,Sheet2!$J$5:$K$7,2,FALSE)*VLOOKUP(Sheet1!$A4452,Sheet2!$B$5:$H$29,3,FALSE),0)</x:f>
        <x:v>0</x:v>
      </x:c>
      <x:c r="E4452">
        <x:f>ROUND($C4452*10*VLOOKUP($B4452,Sheet2!$J$5:$K$7,2,FALSE)*VLOOKUP(Sheet1!$A4452,Sheet2!$B$5:$H$29,4,FALSE),0)</x:f>
        <x:v>0</x:v>
      </x:c>
      <x:c r="F4452">
        <x:f>ROUND($C4452*10*VLOOKUP($B4452,Sheet2!$J$5:$K$7,2,FALSE)*VLOOKUP(Sheet1!$A4452,Sheet2!$B$5:$H$29,5,FALSE),0)</x:f>
        <x:v>0</x:v>
      </x:c>
      <x:c r="G4452">
        <x:f>ROUND($C4452*10*VLOOKUP($B4452,Sheet2!$J$5:$K$7,2,FALSE)*VLOOKUP(Sheet1!$A4452,Sheet2!$B$5:$H$29,6,FALSE),0)</x:f>
        <x:v>0</x:v>
      </x:c>
      <x:c r="H4452">
        <x:f>ROUND($C4452*10*VLOOKUP($B4452,Sheet2!$J$5:$K$7,2,FALSE)*VLOOKUP(Sheet1!$A4452,Sheet2!$B$5:$H$29,7,FALSE),0)</x:f>
        <x:v>1100</x:v>
      </x:c>
      <x:c r="I4452">
        <x:f t="shared" si="74"/>
        <x:v>8040</x:v>
      </x:c>
    </x:row>
    <x:row r="4453" spans="1:9" x14ac:dyDescent="0.15">
      <x:c r="A4453">
        <x:v>54205</x:v>
      </x:c>
      <x:c r="B4453">
        <x:v>3</x:v>
      </x:c>
      <x:c r="C4453">
        <x:v>12</x:v>
      </x:c>
      <x:c r="D4453">
        <x:f>ROUND($C4453*10*VLOOKUP($B4453,Sheet2!$J$5:$K$7,2,FALSE)*VLOOKUP(Sheet1!$A4453,Sheet2!$B$5:$H$29,3,FALSE),0)</x:f>
        <x:v>0</x:v>
      </x:c>
      <x:c r="E4453">
        <x:f>ROUND($C4453*10*VLOOKUP($B4453,Sheet2!$J$5:$K$7,2,FALSE)*VLOOKUP(Sheet1!$A4453,Sheet2!$B$5:$H$29,4,FALSE),0)</x:f>
        <x:v>0</x:v>
      </x:c>
      <x:c r="F4453">
        <x:f>ROUND($C4453*10*VLOOKUP($B4453,Sheet2!$J$5:$K$7,2,FALSE)*VLOOKUP(Sheet1!$A4453,Sheet2!$B$5:$H$29,5,FALSE),0)</x:f>
        <x:v>0</x:v>
      </x:c>
      <x:c r="G4453">
        <x:f>ROUND($C4453*10*VLOOKUP($B4453,Sheet2!$J$5:$K$7,2,FALSE)*VLOOKUP(Sheet1!$A4453,Sheet2!$B$5:$H$29,6,FALSE),0)</x:f>
        <x:v>0</x:v>
      </x:c>
      <x:c r="H4453">
        <x:f>ROUND($C4453*10*VLOOKUP($B4453,Sheet2!$J$5:$K$7,2,FALSE)*VLOOKUP(Sheet1!$A4453,Sheet2!$B$5:$H$29,7,FALSE),0)</x:f>
        <x:v>1200</x:v>
      </x:c>
      <x:c r="I4453">
        <x:f t="shared" si="74"/>
        <x:v>9530</x:v>
      </x:c>
    </x:row>
    <x:row r="4454" spans="1:9" x14ac:dyDescent="0.15">
      <x:c r="A4454">
        <x:v>54205</x:v>
      </x:c>
      <x:c r="B4454">
        <x:v>3</x:v>
      </x:c>
      <x:c r="C4454">
        <x:v>13</x:v>
      </x:c>
      <x:c r="D4454">
        <x:f>ROUND($C4454*10*VLOOKUP($B4454,Sheet2!$J$5:$K$7,2,FALSE)*VLOOKUP(Sheet1!$A4454,Sheet2!$B$5:$H$29,3,FALSE),0)</x:f>
        <x:v>0</x:v>
      </x:c>
      <x:c r="E4454">
        <x:f>ROUND($C4454*10*VLOOKUP($B4454,Sheet2!$J$5:$K$7,2,FALSE)*VLOOKUP(Sheet1!$A4454,Sheet2!$B$5:$H$29,4,FALSE),0)</x:f>
        <x:v>0</x:v>
      </x:c>
      <x:c r="F4454">
        <x:f>ROUND($C4454*10*VLOOKUP($B4454,Sheet2!$J$5:$K$7,2,FALSE)*VLOOKUP(Sheet1!$A4454,Sheet2!$B$5:$H$29,5,FALSE),0)</x:f>
        <x:v>0</x:v>
      </x:c>
      <x:c r="G4454">
        <x:f>ROUND($C4454*10*VLOOKUP($B4454,Sheet2!$J$5:$K$7,2,FALSE)*VLOOKUP(Sheet1!$A4454,Sheet2!$B$5:$H$29,6,FALSE),0)</x:f>
        <x:v>0</x:v>
      </x:c>
      <x:c r="H4454">
        <x:f>ROUND($C4454*10*VLOOKUP($B4454,Sheet2!$J$5:$K$7,2,FALSE)*VLOOKUP(Sheet1!$A4454,Sheet2!$B$5:$H$29,7,FALSE),0)</x:f>
        <x:v>1300</x:v>
      </x:c>
      <x:c r="I4454">
        <x:f t="shared" si="74"/>
        <x:v>11130</x:v>
      </x:c>
    </x:row>
    <x:row r="4455" spans="1:9" x14ac:dyDescent="0.15">
      <x:c r="A4455">
        <x:v>54205</x:v>
      </x:c>
      <x:c r="B4455">
        <x:v>3</x:v>
      </x:c>
      <x:c r="C4455">
        <x:v>14</x:v>
      </x:c>
      <x:c r="D4455">
        <x:f>ROUND($C4455*10*VLOOKUP($B4455,Sheet2!$J$5:$K$7,2,FALSE)*VLOOKUP(Sheet1!$A4455,Sheet2!$B$5:$H$29,3,FALSE),0)</x:f>
        <x:v>0</x:v>
      </x:c>
      <x:c r="E4455">
        <x:f>ROUND($C4455*10*VLOOKUP($B4455,Sheet2!$J$5:$K$7,2,FALSE)*VLOOKUP(Sheet1!$A4455,Sheet2!$B$5:$H$29,4,FALSE),0)</x:f>
        <x:v>0</x:v>
      </x:c>
      <x:c r="F4455">
        <x:f>ROUND($C4455*10*VLOOKUP($B4455,Sheet2!$J$5:$K$7,2,FALSE)*VLOOKUP(Sheet1!$A4455,Sheet2!$B$5:$H$29,5,FALSE),0)</x:f>
        <x:v>0</x:v>
      </x:c>
      <x:c r="G4455">
        <x:f>ROUND($C4455*10*VLOOKUP($B4455,Sheet2!$J$5:$K$7,2,FALSE)*VLOOKUP(Sheet1!$A4455,Sheet2!$B$5:$H$29,6,FALSE),0)</x:f>
        <x:v>0</x:v>
      </x:c>
      <x:c r="H4455">
        <x:f>ROUND($C4455*10*VLOOKUP($B4455,Sheet2!$J$5:$K$7,2,FALSE)*VLOOKUP(Sheet1!$A4455,Sheet2!$B$5:$H$29,7,FALSE),0)</x:f>
        <x:v>1400</x:v>
      </x:c>
      <x:c r="I4455">
        <x:f t="shared" si="74"/>
        <x:v>12840</x:v>
      </x:c>
    </x:row>
    <x:row r="4456" spans="1:9" x14ac:dyDescent="0.15">
      <x:c r="A4456">
        <x:v>54205</x:v>
      </x:c>
      <x:c r="B4456">
        <x:v>3</x:v>
      </x:c>
      <x:c r="C4456">
        <x:v>15</x:v>
      </x:c>
      <x:c r="D4456">
        <x:f>ROUND($C4456*10*VLOOKUP($B4456,Sheet2!$J$5:$K$7,2,FALSE)*VLOOKUP(Sheet1!$A4456,Sheet2!$B$5:$H$29,3,FALSE),0)</x:f>
        <x:v>0</x:v>
      </x:c>
      <x:c r="E4456">
        <x:f>ROUND($C4456*10*VLOOKUP($B4456,Sheet2!$J$5:$K$7,2,FALSE)*VLOOKUP(Sheet1!$A4456,Sheet2!$B$5:$H$29,4,FALSE),0)</x:f>
        <x:v>0</x:v>
      </x:c>
      <x:c r="F4456">
        <x:f>ROUND($C4456*10*VLOOKUP($B4456,Sheet2!$J$5:$K$7,2,FALSE)*VLOOKUP(Sheet1!$A4456,Sheet2!$B$5:$H$29,5,FALSE),0)</x:f>
        <x:v>0</x:v>
      </x:c>
      <x:c r="G4456">
        <x:f>ROUND($C4456*10*VLOOKUP($B4456,Sheet2!$J$5:$K$7,2,FALSE)*VLOOKUP(Sheet1!$A4456,Sheet2!$B$5:$H$29,6,FALSE),0)</x:f>
        <x:v>0</x:v>
      </x:c>
      <x:c r="H4456">
        <x:f>ROUND($C4456*10*VLOOKUP($B4456,Sheet2!$J$5:$K$7,2,FALSE)*VLOOKUP(Sheet1!$A4456,Sheet2!$B$5:$H$29,7,FALSE),0)</x:f>
        <x:v>1500</x:v>
      </x:c>
      <x:c r="I4456">
        <x:f t="shared" si="74"/>
        <x:v>14660</x:v>
      </x:c>
    </x:row>
    <x:row r="4457" spans="1:9" x14ac:dyDescent="0.15">
      <x:c r="A4457">
        <x:v>54205</x:v>
      </x:c>
      <x:c r="B4457">
        <x:v>3</x:v>
      </x:c>
      <x:c r="C4457">
        <x:v>16</x:v>
      </x:c>
      <x:c r="D4457">
        <x:f>ROUND($C4457*10*VLOOKUP($B4457,Sheet2!$J$5:$K$7,2,FALSE)*VLOOKUP(Sheet1!$A4457,Sheet2!$B$5:$H$29,3,FALSE),0)</x:f>
        <x:v>0</x:v>
      </x:c>
      <x:c r="E4457">
        <x:f>ROUND($C4457*10*VLOOKUP($B4457,Sheet2!$J$5:$K$7,2,FALSE)*VLOOKUP(Sheet1!$A4457,Sheet2!$B$5:$H$29,4,FALSE),0)</x:f>
        <x:v>0</x:v>
      </x:c>
      <x:c r="F4457">
        <x:f>ROUND($C4457*10*VLOOKUP($B4457,Sheet2!$J$5:$K$7,2,FALSE)*VLOOKUP(Sheet1!$A4457,Sheet2!$B$5:$H$29,5,FALSE),0)</x:f>
        <x:v>0</x:v>
      </x:c>
      <x:c r="G4457">
        <x:f>ROUND($C4457*10*VLOOKUP($B4457,Sheet2!$J$5:$K$7,2,FALSE)*VLOOKUP(Sheet1!$A4457,Sheet2!$B$5:$H$29,6,FALSE),0)</x:f>
        <x:v>0</x:v>
      </x:c>
      <x:c r="H4457">
        <x:f>ROUND($C4457*10*VLOOKUP($B4457,Sheet2!$J$5:$K$7,2,FALSE)*VLOOKUP(Sheet1!$A4457,Sheet2!$B$5:$H$29,7,FALSE),0)</x:f>
        <x:v>1600</x:v>
      </x:c>
      <x:c r="I4457">
        <x:f t="shared" si="74"/>
        <x:v>16580</x:v>
      </x:c>
    </x:row>
    <x:row r="4458" spans="1:9" x14ac:dyDescent="0.15">
      <x:c r="A4458">
        <x:v>54205</x:v>
      </x:c>
      <x:c r="B4458">
        <x:v>3</x:v>
      </x:c>
      <x:c r="C4458">
        <x:v>17</x:v>
      </x:c>
      <x:c r="D4458">
        <x:f>ROUND($C4458*10*VLOOKUP($B4458,Sheet2!$J$5:$K$7,2,FALSE)*VLOOKUP(Sheet1!$A4458,Sheet2!$B$5:$H$29,3,FALSE),0)</x:f>
        <x:v>0</x:v>
      </x:c>
      <x:c r="E4458">
        <x:f>ROUND($C4458*10*VLOOKUP($B4458,Sheet2!$J$5:$K$7,2,FALSE)*VLOOKUP(Sheet1!$A4458,Sheet2!$B$5:$H$29,4,FALSE),0)</x:f>
        <x:v>0</x:v>
      </x:c>
      <x:c r="F4458">
        <x:f>ROUND($C4458*10*VLOOKUP($B4458,Sheet2!$J$5:$K$7,2,FALSE)*VLOOKUP(Sheet1!$A4458,Sheet2!$B$5:$H$29,5,FALSE),0)</x:f>
        <x:v>0</x:v>
      </x:c>
      <x:c r="G4458">
        <x:f>ROUND($C4458*10*VLOOKUP($B4458,Sheet2!$J$5:$K$7,2,FALSE)*VLOOKUP(Sheet1!$A4458,Sheet2!$B$5:$H$29,6,FALSE),0)</x:f>
        <x:v>0</x:v>
      </x:c>
      <x:c r="H4458">
        <x:f>ROUND($C4458*10*VLOOKUP($B4458,Sheet2!$J$5:$K$7,2,FALSE)*VLOOKUP(Sheet1!$A4458,Sheet2!$B$5:$H$29,7,FALSE),0)</x:f>
        <x:v>1700</x:v>
      </x:c>
      <x:c r="I4458">
        <x:f t="shared" si="74"/>
        <x:v>18620</x:v>
      </x:c>
    </x:row>
    <x:row r="4459" spans="1:9" x14ac:dyDescent="0.15">
      <x:c r="A4459">
        <x:v>54205</x:v>
      </x:c>
      <x:c r="B4459">
        <x:v>3</x:v>
      </x:c>
      <x:c r="C4459">
        <x:v>18</x:v>
      </x:c>
      <x:c r="D4459">
        <x:f>ROUND($C4459*10*VLOOKUP($B4459,Sheet2!$J$5:$K$7,2,FALSE)*VLOOKUP(Sheet1!$A4459,Sheet2!$B$5:$H$29,3,FALSE),0)</x:f>
        <x:v>0</x:v>
      </x:c>
      <x:c r="E4459">
        <x:f>ROUND($C4459*10*VLOOKUP($B4459,Sheet2!$J$5:$K$7,2,FALSE)*VLOOKUP(Sheet1!$A4459,Sheet2!$B$5:$H$29,4,FALSE),0)</x:f>
        <x:v>0</x:v>
      </x:c>
      <x:c r="F4459">
        <x:f>ROUND($C4459*10*VLOOKUP($B4459,Sheet2!$J$5:$K$7,2,FALSE)*VLOOKUP(Sheet1!$A4459,Sheet2!$B$5:$H$29,5,FALSE),0)</x:f>
        <x:v>0</x:v>
      </x:c>
      <x:c r="G4459">
        <x:f>ROUND($C4459*10*VLOOKUP($B4459,Sheet2!$J$5:$K$7,2,FALSE)*VLOOKUP(Sheet1!$A4459,Sheet2!$B$5:$H$29,6,FALSE),0)</x:f>
        <x:v>0</x:v>
      </x:c>
      <x:c r="H4459">
        <x:f>ROUND($C4459*10*VLOOKUP($B4459,Sheet2!$J$5:$K$7,2,FALSE)*VLOOKUP(Sheet1!$A4459,Sheet2!$B$5:$H$29,7,FALSE),0)</x:f>
        <x:v>1800</x:v>
      </x:c>
      <x:c r="I4459">
        <x:f t="shared" si="74"/>
        <x:v>20750</x:v>
      </x:c>
    </x:row>
    <x:row r="4460" spans="1:9" x14ac:dyDescent="0.15">
      <x:c r="A4460">
        <x:v>54205</x:v>
      </x:c>
      <x:c r="B4460">
        <x:v>3</x:v>
      </x:c>
      <x:c r="C4460">
        <x:v>19</x:v>
      </x:c>
      <x:c r="D4460">
        <x:f>ROUND($C4460*10*VLOOKUP($B4460,Sheet2!$J$5:$K$7,2,FALSE)*VLOOKUP(Sheet1!$A4460,Sheet2!$B$5:$H$29,3,FALSE),0)</x:f>
        <x:v>0</x:v>
      </x:c>
      <x:c r="E4460">
        <x:f>ROUND($C4460*10*VLOOKUP($B4460,Sheet2!$J$5:$K$7,2,FALSE)*VLOOKUP(Sheet1!$A4460,Sheet2!$B$5:$H$29,4,FALSE),0)</x:f>
        <x:v>0</x:v>
      </x:c>
      <x:c r="F4460">
        <x:f>ROUND($C4460*10*VLOOKUP($B4460,Sheet2!$J$5:$K$7,2,FALSE)*VLOOKUP(Sheet1!$A4460,Sheet2!$B$5:$H$29,5,FALSE),0)</x:f>
        <x:v>0</x:v>
      </x:c>
      <x:c r="G4460">
        <x:f>ROUND($C4460*10*VLOOKUP($B4460,Sheet2!$J$5:$K$7,2,FALSE)*VLOOKUP(Sheet1!$A4460,Sheet2!$B$5:$H$29,6,FALSE),0)</x:f>
        <x:v>0</x:v>
      </x:c>
      <x:c r="H4460">
        <x:f>ROUND($C4460*10*VLOOKUP($B4460,Sheet2!$J$5:$K$7,2,FALSE)*VLOOKUP(Sheet1!$A4460,Sheet2!$B$5:$H$29,7,FALSE),0)</x:f>
        <x:v>1900</x:v>
      </x:c>
      <x:c r="I4460">
        <x:f t="shared" si="74"/>
        <x:v>22990</x:v>
      </x:c>
    </x:row>
    <x:row r="4461" spans="1:9" x14ac:dyDescent="0.15">
      <x:c r="A4461">
        <x:v>54205</x:v>
      </x:c>
      <x:c r="B4461">
        <x:v>3</x:v>
      </x:c>
      <x:c r="C4461">
        <x:v>20</x:v>
      </x:c>
      <x:c r="D4461">
        <x:f>ROUND($C4461*10*VLOOKUP($B4461,Sheet2!$J$5:$K$7,2,FALSE)*VLOOKUP(Sheet1!$A4461,Sheet2!$B$5:$H$29,3,FALSE),0)</x:f>
        <x:v>0</x:v>
      </x:c>
      <x:c r="E4461">
        <x:f>ROUND($C4461*10*VLOOKUP($B4461,Sheet2!$J$5:$K$7,2,FALSE)*VLOOKUP(Sheet1!$A4461,Sheet2!$B$5:$H$29,4,FALSE),0)</x:f>
        <x:v>0</x:v>
      </x:c>
      <x:c r="F4461">
        <x:f>ROUND($C4461*10*VLOOKUP($B4461,Sheet2!$J$5:$K$7,2,FALSE)*VLOOKUP(Sheet1!$A4461,Sheet2!$B$5:$H$29,5,FALSE),0)</x:f>
        <x:v>0</x:v>
      </x:c>
      <x:c r="G4461">
        <x:f>ROUND($C4461*10*VLOOKUP($B4461,Sheet2!$J$5:$K$7,2,FALSE)*VLOOKUP(Sheet1!$A4461,Sheet2!$B$5:$H$29,6,FALSE),0)</x:f>
        <x:v>0</x:v>
      </x:c>
      <x:c r="H4461">
        <x:f>ROUND($C4461*10*VLOOKUP($B4461,Sheet2!$J$5:$K$7,2,FALSE)*VLOOKUP(Sheet1!$A4461,Sheet2!$B$5:$H$29,7,FALSE),0)</x:f>
        <x:v>2000</x:v>
      </x:c>
      <x:c r="I4461">
        <x:f t="shared" si="74"/>
        <x:v>25330</x:v>
      </x:c>
    </x:row>
    <x:row r="4462" spans="1:9" x14ac:dyDescent="0.15">
      <x:c r="A4462">
        <x:v>54205</x:v>
      </x:c>
      <x:c r="B4462">
        <x:v>3</x:v>
      </x:c>
      <x:c r="C4462">
        <x:v>21</x:v>
      </x:c>
      <x:c r="D4462">
        <x:f>ROUND($C4462*10*VLOOKUP($B4462,Sheet2!$J$5:$K$7,2,FALSE)*VLOOKUP(Sheet1!$A4462,Sheet2!$B$5:$H$29,3,FALSE),0)</x:f>
        <x:v>0</x:v>
      </x:c>
      <x:c r="E4462">
        <x:f>ROUND($C4462*10*VLOOKUP($B4462,Sheet2!$J$5:$K$7,2,FALSE)*VLOOKUP(Sheet1!$A4462,Sheet2!$B$5:$H$29,4,FALSE),0)</x:f>
        <x:v>0</x:v>
      </x:c>
      <x:c r="F4462">
        <x:f>ROUND($C4462*10*VLOOKUP($B4462,Sheet2!$J$5:$K$7,2,FALSE)*VLOOKUP(Sheet1!$A4462,Sheet2!$B$5:$H$29,5,FALSE),0)</x:f>
        <x:v>0</x:v>
      </x:c>
      <x:c r="G4462">
        <x:f>ROUND($C4462*10*VLOOKUP($B4462,Sheet2!$J$5:$K$7,2,FALSE)*VLOOKUP(Sheet1!$A4462,Sheet2!$B$5:$H$29,6,FALSE),0)</x:f>
        <x:v>0</x:v>
      </x:c>
      <x:c r="H4462">
        <x:f>ROUND($C4462*10*VLOOKUP($B4462,Sheet2!$J$5:$K$7,2,FALSE)*VLOOKUP(Sheet1!$A4462,Sheet2!$B$5:$H$29,7,FALSE),0)</x:f>
        <x:v>2100</x:v>
      </x:c>
      <x:c r="I4462">
        <x:f t="shared" si="74"/>
        <x:v>27770</x:v>
      </x:c>
    </x:row>
    <x:row r="4463" spans="1:9" x14ac:dyDescent="0.15">
      <x:c r="A4463">
        <x:v>54205</x:v>
      </x:c>
      <x:c r="B4463">
        <x:v>3</x:v>
      </x:c>
      <x:c r="C4463">
        <x:v>22</x:v>
      </x:c>
      <x:c r="D4463">
        <x:f>ROUND($C4463*10*VLOOKUP($B4463,Sheet2!$J$5:$K$7,2,FALSE)*VLOOKUP(Sheet1!$A4463,Sheet2!$B$5:$H$29,3,FALSE),0)</x:f>
        <x:v>0</x:v>
      </x:c>
      <x:c r="E4463">
        <x:f>ROUND($C4463*10*VLOOKUP($B4463,Sheet2!$J$5:$K$7,2,FALSE)*VLOOKUP(Sheet1!$A4463,Sheet2!$B$5:$H$29,4,FALSE),0)</x:f>
        <x:v>0</x:v>
      </x:c>
      <x:c r="F4463">
        <x:f>ROUND($C4463*10*VLOOKUP($B4463,Sheet2!$J$5:$K$7,2,FALSE)*VLOOKUP(Sheet1!$A4463,Sheet2!$B$5:$H$29,5,FALSE),0)</x:f>
        <x:v>0</x:v>
      </x:c>
      <x:c r="G4463">
        <x:f>ROUND($C4463*10*VLOOKUP($B4463,Sheet2!$J$5:$K$7,2,FALSE)*VLOOKUP(Sheet1!$A4463,Sheet2!$B$5:$H$29,6,FALSE),0)</x:f>
        <x:v>0</x:v>
      </x:c>
      <x:c r="H4463">
        <x:f>ROUND($C4463*10*VLOOKUP($B4463,Sheet2!$J$5:$K$7,2,FALSE)*VLOOKUP(Sheet1!$A4463,Sheet2!$B$5:$H$29,7,FALSE),0)</x:f>
        <x:v>2200</x:v>
      </x:c>
      <x:c r="I4463">
        <x:f t="shared" si="74"/>
        <x:v>30310</x:v>
      </x:c>
    </x:row>
    <x:row r="4464" spans="1:9" x14ac:dyDescent="0.15">
      <x:c r="A4464">
        <x:v>54205</x:v>
      </x:c>
      <x:c r="B4464">
        <x:v>3</x:v>
      </x:c>
      <x:c r="C4464">
        <x:v>23</x:v>
      </x:c>
      <x:c r="D4464">
        <x:f>ROUND($C4464*10*VLOOKUP($B4464,Sheet2!$J$5:$K$7,2,FALSE)*VLOOKUP(Sheet1!$A4464,Sheet2!$B$5:$H$29,3,FALSE),0)</x:f>
        <x:v>0</x:v>
      </x:c>
      <x:c r="E4464">
        <x:f>ROUND($C4464*10*VLOOKUP($B4464,Sheet2!$J$5:$K$7,2,FALSE)*VLOOKUP(Sheet1!$A4464,Sheet2!$B$5:$H$29,4,FALSE),0)</x:f>
        <x:v>0</x:v>
      </x:c>
      <x:c r="F4464">
        <x:f>ROUND($C4464*10*VLOOKUP($B4464,Sheet2!$J$5:$K$7,2,FALSE)*VLOOKUP(Sheet1!$A4464,Sheet2!$B$5:$H$29,5,FALSE),0)</x:f>
        <x:v>0</x:v>
      </x:c>
      <x:c r="G4464">
        <x:f>ROUND($C4464*10*VLOOKUP($B4464,Sheet2!$J$5:$K$7,2,FALSE)*VLOOKUP(Sheet1!$A4464,Sheet2!$B$5:$H$29,6,FALSE),0)</x:f>
        <x:v>0</x:v>
      </x:c>
      <x:c r="H4464">
        <x:f>ROUND($C4464*10*VLOOKUP($B4464,Sheet2!$J$5:$K$7,2,FALSE)*VLOOKUP(Sheet1!$A4464,Sheet2!$B$5:$H$29,7,FALSE),0)</x:f>
        <x:v>2300</x:v>
      </x:c>
      <x:c r="I4464">
        <x:f t="shared" si="74"/>
        <x:v>32950</x:v>
      </x:c>
    </x:row>
    <x:row r="4465" spans="1:9" x14ac:dyDescent="0.15">
      <x:c r="A4465">
        <x:v>54205</x:v>
      </x:c>
      <x:c r="B4465">
        <x:v>3</x:v>
      </x:c>
      <x:c r="C4465">
        <x:v>24</x:v>
      </x:c>
      <x:c r="D4465">
        <x:f>ROUND($C4465*10*VLOOKUP($B4465,Sheet2!$J$5:$K$7,2,FALSE)*VLOOKUP(Sheet1!$A4465,Sheet2!$B$5:$H$29,3,FALSE),0)</x:f>
        <x:v>0</x:v>
      </x:c>
      <x:c r="E4465">
        <x:f>ROUND($C4465*10*VLOOKUP($B4465,Sheet2!$J$5:$K$7,2,FALSE)*VLOOKUP(Sheet1!$A4465,Sheet2!$B$5:$H$29,4,FALSE),0)</x:f>
        <x:v>0</x:v>
      </x:c>
      <x:c r="F4465">
        <x:f>ROUND($C4465*10*VLOOKUP($B4465,Sheet2!$J$5:$K$7,2,FALSE)*VLOOKUP(Sheet1!$A4465,Sheet2!$B$5:$H$29,5,FALSE),0)</x:f>
        <x:v>0</x:v>
      </x:c>
      <x:c r="G4465">
        <x:f>ROUND($C4465*10*VLOOKUP($B4465,Sheet2!$J$5:$K$7,2,FALSE)*VLOOKUP(Sheet1!$A4465,Sheet2!$B$5:$H$29,6,FALSE),0)</x:f>
        <x:v>0</x:v>
      </x:c>
      <x:c r="H4465">
        <x:f>ROUND($C4465*10*VLOOKUP($B4465,Sheet2!$J$5:$K$7,2,FALSE)*VLOOKUP(Sheet1!$A4465,Sheet2!$B$5:$H$29,7,FALSE),0)</x:f>
        <x:v>2400</x:v>
      </x:c>
      <x:c r="I4465">
        <x:f t="shared" si="74"/>
        <x:v>35690</x:v>
      </x:c>
    </x:row>
    <x:row r="4466" spans="1:9" x14ac:dyDescent="0.15">
      <x:c r="A4466">
        <x:v>54205</x:v>
      </x:c>
      <x:c r="B4466">
        <x:v>3</x:v>
      </x:c>
      <x:c r="C4466">
        <x:v>25</x:v>
      </x:c>
      <x:c r="D4466">
        <x:f>ROUND($C4466*10*VLOOKUP($B4466,Sheet2!$J$5:$K$7,2,FALSE)*VLOOKUP(Sheet1!$A4466,Sheet2!$B$5:$H$29,3,FALSE),0)</x:f>
        <x:v>0</x:v>
      </x:c>
      <x:c r="E4466">
        <x:f>ROUND($C4466*10*VLOOKUP($B4466,Sheet2!$J$5:$K$7,2,FALSE)*VLOOKUP(Sheet1!$A4466,Sheet2!$B$5:$H$29,4,FALSE),0)</x:f>
        <x:v>0</x:v>
      </x:c>
      <x:c r="F4466">
        <x:f>ROUND($C4466*10*VLOOKUP($B4466,Sheet2!$J$5:$K$7,2,FALSE)*VLOOKUP(Sheet1!$A4466,Sheet2!$B$5:$H$29,5,FALSE),0)</x:f>
        <x:v>0</x:v>
      </x:c>
      <x:c r="G4466">
        <x:f>ROUND($C4466*10*VLOOKUP($B4466,Sheet2!$J$5:$K$7,2,FALSE)*VLOOKUP(Sheet1!$A4466,Sheet2!$B$5:$H$29,6,FALSE),0)</x:f>
        <x:v>0</x:v>
      </x:c>
      <x:c r="H4466">
        <x:f>ROUND($C4466*10*VLOOKUP($B4466,Sheet2!$J$5:$K$7,2,FALSE)*VLOOKUP(Sheet1!$A4466,Sheet2!$B$5:$H$29,7,FALSE),0)</x:f>
        <x:v>2500</x:v>
      </x:c>
      <x:c r="I4466">
        <x:f t="shared" si="74"/>
        <x:v>38530</x:v>
      </x:c>
    </x:row>
    <x:row r="4467" spans="1:9" x14ac:dyDescent="0.15">
      <x:c r="A4467">
        <x:v>54205</x:v>
      </x:c>
      <x:c r="B4467">
        <x:v>3</x:v>
      </x:c>
      <x:c r="C4467">
        <x:v>26</x:v>
      </x:c>
      <x:c r="D4467">
        <x:f>ROUND($C4467*10*VLOOKUP($B4467,Sheet2!$J$5:$K$7,2,FALSE)*VLOOKUP(Sheet1!$A4467,Sheet2!$B$5:$H$29,3,FALSE),0)</x:f>
        <x:v>0</x:v>
      </x:c>
      <x:c r="E4467">
        <x:f>ROUND($C4467*10*VLOOKUP($B4467,Sheet2!$J$5:$K$7,2,FALSE)*VLOOKUP(Sheet1!$A4467,Sheet2!$B$5:$H$29,4,FALSE),0)</x:f>
        <x:v>0</x:v>
      </x:c>
      <x:c r="F4467">
        <x:f>ROUND($C4467*10*VLOOKUP($B4467,Sheet2!$J$5:$K$7,2,FALSE)*VLOOKUP(Sheet1!$A4467,Sheet2!$B$5:$H$29,5,FALSE),0)</x:f>
        <x:v>0</x:v>
      </x:c>
      <x:c r="G4467">
        <x:f>ROUND($C4467*10*VLOOKUP($B4467,Sheet2!$J$5:$K$7,2,FALSE)*VLOOKUP(Sheet1!$A4467,Sheet2!$B$5:$H$29,6,FALSE),0)</x:f>
        <x:v>0</x:v>
      </x:c>
      <x:c r="H4467">
        <x:f>ROUND($C4467*10*VLOOKUP($B4467,Sheet2!$J$5:$K$7,2,FALSE)*VLOOKUP(Sheet1!$A4467,Sheet2!$B$5:$H$29,7,FALSE),0)</x:f>
        <x:v>2600</x:v>
      </x:c>
      <x:c r="I4467">
        <x:f t="shared" si="74"/>
        <x:v>41460</x:v>
      </x:c>
    </x:row>
    <x:row r="4468" spans="1:9" x14ac:dyDescent="0.15">
      <x:c r="A4468">
        <x:v>54205</x:v>
      </x:c>
      <x:c r="B4468">
        <x:v>3</x:v>
      </x:c>
      <x:c r="C4468">
        <x:v>27</x:v>
      </x:c>
      <x:c r="D4468">
        <x:f>ROUND($C4468*10*VLOOKUP($B4468,Sheet2!$J$5:$K$7,2,FALSE)*VLOOKUP(Sheet1!$A4468,Sheet2!$B$5:$H$29,3,FALSE),0)</x:f>
        <x:v>0</x:v>
      </x:c>
      <x:c r="E4468">
        <x:f>ROUND($C4468*10*VLOOKUP($B4468,Sheet2!$J$5:$K$7,2,FALSE)*VLOOKUP(Sheet1!$A4468,Sheet2!$B$5:$H$29,4,FALSE),0)</x:f>
        <x:v>0</x:v>
      </x:c>
      <x:c r="F4468">
        <x:f>ROUND($C4468*10*VLOOKUP($B4468,Sheet2!$J$5:$K$7,2,FALSE)*VLOOKUP(Sheet1!$A4468,Sheet2!$B$5:$H$29,5,FALSE),0)</x:f>
        <x:v>0</x:v>
      </x:c>
      <x:c r="G4468">
        <x:f>ROUND($C4468*10*VLOOKUP($B4468,Sheet2!$J$5:$K$7,2,FALSE)*VLOOKUP(Sheet1!$A4468,Sheet2!$B$5:$H$29,6,FALSE),0)</x:f>
        <x:v>0</x:v>
      </x:c>
      <x:c r="H4468">
        <x:f>ROUND($C4468*10*VLOOKUP($B4468,Sheet2!$J$5:$K$7,2,FALSE)*VLOOKUP(Sheet1!$A4468,Sheet2!$B$5:$H$29,7,FALSE),0)</x:f>
        <x:v>2700</x:v>
      </x:c>
      <x:c r="I4468">
        <x:f t="shared" si="74"/>
        <x:v>44480</x:v>
      </x:c>
    </x:row>
    <x:row r="4469" spans="1:9" x14ac:dyDescent="0.15">
      <x:c r="A4469">
        <x:v>54205</x:v>
      </x:c>
      <x:c r="B4469">
        <x:v>3</x:v>
      </x:c>
      <x:c r="C4469">
        <x:v>28</x:v>
      </x:c>
      <x:c r="D4469">
        <x:f>ROUND($C4469*10*VLOOKUP($B4469,Sheet2!$J$5:$K$7,2,FALSE)*VLOOKUP(Sheet1!$A4469,Sheet2!$B$5:$H$29,3,FALSE),0)</x:f>
        <x:v>0</x:v>
      </x:c>
      <x:c r="E4469">
        <x:f>ROUND($C4469*10*VLOOKUP($B4469,Sheet2!$J$5:$K$7,2,FALSE)*VLOOKUP(Sheet1!$A4469,Sheet2!$B$5:$H$29,4,FALSE),0)</x:f>
        <x:v>0</x:v>
      </x:c>
      <x:c r="F4469">
        <x:f>ROUND($C4469*10*VLOOKUP($B4469,Sheet2!$J$5:$K$7,2,FALSE)*VLOOKUP(Sheet1!$A4469,Sheet2!$B$5:$H$29,5,FALSE),0)</x:f>
        <x:v>0</x:v>
      </x:c>
      <x:c r="G4469">
        <x:f>ROUND($C4469*10*VLOOKUP($B4469,Sheet2!$J$5:$K$7,2,FALSE)*VLOOKUP(Sheet1!$A4469,Sheet2!$B$5:$H$29,6,FALSE),0)</x:f>
        <x:v>0</x:v>
      </x:c>
      <x:c r="H4469">
        <x:f>ROUND($C4469*10*VLOOKUP($B4469,Sheet2!$J$5:$K$7,2,FALSE)*VLOOKUP(Sheet1!$A4469,Sheet2!$B$5:$H$29,7,FALSE),0)</x:f>
        <x:v>2800</x:v>
      </x:c>
      <x:c r="I4469">
        <x:f t="shared" si="74"/>
        <x:v>47600</x:v>
      </x:c>
    </x:row>
    <x:row r="4470" spans="1:9" x14ac:dyDescent="0.15">
      <x:c r="A4470">
        <x:v>54205</x:v>
      </x:c>
      <x:c r="B4470">
        <x:v>3</x:v>
      </x:c>
      <x:c r="C4470">
        <x:v>29</x:v>
      </x:c>
      <x:c r="D4470">
        <x:f>ROUND($C4470*10*VLOOKUP($B4470,Sheet2!$J$5:$K$7,2,FALSE)*VLOOKUP(Sheet1!$A4470,Sheet2!$B$5:$H$29,3,FALSE),0)</x:f>
        <x:v>0</x:v>
      </x:c>
      <x:c r="E4470">
        <x:f>ROUND($C4470*10*VLOOKUP($B4470,Sheet2!$J$5:$K$7,2,FALSE)*VLOOKUP(Sheet1!$A4470,Sheet2!$B$5:$H$29,4,FALSE),0)</x:f>
        <x:v>0</x:v>
      </x:c>
      <x:c r="F4470">
        <x:f>ROUND($C4470*10*VLOOKUP($B4470,Sheet2!$J$5:$K$7,2,FALSE)*VLOOKUP(Sheet1!$A4470,Sheet2!$B$5:$H$29,5,FALSE),0)</x:f>
        <x:v>0</x:v>
      </x:c>
      <x:c r="G4470">
        <x:f>ROUND($C4470*10*VLOOKUP($B4470,Sheet2!$J$5:$K$7,2,FALSE)*VLOOKUP(Sheet1!$A4470,Sheet2!$B$5:$H$29,6,FALSE),0)</x:f>
        <x:v>0</x:v>
      </x:c>
      <x:c r="H4470">
        <x:f>ROUND($C4470*10*VLOOKUP($B4470,Sheet2!$J$5:$K$7,2,FALSE)*VLOOKUP(Sheet1!$A4470,Sheet2!$B$5:$H$29,7,FALSE),0)</x:f>
        <x:v>2900</x:v>
      </x:c>
      <x:c r="I4470">
        <x:f t="shared" si="74"/>
        <x:v>50820</x:v>
      </x:c>
    </x:row>
    <x:row r="4471" spans="1:9" x14ac:dyDescent="0.15">
      <x:c r="A4471">
        <x:v>54205</x:v>
      </x:c>
      <x:c r="B4471">
        <x:v>3</x:v>
      </x:c>
      <x:c r="C4471">
        <x:v>30</x:v>
      </x:c>
      <x:c r="D4471">
        <x:f>ROUND($C4471*10*VLOOKUP($B4471,Sheet2!$J$5:$K$7,2,FALSE)*VLOOKUP(Sheet1!$A4471,Sheet2!$B$5:$H$29,3,FALSE),0)</x:f>
        <x:v>0</x:v>
      </x:c>
      <x:c r="E4471">
        <x:f>ROUND($C4471*10*VLOOKUP($B4471,Sheet2!$J$5:$K$7,2,FALSE)*VLOOKUP(Sheet1!$A4471,Sheet2!$B$5:$H$29,4,FALSE),0)</x:f>
        <x:v>0</x:v>
      </x:c>
      <x:c r="F4471">
        <x:f>ROUND($C4471*10*VLOOKUP($B4471,Sheet2!$J$5:$K$7,2,FALSE)*VLOOKUP(Sheet1!$A4471,Sheet2!$B$5:$H$29,5,FALSE),0)</x:f>
        <x:v>0</x:v>
      </x:c>
      <x:c r="G4471">
        <x:f>ROUND($C4471*10*VLOOKUP($B4471,Sheet2!$J$5:$K$7,2,FALSE)*VLOOKUP(Sheet1!$A4471,Sheet2!$B$5:$H$29,6,FALSE),0)</x:f>
        <x:v>0</x:v>
      </x:c>
      <x:c r="H4471">
        <x:f>ROUND($C4471*10*VLOOKUP($B4471,Sheet2!$J$5:$K$7,2,FALSE)*VLOOKUP(Sheet1!$A4471,Sheet2!$B$5:$H$29,7,FALSE),0)</x:f>
        <x:v>3000</x:v>
      </x:c>
      <x:c r="I4471">
        <x:f t="shared" si="74"/>
        <x:v>54130</x:v>
      </x:c>
    </x:row>
    <x:row r="4472" spans="1:9" x14ac:dyDescent="0.15">
      <x:c r="A4472">
        <x:v>54205</x:v>
      </x:c>
      <x:c r="B4472">
        <x:v>3</x:v>
      </x:c>
      <x:c r="C4472">
        <x:v>31</x:v>
      </x:c>
      <x:c r="D4472">
        <x:f>ROUND($C4472*10*VLOOKUP($B4472,Sheet2!$J$5:$K$7,2,FALSE)*VLOOKUP(Sheet1!$A4472,Sheet2!$B$5:$H$29,3,FALSE),0)</x:f>
        <x:v>0</x:v>
      </x:c>
      <x:c r="E4472">
        <x:f>ROUND($C4472*10*VLOOKUP($B4472,Sheet2!$J$5:$K$7,2,FALSE)*VLOOKUP(Sheet1!$A4472,Sheet2!$B$5:$H$29,4,FALSE),0)</x:f>
        <x:v>0</x:v>
      </x:c>
      <x:c r="F4472">
        <x:f>ROUND($C4472*10*VLOOKUP($B4472,Sheet2!$J$5:$K$7,2,FALSE)*VLOOKUP(Sheet1!$A4472,Sheet2!$B$5:$H$29,5,FALSE),0)</x:f>
        <x:v>0</x:v>
      </x:c>
      <x:c r="G4472">
        <x:f>ROUND($C4472*10*VLOOKUP($B4472,Sheet2!$J$5:$K$7,2,FALSE)*VLOOKUP(Sheet1!$A4472,Sheet2!$B$5:$H$29,6,FALSE),0)</x:f>
        <x:v>0</x:v>
      </x:c>
      <x:c r="H4472">
        <x:f>ROUND($C4472*10*VLOOKUP($B4472,Sheet2!$J$5:$K$7,2,FALSE)*VLOOKUP(Sheet1!$A4472,Sheet2!$B$5:$H$29,7,FALSE),0)</x:f>
        <x:v>3100</x:v>
      </x:c>
      <x:c r="I4472">
        <x:f t="shared" si="74"/>
        <x:v>57530</x:v>
      </x:c>
    </x:row>
    <x:row r="4473" spans="1:9" x14ac:dyDescent="0.15">
      <x:c r="A4473">
        <x:v>54205</x:v>
      </x:c>
      <x:c r="B4473">
        <x:v>3</x:v>
      </x:c>
      <x:c r="C4473">
        <x:v>32</x:v>
      </x:c>
      <x:c r="D4473">
        <x:f>ROUND($C4473*10*VLOOKUP($B4473,Sheet2!$J$5:$K$7,2,FALSE)*VLOOKUP(Sheet1!$A4473,Sheet2!$B$5:$H$29,3,FALSE),0)</x:f>
        <x:v>0</x:v>
      </x:c>
      <x:c r="E4473">
        <x:f>ROUND($C4473*10*VLOOKUP($B4473,Sheet2!$J$5:$K$7,2,FALSE)*VLOOKUP(Sheet1!$A4473,Sheet2!$B$5:$H$29,4,FALSE),0)</x:f>
        <x:v>0</x:v>
      </x:c>
      <x:c r="F4473">
        <x:f>ROUND($C4473*10*VLOOKUP($B4473,Sheet2!$J$5:$K$7,2,FALSE)*VLOOKUP(Sheet1!$A4473,Sheet2!$B$5:$H$29,5,FALSE),0)</x:f>
        <x:v>0</x:v>
      </x:c>
      <x:c r="G4473">
        <x:f>ROUND($C4473*10*VLOOKUP($B4473,Sheet2!$J$5:$K$7,2,FALSE)*VLOOKUP(Sheet1!$A4473,Sheet2!$B$5:$H$29,6,FALSE),0)</x:f>
        <x:v>0</x:v>
      </x:c>
      <x:c r="H4473">
        <x:f>ROUND($C4473*10*VLOOKUP($B4473,Sheet2!$J$5:$K$7,2,FALSE)*VLOOKUP(Sheet1!$A4473,Sheet2!$B$5:$H$29,7,FALSE),0)</x:f>
        <x:v>3200</x:v>
      </x:c>
      <x:c r="I4473">
        <x:f t="shared" si="74"/>
        <x:v>61020</x:v>
      </x:c>
    </x:row>
    <x:row r="4474" spans="1:9" x14ac:dyDescent="0.15">
      <x:c r="A4474">
        <x:v>54205</x:v>
      </x:c>
      <x:c r="B4474">
        <x:v>3</x:v>
      </x:c>
      <x:c r="C4474">
        <x:v>33</x:v>
      </x:c>
      <x:c r="D4474">
        <x:f>ROUND($C4474*10*VLOOKUP($B4474,Sheet2!$J$5:$K$7,2,FALSE)*VLOOKUP(Sheet1!$A4474,Sheet2!$B$5:$H$29,3,FALSE),0)</x:f>
        <x:v>0</x:v>
      </x:c>
      <x:c r="E4474">
        <x:f>ROUND($C4474*10*VLOOKUP($B4474,Sheet2!$J$5:$K$7,2,FALSE)*VLOOKUP(Sheet1!$A4474,Sheet2!$B$5:$H$29,4,FALSE),0)</x:f>
        <x:v>0</x:v>
      </x:c>
      <x:c r="F4474">
        <x:f>ROUND($C4474*10*VLOOKUP($B4474,Sheet2!$J$5:$K$7,2,FALSE)*VLOOKUP(Sheet1!$A4474,Sheet2!$B$5:$H$29,5,FALSE),0)</x:f>
        <x:v>0</x:v>
      </x:c>
      <x:c r="G4474">
        <x:f>ROUND($C4474*10*VLOOKUP($B4474,Sheet2!$J$5:$K$7,2,FALSE)*VLOOKUP(Sheet1!$A4474,Sheet2!$B$5:$H$29,6,FALSE),0)</x:f>
        <x:v>0</x:v>
      </x:c>
      <x:c r="H4474">
        <x:f>ROUND($C4474*10*VLOOKUP($B4474,Sheet2!$J$5:$K$7,2,FALSE)*VLOOKUP(Sheet1!$A4474,Sheet2!$B$5:$H$29,7,FALSE),0)</x:f>
        <x:v>3300</x:v>
      </x:c>
      <x:c r="I4474">
        <x:f t="shared" si="74"/>
        <x:v>64600</x:v>
      </x:c>
    </x:row>
    <x:row r="4475" spans="1:9" x14ac:dyDescent="0.15">
      <x:c r="A4475">
        <x:v>54205</x:v>
      </x:c>
      <x:c r="B4475">
        <x:v>3</x:v>
      </x:c>
      <x:c r="C4475">
        <x:v>34</x:v>
      </x:c>
      <x:c r="D4475">
        <x:f>ROUND($C4475*10*VLOOKUP($B4475,Sheet2!$J$5:$K$7,2,FALSE)*VLOOKUP(Sheet1!$A4475,Sheet2!$B$5:$H$29,3,FALSE),0)</x:f>
        <x:v>0</x:v>
      </x:c>
      <x:c r="E4475">
        <x:f>ROUND($C4475*10*VLOOKUP($B4475,Sheet2!$J$5:$K$7,2,FALSE)*VLOOKUP(Sheet1!$A4475,Sheet2!$B$5:$H$29,4,FALSE),0)</x:f>
        <x:v>0</x:v>
      </x:c>
      <x:c r="F4475">
        <x:f>ROUND($C4475*10*VLOOKUP($B4475,Sheet2!$J$5:$K$7,2,FALSE)*VLOOKUP(Sheet1!$A4475,Sheet2!$B$5:$H$29,5,FALSE),0)</x:f>
        <x:v>0</x:v>
      </x:c>
      <x:c r="G4475">
        <x:f>ROUND($C4475*10*VLOOKUP($B4475,Sheet2!$J$5:$K$7,2,FALSE)*VLOOKUP(Sheet1!$A4475,Sheet2!$B$5:$H$29,6,FALSE),0)</x:f>
        <x:v>0</x:v>
      </x:c>
      <x:c r="H4475">
        <x:f>ROUND($C4475*10*VLOOKUP($B4475,Sheet2!$J$5:$K$7,2,FALSE)*VLOOKUP(Sheet1!$A4475,Sheet2!$B$5:$H$29,7,FALSE),0)</x:f>
        <x:v>3400</x:v>
      </x:c>
      <x:c r="I4475">
        <x:f t="shared" si="74"/>
        <x:v>68280</x:v>
      </x:c>
    </x:row>
    <x:row r="4476" spans="1:9" x14ac:dyDescent="0.15">
      <x:c r="A4476">
        <x:v>54205</x:v>
      </x:c>
      <x:c r="B4476">
        <x:v>3</x:v>
      </x:c>
      <x:c r="C4476">
        <x:v>35</x:v>
      </x:c>
      <x:c r="D4476">
        <x:f>ROUND($C4476*10*VLOOKUP($B4476,Sheet2!$J$5:$K$7,2,FALSE)*VLOOKUP(Sheet1!$A4476,Sheet2!$B$5:$H$29,3,FALSE),0)</x:f>
        <x:v>0</x:v>
      </x:c>
      <x:c r="E4476">
        <x:f>ROUND($C4476*10*VLOOKUP($B4476,Sheet2!$J$5:$K$7,2,FALSE)*VLOOKUP(Sheet1!$A4476,Sheet2!$B$5:$H$29,4,FALSE),0)</x:f>
        <x:v>0</x:v>
      </x:c>
      <x:c r="F4476">
        <x:f>ROUND($C4476*10*VLOOKUP($B4476,Sheet2!$J$5:$K$7,2,FALSE)*VLOOKUP(Sheet1!$A4476,Sheet2!$B$5:$H$29,5,FALSE),0)</x:f>
        <x:v>0</x:v>
      </x:c>
      <x:c r="G4476">
        <x:f>ROUND($C4476*10*VLOOKUP($B4476,Sheet2!$J$5:$K$7,2,FALSE)*VLOOKUP(Sheet1!$A4476,Sheet2!$B$5:$H$29,6,FALSE),0)</x:f>
        <x:v>0</x:v>
      </x:c>
      <x:c r="H4476">
        <x:f>ROUND($C4476*10*VLOOKUP($B4476,Sheet2!$J$5:$K$7,2,FALSE)*VLOOKUP(Sheet1!$A4476,Sheet2!$B$5:$H$29,7,FALSE),0)</x:f>
        <x:v>3500</x:v>
      </x:c>
      <x:c r="I4476">
        <x:f t="shared" si="74"/>
        <x:v>72040</x:v>
      </x:c>
    </x:row>
    <x:row r="4477" spans="1:9" x14ac:dyDescent="0.15">
      <x:c r="A4477">
        <x:v>54205</x:v>
      </x:c>
      <x:c r="B4477">
        <x:v>3</x:v>
      </x:c>
      <x:c r="C4477">
        <x:v>36</x:v>
      </x:c>
      <x:c r="D4477">
        <x:f>ROUND($C4477*10*VLOOKUP($B4477,Sheet2!$J$5:$K$7,2,FALSE)*VLOOKUP(Sheet1!$A4477,Sheet2!$B$5:$H$29,3,FALSE),0)</x:f>
        <x:v>0</x:v>
      </x:c>
      <x:c r="E4477">
        <x:f>ROUND($C4477*10*VLOOKUP($B4477,Sheet2!$J$5:$K$7,2,FALSE)*VLOOKUP(Sheet1!$A4477,Sheet2!$B$5:$H$29,4,FALSE),0)</x:f>
        <x:v>0</x:v>
      </x:c>
      <x:c r="F4477">
        <x:f>ROUND($C4477*10*VLOOKUP($B4477,Sheet2!$J$5:$K$7,2,FALSE)*VLOOKUP(Sheet1!$A4477,Sheet2!$B$5:$H$29,5,FALSE),0)</x:f>
        <x:v>0</x:v>
      </x:c>
      <x:c r="G4477">
        <x:f>ROUND($C4477*10*VLOOKUP($B4477,Sheet2!$J$5:$K$7,2,FALSE)*VLOOKUP(Sheet1!$A4477,Sheet2!$B$5:$H$29,6,FALSE),0)</x:f>
        <x:v>0</x:v>
      </x:c>
      <x:c r="H4477">
        <x:f>ROUND($C4477*10*VLOOKUP($B4477,Sheet2!$J$5:$K$7,2,FALSE)*VLOOKUP(Sheet1!$A4477,Sheet2!$B$5:$H$29,7,FALSE),0)</x:f>
        <x:v>3600</x:v>
      </x:c>
      <x:c r="I4477">
        <x:f t="shared" si="74"/>
        <x:v>75890</x:v>
      </x:c>
    </x:row>
    <x:row r="4478" spans="1:9" x14ac:dyDescent="0.15">
      <x:c r="A4478">
        <x:v>54205</x:v>
      </x:c>
      <x:c r="B4478">
        <x:v>3</x:v>
      </x:c>
      <x:c r="C4478">
        <x:v>37</x:v>
      </x:c>
      <x:c r="D4478">
        <x:f>ROUND($C4478*10*VLOOKUP($B4478,Sheet2!$J$5:$K$7,2,FALSE)*VLOOKUP(Sheet1!$A4478,Sheet2!$B$5:$H$29,3,FALSE),0)</x:f>
        <x:v>0</x:v>
      </x:c>
      <x:c r="E4478">
        <x:f>ROUND($C4478*10*VLOOKUP($B4478,Sheet2!$J$5:$K$7,2,FALSE)*VLOOKUP(Sheet1!$A4478,Sheet2!$B$5:$H$29,4,FALSE),0)</x:f>
        <x:v>0</x:v>
      </x:c>
      <x:c r="F4478">
        <x:f>ROUND($C4478*10*VLOOKUP($B4478,Sheet2!$J$5:$K$7,2,FALSE)*VLOOKUP(Sheet1!$A4478,Sheet2!$B$5:$H$29,5,FALSE),0)</x:f>
        <x:v>0</x:v>
      </x:c>
      <x:c r="G4478">
        <x:f>ROUND($C4478*10*VLOOKUP($B4478,Sheet2!$J$5:$K$7,2,FALSE)*VLOOKUP(Sheet1!$A4478,Sheet2!$B$5:$H$29,6,FALSE),0)</x:f>
        <x:v>0</x:v>
      </x:c>
      <x:c r="H4478">
        <x:f>ROUND($C4478*10*VLOOKUP($B4478,Sheet2!$J$5:$K$7,2,FALSE)*VLOOKUP(Sheet1!$A4478,Sheet2!$B$5:$H$29,7,FALSE),0)</x:f>
        <x:v>3700</x:v>
      </x:c>
      <x:c r="I4478">
        <x:f t="shared" si="74"/>
        <x:v>79840</x:v>
      </x:c>
    </x:row>
    <x:row r="4479" spans="1:9" x14ac:dyDescent="0.15">
      <x:c r="A4479">
        <x:v>54205</x:v>
      </x:c>
      <x:c r="B4479">
        <x:v>3</x:v>
      </x:c>
      <x:c r="C4479">
        <x:v>38</x:v>
      </x:c>
      <x:c r="D4479">
        <x:f>ROUND($C4479*10*VLOOKUP($B4479,Sheet2!$J$5:$K$7,2,FALSE)*VLOOKUP(Sheet1!$A4479,Sheet2!$B$5:$H$29,3,FALSE),0)</x:f>
        <x:v>0</x:v>
      </x:c>
      <x:c r="E4479">
        <x:f>ROUND($C4479*10*VLOOKUP($B4479,Sheet2!$J$5:$K$7,2,FALSE)*VLOOKUP(Sheet1!$A4479,Sheet2!$B$5:$H$29,4,FALSE),0)</x:f>
        <x:v>0</x:v>
      </x:c>
      <x:c r="F4479">
        <x:f>ROUND($C4479*10*VLOOKUP($B4479,Sheet2!$J$5:$K$7,2,FALSE)*VLOOKUP(Sheet1!$A4479,Sheet2!$B$5:$H$29,5,FALSE),0)</x:f>
        <x:v>0</x:v>
      </x:c>
      <x:c r="G4479">
        <x:f>ROUND($C4479*10*VLOOKUP($B4479,Sheet2!$J$5:$K$7,2,FALSE)*VLOOKUP(Sheet1!$A4479,Sheet2!$B$5:$H$29,6,FALSE),0)</x:f>
        <x:v>0</x:v>
      </x:c>
      <x:c r="H4479">
        <x:f>ROUND($C4479*10*VLOOKUP($B4479,Sheet2!$J$5:$K$7,2,FALSE)*VLOOKUP(Sheet1!$A4479,Sheet2!$B$5:$H$29,7,FALSE),0)</x:f>
        <x:v>3800</x:v>
      </x:c>
      <x:c r="I4479">
        <x:f t="shared" si="74"/>
        <x:v>83870</x:v>
      </x:c>
    </x:row>
    <x:row r="4480" spans="1:9" x14ac:dyDescent="0.15">
      <x:c r="A4480">
        <x:v>54205</x:v>
      </x:c>
      <x:c r="B4480">
        <x:v>3</x:v>
      </x:c>
      <x:c r="C4480">
        <x:v>39</x:v>
      </x:c>
      <x:c r="D4480">
        <x:f>ROUND($C4480*10*VLOOKUP($B4480,Sheet2!$J$5:$K$7,2,FALSE)*VLOOKUP(Sheet1!$A4480,Sheet2!$B$5:$H$29,3,FALSE),0)</x:f>
        <x:v>0</x:v>
      </x:c>
      <x:c r="E4480">
        <x:f>ROUND($C4480*10*VLOOKUP($B4480,Sheet2!$J$5:$K$7,2,FALSE)*VLOOKUP(Sheet1!$A4480,Sheet2!$B$5:$H$29,4,FALSE),0)</x:f>
        <x:v>0</x:v>
      </x:c>
      <x:c r="F4480">
        <x:f>ROUND($C4480*10*VLOOKUP($B4480,Sheet2!$J$5:$K$7,2,FALSE)*VLOOKUP(Sheet1!$A4480,Sheet2!$B$5:$H$29,5,FALSE),0)</x:f>
        <x:v>0</x:v>
      </x:c>
      <x:c r="G4480">
        <x:f>ROUND($C4480*10*VLOOKUP($B4480,Sheet2!$J$5:$K$7,2,FALSE)*VLOOKUP(Sheet1!$A4480,Sheet2!$B$5:$H$29,6,FALSE),0)</x:f>
        <x:v>0</x:v>
      </x:c>
      <x:c r="H4480">
        <x:f>ROUND($C4480*10*VLOOKUP($B4480,Sheet2!$J$5:$K$7,2,FALSE)*VLOOKUP(Sheet1!$A4480,Sheet2!$B$5:$H$29,7,FALSE),0)</x:f>
        <x:v>3900</x:v>
      </x:c>
      <x:c r="I4480">
        <x:f t="shared" si="74"/>
        <x:v>87990</x:v>
      </x:c>
    </x:row>
    <x:row r="4481" spans="1:9" x14ac:dyDescent="0.15">
      <x:c r="A4481">
        <x:v>54205</x:v>
      </x:c>
      <x:c r="B4481">
        <x:v>3</x:v>
      </x:c>
      <x:c r="C4481">
        <x:v>40</x:v>
      </x:c>
      <x:c r="D4481">
        <x:f>ROUND($C4481*10*VLOOKUP($B4481,Sheet2!$J$5:$K$7,2,FALSE)*VLOOKUP(Sheet1!$A4481,Sheet2!$B$5:$H$29,3,FALSE),0)</x:f>
        <x:v>0</x:v>
      </x:c>
      <x:c r="E4481">
        <x:f>ROUND($C4481*10*VLOOKUP($B4481,Sheet2!$J$5:$K$7,2,FALSE)*VLOOKUP(Sheet1!$A4481,Sheet2!$B$5:$H$29,4,FALSE),0)</x:f>
        <x:v>0</x:v>
      </x:c>
      <x:c r="F4481">
        <x:f>ROUND($C4481*10*VLOOKUP($B4481,Sheet2!$J$5:$K$7,2,FALSE)*VLOOKUP(Sheet1!$A4481,Sheet2!$B$5:$H$29,5,FALSE),0)</x:f>
        <x:v>0</x:v>
      </x:c>
      <x:c r="G4481">
        <x:f>ROUND($C4481*10*VLOOKUP($B4481,Sheet2!$J$5:$K$7,2,FALSE)*VLOOKUP(Sheet1!$A4481,Sheet2!$B$5:$H$29,6,FALSE),0)</x:f>
        <x:v>0</x:v>
      </x:c>
      <x:c r="H4481">
        <x:f>ROUND($C4481*10*VLOOKUP($B4481,Sheet2!$J$5:$K$7,2,FALSE)*VLOOKUP(Sheet1!$A4481,Sheet2!$B$5:$H$29,7,FALSE),0)</x:f>
        <x:v>4000</x:v>
      </x:c>
      <x:c r="I4481">
        <x:f t="shared" si="74"/>
        <x:v>92200</x:v>
      </x:c>
    </x:row>
    <x:row r="4482" spans="1:9" x14ac:dyDescent="0.15">
      <x:c r="A4482">
        <x:v>54205</x:v>
      </x:c>
      <x:c r="B4482">
        <x:v>3</x:v>
      </x:c>
      <x:c r="C4482">
        <x:v>41</x:v>
      </x:c>
      <x:c r="D4482">
        <x:f>ROUND($C4482*10*VLOOKUP($B4482,Sheet2!$J$5:$K$7,2,FALSE)*VLOOKUP(Sheet1!$A4482,Sheet2!$B$5:$H$29,3,FALSE),0)</x:f>
        <x:v>0</x:v>
      </x:c>
      <x:c r="E4482">
        <x:f>ROUND($C4482*10*VLOOKUP($B4482,Sheet2!$J$5:$K$7,2,FALSE)*VLOOKUP(Sheet1!$A4482,Sheet2!$B$5:$H$29,4,FALSE),0)</x:f>
        <x:v>0</x:v>
      </x:c>
      <x:c r="F4482">
        <x:f>ROUND($C4482*10*VLOOKUP($B4482,Sheet2!$J$5:$K$7,2,FALSE)*VLOOKUP(Sheet1!$A4482,Sheet2!$B$5:$H$29,5,FALSE),0)</x:f>
        <x:v>0</x:v>
      </x:c>
      <x:c r="G4482">
        <x:f>ROUND($C4482*10*VLOOKUP($B4482,Sheet2!$J$5:$K$7,2,FALSE)*VLOOKUP(Sheet1!$A4482,Sheet2!$B$5:$H$29,6,FALSE),0)</x:f>
        <x:v>0</x:v>
      </x:c>
      <x:c r="H4482">
        <x:f>ROUND($C4482*10*VLOOKUP($B4482,Sheet2!$J$5:$K$7,2,FALSE)*VLOOKUP(Sheet1!$A4482,Sheet2!$B$5:$H$29,7,FALSE),0)</x:f>
        <x:v>4100</x:v>
      </x:c>
      <x:c r="I4482">
        <x:f t="shared" si="74"/>
        <x:v>96490</x:v>
      </x:c>
    </x:row>
    <x:row r="4483" spans="1:9" x14ac:dyDescent="0.15">
      <x:c r="A4483">
        <x:v>54205</x:v>
      </x:c>
      <x:c r="B4483">
        <x:v>3</x:v>
      </x:c>
      <x:c r="C4483">
        <x:v>42</x:v>
      </x:c>
      <x:c r="D4483">
        <x:f>ROUND($C4483*10*VLOOKUP($B4483,Sheet2!$J$5:$K$7,2,FALSE)*VLOOKUP(Sheet1!$A4483,Sheet2!$B$5:$H$29,3,FALSE),0)</x:f>
        <x:v>0</x:v>
      </x:c>
      <x:c r="E4483">
        <x:f>ROUND($C4483*10*VLOOKUP($B4483,Sheet2!$J$5:$K$7,2,FALSE)*VLOOKUP(Sheet1!$A4483,Sheet2!$B$5:$H$29,4,FALSE),0)</x:f>
        <x:v>0</x:v>
      </x:c>
      <x:c r="F4483">
        <x:f>ROUND($C4483*10*VLOOKUP($B4483,Sheet2!$J$5:$K$7,2,FALSE)*VLOOKUP(Sheet1!$A4483,Sheet2!$B$5:$H$29,5,FALSE),0)</x:f>
        <x:v>0</x:v>
      </x:c>
      <x:c r="G4483">
        <x:f>ROUND($C4483*10*VLOOKUP($B4483,Sheet2!$J$5:$K$7,2,FALSE)*VLOOKUP(Sheet1!$A4483,Sheet2!$B$5:$H$29,6,FALSE),0)</x:f>
        <x:v>0</x:v>
      </x:c>
      <x:c r="H4483">
        <x:f>ROUND($C4483*10*VLOOKUP($B4483,Sheet2!$J$5:$K$7,2,FALSE)*VLOOKUP(Sheet1!$A4483,Sheet2!$B$5:$H$29,7,FALSE),0)</x:f>
        <x:v>4200</x:v>
      </x:c>
      <x:c r="I4483">
        <x:f t="shared" si="74"/>
        <x:v>100870</x:v>
      </x:c>
    </x:row>
    <x:row r="4484" spans="1:9" x14ac:dyDescent="0.15">
      <x:c r="A4484">
        <x:v>54205</x:v>
      </x:c>
      <x:c r="B4484">
        <x:v>3</x:v>
      </x:c>
      <x:c r="C4484">
        <x:v>43</x:v>
      </x:c>
      <x:c r="D4484">
        <x:f>ROUND($C4484*10*VLOOKUP($B4484,Sheet2!$J$5:$K$7,2,FALSE)*VLOOKUP(Sheet1!$A4484,Sheet2!$B$5:$H$29,3,FALSE),0)</x:f>
        <x:v>0</x:v>
      </x:c>
      <x:c r="E4484">
        <x:f>ROUND($C4484*10*VLOOKUP($B4484,Sheet2!$J$5:$K$7,2,FALSE)*VLOOKUP(Sheet1!$A4484,Sheet2!$B$5:$H$29,4,FALSE),0)</x:f>
        <x:v>0</x:v>
      </x:c>
      <x:c r="F4484">
        <x:f>ROUND($C4484*10*VLOOKUP($B4484,Sheet2!$J$5:$K$7,2,FALSE)*VLOOKUP(Sheet1!$A4484,Sheet2!$B$5:$H$29,5,FALSE),0)</x:f>
        <x:v>0</x:v>
      </x:c>
      <x:c r="G4484">
        <x:f>ROUND($C4484*10*VLOOKUP($B4484,Sheet2!$J$5:$K$7,2,FALSE)*VLOOKUP(Sheet1!$A4484,Sheet2!$B$5:$H$29,6,FALSE),0)</x:f>
        <x:v>0</x:v>
      </x:c>
      <x:c r="H4484">
        <x:f>ROUND($C4484*10*VLOOKUP($B4484,Sheet2!$J$5:$K$7,2,FALSE)*VLOOKUP(Sheet1!$A4484,Sheet2!$B$5:$H$29,7,FALSE),0)</x:f>
        <x:v>4300</x:v>
      </x:c>
      <x:c r="I4484">
        <x:f t="shared" si="74"/>
        <x:v>105340</x:v>
      </x:c>
    </x:row>
    <x:row r="4485" spans="1:9" x14ac:dyDescent="0.15">
      <x:c r="A4485">
        <x:v>54205</x:v>
      </x:c>
      <x:c r="B4485">
        <x:v>3</x:v>
      </x:c>
      <x:c r="C4485">
        <x:v>44</x:v>
      </x:c>
      <x:c r="D4485">
        <x:f>ROUND($C4485*10*VLOOKUP($B4485,Sheet2!$J$5:$K$7,2,FALSE)*VLOOKUP(Sheet1!$A4485,Sheet2!$B$5:$H$29,3,FALSE),0)</x:f>
        <x:v>0</x:v>
      </x:c>
      <x:c r="E4485">
        <x:f>ROUND($C4485*10*VLOOKUP($B4485,Sheet2!$J$5:$K$7,2,FALSE)*VLOOKUP(Sheet1!$A4485,Sheet2!$B$5:$H$29,4,FALSE),0)</x:f>
        <x:v>0</x:v>
      </x:c>
      <x:c r="F4485">
        <x:f>ROUND($C4485*10*VLOOKUP($B4485,Sheet2!$J$5:$K$7,2,FALSE)*VLOOKUP(Sheet1!$A4485,Sheet2!$B$5:$H$29,5,FALSE),0)</x:f>
        <x:v>0</x:v>
      </x:c>
      <x:c r="G4485">
        <x:f>ROUND($C4485*10*VLOOKUP($B4485,Sheet2!$J$5:$K$7,2,FALSE)*VLOOKUP(Sheet1!$A4485,Sheet2!$B$5:$H$29,6,FALSE),0)</x:f>
        <x:v>0</x:v>
      </x:c>
      <x:c r="H4485">
        <x:f>ROUND($C4485*10*VLOOKUP($B4485,Sheet2!$J$5:$K$7,2,FALSE)*VLOOKUP(Sheet1!$A4485,Sheet2!$B$5:$H$29,7,FALSE),0)</x:f>
        <x:v>4400</x:v>
      </x:c>
      <x:c r="I4485">
        <x:f t="shared" si="74"/>
        <x:v>109890</x:v>
      </x:c>
    </x:row>
    <x:row r="4486" spans="1:9" x14ac:dyDescent="0.15">
      <x:c r="A4486">
        <x:v>54205</x:v>
      </x:c>
      <x:c r="B4486">
        <x:v>3</x:v>
      </x:c>
      <x:c r="C4486">
        <x:v>45</x:v>
      </x:c>
      <x:c r="D4486">
        <x:f>ROUND($C4486*10*VLOOKUP($B4486,Sheet2!$J$5:$K$7,2,FALSE)*VLOOKUP(Sheet1!$A4486,Sheet2!$B$5:$H$29,3,FALSE),0)</x:f>
        <x:v>0</x:v>
      </x:c>
      <x:c r="E4486">
        <x:f>ROUND($C4486*10*VLOOKUP($B4486,Sheet2!$J$5:$K$7,2,FALSE)*VLOOKUP(Sheet1!$A4486,Sheet2!$B$5:$H$29,4,FALSE),0)</x:f>
        <x:v>0</x:v>
      </x:c>
      <x:c r="F4486">
        <x:f>ROUND($C4486*10*VLOOKUP($B4486,Sheet2!$J$5:$K$7,2,FALSE)*VLOOKUP(Sheet1!$A4486,Sheet2!$B$5:$H$29,5,FALSE),0)</x:f>
        <x:v>0</x:v>
      </x:c>
      <x:c r="G4486">
        <x:f>ROUND($C4486*10*VLOOKUP($B4486,Sheet2!$J$5:$K$7,2,FALSE)*VLOOKUP(Sheet1!$A4486,Sheet2!$B$5:$H$29,6,FALSE),0)</x:f>
        <x:v>0</x:v>
      </x:c>
      <x:c r="H4486">
        <x:f>ROUND($C4486*10*VLOOKUP($B4486,Sheet2!$J$5:$K$7,2,FALSE)*VLOOKUP(Sheet1!$A4486,Sheet2!$B$5:$H$29,7,FALSE),0)</x:f>
        <x:v>4500</x:v>
      </x:c>
      <x:c r="I4486">
        <x:f t="shared" si="74"/>
        <x:v>114530</x:v>
      </x:c>
    </x:row>
    <x:row r="4487" spans="1:9" x14ac:dyDescent="0.15">
      <x:c r="A4487">
        <x:v>54205</x:v>
      </x:c>
      <x:c r="B4487">
        <x:v>3</x:v>
      </x:c>
      <x:c r="C4487">
        <x:v>46</x:v>
      </x:c>
      <x:c r="D4487">
        <x:f>ROUND($C4487*10*VLOOKUP($B4487,Sheet2!$J$5:$K$7,2,FALSE)*VLOOKUP(Sheet1!$A4487,Sheet2!$B$5:$H$29,3,FALSE),0)</x:f>
        <x:v>0</x:v>
      </x:c>
      <x:c r="E4487">
        <x:f>ROUND($C4487*10*VLOOKUP($B4487,Sheet2!$J$5:$K$7,2,FALSE)*VLOOKUP(Sheet1!$A4487,Sheet2!$B$5:$H$29,4,FALSE),0)</x:f>
        <x:v>0</x:v>
      </x:c>
      <x:c r="F4487">
        <x:f>ROUND($C4487*10*VLOOKUP($B4487,Sheet2!$J$5:$K$7,2,FALSE)*VLOOKUP(Sheet1!$A4487,Sheet2!$B$5:$H$29,5,FALSE),0)</x:f>
        <x:v>0</x:v>
      </x:c>
      <x:c r="G4487">
        <x:f>ROUND($C4487*10*VLOOKUP($B4487,Sheet2!$J$5:$K$7,2,FALSE)*VLOOKUP(Sheet1!$A4487,Sheet2!$B$5:$H$29,6,FALSE),0)</x:f>
        <x:v>0</x:v>
      </x:c>
      <x:c r="H4487">
        <x:f>ROUND($C4487*10*VLOOKUP($B4487,Sheet2!$J$5:$K$7,2,FALSE)*VLOOKUP(Sheet1!$A4487,Sheet2!$B$5:$H$29,7,FALSE),0)</x:f>
        <x:v>4600</x:v>
      </x:c>
      <x:c r="I4487">
        <x:f t="shared" si="74"/>
        <x:v>119260</x:v>
      </x:c>
    </x:row>
    <x:row r="4488" spans="1:9" x14ac:dyDescent="0.15">
      <x:c r="A4488">
        <x:v>54205</x:v>
      </x:c>
      <x:c r="B4488">
        <x:v>3</x:v>
      </x:c>
      <x:c r="C4488">
        <x:v>47</x:v>
      </x:c>
      <x:c r="D4488">
        <x:f>ROUND($C4488*10*VLOOKUP($B4488,Sheet2!$J$5:$K$7,2,FALSE)*VLOOKUP(Sheet1!$A4488,Sheet2!$B$5:$H$29,3,FALSE),0)</x:f>
        <x:v>0</x:v>
      </x:c>
      <x:c r="E4488">
        <x:f>ROUND($C4488*10*VLOOKUP($B4488,Sheet2!$J$5:$K$7,2,FALSE)*VLOOKUP(Sheet1!$A4488,Sheet2!$B$5:$H$29,4,FALSE),0)</x:f>
        <x:v>0</x:v>
      </x:c>
      <x:c r="F4488">
        <x:f>ROUND($C4488*10*VLOOKUP($B4488,Sheet2!$J$5:$K$7,2,FALSE)*VLOOKUP(Sheet1!$A4488,Sheet2!$B$5:$H$29,5,FALSE),0)</x:f>
        <x:v>0</x:v>
      </x:c>
      <x:c r="G4488">
        <x:f>ROUND($C4488*10*VLOOKUP($B4488,Sheet2!$J$5:$K$7,2,FALSE)*VLOOKUP(Sheet1!$A4488,Sheet2!$B$5:$H$29,6,FALSE),0)</x:f>
        <x:v>0</x:v>
      </x:c>
      <x:c r="H4488">
        <x:f>ROUND($C4488*10*VLOOKUP($B4488,Sheet2!$J$5:$K$7,2,FALSE)*VLOOKUP(Sheet1!$A4488,Sheet2!$B$5:$H$29,7,FALSE),0)</x:f>
        <x:v>4700</x:v>
      </x:c>
      <x:c r="I4488">
        <x:f t="shared" si="74"/>
        <x:v>124070</x:v>
      </x:c>
    </x:row>
    <x:row r="4489" spans="1:9" x14ac:dyDescent="0.15">
      <x:c r="A4489">
        <x:v>54205</x:v>
      </x:c>
      <x:c r="B4489">
        <x:v>3</x:v>
      </x:c>
      <x:c r="C4489">
        <x:v>48</x:v>
      </x:c>
      <x:c r="D4489">
        <x:f>ROUND($C4489*10*VLOOKUP($B4489,Sheet2!$J$5:$K$7,2,FALSE)*VLOOKUP(Sheet1!$A4489,Sheet2!$B$5:$H$29,3,FALSE),0)</x:f>
        <x:v>0</x:v>
      </x:c>
      <x:c r="E4489">
        <x:f>ROUND($C4489*10*VLOOKUP($B4489,Sheet2!$J$5:$K$7,2,FALSE)*VLOOKUP(Sheet1!$A4489,Sheet2!$B$5:$H$29,4,FALSE),0)</x:f>
        <x:v>0</x:v>
      </x:c>
      <x:c r="F4489">
        <x:f>ROUND($C4489*10*VLOOKUP($B4489,Sheet2!$J$5:$K$7,2,FALSE)*VLOOKUP(Sheet1!$A4489,Sheet2!$B$5:$H$29,5,FALSE),0)</x:f>
        <x:v>0</x:v>
      </x:c>
      <x:c r="G4489">
        <x:f>ROUND($C4489*10*VLOOKUP($B4489,Sheet2!$J$5:$K$7,2,FALSE)*VLOOKUP(Sheet1!$A4489,Sheet2!$B$5:$H$29,6,FALSE),0)</x:f>
        <x:v>0</x:v>
      </x:c>
      <x:c r="H4489">
        <x:f>ROUND($C4489*10*VLOOKUP($B4489,Sheet2!$J$5:$K$7,2,FALSE)*VLOOKUP(Sheet1!$A4489,Sheet2!$B$5:$H$29,7,FALSE),0)</x:f>
        <x:v>4800</x:v>
      </x:c>
      <x:c r="I4489">
        <x:f t="shared" si="74"/>
        <x:v>128960</x:v>
      </x:c>
    </x:row>
    <x:row r="4490" spans="1:9" x14ac:dyDescent="0.15">
      <x:c r="A4490">
        <x:v>54205</x:v>
      </x:c>
      <x:c r="B4490">
        <x:v>3</x:v>
      </x:c>
      <x:c r="C4490">
        <x:v>49</x:v>
      </x:c>
      <x:c r="D4490">
        <x:f>ROUND($C4490*10*VLOOKUP($B4490,Sheet2!$J$5:$K$7,2,FALSE)*VLOOKUP(Sheet1!$A4490,Sheet2!$B$5:$H$29,3,FALSE),0)</x:f>
        <x:v>0</x:v>
      </x:c>
      <x:c r="E4490">
        <x:f>ROUND($C4490*10*VLOOKUP($B4490,Sheet2!$J$5:$K$7,2,FALSE)*VLOOKUP(Sheet1!$A4490,Sheet2!$B$5:$H$29,4,FALSE),0)</x:f>
        <x:v>0</x:v>
      </x:c>
      <x:c r="F4490">
        <x:f>ROUND($C4490*10*VLOOKUP($B4490,Sheet2!$J$5:$K$7,2,FALSE)*VLOOKUP(Sheet1!$A4490,Sheet2!$B$5:$H$29,5,FALSE),0)</x:f>
        <x:v>0</x:v>
      </x:c>
      <x:c r="G4490">
        <x:f>ROUND($C4490*10*VLOOKUP($B4490,Sheet2!$J$5:$K$7,2,FALSE)*VLOOKUP(Sheet1!$A4490,Sheet2!$B$5:$H$29,6,FALSE),0)</x:f>
        <x:v>0</x:v>
      </x:c>
      <x:c r="H4490">
        <x:f>ROUND($C4490*10*VLOOKUP($B4490,Sheet2!$J$5:$K$7,2,FALSE)*VLOOKUP(Sheet1!$A4490,Sheet2!$B$5:$H$29,7,FALSE),0)</x:f>
        <x:v>4900</x:v>
      </x:c>
      <x:c r="I4490">
        <x:f t="shared" si="74"/>
        <x:v>133940</x:v>
      </x:c>
    </x:row>
    <x:row r="4491" spans="1:9" x14ac:dyDescent="0.15">
      <x:c r="A4491">
        <x:v>54205</x:v>
      </x:c>
      <x:c r="B4491">
        <x:v>3</x:v>
      </x:c>
      <x:c r="C4491">
        <x:v>50</x:v>
      </x:c>
      <x:c r="D4491">
        <x:f>ROUND($C4491*10*VLOOKUP($B4491,Sheet2!$J$5:$K$7,2,FALSE)*VLOOKUP(Sheet1!$A4491,Sheet2!$B$5:$H$29,3,FALSE),0)</x:f>
        <x:v>0</x:v>
      </x:c>
      <x:c r="E4491">
        <x:f>ROUND($C4491*10*VLOOKUP($B4491,Sheet2!$J$5:$K$7,2,FALSE)*VLOOKUP(Sheet1!$A4491,Sheet2!$B$5:$H$29,4,FALSE),0)</x:f>
        <x:v>0</x:v>
      </x:c>
      <x:c r="F4491">
        <x:f>ROUND($C4491*10*VLOOKUP($B4491,Sheet2!$J$5:$K$7,2,FALSE)*VLOOKUP(Sheet1!$A4491,Sheet2!$B$5:$H$29,5,FALSE),0)</x:f>
        <x:v>0</x:v>
      </x:c>
      <x:c r="G4491">
        <x:f>ROUND($C4491*10*VLOOKUP($B4491,Sheet2!$J$5:$K$7,2,FALSE)*VLOOKUP(Sheet1!$A4491,Sheet2!$B$5:$H$29,6,FALSE),0)</x:f>
        <x:v>0</x:v>
      </x:c>
      <x:c r="H4491">
        <x:f>ROUND($C4491*10*VLOOKUP($B4491,Sheet2!$J$5:$K$7,2,FALSE)*VLOOKUP(Sheet1!$A4491,Sheet2!$B$5:$H$29,7,FALSE),0)</x:f>
        <x:v>5000</x:v>
      </x:c>
      <x:c r="I4491">
        <x:f t="shared" si="74"/>
        <x:v>139000</x:v>
      </x:c>
    </x:row>
    <x:row r="4492" spans="1:9" x14ac:dyDescent="0.15">
      <x:c r="A4492">
        <x:v>54205</x:v>
      </x:c>
      <x:c r="B4492">
        <x:v>3</x:v>
      </x:c>
      <x:c r="C4492">
        <x:v>51</x:v>
      </x:c>
      <x:c r="D4492">
        <x:f>ROUND($C4492*10*VLOOKUP($B4492,Sheet2!$J$5:$K$7,2,FALSE)*VLOOKUP(Sheet1!$A4492,Sheet2!$B$5:$H$29,3,FALSE),0)</x:f>
        <x:v>0</x:v>
      </x:c>
      <x:c r="E4492">
        <x:f>ROUND($C4492*10*VLOOKUP($B4492,Sheet2!$J$5:$K$7,2,FALSE)*VLOOKUP(Sheet1!$A4492,Sheet2!$B$5:$H$29,4,FALSE),0)</x:f>
        <x:v>0</x:v>
      </x:c>
      <x:c r="F4492">
        <x:f>ROUND($C4492*10*VLOOKUP($B4492,Sheet2!$J$5:$K$7,2,FALSE)*VLOOKUP(Sheet1!$A4492,Sheet2!$B$5:$H$29,5,FALSE),0)</x:f>
        <x:v>0</x:v>
      </x:c>
      <x:c r="G4492">
        <x:f>ROUND($C4492*10*VLOOKUP($B4492,Sheet2!$J$5:$K$7,2,FALSE)*VLOOKUP(Sheet1!$A4492,Sheet2!$B$5:$H$29,6,FALSE),0)</x:f>
        <x:v>0</x:v>
      </x:c>
      <x:c r="H4492">
        <x:f>ROUND($C4492*10*VLOOKUP($B4492,Sheet2!$J$5:$K$7,2,FALSE)*VLOOKUP(Sheet1!$A4492,Sheet2!$B$5:$H$29,7,FALSE),0)</x:f>
        <x:v>5100</x:v>
      </x:c>
      <x:c r="I4492">
        <x:f t="shared" si="74"/>
        <x:v>144140</x:v>
      </x:c>
    </x:row>
    <x:row r="4493" spans="1:9" x14ac:dyDescent="0.15">
      <x:c r="A4493">
        <x:v>54205</x:v>
      </x:c>
      <x:c r="B4493">
        <x:v>3</x:v>
      </x:c>
      <x:c r="C4493">
        <x:v>52</x:v>
      </x:c>
      <x:c r="D4493">
        <x:f>ROUND($C4493*10*VLOOKUP($B4493,Sheet2!$J$5:$K$7,2,FALSE)*VLOOKUP(Sheet1!$A4493,Sheet2!$B$5:$H$29,3,FALSE),0)</x:f>
        <x:v>0</x:v>
      </x:c>
      <x:c r="E4493">
        <x:f>ROUND($C4493*10*VLOOKUP($B4493,Sheet2!$J$5:$K$7,2,FALSE)*VLOOKUP(Sheet1!$A4493,Sheet2!$B$5:$H$29,4,FALSE),0)</x:f>
        <x:v>0</x:v>
      </x:c>
      <x:c r="F4493">
        <x:f>ROUND($C4493*10*VLOOKUP($B4493,Sheet2!$J$5:$K$7,2,FALSE)*VLOOKUP(Sheet1!$A4493,Sheet2!$B$5:$H$29,5,FALSE),0)</x:f>
        <x:v>0</x:v>
      </x:c>
      <x:c r="G4493">
        <x:f>ROUND($C4493*10*VLOOKUP($B4493,Sheet2!$J$5:$K$7,2,FALSE)*VLOOKUP(Sheet1!$A4493,Sheet2!$B$5:$H$29,6,FALSE),0)</x:f>
        <x:v>0</x:v>
      </x:c>
      <x:c r="H4493">
        <x:f>ROUND($C4493*10*VLOOKUP($B4493,Sheet2!$J$5:$K$7,2,FALSE)*VLOOKUP(Sheet1!$A4493,Sheet2!$B$5:$H$29,7,FALSE),0)</x:f>
        <x:v>5200</x:v>
      </x:c>
      <x:c r="I4493">
        <x:f t="shared" si="74"/>
        <x:v>149370</x:v>
      </x:c>
    </x:row>
    <x:row r="4494" spans="1:9" x14ac:dyDescent="0.15">
      <x:c r="A4494">
        <x:v>54205</x:v>
      </x:c>
      <x:c r="B4494">
        <x:v>3</x:v>
      </x:c>
      <x:c r="C4494">
        <x:v>53</x:v>
      </x:c>
      <x:c r="D4494">
        <x:f>ROUND($C4494*10*VLOOKUP($B4494,Sheet2!$J$5:$K$7,2,FALSE)*VLOOKUP(Sheet1!$A4494,Sheet2!$B$5:$H$29,3,FALSE),0)</x:f>
        <x:v>0</x:v>
      </x:c>
      <x:c r="E4494">
        <x:f>ROUND($C4494*10*VLOOKUP($B4494,Sheet2!$J$5:$K$7,2,FALSE)*VLOOKUP(Sheet1!$A4494,Sheet2!$B$5:$H$29,4,FALSE),0)</x:f>
        <x:v>0</x:v>
      </x:c>
      <x:c r="F4494">
        <x:f>ROUND($C4494*10*VLOOKUP($B4494,Sheet2!$J$5:$K$7,2,FALSE)*VLOOKUP(Sheet1!$A4494,Sheet2!$B$5:$H$29,5,FALSE),0)</x:f>
        <x:v>0</x:v>
      </x:c>
      <x:c r="G4494">
        <x:f>ROUND($C4494*10*VLOOKUP($B4494,Sheet2!$J$5:$K$7,2,FALSE)*VLOOKUP(Sheet1!$A4494,Sheet2!$B$5:$H$29,6,FALSE),0)</x:f>
        <x:v>0</x:v>
      </x:c>
      <x:c r="H4494">
        <x:f>ROUND($C4494*10*VLOOKUP($B4494,Sheet2!$J$5:$K$7,2,FALSE)*VLOOKUP(Sheet1!$A4494,Sheet2!$B$5:$H$29,7,FALSE),0)</x:f>
        <x:v>5300</x:v>
      </x:c>
      <x:c r="I4494">
        <x:f t="shared" si="74"/>
        <x:v>154680</x:v>
      </x:c>
    </x:row>
    <x:row r="4495" spans="1:9" x14ac:dyDescent="0.15">
      <x:c r="A4495">
        <x:v>54205</x:v>
      </x:c>
      <x:c r="B4495">
        <x:v>3</x:v>
      </x:c>
      <x:c r="C4495">
        <x:v>54</x:v>
      </x:c>
      <x:c r="D4495">
        <x:f>ROUND($C4495*10*VLOOKUP($B4495,Sheet2!$J$5:$K$7,2,FALSE)*VLOOKUP(Sheet1!$A4495,Sheet2!$B$5:$H$29,3,FALSE),0)</x:f>
        <x:v>0</x:v>
      </x:c>
      <x:c r="E4495">
        <x:f>ROUND($C4495*10*VLOOKUP($B4495,Sheet2!$J$5:$K$7,2,FALSE)*VLOOKUP(Sheet1!$A4495,Sheet2!$B$5:$H$29,4,FALSE),0)</x:f>
        <x:v>0</x:v>
      </x:c>
      <x:c r="F4495">
        <x:f>ROUND($C4495*10*VLOOKUP($B4495,Sheet2!$J$5:$K$7,2,FALSE)*VLOOKUP(Sheet1!$A4495,Sheet2!$B$5:$H$29,5,FALSE),0)</x:f>
        <x:v>0</x:v>
      </x:c>
      <x:c r="G4495">
        <x:f>ROUND($C4495*10*VLOOKUP($B4495,Sheet2!$J$5:$K$7,2,FALSE)*VLOOKUP(Sheet1!$A4495,Sheet2!$B$5:$H$29,6,FALSE),0)</x:f>
        <x:v>0</x:v>
      </x:c>
      <x:c r="H4495">
        <x:f>ROUND($C4495*10*VLOOKUP($B4495,Sheet2!$J$5:$K$7,2,FALSE)*VLOOKUP(Sheet1!$A4495,Sheet2!$B$5:$H$29,7,FALSE),0)</x:f>
        <x:v>5400</x:v>
      </x:c>
      <x:c r="I4495">
        <x:f t="shared" si="74"/>
        <x:v>160070</x:v>
      </x:c>
    </x:row>
    <x:row r="4496" spans="1:9" x14ac:dyDescent="0.15">
      <x:c r="A4496">
        <x:v>54205</x:v>
      </x:c>
      <x:c r="B4496">
        <x:v>3</x:v>
      </x:c>
      <x:c r="C4496">
        <x:v>55</x:v>
      </x:c>
      <x:c r="D4496">
        <x:f>ROUND($C4496*10*VLOOKUP($B4496,Sheet2!$J$5:$K$7,2,FALSE)*VLOOKUP(Sheet1!$A4496,Sheet2!$B$5:$H$29,3,FALSE),0)</x:f>
        <x:v>0</x:v>
      </x:c>
      <x:c r="E4496">
        <x:f>ROUND($C4496*10*VLOOKUP($B4496,Sheet2!$J$5:$K$7,2,FALSE)*VLOOKUP(Sheet1!$A4496,Sheet2!$B$5:$H$29,4,FALSE),0)</x:f>
        <x:v>0</x:v>
      </x:c>
      <x:c r="F4496">
        <x:f>ROUND($C4496*10*VLOOKUP($B4496,Sheet2!$J$5:$K$7,2,FALSE)*VLOOKUP(Sheet1!$A4496,Sheet2!$B$5:$H$29,5,FALSE),0)</x:f>
        <x:v>0</x:v>
      </x:c>
      <x:c r="G4496">
        <x:f>ROUND($C4496*10*VLOOKUP($B4496,Sheet2!$J$5:$K$7,2,FALSE)*VLOOKUP(Sheet1!$A4496,Sheet2!$B$5:$H$29,6,FALSE),0)</x:f>
        <x:v>0</x:v>
      </x:c>
      <x:c r="H4496">
        <x:f>ROUND($C4496*10*VLOOKUP($B4496,Sheet2!$J$5:$K$7,2,FALSE)*VLOOKUP(Sheet1!$A4496,Sheet2!$B$5:$H$29,7,FALSE),0)</x:f>
        <x:v>5500</x:v>
      </x:c>
      <x:c r="I4496">
        <x:f t="shared" si="74"/>
        <x:v>165540</x:v>
      </x:c>
    </x:row>
    <x:row r="4497" spans="1:9" x14ac:dyDescent="0.15">
      <x:c r="A4497">
        <x:v>54205</x:v>
      </x:c>
      <x:c r="B4497">
        <x:v>3</x:v>
      </x:c>
      <x:c r="C4497">
        <x:v>56</x:v>
      </x:c>
      <x:c r="D4497">
        <x:f>ROUND($C4497*10*VLOOKUP($B4497,Sheet2!$J$5:$K$7,2,FALSE)*VLOOKUP(Sheet1!$A4497,Sheet2!$B$5:$H$29,3,FALSE),0)</x:f>
        <x:v>0</x:v>
      </x:c>
      <x:c r="E4497">
        <x:f>ROUND($C4497*10*VLOOKUP($B4497,Sheet2!$J$5:$K$7,2,FALSE)*VLOOKUP(Sheet1!$A4497,Sheet2!$B$5:$H$29,4,FALSE),0)</x:f>
        <x:v>0</x:v>
      </x:c>
      <x:c r="F4497">
        <x:f>ROUND($C4497*10*VLOOKUP($B4497,Sheet2!$J$5:$K$7,2,FALSE)*VLOOKUP(Sheet1!$A4497,Sheet2!$B$5:$H$29,5,FALSE),0)</x:f>
        <x:v>0</x:v>
      </x:c>
      <x:c r="G4497">
        <x:f>ROUND($C4497*10*VLOOKUP($B4497,Sheet2!$J$5:$K$7,2,FALSE)*VLOOKUP(Sheet1!$A4497,Sheet2!$B$5:$H$29,6,FALSE),0)</x:f>
        <x:v>0</x:v>
      </x:c>
      <x:c r="H4497">
        <x:f>ROUND($C4497*10*VLOOKUP($B4497,Sheet2!$J$5:$K$7,2,FALSE)*VLOOKUP(Sheet1!$A4497,Sheet2!$B$5:$H$29,7,FALSE),0)</x:f>
        <x:v>5600</x:v>
      </x:c>
      <x:c r="I4497">
        <x:f t="shared" si="74"/>
        <x:v>171100</x:v>
      </x:c>
    </x:row>
    <x:row r="4498" spans="1:9" x14ac:dyDescent="0.15">
      <x:c r="A4498">
        <x:v>54205</x:v>
      </x:c>
      <x:c r="B4498">
        <x:v>3</x:v>
      </x:c>
      <x:c r="C4498">
        <x:v>57</x:v>
      </x:c>
      <x:c r="D4498">
        <x:f>ROUND($C4498*10*VLOOKUP($B4498,Sheet2!$J$5:$K$7,2,FALSE)*VLOOKUP(Sheet1!$A4498,Sheet2!$B$5:$H$29,3,FALSE),0)</x:f>
        <x:v>0</x:v>
      </x:c>
      <x:c r="E4498">
        <x:f>ROUND($C4498*10*VLOOKUP($B4498,Sheet2!$J$5:$K$7,2,FALSE)*VLOOKUP(Sheet1!$A4498,Sheet2!$B$5:$H$29,4,FALSE),0)</x:f>
        <x:v>0</x:v>
      </x:c>
      <x:c r="F4498">
        <x:f>ROUND($C4498*10*VLOOKUP($B4498,Sheet2!$J$5:$K$7,2,FALSE)*VLOOKUP(Sheet1!$A4498,Sheet2!$B$5:$H$29,5,FALSE),0)</x:f>
        <x:v>0</x:v>
      </x:c>
      <x:c r="G4498">
        <x:f>ROUND($C4498*10*VLOOKUP($B4498,Sheet2!$J$5:$K$7,2,FALSE)*VLOOKUP(Sheet1!$A4498,Sheet2!$B$5:$H$29,6,FALSE),0)</x:f>
        <x:v>0</x:v>
      </x:c>
      <x:c r="H4498">
        <x:f>ROUND($C4498*10*VLOOKUP($B4498,Sheet2!$J$5:$K$7,2,FALSE)*VLOOKUP(Sheet1!$A4498,Sheet2!$B$5:$H$29,7,FALSE),0)</x:f>
        <x:v>5700</x:v>
      </x:c>
      <x:c r="I4498">
        <x:f t="shared" si="74"/>
        <x:v>176740</x:v>
      </x:c>
    </x:row>
    <x:row r="4499" spans="1:9" x14ac:dyDescent="0.15">
      <x:c r="A4499">
        <x:v>54205</x:v>
      </x:c>
      <x:c r="B4499">
        <x:v>3</x:v>
      </x:c>
      <x:c r="C4499">
        <x:v>58</x:v>
      </x:c>
      <x:c r="D4499">
        <x:f>ROUND($C4499*10*VLOOKUP($B4499,Sheet2!$J$5:$K$7,2,FALSE)*VLOOKUP(Sheet1!$A4499,Sheet2!$B$5:$H$29,3,FALSE),0)</x:f>
        <x:v>0</x:v>
      </x:c>
      <x:c r="E4499">
        <x:f>ROUND($C4499*10*VLOOKUP($B4499,Sheet2!$J$5:$K$7,2,FALSE)*VLOOKUP(Sheet1!$A4499,Sheet2!$B$5:$H$29,4,FALSE),0)</x:f>
        <x:v>0</x:v>
      </x:c>
      <x:c r="F4499">
        <x:f>ROUND($C4499*10*VLOOKUP($B4499,Sheet2!$J$5:$K$7,2,FALSE)*VLOOKUP(Sheet1!$A4499,Sheet2!$B$5:$H$29,5,FALSE),0)</x:f>
        <x:v>0</x:v>
      </x:c>
      <x:c r="G4499">
        <x:f>ROUND($C4499*10*VLOOKUP($B4499,Sheet2!$J$5:$K$7,2,FALSE)*VLOOKUP(Sheet1!$A4499,Sheet2!$B$5:$H$29,6,FALSE),0)</x:f>
        <x:v>0</x:v>
      </x:c>
      <x:c r="H4499">
        <x:f>ROUND($C4499*10*VLOOKUP($B4499,Sheet2!$J$5:$K$7,2,FALSE)*VLOOKUP(Sheet1!$A4499,Sheet2!$B$5:$H$29,7,FALSE),0)</x:f>
        <x:v>5800</x:v>
      </x:c>
      <x:c r="I4499">
        <x:f t="shared" si="74"/>
        <x:v>182460</x:v>
      </x:c>
    </x:row>
    <x:row r="4500" spans="1:9" x14ac:dyDescent="0.15">
      <x:c r="A4500">
        <x:v>54205</x:v>
      </x:c>
      <x:c r="B4500">
        <x:v>3</x:v>
      </x:c>
      <x:c r="C4500">
        <x:v>59</x:v>
      </x:c>
      <x:c r="D4500">
        <x:f>ROUND($C4500*10*VLOOKUP($B4500,Sheet2!$J$5:$K$7,2,FALSE)*VLOOKUP(Sheet1!$A4500,Sheet2!$B$5:$H$29,3,FALSE),0)</x:f>
        <x:v>0</x:v>
      </x:c>
      <x:c r="E4500">
        <x:f>ROUND($C4500*10*VLOOKUP($B4500,Sheet2!$J$5:$K$7,2,FALSE)*VLOOKUP(Sheet1!$A4500,Sheet2!$B$5:$H$29,4,FALSE),0)</x:f>
        <x:v>0</x:v>
      </x:c>
      <x:c r="F4500">
        <x:f>ROUND($C4500*10*VLOOKUP($B4500,Sheet2!$J$5:$K$7,2,FALSE)*VLOOKUP(Sheet1!$A4500,Sheet2!$B$5:$H$29,5,FALSE),0)</x:f>
        <x:v>0</x:v>
      </x:c>
      <x:c r="G4500">
        <x:f>ROUND($C4500*10*VLOOKUP($B4500,Sheet2!$J$5:$K$7,2,FALSE)*VLOOKUP(Sheet1!$A4500,Sheet2!$B$5:$H$29,6,FALSE),0)</x:f>
        <x:v>0</x:v>
      </x:c>
      <x:c r="H4500">
        <x:f>ROUND($C4500*10*VLOOKUP($B4500,Sheet2!$J$5:$K$7,2,FALSE)*VLOOKUP(Sheet1!$A4500,Sheet2!$B$5:$H$29,7,FALSE),0)</x:f>
        <x:v>5900</x:v>
      </x:c>
      <x:c r="I4500">
        <x:f t="shared" si="74"/>
        <x:v>188260</x:v>
      </x:c>
    </x:row>
    <x:row r="4501" spans="1:9" x14ac:dyDescent="0.15">
      <x:c r="A4501">
        <x:v>54205</x:v>
      </x:c>
      <x:c r="B4501">
        <x:v>3</x:v>
      </x:c>
      <x:c r="C4501">
        <x:v>60</x:v>
      </x:c>
      <x:c r="D4501">
        <x:f>ROUND($C4501*10*VLOOKUP($B4501,Sheet2!$J$5:$K$7,2,FALSE)*VLOOKUP(Sheet1!$A4501,Sheet2!$B$5:$H$29,3,FALSE),0)</x:f>
        <x:v>0</x:v>
      </x:c>
      <x:c r="E4501">
        <x:f>ROUND($C4501*10*VLOOKUP($B4501,Sheet2!$J$5:$K$7,2,FALSE)*VLOOKUP(Sheet1!$A4501,Sheet2!$B$5:$H$29,4,FALSE),0)</x:f>
        <x:v>0</x:v>
      </x:c>
      <x:c r="F4501">
        <x:f>ROUND($C4501*10*VLOOKUP($B4501,Sheet2!$J$5:$K$7,2,FALSE)*VLOOKUP(Sheet1!$A4501,Sheet2!$B$5:$H$29,5,FALSE),0)</x:f>
        <x:v>0</x:v>
      </x:c>
      <x:c r="G4501">
        <x:f>ROUND($C4501*10*VLOOKUP($B4501,Sheet2!$J$5:$K$7,2,FALSE)*VLOOKUP(Sheet1!$A4501,Sheet2!$B$5:$H$29,6,FALSE),0)</x:f>
        <x:v>0</x:v>
      </x:c>
      <x:c r="H4501">
        <x:f>ROUND($C4501*10*VLOOKUP($B4501,Sheet2!$J$5:$K$7,2,FALSE)*VLOOKUP(Sheet1!$A4501,Sheet2!$B$5:$H$29,7,FALSE),0)</x:f>
        <x:v>6000</x:v>
      </x:c>
      <x:c r="I4501">
        <x:f t="shared" si="74"/>
        <x:v>194140</x:v>
      </x:c>
    </x:row>
  </x:sheetData>
  <x:sortState ref="A2:A4501">
    <x:sortCondition ref="A2:A4501"/>
  </x:sortState>
  <x:phoneticPr fontId="2" type="noConversion"/>
  <x:pageMargins left="0.75" right="0.75" top="1" bottom="1" header="0.5" footer="0.5"/>
  <x:pageSetup paperSize="9" orientation="portrait" r:id="rId1"/>
  <x:headerFooter alignWithMargins="0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"/>
  <sheetViews>
    <sheetView workbookViewId="0">
      <selection activeCell="B27" sqref="B27"/>
    </sheetView>
  </sheetViews>
  <sheetFormatPr defaultRowHeight="14.25" x14ac:dyDescent="0.15"/>
  <cols>
    <col min="1" max="1" width="15.75" customWidth="1"/>
    <col min="2" max="2" width="33" customWidth="1"/>
  </cols>
  <sheetData>
    <row r="1" spans="1:2" x14ac:dyDescent="0.15">
      <c r="A1" t="s">
        <v>9</v>
      </c>
      <c r="B1" t="s">
        <v>10</v>
      </c>
    </row>
    <row r="2" spans="1:2" x14ac:dyDescent="0.15">
      <c r="A2" t="s">
        <v>12</v>
      </c>
      <c r="B2" t="s">
        <v>11</v>
      </c>
    </row>
  </sheetData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4:K29"/>
  <sheetViews>
    <sheetView tabSelected="1" workbookViewId="0">
      <selection activeCell="G28" sqref="G28"/>
    </sheetView>
  </sheetViews>
  <sheetFormatPr defaultRowHeight="14.25" x14ac:dyDescent="0.15"/>
  <cols>
    <col min="3" max="3" width="14.25" customWidth="1"/>
  </cols>
  <sheetData>
    <row r="4" spans="2:11" x14ac:dyDescent="0.15">
      <c r="D4" t="s">
        <v>38</v>
      </c>
      <c r="E4" t="s">
        <v>39</v>
      </c>
      <c r="F4" t="s">
        <v>40</v>
      </c>
      <c r="G4" t="s">
        <v>41</v>
      </c>
      <c r="H4" t="s">
        <v>42</v>
      </c>
      <c r="J4" t="s">
        <v>43</v>
      </c>
    </row>
    <row r="5" spans="2:11" x14ac:dyDescent="0.15">
      <c r="B5" s="4">
        <v>54001</v>
      </c>
      <c r="C5" s="5" t="s">
        <v>13</v>
      </c>
      <c r="D5" s="6">
        <f>0.75+0.25</f>
        <v>1</v>
      </c>
      <c r="E5" s="6">
        <v>0</v>
      </c>
      <c r="F5" s="6">
        <v>0</v>
      </c>
      <c r="G5" s="6">
        <v>0</v>
      </c>
      <c r="H5" s="6">
        <v>0</v>
      </c>
      <c r="J5">
        <v>1</v>
      </c>
      <c r="K5">
        <v>1</v>
      </c>
    </row>
    <row r="6" spans="2:11" x14ac:dyDescent="0.15">
      <c r="B6" s="4">
        <v>54002</v>
      </c>
      <c r="C6" s="7" t="s">
        <v>14</v>
      </c>
      <c r="D6" s="6">
        <f>0.75*0.8</f>
        <v>0.60000000000000009</v>
      </c>
      <c r="E6" s="6">
        <f>0.8*0.25</f>
        <v>0.2</v>
      </c>
      <c r="F6" s="6">
        <v>0</v>
      </c>
      <c r="G6" s="6">
        <v>0</v>
      </c>
      <c r="H6" s="6">
        <v>0</v>
      </c>
      <c r="J6">
        <v>2</v>
      </c>
      <c r="K6">
        <v>1.2</v>
      </c>
    </row>
    <row r="7" spans="2:11" x14ac:dyDescent="0.15">
      <c r="B7" s="4">
        <v>54003</v>
      </c>
      <c r="C7" s="7" t="s">
        <v>15</v>
      </c>
      <c r="D7" s="6">
        <f>0.75*0.8</f>
        <v>0.60000000000000009</v>
      </c>
      <c r="E7" s="6">
        <v>0</v>
      </c>
      <c r="F7" s="6">
        <f>0.8*0.25*0.8</f>
        <v>0.16000000000000003</v>
      </c>
      <c r="G7" s="6">
        <v>0</v>
      </c>
      <c r="H7" s="6">
        <v>0</v>
      </c>
      <c r="J7">
        <v>3</v>
      </c>
      <c r="K7">
        <v>2</v>
      </c>
    </row>
    <row r="8" spans="2:11" x14ac:dyDescent="0.15">
      <c r="B8" s="4">
        <v>54004</v>
      </c>
      <c r="C8" s="7" t="s">
        <v>16</v>
      </c>
      <c r="D8" s="6">
        <f>0.75*0.8</f>
        <v>0.60000000000000009</v>
      </c>
      <c r="E8" s="6">
        <v>0</v>
      </c>
      <c r="F8" s="6">
        <v>0</v>
      </c>
      <c r="G8" s="6">
        <f>0.8*0.25*0.8</f>
        <v>0.16000000000000003</v>
      </c>
      <c r="H8" s="6">
        <v>0</v>
      </c>
    </row>
    <row r="9" spans="2:11" x14ac:dyDescent="0.15">
      <c r="B9" s="4">
        <v>54005</v>
      </c>
      <c r="C9" s="7" t="s">
        <v>17</v>
      </c>
      <c r="D9" s="6">
        <f>0.75*0.8</f>
        <v>0.60000000000000009</v>
      </c>
      <c r="E9" s="6">
        <v>0</v>
      </c>
      <c r="F9" s="6">
        <v>0</v>
      </c>
      <c r="G9" s="6">
        <v>0</v>
      </c>
      <c r="H9" s="6">
        <f>5*0.25*0.8</f>
        <v>1</v>
      </c>
    </row>
    <row r="10" spans="2:11" x14ac:dyDescent="0.15">
      <c r="B10" s="8">
        <v>54051</v>
      </c>
      <c r="C10" s="9" t="s">
        <v>18</v>
      </c>
      <c r="D10" s="10">
        <f>0.8*0.25</f>
        <v>0.2</v>
      </c>
      <c r="E10" s="10">
        <f>0.8*0.75</f>
        <v>0.60000000000000009</v>
      </c>
      <c r="F10" s="10">
        <v>0</v>
      </c>
      <c r="G10" s="10">
        <v>0</v>
      </c>
      <c r="H10" s="10">
        <v>0</v>
      </c>
    </row>
    <row r="11" spans="2:11" x14ac:dyDescent="0.15">
      <c r="B11" s="8">
        <v>54052</v>
      </c>
      <c r="C11" s="11" t="s">
        <v>19</v>
      </c>
      <c r="D11" s="10">
        <v>0</v>
      </c>
      <c r="E11" s="10">
        <f>0.75+0.25</f>
        <v>1</v>
      </c>
      <c r="F11" s="10">
        <v>0</v>
      </c>
      <c r="G11" s="10">
        <v>0</v>
      </c>
      <c r="H11" s="10">
        <v>0</v>
      </c>
    </row>
    <row r="12" spans="2:11" x14ac:dyDescent="0.15">
      <c r="B12" s="8">
        <v>54053</v>
      </c>
      <c r="C12" s="9" t="s">
        <v>20</v>
      </c>
      <c r="D12" s="10">
        <v>0</v>
      </c>
      <c r="E12" s="10">
        <f>0.8*0.75</f>
        <v>0.60000000000000009</v>
      </c>
      <c r="F12" s="10">
        <f>0.8*0.25*0.8</f>
        <v>0.16000000000000003</v>
      </c>
      <c r="G12" s="10">
        <v>0</v>
      </c>
      <c r="H12" s="10">
        <v>0</v>
      </c>
    </row>
    <row r="13" spans="2:11" x14ac:dyDescent="0.15">
      <c r="B13" s="8">
        <v>54054</v>
      </c>
      <c r="C13" s="9" t="s">
        <v>21</v>
      </c>
      <c r="D13" s="10">
        <v>0</v>
      </c>
      <c r="E13" s="10">
        <f>0.8*0.75</f>
        <v>0.60000000000000009</v>
      </c>
      <c r="F13" s="10">
        <v>0</v>
      </c>
      <c r="G13" s="10">
        <f>0.8*0.25*0.8</f>
        <v>0.16000000000000003</v>
      </c>
      <c r="H13" s="10">
        <v>0</v>
      </c>
    </row>
    <row r="14" spans="2:11" x14ac:dyDescent="0.15">
      <c r="B14" s="8">
        <v>54055</v>
      </c>
      <c r="C14" s="9" t="s">
        <v>22</v>
      </c>
      <c r="D14" s="10">
        <v>0</v>
      </c>
      <c r="E14" s="10">
        <f>0.8*0.75</f>
        <v>0.60000000000000009</v>
      </c>
      <c r="F14" s="10">
        <v>0</v>
      </c>
      <c r="G14" s="10">
        <v>0</v>
      </c>
      <c r="H14" s="10">
        <f>5*0.25*0.8</f>
        <v>1</v>
      </c>
    </row>
    <row r="15" spans="2:11" x14ac:dyDescent="0.15">
      <c r="B15" s="12">
        <v>54101</v>
      </c>
      <c r="C15" s="13" t="s">
        <v>23</v>
      </c>
      <c r="D15" s="14">
        <f>0.8*0.25</f>
        <v>0.2</v>
      </c>
      <c r="E15" s="14">
        <v>0</v>
      </c>
      <c r="F15" s="14">
        <f>0.8*0.75*0.8</f>
        <v>0.48000000000000009</v>
      </c>
      <c r="G15" s="14">
        <v>0</v>
      </c>
      <c r="H15" s="14">
        <v>0</v>
      </c>
    </row>
    <row r="16" spans="2:11" x14ac:dyDescent="0.15">
      <c r="B16" s="12">
        <v>54102</v>
      </c>
      <c r="C16" s="13" t="s">
        <v>24</v>
      </c>
      <c r="D16" s="14">
        <v>0</v>
      </c>
      <c r="E16" s="14">
        <f>0.8*0.25</f>
        <v>0.2</v>
      </c>
      <c r="F16" s="14">
        <f>0.8*0.75*0.8</f>
        <v>0.48000000000000009</v>
      </c>
      <c r="G16" s="14">
        <v>0</v>
      </c>
      <c r="H16" s="14">
        <v>0</v>
      </c>
    </row>
    <row r="17" spans="2:8" x14ac:dyDescent="0.15">
      <c r="B17" s="12">
        <v>54103</v>
      </c>
      <c r="C17" s="15" t="s">
        <v>25</v>
      </c>
      <c r="D17" s="14">
        <v>0</v>
      </c>
      <c r="E17" s="14">
        <v>0</v>
      </c>
      <c r="F17" s="14">
        <f>0.8*(0.75+0.25)</f>
        <v>0.8</v>
      </c>
      <c r="G17" s="14">
        <v>0</v>
      </c>
      <c r="H17" s="14">
        <v>0</v>
      </c>
    </row>
    <row r="18" spans="2:8" x14ac:dyDescent="0.15">
      <c r="B18" s="12">
        <v>54104</v>
      </c>
      <c r="C18" s="13" t="s">
        <v>26</v>
      </c>
      <c r="D18" s="14">
        <v>0</v>
      </c>
      <c r="E18" s="14">
        <v>0</v>
      </c>
      <c r="F18" s="14">
        <f>0.8*0.75*0.8</f>
        <v>0.48000000000000009</v>
      </c>
      <c r="G18" s="14">
        <f>0.8*0.25*0.8</f>
        <v>0.16000000000000003</v>
      </c>
      <c r="H18" s="14">
        <v>0</v>
      </c>
    </row>
    <row r="19" spans="2:8" x14ac:dyDescent="0.15">
      <c r="B19" s="12">
        <v>54105</v>
      </c>
      <c r="C19" s="13" t="s">
        <v>27</v>
      </c>
      <c r="D19" s="14">
        <v>0</v>
      </c>
      <c r="E19" s="14">
        <v>0</v>
      </c>
      <c r="F19" s="14">
        <f>0.8*0.75*0.8</f>
        <v>0.48000000000000009</v>
      </c>
      <c r="G19" s="14">
        <v>0</v>
      </c>
      <c r="H19" s="14">
        <f>5*0.25*0.8</f>
        <v>1</v>
      </c>
    </row>
    <row r="20" spans="2:8" x14ac:dyDescent="0.15">
      <c r="B20" s="16">
        <v>54151</v>
      </c>
      <c r="C20" s="17" t="s">
        <v>28</v>
      </c>
      <c r="D20" s="18">
        <f>0.8*0.25</f>
        <v>0.2</v>
      </c>
      <c r="E20" s="18">
        <v>0</v>
      </c>
      <c r="F20" s="18">
        <v>0</v>
      </c>
      <c r="G20" s="18">
        <f>0.8*0.75*0.8</f>
        <v>0.48000000000000009</v>
      </c>
      <c r="H20" s="18">
        <v>0</v>
      </c>
    </row>
    <row r="21" spans="2:8" x14ac:dyDescent="0.15">
      <c r="B21" s="16">
        <v>54152</v>
      </c>
      <c r="C21" s="17" t="s">
        <v>29</v>
      </c>
      <c r="D21" s="18">
        <v>0</v>
      </c>
      <c r="E21" s="18">
        <f>0.8*0.25</f>
        <v>0.2</v>
      </c>
      <c r="F21" s="18">
        <v>0</v>
      </c>
      <c r="G21" s="18">
        <f>0.8*0.75*0.8</f>
        <v>0.48000000000000009</v>
      </c>
      <c r="H21" s="18">
        <v>0</v>
      </c>
    </row>
    <row r="22" spans="2:8" x14ac:dyDescent="0.15">
      <c r="B22" s="16">
        <v>54153</v>
      </c>
      <c r="C22" s="17" t="s">
        <v>30</v>
      </c>
      <c r="D22" s="18">
        <v>0</v>
      </c>
      <c r="E22" s="18">
        <v>0</v>
      </c>
      <c r="F22" s="18">
        <f>0.8*0.25*0.8</f>
        <v>0.16000000000000003</v>
      </c>
      <c r="G22" s="18">
        <f>0.8*0.75*0.8</f>
        <v>0.48000000000000009</v>
      </c>
      <c r="H22" s="18">
        <v>0</v>
      </c>
    </row>
    <row r="23" spans="2:8" x14ac:dyDescent="0.15">
      <c r="B23" s="16">
        <v>54154</v>
      </c>
      <c r="C23" s="19" t="s">
        <v>31</v>
      </c>
      <c r="D23" s="18">
        <v>0</v>
      </c>
      <c r="E23" s="18">
        <v>0</v>
      </c>
      <c r="F23" s="18">
        <v>0</v>
      </c>
      <c r="G23" s="18">
        <f>0.8*(0.75+0.25)</f>
        <v>0.8</v>
      </c>
      <c r="H23" s="18">
        <v>0</v>
      </c>
    </row>
    <row r="24" spans="2:8" x14ac:dyDescent="0.15">
      <c r="B24" s="16">
        <v>54155</v>
      </c>
      <c r="C24" s="17" t="s">
        <v>32</v>
      </c>
      <c r="D24" s="18">
        <v>0</v>
      </c>
      <c r="E24" s="18">
        <v>0</v>
      </c>
      <c r="F24" s="18">
        <v>0</v>
      </c>
      <c r="G24" s="18">
        <f>0.8*0.75*0.8</f>
        <v>0.48000000000000009</v>
      </c>
      <c r="H24" s="18">
        <f>5*0.25*0.8</f>
        <v>1</v>
      </c>
    </row>
    <row r="25" spans="2:8" x14ac:dyDescent="0.15">
      <c r="B25" s="20">
        <v>54201</v>
      </c>
      <c r="C25" s="21" t="s">
        <v>33</v>
      </c>
      <c r="D25" s="22">
        <f>0.8*0.25</f>
        <v>0.2</v>
      </c>
      <c r="E25" s="22">
        <v>0</v>
      </c>
      <c r="F25" s="22">
        <v>0</v>
      </c>
      <c r="G25" s="22">
        <v>0</v>
      </c>
      <c r="H25" s="22">
        <f>5*0.75*0.8</f>
        <v>3</v>
      </c>
    </row>
    <row r="26" spans="2:8" x14ac:dyDescent="0.15">
      <c r="B26" s="20">
        <v>54202</v>
      </c>
      <c r="C26" s="21" t="s">
        <v>34</v>
      </c>
      <c r="D26" s="22">
        <v>0</v>
      </c>
      <c r="E26" s="22">
        <f>0.8*0.25</f>
        <v>0.2</v>
      </c>
      <c r="F26" s="22">
        <v>0</v>
      </c>
      <c r="G26" s="22">
        <v>0</v>
      </c>
      <c r="H26" s="22">
        <f>5*0.75*0.8</f>
        <v>3</v>
      </c>
    </row>
    <row r="27" spans="2:8" x14ac:dyDescent="0.15">
      <c r="B27" s="20">
        <v>54203</v>
      </c>
      <c r="C27" s="21" t="s">
        <v>35</v>
      </c>
      <c r="D27" s="22">
        <v>0</v>
      </c>
      <c r="E27" s="22">
        <v>0</v>
      </c>
      <c r="F27" s="22">
        <f>0.8*0.25*0.8</f>
        <v>0.16000000000000003</v>
      </c>
      <c r="G27" s="22">
        <v>0</v>
      </c>
      <c r="H27" s="22">
        <f>5*0.75*0.8</f>
        <v>3</v>
      </c>
    </row>
    <row r="28" spans="2:8" x14ac:dyDescent="0.15">
      <c r="B28" s="20">
        <v>54204</v>
      </c>
      <c r="C28" s="21" t="s">
        <v>36</v>
      </c>
      <c r="D28" s="22">
        <v>0</v>
      </c>
      <c r="E28" s="22">
        <v>0</v>
      </c>
      <c r="F28" s="22">
        <v>0</v>
      </c>
      <c r="G28" s="22">
        <f>0.8*0.25*0.8</f>
        <v>0.16000000000000003</v>
      </c>
      <c r="H28" s="22">
        <f>5*0.75*0.8</f>
        <v>3</v>
      </c>
    </row>
    <row r="29" spans="2:8" x14ac:dyDescent="0.15">
      <c r="B29" s="20">
        <v>54205</v>
      </c>
      <c r="C29" s="23" t="s">
        <v>37</v>
      </c>
      <c r="D29" s="22">
        <v>0</v>
      </c>
      <c r="E29" s="22">
        <v>0</v>
      </c>
      <c r="F29" s="22">
        <v>0</v>
      </c>
      <c r="G29" s="22">
        <v>0</v>
      </c>
      <c r="H29" s="22">
        <f>5*(0.75+0.25)</f>
        <v>5</v>
      </c>
    </row>
  </sheetData>
  <phoneticPr fontId="3" type="noConversion"/>
  <conditionalFormatting sqref="B5:B24">
    <cfRule type="duplicateValues" dxfId="113" priority="114" stopIfTrue="1"/>
  </conditionalFormatting>
  <conditionalFormatting sqref="B5:B24">
    <cfRule type="duplicateValues" dxfId="112" priority="113" stopIfTrue="1"/>
  </conditionalFormatting>
  <conditionalFormatting sqref="B5:B24">
    <cfRule type="duplicateValues" dxfId="111" priority="112" stopIfTrue="1"/>
  </conditionalFormatting>
  <conditionalFormatting sqref="B5:B24">
    <cfRule type="duplicateValues" dxfId="110" priority="111" stopIfTrue="1"/>
  </conditionalFormatting>
  <conditionalFormatting sqref="B5:B24">
    <cfRule type="duplicateValues" dxfId="109" priority="110" stopIfTrue="1"/>
  </conditionalFormatting>
  <conditionalFormatting sqref="B5:B24">
    <cfRule type="duplicateValues" dxfId="108" priority="109" stopIfTrue="1"/>
  </conditionalFormatting>
  <conditionalFormatting sqref="B5:B24">
    <cfRule type="duplicateValues" dxfId="107" priority="106" stopIfTrue="1"/>
    <cfRule type="duplicateValues" dxfId="106" priority="107" stopIfTrue="1"/>
    <cfRule type="duplicateValues" dxfId="105" priority="108" stopIfTrue="1"/>
  </conditionalFormatting>
  <conditionalFormatting sqref="B5:B24">
    <cfRule type="duplicateValues" dxfId="104" priority="105" stopIfTrue="1"/>
  </conditionalFormatting>
  <conditionalFormatting sqref="B5:B24">
    <cfRule type="duplicateValues" dxfId="103" priority="104" stopIfTrue="1"/>
  </conditionalFormatting>
  <conditionalFormatting sqref="B5:B24">
    <cfRule type="duplicateValues" dxfId="102" priority="102" stopIfTrue="1"/>
    <cfRule type="duplicateValues" dxfId="101" priority="103" stopIfTrue="1"/>
  </conditionalFormatting>
  <conditionalFormatting sqref="B5:B24">
    <cfRule type="duplicateValues" dxfId="100" priority="99" stopIfTrue="1"/>
    <cfRule type="duplicateValues" dxfId="99" priority="100" stopIfTrue="1"/>
    <cfRule type="cellIs" dxfId="98" priority="101" stopIfTrue="1" operator="equal">
      <formula>25504</formula>
    </cfRule>
  </conditionalFormatting>
  <conditionalFormatting sqref="B5:B24">
    <cfRule type="duplicateValues" dxfId="97" priority="98" stopIfTrue="1"/>
  </conditionalFormatting>
  <conditionalFormatting sqref="B5:B24">
    <cfRule type="duplicateValues" dxfId="96" priority="96" stopIfTrue="1"/>
    <cfRule type="duplicateValues" dxfId="95" priority="97" stopIfTrue="1"/>
  </conditionalFormatting>
  <conditionalFormatting sqref="B5:B24">
    <cfRule type="duplicateValues" dxfId="94" priority="95" stopIfTrue="1"/>
  </conditionalFormatting>
  <conditionalFormatting sqref="B5:B24">
    <cfRule type="duplicateValues" dxfId="93" priority="94" stopIfTrue="1"/>
  </conditionalFormatting>
  <conditionalFormatting sqref="B5:B24">
    <cfRule type="duplicateValues" dxfId="92" priority="93" stopIfTrue="1"/>
  </conditionalFormatting>
  <conditionalFormatting sqref="B5:B24">
    <cfRule type="duplicateValues" dxfId="91" priority="92"/>
  </conditionalFormatting>
  <conditionalFormatting sqref="B5:B24">
    <cfRule type="duplicateValues" dxfId="90" priority="91"/>
  </conditionalFormatting>
  <conditionalFormatting sqref="B5:B24">
    <cfRule type="duplicateValues" dxfId="89" priority="89"/>
    <cfRule type="duplicateValues" dxfId="88" priority="90"/>
  </conditionalFormatting>
  <conditionalFormatting sqref="B5:B24">
    <cfRule type="duplicateValues" dxfId="87" priority="88"/>
  </conditionalFormatting>
  <conditionalFormatting sqref="B5:B24">
    <cfRule type="duplicateValues" dxfId="86" priority="87" stopIfTrue="1"/>
  </conditionalFormatting>
  <conditionalFormatting sqref="B5:B24">
    <cfRule type="duplicateValues" dxfId="85" priority="84" stopIfTrue="1"/>
    <cfRule type="duplicateValues" dxfId="84" priority="85" stopIfTrue="1"/>
    <cfRule type="duplicateValues" dxfId="83" priority="86" stopIfTrue="1"/>
  </conditionalFormatting>
  <conditionalFormatting sqref="B5:B24">
    <cfRule type="duplicateValues" dxfId="82" priority="83" stopIfTrue="1"/>
  </conditionalFormatting>
  <conditionalFormatting sqref="B5:B24">
    <cfRule type="duplicateValues" dxfId="81" priority="82" stopIfTrue="1"/>
  </conditionalFormatting>
  <conditionalFormatting sqref="B5:B24">
    <cfRule type="duplicateValues" dxfId="80" priority="81" stopIfTrue="1"/>
  </conditionalFormatting>
  <conditionalFormatting sqref="B5:B24">
    <cfRule type="duplicateValues" dxfId="79" priority="80" stopIfTrue="1"/>
  </conditionalFormatting>
  <conditionalFormatting sqref="B5:B24">
    <cfRule type="duplicateValues" dxfId="78" priority="78" stopIfTrue="1"/>
    <cfRule type="duplicateValues" dxfId="77" priority="79" stopIfTrue="1"/>
  </conditionalFormatting>
  <conditionalFormatting sqref="B5:B24">
    <cfRule type="duplicateValues" dxfId="76" priority="77" stopIfTrue="1"/>
  </conditionalFormatting>
  <conditionalFormatting sqref="B5:B24">
    <cfRule type="duplicateValues" dxfId="75" priority="76" stopIfTrue="1"/>
  </conditionalFormatting>
  <conditionalFormatting sqref="B5:B24">
    <cfRule type="duplicateValues" dxfId="74" priority="75" stopIfTrue="1"/>
  </conditionalFormatting>
  <conditionalFormatting sqref="B5:B24">
    <cfRule type="duplicateValues" dxfId="73" priority="72" stopIfTrue="1"/>
    <cfRule type="duplicateValues" dxfId="72" priority="73" stopIfTrue="1"/>
    <cfRule type="duplicateValues" dxfId="71" priority="74" stopIfTrue="1"/>
  </conditionalFormatting>
  <conditionalFormatting sqref="B5:B24">
    <cfRule type="duplicateValues" dxfId="70" priority="71" stopIfTrue="1"/>
  </conditionalFormatting>
  <conditionalFormatting sqref="B5:B24">
    <cfRule type="duplicateValues" dxfId="69" priority="69" stopIfTrue="1"/>
    <cfRule type="duplicateValues" dxfId="68" priority="70" stopIfTrue="1"/>
  </conditionalFormatting>
  <conditionalFormatting sqref="B5:B24">
    <cfRule type="duplicateValues" dxfId="67" priority="68" stopIfTrue="1"/>
  </conditionalFormatting>
  <conditionalFormatting sqref="B5:B24">
    <cfRule type="duplicateValues" dxfId="66" priority="67" stopIfTrue="1"/>
  </conditionalFormatting>
  <conditionalFormatting sqref="B5:B24">
    <cfRule type="duplicateValues" dxfId="65" priority="66" stopIfTrue="1"/>
  </conditionalFormatting>
  <conditionalFormatting sqref="B5:B24">
    <cfRule type="duplicateValues" dxfId="64" priority="65"/>
  </conditionalFormatting>
  <conditionalFormatting sqref="B5:B24">
    <cfRule type="duplicateValues" dxfId="63" priority="64"/>
  </conditionalFormatting>
  <conditionalFormatting sqref="B5:B24">
    <cfRule type="duplicateValues" dxfId="62" priority="62"/>
    <cfRule type="duplicateValues" dxfId="61" priority="63"/>
  </conditionalFormatting>
  <conditionalFormatting sqref="B5:B24">
    <cfRule type="duplicateValues" dxfId="60" priority="61"/>
  </conditionalFormatting>
  <conditionalFormatting sqref="B5:B24">
    <cfRule type="duplicateValues" dxfId="59" priority="60"/>
  </conditionalFormatting>
  <conditionalFormatting sqref="B5:B24">
    <cfRule type="duplicateValues" dxfId="58" priority="58"/>
    <cfRule type="duplicateValues" dxfId="57" priority="59"/>
  </conditionalFormatting>
  <conditionalFormatting sqref="B25:B29">
    <cfRule type="duplicateValues" dxfId="56" priority="57" stopIfTrue="1"/>
  </conditionalFormatting>
  <conditionalFormatting sqref="B25:B29">
    <cfRule type="duplicateValues" dxfId="55" priority="56" stopIfTrue="1"/>
  </conditionalFormatting>
  <conditionalFormatting sqref="B25:B29">
    <cfRule type="duplicateValues" dxfId="54" priority="55" stopIfTrue="1"/>
  </conditionalFormatting>
  <conditionalFormatting sqref="B25:B29">
    <cfRule type="duplicateValues" dxfId="53" priority="54" stopIfTrue="1"/>
  </conditionalFormatting>
  <conditionalFormatting sqref="B25:B29">
    <cfRule type="duplicateValues" dxfId="52" priority="53" stopIfTrue="1"/>
  </conditionalFormatting>
  <conditionalFormatting sqref="B25:B29">
    <cfRule type="duplicateValues" dxfId="51" priority="52" stopIfTrue="1"/>
  </conditionalFormatting>
  <conditionalFormatting sqref="B25:B29">
    <cfRule type="duplicateValues" dxfId="50" priority="49" stopIfTrue="1"/>
    <cfRule type="duplicateValues" dxfId="49" priority="50" stopIfTrue="1"/>
    <cfRule type="duplicateValues" dxfId="48" priority="51" stopIfTrue="1"/>
  </conditionalFormatting>
  <conditionalFormatting sqref="B25:B29">
    <cfRule type="duplicateValues" dxfId="47" priority="48" stopIfTrue="1"/>
  </conditionalFormatting>
  <conditionalFormatting sqref="B25:B29">
    <cfRule type="duplicateValues" dxfId="46" priority="47" stopIfTrue="1"/>
  </conditionalFormatting>
  <conditionalFormatting sqref="B25:B29">
    <cfRule type="duplicateValues" dxfId="45" priority="45" stopIfTrue="1"/>
    <cfRule type="duplicateValues" dxfId="44" priority="46" stopIfTrue="1"/>
  </conditionalFormatting>
  <conditionalFormatting sqref="B25:B29">
    <cfRule type="duplicateValues" dxfId="43" priority="42" stopIfTrue="1"/>
    <cfRule type="duplicateValues" dxfId="42" priority="43" stopIfTrue="1"/>
    <cfRule type="cellIs" dxfId="41" priority="44" stopIfTrue="1" operator="equal">
      <formula>25504</formula>
    </cfRule>
  </conditionalFormatting>
  <conditionalFormatting sqref="B25:B29">
    <cfRule type="duplicateValues" dxfId="40" priority="41" stopIfTrue="1"/>
  </conditionalFormatting>
  <conditionalFormatting sqref="B25:B29">
    <cfRule type="duplicateValues" dxfId="39" priority="39" stopIfTrue="1"/>
    <cfRule type="duplicateValues" dxfId="38" priority="40" stopIfTrue="1"/>
  </conditionalFormatting>
  <conditionalFormatting sqref="B25:B29">
    <cfRule type="duplicateValues" dxfId="37" priority="38" stopIfTrue="1"/>
  </conditionalFormatting>
  <conditionalFormatting sqref="B25:B29">
    <cfRule type="duplicateValues" dxfId="36" priority="37" stopIfTrue="1"/>
  </conditionalFormatting>
  <conditionalFormatting sqref="B25:B29">
    <cfRule type="duplicateValues" dxfId="35" priority="36" stopIfTrue="1"/>
  </conditionalFormatting>
  <conditionalFormatting sqref="B25:B29">
    <cfRule type="duplicateValues" dxfId="34" priority="35"/>
  </conditionalFormatting>
  <conditionalFormatting sqref="B25:B29">
    <cfRule type="duplicateValues" dxfId="33" priority="34"/>
  </conditionalFormatting>
  <conditionalFormatting sqref="B25:B29">
    <cfRule type="duplicateValues" dxfId="32" priority="32"/>
    <cfRule type="duplicateValues" dxfId="31" priority="33"/>
  </conditionalFormatting>
  <conditionalFormatting sqref="B25:B29">
    <cfRule type="duplicateValues" dxfId="30" priority="31"/>
  </conditionalFormatting>
  <conditionalFormatting sqref="B25:B29">
    <cfRule type="duplicateValues" dxfId="29" priority="30" stopIfTrue="1"/>
  </conditionalFormatting>
  <conditionalFormatting sqref="B25:B29">
    <cfRule type="duplicateValues" dxfId="28" priority="27" stopIfTrue="1"/>
    <cfRule type="duplicateValues" dxfId="27" priority="28" stopIfTrue="1"/>
    <cfRule type="duplicateValues" dxfId="26" priority="29" stopIfTrue="1"/>
  </conditionalFormatting>
  <conditionalFormatting sqref="B25:B29">
    <cfRule type="duplicateValues" dxfId="25" priority="26" stopIfTrue="1"/>
  </conditionalFormatting>
  <conditionalFormatting sqref="B25:B29">
    <cfRule type="duplicateValues" dxfId="24" priority="25" stopIfTrue="1"/>
  </conditionalFormatting>
  <conditionalFormatting sqref="B25:B29">
    <cfRule type="duplicateValues" dxfId="23" priority="24" stopIfTrue="1"/>
  </conditionalFormatting>
  <conditionalFormatting sqref="B25:B29">
    <cfRule type="duplicateValues" dxfId="22" priority="23" stopIfTrue="1"/>
  </conditionalFormatting>
  <conditionalFormatting sqref="B25:B29">
    <cfRule type="duplicateValues" dxfId="21" priority="21" stopIfTrue="1"/>
    <cfRule type="duplicateValues" dxfId="20" priority="22" stopIfTrue="1"/>
  </conditionalFormatting>
  <conditionalFormatting sqref="B25:B29">
    <cfRule type="duplicateValues" dxfId="19" priority="20" stopIfTrue="1"/>
  </conditionalFormatting>
  <conditionalFormatting sqref="B25:B29">
    <cfRule type="duplicateValues" dxfId="18" priority="19" stopIfTrue="1"/>
  </conditionalFormatting>
  <conditionalFormatting sqref="B25:B29">
    <cfRule type="duplicateValues" dxfId="17" priority="18" stopIfTrue="1"/>
  </conditionalFormatting>
  <conditionalFormatting sqref="B25:B29">
    <cfRule type="duplicateValues" dxfId="16" priority="15" stopIfTrue="1"/>
    <cfRule type="duplicateValues" dxfId="15" priority="16" stopIfTrue="1"/>
    <cfRule type="duplicateValues" dxfId="14" priority="17" stopIfTrue="1"/>
  </conditionalFormatting>
  <conditionalFormatting sqref="B25:B29">
    <cfRule type="duplicateValues" dxfId="13" priority="14" stopIfTrue="1"/>
  </conditionalFormatting>
  <conditionalFormatting sqref="B25:B29">
    <cfRule type="duplicateValues" dxfId="12" priority="12" stopIfTrue="1"/>
    <cfRule type="duplicateValues" dxfId="11" priority="13" stopIfTrue="1"/>
  </conditionalFormatting>
  <conditionalFormatting sqref="B25:B29">
    <cfRule type="duplicateValues" dxfId="10" priority="11" stopIfTrue="1"/>
  </conditionalFormatting>
  <conditionalFormatting sqref="B25:B29">
    <cfRule type="duplicateValues" dxfId="9" priority="10" stopIfTrue="1"/>
  </conditionalFormatting>
  <conditionalFormatting sqref="B25:B29">
    <cfRule type="duplicateValues" dxfId="8" priority="9" stopIfTrue="1"/>
  </conditionalFormatting>
  <conditionalFormatting sqref="B25:B29">
    <cfRule type="duplicateValues" dxfId="7" priority="8"/>
  </conditionalFormatting>
  <conditionalFormatting sqref="B25:B29">
    <cfRule type="duplicateValues" dxfId="6" priority="7"/>
  </conditionalFormatting>
  <conditionalFormatting sqref="B25:B29">
    <cfRule type="duplicateValues" dxfId="5" priority="5"/>
    <cfRule type="duplicateValues" dxfId="4" priority="6"/>
  </conditionalFormatting>
  <conditionalFormatting sqref="B25:B29">
    <cfRule type="duplicateValues" dxfId="3" priority="4"/>
  </conditionalFormatting>
  <conditionalFormatting sqref="B25:B29">
    <cfRule type="duplicateValues" dxfId="2" priority="3"/>
  </conditionalFormatting>
  <conditionalFormatting sqref="B25:B29">
    <cfRule type="duplicateValues" dxfId="1" priority="1"/>
    <cfRule type="duplicateValues" dxfId="0" priority="2"/>
  </conditionalFormatting>
  <dataValidations disablePrompts="1" count="1">
    <dataValidation type="whole" operator="lessThan" allowBlank="1" showInputMessage="1" showErrorMessage="1" sqref="B5:B29">
      <formula1>65535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字段说明</vt:lpstr>
      <vt:lpstr>Sheet2</vt:lpstr>
    </vt:vector>
  </TitlesOfParts>
  <Company>征途网络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赵智</cp:lastModifiedBy>
  <dcterms:created xsi:type="dcterms:W3CDTF">2008-08-31T14:56:14Z</dcterms:created>
  <dcterms:modified xsi:type="dcterms:W3CDTF">2012-08-23T03:23:17Z</dcterms:modified>
</cp:coreProperties>
</file>